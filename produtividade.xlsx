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21A37E89-A535-4DE4-9DF3-B619EBB0A193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Produtividade!$A$1:$O$4705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05" i="1" l="1"/>
  <c r="I4705" i="1"/>
  <c r="J4704" i="1"/>
  <c r="I4704" i="1"/>
  <c r="J4703" i="1"/>
  <c r="I4703" i="1"/>
  <c r="J4702" i="1"/>
  <c r="I4702" i="1"/>
  <c r="I4701" i="1"/>
  <c r="J4700" i="1"/>
  <c r="I4700" i="1"/>
  <c r="J4699" i="1"/>
  <c r="I4699" i="1"/>
  <c r="J4698" i="1"/>
  <c r="I4698" i="1"/>
  <c r="J4697" i="1"/>
  <c r="I4697" i="1"/>
  <c r="J4696" i="1"/>
  <c r="I4696" i="1"/>
  <c r="J4695" i="1"/>
  <c r="I4695" i="1"/>
  <c r="J4694" i="1"/>
  <c r="I4694" i="1"/>
  <c r="J4693" i="1"/>
  <c r="I4693" i="1"/>
  <c r="I4692" i="1"/>
  <c r="I4691" i="1"/>
  <c r="J4690" i="1"/>
  <c r="I4690" i="1"/>
  <c r="J4689" i="1"/>
  <c r="I4689" i="1"/>
  <c r="J4688" i="1"/>
  <c r="I4688" i="1"/>
  <c r="J4687" i="1"/>
  <c r="I4687" i="1"/>
  <c r="I4686" i="1"/>
  <c r="J4685" i="1"/>
  <c r="I4685" i="1"/>
  <c r="J4684" i="1"/>
  <c r="I4684" i="1"/>
  <c r="I4683" i="1"/>
  <c r="J4682" i="1"/>
  <c r="I4682" i="1"/>
  <c r="I4681" i="1"/>
  <c r="J4680" i="1"/>
  <c r="I4680" i="1"/>
  <c r="J4679" i="1"/>
  <c r="I4679" i="1"/>
  <c r="J4678" i="1"/>
  <c r="I4678" i="1"/>
  <c r="J4677" i="1"/>
  <c r="I4677" i="1"/>
  <c r="J4676" i="1"/>
  <c r="I4676" i="1"/>
  <c r="J4675" i="1"/>
  <c r="I4675" i="1"/>
  <c r="I4674" i="1"/>
  <c r="J4673" i="1"/>
  <c r="I4673" i="1"/>
  <c r="J4618" i="1"/>
  <c r="I4618" i="1"/>
  <c r="J4490" i="1"/>
  <c r="I4490" i="1"/>
  <c r="J4403" i="1"/>
  <c r="I4403" i="1"/>
  <c r="I609" i="1"/>
  <c r="J515" i="1"/>
  <c r="I515" i="1"/>
  <c r="J84" i="1"/>
  <c r="I84" i="1"/>
  <c r="J421" i="1"/>
  <c r="I421" i="1"/>
  <c r="J4672" i="1"/>
  <c r="I4672" i="1"/>
  <c r="J4108" i="1"/>
  <c r="I4108" i="1"/>
  <c r="J764" i="1"/>
  <c r="I764" i="1"/>
  <c r="J373" i="1"/>
  <c r="I373" i="1"/>
  <c r="J165" i="1"/>
  <c r="I165" i="1"/>
  <c r="J4660" i="1"/>
  <c r="I4660" i="1"/>
  <c r="J4659" i="1"/>
  <c r="I4659" i="1"/>
  <c r="J4658" i="1"/>
  <c r="I4658" i="1"/>
  <c r="J4657" i="1"/>
  <c r="I4657" i="1"/>
  <c r="I4656" i="1"/>
  <c r="J4655" i="1"/>
  <c r="I4655" i="1"/>
  <c r="J4654" i="1"/>
  <c r="I4654" i="1"/>
  <c r="J4653" i="1"/>
  <c r="I4653" i="1"/>
  <c r="I4652" i="1"/>
  <c r="I4651" i="1"/>
  <c r="J4650" i="1"/>
  <c r="I4650" i="1"/>
  <c r="J4649" i="1"/>
  <c r="I4649" i="1"/>
  <c r="J4648" i="1"/>
  <c r="I4648" i="1"/>
  <c r="I4647" i="1"/>
  <c r="I4646" i="1"/>
  <c r="J4645" i="1"/>
  <c r="I4645" i="1"/>
  <c r="J4644" i="1"/>
  <c r="I4644" i="1"/>
  <c r="J4643" i="1"/>
  <c r="I4643" i="1"/>
  <c r="J4642" i="1"/>
  <c r="I4642" i="1"/>
  <c r="I4641" i="1"/>
  <c r="J4640" i="1"/>
  <c r="I4640" i="1"/>
  <c r="J4639" i="1"/>
  <c r="I4639" i="1"/>
  <c r="I4638" i="1"/>
  <c r="J4637" i="1"/>
  <c r="I4637" i="1"/>
  <c r="I4636" i="1"/>
  <c r="J4635" i="1"/>
  <c r="I4635" i="1"/>
  <c r="J4634" i="1"/>
  <c r="I4634" i="1"/>
  <c r="J4633" i="1"/>
  <c r="I4633" i="1"/>
  <c r="J4632" i="1"/>
  <c r="I4632" i="1"/>
  <c r="J4631" i="1"/>
  <c r="I4631" i="1"/>
  <c r="J4630" i="1"/>
  <c r="I4630" i="1"/>
  <c r="I4629" i="1"/>
  <c r="J4628" i="1"/>
  <c r="I4628" i="1"/>
  <c r="J4617" i="1"/>
  <c r="I4617" i="1"/>
  <c r="J4489" i="1"/>
  <c r="I4489" i="1"/>
  <c r="J4402" i="1"/>
  <c r="I4402" i="1"/>
  <c r="I608" i="1"/>
  <c r="J514" i="1"/>
  <c r="I514" i="1"/>
  <c r="J30" i="1"/>
  <c r="I30" i="1"/>
  <c r="J420" i="1"/>
  <c r="I420" i="1"/>
  <c r="J4671" i="1"/>
  <c r="I4671" i="1"/>
  <c r="J4106" i="1"/>
  <c r="I4106" i="1"/>
  <c r="J763" i="1"/>
  <c r="I763" i="1"/>
  <c r="J372" i="1"/>
  <c r="I372" i="1"/>
  <c r="J164" i="1"/>
  <c r="I164" i="1"/>
  <c r="J4615" i="1"/>
  <c r="I4615" i="1"/>
  <c r="J4614" i="1"/>
  <c r="I4614" i="1"/>
  <c r="J4613" i="1"/>
  <c r="I4613" i="1"/>
  <c r="J4612" i="1"/>
  <c r="I4612" i="1"/>
  <c r="I4611" i="1"/>
  <c r="J4610" i="1"/>
  <c r="I4610" i="1"/>
  <c r="J4609" i="1"/>
  <c r="I4609" i="1"/>
  <c r="J4608" i="1"/>
  <c r="I4608" i="1"/>
  <c r="I4607" i="1"/>
  <c r="J4606" i="1"/>
  <c r="I4606" i="1"/>
  <c r="J4605" i="1"/>
  <c r="I4605" i="1"/>
  <c r="J4604" i="1"/>
  <c r="I4604" i="1"/>
  <c r="J4603" i="1"/>
  <c r="I4603" i="1"/>
  <c r="I4602" i="1"/>
  <c r="J4601" i="1"/>
  <c r="I4601" i="1"/>
  <c r="J4600" i="1"/>
  <c r="I4600" i="1"/>
  <c r="J4599" i="1"/>
  <c r="I4599" i="1"/>
  <c r="J4598" i="1"/>
  <c r="I4598" i="1"/>
  <c r="J4597" i="1"/>
  <c r="I4597" i="1"/>
  <c r="I4596" i="1"/>
  <c r="J4595" i="1"/>
  <c r="I4595" i="1"/>
  <c r="J4594" i="1"/>
  <c r="I4594" i="1"/>
  <c r="I4593" i="1"/>
  <c r="J4592" i="1"/>
  <c r="I4592" i="1"/>
  <c r="I4591" i="1"/>
  <c r="J4590" i="1"/>
  <c r="I4590" i="1"/>
  <c r="J4589" i="1"/>
  <c r="I4589" i="1"/>
  <c r="J4588" i="1"/>
  <c r="I4588" i="1"/>
  <c r="J4587" i="1"/>
  <c r="I4587" i="1"/>
  <c r="J4586" i="1"/>
  <c r="I4586" i="1"/>
  <c r="J4585" i="1"/>
  <c r="I4585" i="1"/>
  <c r="I4584" i="1"/>
  <c r="J4583" i="1"/>
  <c r="I4583" i="1"/>
  <c r="J4616" i="1"/>
  <c r="I4616" i="1"/>
  <c r="J4488" i="1"/>
  <c r="I4488" i="1"/>
  <c r="J4401" i="1"/>
  <c r="I4401" i="1"/>
  <c r="J607" i="1"/>
  <c r="I607" i="1"/>
  <c r="J513" i="1"/>
  <c r="I513" i="1"/>
  <c r="J29" i="1"/>
  <c r="I29" i="1"/>
  <c r="J419" i="1"/>
  <c r="I419" i="1"/>
  <c r="J4670" i="1"/>
  <c r="I4670" i="1"/>
  <c r="J4091" i="1"/>
  <c r="I4091" i="1"/>
  <c r="J762" i="1"/>
  <c r="I762" i="1"/>
  <c r="J371" i="1"/>
  <c r="I371" i="1"/>
  <c r="J163" i="1"/>
  <c r="I163" i="1"/>
  <c r="J4570" i="1"/>
  <c r="I4570" i="1"/>
  <c r="J4569" i="1"/>
  <c r="I4569" i="1"/>
  <c r="I4491" i="1"/>
  <c r="I4404" i="1"/>
  <c r="I4350" i="1"/>
  <c r="I516" i="1"/>
  <c r="I422" i="1"/>
  <c r="J4669" i="1"/>
  <c r="I4669" i="1"/>
  <c r="J4069" i="1"/>
  <c r="I4069" i="1"/>
  <c r="I610" i="1"/>
  <c r="I200" i="1"/>
  <c r="I85" i="1"/>
  <c r="I2" i="1"/>
  <c r="J4668" i="1"/>
  <c r="I4668" i="1"/>
  <c r="J4064" i="1"/>
  <c r="I4064" i="1"/>
  <c r="J4566" i="1"/>
  <c r="I4566" i="1"/>
  <c r="J4565" i="1"/>
  <c r="I4565" i="1"/>
  <c r="J4564" i="1"/>
  <c r="I4564" i="1"/>
  <c r="J4563" i="1"/>
  <c r="I4563" i="1"/>
  <c r="J4562" i="1"/>
  <c r="I4562" i="1"/>
  <c r="J4561" i="1"/>
  <c r="I4561" i="1"/>
  <c r="J4560" i="1"/>
  <c r="I4560" i="1"/>
  <c r="I4559" i="1"/>
  <c r="J4558" i="1"/>
  <c r="I4558" i="1"/>
  <c r="J4553" i="1"/>
  <c r="I4553" i="1"/>
  <c r="J4548" i="1"/>
  <c r="I4548" i="1"/>
  <c r="J4546" i="1"/>
  <c r="I4546" i="1"/>
  <c r="I4513" i="1"/>
  <c r="J4512" i="1"/>
  <c r="I4512" i="1"/>
  <c r="I4511" i="1"/>
  <c r="J4510" i="1"/>
  <c r="I4510" i="1"/>
  <c r="J4509" i="1"/>
  <c r="I4509" i="1"/>
  <c r="J4508" i="1"/>
  <c r="I4508" i="1"/>
  <c r="J4507" i="1"/>
  <c r="I4507" i="1"/>
  <c r="J4506" i="1"/>
  <c r="I4506" i="1"/>
  <c r="J4482" i="1"/>
  <c r="I4482" i="1"/>
  <c r="I4505" i="1"/>
  <c r="J4504" i="1"/>
  <c r="I4504" i="1"/>
  <c r="J4503" i="1"/>
  <c r="I4503" i="1"/>
  <c r="I4502" i="1"/>
  <c r="J4501" i="1"/>
  <c r="I4501" i="1"/>
  <c r="J4500" i="1"/>
  <c r="I4500" i="1"/>
  <c r="J4499" i="1"/>
  <c r="I4499" i="1"/>
  <c r="I4498" i="1"/>
  <c r="J4497" i="1"/>
  <c r="I4497" i="1"/>
  <c r="J4496" i="1"/>
  <c r="I4496" i="1"/>
  <c r="I4495" i="1"/>
  <c r="J4481" i="1"/>
  <c r="I4481" i="1"/>
  <c r="J4480" i="1"/>
  <c r="I4480" i="1"/>
  <c r="J4479" i="1"/>
  <c r="I4479" i="1"/>
  <c r="J4478" i="1"/>
  <c r="I4478" i="1"/>
  <c r="J4477" i="1"/>
  <c r="I4477" i="1"/>
  <c r="J4476" i="1"/>
  <c r="I4476" i="1"/>
  <c r="J4475" i="1"/>
  <c r="I4475" i="1"/>
  <c r="I4474" i="1"/>
  <c r="J4473" i="1"/>
  <c r="I4473" i="1"/>
  <c r="J4472" i="1"/>
  <c r="I4472" i="1"/>
  <c r="J4471" i="1"/>
  <c r="I4471" i="1"/>
  <c r="J4470" i="1"/>
  <c r="I4470" i="1"/>
  <c r="I4469" i="1"/>
  <c r="J4468" i="1"/>
  <c r="I4468" i="1"/>
  <c r="I4467" i="1"/>
  <c r="J4466" i="1"/>
  <c r="I4466" i="1"/>
  <c r="J4465" i="1"/>
  <c r="I4465" i="1"/>
  <c r="J4464" i="1"/>
  <c r="I4464" i="1"/>
  <c r="J4463" i="1"/>
  <c r="I4463" i="1"/>
  <c r="J4462" i="1"/>
  <c r="I4462" i="1"/>
  <c r="J4461" i="1"/>
  <c r="I4461" i="1"/>
  <c r="J4439" i="1"/>
  <c r="I4439" i="1"/>
  <c r="I4460" i="1"/>
  <c r="J4459" i="1"/>
  <c r="I4459" i="1"/>
  <c r="J4458" i="1"/>
  <c r="I4458" i="1"/>
  <c r="I4457" i="1"/>
  <c r="J4456" i="1"/>
  <c r="I4456" i="1"/>
  <c r="J4455" i="1"/>
  <c r="I4455" i="1"/>
  <c r="J4454" i="1"/>
  <c r="I4454" i="1"/>
  <c r="I4453" i="1"/>
  <c r="J4452" i="1"/>
  <c r="I4452" i="1"/>
  <c r="J4451" i="1"/>
  <c r="I4451" i="1"/>
  <c r="I4450" i="1"/>
  <c r="J4438" i="1"/>
  <c r="I4438" i="1"/>
  <c r="J4437" i="1"/>
  <c r="I4437" i="1"/>
  <c r="J4436" i="1"/>
  <c r="I4436" i="1"/>
  <c r="J4435" i="1"/>
  <c r="I4435" i="1"/>
  <c r="J4434" i="1"/>
  <c r="I4434" i="1"/>
  <c r="J4433" i="1"/>
  <c r="I4433" i="1"/>
  <c r="J4432" i="1"/>
  <c r="I4432" i="1"/>
  <c r="J4431" i="1"/>
  <c r="I4431" i="1"/>
  <c r="I4430" i="1"/>
  <c r="J4429" i="1"/>
  <c r="I4429" i="1"/>
  <c r="J4428" i="1"/>
  <c r="I4428" i="1"/>
  <c r="J4427" i="1"/>
  <c r="I4427" i="1"/>
  <c r="I4426" i="1"/>
  <c r="J4425" i="1"/>
  <c r="I4425" i="1"/>
  <c r="I4424" i="1"/>
  <c r="J4423" i="1"/>
  <c r="I4423" i="1"/>
  <c r="J4422" i="1"/>
  <c r="I4422" i="1"/>
  <c r="J4421" i="1"/>
  <c r="I4421" i="1"/>
  <c r="J4420" i="1"/>
  <c r="I4420" i="1"/>
  <c r="J4419" i="1"/>
  <c r="I4419" i="1"/>
  <c r="J4418" i="1"/>
  <c r="I4418" i="1"/>
  <c r="J4394" i="1"/>
  <c r="I4394" i="1"/>
  <c r="J4417" i="1"/>
  <c r="I4417" i="1"/>
  <c r="J4416" i="1"/>
  <c r="I4416" i="1"/>
  <c r="J4415" i="1"/>
  <c r="I4415" i="1"/>
  <c r="I4414" i="1"/>
  <c r="J4413" i="1"/>
  <c r="I4413" i="1"/>
  <c r="J4412" i="1"/>
  <c r="I4412" i="1"/>
  <c r="J4411" i="1"/>
  <c r="I4411" i="1"/>
  <c r="I4410" i="1"/>
  <c r="J4409" i="1"/>
  <c r="I4409" i="1"/>
  <c r="J4408" i="1"/>
  <c r="I4408" i="1"/>
  <c r="I4407" i="1"/>
  <c r="J4393" i="1"/>
  <c r="I4393" i="1"/>
  <c r="J4392" i="1"/>
  <c r="I4392" i="1"/>
  <c r="J4391" i="1"/>
  <c r="I4391" i="1"/>
  <c r="J4390" i="1"/>
  <c r="I4390" i="1"/>
  <c r="J4389" i="1"/>
  <c r="I4389" i="1"/>
  <c r="J4388" i="1"/>
  <c r="I4388" i="1"/>
  <c r="J4387" i="1"/>
  <c r="I4387" i="1"/>
  <c r="I4386" i="1"/>
  <c r="J4385" i="1"/>
  <c r="I4385" i="1"/>
  <c r="J4384" i="1"/>
  <c r="I4384" i="1"/>
  <c r="J4383" i="1"/>
  <c r="I4383" i="1"/>
  <c r="J4382" i="1"/>
  <c r="I4382" i="1"/>
  <c r="I4381" i="1"/>
  <c r="J4380" i="1"/>
  <c r="I4380" i="1"/>
  <c r="I4379" i="1"/>
  <c r="J4378" i="1"/>
  <c r="I4378" i="1"/>
  <c r="J4377" i="1"/>
  <c r="I4377" i="1"/>
  <c r="J4376" i="1"/>
  <c r="I4376" i="1"/>
  <c r="J4375" i="1"/>
  <c r="I4375" i="1"/>
  <c r="J4374" i="1"/>
  <c r="I4374" i="1"/>
  <c r="J4373" i="1"/>
  <c r="I4373" i="1"/>
  <c r="J4349" i="1"/>
  <c r="I4349" i="1"/>
  <c r="J4372" i="1"/>
  <c r="I4372" i="1"/>
  <c r="J4371" i="1"/>
  <c r="I4371" i="1"/>
  <c r="J4370" i="1"/>
  <c r="I4370" i="1"/>
  <c r="I4369" i="1"/>
  <c r="J4368" i="1"/>
  <c r="I4368" i="1"/>
  <c r="J4367" i="1"/>
  <c r="I4367" i="1"/>
  <c r="I4366" i="1"/>
  <c r="I4365" i="1"/>
  <c r="J4364" i="1"/>
  <c r="I4364" i="1"/>
  <c r="J4363" i="1"/>
  <c r="I4363" i="1"/>
  <c r="I4362" i="1"/>
  <c r="J4348" i="1"/>
  <c r="I4348" i="1"/>
  <c r="J4347" i="1"/>
  <c r="I4347" i="1"/>
  <c r="J4346" i="1"/>
  <c r="I4346" i="1"/>
  <c r="J4345" i="1"/>
  <c r="I4345" i="1"/>
  <c r="J4344" i="1"/>
  <c r="I4344" i="1"/>
  <c r="J4343" i="1"/>
  <c r="I4343" i="1"/>
  <c r="J4342" i="1"/>
  <c r="I4342" i="1"/>
  <c r="I4341" i="1"/>
  <c r="J4340" i="1"/>
  <c r="I4340" i="1"/>
  <c r="J4339" i="1"/>
  <c r="I4339" i="1"/>
  <c r="J4338" i="1"/>
  <c r="I4338" i="1"/>
  <c r="J4333" i="1"/>
  <c r="I4333" i="1"/>
  <c r="I4328" i="1"/>
  <c r="J4326" i="1"/>
  <c r="I4326" i="1"/>
  <c r="I4311" i="1"/>
  <c r="J4289" i="1"/>
  <c r="I4289" i="1"/>
  <c r="J4284" i="1"/>
  <c r="I4284" i="1"/>
  <c r="J4282" i="1"/>
  <c r="I4282" i="1"/>
  <c r="J4267" i="1"/>
  <c r="I4267" i="1"/>
  <c r="J4245" i="1"/>
  <c r="I4245" i="1"/>
  <c r="J4240" i="1"/>
  <c r="I4240" i="1"/>
  <c r="J3976" i="1"/>
  <c r="I3976" i="1"/>
  <c r="J4238" i="1"/>
  <c r="I4238" i="1"/>
  <c r="J4223" i="1"/>
  <c r="I4223" i="1"/>
  <c r="J4201" i="1"/>
  <c r="I4201" i="1"/>
  <c r="I4196" i="1"/>
  <c r="J4194" i="1"/>
  <c r="I4194" i="1"/>
  <c r="J4179" i="1"/>
  <c r="I4179" i="1"/>
  <c r="I4157" i="1"/>
  <c r="I4152" i="1"/>
  <c r="J4150" i="1"/>
  <c r="I4150" i="1"/>
  <c r="J4135" i="1"/>
  <c r="I4135" i="1"/>
  <c r="I4113" i="1"/>
  <c r="J3974" i="1"/>
  <c r="I3974" i="1"/>
  <c r="J3959" i="1"/>
  <c r="I3959" i="1"/>
  <c r="J3937" i="1"/>
  <c r="I3937" i="1"/>
  <c r="J3932" i="1"/>
  <c r="I3932" i="1"/>
  <c r="J3930" i="1"/>
  <c r="I3930" i="1"/>
  <c r="J3915" i="1"/>
  <c r="I3915" i="1"/>
  <c r="J3893" i="1"/>
  <c r="I3893" i="1"/>
  <c r="J3888" i="1"/>
  <c r="I3888" i="1"/>
  <c r="J3871" i="1"/>
  <c r="I3871" i="1"/>
  <c r="J3849" i="1"/>
  <c r="I3849" i="1"/>
  <c r="J3844" i="1"/>
  <c r="I3844" i="1"/>
  <c r="J3827" i="1"/>
  <c r="I3827" i="1"/>
  <c r="I3805" i="1"/>
  <c r="J4667" i="1"/>
  <c r="I4667" i="1"/>
  <c r="J4062" i="1"/>
  <c r="I4062" i="1"/>
  <c r="J761" i="1"/>
  <c r="I761" i="1"/>
  <c r="J3800" i="1"/>
  <c r="I3800" i="1"/>
  <c r="J4666" i="1"/>
  <c r="I4666" i="1"/>
  <c r="J4047" i="1"/>
  <c r="I4047" i="1"/>
  <c r="J649" i="1"/>
  <c r="I649" i="1"/>
  <c r="I3783" i="1"/>
  <c r="J4665" i="1"/>
  <c r="I4665" i="1"/>
  <c r="J4025" i="1"/>
  <c r="I4025" i="1"/>
  <c r="J603" i="1"/>
  <c r="I603" i="1"/>
  <c r="J3761" i="1"/>
  <c r="I3761" i="1"/>
  <c r="J4664" i="1"/>
  <c r="I4664" i="1"/>
  <c r="J4020" i="1"/>
  <c r="I4020" i="1"/>
  <c r="J555" i="1"/>
  <c r="I555" i="1"/>
  <c r="J3717" i="1"/>
  <c r="I3717" i="1"/>
  <c r="J4663" i="1"/>
  <c r="I4663" i="1"/>
  <c r="J4018" i="1"/>
  <c r="I4018" i="1"/>
  <c r="J508" i="1"/>
  <c r="I508" i="1"/>
  <c r="J3712" i="1"/>
  <c r="I3712" i="1"/>
  <c r="J4662" i="1"/>
  <c r="I4662" i="1"/>
  <c r="J4003" i="1"/>
  <c r="I4003" i="1"/>
  <c r="J460" i="1"/>
  <c r="I460" i="1"/>
  <c r="J3695" i="1"/>
  <c r="I3695" i="1"/>
  <c r="J4661" i="1"/>
  <c r="I4661" i="1"/>
  <c r="J3981" i="1"/>
  <c r="I3981" i="1"/>
  <c r="J411" i="1"/>
  <c r="I411" i="1"/>
  <c r="J3673" i="1"/>
  <c r="I3673" i="1"/>
  <c r="J4627" i="1"/>
  <c r="I4627" i="1"/>
  <c r="J3756" i="1"/>
  <c r="I3756" i="1"/>
  <c r="J364" i="1"/>
  <c r="I364" i="1"/>
  <c r="J3668" i="1"/>
  <c r="I3668" i="1"/>
  <c r="J4626" i="1"/>
  <c r="I4626" i="1"/>
  <c r="J3739" i="1"/>
  <c r="I3739" i="1"/>
  <c r="J202" i="1"/>
  <c r="I202" i="1"/>
  <c r="J156" i="1"/>
  <c r="I156" i="1"/>
  <c r="J4625" i="1"/>
  <c r="I4625" i="1"/>
  <c r="J771" i="1"/>
  <c r="I771" i="1"/>
  <c r="J86" i="1"/>
  <c r="I86" i="1"/>
  <c r="J3651" i="1"/>
  <c r="I3651" i="1"/>
  <c r="J4624" i="1"/>
  <c r="I4624" i="1"/>
  <c r="J770" i="1"/>
  <c r="I770" i="1"/>
  <c r="J3607" i="1"/>
  <c r="I3607" i="1"/>
  <c r="J4623" i="1"/>
  <c r="I4623" i="1"/>
  <c r="J769" i="1"/>
  <c r="I769" i="1"/>
  <c r="J3563" i="1"/>
  <c r="I3563" i="1"/>
  <c r="J4622" i="1"/>
  <c r="I4622" i="1"/>
  <c r="J768" i="1"/>
  <c r="I768" i="1"/>
  <c r="I3519" i="1"/>
  <c r="J4621" i="1"/>
  <c r="I4621" i="1"/>
  <c r="J767" i="1"/>
  <c r="I767" i="1"/>
  <c r="J3475" i="1"/>
  <c r="I3475" i="1"/>
  <c r="J4620" i="1"/>
  <c r="I4620" i="1"/>
  <c r="J766" i="1"/>
  <c r="I766" i="1"/>
  <c r="J3431" i="1"/>
  <c r="I3431" i="1"/>
  <c r="I4619" i="1"/>
  <c r="I765" i="1"/>
  <c r="J3387" i="1"/>
  <c r="I3387" i="1"/>
  <c r="I3343" i="1"/>
  <c r="J3299" i="1"/>
  <c r="I3299" i="1"/>
  <c r="J773" i="1"/>
  <c r="I773" i="1"/>
  <c r="I772" i="1"/>
  <c r="J758" i="1"/>
  <c r="I758" i="1"/>
  <c r="J757" i="1"/>
  <c r="I757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5" i="1"/>
  <c r="I745" i="1"/>
  <c r="J744" i="1"/>
  <c r="I744" i="1"/>
  <c r="I743" i="1"/>
  <c r="J742" i="1"/>
  <c r="I742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I734" i="1"/>
  <c r="J733" i="1"/>
  <c r="I733" i="1"/>
  <c r="J732" i="1"/>
  <c r="I732" i="1"/>
  <c r="I731" i="1"/>
  <c r="J730" i="1"/>
  <c r="I730" i="1"/>
  <c r="J729" i="1"/>
  <c r="I729" i="1"/>
  <c r="I664" i="1"/>
  <c r="J663" i="1"/>
  <c r="I663" i="1"/>
  <c r="I662" i="1"/>
  <c r="I661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6" i="1"/>
  <c r="I636" i="1"/>
  <c r="J635" i="1"/>
  <c r="I635" i="1"/>
  <c r="J634" i="1"/>
  <c r="I634" i="1"/>
  <c r="J633" i="1"/>
  <c r="I633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4" i="1"/>
  <c r="I624" i="1"/>
  <c r="J623" i="1"/>
  <c r="I623" i="1"/>
  <c r="I622" i="1"/>
  <c r="J621" i="1"/>
  <c r="I621" i="1"/>
  <c r="I620" i="1"/>
  <c r="J619" i="1"/>
  <c r="I619" i="1"/>
  <c r="J618" i="1"/>
  <c r="I618" i="1"/>
  <c r="J617" i="1"/>
  <c r="I617" i="1"/>
  <c r="J616" i="1"/>
  <c r="I616" i="1"/>
  <c r="J615" i="1"/>
  <c r="I615" i="1"/>
  <c r="I614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1" i="1"/>
  <c r="I591" i="1"/>
  <c r="J589" i="1"/>
  <c r="I589" i="1"/>
  <c r="J588" i="1"/>
  <c r="I588" i="1"/>
  <c r="J587" i="1"/>
  <c r="I587" i="1"/>
  <c r="J586" i="1"/>
  <c r="I586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I576" i="1"/>
  <c r="J575" i="1"/>
  <c r="I575" i="1"/>
  <c r="J574" i="1"/>
  <c r="I574" i="1"/>
  <c r="I573" i="1"/>
  <c r="J572" i="1"/>
  <c r="I572" i="1"/>
  <c r="J571" i="1"/>
  <c r="I571" i="1"/>
  <c r="I570" i="1"/>
  <c r="J569" i="1"/>
  <c r="I569" i="1"/>
  <c r="J568" i="1"/>
  <c r="I568" i="1"/>
  <c r="J567" i="1"/>
  <c r="I567" i="1"/>
  <c r="I566" i="1"/>
  <c r="J552" i="1"/>
  <c r="I552" i="1"/>
  <c r="J551" i="1"/>
  <c r="I551" i="1"/>
  <c r="J550" i="1"/>
  <c r="I550" i="1"/>
  <c r="J549" i="1"/>
  <c r="I549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I529" i="1"/>
  <c r="J528" i="1"/>
  <c r="I528" i="1"/>
  <c r="J527" i="1"/>
  <c r="I527" i="1"/>
  <c r="I526" i="1"/>
  <c r="J525" i="1"/>
  <c r="I525" i="1"/>
  <c r="J524" i="1"/>
  <c r="I524" i="1"/>
  <c r="I523" i="1"/>
  <c r="J521" i="1"/>
  <c r="I521" i="1"/>
  <c r="J520" i="1"/>
  <c r="I520" i="1"/>
  <c r="J519" i="1"/>
  <c r="I519" i="1"/>
  <c r="I518" i="1"/>
  <c r="J505" i="1"/>
  <c r="I505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I491" i="1"/>
  <c r="J490" i="1"/>
  <c r="I490" i="1"/>
  <c r="J489" i="1"/>
  <c r="I489" i="1"/>
  <c r="J488" i="1"/>
  <c r="I488" i="1"/>
  <c r="J486" i="1"/>
  <c r="I486" i="1"/>
  <c r="J485" i="1"/>
  <c r="I485" i="1"/>
  <c r="J484" i="1"/>
  <c r="I484" i="1"/>
  <c r="J483" i="1"/>
  <c r="I483" i="1"/>
  <c r="J482" i="1"/>
  <c r="I482" i="1"/>
  <c r="I481" i="1"/>
  <c r="J480" i="1"/>
  <c r="I480" i="1"/>
  <c r="J479" i="1"/>
  <c r="I479" i="1"/>
  <c r="I477" i="1"/>
  <c r="J476" i="1"/>
  <c r="I476" i="1"/>
  <c r="J475" i="1"/>
  <c r="I475" i="1"/>
  <c r="I474" i="1"/>
  <c r="J473" i="1"/>
  <c r="I473" i="1"/>
  <c r="J472" i="1"/>
  <c r="I472" i="1"/>
  <c r="J471" i="1"/>
  <c r="I471" i="1"/>
  <c r="I470" i="1"/>
  <c r="J457" i="1"/>
  <c r="I457" i="1"/>
  <c r="J455" i="1"/>
  <c r="I455" i="1"/>
  <c r="J454" i="1"/>
  <c r="I454" i="1"/>
  <c r="J453" i="1"/>
  <c r="I453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I434" i="1"/>
  <c r="J433" i="1"/>
  <c r="I433" i="1"/>
  <c r="J432" i="1"/>
  <c r="I432" i="1"/>
  <c r="I431" i="1"/>
  <c r="J429" i="1"/>
  <c r="I429" i="1"/>
  <c r="J428" i="1"/>
  <c r="I428" i="1"/>
  <c r="I427" i="1"/>
  <c r="J426" i="1"/>
  <c r="I426" i="1"/>
  <c r="J425" i="1"/>
  <c r="I425" i="1"/>
  <c r="J424" i="1"/>
  <c r="I424" i="1"/>
  <c r="I423" i="1"/>
  <c r="I408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I387" i="1"/>
  <c r="J386" i="1"/>
  <c r="I386" i="1"/>
  <c r="J385" i="1"/>
  <c r="I385" i="1"/>
  <c r="I383" i="1"/>
  <c r="J382" i="1"/>
  <c r="I382" i="1"/>
  <c r="J381" i="1"/>
  <c r="I381" i="1"/>
  <c r="I380" i="1"/>
  <c r="J379" i="1"/>
  <c r="I379" i="1"/>
  <c r="J378" i="1"/>
  <c r="I378" i="1"/>
  <c r="J377" i="1"/>
  <c r="I377" i="1"/>
  <c r="I376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49" i="1"/>
  <c r="I349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I339" i="1"/>
  <c r="J236" i="1"/>
  <c r="I236" i="1"/>
  <c r="J235" i="1"/>
  <c r="I235" i="1"/>
  <c r="I234" i="1"/>
  <c r="J233" i="1"/>
  <c r="I233" i="1"/>
  <c r="J232" i="1"/>
  <c r="I232" i="1"/>
  <c r="I231" i="1"/>
  <c r="J215" i="1"/>
  <c r="I215" i="1"/>
  <c r="J214" i="1"/>
  <c r="I214" i="1"/>
  <c r="J213" i="1"/>
  <c r="I213" i="1"/>
  <c r="I212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I176" i="1"/>
  <c r="J175" i="1"/>
  <c r="I175" i="1"/>
  <c r="J174" i="1"/>
  <c r="I174" i="1"/>
  <c r="I173" i="1"/>
  <c r="J172" i="1"/>
  <c r="I172" i="1"/>
  <c r="J171" i="1"/>
  <c r="I171" i="1"/>
  <c r="I170" i="1"/>
  <c r="J169" i="1"/>
  <c r="I169" i="1"/>
  <c r="J168" i="1"/>
  <c r="I168" i="1"/>
  <c r="J167" i="1"/>
  <c r="I167" i="1"/>
  <c r="I166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I131" i="1"/>
  <c r="J130" i="1"/>
  <c r="I130" i="1"/>
  <c r="J129" i="1"/>
  <c r="I129" i="1"/>
  <c r="I128" i="1"/>
  <c r="J127" i="1"/>
  <c r="I127" i="1"/>
  <c r="J126" i="1"/>
  <c r="I126" i="1"/>
  <c r="I123" i="1"/>
  <c r="J122" i="1"/>
  <c r="I122" i="1"/>
  <c r="J121" i="1"/>
  <c r="I121" i="1"/>
  <c r="J111" i="1"/>
  <c r="I111" i="1"/>
  <c r="I100" i="1"/>
  <c r="J81" i="1"/>
  <c r="I81" i="1"/>
  <c r="J80" i="1"/>
  <c r="I80" i="1"/>
  <c r="J79" i="1"/>
  <c r="I79" i="1"/>
  <c r="J76" i="1"/>
  <c r="I76" i="1"/>
  <c r="J75" i="1"/>
  <c r="I75" i="1"/>
  <c r="J74" i="1"/>
  <c r="I74" i="1"/>
  <c r="J71" i="1"/>
  <c r="I71" i="1"/>
  <c r="J70" i="1"/>
  <c r="I70" i="1"/>
  <c r="J69" i="1"/>
  <c r="I69" i="1"/>
  <c r="J65" i="1"/>
  <c r="I65" i="1"/>
  <c r="J64" i="1"/>
  <c r="I64" i="1"/>
  <c r="J63" i="1"/>
  <c r="I63" i="1"/>
  <c r="J60" i="1"/>
  <c r="I60" i="1"/>
  <c r="J59" i="1"/>
  <c r="I59" i="1"/>
  <c r="J58" i="1"/>
  <c r="I58" i="1"/>
  <c r="J57" i="1"/>
  <c r="I57" i="1"/>
  <c r="J54" i="1"/>
  <c r="I54" i="1"/>
  <c r="J53" i="1"/>
  <c r="I53" i="1"/>
  <c r="J52" i="1"/>
  <c r="I52" i="1"/>
  <c r="J51" i="1"/>
  <c r="I51" i="1"/>
  <c r="J48" i="1"/>
  <c r="I48" i="1"/>
  <c r="I47" i="1"/>
  <c r="J46" i="1"/>
  <c r="I46" i="1"/>
  <c r="J45" i="1"/>
  <c r="I45" i="1"/>
  <c r="I42" i="1"/>
  <c r="J41" i="1"/>
  <c r="I41" i="1"/>
  <c r="J40" i="1"/>
  <c r="I40" i="1"/>
  <c r="I39" i="1"/>
  <c r="J36" i="1"/>
  <c r="I36" i="1"/>
  <c r="J35" i="1"/>
  <c r="I35" i="1"/>
  <c r="J34" i="1"/>
  <c r="I34" i="1"/>
  <c r="I33" i="1"/>
  <c r="J4582" i="1"/>
  <c r="I4582" i="1"/>
  <c r="J4487" i="1"/>
  <c r="I4487" i="1"/>
  <c r="J4400" i="1"/>
  <c r="I4400" i="1"/>
  <c r="J606" i="1"/>
  <c r="I606" i="1"/>
  <c r="J512" i="1"/>
  <c r="I512" i="1"/>
  <c r="J28" i="1"/>
  <c r="I28" i="1"/>
  <c r="J4581" i="1"/>
  <c r="I4581" i="1"/>
  <c r="J4486" i="1"/>
  <c r="I4486" i="1"/>
  <c r="I4399" i="1"/>
  <c r="J605" i="1"/>
  <c r="I605" i="1"/>
  <c r="J511" i="1"/>
  <c r="I511" i="1"/>
  <c r="J27" i="1"/>
  <c r="I27" i="1"/>
  <c r="J4580" i="1"/>
  <c r="I4580" i="1"/>
  <c r="J4485" i="1"/>
  <c r="I4485" i="1"/>
  <c r="J4398" i="1"/>
  <c r="I4398" i="1"/>
  <c r="J604" i="1"/>
  <c r="I604" i="1"/>
  <c r="J510" i="1"/>
  <c r="I510" i="1"/>
  <c r="J24" i="1"/>
  <c r="I24" i="1"/>
  <c r="J4579" i="1"/>
  <c r="I4579" i="1"/>
  <c r="J4484" i="1"/>
  <c r="I4484" i="1"/>
  <c r="J4397" i="1"/>
  <c r="I4397" i="1"/>
  <c r="J602" i="1"/>
  <c r="I602" i="1"/>
  <c r="J509" i="1"/>
  <c r="I509" i="1"/>
  <c r="J23" i="1"/>
  <c r="I23" i="1"/>
  <c r="J4578" i="1"/>
  <c r="I4578" i="1"/>
  <c r="J4483" i="1"/>
  <c r="I4483" i="1"/>
  <c r="J4396" i="1"/>
  <c r="I4396" i="1"/>
  <c r="J601" i="1"/>
  <c r="I601" i="1"/>
  <c r="J507" i="1"/>
  <c r="I507" i="1"/>
  <c r="J22" i="1"/>
  <c r="I22" i="1"/>
  <c r="J4577" i="1"/>
  <c r="I4577" i="1"/>
  <c r="J4449" i="1"/>
  <c r="I4449" i="1"/>
  <c r="J4395" i="1"/>
  <c r="I4395" i="1"/>
  <c r="J565" i="1"/>
  <c r="I565" i="1"/>
  <c r="J506" i="1"/>
  <c r="I506" i="1"/>
  <c r="J21" i="1"/>
  <c r="I21" i="1"/>
  <c r="J4576" i="1"/>
  <c r="I4576" i="1"/>
  <c r="J4448" i="1"/>
  <c r="I4448" i="1"/>
  <c r="J4361" i="1"/>
  <c r="I4361" i="1"/>
  <c r="J564" i="1"/>
  <c r="I564" i="1"/>
  <c r="J469" i="1"/>
  <c r="I469" i="1"/>
  <c r="J17" i="1"/>
  <c r="I17" i="1"/>
  <c r="J4575" i="1"/>
  <c r="I4575" i="1"/>
  <c r="J4447" i="1"/>
  <c r="I4447" i="1"/>
  <c r="J4360" i="1"/>
  <c r="I4360" i="1"/>
  <c r="J563" i="1"/>
  <c r="I563" i="1"/>
  <c r="J468" i="1"/>
  <c r="I468" i="1"/>
  <c r="J4574" i="1"/>
  <c r="I4574" i="1"/>
  <c r="J4446" i="1"/>
  <c r="I4446" i="1"/>
  <c r="J4359" i="1"/>
  <c r="I4359" i="1"/>
  <c r="J562" i="1"/>
  <c r="I562" i="1"/>
  <c r="J467" i="1"/>
  <c r="I467" i="1"/>
  <c r="J4573" i="1"/>
  <c r="I4573" i="1"/>
  <c r="J4445" i="1"/>
  <c r="I4445" i="1"/>
  <c r="J4358" i="1"/>
  <c r="I4358" i="1"/>
  <c r="I561" i="1"/>
  <c r="J466" i="1"/>
  <c r="I466" i="1"/>
  <c r="J4572" i="1"/>
  <c r="I4572" i="1"/>
  <c r="J4444" i="1"/>
  <c r="I4444" i="1"/>
  <c r="J4357" i="1"/>
  <c r="I4357" i="1"/>
  <c r="J560" i="1"/>
  <c r="I560" i="1"/>
  <c r="J465" i="1"/>
  <c r="I465" i="1"/>
  <c r="J4571" i="1"/>
  <c r="I4571" i="1"/>
  <c r="J4443" i="1"/>
  <c r="I4443" i="1"/>
  <c r="J4356" i="1"/>
  <c r="I4356" i="1"/>
  <c r="J559" i="1"/>
  <c r="I559" i="1"/>
  <c r="J464" i="1"/>
  <c r="I464" i="1"/>
  <c r="J4568" i="1"/>
  <c r="I4568" i="1"/>
  <c r="J4442" i="1"/>
  <c r="I4442" i="1"/>
  <c r="J4355" i="1"/>
  <c r="I4355" i="1"/>
  <c r="J558" i="1"/>
  <c r="I558" i="1"/>
  <c r="J463" i="1"/>
  <c r="I463" i="1"/>
  <c r="J4567" i="1"/>
  <c r="I4567" i="1"/>
  <c r="J4441" i="1"/>
  <c r="I4441" i="1"/>
  <c r="I4354" i="1"/>
  <c r="J556" i="1"/>
  <c r="I556" i="1"/>
  <c r="J462" i="1"/>
  <c r="I462" i="1"/>
  <c r="J4494" i="1"/>
  <c r="I4494" i="1"/>
  <c r="J4440" i="1"/>
  <c r="I4440" i="1"/>
  <c r="I4353" i="1"/>
  <c r="J554" i="1"/>
  <c r="I554" i="1"/>
  <c r="J461" i="1"/>
  <c r="I461" i="1"/>
  <c r="J4493" i="1"/>
  <c r="I4493" i="1"/>
  <c r="J4406" i="1"/>
  <c r="I4406" i="1"/>
  <c r="J4352" i="1"/>
  <c r="I4352" i="1"/>
  <c r="J553" i="1"/>
  <c r="I553" i="1"/>
  <c r="J459" i="1"/>
  <c r="I459" i="1"/>
  <c r="J4492" i="1"/>
  <c r="I4492" i="1"/>
  <c r="J4405" i="1"/>
  <c r="I4405" i="1"/>
  <c r="J4351" i="1"/>
  <c r="I4351" i="1"/>
  <c r="J517" i="1"/>
  <c r="I517" i="1"/>
  <c r="J458" i="1"/>
  <c r="I458" i="1"/>
  <c r="J417" i="1"/>
  <c r="I417" i="1"/>
  <c r="J760" i="1"/>
  <c r="I760" i="1"/>
  <c r="J370" i="1"/>
  <c r="I370" i="1"/>
  <c r="J162" i="1"/>
  <c r="I162" i="1"/>
  <c r="I416" i="1"/>
  <c r="I415" i="1"/>
  <c r="I414" i="1"/>
  <c r="J413" i="1"/>
  <c r="I413" i="1"/>
  <c r="J410" i="1"/>
  <c r="I410" i="1"/>
  <c r="J409" i="1"/>
  <c r="I409" i="1"/>
  <c r="J375" i="1"/>
  <c r="I375" i="1"/>
  <c r="J374" i="1"/>
  <c r="I374" i="1"/>
  <c r="J759" i="1"/>
  <c r="I759" i="1"/>
  <c r="J368" i="1"/>
  <c r="I368" i="1"/>
  <c r="J161" i="1"/>
  <c r="I161" i="1"/>
  <c r="J660" i="1"/>
  <c r="I660" i="1"/>
  <c r="J367" i="1"/>
  <c r="I367" i="1"/>
  <c r="J160" i="1"/>
  <c r="I160" i="1"/>
  <c r="J4337" i="1"/>
  <c r="I4337" i="1"/>
  <c r="J4336" i="1"/>
  <c r="I4336" i="1"/>
  <c r="J4335" i="1"/>
  <c r="I4335" i="1"/>
  <c r="J4334" i="1"/>
  <c r="I4334" i="1"/>
  <c r="J4332" i="1"/>
  <c r="I4332" i="1"/>
  <c r="J4331" i="1"/>
  <c r="I4331" i="1"/>
  <c r="J4330" i="1"/>
  <c r="I4330" i="1"/>
  <c r="L4329" i="1"/>
  <c r="J4327" i="1"/>
  <c r="I4327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8" i="1"/>
  <c r="I4288" i="1"/>
  <c r="J4287" i="1"/>
  <c r="I4287" i="1"/>
  <c r="J4286" i="1"/>
  <c r="I4286" i="1"/>
  <c r="J4285" i="1"/>
  <c r="I4285" i="1"/>
  <c r="J4283" i="1"/>
  <c r="I4283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4" i="1"/>
  <c r="I4244" i="1"/>
  <c r="L4243" i="1"/>
  <c r="L4242" i="1"/>
  <c r="J4241" i="1"/>
  <c r="I4241" i="1"/>
  <c r="J4239" i="1"/>
  <c r="I4239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0" i="1"/>
  <c r="I4200" i="1"/>
  <c r="J4199" i="1"/>
  <c r="I4199" i="1"/>
  <c r="J4198" i="1"/>
  <c r="I4198" i="1"/>
  <c r="J4197" i="1"/>
  <c r="I4197" i="1"/>
  <c r="J4195" i="1"/>
  <c r="I4195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6" i="1"/>
  <c r="I4156" i="1"/>
  <c r="J4155" i="1"/>
  <c r="I4155" i="1"/>
  <c r="J4154" i="1"/>
  <c r="I4154" i="1"/>
  <c r="J4153" i="1"/>
  <c r="I4153" i="1"/>
  <c r="J4151" i="1"/>
  <c r="I4151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2" i="1"/>
  <c r="I4112" i="1"/>
  <c r="J4111" i="1"/>
  <c r="I4111" i="1"/>
  <c r="J4110" i="1"/>
  <c r="I4110" i="1"/>
  <c r="J4109" i="1"/>
  <c r="I4109" i="1"/>
  <c r="J4107" i="1"/>
  <c r="I4107" i="1"/>
  <c r="J4105" i="1"/>
  <c r="I4105" i="1"/>
  <c r="J4104" i="1"/>
  <c r="I4104" i="1"/>
  <c r="L4103" i="1"/>
  <c r="L4102" i="1"/>
  <c r="J4101" i="1"/>
  <c r="I4101" i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0" i="1"/>
  <c r="I4090" i="1"/>
  <c r="J4089" i="1"/>
  <c r="I4089" i="1"/>
  <c r="J4088" i="1"/>
  <c r="I4088" i="1"/>
  <c r="J4087" i="1"/>
  <c r="I4087" i="1"/>
  <c r="L4086" i="1"/>
  <c r="J4085" i="1"/>
  <c r="I4085" i="1"/>
  <c r="L4084" i="1"/>
  <c r="J4083" i="1"/>
  <c r="I4083" i="1"/>
  <c r="J4082" i="1"/>
  <c r="I4082" i="1"/>
  <c r="J4081" i="1"/>
  <c r="I4081" i="1"/>
  <c r="J4080" i="1"/>
  <c r="I4080" i="1"/>
  <c r="J4079" i="1"/>
  <c r="I4079" i="1"/>
  <c r="L4078" i="1"/>
  <c r="J4077" i="1"/>
  <c r="I4077" i="1"/>
  <c r="J4076" i="1"/>
  <c r="I4076" i="1"/>
  <c r="L4075" i="1"/>
  <c r="J4074" i="1"/>
  <c r="I4074" i="1"/>
  <c r="J4073" i="1"/>
  <c r="I4073" i="1"/>
  <c r="J4072" i="1"/>
  <c r="I4072" i="1"/>
  <c r="J4071" i="1"/>
  <c r="I4071" i="1"/>
  <c r="J4070" i="1"/>
  <c r="I4070" i="1"/>
  <c r="J4068" i="1"/>
  <c r="I4068" i="1"/>
  <c r="J4067" i="1"/>
  <c r="I4067" i="1"/>
  <c r="J4066" i="1"/>
  <c r="I4066" i="1"/>
  <c r="J4065" i="1"/>
  <c r="I4065" i="1"/>
  <c r="J4063" i="1"/>
  <c r="I4063" i="1"/>
  <c r="J4061" i="1"/>
  <c r="I4061" i="1"/>
  <c r="J4060" i="1"/>
  <c r="I4060" i="1"/>
  <c r="J4059" i="1"/>
  <c r="I4059" i="1"/>
  <c r="L4058" i="1"/>
  <c r="J4057" i="1"/>
  <c r="I4057" i="1"/>
  <c r="J4056" i="1"/>
  <c r="I4056" i="1"/>
  <c r="J4055" i="1"/>
  <c r="I4055" i="1"/>
  <c r="L4054" i="1"/>
  <c r="J4053" i="1"/>
  <c r="I4053" i="1"/>
  <c r="L4052" i="1"/>
  <c r="J4051" i="1"/>
  <c r="I4051" i="1"/>
  <c r="L4050" i="1"/>
  <c r="J4049" i="1"/>
  <c r="I4049" i="1"/>
  <c r="L4048" i="1"/>
  <c r="J4046" i="1"/>
  <c r="I4046" i="1"/>
  <c r="J4045" i="1"/>
  <c r="I4045" i="1"/>
  <c r="J4044" i="1"/>
  <c r="I4044" i="1"/>
  <c r="J4043" i="1"/>
  <c r="I4043" i="1"/>
  <c r="L4042" i="1"/>
  <c r="J4041" i="1"/>
  <c r="I4041" i="1"/>
  <c r="L4040" i="1"/>
  <c r="J4039" i="1"/>
  <c r="I4039" i="1"/>
  <c r="J4038" i="1"/>
  <c r="I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L4031" i="1"/>
  <c r="J4030" i="1"/>
  <c r="I4030" i="1"/>
  <c r="J4029" i="1"/>
  <c r="I4029" i="1"/>
  <c r="J4028" i="1"/>
  <c r="I4028" i="1"/>
  <c r="J4027" i="1"/>
  <c r="I4027" i="1"/>
  <c r="J4026" i="1"/>
  <c r="I4026" i="1"/>
  <c r="J4024" i="1"/>
  <c r="I4024" i="1"/>
  <c r="J4023" i="1"/>
  <c r="I4023" i="1"/>
  <c r="J4022" i="1"/>
  <c r="I4022" i="1"/>
  <c r="J4021" i="1"/>
  <c r="I4021" i="1"/>
  <c r="J4019" i="1"/>
  <c r="I4019" i="1"/>
  <c r="J4017" i="1"/>
  <c r="I4017" i="1"/>
  <c r="J4016" i="1"/>
  <c r="I4016" i="1"/>
  <c r="J4015" i="1"/>
  <c r="I4015" i="1"/>
  <c r="L4014" i="1"/>
  <c r="J4013" i="1"/>
  <c r="I4013" i="1"/>
  <c r="J4012" i="1"/>
  <c r="I4012" i="1"/>
  <c r="J4011" i="1"/>
  <c r="I4011" i="1"/>
  <c r="L4010" i="1"/>
  <c r="J4009" i="1"/>
  <c r="I4009" i="1"/>
  <c r="L4008" i="1"/>
  <c r="J4007" i="1"/>
  <c r="I4007" i="1"/>
  <c r="L4006" i="1"/>
  <c r="J4005" i="1"/>
  <c r="I4005" i="1"/>
  <c r="L4004" i="1"/>
  <c r="J4002" i="1"/>
  <c r="I4002" i="1"/>
  <c r="J4001" i="1"/>
  <c r="I4001" i="1"/>
  <c r="J4000" i="1"/>
  <c r="I4000" i="1"/>
  <c r="J3999" i="1"/>
  <c r="I3999" i="1"/>
  <c r="L3998" i="1"/>
  <c r="J3997" i="1"/>
  <c r="I3997" i="1"/>
  <c r="L3996" i="1"/>
  <c r="J3995" i="1"/>
  <c r="I3995" i="1"/>
  <c r="J3994" i="1"/>
  <c r="I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L3987" i="1"/>
  <c r="J3986" i="1"/>
  <c r="I3986" i="1"/>
  <c r="J3985" i="1"/>
  <c r="I3985" i="1"/>
  <c r="J3984" i="1"/>
  <c r="I3984" i="1"/>
  <c r="J3983" i="1"/>
  <c r="I3983" i="1"/>
  <c r="J3982" i="1"/>
  <c r="I3982" i="1"/>
  <c r="J3980" i="1"/>
  <c r="I3980" i="1"/>
  <c r="J3979" i="1"/>
  <c r="I3979" i="1"/>
  <c r="J3978" i="1"/>
  <c r="I3978" i="1"/>
  <c r="J3977" i="1"/>
  <c r="I3977" i="1"/>
  <c r="J3975" i="1"/>
  <c r="I3975" i="1"/>
  <c r="J3973" i="1"/>
  <c r="I3973" i="1"/>
  <c r="J3972" i="1"/>
  <c r="I3972" i="1"/>
  <c r="J3971" i="1"/>
  <c r="I3971" i="1"/>
  <c r="L3970" i="1"/>
  <c r="J3969" i="1"/>
  <c r="I3969" i="1"/>
  <c r="J3968" i="1"/>
  <c r="I3968" i="1"/>
  <c r="J3967" i="1"/>
  <c r="I3967" i="1"/>
  <c r="J3966" i="1"/>
  <c r="I3966" i="1"/>
  <c r="J3965" i="1"/>
  <c r="I3965" i="1"/>
  <c r="L3964" i="1"/>
  <c r="J3963" i="1"/>
  <c r="I3963" i="1"/>
  <c r="L3962" i="1"/>
  <c r="J3961" i="1"/>
  <c r="I3961" i="1"/>
  <c r="L3960" i="1"/>
  <c r="J3958" i="1"/>
  <c r="I3958" i="1"/>
  <c r="J3957" i="1"/>
  <c r="I3957" i="1"/>
  <c r="J3956" i="1"/>
  <c r="I3956" i="1"/>
  <c r="J3955" i="1"/>
  <c r="I3955" i="1"/>
  <c r="L3954" i="1"/>
  <c r="J3953" i="1"/>
  <c r="I3953" i="1"/>
  <c r="L3952" i="1"/>
  <c r="J3951" i="1"/>
  <c r="I3951" i="1"/>
  <c r="J3950" i="1"/>
  <c r="I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L3943" i="1"/>
  <c r="J3942" i="1"/>
  <c r="I3942" i="1"/>
  <c r="J3941" i="1"/>
  <c r="I3941" i="1"/>
  <c r="J3940" i="1"/>
  <c r="I3940" i="1"/>
  <c r="J3939" i="1"/>
  <c r="I3939" i="1"/>
  <c r="J3938" i="1"/>
  <c r="I3938" i="1"/>
  <c r="J3936" i="1"/>
  <c r="I3936" i="1"/>
  <c r="J3935" i="1"/>
  <c r="I3935" i="1"/>
  <c r="J3934" i="1"/>
  <c r="I3934" i="1"/>
  <c r="J3933" i="1"/>
  <c r="I3933" i="1"/>
  <c r="J3931" i="1"/>
  <c r="I3931" i="1"/>
  <c r="L3929" i="1"/>
  <c r="J3928" i="1"/>
  <c r="I3928" i="1"/>
  <c r="J3927" i="1"/>
  <c r="I3927" i="1"/>
  <c r="L3926" i="1"/>
  <c r="J3925" i="1"/>
  <c r="I3925" i="1"/>
  <c r="J3924" i="1"/>
  <c r="I3924" i="1"/>
  <c r="J3923" i="1"/>
  <c r="I3923" i="1"/>
  <c r="J3922" i="1"/>
  <c r="I3922" i="1"/>
  <c r="J3921" i="1"/>
  <c r="I3921" i="1"/>
  <c r="L3920" i="1"/>
  <c r="J3919" i="1"/>
  <c r="I3919" i="1"/>
  <c r="L3918" i="1"/>
  <c r="J3917" i="1"/>
  <c r="I3917" i="1"/>
  <c r="L3916" i="1"/>
  <c r="J3914" i="1"/>
  <c r="I3914" i="1"/>
  <c r="J3913" i="1"/>
  <c r="I3913" i="1"/>
  <c r="J3912" i="1"/>
  <c r="I3912" i="1"/>
  <c r="J3911" i="1"/>
  <c r="I3911" i="1"/>
  <c r="L3910" i="1"/>
  <c r="J3909" i="1"/>
  <c r="I3909" i="1"/>
  <c r="L3908" i="1"/>
  <c r="J3907" i="1"/>
  <c r="I3907" i="1"/>
  <c r="J3906" i="1"/>
  <c r="I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L3899" i="1"/>
  <c r="J3898" i="1"/>
  <c r="I3898" i="1"/>
  <c r="J3897" i="1"/>
  <c r="I3897" i="1"/>
  <c r="J3896" i="1"/>
  <c r="I3896" i="1"/>
  <c r="J3895" i="1"/>
  <c r="I3895" i="1"/>
  <c r="J3894" i="1"/>
  <c r="I3894" i="1"/>
  <c r="J3892" i="1"/>
  <c r="I3892" i="1"/>
  <c r="J3891" i="1"/>
  <c r="I3891" i="1"/>
  <c r="J3890" i="1"/>
  <c r="I3890" i="1"/>
  <c r="J3889" i="1"/>
  <c r="I3889" i="1"/>
  <c r="J3887" i="1"/>
  <c r="I3887" i="1"/>
  <c r="J3886" i="1"/>
  <c r="I3886" i="1"/>
  <c r="J3885" i="1"/>
  <c r="I3885" i="1"/>
  <c r="J3884" i="1"/>
  <c r="I3884" i="1"/>
  <c r="J3883" i="1"/>
  <c r="I3883" i="1"/>
  <c r="L3882" i="1"/>
  <c r="J3881" i="1"/>
  <c r="I3881" i="1"/>
  <c r="J3880" i="1"/>
  <c r="I3880" i="1"/>
  <c r="J3879" i="1"/>
  <c r="I3879" i="1"/>
  <c r="J3878" i="1"/>
  <c r="I3878" i="1"/>
  <c r="J3877" i="1"/>
  <c r="I3877" i="1"/>
  <c r="L3876" i="1"/>
  <c r="J3875" i="1"/>
  <c r="I3875" i="1"/>
  <c r="L3874" i="1"/>
  <c r="J3873" i="1"/>
  <c r="I3873" i="1"/>
  <c r="L3872" i="1"/>
  <c r="J3870" i="1"/>
  <c r="I3870" i="1"/>
  <c r="J3869" i="1"/>
  <c r="I3869" i="1"/>
  <c r="J3868" i="1"/>
  <c r="I3868" i="1"/>
  <c r="J3867" i="1"/>
  <c r="I3867" i="1"/>
  <c r="L3866" i="1"/>
  <c r="J3865" i="1"/>
  <c r="I3865" i="1"/>
  <c r="L3864" i="1"/>
  <c r="J3863" i="1"/>
  <c r="I3863" i="1"/>
  <c r="J3862" i="1"/>
  <c r="I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L3855" i="1"/>
  <c r="J3854" i="1"/>
  <c r="I3854" i="1"/>
  <c r="J3853" i="1"/>
  <c r="I3853" i="1"/>
  <c r="J3852" i="1"/>
  <c r="I3852" i="1"/>
  <c r="J3851" i="1"/>
  <c r="I3851" i="1"/>
  <c r="J3850" i="1"/>
  <c r="I3850" i="1"/>
  <c r="J3848" i="1"/>
  <c r="I3848" i="1"/>
  <c r="J3847" i="1"/>
  <c r="I3847" i="1"/>
  <c r="J3846" i="1"/>
  <c r="I3846" i="1"/>
  <c r="J3845" i="1"/>
  <c r="I3845" i="1"/>
  <c r="J3843" i="1"/>
  <c r="I3843" i="1"/>
  <c r="J3842" i="1"/>
  <c r="I3842" i="1"/>
  <c r="J3841" i="1"/>
  <c r="I3841" i="1"/>
  <c r="J3840" i="1"/>
  <c r="I3840" i="1"/>
  <c r="J3839" i="1"/>
  <c r="I3839" i="1"/>
  <c r="L3838" i="1"/>
  <c r="J3837" i="1"/>
  <c r="I3837" i="1"/>
  <c r="J3836" i="1"/>
  <c r="I3836" i="1"/>
  <c r="J3835" i="1"/>
  <c r="I3835" i="1"/>
  <c r="J3834" i="1"/>
  <c r="I3834" i="1"/>
  <c r="J3833" i="1"/>
  <c r="I3833" i="1"/>
  <c r="L3832" i="1"/>
  <c r="J3831" i="1"/>
  <c r="I3831" i="1"/>
  <c r="L3830" i="1"/>
  <c r="J3829" i="1"/>
  <c r="I3829" i="1"/>
  <c r="L3828" i="1"/>
  <c r="J3826" i="1"/>
  <c r="I3826" i="1"/>
  <c r="J3825" i="1"/>
  <c r="I3825" i="1"/>
  <c r="J3824" i="1"/>
  <c r="I3824" i="1"/>
  <c r="J3823" i="1"/>
  <c r="I3823" i="1"/>
  <c r="L3822" i="1"/>
  <c r="J3821" i="1"/>
  <c r="I3821" i="1"/>
  <c r="L3820" i="1"/>
  <c r="J3819" i="1"/>
  <c r="I3819" i="1"/>
  <c r="J3818" i="1"/>
  <c r="I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L3811" i="1"/>
  <c r="J3810" i="1"/>
  <c r="I3810" i="1"/>
  <c r="J3809" i="1"/>
  <c r="I3809" i="1"/>
  <c r="J3808" i="1"/>
  <c r="I3808" i="1"/>
  <c r="J3807" i="1"/>
  <c r="I3807" i="1"/>
  <c r="J3806" i="1"/>
  <c r="I3806" i="1"/>
  <c r="J3804" i="1"/>
  <c r="I3804" i="1"/>
  <c r="J3803" i="1"/>
  <c r="I3803" i="1"/>
  <c r="J3802" i="1"/>
  <c r="I3802" i="1"/>
  <c r="J3801" i="1"/>
  <c r="I3801" i="1"/>
  <c r="J3799" i="1"/>
  <c r="I3799" i="1"/>
  <c r="J3798" i="1"/>
  <c r="I3798" i="1"/>
  <c r="L3797" i="1"/>
  <c r="J3796" i="1"/>
  <c r="I3796" i="1"/>
  <c r="J3795" i="1"/>
  <c r="I3795" i="1"/>
  <c r="L3794" i="1"/>
  <c r="J3793" i="1"/>
  <c r="I3793" i="1"/>
  <c r="J3792" i="1"/>
  <c r="I3792" i="1"/>
  <c r="J3791" i="1"/>
  <c r="I3791" i="1"/>
  <c r="J3790" i="1"/>
  <c r="I3790" i="1"/>
  <c r="J3789" i="1"/>
  <c r="I3789" i="1"/>
  <c r="L3788" i="1"/>
  <c r="J3787" i="1"/>
  <c r="I3787" i="1"/>
  <c r="L3786" i="1"/>
  <c r="J3785" i="1"/>
  <c r="I3785" i="1"/>
  <c r="L3784" i="1"/>
  <c r="J3782" i="1"/>
  <c r="I3782" i="1"/>
  <c r="J3781" i="1"/>
  <c r="I3781" i="1"/>
  <c r="J3780" i="1"/>
  <c r="I3780" i="1"/>
  <c r="J3779" i="1"/>
  <c r="I3779" i="1"/>
  <c r="L3778" i="1"/>
  <c r="J3777" i="1"/>
  <c r="I3777" i="1"/>
  <c r="L3776" i="1"/>
  <c r="J3775" i="1"/>
  <c r="I3775" i="1"/>
  <c r="J3774" i="1"/>
  <c r="I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L3767" i="1"/>
  <c r="J3766" i="1"/>
  <c r="I3766" i="1"/>
  <c r="J3765" i="1"/>
  <c r="I3765" i="1"/>
  <c r="J3764" i="1"/>
  <c r="I3764" i="1"/>
  <c r="J3763" i="1"/>
  <c r="I3763" i="1"/>
  <c r="J3762" i="1"/>
  <c r="I3762" i="1"/>
  <c r="J3760" i="1"/>
  <c r="I3760" i="1"/>
  <c r="J3759" i="1"/>
  <c r="I3759" i="1"/>
  <c r="J3758" i="1"/>
  <c r="I3758" i="1"/>
  <c r="J3757" i="1"/>
  <c r="I3757" i="1"/>
  <c r="J3755" i="1"/>
  <c r="I3755" i="1"/>
  <c r="J3754" i="1"/>
  <c r="I3754" i="1"/>
  <c r="J3753" i="1"/>
  <c r="I3753" i="1"/>
  <c r="J3752" i="1"/>
  <c r="I3752" i="1"/>
  <c r="J3751" i="1"/>
  <c r="I3751" i="1"/>
  <c r="L3750" i="1"/>
  <c r="J3749" i="1"/>
  <c r="I3749" i="1"/>
  <c r="J3748" i="1"/>
  <c r="I3748" i="1"/>
  <c r="J3747" i="1"/>
  <c r="I3747" i="1"/>
  <c r="J3746" i="1"/>
  <c r="I3746" i="1"/>
  <c r="J3745" i="1"/>
  <c r="I3745" i="1"/>
  <c r="L3744" i="1"/>
  <c r="J3743" i="1"/>
  <c r="I3743" i="1"/>
  <c r="L3742" i="1"/>
  <c r="J3741" i="1"/>
  <c r="I3741" i="1"/>
  <c r="L3740" i="1"/>
  <c r="J3738" i="1"/>
  <c r="I3738" i="1"/>
  <c r="J3737" i="1"/>
  <c r="I3737" i="1"/>
  <c r="J3736" i="1"/>
  <c r="I3736" i="1"/>
  <c r="J3735" i="1"/>
  <c r="I3735" i="1"/>
  <c r="L3734" i="1"/>
  <c r="J3733" i="1"/>
  <c r="I3733" i="1"/>
  <c r="L3732" i="1"/>
  <c r="J3731" i="1"/>
  <c r="I3731" i="1"/>
  <c r="J3730" i="1"/>
  <c r="I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L3723" i="1"/>
  <c r="J3722" i="1"/>
  <c r="I3722" i="1"/>
  <c r="J3721" i="1"/>
  <c r="I3721" i="1"/>
  <c r="J3720" i="1"/>
  <c r="I3720" i="1"/>
  <c r="J3719" i="1"/>
  <c r="I3719" i="1"/>
  <c r="J3718" i="1"/>
  <c r="I3718" i="1"/>
  <c r="J3716" i="1"/>
  <c r="I3716" i="1"/>
  <c r="J3715" i="1"/>
  <c r="I3715" i="1"/>
  <c r="J3714" i="1"/>
  <c r="I3714" i="1"/>
  <c r="J3713" i="1"/>
  <c r="I3713" i="1"/>
  <c r="J3711" i="1"/>
  <c r="I3711" i="1"/>
  <c r="J3710" i="1"/>
  <c r="I3710" i="1"/>
  <c r="J3709" i="1"/>
  <c r="I3709" i="1"/>
  <c r="J3708" i="1"/>
  <c r="I3708" i="1"/>
  <c r="L3707" i="1"/>
  <c r="L3706" i="1"/>
  <c r="J3705" i="1"/>
  <c r="I3705" i="1"/>
  <c r="J3704" i="1"/>
  <c r="I3704" i="1"/>
  <c r="J3703" i="1"/>
  <c r="I3703" i="1"/>
  <c r="J3702" i="1"/>
  <c r="I3702" i="1"/>
  <c r="J3701" i="1"/>
  <c r="I3701" i="1"/>
  <c r="L3700" i="1"/>
  <c r="J3699" i="1"/>
  <c r="I3699" i="1"/>
  <c r="L3698" i="1"/>
  <c r="J3697" i="1"/>
  <c r="I3697" i="1"/>
  <c r="L3696" i="1"/>
  <c r="J3694" i="1"/>
  <c r="I3694" i="1"/>
  <c r="J3693" i="1"/>
  <c r="I3693" i="1"/>
  <c r="J3692" i="1"/>
  <c r="I3692" i="1"/>
  <c r="J3691" i="1"/>
  <c r="I3691" i="1"/>
  <c r="L3690" i="1"/>
  <c r="J3689" i="1"/>
  <c r="I3689" i="1"/>
  <c r="L3688" i="1"/>
  <c r="J3687" i="1"/>
  <c r="I3687" i="1"/>
  <c r="J3686" i="1"/>
  <c r="I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L3679" i="1"/>
  <c r="J3678" i="1"/>
  <c r="I3678" i="1"/>
  <c r="L3677" i="1"/>
  <c r="L3676" i="1"/>
  <c r="L3675" i="1"/>
  <c r="L3674" i="1"/>
  <c r="L3672" i="1"/>
  <c r="L3671" i="1"/>
  <c r="L3670" i="1"/>
  <c r="L3669" i="1"/>
  <c r="L3667" i="1"/>
  <c r="J3666" i="1"/>
  <c r="I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J3632" i="1"/>
  <c r="I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L3618" i="1"/>
  <c r="J3617" i="1"/>
  <c r="I3617" i="1"/>
  <c r="J3616" i="1"/>
  <c r="I3616" i="1"/>
  <c r="J3615" i="1"/>
  <c r="I3615" i="1"/>
  <c r="J3614" i="1"/>
  <c r="I3614" i="1"/>
  <c r="J3613" i="1"/>
  <c r="I3613" i="1"/>
  <c r="L3612" i="1"/>
  <c r="J3611" i="1"/>
  <c r="I3611" i="1"/>
  <c r="J3610" i="1"/>
  <c r="I3610" i="1"/>
  <c r="J3609" i="1"/>
  <c r="I3609" i="1"/>
  <c r="J3608" i="1"/>
  <c r="I3608" i="1"/>
  <c r="J3606" i="1"/>
  <c r="I3606" i="1"/>
  <c r="J3605" i="1"/>
  <c r="I3605" i="1"/>
  <c r="J3604" i="1"/>
  <c r="I3604" i="1"/>
  <c r="J3603" i="1"/>
  <c r="I3603" i="1"/>
  <c r="L3602" i="1"/>
  <c r="J3601" i="1"/>
  <c r="I3601" i="1"/>
  <c r="L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L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7" i="1"/>
  <c r="J3576" i="1"/>
  <c r="I3576" i="1"/>
  <c r="J3575" i="1"/>
  <c r="I3575" i="1"/>
  <c r="L3574" i="1"/>
  <c r="J3573" i="1"/>
  <c r="I3573" i="1"/>
  <c r="J3572" i="1"/>
  <c r="I3572" i="1"/>
  <c r="J3571" i="1"/>
  <c r="I3571" i="1"/>
  <c r="J3570" i="1"/>
  <c r="I3570" i="1"/>
  <c r="J3569" i="1"/>
  <c r="I3569" i="1"/>
  <c r="L3568" i="1"/>
  <c r="J3567" i="1"/>
  <c r="I3567" i="1"/>
  <c r="J3566" i="1"/>
  <c r="I3566" i="1"/>
  <c r="J3565" i="1"/>
  <c r="I3565" i="1"/>
  <c r="J3564" i="1"/>
  <c r="I3564" i="1"/>
  <c r="J3562" i="1"/>
  <c r="I3562" i="1"/>
  <c r="J3561" i="1"/>
  <c r="I3561" i="1"/>
  <c r="J3560" i="1"/>
  <c r="I3560" i="1"/>
  <c r="L3559" i="1"/>
  <c r="L3558" i="1"/>
  <c r="J3557" i="1"/>
  <c r="I3557" i="1"/>
  <c r="L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L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J3477" i="1"/>
  <c r="I3477" i="1"/>
  <c r="J3476" i="1"/>
  <c r="I3476" i="1"/>
  <c r="L3474" i="1"/>
  <c r="L3473" i="1"/>
  <c r="J3472" i="1"/>
  <c r="I3472" i="1"/>
  <c r="J3471" i="1"/>
  <c r="I3471" i="1"/>
  <c r="L3470" i="1"/>
  <c r="J3469" i="1"/>
  <c r="I3469" i="1"/>
  <c r="L3468" i="1"/>
  <c r="L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J3460" i="1"/>
  <c r="I3460" i="1"/>
  <c r="L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L3450" i="1"/>
  <c r="L3449" i="1"/>
  <c r="J3448" i="1"/>
  <c r="I3448" i="1"/>
  <c r="L3447" i="1"/>
  <c r="J3446" i="1"/>
  <c r="I3446" i="1"/>
  <c r="J3445" i="1"/>
  <c r="I3445" i="1"/>
  <c r="J3444" i="1"/>
  <c r="I3444" i="1"/>
  <c r="L3443" i="1"/>
  <c r="L3442" i="1"/>
  <c r="J3441" i="1"/>
  <c r="I3441" i="1"/>
  <c r="J3440" i="1"/>
  <c r="I3440" i="1"/>
  <c r="J3439" i="1"/>
  <c r="I3439" i="1"/>
  <c r="J3438" i="1"/>
  <c r="I3438" i="1"/>
  <c r="J3437" i="1"/>
  <c r="I3437" i="1"/>
  <c r="L3436" i="1"/>
  <c r="L3435" i="1"/>
  <c r="J3434" i="1"/>
  <c r="I3434" i="1"/>
  <c r="J3433" i="1"/>
  <c r="I3433" i="1"/>
  <c r="J3432" i="1"/>
  <c r="I3432" i="1"/>
  <c r="J3430" i="1"/>
  <c r="I3430" i="1"/>
  <c r="J3429" i="1"/>
  <c r="I3429" i="1"/>
  <c r="J3428" i="1"/>
  <c r="I3428" i="1"/>
  <c r="J3427" i="1"/>
  <c r="I3427" i="1"/>
  <c r="L3426" i="1"/>
  <c r="J3425" i="1"/>
  <c r="I3425" i="1"/>
  <c r="L3424" i="1"/>
  <c r="J3423" i="1"/>
  <c r="I3423" i="1"/>
  <c r="J3422" i="1"/>
  <c r="I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3404" i="1"/>
  <c r="I3404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J3388" i="1"/>
  <c r="I3388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3360" i="1"/>
  <c r="I3360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J3323" i="1"/>
  <c r="I3323" i="1"/>
  <c r="J3322" i="1"/>
  <c r="I3322" i="1"/>
  <c r="J3320" i="1"/>
  <c r="I3320" i="1"/>
  <c r="J3319" i="1"/>
  <c r="I3319" i="1"/>
  <c r="J3318" i="1"/>
  <c r="I3318" i="1"/>
  <c r="L3317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L3273" i="1"/>
  <c r="L327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L3229" i="1"/>
  <c r="J3228" i="1"/>
  <c r="I3228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L3186" i="1"/>
  <c r="L3185" i="1"/>
  <c r="J3184" i="1"/>
  <c r="I3184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L3141" i="1"/>
  <c r="J3140" i="1"/>
  <c r="I3140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3096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L3053" i="1"/>
  <c r="J3052" i="1"/>
  <c r="I3052" i="1"/>
  <c r="J3051" i="1"/>
  <c r="I3051" i="1"/>
  <c r="L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L3009" i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L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L2921" i="1"/>
  <c r="J2920" i="1"/>
  <c r="I2920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J2881" i="1"/>
  <c r="I2881" i="1"/>
  <c r="J2880" i="1"/>
  <c r="I2880" i="1"/>
  <c r="J2879" i="1"/>
  <c r="I2879" i="1"/>
  <c r="J2878" i="1"/>
  <c r="I2878" i="1"/>
  <c r="L2877" i="1"/>
  <c r="J2876" i="1"/>
  <c r="I2876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L2854" i="1"/>
  <c r="J2853" i="1"/>
  <c r="I2853" i="1"/>
  <c r="L2852" i="1"/>
  <c r="J2851" i="1"/>
  <c r="I2851" i="1"/>
  <c r="J2850" i="1"/>
  <c r="I2850" i="1"/>
  <c r="L2849" i="1"/>
  <c r="J2848" i="1"/>
  <c r="I2848" i="1"/>
  <c r="J2847" i="1"/>
  <c r="I2847" i="1"/>
  <c r="J2846" i="1"/>
  <c r="I2846" i="1"/>
  <c r="J2845" i="1"/>
  <c r="I2845" i="1"/>
  <c r="J2844" i="1"/>
  <c r="I2844" i="1"/>
  <c r="L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L2833" i="1"/>
  <c r="J2832" i="1"/>
  <c r="I2832" i="1"/>
  <c r="J2831" i="1"/>
  <c r="I2831" i="1"/>
  <c r="J2830" i="1"/>
  <c r="I2830" i="1"/>
  <c r="L2829" i="1"/>
  <c r="J2828" i="1"/>
  <c r="I2828" i="1"/>
  <c r="J2827" i="1"/>
  <c r="I2827" i="1"/>
  <c r="L2826" i="1"/>
  <c r="J2825" i="1"/>
  <c r="I2825" i="1"/>
  <c r="J2824" i="1"/>
  <c r="I2824" i="1"/>
  <c r="J2823" i="1"/>
  <c r="I2823" i="1"/>
  <c r="J2822" i="1"/>
  <c r="I2822" i="1"/>
  <c r="J2821" i="1"/>
  <c r="I2821" i="1"/>
  <c r="L2820" i="1"/>
  <c r="J2819" i="1"/>
  <c r="I2819" i="1"/>
  <c r="J2818" i="1"/>
  <c r="I2818" i="1"/>
  <c r="J2817" i="1"/>
  <c r="I2817" i="1"/>
  <c r="J2816" i="1"/>
  <c r="I2816" i="1"/>
  <c r="J2815" i="1"/>
  <c r="I2815" i="1"/>
  <c r="L2814" i="1"/>
  <c r="J2813" i="1"/>
  <c r="I2813" i="1"/>
  <c r="J2812" i="1"/>
  <c r="I2812" i="1"/>
  <c r="J2811" i="1"/>
  <c r="I2811" i="1"/>
  <c r="L2810" i="1"/>
  <c r="J2809" i="1"/>
  <c r="I2809" i="1"/>
  <c r="L2808" i="1"/>
  <c r="J2807" i="1"/>
  <c r="I2807" i="1"/>
  <c r="J2806" i="1"/>
  <c r="I2806" i="1"/>
  <c r="L2805" i="1"/>
  <c r="J2804" i="1"/>
  <c r="I2804" i="1"/>
  <c r="J2803" i="1"/>
  <c r="I2803" i="1"/>
  <c r="J2802" i="1"/>
  <c r="I2802" i="1"/>
  <c r="J2801" i="1"/>
  <c r="I2801" i="1"/>
  <c r="J2800" i="1"/>
  <c r="I2800" i="1"/>
  <c r="L2799" i="1"/>
  <c r="J2798" i="1"/>
  <c r="I2798" i="1"/>
  <c r="J2797" i="1"/>
  <c r="I2797" i="1"/>
  <c r="J2796" i="1"/>
  <c r="I2796" i="1"/>
  <c r="J2795" i="1"/>
  <c r="I2795" i="1"/>
  <c r="J2794" i="1"/>
  <c r="I2794" i="1"/>
  <c r="L2793" i="1"/>
  <c r="J2792" i="1"/>
  <c r="I2792" i="1"/>
  <c r="J2791" i="1"/>
  <c r="I2791" i="1"/>
  <c r="J2790" i="1"/>
  <c r="I2790" i="1"/>
  <c r="L2789" i="1"/>
  <c r="L2788" i="1"/>
  <c r="J2787" i="1"/>
  <c r="I2787" i="1"/>
  <c r="J2786" i="1"/>
  <c r="I2786" i="1"/>
  <c r="J2785" i="1"/>
  <c r="I2785" i="1"/>
  <c r="J2784" i="1"/>
  <c r="I2784" i="1"/>
  <c r="J2783" i="1"/>
  <c r="I2783" i="1"/>
  <c r="L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J2772" i="1"/>
  <c r="I2772" i="1"/>
  <c r="J2771" i="1"/>
  <c r="I2771" i="1"/>
  <c r="J2770" i="1"/>
  <c r="I2770" i="1"/>
  <c r="J2769" i="1"/>
  <c r="I2769" i="1"/>
  <c r="J2768" i="1"/>
  <c r="I2768" i="1"/>
  <c r="J2767" i="1"/>
  <c r="I2767" i="1"/>
  <c r="L2766" i="1"/>
  <c r="J2765" i="1"/>
  <c r="I2765" i="1"/>
  <c r="L2764" i="1"/>
  <c r="L2763" i="1"/>
  <c r="J2762" i="1"/>
  <c r="I2762" i="1"/>
  <c r="L2761" i="1"/>
  <c r="J2760" i="1"/>
  <c r="I2760" i="1"/>
  <c r="J2759" i="1"/>
  <c r="I2759" i="1"/>
  <c r="J2758" i="1"/>
  <c r="I2758" i="1"/>
  <c r="J2757" i="1"/>
  <c r="I2757" i="1"/>
  <c r="J2756" i="1"/>
  <c r="I2756" i="1"/>
  <c r="L2755" i="1"/>
  <c r="J2754" i="1"/>
  <c r="I2754" i="1"/>
  <c r="J2753" i="1"/>
  <c r="I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L2745" i="1"/>
  <c r="J2744" i="1"/>
  <c r="I2744" i="1"/>
  <c r="J2743" i="1"/>
  <c r="I2743" i="1"/>
  <c r="J2742" i="1"/>
  <c r="I2742" i="1"/>
  <c r="J2741" i="1"/>
  <c r="I2741" i="1"/>
  <c r="J2740" i="1"/>
  <c r="I2740" i="1"/>
  <c r="J2739" i="1"/>
  <c r="I2739" i="1"/>
  <c r="L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J2728" i="1"/>
  <c r="I2728" i="1"/>
  <c r="J2727" i="1"/>
  <c r="I2727" i="1"/>
  <c r="J2726" i="1"/>
  <c r="I2726" i="1"/>
  <c r="J2725" i="1"/>
  <c r="I2725" i="1"/>
  <c r="J2724" i="1"/>
  <c r="I2724" i="1"/>
  <c r="J2723" i="1"/>
  <c r="I2723" i="1"/>
  <c r="L2722" i="1"/>
  <c r="J2721" i="1"/>
  <c r="I2721" i="1"/>
  <c r="L2720" i="1"/>
  <c r="J2719" i="1"/>
  <c r="I2719" i="1"/>
  <c r="J2718" i="1"/>
  <c r="I2718" i="1"/>
  <c r="L2717" i="1"/>
  <c r="J2716" i="1"/>
  <c r="I2716" i="1"/>
  <c r="J2715" i="1"/>
  <c r="I2715" i="1"/>
  <c r="J2714" i="1"/>
  <c r="I2714" i="1"/>
  <c r="J2713" i="1"/>
  <c r="I2713" i="1"/>
  <c r="J2712" i="1"/>
  <c r="I2712" i="1"/>
  <c r="L2711" i="1"/>
  <c r="J2710" i="1"/>
  <c r="I2710" i="1"/>
  <c r="J2709" i="1"/>
  <c r="I2709" i="1"/>
  <c r="J2708" i="1"/>
  <c r="I2708" i="1"/>
  <c r="J2707" i="1"/>
  <c r="I2707" i="1"/>
  <c r="J2706" i="1"/>
  <c r="I2706" i="1"/>
  <c r="J2705" i="1"/>
  <c r="I2705" i="1"/>
  <c r="L2704" i="1"/>
  <c r="L2703" i="1"/>
  <c r="J2702" i="1"/>
  <c r="I2702" i="1"/>
  <c r="L2701" i="1"/>
  <c r="J2700" i="1"/>
  <c r="I2700" i="1"/>
  <c r="J2699" i="1"/>
  <c r="I2699" i="1"/>
  <c r="J2698" i="1"/>
  <c r="I2698" i="1"/>
  <c r="J2697" i="1"/>
  <c r="I2697" i="1"/>
  <c r="J2696" i="1"/>
  <c r="I2696" i="1"/>
  <c r="J2695" i="1"/>
  <c r="I2695" i="1"/>
  <c r="L2694" i="1"/>
  <c r="J2693" i="1"/>
  <c r="I2693" i="1"/>
  <c r="L2692" i="1"/>
  <c r="L2691" i="1"/>
  <c r="L2690" i="1"/>
  <c r="J2689" i="1"/>
  <c r="I2689" i="1"/>
  <c r="L2688" i="1"/>
  <c r="J2687" i="1"/>
  <c r="I2687" i="1"/>
  <c r="J2686" i="1"/>
  <c r="I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L2678" i="1"/>
  <c r="J2677" i="1"/>
  <c r="I2677" i="1"/>
  <c r="L2676" i="1"/>
  <c r="J2675" i="1"/>
  <c r="I2675" i="1"/>
  <c r="J2674" i="1"/>
  <c r="I2674" i="1"/>
  <c r="L2673" i="1"/>
  <c r="L2672" i="1"/>
  <c r="J2671" i="1"/>
  <c r="I2671" i="1"/>
  <c r="J2670" i="1"/>
  <c r="I2670" i="1"/>
  <c r="J2669" i="1"/>
  <c r="I2669" i="1"/>
  <c r="J2668" i="1"/>
  <c r="I2668" i="1"/>
  <c r="L2667" i="1"/>
  <c r="J2666" i="1"/>
  <c r="I2666" i="1"/>
  <c r="J2665" i="1"/>
  <c r="I2665" i="1"/>
  <c r="J2664" i="1"/>
  <c r="I2664" i="1"/>
  <c r="J2663" i="1"/>
  <c r="I2663" i="1"/>
  <c r="J2662" i="1"/>
  <c r="I2662" i="1"/>
  <c r="J2661" i="1"/>
  <c r="I2661" i="1"/>
  <c r="L2660" i="1"/>
  <c r="L2659" i="1"/>
  <c r="J2658" i="1"/>
  <c r="I2658" i="1"/>
  <c r="L2657" i="1"/>
  <c r="J2656" i="1"/>
  <c r="I2656" i="1"/>
  <c r="J2655" i="1"/>
  <c r="I2655" i="1"/>
  <c r="J2654" i="1"/>
  <c r="I2654" i="1"/>
  <c r="J2653" i="1"/>
  <c r="I2653" i="1"/>
  <c r="J2652" i="1"/>
  <c r="I2652" i="1"/>
  <c r="J2651" i="1"/>
  <c r="I2651" i="1"/>
  <c r="L2650" i="1"/>
  <c r="J2649" i="1"/>
  <c r="I2649" i="1"/>
  <c r="J2648" i="1"/>
  <c r="I2648" i="1"/>
  <c r="L2647" i="1"/>
  <c r="J2646" i="1"/>
  <c r="I2646" i="1"/>
  <c r="J2645" i="1"/>
  <c r="I2645" i="1"/>
  <c r="L2644" i="1"/>
  <c r="J2643" i="1"/>
  <c r="I2643" i="1"/>
  <c r="J2642" i="1"/>
  <c r="I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L2634" i="1"/>
  <c r="J2633" i="1"/>
  <c r="I2633" i="1"/>
  <c r="L2632" i="1"/>
  <c r="J2631" i="1"/>
  <c r="I2631" i="1"/>
  <c r="J2630" i="1"/>
  <c r="I2630" i="1"/>
  <c r="L2629" i="1"/>
  <c r="L2628" i="1"/>
  <c r="J2627" i="1"/>
  <c r="I2627" i="1"/>
  <c r="J2626" i="1"/>
  <c r="I2626" i="1"/>
  <c r="J2625" i="1"/>
  <c r="I2625" i="1"/>
  <c r="J2624" i="1"/>
  <c r="I2624" i="1"/>
  <c r="L2623" i="1"/>
  <c r="J2622" i="1"/>
  <c r="I2622" i="1"/>
  <c r="J2621" i="1"/>
  <c r="I2621" i="1"/>
  <c r="J2620" i="1"/>
  <c r="I2620" i="1"/>
  <c r="J2619" i="1"/>
  <c r="I2619" i="1"/>
  <c r="J2618" i="1"/>
  <c r="I2618" i="1"/>
  <c r="J2617" i="1"/>
  <c r="I2617" i="1"/>
  <c r="L2616" i="1"/>
  <c r="L2615" i="1"/>
  <c r="J2614" i="1"/>
  <c r="I2614" i="1"/>
  <c r="L2613" i="1"/>
  <c r="J2612" i="1"/>
  <c r="I2612" i="1"/>
  <c r="J2611" i="1"/>
  <c r="I2611" i="1"/>
  <c r="J2610" i="1"/>
  <c r="I2610" i="1"/>
  <c r="J2609" i="1"/>
  <c r="I2609" i="1"/>
  <c r="J2608" i="1"/>
  <c r="I2608" i="1"/>
  <c r="J2607" i="1"/>
  <c r="I2607" i="1"/>
  <c r="L2606" i="1"/>
  <c r="J2605" i="1"/>
  <c r="I2605" i="1"/>
  <c r="J2604" i="1"/>
  <c r="I2604" i="1"/>
  <c r="L2603" i="1"/>
  <c r="J2602" i="1"/>
  <c r="I2602" i="1"/>
  <c r="J2601" i="1"/>
  <c r="I2601" i="1"/>
  <c r="L2600" i="1"/>
  <c r="J2599" i="1"/>
  <c r="I2599" i="1"/>
  <c r="J2598" i="1"/>
  <c r="I2598" i="1"/>
  <c r="J2597" i="1"/>
  <c r="I2597" i="1"/>
  <c r="J2596" i="1"/>
  <c r="I2596" i="1"/>
  <c r="L2595" i="1"/>
  <c r="J2594" i="1"/>
  <c r="I2594" i="1"/>
  <c r="J2593" i="1"/>
  <c r="I2593" i="1"/>
  <c r="J2592" i="1"/>
  <c r="I2592" i="1"/>
  <c r="J2591" i="1"/>
  <c r="I2591" i="1"/>
  <c r="L2590" i="1"/>
  <c r="J2589" i="1"/>
  <c r="I2589" i="1"/>
  <c r="L2588" i="1"/>
  <c r="J2587" i="1"/>
  <c r="I2587" i="1"/>
  <c r="J2586" i="1"/>
  <c r="I2586" i="1"/>
  <c r="L2585" i="1"/>
  <c r="J2584" i="1"/>
  <c r="I2584" i="1"/>
  <c r="J2583" i="1"/>
  <c r="I2583" i="1"/>
  <c r="L2582" i="1"/>
  <c r="J2581" i="1"/>
  <c r="I2581" i="1"/>
  <c r="J2580" i="1"/>
  <c r="I2580" i="1"/>
  <c r="L2579" i="1"/>
  <c r="J2578" i="1"/>
  <c r="I2578" i="1"/>
  <c r="J2577" i="1"/>
  <c r="I2577" i="1"/>
  <c r="J2576" i="1"/>
  <c r="I2576" i="1"/>
  <c r="J2575" i="1"/>
  <c r="I2575" i="1"/>
  <c r="J2574" i="1"/>
  <c r="I2574" i="1"/>
  <c r="L2573" i="1"/>
  <c r="L2572" i="1"/>
  <c r="L2571" i="1"/>
  <c r="L2570" i="1"/>
  <c r="L2569" i="1"/>
  <c r="J2568" i="1"/>
  <c r="I2568" i="1"/>
  <c r="J2567" i="1"/>
  <c r="I2567" i="1"/>
  <c r="J2566" i="1"/>
  <c r="I2566" i="1"/>
  <c r="J2565" i="1"/>
  <c r="I2565" i="1"/>
  <c r="J2564" i="1"/>
  <c r="I2564" i="1"/>
  <c r="J2563" i="1"/>
  <c r="I2563" i="1"/>
  <c r="L2562" i="1"/>
  <c r="J2561" i="1"/>
  <c r="I2561" i="1"/>
  <c r="J2560" i="1"/>
  <c r="I2560" i="1"/>
  <c r="L2559" i="1"/>
  <c r="L2558" i="1"/>
  <c r="J2557" i="1"/>
  <c r="I2557" i="1"/>
  <c r="L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L2368" i="1"/>
  <c r="L2367" i="1"/>
  <c r="L2366" i="1"/>
  <c r="L2365" i="1"/>
  <c r="J2364" i="1"/>
  <c r="I2364" i="1"/>
  <c r="J2363" i="1"/>
  <c r="I2363" i="1"/>
  <c r="J2362" i="1"/>
  <c r="I2362" i="1"/>
  <c r="J2361" i="1"/>
  <c r="I2361" i="1"/>
  <c r="J2360" i="1"/>
  <c r="I2360" i="1"/>
  <c r="L2359" i="1"/>
  <c r="J2358" i="1"/>
  <c r="I2358" i="1"/>
  <c r="J2357" i="1"/>
  <c r="I2357" i="1"/>
  <c r="J2356" i="1"/>
  <c r="I2356" i="1"/>
  <c r="J2355" i="1"/>
  <c r="I2355" i="1"/>
  <c r="J2354" i="1"/>
  <c r="I2354" i="1"/>
  <c r="L2353" i="1"/>
  <c r="L2352" i="1"/>
  <c r="L2351" i="1"/>
  <c r="L2350" i="1"/>
  <c r="L2349" i="1"/>
  <c r="J2348" i="1"/>
  <c r="I2348" i="1"/>
  <c r="J2347" i="1"/>
  <c r="I2347" i="1"/>
  <c r="J2346" i="1"/>
  <c r="I2346" i="1"/>
  <c r="J2345" i="1"/>
  <c r="I2345" i="1"/>
  <c r="J2344" i="1"/>
  <c r="I2344" i="1"/>
  <c r="L2343" i="1"/>
  <c r="L2342" i="1"/>
  <c r="J2341" i="1"/>
  <c r="I2341" i="1"/>
  <c r="J2340" i="1"/>
  <c r="I2340" i="1"/>
  <c r="L2339" i="1"/>
  <c r="J2338" i="1"/>
  <c r="I2338" i="1"/>
  <c r="J2337" i="1"/>
  <c r="I2337" i="1"/>
  <c r="L2336" i="1"/>
  <c r="J2335" i="1"/>
  <c r="I2335" i="1"/>
  <c r="J2334" i="1"/>
  <c r="I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L2326" i="1"/>
  <c r="J2325" i="1"/>
  <c r="I2325" i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J2096" i="1"/>
  <c r="I2096" i="1"/>
  <c r="L2095" i="1"/>
  <c r="J2094" i="1"/>
  <c r="I2094" i="1"/>
  <c r="J2093" i="1"/>
  <c r="I2093" i="1"/>
  <c r="J2092" i="1"/>
  <c r="I2092" i="1"/>
  <c r="J2091" i="1"/>
  <c r="I2091" i="1"/>
  <c r="J2090" i="1"/>
  <c r="I2090" i="1"/>
  <c r="L2089" i="1"/>
  <c r="L2088" i="1"/>
  <c r="L2087" i="1"/>
  <c r="L2086" i="1"/>
  <c r="L2085" i="1"/>
  <c r="J2084" i="1"/>
  <c r="I2084" i="1"/>
  <c r="J2083" i="1"/>
  <c r="I2083" i="1"/>
  <c r="J2082" i="1"/>
  <c r="I2082" i="1"/>
  <c r="J2081" i="1"/>
  <c r="I2081" i="1"/>
  <c r="J2080" i="1"/>
  <c r="I2080" i="1"/>
  <c r="L2079" i="1"/>
  <c r="L2078" i="1"/>
  <c r="J2077" i="1"/>
  <c r="I2077" i="1"/>
  <c r="J2076" i="1"/>
  <c r="I2076" i="1"/>
  <c r="L2075" i="1"/>
  <c r="J2074" i="1"/>
  <c r="I2074" i="1"/>
  <c r="J2073" i="1"/>
  <c r="I2073" i="1"/>
  <c r="L2072" i="1"/>
  <c r="J2071" i="1"/>
  <c r="I2071" i="1"/>
  <c r="J2070" i="1"/>
  <c r="I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L2062" i="1"/>
  <c r="J2061" i="1"/>
  <c r="I2061" i="1"/>
  <c r="L2060" i="1"/>
  <c r="J2059" i="1"/>
  <c r="I2059" i="1"/>
  <c r="J2058" i="1"/>
  <c r="I2058" i="1"/>
  <c r="L2057" i="1"/>
  <c r="J2056" i="1"/>
  <c r="I2056" i="1"/>
  <c r="J2055" i="1"/>
  <c r="I2055" i="1"/>
  <c r="J2054" i="1"/>
  <c r="I2054" i="1"/>
  <c r="J2053" i="1"/>
  <c r="I2053" i="1"/>
  <c r="J2052" i="1"/>
  <c r="I2052" i="1"/>
  <c r="L2051" i="1"/>
  <c r="J2050" i="1"/>
  <c r="I2050" i="1"/>
  <c r="J2049" i="1"/>
  <c r="I2049" i="1"/>
  <c r="J2048" i="1"/>
  <c r="I2048" i="1"/>
  <c r="J2047" i="1"/>
  <c r="I2047" i="1"/>
  <c r="J2046" i="1"/>
  <c r="I2046" i="1"/>
  <c r="L2045" i="1"/>
  <c r="L2044" i="1"/>
  <c r="L2043" i="1"/>
  <c r="L2042" i="1"/>
  <c r="L2041" i="1"/>
  <c r="J2040" i="1"/>
  <c r="I2040" i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L2018" i="1"/>
  <c r="J2017" i="1"/>
  <c r="I2017" i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J2008" i="1"/>
  <c r="I2008" i="1"/>
  <c r="L2007" i="1"/>
  <c r="J2006" i="1"/>
  <c r="I2006" i="1"/>
  <c r="J2005" i="1"/>
  <c r="I2005" i="1"/>
  <c r="J2004" i="1"/>
  <c r="I2004" i="1"/>
  <c r="J2003" i="1"/>
  <c r="I2003" i="1"/>
  <c r="J2002" i="1"/>
  <c r="I2002" i="1"/>
  <c r="L2001" i="1"/>
  <c r="L2000" i="1"/>
  <c r="L1999" i="1"/>
  <c r="L1998" i="1"/>
  <c r="L1997" i="1"/>
  <c r="J1996" i="1"/>
  <c r="I1996" i="1"/>
  <c r="J1995" i="1"/>
  <c r="I1995" i="1"/>
  <c r="J1994" i="1"/>
  <c r="I1994" i="1"/>
  <c r="L1993" i="1"/>
  <c r="J1992" i="1"/>
  <c r="I1992" i="1"/>
  <c r="L1991" i="1"/>
  <c r="L1990" i="1"/>
  <c r="J1989" i="1"/>
  <c r="I1989" i="1"/>
  <c r="J1988" i="1"/>
  <c r="I1988" i="1"/>
  <c r="L1987" i="1"/>
  <c r="J1986" i="1"/>
  <c r="I1986" i="1"/>
  <c r="J1985" i="1"/>
  <c r="I1985" i="1"/>
  <c r="L1984" i="1"/>
  <c r="J1983" i="1"/>
  <c r="I1983" i="1"/>
  <c r="J1982" i="1"/>
  <c r="I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L1974" i="1"/>
  <c r="J1973" i="1"/>
  <c r="I1973" i="1"/>
  <c r="L1972" i="1"/>
  <c r="J1971" i="1"/>
  <c r="I1971" i="1"/>
  <c r="J1970" i="1"/>
  <c r="I1970" i="1"/>
  <c r="L1969" i="1"/>
  <c r="J1968" i="1"/>
  <c r="I1968" i="1"/>
  <c r="J1967" i="1"/>
  <c r="I1967" i="1"/>
  <c r="J1966" i="1"/>
  <c r="I1966" i="1"/>
  <c r="J1965" i="1"/>
  <c r="I1965" i="1"/>
  <c r="J1964" i="1"/>
  <c r="I1964" i="1"/>
  <c r="L1963" i="1"/>
  <c r="J1962" i="1"/>
  <c r="I1962" i="1"/>
  <c r="J1961" i="1"/>
  <c r="I1961" i="1"/>
  <c r="J1960" i="1"/>
  <c r="I1960" i="1"/>
  <c r="J1959" i="1"/>
  <c r="I1959" i="1"/>
  <c r="J1958" i="1"/>
  <c r="I1958" i="1"/>
  <c r="L1957" i="1"/>
  <c r="L1956" i="1"/>
  <c r="L1955" i="1"/>
  <c r="L1954" i="1"/>
  <c r="L1953" i="1"/>
  <c r="J1952" i="1"/>
  <c r="I1952" i="1"/>
  <c r="J1951" i="1"/>
  <c r="I1951" i="1"/>
  <c r="J1950" i="1"/>
  <c r="I1950" i="1"/>
  <c r="L1949" i="1"/>
  <c r="J1948" i="1"/>
  <c r="I1948" i="1"/>
  <c r="J1947" i="1"/>
  <c r="I1947" i="1"/>
  <c r="L1946" i="1"/>
  <c r="J1945" i="1"/>
  <c r="I1945" i="1"/>
  <c r="J1944" i="1"/>
  <c r="I1944" i="1"/>
  <c r="L1943" i="1"/>
  <c r="J1942" i="1"/>
  <c r="I1942" i="1"/>
  <c r="J1941" i="1"/>
  <c r="I1941" i="1"/>
  <c r="L1940" i="1"/>
  <c r="J1939" i="1"/>
  <c r="I1939" i="1"/>
  <c r="J1938" i="1"/>
  <c r="I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L1930" i="1"/>
  <c r="J1929" i="1"/>
  <c r="I1929" i="1"/>
  <c r="L1928" i="1"/>
  <c r="J1927" i="1"/>
  <c r="I1927" i="1"/>
  <c r="J1926" i="1"/>
  <c r="I1926" i="1"/>
  <c r="L1925" i="1"/>
  <c r="J1924" i="1"/>
  <c r="I1924" i="1"/>
  <c r="J1923" i="1"/>
  <c r="I1923" i="1"/>
  <c r="J1922" i="1"/>
  <c r="I1922" i="1"/>
  <c r="J1921" i="1"/>
  <c r="I1921" i="1"/>
  <c r="J1920" i="1"/>
  <c r="I1920" i="1"/>
  <c r="L1919" i="1"/>
  <c r="J1918" i="1"/>
  <c r="I1918" i="1"/>
  <c r="J1917" i="1"/>
  <c r="I1917" i="1"/>
  <c r="J1916" i="1"/>
  <c r="I1916" i="1"/>
  <c r="J1915" i="1"/>
  <c r="I1915" i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J1893" i="1"/>
  <c r="I1893" i="1"/>
  <c r="J1892" i="1"/>
  <c r="I1892" i="1"/>
  <c r="L1891" i="1"/>
  <c r="J1890" i="1"/>
  <c r="I1890" i="1"/>
  <c r="J1889" i="1"/>
  <c r="I1889" i="1"/>
  <c r="J1888" i="1"/>
  <c r="I1888" i="1"/>
  <c r="J1887" i="1"/>
  <c r="I1887" i="1"/>
  <c r="L1886" i="1"/>
  <c r="J1885" i="1"/>
  <c r="I1885" i="1"/>
  <c r="L1884" i="1"/>
  <c r="J1883" i="1"/>
  <c r="I1883" i="1"/>
  <c r="J1882" i="1"/>
  <c r="I1882" i="1"/>
  <c r="L1881" i="1"/>
  <c r="J1880" i="1"/>
  <c r="I1880" i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J1862" i="1"/>
  <c r="I1862" i="1"/>
  <c r="J1861" i="1"/>
  <c r="I1861" i="1"/>
  <c r="J1860" i="1"/>
  <c r="I1860" i="1"/>
  <c r="J1859" i="1"/>
  <c r="I1859" i="1"/>
  <c r="L1858" i="1"/>
  <c r="J1857" i="1"/>
  <c r="I1857" i="1"/>
  <c r="J1856" i="1"/>
  <c r="I1856" i="1"/>
  <c r="L1855" i="1"/>
  <c r="J1854" i="1"/>
  <c r="I1854" i="1"/>
  <c r="J1853" i="1"/>
  <c r="I1853" i="1"/>
  <c r="L1852" i="1"/>
  <c r="J1851" i="1"/>
  <c r="I1851" i="1"/>
  <c r="J1850" i="1"/>
  <c r="I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J1815" i="1"/>
  <c r="I1815" i="1"/>
  <c r="L1814" i="1"/>
  <c r="J1813" i="1"/>
  <c r="I1813" i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L1793" i="1"/>
  <c r="J1792" i="1"/>
  <c r="I1792" i="1"/>
  <c r="J1791" i="1"/>
  <c r="I1791" i="1"/>
  <c r="J1790" i="1"/>
  <c r="I1790" i="1"/>
  <c r="J1789" i="1"/>
  <c r="I1789" i="1"/>
  <c r="J1788" i="1"/>
  <c r="I1788" i="1"/>
  <c r="L1787" i="1"/>
  <c r="J1786" i="1"/>
  <c r="I1786" i="1"/>
  <c r="J1785" i="1"/>
  <c r="I1785" i="1"/>
  <c r="J1784" i="1"/>
  <c r="I1784" i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J1762" i="1"/>
  <c r="I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L1754" i="1"/>
  <c r="J1753" i="1"/>
  <c r="I1753" i="1"/>
  <c r="L1752" i="1"/>
  <c r="J1751" i="1"/>
  <c r="I1751" i="1"/>
  <c r="J1750" i="1"/>
  <c r="I1750" i="1"/>
  <c r="L1749" i="1"/>
  <c r="J1748" i="1"/>
  <c r="I1748" i="1"/>
  <c r="J1747" i="1"/>
  <c r="I1747" i="1"/>
  <c r="J1746" i="1"/>
  <c r="I1746" i="1"/>
  <c r="J1745" i="1"/>
  <c r="I1745" i="1"/>
  <c r="J1744" i="1"/>
  <c r="I1744" i="1"/>
  <c r="L1743" i="1"/>
  <c r="J1742" i="1"/>
  <c r="I1742" i="1"/>
  <c r="J1741" i="1"/>
  <c r="I1741" i="1"/>
  <c r="J1740" i="1"/>
  <c r="I1740" i="1"/>
  <c r="J1739" i="1"/>
  <c r="I1739" i="1"/>
  <c r="J1738" i="1"/>
  <c r="I1738" i="1"/>
  <c r="L1737" i="1"/>
  <c r="L1736" i="1"/>
  <c r="L1735" i="1"/>
  <c r="J1734" i="1"/>
  <c r="I1734" i="1"/>
  <c r="L1733" i="1"/>
  <c r="J1732" i="1"/>
  <c r="I1732" i="1"/>
  <c r="J1731" i="1"/>
  <c r="I1731" i="1"/>
  <c r="J1730" i="1"/>
  <c r="I1730" i="1"/>
  <c r="J1729" i="1"/>
  <c r="I1729" i="1"/>
  <c r="J1728" i="1"/>
  <c r="I1728" i="1"/>
  <c r="L1727" i="1"/>
  <c r="L1726" i="1"/>
  <c r="J1725" i="1"/>
  <c r="I1725" i="1"/>
  <c r="J1724" i="1"/>
  <c r="I1724" i="1"/>
  <c r="L1723" i="1"/>
  <c r="J1722" i="1"/>
  <c r="I1722" i="1"/>
  <c r="J1721" i="1"/>
  <c r="I1721" i="1"/>
  <c r="L1720" i="1"/>
  <c r="J1719" i="1"/>
  <c r="I1719" i="1"/>
  <c r="J1718" i="1"/>
  <c r="I1718" i="1"/>
  <c r="J1717" i="1"/>
  <c r="I1717" i="1"/>
  <c r="J1716" i="1"/>
  <c r="I1716" i="1"/>
  <c r="L1715" i="1"/>
  <c r="J1714" i="1"/>
  <c r="I1714" i="1"/>
  <c r="J1713" i="1"/>
  <c r="I1713" i="1"/>
  <c r="J1712" i="1"/>
  <c r="I1712" i="1"/>
  <c r="L1711" i="1"/>
  <c r="L1710" i="1"/>
  <c r="J1709" i="1"/>
  <c r="I1709" i="1"/>
  <c r="L1708" i="1"/>
  <c r="J1707" i="1"/>
  <c r="I1707" i="1"/>
  <c r="J1706" i="1"/>
  <c r="I1706" i="1"/>
  <c r="L1705" i="1"/>
  <c r="J1704" i="1"/>
  <c r="I1704" i="1"/>
  <c r="J1703" i="1"/>
  <c r="I1703" i="1"/>
  <c r="L1702" i="1"/>
  <c r="J1701" i="1"/>
  <c r="I1701" i="1"/>
  <c r="J1700" i="1"/>
  <c r="I1700" i="1"/>
  <c r="L1699" i="1"/>
  <c r="J1698" i="1"/>
  <c r="I1698" i="1"/>
  <c r="J1697" i="1"/>
  <c r="I1697" i="1"/>
  <c r="J1696" i="1"/>
  <c r="I1696" i="1"/>
  <c r="J1695" i="1"/>
  <c r="I1695" i="1"/>
  <c r="J1694" i="1"/>
  <c r="I1694" i="1"/>
  <c r="L1693" i="1"/>
  <c r="L1692" i="1"/>
  <c r="L1691" i="1"/>
  <c r="J1690" i="1"/>
  <c r="I1690" i="1"/>
  <c r="L1689" i="1"/>
  <c r="J1688" i="1"/>
  <c r="I1688" i="1"/>
  <c r="J1687" i="1"/>
  <c r="I1687" i="1"/>
  <c r="L1686" i="1"/>
  <c r="J1685" i="1"/>
  <c r="I1685" i="1"/>
  <c r="J1684" i="1"/>
  <c r="I1684" i="1"/>
  <c r="J1683" i="1"/>
  <c r="I1683" i="1"/>
  <c r="L1682" i="1"/>
  <c r="J1681" i="1"/>
  <c r="I1681" i="1"/>
  <c r="J1680" i="1"/>
  <c r="I1680" i="1"/>
  <c r="L1679" i="1"/>
  <c r="J1678" i="1"/>
  <c r="I1678" i="1"/>
  <c r="J1677" i="1"/>
  <c r="I1677" i="1"/>
  <c r="L1676" i="1"/>
  <c r="J1675" i="1"/>
  <c r="I1675" i="1"/>
  <c r="J1674" i="1"/>
  <c r="I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L1666" i="1"/>
  <c r="J1665" i="1"/>
  <c r="I1665" i="1"/>
  <c r="L1664" i="1"/>
  <c r="J1663" i="1"/>
  <c r="I1663" i="1"/>
  <c r="J1662" i="1"/>
  <c r="I1662" i="1"/>
  <c r="L1661" i="1"/>
  <c r="J1660" i="1"/>
  <c r="I1660" i="1"/>
  <c r="J1659" i="1"/>
  <c r="I1659" i="1"/>
  <c r="L1658" i="1"/>
  <c r="J1657" i="1"/>
  <c r="I1657" i="1"/>
  <c r="J1656" i="1"/>
  <c r="I1656" i="1"/>
  <c r="L1655" i="1"/>
  <c r="J1654" i="1"/>
  <c r="I1654" i="1"/>
  <c r="J1653" i="1"/>
  <c r="I1653" i="1"/>
  <c r="J1652" i="1"/>
  <c r="I1652" i="1"/>
  <c r="J1651" i="1"/>
  <c r="I1651" i="1"/>
  <c r="J1650" i="1"/>
  <c r="I1650" i="1"/>
  <c r="L1649" i="1"/>
  <c r="L1648" i="1"/>
  <c r="L1647" i="1"/>
  <c r="J1646" i="1"/>
  <c r="I1646" i="1"/>
  <c r="L1645" i="1"/>
  <c r="J1644" i="1"/>
  <c r="I1644" i="1"/>
  <c r="J1643" i="1"/>
  <c r="I1643" i="1"/>
  <c r="L1642" i="1"/>
  <c r="J1641" i="1"/>
  <c r="I1641" i="1"/>
  <c r="J1640" i="1"/>
  <c r="I1640" i="1"/>
  <c r="J1639" i="1"/>
  <c r="I1639" i="1"/>
  <c r="L1638" i="1"/>
  <c r="J1637" i="1"/>
  <c r="I1637" i="1"/>
  <c r="J1636" i="1"/>
  <c r="I1636" i="1"/>
  <c r="L1635" i="1"/>
  <c r="J1634" i="1"/>
  <c r="I1634" i="1"/>
  <c r="J1633" i="1"/>
  <c r="I1633" i="1"/>
  <c r="L1632" i="1"/>
  <c r="J1631" i="1"/>
  <c r="I1631" i="1"/>
  <c r="J1630" i="1"/>
  <c r="I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L1622" i="1"/>
  <c r="J1621" i="1"/>
  <c r="I1621" i="1"/>
  <c r="L1620" i="1"/>
  <c r="J1619" i="1"/>
  <c r="I1619" i="1"/>
  <c r="J1618" i="1"/>
  <c r="I1618" i="1"/>
  <c r="L1617" i="1"/>
  <c r="J1616" i="1"/>
  <c r="I1616" i="1"/>
  <c r="J1615" i="1"/>
  <c r="I1615" i="1"/>
  <c r="J1614" i="1"/>
  <c r="I1614" i="1"/>
  <c r="J1613" i="1"/>
  <c r="I1613" i="1"/>
  <c r="J1612" i="1"/>
  <c r="I1612" i="1"/>
  <c r="L1611" i="1"/>
  <c r="J1610" i="1"/>
  <c r="I1610" i="1"/>
  <c r="J1609" i="1"/>
  <c r="I1609" i="1"/>
  <c r="J1608" i="1"/>
  <c r="I1608" i="1"/>
  <c r="J1607" i="1"/>
  <c r="I1607" i="1"/>
  <c r="J1606" i="1"/>
  <c r="I1606" i="1"/>
  <c r="L1605" i="1"/>
  <c r="L1604" i="1"/>
  <c r="L1603" i="1"/>
  <c r="J1602" i="1"/>
  <c r="I1602" i="1"/>
  <c r="L1601" i="1"/>
  <c r="J1600" i="1"/>
  <c r="I1600" i="1"/>
  <c r="J1599" i="1"/>
  <c r="I1599" i="1"/>
  <c r="L1598" i="1"/>
  <c r="L1597" i="1"/>
  <c r="J1596" i="1"/>
  <c r="I1596" i="1"/>
  <c r="J1595" i="1"/>
  <c r="I1595" i="1"/>
  <c r="L1594" i="1"/>
  <c r="J1593" i="1"/>
  <c r="I1593" i="1"/>
  <c r="J1592" i="1"/>
  <c r="I1592" i="1"/>
  <c r="L1591" i="1"/>
  <c r="J1590" i="1"/>
  <c r="I1590" i="1"/>
  <c r="J1589" i="1"/>
  <c r="I1589" i="1"/>
  <c r="L1588" i="1"/>
  <c r="J1587" i="1"/>
  <c r="I1587" i="1"/>
  <c r="J1586" i="1"/>
  <c r="I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L1578" i="1"/>
  <c r="J1577" i="1"/>
  <c r="I1577" i="1"/>
  <c r="L1576" i="1"/>
  <c r="J1575" i="1"/>
  <c r="I1575" i="1"/>
  <c r="J1574" i="1"/>
  <c r="I1574" i="1"/>
  <c r="L1573" i="1"/>
  <c r="J1572" i="1"/>
  <c r="I1572" i="1"/>
  <c r="J1571" i="1"/>
  <c r="I1571" i="1"/>
  <c r="J1570" i="1"/>
  <c r="I1570" i="1"/>
  <c r="J1569" i="1"/>
  <c r="I1569" i="1"/>
  <c r="J1568" i="1"/>
  <c r="I1568" i="1"/>
  <c r="L1567" i="1"/>
  <c r="J1566" i="1"/>
  <c r="I1566" i="1"/>
  <c r="J1565" i="1"/>
  <c r="I1565" i="1"/>
  <c r="J1564" i="1"/>
  <c r="I1564" i="1"/>
  <c r="J1563" i="1"/>
  <c r="I1563" i="1"/>
  <c r="L1562" i="1"/>
  <c r="L1561" i="1"/>
  <c r="L1560" i="1"/>
  <c r="L1559" i="1"/>
  <c r="J1558" i="1"/>
  <c r="I1558" i="1"/>
  <c r="L1557" i="1"/>
  <c r="J1556" i="1"/>
  <c r="I1556" i="1"/>
  <c r="J1555" i="1"/>
  <c r="I1555" i="1"/>
  <c r="L1554" i="1"/>
  <c r="J1553" i="1"/>
  <c r="I1553" i="1"/>
  <c r="J1552" i="1"/>
  <c r="I1552" i="1"/>
  <c r="J1551" i="1"/>
  <c r="I1551" i="1"/>
  <c r="L1550" i="1"/>
  <c r="J1549" i="1"/>
  <c r="I1549" i="1"/>
  <c r="J1548" i="1"/>
  <c r="I1548" i="1"/>
  <c r="L1547" i="1"/>
  <c r="J1546" i="1"/>
  <c r="I1546" i="1"/>
  <c r="J1545" i="1"/>
  <c r="I1545" i="1"/>
  <c r="L1544" i="1"/>
  <c r="J1543" i="1"/>
  <c r="I1543" i="1"/>
  <c r="J1542" i="1"/>
  <c r="I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L1535" i="1"/>
  <c r="L1534" i="1"/>
  <c r="J1533" i="1"/>
  <c r="I1533" i="1"/>
  <c r="L1532" i="1"/>
  <c r="J1531" i="1"/>
  <c r="I1531" i="1"/>
  <c r="J1530" i="1"/>
  <c r="I1530" i="1"/>
  <c r="L1529" i="1"/>
  <c r="J1528" i="1"/>
  <c r="I1528" i="1"/>
  <c r="J1527" i="1"/>
  <c r="I1527" i="1"/>
  <c r="J1526" i="1"/>
  <c r="I1526" i="1"/>
  <c r="J1525" i="1"/>
  <c r="I1525" i="1"/>
  <c r="J1524" i="1"/>
  <c r="I1524" i="1"/>
  <c r="L1523" i="1"/>
  <c r="J1522" i="1"/>
  <c r="I1522" i="1"/>
  <c r="J1521" i="1"/>
  <c r="I1521" i="1"/>
  <c r="J1520" i="1"/>
  <c r="I1520" i="1"/>
  <c r="J1519" i="1"/>
  <c r="I1519" i="1"/>
  <c r="L1518" i="1"/>
  <c r="L1517" i="1"/>
  <c r="L1516" i="1"/>
  <c r="L1515" i="1"/>
  <c r="J1514" i="1"/>
  <c r="I1514" i="1"/>
  <c r="L1513" i="1"/>
  <c r="J1512" i="1"/>
  <c r="I1512" i="1"/>
  <c r="J1511" i="1"/>
  <c r="I1511" i="1"/>
  <c r="L1510" i="1"/>
  <c r="L1509" i="1"/>
  <c r="J1508" i="1"/>
  <c r="I1508" i="1"/>
  <c r="J1507" i="1"/>
  <c r="I1507" i="1"/>
  <c r="L1506" i="1"/>
  <c r="J1505" i="1"/>
  <c r="I1505" i="1"/>
  <c r="J1504" i="1"/>
  <c r="I1504" i="1"/>
  <c r="L1503" i="1"/>
  <c r="J1502" i="1"/>
  <c r="I1502" i="1"/>
  <c r="J1501" i="1"/>
  <c r="I1501" i="1"/>
  <c r="L1500" i="1"/>
  <c r="J1499" i="1"/>
  <c r="I1499" i="1"/>
  <c r="J1498" i="1"/>
  <c r="I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L1491" i="1"/>
  <c r="L1490" i="1"/>
  <c r="J1489" i="1"/>
  <c r="I1489" i="1"/>
  <c r="L1488" i="1"/>
  <c r="J1487" i="1"/>
  <c r="I1487" i="1"/>
  <c r="J1486" i="1"/>
  <c r="I1486" i="1"/>
  <c r="L1485" i="1"/>
  <c r="J1484" i="1"/>
  <c r="I1484" i="1"/>
  <c r="J1483" i="1"/>
  <c r="I1483" i="1"/>
  <c r="J1482" i="1"/>
  <c r="I1482" i="1"/>
  <c r="J1481" i="1"/>
  <c r="I1481" i="1"/>
  <c r="J1480" i="1"/>
  <c r="I1480" i="1"/>
  <c r="L1479" i="1"/>
  <c r="J1478" i="1"/>
  <c r="I1478" i="1"/>
  <c r="J1477" i="1"/>
  <c r="I1477" i="1"/>
  <c r="J1476" i="1"/>
  <c r="I1476" i="1"/>
  <c r="J1475" i="1"/>
  <c r="I1475" i="1"/>
  <c r="L1474" i="1"/>
  <c r="L1473" i="1"/>
  <c r="L1472" i="1"/>
  <c r="L1471" i="1"/>
  <c r="J1470" i="1"/>
  <c r="I1470" i="1"/>
  <c r="L1469" i="1"/>
  <c r="J1468" i="1"/>
  <c r="I1468" i="1"/>
  <c r="J1467" i="1"/>
  <c r="I1467" i="1"/>
  <c r="J1466" i="1"/>
  <c r="I1466" i="1"/>
  <c r="J1465" i="1"/>
  <c r="I1465" i="1"/>
  <c r="J1464" i="1"/>
  <c r="I1464" i="1"/>
  <c r="J1463" i="1"/>
  <c r="I1463" i="1"/>
  <c r="L1462" i="1"/>
  <c r="J1461" i="1"/>
  <c r="I1461" i="1"/>
  <c r="J1460" i="1"/>
  <c r="I1460" i="1"/>
  <c r="L1459" i="1"/>
  <c r="J1458" i="1"/>
  <c r="I1458" i="1"/>
  <c r="J1457" i="1"/>
  <c r="I1457" i="1"/>
  <c r="L1456" i="1"/>
  <c r="J1455" i="1"/>
  <c r="I1455" i="1"/>
  <c r="J1454" i="1"/>
  <c r="I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L1447" i="1"/>
  <c r="L1446" i="1"/>
  <c r="J1445" i="1"/>
  <c r="I1445" i="1"/>
  <c r="L1444" i="1"/>
  <c r="J1443" i="1"/>
  <c r="I1443" i="1"/>
  <c r="J1442" i="1"/>
  <c r="I1442" i="1"/>
  <c r="L1441" i="1"/>
  <c r="J1440" i="1"/>
  <c r="I1440" i="1"/>
  <c r="J1439" i="1"/>
  <c r="I1439" i="1"/>
  <c r="J1438" i="1"/>
  <c r="I1438" i="1"/>
  <c r="J1437" i="1"/>
  <c r="I1437" i="1"/>
  <c r="J1436" i="1"/>
  <c r="I1436" i="1"/>
  <c r="L1435" i="1"/>
  <c r="J1434" i="1"/>
  <c r="I1434" i="1"/>
  <c r="J1433" i="1"/>
  <c r="I1433" i="1"/>
  <c r="J1432" i="1"/>
  <c r="I1432" i="1"/>
  <c r="J1431" i="1"/>
  <c r="I1431" i="1"/>
  <c r="L1430" i="1"/>
  <c r="L1429" i="1"/>
  <c r="L1428" i="1"/>
  <c r="L1427" i="1"/>
  <c r="J1426" i="1"/>
  <c r="I1426" i="1"/>
  <c r="L1425" i="1"/>
  <c r="J1424" i="1"/>
  <c r="I1424" i="1"/>
  <c r="J1423" i="1"/>
  <c r="I1423" i="1"/>
  <c r="J1422" i="1"/>
  <c r="I1422" i="1"/>
  <c r="J1421" i="1"/>
  <c r="I1421" i="1"/>
  <c r="J1420" i="1"/>
  <c r="I1420" i="1"/>
  <c r="J1419" i="1"/>
  <c r="I1419" i="1"/>
  <c r="L1418" i="1"/>
  <c r="J1417" i="1"/>
  <c r="I1417" i="1"/>
  <c r="J1416" i="1"/>
  <c r="I1416" i="1"/>
  <c r="L1415" i="1"/>
  <c r="J1414" i="1"/>
  <c r="I1414" i="1"/>
  <c r="J1413" i="1"/>
  <c r="I1413" i="1"/>
  <c r="L1412" i="1"/>
  <c r="J1411" i="1"/>
  <c r="I1411" i="1"/>
  <c r="J1410" i="1"/>
  <c r="I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L1403" i="1"/>
  <c r="L1402" i="1"/>
  <c r="J1401" i="1"/>
  <c r="I1401" i="1"/>
  <c r="L1400" i="1"/>
  <c r="J1399" i="1"/>
  <c r="I1399" i="1"/>
  <c r="J1398" i="1"/>
  <c r="I1398" i="1"/>
  <c r="L1397" i="1"/>
  <c r="J1396" i="1"/>
  <c r="I1396" i="1"/>
  <c r="J1395" i="1"/>
  <c r="I1395" i="1"/>
  <c r="J1394" i="1"/>
  <c r="I1394" i="1"/>
  <c r="J1393" i="1"/>
  <c r="I1393" i="1"/>
  <c r="J1392" i="1"/>
  <c r="I1392" i="1"/>
  <c r="L1391" i="1"/>
  <c r="J1390" i="1"/>
  <c r="I1390" i="1"/>
  <c r="J1389" i="1"/>
  <c r="I1389" i="1"/>
  <c r="J1388" i="1"/>
  <c r="I1388" i="1"/>
  <c r="J1387" i="1"/>
  <c r="I1387" i="1"/>
  <c r="L1386" i="1"/>
  <c r="L1385" i="1"/>
  <c r="L1384" i="1"/>
  <c r="L1383" i="1"/>
  <c r="J1382" i="1"/>
  <c r="I1382" i="1"/>
  <c r="L1381" i="1"/>
  <c r="J1380" i="1"/>
  <c r="I1380" i="1"/>
  <c r="J1379" i="1"/>
  <c r="I1379" i="1"/>
  <c r="J1378" i="1"/>
  <c r="I1378" i="1"/>
  <c r="J1377" i="1"/>
  <c r="I1377" i="1"/>
  <c r="J1376" i="1"/>
  <c r="I1376" i="1"/>
  <c r="J1375" i="1"/>
  <c r="I1375" i="1"/>
  <c r="L1374" i="1"/>
  <c r="J1373" i="1"/>
  <c r="I1373" i="1"/>
  <c r="J1372" i="1"/>
  <c r="I1372" i="1"/>
  <c r="L1371" i="1"/>
  <c r="J1370" i="1"/>
  <c r="I1370" i="1"/>
  <c r="J1369" i="1"/>
  <c r="I1369" i="1"/>
  <c r="L1368" i="1"/>
  <c r="L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J1360" i="1"/>
  <c r="I1360" i="1"/>
  <c r="L1359" i="1"/>
  <c r="L1358" i="1"/>
  <c r="J1357" i="1"/>
  <c r="I1357" i="1"/>
  <c r="L1356" i="1"/>
  <c r="J1355" i="1"/>
  <c r="I1355" i="1"/>
  <c r="J1354" i="1"/>
  <c r="I1354" i="1"/>
  <c r="L1353" i="1"/>
  <c r="J1352" i="1"/>
  <c r="I1352" i="1"/>
  <c r="J1351" i="1"/>
  <c r="I1351" i="1"/>
  <c r="J1350" i="1"/>
  <c r="I1350" i="1"/>
  <c r="J1349" i="1"/>
  <c r="I1349" i="1"/>
  <c r="J1348" i="1"/>
  <c r="I1348" i="1"/>
  <c r="L1347" i="1"/>
  <c r="J1346" i="1"/>
  <c r="I1346" i="1"/>
  <c r="J1345" i="1"/>
  <c r="I1345" i="1"/>
  <c r="J1344" i="1"/>
  <c r="I1344" i="1"/>
  <c r="J1343" i="1"/>
  <c r="I1343" i="1"/>
  <c r="L1342" i="1"/>
  <c r="L1341" i="1"/>
  <c r="L1340" i="1"/>
  <c r="L1339" i="1"/>
  <c r="J1338" i="1"/>
  <c r="I1338" i="1"/>
  <c r="L1337" i="1"/>
  <c r="L1336" i="1"/>
  <c r="J1335" i="1"/>
  <c r="I1335" i="1"/>
  <c r="J1334" i="1"/>
  <c r="I1334" i="1"/>
  <c r="J1333" i="1"/>
  <c r="I1333" i="1"/>
  <c r="J1332" i="1"/>
  <c r="I1332" i="1"/>
  <c r="J1331" i="1"/>
  <c r="I1331" i="1"/>
  <c r="L1330" i="1"/>
  <c r="J1329" i="1"/>
  <c r="I1329" i="1"/>
  <c r="J1328" i="1"/>
  <c r="I1328" i="1"/>
  <c r="L1327" i="1"/>
  <c r="J1326" i="1"/>
  <c r="I1326" i="1"/>
  <c r="J1325" i="1"/>
  <c r="I1325" i="1"/>
  <c r="L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L1315" i="1"/>
  <c r="L1314" i="1"/>
  <c r="J1313" i="1"/>
  <c r="I1313" i="1"/>
  <c r="L1312" i="1"/>
  <c r="J1311" i="1"/>
  <c r="I1311" i="1"/>
  <c r="J1310" i="1"/>
  <c r="I1310" i="1"/>
  <c r="L1309" i="1"/>
  <c r="J1308" i="1"/>
  <c r="I1308" i="1"/>
  <c r="J1307" i="1"/>
  <c r="I1307" i="1"/>
  <c r="J1306" i="1"/>
  <c r="I1306" i="1"/>
  <c r="J1305" i="1"/>
  <c r="I1305" i="1"/>
  <c r="J1304" i="1"/>
  <c r="I1304" i="1"/>
  <c r="L1303" i="1"/>
  <c r="J1302" i="1"/>
  <c r="I1302" i="1"/>
  <c r="J1301" i="1"/>
  <c r="I1301" i="1"/>
  <c r="J1300" i="1"/>
  <c r="I1300" i="1"/>
  <c r="L1299" i="1"/>
  <c r="L1298" i="1"/>
  <c r="L1297" i="1"/>
  <c r="L1296" i="1"/>
  <c r="L1295" i="1"/>
  <c r="J1294" i="1"/>
  <c r="I1294" i="1"/>
  <c r="L1293" i="1"/>
  <c r="J1292" i="1"/>
  <c r="I1292" i="1"/>
  <c r="J1291" i="1"/>
  <c r="I1291" i="1"/>
  <c r="J1290" i="1"/>
  <c r="I1290" i="1"/>
  <c r="J1289" i="1"/>
  <c r="I1289" i="1"/>
  <c r="J1288" i="1"/>
  <c r="I1288" i="1"/>
  <c r="J1287" i="1"/>
  <c r="I1287" i="1"/>
  <c r="L1286" i="1"/>
  <c r="J1285" i="1"/>
  <c r="I1285" i="1"/>
  <c r="J1284" i="1"/>
  <c r="I1284" i="1"/>
  <c r="L1283" i="1"/>
  <c r="J1282" i="1"/>
  <c r="I1282" i="1"/>
  <c r="J1281" i="1"/>
  <c r="I1281" i="1"/>
  <c r="L1280" i="1"/>
  <c r="J1279" i="1"/>
  <c r="I1279" i="1"/>
  <c r="J1278" i="1"/>
  <c r="I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L1271" i="1"/>
  <c r="L1270" i="1"/>
  <c r="J1269" i="1"/>
  <c r="I1269" i="1"/>
  <c r="L1268" i="1"/>
  <c r="J1267" i="1"/>
  <c r="I1267" i="1"/>
  <c r="J1266" i="1"/>
  <c r="I1266" i="1"/>
  <c r="L1265" i="1"/>
  <c r="J1264" i="1"/>
  <c r="I1264" i="1"/>
  <c r="J1263" i="1"/>
  <c r="I1263" i="1"/>
  <c r="J1262" i="1"/>
  <c r="I1262" i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J1244" i="1"/>
  <c r="I1244" i="1"/>
  <c r="J1243" i="1"/>
  <c r="I1243" i="1"/>
  <c r="L1242" i="1"/>
  <c r="J1241" i="1"/>
  <c r="I1241" i="1"/>
  <c r="J1240" i="1"/>
  <c r="I1240" i="1"/>
  <c r="L1239" i="1"/>
  <c r="J1238" i="1"/>
  <c r="I1238" i="1"/>
  <c r="J1237" i="1"/>
  <c r="I1237" i="1"/>
  <c r="L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L1227" i="1"/>
  <c r="L1226" i="1"/>
  <c r="J1225" i="1"/>
  <c r="I1225" i="1"/>
  <c r="L1224" i="1"/>
  <c r="J1223" i="1"/>
  <c r="I1223" i="1"/>
  <c r="J1222" i="1"/>
  <c r="I1222" i="1"/>
  <c r="L1221" i="1"/>
  <c r="J1220" i="1"/>
  <c r="I1220" i="1"/>
  <c r="J1219" i="1"/>
  <c r="I1219" i="1"/>
  <c r="J1218" i="1"/>
  <c r="I1218" i="1"/>
  <c r="J1217" i="1"/>
  <c r="I1217" i="1"/>
  <c r="J1216" i="1"/>
  <c r="I1216" i="1"/>
  <c r="L1215" i="1"/>
  <c r="J1214" i="1"/>
  <c r="I1214" i="1"/>
  <c r="J1213" i="1"/>
  <c r="I1213" i="1"/>
  <c r="J1212" i="1"/>
  <c r="I1212" i="1"/>
  <c r="L1211" i="1"/>
  <c r="L1210" i="1"/>
  <c r="L1209" i="1"/>
  <c r="L1208" i="1"/>
  <c r="L1207" i="1"/>
  <c r="L1206" i="1"/>
  <c r="L1205" i="1"/>
  <c r="J1204" i="1"/>
  <c r="I1204" i="1"/>
  <c r="J1203" i="1"/>
  <c r="I1203" i="1"/>
  <c r="L1202" i="1"/>
  <c r="L1201" i="1"/>
  <c r="J1200" i="1"/>
  <c r="I1200" i="1"/>
  <c r="J1199" i="1"/>
  <c r="I1199" i="1"/>
  <c r="L1198" i="1"/>
  <c r="J1197" i="1"/>
  <c r="I1197" i="1"/>
  <c r="J1196" i="1"/>
  <c r="I1196" i="1"/>
  <c r="L1195" i="1"/>
  <c r="J1194" i="1"/>
  <c r="I1194" i="1"/>
  <c r="J1193" i="1"/>
  <c r="I1193" i="1"/>
  <c r="L1192" i="1"/>
  <c r="J1191" i="1"/>
  <c r="I1191" i="1"/>
  <c r="L1190" i="1"/>
  <c r="J1189" i="1"/>
  <c r="I1189" i="1"/>
  <c r="J1188" i="1"/>
  <c r="I1188" i="1"/>
  <c r="J1187" i="1"/>
  <c r="I1187" i="1"/>
  <c r="L1186" i="1"/>
  <c r="J1185" i="1"/>
  <c r="I1185" i="1"/>
  <c r="J1184" i="1"/>
  <c r="I1184" i="1"/>
  <c r="L1183" i="1"/>
  <c r="L1182" i="1"/>
  <c r="J1181" i="1"/>
  <c r="I1181" i="1"/>
  <c r="L1180" i="1"/>
  <c r="J1179" i="1"/>
  <c r="I1179" i="1"/>
  <c r="J1178" i="1"/>
  <c r="I1178" i="1"/>
  <c r="L1177" i="1"/>
  <c r="J1176" i="1"/>
  <c r="I1176" i="1"/>
  <c r="J1175" i="1"/>
  <c r="I1175" i="1"/>
  <c r="J1174" i="1"/>
  <c r="I1174" i="1"/>
  <c r="J1173" i="1"/>
  <c r="I1173" i="1"/>
  <c r="J1172" i="1"/>
  <c r="I1172" i="1"/>
  <c r="L1171" i="1"/>
  <c r="J1170" i="1"/>
  <c r="I1170" i="1"/>
  <c r="J1169" i="1"/>
  <c r="I1169" i="1"/>
  <c r="J1168" i="1"/>
  <c r="I1168" i="1"/>
  <c r="L1167" i="1"/>
  <c r="L1166" i="1"/>
  <c r="L1165" i="1"/>
  <c r="L1164" i="1"/>
  <c r="L1163" i="1"/>
  <c r="J1162" i="1"/>
  <c r="I1162" i="1"/>
  <c r="L1161" i="1"/>
  <c r="L1160" i="1"/>
  <c r="J1159" i="1"/>
  <c r="I1159" i="1"/>
  <c r="L1158" i="1"/>
  <c r="J1157" i="1"/>
  <c r="I1157" i="1"/>
  <c r="J1156" i="1"/>
  <c r="I1156" i="1"/>
  <c r="J1155" i="1"/>
  <c r="I1155" i="1"/>
  <c r="L1154" i="1"/>
  <c r="J1153" i="1"/>
  <c r="I1153" i="1"/>
  <c r="J1152" i="1"/>
  <c r="I1152" i="1"/>
  <c r="L1151" i="1"/>
  <c r="J1150" i="1"/>
  <c r="I1150" i="1"/>
  <c r="J1149" i="1"/>
  <c r="I1149" i="1"/>
  <c r="L1148" i="1"/>
  <c r="J1147" i="1"/>
  <c r="I1147" i="1"/>
  <c r="J1146" i="1"/>
  <c r="I1146" i="1"/>
  <c r="J1145" i="1"/>
  <c r="I1145" i="1"/>
  <c r="J1144" i="1"/>
  <c r="I1144" i="1"/>
  <c r="L1143" i="1"/>
  <c r="J1142" i="1"/>
  <c r="I1142" i="1"/>
  <c r="J1141" i="1"/>
  <c r="I1141" i="1"/>
  <c r="J1140" i="1"/>
  <c r="I1140" i="1"/>
  <c r="L1139" i="1"/>
  <c r="L1138" i="1"/>
  <c r="J1137" i="1"/>
  <c r="I1137" i="1"/>
  <c r="L1136" i="1"/>
  <c r="J1135" i="1"/>
  <c r="I1135" i="1"/>
  <c r="J1134" i="1"/>
  <c r="I1134" i="1"/>
  <c r="L1133" i="1"/>
  <c r="J1132" i="1"/>
  <c r="I1132" i="1"/>
  <c r="J1131" i="1"/>
  <c r="I1131" i="1"/>
  <c r="J1130" i="1"/>
  <c r="I1130" i="1"/>
  <c r="J1129" i="1"/>
  <c r="I1129" i="1"/>
  <c r="J1128" i="1"/>
  <c r="I1128" i="1"/>
  <c r="L1127" i="1"/>
  <c r="J1126" i="1"/>
  <c r="I1126" i="1"/>
  <c r="J1125" i="1"/>
  <c r="I1125" i="1"/>
  <c r="J1124" i="1"/>
  <c r="I1124" i="1"/>
  <c r="L1123" i="1"/>
  <c r="L1122" i="1"/>
  <c r="L1121" i="1"/>
  <c r="L1120" i="1"/>
  <c r="L1119" i="1"/>
  <c r="L1118" i="1"/>
  <c r="L1117" i="1"/>
  <c r="L1116" i="1"/>
  <c r="J1115" i="1"/>
  <c r="I1115" i="1"/>
  <c r="L1114" i="1"/>
  <c r="J1113" i="1"/>
  <c r="I1113" i="1"/>
  <c r="J1112" i="1"/>
  <c r="I1112" i="1"/>
  <c r="J1111" i="1"/>
  <c r="I1111" i="1"/>
  <c r="L1110" i="1"/>
  <c r="J1109" i="1"/>
  <c r="I1109" i="1"/>
  <c r="J1108" i="1"/>
  <c r="I1108" i="1"/>
  <c r="L1107" i="1"/>
  <c r="J1106" i="1"/>
  <c r="I1106" i="1"/>
  <c r="J1105" i="1"/>
  <c r="I1105" i="1"/>
  <c r="L1104" i="1"/>
  <c r="J1103" i="1"/>
  <c r="I1103" i="1"/>
  <c r="J1102" i="1"/>
  <c r="I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L1095" i="1"/>
  <c r="L1094" i="1"/>
  <c r="J1093" i="1"/>
  <c r="I1093" i="1"/>
  <c r="L1092" i="1"/>
  <c r="J1091" i="1"/>
  <c r="I1091" i="1"/>
  <c r="J1090" i="1"/>
  <c r="I1090" i="1"/>
  <c r="L1089" i="1"/>
  <c r="J1088" i="1"/>
  <c r="I1088" i="1"/>
  <c r="J1087" i="1"/>
  <c r="I1087" i="1"/>
  <c r="L1086" i="1"/>
  <c r="J1085" i="1"/>
  <c r="I1085" i="1"/>
  <c r="J1084" i="1"/>
  <c r="I1084" i="1"/>
  <c r="L1083" i="1"/>
  <c r="J1082" i="1"/>
  <c r="I1082" i="1"/>
  <c r="J1081" i="1"/>
  <c r="I1081" i="1"/>
  <c r="J1080" i="1"/>
  <c r="I1080" i="1"/>
  <c r="L1079" i="1"/>
  <c r="L1078" i="1"/>
  <c r="L1077" i="1"/>
  <c r="L1076" i="1"/>
  <c r="L1075" i="1"/>
  <c r="L1074" i="1"/>
  <c r="L1073" i="1"/>
  <c r="L1072" i="1"/>
  <c r="J1071" i="1"/>
  <c r="I1071" i="1"/>
  <c r="L1070" i="1"/>
  <c r="J1069" i="1"/>
  <c r="I1069" i="1"/>
  <c r="J1068" i="1"/>
  <c r="I1068" i="1"/>
  <c r="J1067" i="1"/>
  <c r="I1067" i="1"/>
  <c r="L1066" i="1"/>
  <c r="J1065" i="1"/>
  <c r="I1065" i="1"/>
  <c r="J1064" i="1"/>
  <c r="I1064" i="1"/>
  <c r="L1063" i="1"/>
  <c r="J1062" i="1"/>
  <c r="I1062" i="1"/>
  <c r="J1061" i="1"/>
  <c r="I1061" i="1"/>
  <c r="L1060" i="1"/>
  <c r="J1059" i="1"/>
  <c r="I1059" i="1"/>
  <c r="J1058" i="1"/>
  <c r="I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56" i="1"/>
  <c r="I756" i="1"/>
  <c r="J747" i="1"/>
  <c r="I747" i="1"/>
  <c r="J746" i="1"/>
  <c r="I746" i="1"/>
  <c r="J658" i="1"/>
  <c r="I658" i="1"/>
  <c r="J638" i="1"/>
  <c r="I638" i="1"/>
  <c r="J637" i="1"/>
  <c r="I637" i="1"/>
  <c r="J625" i="1"/>
  <c r="I625" i="1"/>
  <c r="L593" i="1"/>
  <c r="J592" i="1"/>
  <c r="I592" i="1"/>
  <c r="J590" i="1"/>
  <c r="I590" i="1"/>
  <c r="J557" i="1"/>
  <c r="I557" i="1"/>
  <c r="J548" i="1"/>
  <c r="I548" i="1"/>
  <c r="J547" i="1"/>
  <c r="I547" i="1"/>
  <c r="J522" i="1"/>
  <c r="I522" i="1"/>
  <c r="J504" i="1"/>
  <c r="I504" i="1"/>
  <c r="J503" i="1"/>
  <c r="I503" i="1"/>
  <c r="J487" i="1"/>
  <c r="I487" i="1"/>
  <c r="J478" i="1"/>
  <c r="I478" i="1"/>
  <c r="J456" i="1"/>
  <c r="I456" i="1"/>
  <c r="J452" i="1"/>
  <c r="I452" i="1"/>
  <c r="J430" i="1"/>
  <c r="I430" i="1"/>
  <c r="J418" i="1"/>
  <c r="I418" i="1"/>
  <c r="J412" i="1"/>
  <c r="I412" i="1"/>
  <c r="J384" i="1"/>
  <c r="I384" i="1"/>
  <c r="J369" i="1"/>
  <c r="I369" i="1"/>
  <c r="J350" i="1"/>
  <c r="I350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199" i="1"/>
  <c r="I199" i="1"/>
  <c r="J192" i="1"/>
  <c r="I192" i="1"/>
  <c r="J154" i="1"/>
  <c r="I154" i="1"/>
  <c r="J125" i="1"/>
  <c r="I125" i="1"/>
  <c r="J124" i="1"/>
  <c r="I124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93" i="1"/>
  <c r="J92" i="1"/>
  <c r="I92" i="1"/>
  <c r="L88" i="1"/>
  <c r="J87" i="1"/>
  <c r="I87" i="1"/>
  <c r="L83" i="1"/>
  <c r="J82" i="1"/>
  <c r="I82" i="1"/>
  <c r="J659" i="1"/>
  <c r="I659" i="1"/>
  <c r="J366" i="1"/>
  <c r="I366" i="1"/>
  <c r="J159" i="1"/>
  <c r="I159" i="1"/>
  <c r="L78" i="1"/>
  <c r="J77" i="1"/>
  <c r="I77" i="1"/>
  <c r="J657" i="1"/>
  <c r="I657" i="1"/>
  <c r="J365" i="1"/>
  <c r="I365" i="1"/>
  <c r="J158" i="1"/>
  <c r="I158" i="1"/>
  <c r="L73" i="1"/>
  <c r="L72" i="1"/>
  <c r="J656" i="1"/>
  <c r="I656" i="1"/>
  <c r="J363" i="1"/>
  <c r="I363" i="1"/>
  <c r="J157" i="1"/>
  <c r="I157" i="1"/>
  <c r="L68" i="1"/>
  <c r="J67" i="1"/>
  <c r="I67" i="1"/>
  <c r="J66" i="1"/>
  <c r="I66" i="1"/>
  <c r="J655" i="1"/>
  <c r="I655" i="1"/>
  <c r="J362" i="1"/>
  <c r="I362" i="1"/>
  <c r="J155" i="1"/>
  <c r="I155" i="1"/>
  <c r="L62" i="1"/>
  <c r="J61" i="1"/>
  <c r="I61" i="1"/>
  <c r="J654" i="1"/>
  <c r="I654" i="1"/>
  <c r="J211" i="1"/>
  <c r="I211" i="1"/>
  <c r="J153" i="1"/>
  <c r="I153" i="1"/>
  <c r="J16" i="1"/>
  <c r="I16" i="1"/>
  <c r="L56" i="1"/>
  <c r="J55" i="1"/>
  <c r="I55" i="1"/>
  <c r="J653" i="1"/>
  <c r="I653" i="1"/>
  <c r="J210" i="1"/>
  <c r="I210" i="1"/>
  <c r="J99" i="1"/>
  <c r="I99" i="1"/>
  <c r="J15" i="1"/>
  <c r="I15" i="1"/>
  <c r="L50" i="1"/>
  <c r="J49" i="1"/>
  <c r="I49" i="1"/>
  <c r="J652" i="1"/>
  <c r="I652" i="1"/>
  <c r="J209" i="1"/>
  <c r="I209" i="1"/>
  <c r="J98" i="1"/>
  <c r="I98" i="1"/>
  <c r="J14" i="1"/>
  <c r="I14" i="1"/>
  <c r="L44" i="1"/>
  <c r="J43" i="1"/>
  <c r="I43" i="1"/>
  <c r="J651" i="1"/>
  <c r="I651" i="1"/>
  <c r="J208" i="1"/>
  <c r="I208" i="1"/>
  <c r="J97" i="1"/>
  <c r="I97" i="1"/>
  <c r="J11" i="1"/>
  <c r="I11" i="1"/>
  <c r="L38" i="1"/>
  <c r="J37" i="1"/>
  <c r="I37" i="1"/>
  <c r="J650" i="1"/>
  <c r="I650" i="1"/>
  <c r="J207" i="1"/>
  <c r="I207" i="1"/>
  <c r="J96" i="1"/>
  <c r="I96" i="1"/>
  <c r="J10" i="1"/>
  <c r="I10" i="1"/>
  <c r="L32" i="1"/>
  <c r="J31" i="1"/>
  <c r="I31" i="1"/>
  <c r="J648" i="1"/>
  <c r="I648" i="1"/>
  <c r="J206" i="1"/>
  <c r="I206" i="1"/>
  <c r="J95" i="1"/>
  <c r="I95" i="1"/>
  <c r="J9" i="1"/>
  <c r="I9" i="1"/>
  <c r="L26" i="1"/>
  <c r="J25" i="1"/>
  <c r="I25" i="1"/>
  <c r="J647" i="1"/>
  <c r="I647" i="1"/>
  <c r="J205" i="1"/>
  <c r="I205" i="1"/>
  <c r="J94" i="1"/>
  <c r="I94" i="1"/>
  <c r="J8" i="1"/>
  <c r="I8" i="1"/>
  <c r="L20" i="1"/>
  <c r="J19" i="1"/>
  <c r="I19" i="1"/>
  <c r="J18" i="1"/>
  <c r="I18" i="1"/>
  <c r="J613" i="1"/>
  <c r="I613" i="1"/>
  <c r="J204" i="1"/>
  <c r="I204" i="1"/>
  <c r="J91" i="1"/>
  <c r="I91" i="1"/>
  <c r="J5" i="1"/>
  <c r="I5" i="1"/>
  <c r="L13" i="1"/>
  <c r="J12" i="1"/>
  <c r="I12" i="1"/>
  <c r="L612" i="1"/>
  <c r="J203" i="1"/>
  <c r="I203" i="1"/>
  <c r="J90" i="1"/>
  <c r="I90" i="1"/>
  <c r="J4" i="1"/>
  <c r="I4" i="1"/>
  <c r="L7" i="1"/>
  <c r="J6" i="1"/>
  <c r="I6" i="1"/>
  <c r="J611" i="1"/>
  <c r="I611" i="1"/>
  <c r="J201" i="1"/>
  <c r="I201" i="1"/>
  <c r="J89" i="1"/>
  <c r="I89" i="1"/>
  <c r="J3" i="1"/>
  <c r="I3" i="1"/>
  <c r="K4696" i="1" l="1"/>
  <c r="L4696" i="1" s="1"/>
  <c r="K4695" i="1"/>
  <c r="L4695" i="1" s="1"/>
  <c r="K4694" i="1"/>
  <c r="L4694" i="1" s="1"/>
  <c r="K4693" i="1"/>
  <c r="L4693" i="1" s="1"/>
  <c r="K4692" i="1"/>
  <c r="L4692" i="1" s="1"/>
  <c r="K4691" i="1"/>
  <c r="L4691" i="1" s="1"/>
  <c r="K4685" i="1"/>
  <c r="L4685" i="1" s="1"/>
  <c r="K4682" i="1"/>
  <c r="L4682" i="1" s="1"/>
  <c r="K4679" i="1"/>
  <c r="L4679" i="1" s="1"/>
  <c r="K4676" i="1"/>
  <c r="L4676" i="1" s="1"/>
  <c r="K4673" i="1"/>
  <c r="L4673" i="1" s="1"/>
  <c r="K4403" i="1"/>
  <c r="L4403" i="1" s="1"/>
  <c r="K84" i="1"/>
  <c r="L84" i="1" s="1"/>
  <c r="K4672" i="1"/>
  <c r="L4672" i="1" s="1"/>
  <c r="K373" i="1"/>
  <c r="L373" i="1" s="1"/>
  <c r="K165" i="1"/>
  <c r="L165" i="1" s="1"/>
  <c r="K4659" i="1"/>
  <c r="L4659" i="1" s="1"/>
  <c r="K4658" i="1"/>
  <c r="L4658" i="1" s="1"/>
  <c r="K4650" i="1"/>
  <c r="L4650" i="1" s="1"/>
  <c r="K4647" i="1"/>
  <c r="L4647" i="1" s="1"/>
  <c r="K4644" i="1"/>
  <c r="L4644" i="1" s="1"/>
  <c r="K4641" i="1"/>
  <c r="L4641" i="1" s="1"/>
  <c r="K4638" i="1"/>
  <c r="L4638" i="1" s="1"/>
  <c r="K4635" i="1"/>
  <c r="L4635" i="1" s="1"/>
  <c r="K4632" i="1"/>
  <c r="L4632" i="1" s="1"/>
  <c r="K4629" i="1"/>
  <c r="L4629" i="1" s="1"/>
  <c r="K4489" i="1"/>
  <c r="L4489" i="1" s="1"/>
  <c r="K514" i="1"/>
  <c r="L514" i="1" s="1"/>
  <c r="K4671" i="1"/>
  <c r="L4671" i="1" s="1"/>
  <c r="K372" i="1"/>
  <c r="L372" i="1" s="1"/>
  <c r="K4614" i="1"/>
  <c r="L4614" i="1" s="1"/>
  <c r="K4611" i="1"/>
  <c r="L4611" i="1" s="1"/>
  <c r="K4599" i="1"/>
  <c r="L4599" i="1" s="1"/>
  <c r="K4596" i="1"/>
  <c r="L4596" i="1" s="1"/>
  <c r="K4590" i="1"/>
  <c r="L4590" i="1" s="1"/>
  <c r="K4587" i="1"/>
  <c r="L4587" i="1" s="1"/>
  <c r="K4584" i="1"/>
  <c r="L4584" i="1" s="1"/>
  <c r="K4488" i="1"/>
  <c r="L4488" i="1" s="1"/>
  <c r="K513" i="1"/>
  <c r="L513" i="1" s="1"/>
  <c r="K4670" i="1"/>
  <c r="L4670" i="1" s="1"/>
  <c r="K371" i="1"/>
  <c r="L371" i="1" s="1"/>
  <c r="K4569" i="1"/>
  <c r="L4569" i="1" s="1"/>
  <c r="K516" i="1"/>
  <c r="L516" i="1" s="1"/>
  <c r="K4069" i="1"/>
  <c r="L4069" i="1" s="1"/>
  <c r="K85" i="1"/>
  <c r="L85" i="1" s="1"/>
  <c r="K4064" i="1"/>
  <c r="L4064" i="1" s="1"/>
  <c r="K4564" i="1"/>
  <c r="L4564" i="1" s="1"/>
  <c r="K4512" i="1"/>
  <c r="L4512" i="1" s="1"/>
  <c r="K4509" i="1"/>
  <c r="L4509" i="1" s="1"/>
  <c r="K4506" i="1"/>
  <c r="L4506" i="1" s="1"/>
  <c r="K4482" i="1"/>
  <c r="L4482" i="1" s="1"/>
  <c r="K4498" i="1"/>
  <c r="L4498" i="1" s="1"/>
  <c r="K4497" i="1"/>
  <c r="L4497" i="1" s="1"/>
  <c r="K4495" i="1"/>
  <c r="L4495" i="1" s="1"/>
  <c r="K4481" i="1"/>
  <c r="L4481" i="1" s="1"/>
  <c r="K4478" i="1"/>
  <c r="L4478" i="1" s="1"/>
  <c r="K4475" i="1"/>
  <c r="L4475" i="1" s="1"/>
  <c r="K4473" i="1"/>
  <c r="L4473" i="1" s="1"/>
  <c r="K4472" i="1"/>
  <c r="L4472" i="1" s="1"/>
  <c r="K4470" i="1"/>
  <c r="L4470" i="1" s="1"/>
  <c r="K4469" i="1"/>
  <c r="L4469" i="1" s="1"/>
  <c r="K4467" i="1"/>
  <c r="L4467" i="1" s="1"/>
  <c r="K4466" i="1"/>
  <c r="L4466" i="1" s="1"/>
  <c r="K4459" i="1"/>
  <c r="L4459" i="1" s="1"/>
  <c r="K4456" i="1"/>
  <c r="L4456" i="1" s="1"/>
  <c r="K4453" i="1"/>
  <c r="L4453" i="1" s="1"/>
  <c r="K4450" i="1"/>
  <c r="L4450" i="1" s="1"/>
  <c r="K4436" i="1"/>
  <c r="L4436" i="1" s="1"/>
  <c r="K4433" i="1"/>
  <c r="L4433" i="1" s="1"/>
  <c r="K4430" i="1"/>
  <c r="L4430" i="1" s="1"/>
  <c r="K4427" i="1"/>
  <c r="L4427" i="1" s="1"/>
  <c r="K4424" i="1"/>
  <c r="L4424" i="1" s="1"/>
  <c r="K4421" i="1"/>
  <c r="L4421" i="1" s="1"/>
  <c r="K4418" i="1"/>
  <c r="L4418" i="1" s="1"/>
  <c r="K4416" i="1"/>
  <c r="L4416" i="1" s="1"/>
  <c r="K4413" i="1"/>
  <c r="L4413" i="1" s="1"/>
  <c r="K4410" i="1"/>
  <c r="L4410" i="1" s="1"/>
  <c r="K4407" i="1"/>
  <c r="L4407" i="1" s="1"/>
  <c r="K4391" i="1"/>
  <c r="L4391" i="1" s="1"/>
  <c r="K4388" i="1"/>
  <c r="L4388" i="1" s="1"/>
  <c r="K4385" i="1"/>
  <c r="L4385" i="1" s="1"/>
  <c r="K4382" i="1"/>
  <c r="L4382" i="1" s="1"/>
  <c r="K4379" i="1"/>
  <c r="L4379" i="1" s="1"/>
  <c r="K4376" i="1"/>
  <c r="L4376" i="1" s="1"/>
  <c r="K4373" i="1"/>
  <c r="L4373" i="1" s="1"/>
  <c r="K4371" i="1"/>
  <c r="L4371" i="1" s="1"/>
  <c r="K4368" i="1"/>
  <c r="L4368" i="1" s="1"/>
  <c r="K4365" i="1"/>
  <c r="L4365" i="1" s="1"/>
  <c r="K4362" i="1"/>
  <c r="L4362" i="1" s="1"/>
  <c r="K4346" i="1"/>
  <c r="L4346" i="1" s="1"/>
  <c r="K4343" i="1"/>
  <c r="L4343" i="1" s="1"/>
  <c r="K4340" i="1"/>
  <c r="L4340" i="1" s="1"/>
  <c r="K4333" i="1"/>
  <c r="L4333" i="1" s="1"/>
  <c r="K4311" i="1"/>
  <c r="L4311" i="1" s="1"/>
  <c r="K4282" i="1"/>
  <c r="L4282" i="1" s="1"/>
  <c r="K4240" i="1"/>
  <c r="L4240" i="1" s="1"/>
  <c r="K4223" i="1"/>
  <c r="L4223" i="1" s="1"/>
  <c r="K4194" i="1"/>
  <c r="L4194" i="1" s="1"/>
  <c r="K4152" i="1"/>
  <c r="L4152" i="1" s="1"/>
  <c r="K4113" i="1"/>
  <c r="L4113" i="1" s="1"/>
  <c r="K3937" i="1"/>
  <c r="L3937" i="1" s="1"/>
  <c r="K3915" i="1"/>
  <c r="L3915" i="1" s="1"/>
  <c r="K3871" i="1"/>
  <c r="L3871" i="1" s="1"/>
  <c r="K3827" i="1"/>
  <c r="L3827" i="1" s="1"/>
  <c r="K4062" i="1"/>
  <c r="L4062" i="1" s="1"/>
  <c r="K4666" i="1"/>
  <c r="L4666" i="1" s="1"/>
  <c r="K3783" i="1"/>
  <c r="L3783" i="1" s="1"/>
  <c r="K603" i="1"/>
  <c r="L603" i="1" s="1"/>
  <c r="K4020" i="1"/>
  <c r="L4020" i="1" s="1"/>
  <c r="K4663" i="1"/>
  <c r="L4663" i="1" s="1"/>
  <c r="K3712" i="1"/>
  <c r="L3712" i="1" s="1"/>
  <c r="K460" i="1"/>
  <c r="L460" i="1" s="1"/>
  <c r="K3981" i="1"/>
  <c r="L3981" i="1" s="1"/>
  <c r="K4627" i="1"/>
  <c r="L4627" i="1" s="1"/>
  <c r="K3668" i="1"/>
  <c r="L3668" i="1" s="1"/>
  <c r="K202" i="1"/>
  <c r="L202" i="1" s="1"/>
  <c r="K771" i="1"/>
  <c r="L771" i="1" s="1"/>
  <c r="K4624" i="1"/>
  <c r="L4624" i="1" s="1"/>
  <c r="K4623" i="1"/>
  <c r="L4623" i="1" s="1"/>
  <c r="K4622" i="1"/>
  <c r="L4622" i="1" s="1"/>
  <c r="K4621" i="1"/>
  <c r="L4621" i="1" s="1"/>
  <c r="K4620" i="1"/>
  <c r="L4620" i="1" s="1"/>
  <c r="K4619" i="1"/>
  <c r="L4619" i="1" s="1"/>
  <c r="K3343" i="1"/>
  <c r="L3343" i="1" s="1"/>
  <c r="K772" i="1"/>
  <c r="L772" i="1" s="1"/>
  <c r="K755" i="1"/>
  <c r="L755" i="1" s="1"/>
  <c r="K752" i="1"/>
  <c r="L752" i="1" s="1"/>
  <c r="K749" i="1"/>
  <c r="L749" i="1" s="1"/>
  <c r="K744" i="1"/>
  <c r="L744" i="1" s="1"/>
  <c r="K741" i="1"/>
  <c r="L741" i="1" s="1"/>
  <c r="K738" i="1"/>
  <c r="L738" i="1" s="1"/>
  <c r="K735" i="1"/>
  <c r="L735" i="1" s="1"/>
  <c r="K732" i="1"/>
  <c r="L732" i="1" s="1"/>
  <c r="K729" i="1"/>
  <c r="L729" i="1" s="1"/>
  <c r="K662" i="1"/>
  <c r="L662" i="1" s="1"/>
  <c r="K645" i="1"/>
  <c r="L645" i="1" s="1"/>
  <c r="K642" i="1"/>
  <c r="L642" i="1" s="1"/>
  <c r="K639" i="1"/>
  <c r="L639" i="1" s="1"/>
  <c r="K634" i="1"/>
  <c r="L634" i="1" s="1"/>
  <c r="K631" i="1"/>
  <c r="L631" i="1" s="1"/>
  <c r="K628" i="1"/>
  <c r="L628" i="1" s="1"/>
  <c r="K624" i="1"/>
  <c r="L624" i="1" s="1"/>
  <c r="K621" i="1"/>
  <c r="L621" i="1" s="1"/>
  <c r="K618" i="1"/>
  <c r="L618" i="1" s="1"/>
  <c r="K600" i="1"/>
  <c r="L600" i="1" s="1"/>
  <c r="K597" i="1"/>
  <c r="L597" i="1" s="1"/>
  <c r="K594" i="1"/>
  <c r="L594" i="1" s="1"/>
  <c r="K588" i="1"/>
  <c r="L588" i="1" s="1"/>
  <c r="K585" i="1"/>
  <c r="L585" i="1" s="1"/>
  <c r="K582" i="1"/>
  <c r="L582" i="1" s="1"/>
  <c r="K579" i="1"/>
  <c r="L579" i="1" s="1"/>
  <c r="K576" i="1"/>
  <c r="L576" i="1" s="1"/>
  <c r="K573" i="1"/>
  <c r="L573" i="1" s="1"/>
  <c r="K570" i="1"/>
  <c r="L570" i="1" s="1"/>
  <c r="K567" i="1"/>
  <c r="L567" i="1" s="1"/>
  <c r="K551" i="1"/>
  <c r="L551" i="1" s="1"/>
  <c r="K546" i="1"/>
  <c r="L546" i="1" s="1"/>
  <c r="K543" i="1"/>
  <c r="L543" i="1" s="1"/>
  <c r="K540" i="1"/>
  <c r="L540" i="1" s="1"/>
  <c r="K537" i="1"/>
  <c r="L537" i="1" s="1"/>
  <c r="K534" i="1"/>
  <c r="L534" i="1" s="1"/>
  <c r="K531" i="1"/>
  <c r="L531" i="1" s="1"/>
  <c r="K528" i="1"/>
  <c r="L528" i="1" s="1"/>
  <c r="K525" i="1"/>
  <c r="L525" i="1" s="1"/>
  <c r="K521" i="1"/>
  <c r="L521" i="1" s="1"/>
  <c r="K518" i="1"/>
  <c r="L518" i="1" s="1"/>
  <c r="K501" i="1"/>
  <c r="L501" i="1" s="1"/>
  <c r="K498" i="1"/>
  <c r="L498" i="1" s="1"/>
  <c r="K495" i="1"/>
  <c r="L495" i="1" s="1"/>
  <c r="K492" i="1"/>
  <c r="L492" i="1" s="1"/>
  <c r="K489" i="1"/>
  <c r="L489" i="1" s="1"/>
  <c r="K485" i="1"/>
  <c r="L485" i="1" s="1"/>
  <c r="K482" i="1"/>
  <c r="L482" i="1" s="1"/>
  <c r="K479" i="1"/>
  <c r="L479" i="1" s="1"/>
  <c r="K475" i="1"/>
  <c r="L475" i="1" s="1"/>
  <c r="K472" i="1"/>
  <c r="L472" i="1" s="1"/>
  <c r="K457" i="1"/>
  <c r="L457" i="1" s="1"/>
  <c r="K453" i="1"/>
  <c r="L453" i="1" s="1"/>
  <c r="K449" i="1"/>
  <c r="L449" i="1" s="1"/>
  <c r="K446" i="1"/>
  <c r="L446" i="1" s="1"/>
  <c r="K443" i="1"/>
  <c r="L443" i="1" s="1"/>
  <c r="K440" i="1"/>
  <c r="L440" i="1" s="1"/>
  <c r="K437" i="1"/>
  <c r="L437" i="1" s="1"/>
  <c r="K434" i="1"/>
  <c r="L434" i="1" s="1"/>
  <c r="K431" i="1"/>
  <c r="L431" i="1" s="1"/>
  <c r="K427" i="1"/>
  <c r="L427" i="1" s="1"/>
  <c r="K424" i="1"/>
  <c r="L424" i="1" s="1"/>
  <c r="K407" i="1"/>
  <c r="L407" i="1" s="1"/>
  <c r="K404" i="1"/>
  <c r="L404" i="1" s="1"/>
  <c r="K401" i="1"/>
  <c r="L401" i="1" s="1"/>
  <c r="K398" i="1"/>
  <c r="L398" i="1" s="1"/>
  <c r="K395" i="1"/>
  <c r="L395" i="1" s="1"/>
  <c r="K392" i="1"/>
  <c r="L392" i="1" s="1"/>
  <c r="K389" i="1"/>
  <c r="L389" i="1" s="1"/>
  <c r="K386" i="1"/>
  <c r="L386" i="1" s="1"/>
  <c r="K382" i="1"/>
  <c r="L382" i="1" s="1"/>
  <c r="K379" i="1"/>
  <c r="L379" i="1" s="1"/>
  <c r="K376" i="1"/>
  <c r="L376" i="1" s="1"/>
  <c r="K359" i="1"/>
  <c r="L359" i="1" s="1"/>
  <c r="K459" i="1"/>
  <c r="L459" i="1" s="1"/>
  <c r="K517" i="1"/>
  <c r="L517" i="1" s="1"/>
  <c r="K370" i="1"/>
  <c r="L370" i="1" s="1"/>
  <c r="K414" i="1"/>
  <c r="L414" i="1" s="1"/>
  <c r="K375" i="1"/>
  <c r="L375" i="1" s="1"/>
  <c r="K161" i="1"/>
  <c r="L161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236" i="1"/>
  <c r="L236" i="1" s="1"/>
  <c r="K235" i="1"/>
  <c r="L235" i="1" s="1"/>
  <c r="K234" i="1"/>
  <c r="L234" i="1" s="1"/>
  <c r="K233" i="1"/>
  <c r="L233" i="1" s="1"/>
  <c r="K232" i="1"/>
  <c r="L232" i="1" s="1"/>
  <c r="K231" i="1"/>
  <c r="L231" i="1" s="1"/>
  <c r="K215" i="1"/>
  <c r="L215" i="1" s="1"/>
  <c r="K214" i="1"/>
  <c r="L214" i="1" s="1"/>
  <c r="K213" i="1"/>
  <c r="L213" i="1" s="1"/>
  <c r="K212" i="1"/>
  <c r="L212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6" i="1"/>
  <c r="L126" i="1" s="1"/>
  <c r="K123" i="1"/>
  <c r="L123" i="1" s="1"/>
  <c r="K122" i="1"/>
  <c r="L122" i="1" s="1"/>
  <c r="K121" i="1"/>
  <c r="L121" i="1" s="1"/>
  <c r="K111" i="1"/>
  <c r="L111" i="1" s="1"/>
  <c r="K100" i="1"/>
  <c r="L100" i="1" s="1"/>
  <c r="K81" i="1"/>
  <c r="L81" i="1" s="1"/>
  <c r="K80" i="1"/>
  <c r="L80" i="1" s="1"/>
  <c r="K79" i="1"/>
  <c r="L79" i="1" s="1"/>
  <c r="K76" i="1"/>
  <c r="L76" i="1" s="1"/>
  <c r="K75" i="1"/>
  <c r="L75" i="1" s="1"/>
  <c r="K74" i="1"/>
  <c r="L74" i="1" s="1"/>
  <c r="K71" i="1"/>
  <c r="L71" i="1" s="1"/>
  <c r="K70" i="1"/>
  <c r="L70" i="1" s="1"/>
  <c r="K69" i="1"/>
  <c r="L69" i="1" s="1"/>
  <c r="K65" i="1"/>
  <c r="L65" i="1" s="1"/>
  <c r="K64" i="1"/>
  <c r="L64" i="1" s="1"/>
  <c r="K63" i="1"/>
  <c r="L63" i="1" s="1"/>
  <c r="K60" i="1"/>
  <c r="L60" i="1" s="1"/>
  <c r="K59" i="1"/>
  <c r="L59" i="1" s="1"/>
  <c r="K58" i="1"/>
  <c r="L58" i="1" s="1"/>
  <c r="K57" i="1"/>
  <c r="L57" i="1" s="1"/>
  <c r="K54" i="1"/>
  <c r="L54" i="1" s="1"/>
  <c r="K53" i="1"/>
  <c r="L53" i="1" s="1"/>
  <c r="K52" i="1"/>
  <c r="L52" i="1" s="1"/>
  <c r="K51" i="1"/>
  <c r="L51" i="1" s="1"/>
  <c r="K48" i="1"/>
  <c r="L48" i="1" s="1"/>
  <c r="K47" i="1"/>
  <c r="L47" i="1" s="1"/>
  <c r="K46" i="1"/>
  <c r="L46" i="1" s="1"/>
  <c r="K45" i="1"/>
  <c r="L45" i="1" s="1"/>
  <c r="K42" i="1"/>
  <c r="L42" i="1" s="1"/>
  <c r="K41" i="1"/>
  <c r="L41" i="1" s="1"/>
  <c r="K40" i="1"/>
  <c r="L40" i="1" s="1"/>
  <c r="K39" i="1"/>
  <c r="L39" i="1" s="1"/>
  <c r="K36" i="1"/>
  <c r="L36" i="1" s="1"/>
  <c r="K35" i="1"/>
  <c r="L35" i="1" s="1"/>
  <c r="K34" i="1"/>
  <c r="L34" i="1" s="1"/>
  <c r="K33" i="1"/>
  <c r="L33" i="1" s="1"/>
  <c r="K4582" i="1"/>
  <c r="L4582" i="1" s="1"/>
  <c r="K4487" i="1"/>
  <c r="L4487" i="1" s="1"/>
  <c r="K4400" i="1"/>
  <c r="L4400" i="1" s="1"/>
  <c r="K606" i="1"/>
  <c r="L606" i="1" s="1"/>
  <c r="K512" i="1"/>
  <c r="L512" i="1" s="1"/>
  <c r="K28" i="1"/>
  <c r="L28" i="1" s="1"/>
  <c r="K4581" i="1"/>
  <c r="L4581" i="1" s="1"/>
  <c r="K4486" i="1"/>
  <c r="L4486" i="1" s="1"/>
  <c r="K4399" i="1"/>
  <c r="L4399" i="1" s="1"/>
  <c r="K605" i="1"/>
  <c r="L605" i="1" s="1"/>
  <c r="K511" i="1"/>
  <c r="L511" i="1" s="1"/>
  <c r="K27" i="1"/>
  <c r="L27" i="1" s="1"/>
  <c r="K4580" i="1"/>
  <c r="L4580" i="1" s="1"/>
  <c r="K4485" i="1"/>
  <c r="L4485" i="1" s="1"/>
  <c r="K4398" i="1"/>
  <c r="L4398" i="1" s="1"/>
  <c r="K604" i="1"/>
  <c r="L604" i="1" s="1"/>
  <c r="K510" i="1"/>
  <c r="L510" i="1" s="1"/>
  <c r="K24" i="1"/>
  <c r="L24" i="1" s="1"/>
  <c r="K4579" i="1"/>
  <c r="L4579" i="1" s="1"/>
  <c r="K4484" i="1"/>
  <c r="L4484" i="1" s="1"/>
  <c r="K4397" i="1"/>
  <c r="L4397" i="1" s="1"/>
  <c r="K602" i="1"/>
  <c r="L602" i="1" s="1"/>
  <c r="K509" i="1"/>
  <c r="L509" i="1" s="1"/>
  <c r="K23" i="1"/>
  <c r="L23" i="1" s="1"/>
  <c r="K4578" i="1"/>
  <c r="L4578" i="1" s="1"/>
  <c r="K4483" i="1"/>
  <c r="L4483" i="1" s="1"/>
  <c r="K4396" i="1"/>
  <c r="L4396" i="1" s="1"/>
  <c r="K601" i="1"/>
  <c r="L601" i="1" s="1"/>
  <c r="K507" i="1"/>
  <c r="L507" i="1" s="1"/>
  <c r="K22" i="1"/>
  <c r="L22" i="1" s="1"/>
  <c r="K4577" i="1"/>
  <c r="L4577" i="1" s="1"/>
  <c r="K4449" i="1"/>
  <c r="L4449" i="1" s="1"/>
  <c r="K4395" i="1"/>
  <c r="L4395" i="1" s="1"/>
  <c r="K565" i="1"/>
  <c r="L565" i="1" s="1"/>
  <c r="K506" i="1"/>
  <c r="L506" i="1" s="1"/>
  <c r="K21" i="1"/>
  <c r="L21" i="1" s="1"/>
  <c r="K4576" i="1"/>
  <c r="L4576" i="1" s="1"/>
  <c r="K4448" i="1"/>
  <c r="L4448" i="1" s="1"/>
  <c r="K4361" i="1"/>
  <c r="L4361" i="1" s="1"/>
  <c r="K564" i="1"/>
  <c r="L564" i="1" s="1"/>
  <c r="K469" i="1"/>
  <c r="L469" i="1" s="1"/>
  <c r="K17" i="1"/>
  <c r="L17" i="1" s="1"/>
  <c r="K4575" i="1"/>
  <c r="L4575" i="1" s="1"/>
  <c r="K4447" i="1"/>
  <c r="L4447" i="1" s="1"/>
  <c r="K4360" i="1"/>
  <c r="L4360" i="1" s="1"/>
  <c r="K563" i="1"/>
  <c r="L563" i="1" s="1"/>
  <c r="K468" i="1"/>
  <c r="L468" i="1" s="1"/>
  <c r="K4574" i="1"/>
  <c r="L4574" i="1" s="1"/>
  <c r="K4446" i="1"/>
  <c r="L4446" i="1" s="1"/>
  <c r="K4359" i="1"/>
  <c r="L4359" i="1" s="1"/>
  <c r="K562" i="1"/>
  <c r="L562" i="1" s="1"/>
  <c r="K467" i="1"/>
  <c r="L467" i="1" s="1"/>
  <c r="K4573" i="1"/>
  <c r="L4573" i="1" s="1"/>
  <c r="K4445" i="1"/>
  <c r="L4445" i="1" s="1"/>
  <c r="K4358" i="1"/>
  <c r="L4358" i="1" s="1"/>
  <c r="K561" i="1"/>
  <c r="L561" i="1" s="1"/>
  <c r="K466" i="1"/>
  <c r="L466" i="1" s="1"/>
  <c r="K4572" i="1"/>
  <c r="L4572" i="1" s="1"/>
  <c r="K4444" i="1"/>
  <c r="L4444" i="1" s="1"/>
  <c r="K4357" i="1"/>
  <c r="L4357" i="1" s="1"/>
  <c r="K560" i="1"/>
  <c r="L560" i="1" s="1"/>
  <c r="K465" i="1"/>
  <c r="L465" i="1" s="1"/>
  <c r="K4571" i="1"/>
  <c r="L4571" i="1" s="1"/>
  <c r="K4443" i="1"/>
  <c r="L4443" i="1" s="1"/>
  <c r="K4356" i="1"/>
  <c r="L4356" i="1" s="1"/>
  <c r="K559" i="1"/>
  <c r="L559" i="1" s="1"/>
  <c r="K464" i="1"/>
  <c r="L464" i="1" s="1"/>
  <c r="K4568" i="1"/>
  <c r="L4568" i="1" s="1"/>
  <c r="K4442" i="1"/>
  <c r="L4442" i="1" s="1"/>
  <c r="K4355" i="1"/>
  <c r="L4355" i="1" s="1"/>
  <c r="K558" i="1"/>
  <c r="L558" i="1" s="1"/>
  <c r="K463" i="1"/>
  <c r="L463" i="1" s="1"/>
  <c r="K4567" i="1"/>
  <c r="L4567" i="1" s="1"/>
  <c r="K4441" i="1"/>
  <c r="L4441" i="1" s="1"/>
  <c r="K4354" i="1"/>
  <c r="L4354" i="1" s="1"/>
  <c r="K556" i="1"/>
  <c r="L556" i="1" s="1"/>
  <c r="K462" i="1"/>
  <c r="L462" i="1" s="1"/>
  <c r="K4494" i="1"/>
  <c r="L4494" i="1" s="1"/>
  <c r="K4440" i="1"/>
  <c r="L4440" i="1" s="1"/>
  <c r="K4353" i="1"/>
  <c r="L4353" i="1" s="1"/>
  <c r="K554" i="1"/>
  <c r="L554" i="1" s="1"/>
  <c r="K461" i="1"/>
  <c r="L461" i="1" s="1"/>
  <c r="K4493" i="1"/>
  <c r="L4493" i="1" s="1"/>
  <c r="K553" i="1"/>
  <c r="L553" i="1" s="1"/>
  <c r="K4351" i="1"/>
  <c r="L4351" i="1" s="1"/>
  <c r="K760" i="1"/>
  <c r="L760" i="1" s="1"/>
  <c r="K415" i="1"/>
  <c r="L415" i="1" s="1"/>
  <c r="K409" i="1"/>
  <c r="L409" i="1" s="1"/>
  <c r="K368" i="1"/>
  <c r="L368" i="1" s="1"/>
  <c r="K160" i="1"/>
  <c r="L160" i="1" s="1"/>
  <c r="K4705" i="1"/>
  <c r="L4705" i="1" s="1"/>
  <c r="K4704" i="1"/>
  <c r="L4704" i="1" s="1"/>
  <c r="K4702" i="1"/>
  <c r="L4702" i="1" s="1"/>
  <c r="K4690" i="1"/>
  <c r="L4690" i="1" s="1"/>
  <c r="K4688" i="1"/>
  <c r="L4688" i="1" s="1"/>
  <c r="K4686" i="1"/>
  <c r="L4686" i="1" s="1"/>
  <c r="K4683" i="1"/>
  <c r="L4683" i="1" s="1"/>
  <c r="K4680" i="1"/>
  <c r="L4680" i="1" s="1"/>
  <c r="K4677" i="1"/>
  <c r="L4677" i="1" s="1"/>
  <c r="K4674" i="1"/>
  <c r="L4674" i="1" s="1"/>
  <c r="K4490" i="1"/>
  <c r="L4490" i="1" s="1"/>
  <c r="K515" i="1"/>
  <c r="L515" i="1" s="1"/>
  <c r="K4108" i="1"/>
  <c r="L4108" i="1" s="1"/>
  <c r="K4656" i="1"/>
  <c r="L4656" i="1" s="1"/>
  <c r="K4655" i="1"/>
  <c r="L4655" i="1" s="1"/>
  <c r="K4653" i="1"/>
  <c r="L4653" i="1" s="1"/>
  <c r="K4652" i="1"/>
  <c r="L4652" i="1" s="1"/>
  <c r="K4649" i="1"/>
  <c r="L4649" i="1" s="1"/>
  <c r="K4646" i="1"/>
  <c r="L4646" i="1" s="1"/>
  <c r="K4643" i="1"/>
  <c r="L4643" i="1" s="1"/>
  <c r="K4640" i="1"/>
  <c r="L4640" i="1" s="1"/>
  <c r="K4637" i="1"/>
  <c r="L4637" i="1" s="1"/>
  <c r="K4634" i="1"/>
  <c r="L4634" i="1" s="1"/>
  <c r="K4631" i="1"/>
  <c r="L4631" i="1" s="1"/>
  <c r="K4628" i="1"/>
  <c r="L4628" i="1" s="1"/>
  <c r="K4402" i="1"/>
  <c r="L4402" i="1" s="1"/>
  <c r="K30" i="1"/>
  <c r="L30" i="1" s="1"/>
  <c r="K4106" i="1"/>
  <c r="L4106" i="1" s="1"/>
  <c r="K164" i="1"/>
  <c r="L164" i="1" s="1"/>
  <c r="K4613" i="1"/>
  <c r="L4613" i="1" s="1"/>
  <c r="K4610" i="1"/>
  <c r="L4610" i="1" s="1"/>
  <c r="K4608" i="1"/>
  <c r="L4608" i="1" s="1"/>
  <c r="K4607" i="1"/>
  <c r="L4607" i="1" s="1"/>
  <c r="K4605" i="1"/>
  <c r="L4605" i="1" s="1"/>
  <c r="K4604" i="1"/>
  <c r="L4604" i="1" s="1"/>
  <c r="K4602" i="1"/>
  <c r="L4602" i="1" s="1"/>
  <c r="K4601" i="1"/>
  <c r="L4601" i="1" s="1"/>
  <c r="K4598" i="1"/>
  <c r="L4598" i="1" s="1"/>
  <c r="K4595" i="1"/>
  <c r="L4595" i="1" s="1"/>
  <c r="K4593" i="1"/>
  <c r="L4593" i="1" s="1"/>
  <c r="K4592" i="1"/>
  <c r="L4592" i="1" s="1"/>
  <c r="K4589" i="1"/>
  <c r="L4589" i="1" s="1"/>
  <c r="K4586" i="1"/>
  <c r="L4586" i="1" s="1"/>
  <c r="K4583" i="1"/>
  <c r="L4583" i="1" s="1"/>
  <c r="K4401" i="1"/>
  <c r="L4401" i="1" s="1"/>
  <c r="K29" i="1"/>
  <c r="L29" i="1" s="1"/>
  <c r="K4091" i="1"/>
  <c r="L4091" i="1" s="1"/>
  <c r="K163" i="1"/>
  <c r="L163" i="1" s="1"/>
  <c r="K4491" i="1"/>
  <c r="L4491" i="1" s="1"/>
  <c r="K4350" i="1"/>
  <c r="L4350" i="1" s="1"/>
  <c r="K4669" i="1"/>
  <c r="L4669" i="1" s="1"/>
  <c r="K200" i="1"/>
  <c r="L200" i="1" s="1"/>
  <c r="K4668" i="1"/>
  <c r="L4668" i="1" s="1"/>
  <c r="K4565" i="1"/>
  <c r="L4565" i="1" s="1"/>
  <c r="K4562" i="1"/>
  <c r="L4562" i="1" s="1"/>
  <c r="K4561" i="1"/>
  <c r="L4561" i="1" s="1"/>
  <c r="K4559" i="1"/>
  <c r="L4559" i="1" s="1"/>
  <c r="K4558" i="1"/>
  <c r="L4558" i="1" s="1"/>
  <c r="K4548" i="1"/>
  <c r="L4548" i="1" s="1"/>
  <c r="K4546" i="1"/>
  <c r="L4546" i="1" s="1"/>
  <c r="K4511" i="1"/>
  <c r="L4511" i="1" s="1"/>
  <c r="K4508" i="1"/>
  <c r="L4508" i="1" s="1"/>
  <c r="K4504" i="1"/>
  <c r="L4504" i="1" s="1"/>
  <c r="K4503" i="1"/>
  <c r="L4503" i="1" s="1"/>
  <c r="K4501" i="1"/>
  <c r="L4501" i="1" s="1"/>
  <c r="K4500" i="1"/>
  <c r="L4500" i="1" s="1"/>
  <c r="K4479" i="1"/>
  <c r="L4479" i="1" s="1"/>
  <c r="K4476" i="1"/>
  <c r="L4476" i="1" s="1"/>
  <c r="K4464" i="1"/>
  <c r="L4464" i="1" s="1"/>
  <c r="K4463" i="1"/>
  <c r="L4463" i="1" s="1"/>
  <c r="K4461" i="1"/>
  <c r="L4461" i="1" s="1"/>
  <c r="K4439" i="1"/>
  <c r="L4439" i="1" s="1"/>
  <c r="K4458" i="1"/>
  <c r="L4458" i="1" s="1"/>
  <c r="K4455" i="1"/>
  <c r="L4455" i="1" s="1"/>
  <c r="K4452" i="1"/>
  <c r="L4452" i="1" s="1"/>
  <c r="K4438" i="1"/>
  <c r="L4438" i="1" s="1"/>
  <c r="K4435" i="1"/>
  <c r="L4435" i="1" s="1"/>
  <c r="K4432" i="1"/>
  <c r="L4432" i="1" s="1"/>
  <c r="K4429" i="1"/>
  <c r="L4429" i="1" s="1"/>
  <c r="K4426" i="1"/>
  <c r="L4426" i="1" s="1"/>
  <c r="K4423" i="1"/>
  <c r="L4423" i="1" s="1"/>
  <c r="K4420" i="1"/>
  <c r="L4420" i="1" s="1"/>
  <c r="K4394" i="1"/>
  <c r="L4394" i="1" s="1"/>
  <c r="K4415" i="1"/>
  <c r="L4415" i="1" s="1"/>
  <c r="K4412" i="1"/>
  <c r="L4412" i="1" s="1"/>
  <c r="K4409" i="1"/>
  <c r="L4409" i="1" s="1"/>
  <c r="K4393" i="1"/>
  <c r="L4393" i="1" s="1"/>
  <c r="K4390" i="1"/>
  <c r="L4390" i="1" s="1"/>
  <c r="K4387" i="1"/>
  <c r="L4387" i="1" s="1"/>
  <c r="K4384" i="1"/>
  <c r="L4384" i="1" s="1"/>
  <c r="K4381" i="1"/>
  <c r="L4381" i="1" s="1"/>
  <c r="K4378" i="1"/>
  <c r="L4378" i="1" s="1"/>
  <c r="K4375" i="1"/>
  <c r="L4375" i="1" s="1"/>
  <c r="K4349" i="1"/>
  <c r="L4349" i="1" s="1"/>
  <c r="K4370" i="1"/>
  <c r="L4370" i="1" s="1"/>
  <c r="K4367" i="1"/>
  <c r="L4367" i="1" s="1"/>
  <c r="K4364" i="1"/>
  <c r="L4364" i="1" s="1"/>
  <c r="K4348" i="1"/>
  <c r="L4348" i="1" s="1"/>
  <c r="K4345" i="1"/>
  <c r="L4345" i="1" s="1"/>
  <c r="K4342" i="1"/>
  <c r="L4342" i="1" s="1"/>
  <c r="K4339" i="1"/>
  <c r="L4339" i="1" s="1"/>
  <c r="K4328" i="1"/>
  <c r="L4328" i="1" s="1"/>
  <c r="K4289" i="1"/>
  <c r="L4289" i="1" s="1"/>
  <c r="K4267" i="1"/>
  <c r="L4267" i="1" s="1"/>
  <c r="K3976" i="1"/>
  <c r="L3976" i="1" s="1"/>
  <c r="K4201" i="1"/>
  <c r="L4201" i="1" s="1"/>
  <c r="K4179" i="1"/>
  <c r="L4179" i="1" s="1"/>
  <c r="K4150" i="1"/>
  <c r="L4150" i="1" s="1"/>
  <c r="K3974" i="1"/>
  <c r="L3974" i="1" s="1"/>
  <c r="K3932" i="1"/>
  <c r="L3932" i="1" s="1"/>
  <c r="K3893" i="1"/>
  <c r="L3893" i="1" s="1"/>
  <c r="K3849" i="1"/>
  <c r="L3849" i="1" s="1"/>
  <c r="K3805" i="1"/>
  <c r="L3805" i="1" s="1"/>
  <c r="K761" i="1"/>
  <c r="L761" i="1" s="1"/>
  <c r="K4047" i="1"/>
  <c r="L4047" i="1" s="1"/>
  <c r="K4665" i="1"/>
  <c r="L4665" i="1" s="1"/>
  <c r="K3761" i="1"/>
  <c r="L3761" i="1" s="1"/>
  <c r="K555" i="1"/>
  <c r="L555" i="1" s="1"/>
  <c r="K4018" i="1"/>
  <c r="L4018" i="1" s="1"/>
  <c r="K4662" i="1"/>
  <c r="L4662" i="1" s="1"/>
  <c r="K3695" i="1"/>
  <c r="L3695" i="1" s="1"/>
  <c r="K411" i="1"/>
  <c r="L411" i="1" s="1"/>
  <c r="K3756" i="1"/>
  <c r="L3756" i="1" s="1"/>
  <c r="K4626" i="1"/>
  <c r="L4626" i="1" s="1"/>
  <c r="K156" i="1"/>
  <c r="L156" i="1" s="1"/>
  <c r="K86" i="1"/>
  <c r="L86" i="1" s="1"/>
  <c r="K770" i="1"/>
  <c r="L770" i="1" s="1"/>
  <c r="K769" i="1"/>
  <c r="L769" i="1" s="1"/>
  <c r="K768" i="1"/>
  <c r="L768" i="1" s="1"/>
  <c r="K767" i="1"/>
  <c r="L767" i="1" s="1"/>
  <c r="K766" i="1"/>
  <c r="L766" i="1" s="1"/>
  <c r="K765" i="1"/>
  <c r="L765" i="1" s="1"/>
  <c r="K3299" i="1"/>
  <c r="L3299" i="1" s="1"/>
  <c r="K758" i="1"/>
  <c r="L758" i="1" s="1"/>
  <c r="K754" i="1"/>
  <c r="L754" i="1" s="1"/>
  <c r="K751" i="1"/>
  <c r="L751" i="1" s="1"/>
  <c r="K748" i="1"/>
  <c r="L748" i="1" s="1"/>
  <c r="K743" i="1"/>
  <c r="L743" i="1" s="1"/>
  <c r="K740" i="1"/>
  <c r="L740" i="1" s="1"/>
  <c r="K737" i="1"/>
  <c r="L737" i="1" s="1"/>
  <c r="K734" i="1"/>
  <c r="L734" i="1" s="1"/>
  <c r="K731" i="1"/>
  <c r="L731" i="1" s="1"/>
  <c r="K664" i="1"/>
  <c r="L664" i="1" s="1"/>
  <c r="K661" i="1"/>
  <c r="L661" i="1" s="1"/>
  <c r="K644" i="1"/>
  <c r="L644" i="1" s="1"/>
  <c r="K641" i="1"/>
  <c r="L641" i="1" s="1"/>
  <c r="K636" i="1"/>
  <c r="L636" i="1" s="1"/>
  <c r="K633" i="1"/>
  <c r="L633" i="1" s="1"/>
  <c r="K630" i="1"/>
  <c r="L630" i="1" s="1"/>
  <c r="K627" i="1"/>
  <c r="L627" i="1" s="1"/>
  <c r="K623" i="1"/>
  <c r="L623" i="1" s="1"/>
  <c r="K620" i="1"/>
  <c r="L620" i="1" s="1"/>
  <c r="K617" i="1"/>
  <c r="L617" i="1" s="1"/>
  <c r="K615" i="1"/>
  <c r="L615" i="1" s="1"/>
  <c r="K599" i="1"/>
  <c r="L599" i="1" s="1"/>
  <c r="K591" i="1"/>
  <c r="L591" i="1" s="1"/>
  <c r="K587" i="1"/>
  <c r="L587" i="1" s="1"/>
  <c r="K578" i="1"/>
  <c r="L578" i="1" s="1"/>
  <c r="K577" i="1"/>
  <c r="L577" i="1" s="1"/>
  <c r="K574" i="1"/>
  <c r="L574" i="1" s="1"/>
  <c r="K571" i="1"/>
  <c r="L571" i="1" s="1"/>
  <c r="K568" i="1"/>
  <c r="L568" i="1" s="1"/>
  <c r="K552" i="1"/>
  <c r="L552" i="1" s="1"/>
  <c r="K549" i="1"/>
  <c r="L549" i="1" s="1"/>
  <c r="K544" i="1"/>
  <c r="L544" i="1" s="1"/>
  <c r="K541" i="1"/>
  <c r="L541" i="1" s="1"/>
  <c r="K538" i="1"/>
  <c r="L538" i="1" s="1"/>
  <c r="K535" i="1"/>
  <c r="L535" i="1" s="1"/>
  <c r="K532" i="1"/>
  <c r="L532" i="1" s="1"/>
  <c r="K527" i="1"/>
  <c r="L527" i="1" s="1"/>
  <c r="K524" i="1"/>
  <c r="L524" i="1" s="1"/>
  <c r="K520" i="1"/>
  <c r="L520" i="1" s="1"/>
  <c r="K505" i="1"/>
  <c r="L505" i="1" s="1"/>
  <c r="K500" i="1"/>
  <c r="L500" i="1" s="1"/>
  <c r="K497" i="1"/>
  <c r="L497" i="1" s="1"/>
  <c r="K494" i="1"/>
  <c r="L494" i="1" s="1"/>
  <c r="K491" i="1"/>
  <c r="L491" i="1" s="1"/>
  <c r="K488" i="1"/>
  <c r="L488" i="1" s="1"/>
  <c r="K484" i="1"/>
  <c r="L484" i="1" s="1"/>
  <c r="K481" i="1"/>
  <c r="L481" i="1" s="1"/>
  <c r="K477" i="1"/>
  <c r="L477" i="1" s="1"/>
  <c r="K474" i="1"/>
  <c r="L474" i="1" s="1"/>
  <c r="K471" i="1"/>
  <c r="L471" i="1" s="1"/>
  <c r="K455" i="1"/>
  <c r="L455" i="1" s="1"/>
  <c r="K451" i="1"/>
  <c r="L451" i="1" s="1"/>
  <c r="K448" i="1"/>
  <c r="L448" i="1" s="1"/>
  <c r="K445" i="1"/>
  <c r="L445" i="1" s="1"/>
  <c r="K442" i="1"/>
  <c r="L442" i="1" s="1"/>
  <c r="K439" i="1"/>
  <c r="L439" i="1" s="1"/>
  <c r="K436" i="1"/>
  <c r="L436" i="1" s="1"/>
  <c r="K433" i="1"/>
  <c r="L433" i="1" s="1"/>
  <c r="K429" i="1"/>
  <c r="L429" i="1" s="1"/>
  <c r="K426" i="1"/>
  <c r="L426" i="1" s="1"/>
  <c r="K423" i="1"/>
  <c r="L423" i="1" s="1"/>
  <c r="K406" i="1"/>
  <c r="L406" i="1" s="1"/>
  <c r="K403" i="1"/>
  <c r="L403" i="1" s="1"/>
  <c r="K400" i="1"/>
  <c r="L400" i="1" s="1"/>
  <c r="K397" i="1"/>
  <c r="L397" i="1" s="1"/>
  <c r="K394" i="1"/>
  <c r="L394" i="1" s="1"/>
  <c r="K391" i="1"/>
  <c r="L391" i="1" s="1"/>
  <c r="K388" i="1"/>
  <c r="L388" i="1" s="1"/>
  <c r="K385" i="1"/>
  <c r="L385" i="1" s="1"/>
  <c r="K381" i="1"/>
  <c r="L381" i="1" s="1"/>
  <c r="K378" i="1"/>
  <c r="L378" i="1" s="1"/>
  <c r="K361" i="1"/>
  <c r="L361" i="1" s="1"/>
  <c r="K4406" i="1"/>
  <c r="L4406" i="1" s="1"/>
  <c r="K4492" i="1"/>
  <c r="L4492" i="1" s="1"/>
  <c r="K458" i="1"/>
  <c r="L458" i="1" s="1"/>
  <c r="K162" i="1"/>
  <c r="L162" i="1" s="1"/>
  <c r="K413" i="1"/>
  <c r="L413" i="1" s="1"/>
  <c r="K374" i="1"/>
  <c r="L374" i="1" s="1"/>
  <c r="K660" i="1"/>
  <c r="L660" i="1" s="1"/>
  <c r="K4703" i="1"/>
  <c r="L4703" i="1" s="1"/>
  <c r="K4701" i="1"/>
  <c r="L4701" i="1" s="1"/>
  <c r="K4700" i="1"/>
  <c r="L4700" i="1" s="1"/>
  <c r="K4699" i="1"/>
  <c r="L4699" i="1" s="1"/>
  <c r="K4698" i="1"/>
  <c r="L4698" i="1" s="1"/>
  <c r="K4697" i="1"/>
  <c r="L4697" i="1" s="1"/>
  <c r="K4689" i="1"/>
  <c r="L4689" i="1" s="1"/>
  <c r="K4687" i="1"/>
  <c r="L4687" i="1" s="1"/>
  <c r="K4684" i="1"/>
  <c r="L4684" i="1" s="1"/>
  <c r="K4681" i="1"/>
  <c r="L4681" i="1" s="1"/>
  <c r="K4678" i="1"/>
  <c r="L4678" i="1" s="1"/>
  <c r="K4675" i="1"/>
  <c r="L4675" i="1" s="1"/>
  <c r="K4618" i="1"/>
  <c r="L4618" i="1" s="1"/>
  <c r="K609" i="1"/>
  <c r="L609" i="1" s="1"/>
  <c r="K421" i="1"/>
  <c r="L421" i="1" s="1"/>
  <c r="K764" i="1"/>
  <c r="L764" i="1" s="1"/>
  <c r="K4660" i="1"/>
  <c r="L4660" i="1" s="1"/>
  <c r="K4657" i="1"/>
  <c r="L4657" i="1" s="1"/>
  <c r="K4654" i="1"/>
  <c r="L4654" i="1" s="1"/>
  <c r="K4651" i="1"/>
  <c r="L4651" i="1" s="1"/>
  <c r="K4648" i="1"/>
  <c r="L4648" i="1" s="1"/>
  <c r="K4645" i="1"/>
  <c r="L4645" i="1" s="1"/>
  <c r="K4642" i="1"/>
  <c r="L4642" i="1" s="1"/>
  <c r="K4639" i="1"/>
  <c r="L4639" i="1" s="1"/>
  <c r="K4636" i="1"/>
  <c r="L4636" i="1" s="1"/>
  <c r="K4633" i="1"/>
  <c r="L4633" i="1" s="1"/>
  <c r="K4630" i="1"/>
  <c r="L4630" i="1" s="1"/>
  <c r="K4617" i="1"/>
  <c r="L4617" i="1" s="1"/>
  <c r="K608" i="1"/>
  <c r="L608" i="1" s="1"/>
  <c r="K420" i="1"/>
  <c r="L420" i="1" s="1"/>
  <c r="K763" i="1"/>
  <c r="L763" i="1" s="1"/>
  <c r="K4615" i="1"/>
  <c r="L4615" i="1" s="1"/>
  <c r="K4612" i="1"/>
  <c r="L4612" i="1" s="1"/>
  <c r="K4609" i="1"/>
  <c r="L4609" i="1" s="1"/>
  <c r="K4606" i="1"/>
  <c r="L4606" i="1" s="1"/>
  <c r="K4603" i="1"/>
  <c r="L4603" i="1" s="1"/>
  <c r="K4600" i="1"/>
  <c r="L4600" i="1" s="1"/>
  <c r="K4597" i="1"/>
  <c r="L4597" i="1" s="1"/>
  <c r="K4594" i="1"/>
  <c r="L4594" i="1" s="1"/>
  <c r="K4591" i="1"/>
  <c r="L4591" i="1" s="1"/>
  <c r="K4588" i="1"/>
  <c r="L4588" i="1" s="1"/>
  <c r="K4585" i="1"/>
  <c r="L4585" i="1" s="1"/>
  <c r="K4616" i="1"/>
  <c r="L4616" i="1" s="1"/>
  <c r="K607" i="1"/>
  <c r="L607" i="1" s="1"/>
  <c r="K419" i="1"/>
  <c r="L419" i="1" s="1"/>
  <c r="K762" i="1"/>
  <c r="L762" i="1" s="1"/>
  <c r="K4570" i="1"/>
  <c r="L4570" i="1" s="1"/>
  <c r="K4404" i="1"/>
  <c r="L4404" i="1" s="1"/>
  <c r="K422" i="1"/>
  <c r="L422" i="1" s="1"/>
  <c r="K610" i="1"/>
  <c r="L610" i="1" s="1"/>
  <c r="K2" i="1"/>
  <c r="L2" i="1" s="1"/>
  <c r="K4566" i="1"/>
  <c r="L4566" i="1" s="1"/>
  <c r="K4563" i="1"/>
  <c r="L4563" i="1" s="1"/>
  <c r="K4560" i="1"/>
  <c r="L4560" i="1" s="1"/>
  <c r="K4553" i="1"/>
  <c r="L4553" i="1" s="1"/>
  <c r="K4513" i="1"/>
  <c r="L4513" i="1" s="1"/>
  <c r="K4510" i="1"/>
  <c r="L4510" i="1" s="1"/>
  <c r="K4507" i="1"/>
  <c r="L4507" i="1" s="1"/>
  <c r="K4505" i="1"/>
  <c r="L4505" i="1" s="1"/>
  <c r="K4502" i="1"/>
  <c r="L4502" i="1" s="1"/>
  <c r="K4499" i="1"/>
  <c r="L4499" i="1" s="1"/>
  <c r="K4496" i="1"/>
  <c r="L4496" i="1" s="1"/>
  <c r="K4480" i="1"/>
  <c r="L4480" i="1" s="1"/>
  <c r="K4477" i="1"/>
  <c r="L4477" i="1" s="1"/>
  <c r="K4474" i="1"/>
  <c r="L4474" i="1" s="1"/>
  <c r="K4471" i="1"/>
  <c r="L4471" i="1" s="1"/>
  <c r="K4468" i="1"/>
  <c r="L4468" i="1" s="1"/>
  <c r="K4465" i="1"/>
  <c r="L4465" i="1" s="1"/>
  <c r="K4462" i="1"/>
  <c r="L4462" i="1" s="1"/>
  <c r="K4460" i="1"/>
  <c r="L4460" i="1" s="1"/>
  <c r="K4457" i="1"/>
  <c r="L4457" i="1" s="1"/>
  <c r="K4454" i="1"/>
  <c r="L4454" i="1" s="1"/>
  <c r="K4451" i="1"/>
  <c r="L4451" i="1" s="1"/>
  <c r="K4437" i="1"/>
  <c r="L4437" i="1" s="1"/>
  <c r="K4434" i="1"/>
  <c r="L4434" i="1" s="1"/>
  <c r="K4431" i="1"/>
  <c r="L4431" i="1" s="1"/>
  <c r="K4428" i="1"/>
  <c r="L4428" i="1" s="1"/>
  <c r="K4425" i="1"/>
  <c r="L4425" i="1" s="1"/>
  <c r="K4422" i="1"/>
  <c r="L4422" i="1" s="1"/>
  <c r="K4419" i="1"/>
  <c r="L4419" i="1" s="1"/>
  <c r="K4417" i="1"/>
  <c r="L4417" i="1" s="1"/>
  <c r="K4414" i="1"/>
  <c r="L4414" i="1" s="1"/>
  <c r="K4411" i="1"/>
  <c r="L4411" i="1" s="1"/>
  <c r="K4408" i="1"/>
  <c r="L4408" i="1" s="1"/>
  <c r="K4392" i="1"/>
  <c r="L4392" i="1" s="1"/>
  <c r="K4389" i="1"/>
  <c r="L4389" i="1" s="1"/>
  <c r="K4386" i="1"/>
  <c r="L4386" i="1" s="1"/>
  <c r="K4383" i="1"/>
  <c r="L4383" i="1" s="1"/>
  <c r="K4380" i="1"/>
  <c r="L4380" i="1" s="1"/>
  <c r="K4377" i="1"/>
  <c r="L4377" i="1" s="1"/>
  <c r="K4374" i="1"/>
  <c r="L4374" i="1" s="1"/>
  <c r="K4372" i="1"/>
  <c r="L4372" i="1" s="1"/>
  <c r="K4369" i="1"/>
  <c r="L4369" i="1" s="1"/>
  <c r="K4366" i="1"/>
  <c r="L4366" i="1" s="1"/>
  <c r="K4363" i="1"/>
  <c r="L4363" i="1" s="1"/>
  <c r="K4347" i="1"/>
  <c r="L4347" i="1" s="1"/>
  <c r="K4344" i="1"/>
  <c r="L4344" i="1" s="1"/>
  <c r="K4341" i="1"/>
  <c r="L4341" i="1" s="1"/>
  <c r="K4338" i="1"/>
  <c r="L4338" i="1" s="1"/>
  <c r="K4326" i="1"/>
  <c r="L4326" i="1" s="1"/>
  <c r="K4284" i="1"/>
  <c r="L4284" i="1" s="1"/>
  <c r="K4245" i="1"/>
  <c r="L4245" i="1" s="1"/>
  <c r="K4238" i="1"/>
  <c r="L4238" i="1" s="1"/>
  <c r="K4196" i="1"/>
  <c r="L4196" i="1" s="1"/>
  <c r="K4157" i="1"/>
  <c r="L4157" i="1" s="1"/>
  <c r="K4135" i="1"/>
  <c r="L4135" i="1" s="1"/>
  <c r="K3959" i="1"/>
  <c r="L3959" i="1" s="1"/>
  <c r="K3930" i="1"/>
  <c r="L3930" i="1" s="1"/>
  <c r="K3888" i="1"/>
  <c r="L3888" i="1" s="1"/>
  <c r="K3844" i="1"/>
  <c r="L3844" i="1" s="1"/>
  <c r="K4667" i="1"/>
  <c r="L4667" i="1" s="1"/>
  <c r="K3800" i="1"/>
  <c r="L3800" i="1" s="1"/>
  <c r="K649" i="1"/>
  <c r="L649" i="1" s="1"/>
  <c r="K4025" i="1"/>
  <c r="L4025" i="1" s="1"/>
  <c r="K4664" i="1"/>
  <c r="L4664" i="1" s="1"/>
  <c r="K3717" i="1"/>
  <c r="L3717" i="1" s="1"/>
  <c r="K508" i="1"/>
  <c r="L508" i="1" s="1"/>
  <c r="K4003" i="1"/>
  <c r="L4003" i="1" s="1"/>
  <c r="K4661" i="1"/>
  <c r="L4661" i="1" s="1"/>
  <c r="K3673" i="1"/>
  <c r="L3673" i="1" s="1"/>
  <c r="K364" i="1"/>
  <c r="L364" i="1" s="1"/>
  <c r="K3739" i="1"/>
  <c r="L3739" i="1" s="1"/>
  <c r="K4625" i="1"/>
  <c r="L4625" i="1" s="1"/>
  <c r="K3651" i="1"/>
  <c r="L3651" i="1" s="1"/>
  <c r="K3607" i="1"/>
  <c r="L3607" i="1" s="1"/>
  <c r="K3563" i="1"/>
  <c r="L3563" i="1" s="1"/>
  <c r="K3519" i="1"/>
  <c r="L3519" i="1" s="1"/>
  <c r="K3475" i="1"/>
  <c r="L3475" i="1" s="1"/>
  <c r="K3431" i="1"/>
  <c r="L3431" i="1" s="1"/>
  <c r="K3387" i="1"/>
  <c r="L3387" i="1" s="1"/>
  <c r="K773" i="1"/>
  <c r="L773" i="1" s="1"/>
  <c r="K757" i="1"/>
  <c r="L757" i="1" s="1"/>
  <c r="K753" i="1"/>
  <c r="L753" i="1" s="1"/>
  <c r="K750" i="1"/>
  <c r="L750" i="1" s="1"/>
  <c r="K745" i="1"/>
  <c r="L745" i="1" s="1"/>
  <c r="K742" i="1"/>
  <c r="L742" i="1" s="1"/>
  <c r="K739" i="1"/>
  <c r="L739" i="1" s="1"/>
  <c r="K736" i="1"/>
  <c r="L736" i="1" s="1"/>
  <c r="K733" i="1"/>
  <c r="L733" i="1" s="1"/>
  <c r="K730" i="1"/>
  <c r="L730" i="1" s="1"/>
  <c r="K663" i="1"/>
  <c r="L663" i="1" s="1"/>
  <c r="K646" i="1"/>
  <c r="L646" i="1" s="1"/>
  <c r="K643" i="1"/>
  <c r="L643" i="1" s="1"/>
  <c r="K640" i="1"/>
  <c r="L640" i="1" s="1"/>
  <c r="K635" i="1"/>
  <c r="L635" i="1" s="1"/>
  <c r="K632" i="1"/>
  <c r="L632" i="1" s="1"/>
  <c r="K629" i="1"/>
  <c r="L629" i="1" s="1"/>
  <c r="K626" i="1"/>
  <c r="L626" i="1" s="1"/>
  <c r="K622" i="1"/>
  <c r="L622" i="1" s="1"/>
  <c r="K619" i="1"/>
  <c r="L619" i="1" s="1"/>
  <c r="K616" i="1"/>
  <c r="L616" i="1" s="1"/>
  <c r="K614" i="1"/>
  <c r="L614" i="1" s="1"/>
  <c r="K598" i="1"/>
  <c r="L598" i="1" s="1"/>
  <c r="K596" i="1"/>
  <c r="L596" i="1" s="1"/>
  <c r="K595" i="1"/>
  <c r="L595" i="1" s="1"/>
  <c r="K589" i="1"/>
  <c r="L589" i="1" s="1"/>
  <c r="K586" i="1"/>
  <c r="L586" i="1" s="1"/>
  <c r="K584" i="1"/>
  <c r="L584" i="1" s="1"/>
  <c r="K583" i="1"/>
  <c r="L583" i="1" s="1"/>
  <c r="K581" i="1"/>
  <c r="L581" i="1" s="1"/>
  <c r="K580" i="1"/>
  <c r="L580" i="1" s="1"/>
  <c r="K575" i="1"/>
  <c r="L575" i="1" s="1"/>
  <c r="K572" i="1"/>
  <c r="L572" i="1" s="1"/>
  <c r="K569" i="1"/>
  <c r="L569" i="1" s="1"/>
  <c r="K566" i="1"/>
  <c r="L566" i="1" s="1"/>
  <c r="K550" i="1"/>
  <c r="L550" i="1" s="1"/>
  <c r="K545" i="1"/>
  <c r="L545" i="1" s="1"/>
  <c r="K542" i="1"/>
  <c r="L542" i="1" s="1"/>
  <c r="K539" i="1"/>
  <c r="L539" i="1" s="1"/>
  <c r="K536" i="1"/>
  <c r="L536" i="1" s="1"/>
  <c r="K533" i="1"/>
  <c r="L533" i="1" s="1"/>
  <c r="K530" i="1"/>
  <c r="L530" i="1" s="1"/>
  <c r="K529" i="1"/>
  <c r="L529" i="1" s="1"/>
  <c r="K526" i="1"/>
  <c r="L526" i="1" s="1"/>
  <c r="K523" i="1"/>
  <c r="L523" i="1" s="1"/>
  <c r="K519" i="1"/>
  <c r="L519" i="1" s="1"/>
  <c r="K502" i="1"/>
  <c r="L502" i="1" s="1"/>
  <c r="K499" i="1"/>
  <c r="L499" i="1" s="1"/>
  <c r="K496" i="1"/>
  <c r="L496" i="1" s="1"/>
  <c r="K493" i="1"/>
  <c r="L493" i="1" s="1"/>
  <c r="K490" i="1"/>
  <c r="L490" i="1" s="1"/>
  <c r="K486" i="1"/>
  <c r="L486" i="1" s="1"/>
  <c r="K483" i="1"/>
  <c r="L483" i="1" s="1"/>
  <c r="K480" i="1"/>
  <c r="L480" i="1" s="1"/>
  <c r="K476" i="1"/>
  <c r="L476" i="1" s="1"/>
  <c r="K473" i="1"/>
  <c r="L473" i="1" s="1"/>
  <c r="K470" i="1"/>
  <c r="L470" i="1" s="1"/>
  <c r="K454" i="1"/>
  <c r="L454" i="1" s="1"/>
  <c r="K450" i="1"/>
  <c r="L450" i="1" s="1"/>
  <c r="K447" i="1"/>
  <c r="L447" i="1" s="1"/>
  <c r="K444" i="1"/>
  <c r="L444" i="1" s="1"/>
  <c r="K441" i="1"/>
  <c r="L441" i="1" s="1"/>
  <c r="K438" i="1"/>
  <c r="L438" i="1" s="1"/>
  <c r="K435" i="1"/>
  <c r="L435" i="1" s="1"/>
  <c r="K432" i="1"/>
  <c r="L432" i="1" s="1"/>
  <c r="K428" i="1"/>
  <c r="L428" i="1" s="1"/>
  <c r="K425" i="1"/>
  <c r="L425" i="1" s="1"/>
  <c r="K408" i="1"/>
  <c r="L408" i="1" s="1"/>
  <c r="K405" i="1"/>
  <c r="L405" i="1" s="1"/>
  <c r="K402" i="1"/>
  <c r="L402" i="1" s="1"/>
  <c r="K399" i="1"/>
  <c r="L399" i="1" s="1"/>
  <c r="K396" i="1"/>
  <c r="L396" i="1" s="1"/>
  <c r="K393" i="1"/>
  <c r="L393" i="1" s="1"/>
  <c r="K390" i="1"/>
  <c r="L390" i="1" s="1"/>
  <c r="K387" i="1"/>
  <c r="L387" i="1" s="1"/>
  <c r="K383" i="1"/>
  <c r="L383" i="1" s="1"/>
  <c r="K380" i="1"/>
  <c r="L380" i="1" s="1"/>
  <c r="K377" i="1"/>
  <c r="L377" i="1" s="1"/>
  <c r="K360" i="1"/>
  <c r="L360" i="1" s="1"/>
  <c r="K4352" i="1"/>
  <c r="L4352" i="1" s="1"/>
  <c r="K4405" i="1"/>
  <c r="L4405" i="1" s="1"/>
  <c r="K417" i="1"/>
  <c r="L417" i="1" s="1"/>
  <c r="K416" i="1"/>
  <c r="L416" i="1" s="1"/>
  <c r="K410" i="1"/>
  <c r="L410" i="1" s="1"/>
  <c r="K759" i="1"/>
  <c r="L759" i="1" s="1"/>
  <c r="K367" i="1"/>
  <c r="L367" i="1" s="1"/>
  <c r="K4337" i="1"/>
  <c r="L4337" i="1" s="1"/>
  <c r="K4336" i="1"/>
  <c r="L4336" i="1" s="1"/>
  <c r="K4335" i="1"/>
  <c r="L4335" i="1" s="1"/>
  <c r="K4334" i="1"/>
  <c r="L4334" i="1" s="1"/>
  <c r="K4332" i="1"/>
  <c r="L4332" i="1" s="1"/>
  <c r="K4331" i="1"/>
  <c r="L4331" i="1" s="1"/>
  <c r="K4330" i="1"/>
  <c r="L4330" i="1" s="1"/>
  <c r="K4327" i="1"/>
  <c r="L4327" i="1" s="1"/>
  <c r="K4324" i="1"/>
  <c r="L4324" i="1" s="1"/>
  <c r="K4321" i="1"/>
  <c r="L4321" i="1" s="1"/>
  <c r="K4320" i="1"/>
  <c r="L4320" i="1" s="1"/>
  <c r="K4319" i="1"/>
  <c r="L4319" i="1" s="1"/>
  <c r="K4317" i="1"/>
  <c r="L4317" i="1" s="1"/>
  <c r="K4315" i="1"/>
  <c r="L4315" i="1" s="1"/>
  <c r="K4314" i="1"/>
  <c r="L4314" i="1" s="1"/>
  <c r="K4313" i="1"/>
  <c r="L4313" i="1" s="1"/>
  <c r="K4312" i="1"/>
  <c r="L4312" i="1" s="1"/>
  <c r="K4310" i="1"/>
  <c r="L4310" i="1" s="1"/>
  <c r="K4309" i="1"/>
  <c r="L4309" i="1" s="1"/>
  <c r="K4308" i="1"/>
  <c r="L4308" i="1" s="1"/>
  <c r="K4307" i="1"/>
  <c r="L4307" i="1" s="1"/>
  <c r="K4305" i="1"/>
  <c r="L4305" i="1" s="1"/>
  <c r="K4303" i="1"/>
  <c r="L4303" i="1" s="1"/>
  <c r="K4302" i="1"/>
  <c r="L4302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4" i="1"/>
  <c r="L4294" i="1" s="1"/>
  <c r="K4293" i="1"/>
  <c r="L4293" i="1" s="1"/>
  <c r="K4292" i="1"/>
  <c r="L4292" i="1" s="1"/>
  <c r="K4291" i="1"/>
  <c r="L4291" i="1" s="1"/>
  <c r="K4290" i="1"/>
  <c r="L4290" i="1" s="1"/>
  <c r="K4288" i="1"/>
  <c r="L4288" i="1" s="1"/>
  <c r="K4287" i="1"/>
  <c r="L4287" i="1" s="1"/>
  <c r="K4286" i="1"/>
  <c r="L4286" i="1" s="1"/>
  <c r="K4285" i="1"/>
  <c r="L4285" i="1" s="1"/>
  <c r="K4283" i="1"/>
  <c r="L4283" i="1" s="1"/>
  <c r="K4281" i="1"/>
  <c r="L4281" i="1" s="1"/>
  <c r="K4280" i="1"/>
  <c r="L4280" i="1" s="1"/>
  <c r="K4277" i="1"/>
  <c r="L4277" i="1" s="1"/>
  <c r="K4276" i="1"/>
  <c r="L4276" i="1" s="1"/>
  <c r="K4275" i="1"/>
  <c r="L4275" i="1" s="1"/>
  <c r="K4273" i="1"/>
  <c r="L4273" i="1" s="1"/>
  <c r="K4271" i="1"/>
  <c r="L4271" i="1" s="1"/>
  <c r="K4269" i="1"/>
  <c r="L4269" i="1" s="1"/>
  <c r="K4268" i="1"/>
  <c r="L4268" i="1" s="1"/>
  <c r="K4266" i="1"/>
  <c r="L4266" i="1" s="1"/>
  <c r="K4265" i="1"/>
  <c r="L4265" i="1" s="1"/>
  <c r="K4264" i="1"/>
  <c r="L4264" i="1" s="1"/>
  <c r="K4263" i="1"/>
  <c r="L4263" i="1" s="1"/>
  <c r="K4261" i="1"/>
  <c r="L4261" i="1" s="1"/>
  <c r="K4259" i="1"/>
  <c r="L4259" i="1" s="1"/>
  <c r="K4258" i="1"/>
  <c r="L4258" i="1" s="1"/>
  <c r="K4257" i="1"/>
  <c r="L4257" i="1" s="1"/>
  <c r="K4254" i="1"/>
  <c r="L4254" i="1" s="1"/>
  <c r="K4253" i="1"/>
  <c r="L4253" i="1" s="1"/>
  <c r="K4252" i="1"/>
  <c r="L4252" i="1" s="1"/>
  <c r="K4250" i="1"/>
  <c r="L4250" i="1" s="1"/>
  <c r="K4249" i="1"/>
  <c r="L4249" i="1" s="1"/>
  <c r="K4248" i="1"/>
  <c r="L4248" i="1" s="1"/>
  <c r="K4247" i="1"/>
  <c r="L4247" i="1" s="1"/>
  <c r="K4246" i="1"/>
  <c r="L4246" i="1" s="1"/>
  <c r="K4244" i="1"/>
  <c r="L4244" i="1" s="1"/>
  <c r="K4241" i="1"/>
  <c r="L4241" i="1" s="1"/>
  <c r="K4239" i="1"/>
  <c r="L4239" i="1" s="1"/>
  <c r="K4237" i="1"/>
  <c r="L4237" i="1" s="1"/>
  <c r="K4236" i="1"/>
  <c r="L4236" i="1" s="1"/>
  <c r="K4233" i="1"/>
  <c r="L4233" i="1" s="1"/>
  <c r="K4232" i="1"/>
  <c r="L4232" i="1" s="1"/>
  <c r="K4231" i="1"/>
  <c r="L4231" i="1" s="1"/>
  <c r="K4229" i="1"/>
  <c r="L4229" i="1" s="1"/>
  <c r="K4227" i="1"/>
  <c r="L4227" i="1" s="1"/>
  <c r="K4225" i="1"/>
  <c r="L4225" i="1" s="1"/>
  <c r="K4224" i="1"/>
  <c r="L4224" i="1" s="1"/>
  <c r="K4222" i="1"/>
  <c r="L4222" i="1" s="1"/>
  <c r="K4221" i="1"/>
  <c r="L4221" i="1" s="1"/>
  <c r="K4220" i="1"/>
  <c r="L4220" i="1" s="1"/>
  <c r="K4219" i="1"/>
  <c r="L4219" i="1" s="1"/>
  <c r="K4217" i="1"/>
  <c r="L4217" i="1" s="1"/>
  <c r="K4215" i="1"/>
  <c r="L4215" i="1" s="1"/>
  <c r="K4214" i="1"/>
  <c r="L4214" i="1" s="1"/>
  <c r="K4213" i="1"/>
  <c r="L4213" i="1" s="1"/>
  <c r="K4210" i="1"/>
  <c r="L4210" i="1" s="1"/>
  <c r="K4209" i="1"/>
  <c r="L4209" i="1" s="1"/>
  <c r="K4208" i="1"/>
  <c r="L4208" i="1" s="1"/>
  <c r="K4206" i="1"/>
  <c r="L4206" i="1" s="1"/>
  <c r="K4205" i="1"/>
  <c r="L4205" i="1" s="1"/>
  <c r="K4204" i="1"/>
  <c r="L4204" i="1" s="1"/>
  <c r="K4203" i="1"/>
  <c r="L4203" i="1" s="1"/>
  <c r="K4202" i="1"/>
  <c r="L4202" i="1" s="1"/>
  <c r="K4200" i="1"/>
  <c r="L4200" i="1" s="1"/>
  <c r="K4199" i="1"/>
  <c r="L4199" i="1" s="1"/>
  <c r="K4198" i="1"/>
  <c r="L4198" i="1" s="1"/>
  <c r="K4197" i="1"/>
  <c r="L4197" i="1" s="1"/>
  <c r="K4195" i="1"/>
  <c r="L4195" i="1" s="1"/>
  <c r="K4193" i="1"/>
  <c r="L4193" i="1" s="1"/>
  <c r="K4192" i="1"/>
  <c r="L4192" i="1" s="1"/>
  <c r="K4189" i="1"/>
  <c r="L4189" i="1" s="1"/>
  <c r="K4188" i="1"/>
  <c r="L4188" i="1" s="1"/>
  <c r="K4187" i="1"/>
  <c r="L4187" i="1" s="1"/>
  <c r="K4185" i="1"/>
  <c r="L4185" i="1" s="1"/>
  <c r="K4183" i="1"/>
  <c r="L4183" i="1" s="1"/>
  <c r="K4181" i="1"/>
  <c r="L4181" i="1" s="1"/>
  <c r="K4180" i="1"/>
  <c r="L4180" i="1" s="1"/>
  <c r="K4178" i="1"/>
  <c r="L4178" i="1" s="1"/>
  <c r="K4177" i="1"/>
  <c r="L4177" i="1" s="1"/>
  <c r="K4176" i="1"/>
  <c r="L4176" i="1" s="1"/>
  <c r="K4175" i="1"/>
  <c r="L4175" i="1" s="1"/>
  <c r="K4173" i="1"/>
  <c r="L4173" i="1" s="1"/>
  <c r="K4171" i="1"/>
  <c r="L4171" i="1" s="1"/>
  <c r="K4170" i="1"/>
  <c r="L4170" i="1" s="1"/>
  <c r="K4169" i="1"/>
  <c r="L4169" i="1" s="1"/>
  <c r="K4166" i="1"/>
  <c r="L4166" i="1" s="1"/>
  <c r="K4165" i="1"/>
  <c r="L4165" i="1" s="1"/>
  <c r="K4164" i="1"/>
  <c r="L4164" i="1" s="1"/>
  <c r="K4162" i="1"/>
  <c r="L4162" i="1" s="1"/>
  <c r="K4161" i="1"/>
  <c r="L4161" i="1" s="1"/>
  <c r="K4160" i="1"/>
  <c r="L4160" i="1" s="1"/>
  <c r="K4159" i="1"/>
  <c r="L4159" i="1" s="1"/>
  <c r="K4158" i="1"/>
  <c r="L4158" i="1" s="1"/>
  <c r="K4156" i="1"/>
  <c r="L4156" i="1" s="1"/>
  <c r="K4155" i="1"/>
  <c r="L4155" i="1" s="1"/>
  <c r="K4154" i="1"/>
  <c r="L4154" i="1" s="1"/>
  <c r="K4153" i="1"/>
  <c r="L4153" i="1" s="1"/>
  <c r="K4151" i="1"/>
  <c r="L4151" i="1" s="1"/>
  <c r="K4149" i="1"/>
  <c r="L4149" i="1" s="1"/>
  <c r="K4148" i="1"/>
  <c r="L4148" i="1" s="1"/>
  <c r="K4145" i="1"/>
  <c r="L4145" i="1" s="1"/>
  <c r="K4144" i="1"/>
  <c r="L4144" i="1" s="1"/>
  <c r="K4143" i="1"/>
  <c r="L4143" i="1" s="1"/>
  <c r="K4141" i="1"/>
  <c r="L4141" i="1" s="1"/>
  <c r="K4139" i="1"/>
  <c r="L4139" i="1" s="1"/>
  <c r="K4137" i="1"/>
  <c r="L4137" i="1" s="1"/>
  <c r="K4134" i="1"/>
  <c r="L4134" i="1" s="1"/>
  <c r="K4133" i="1"/>
  <c r="L4133" i="1" s="1"/>
  <c r="K4132" i="1"/>
  <c r="L4132" i="1" s="1"/>
  <c r="K4131" i="1"/>
  <c r="L4131" i="1" s="1"/>
  <c r="K4129" i="1"/>
  <c r="L4129" i="1" s="1"/>
  <c r="K4127" i="1"/>
  <c r="L4127" i="1" s="1"/>
  <c r="K4126" i="1"/>
  <c r="L4126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8" i="1"/>
  <c r="L4118" i="1" s="1"/>
  <c r="K4116" i="1"/>
  <c r="L4116" i="1" s="1"/>
  <c r="K4115" i="1"/>
  <c r="L4115" i="1" s="1"/>
  <c r="K4114" i="1"/>
  <c r="L4114" i="1" s="1"/>
  <c r="K4112" i="1"/>
  <c r="L4112" i="1" s="1"/>
  <c r="K4111" i="1"/>
  <c r="L4111" i="1" s="1"/>
  <c r="K4110" i="1"/>
  <c r="L4110" i="1" s="1"/>
  <c r="K4109" i="1"/>
  <c r="L4109" i="1" s="1"/>
  <c r="K4107" i="1"/>
  <c r="L4107" i="1" s="1"/>
  <c r="K4105" i="1"/>
  <c r="L4105" i="1" s="1"/>
  <c r="K4104" i="1"/>
  <c r="L4104" i="1" s="1"/>
  <c r="K4101" i="1"/>
  <c r="L4101" i="1" s="1"/>
  <c r="K4100" i="1"/>
  <c r="L4100" i="1" s="1"/>
  <c r="K4099" i="1"/>
  <c r="L4099" i="1" s="1"/>
  <c r="K4097" i="1"/>
  <c r="L4097" i="1" s="1"/>
  <c r="K4095" i="1"/>
  <c r="L4095" i="1" s="1"/>
  <c r="K4093" i="1"/>
  <c r="L4093" i="1" s="1"/>
  <c r="K4090" i="1"/>
  <c r="L4090" i="1" s="1"/>
  <c r="K4089" i="1"/>
  <c r="L4089" i="1" s="1"/>
  <c r="K4088" i="1"/>
  <c r="L4088" i="1" s="1"/>
  <c r="K4087" i="1"/>
  <c r="L4087" i="1" s="1"/>
  <c r="K4085" i="1"/>
  <c r="L4085" i="1" s="1"/>
  <c r="K4083" i="1"/>
  <c r="L4083" i="1" s="1"/>
  <c r="K4082" i="1"/>
  <c r="L4082" i="1" s="1"/>
  <c r="K4081" i="1"/>
  <c r="L4081" i="1" s="1"/>
  <c r="K4080" i="1"/>
  <c r="L4080" i="1" s="1"/>
  <c r="K4079" i="1"/>
  <c r="L4079" i="1" s="1"/>
  <c r="K4077" i="1"/>
  <c r="L4077" i="1" s="1"/>
  <c r="K4076" i="1"/>
  <c r="L4076" i="1" s="1"/>
  <c r="K4074" i="1"/>
  <c r="L4074" i="1" s="1"/>
  <c r="K4073" i="1"/>
  <c r="L4073" i="1" s="1"/>
  <c r="K4072" i="1"/>
  <c r="L4072" i="1" s="1"/>
  <c r="K4071" i="1"/>
  <c r="L4071" i="1" s="1"/>
  <c r="K4070" i="1"/>
  <c r="L4070" i="1" s="1"/>
  <c r="K4068" i="1"/>
  <c r="L4068" i="1" s="1"/>
  <c r="K4067" i="1"/>
  <c r="L4067" i="1" s="1"/>
  <c r="K4066" i="1"/>
  <c r="L4066" i="1" s="1"/>
  <c r="K4065" i="1"/>
  <c r="L4065" i="1" s="1"/>
  <c r="K4063" i="1"/>
  <c r="L4063" i="1" s="1"/>
  <c r="K4061" i="1"/>
  <c r="L4061" i="1" s="1"/>
  <c r="K4060" i="1"/>
  <c r="L4060" i="1" s="1"/>
  <c r="K4059" i="1"/>
  <c r="L4059" i="1" s="1"/>
  <c r="K4057" i="1"/>
  <c r="L4057" i="1" s="1"/>
  <c r="K4056" i="1"/>
  <c r="L4056" i="1" s="1"/>
  <c r="K4055" i="1"/>
  <c r="L4055" i="1" s="1"/>
  <c r="K4053" i="1"/>
  <c r="L4053" i="1" s="1"/>
  <c r="K4051" i="1"/>
  <c r="L4051" i="1" s="1"/>
  <c r="K4049" i="1"/>
  <c r="L4049" i="1" s="1"/>
  <c r="K4046" i="1"/>
  <c r="L4046" i="1" s="1"/>
  <c r="K4045" i="1"/>
  <c r="L4045" i="1" s="1"/>
  <c r="K4044" i="1"/>
  <c r="L4044" i="1" s="1"/>
  <c r="K4043" i="1"/>
  <c r="L4043" i="1" s="1"/>
  <c r="K4041" i="1"/>
  <c r="L4041" i="1" s="1"/>
  <c r="K4039" i="1"/>
  <c r="L4039" i="1" s="1"/>
  <c r="K4038" i="1"/>
  <c r="L4038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0" i="1"/>
  <c r="L4030" i="1" s="1"/>
  <c r="K4029" i="1"/>
  <c r="L4029" i="1" s="1"/>
  <c r="K4028" i="1"/>
  <c r="L4028" i="1" s="1"/>
  <c r="K4027" i="1"/>
  <c r="L4027" i="1" s="1"/>
  <c r="K4026" i="1"/>
  <c r="L4026" i="1" s="1"/>
  <c r="K4024" i="1"/>
  <c r="L4024" i="1" s="1"/>
  <c r="K4023" i="1"/>
  <c r="L4023" i="1" s="1"/>
  <c r="K4022" i="1"/>
  <c r="L4022" i="1" s="1"/>
  <c r="K4021" i="1"/>
  <c r="L4021" i="1" s="1"/>
  <c r="K4019" i="1"/>
  <c r="L4019" i="1" s="1"/>
  <c r="K4017" i="1"/>
  <c r="L4017" i="1" s="1"/>
  <c r="K4016" i="1"/>
  <c r="L4016" i="1" s="1"/>
  <c r="K4015" i="1"/>
  <c r="L4015" i="1" s="1"/>
  <c r="K4013" i="1"/>
  <c r="L4013" i="1" s="1"/>
  <c r="K4012" i="1"/>
  <c r="L4012" i="1" s="1"/>
  <c r="K4011" i="1"/>
  <c r="L4011" i="1" s="1"/>
  <c r="K4009" i="1"/>
  <c r="L4009" i="1" s="1"/>
  <c r="K4007" i="1"/>
  <c r="L4007" i="1" s="1"/>
  <c r="K4005" i="1"/>
  <c r="L4005" i="1" s="1"/>
  <c r="K4002" i="1"/>
  <c r="L4002" i="1" s="1"/>
  <c r="K4001" i="1"/>
  <c r="L4001" i="1" s="1"/>
  <c r="K4000" i="1"/>
  <c r="L4000" i="1" s="1"/>
  <c r="K3999" i="1"/>
  <c r="L3999" i="1" s="1"/>
  <c r="K3997" i="1"/>
  <c r="L3997" i="1" s="1"/>
  <c r="K3995" i="1"/>
  <c r="L3995" i="1" s="1"/>
  <c r="K3994" i="1"/>
  <c r="L3994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6" i="1"/>
  <c r="L3986" i="1" s="1"/>
  <c r="K3985" i="1"/>
  <c r="L3985" i="1" s="1"/>
  <c r="K3984" i="1"/>
  <c r="L3984" i="1" s="1"/>
  <c r="K3983" i="1"/>
  <c r="L3983" i="1" s="1"/>
  <c r="K3982" i="1"/>
  <c r="L3982" i="1" s="1"/>
  <c r="K3980" i="1"/>
  <c r="L3980" i="1" s="1"/>
  <c r="K3979" i="1"/>
  <c r="L3979" i="1" s="1"/>
  <c r="K3978" i="1"/>
  <c r="L3978" i="1" s="1"/>
  <c r="K3977" i="1"/>
  <c r="L3977" i="1" s="1"/>
  <c r="K3975" i="1"/>
  <c r="L3975" i="1" s="1"/>
  <c r="K3973" i="1"/>
  <c r="L3973" i="1" s="1"/>
  <c r="K3972" i="1"/>
  <c r="L3972" i="1" s="1"/>
  <c r="K3971" i="1"/>
  <c r="L3971" i="1" s="1"/>
  <c r="K3969" i="1"/>
  <c r="L3969" i="1" s="1"/>
  <c r="K3968" i="1"/>
  <c r="L3968" i="1" s="1"/>
  <c r="K3967" i="1"/>
  <c r="L3967" i="1" s="1"/>
  <c r="K3966" i="1"/>
  <c r="L3966" i="1" s="1"/>
  <c r="K3965" i="1"/>
  <c r="L3965" i="1" s="1"/>
  <c r="K3963" i="1"/>
  <c r="L3963" i="1" s="1"/>
  <c r="K3961" i="1"/>
  <c r="L3961" i="1" s="1"/>
  <c r="K3958" i="1"/>
  <c r="L3958" i="1" s="1"/>
  <c r="K3957" i="1"/>
  <c r="L3957" i="1" s="1"/>
  <c r="K3956" i="1"/>
  <c r="L3956" i="1" s="1"/>
  <c r="K3955" i="1"/>
  <c r="L3955" i="1" s="1"/>
  <c r="K3953" i="1"/>
  <c r="L3953" i="1" s="1"/>
  <c r="K3951" i="1"/>
  <c r="L3951" i="1" s="1"/>
  <c r="K3950" i="1"/>
  <c r="L3950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2" i="1"/>
  <c r="L3942" i="1" s="1"/>
  <c r="K3941" i="1"/>
  <c r="L3941" i="1" s="1"/>
  <c r="K3940" i="1"/>
  <c r="L3940" i="1" s="1"/>
  <c r="K3939" i="1"/>
  <c r="L3939" i="1" s="1"/>
  <c r="K3938" i="1"/>
  <c r="L3938" i="1" s="1"/>
  <c r="K3936" i="1"/>
  <c r="L3936" i="1" s="1"/>
  <c r="K3935" i="1"/>
  <c r="L3935" i="1" s="1"/>
  <c r="K3934" i="1"/>
  <c r="L3934" i="1" s="1"/>
  <c r="K3933" i="1"/>
  <c r="L3933" i="1" s="1"/>
  <c r="K3931" i="1"/>
  <c r="L3931" i="1" s="1"/>
  <c r="K3928" i="1"/>
  <c r="L3928" i="1" s="1"/>
  <c r="K3927" i="1"/>
  <c r="L3927" i="1" s="1"/>
  <c r="K3925" i="1"/>
  <c r="L3925" i="1" s="1"/>
  <c r="K3924" i="1"/>
  <c r="L3924" i="1" s="1"/>
  <c r="K3923" i="1"/>
  <c r="L3923" i="1" s="1"/>
  <c r="K3922" i="1"/>
  <c r="L3922" i="1" s="1"/>
  <c r="K3921" i="1"/>
  <c r="L3921" i="1" s="1"/>
  <c r="K3919" i="1"/>
  <c r="L3919" i="1" s="1"/>
  <c r="K3917" i="1"/>
  <c r="L3917" i="1" s="1"/>
  <c r="K3914" i="1"/>
  <c r="L3914" i="1" s="1"/>
  <c r="K3913" i="1"/>
  <c r="L3913" i="1" s="1"/>
  <c r="K3912" i="1"/>
  <c r="L3912" i="1" s="1"/>
  <c r="K3911" i="1"/>
  <c r="L3911" i="1" s="1"/>
  <c r="K3909" i="1"/>
  <c r="L3909" i="1" s="1"/>
  <c r="K3907" i="1"/>
  <c r="L3907" i="1" s="1"/>
  <c r="K3906" i="1"/>
  <c r="L3906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8" i="1"/>
  <c r="L3898" i="1" s="1"/>
  <c r="K3897" i="1"/>
  <c r="L3897" i="1" s="1"/>
  <c r="K3896" i="1"/>
  <c r="L3896" i="1" s="1"/>
  <c r="K3895" i="1"/>
  <c r="L3895" i="1" s="1"/>
  <c r="K3894" i="1"/>
  <c r="L3894" i="1" s="1"/>
  <c r="K3892" i="1"/>
  <c r="L3892" i="1" s="1"/>
  <c r="K3891" i="1"/>
  <c r="L3891" i="1" s="1"/>
  <c r="K3890" i="1"/>
  <c r="L3890" i="1" s="1"/>
  <c r="K3889" i="1"/>
  <c r="L3889" i="1" s="1"/>
  <c r="K3887" i="1"/>
  <c r="L3887" i="1" s="1"/>
  <c r="K3886" i="1"/>
  <c r="L3886" i="1" s="1"/>
  <c r="K3885" i="1"/>
  <c r="L3885" i="1" s="1"/>
  <c r="K3884" i="1"/>
  <c r="L3884" i="1" s="1"/>
  <c r="K3883" i="1"/>
  <c r="L3883" i="1" s="1"/>
  <c r="K3881" i="1"/>
  <c r="L3881" i="1" s="1"/>
  <c r="K3880" i="1"/>
  <c r="L3880" i="1" s="1"/>
  <c r="K3879" i="1"/>
  <c r="L3879" i="1" s="1"/>
  <c r="K3878" i="1"/>
  <c r="L3878" i="1" s="1"/>
  <c r="K3877" i="1"/>
  <c r="L3877" i="1" s="1"/>
  <c r="K3875" i="1"/>
  <c r="L3875" i="1" s="1"/>
  <c r="K3873" i="1"/>
  <c r="L3873" i="1" s="1"/>
  <c r="K3870" i="1"/>
  <c r="L3870" i="1" s="1"/>
  <c r="K3869" i="1"/>
  <c r="L3869" i="1" s="1"/>
  <c r="K3868" i="1"/>
  <c r="L3868" i="1" s="1"/>
  <c r="K3867" i="1"/>
  <c r="L3867" i="1" s="1"/>
  <c r="K3865" i="1"/>
  <c r="L3865" i="1" s="1"/>
  <c r="K3863" i="1"/>
  <c r="L3863" i="1" s="1"/>
  <c r="K3862" i="1"/>
  <c r="L3862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4" i="1"/>
  <c r="L3854" i="1" s="1"/>
  <c r="K3853" i="1"/>
  <c r="L3853" i="1" s="1"/>
  <c r="K3852" i="1"/>
  <c r="L3852" i="1" s="1"/>
  <c r="K3851" i="1"/>
  <c r="L3851" i="1" s="1"/>
  <c r="K3850" i="1"/>
  <c r="L3850" i="1" s="1"/>
  <c r="K3848" i="1"/>
  <c r="L3848" i="1" s="1"/>
  <c r="K3847" i="1"/>
  <c r="L3847" i="1" s="1"/>
  <c r="K3846" i="1"/>
  <c r="L3846" i="1" s="1"/>
  <c r="K3845" i="1"/>
  <c r="L3845" i="1" s="1"/>
  <c r="K3843" i="1"/>
  <c r="L3843" i="1" s="1"/>
  <c r="K3842" i="1"/>
  <c r="L3842" i="1" s="1"/>
  <c r="K3841" i="1"/>
  <c r="L3841" i="1" s="1"/>
  <c r="K3840" i="1"/>
  <c r="L3840" i="1" s="1"/>
  <c r="K3839" i="1"/>
  <c r="L3839" i="1" s="1"/>
  <c r="K3837" i="1"/>
  <c r="L3837" i="1" s="1"/>
  <c r="K3836" i="1"/>
  <c r="L3836" i="1" s="1"/>
  <c r="K3835" i="1"/>
  <c r="L3835" i="1" s="1"/>
  <c r="K3834" i="1"/>
  <c r="L3834" i="1" s="1"/>
  <c r="K3833" i="1"/>
  <c r="L3833" i="1" s="1"/>
  <c r="K3831" i="1"/>
  <c r="L3831" i="1" s="1"/>
  <c r="K3829" i="1"/>
  <c r="L3829" i="1" s="1"/>
  <c r="K3826" i="1"/>
  <c r="L3826" i="1" s="1"/>
  <c r="K3825" i="1"/>
  <c r="L3825" i="1" s="1"/>
  <c r="K3824" i="1"/>
  <c r="L3824" i="1" s="1"/>
  <c r="K3823" i="1"/>
  <c r="L3823" i="1" s="1"/>
  <c r="K3821" i="1"/>
  <c r="L3821" i="1" s="1"/>
  <c r="K3819" i="1"/>
  <c r="L3819" i="1" s="1"/>
  <c r="K3818" i="1"/>
  <c r="L3818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0" i="1"/>
  <c r="L3810" i="1" s="1"/>
  <c r="K3809" i="1"/>
  <c r="L3809" i="1" s="1"/>
  <c r="K3808" i="1"/>
  <c r="L3808" i="1" s="1"/>
  <c r="K3807" i="1"/>
  <c r="L3807" i="1" s="1"/>
  <c r="K3806" i="1"/>
  <c r="L3806" i="1" s="1"/>
  <c r="K3804" i="1"/>
  <c r="L3804" i="1" s="1"/>
  <c r="K3803" i="1"/>
  <c r="L3803" i="1" s="1"/>
  <c r="K3802" i="1"/>
  <c r="L3802" i="1" s="1"/>
  <c r="K3801" i="1"/>
  <c r="L3801" i="1" s="1"/>
  <c r="K3799" i="1"/>
  <c r="L3799" i="1" s="1"/>
  <c r="K3798" i="1"/>
  <c r="L3798" i="1" s="1"/>
  <c r="K3796" i="1"/>
  <c r="L3796" i="1" s="1"/>
  <c r="K3795" i="1"/>
  <c r="L3795" i="1" s="1"/>
  <c r="K3793" i="1"/>
  <c r="L3793" i="1" s="1"/>
  <c r="K3792" i="1"/>
  <c r="L3792" i="1" s="1"/>
  <c r="K3791" i="1"/>
  <c r="L3791" i="1" s="1"/>
  <c r="K3790" i="1"/>
  <c r="L3790" i="1" s="1"/>
  <c r="K3789" i="1"/>
  <c r="L3789" i="1" s="1"/>
  <c r="K3787" i="1"/>
  <c r="L3787" i="1" s="1"/>
  <c r="K3785" i="1"/>
  <c r="L3785" i="1" s="1"/>
  <c r="K3782" i="1"/>
  <c r="L3782" i="1" s="1"/>
  <c r="K3781" i="1"/>
  <c r="L3781" i="1" s="1"/>
  <c r="K3780" i="1"/>
  <c r="L3780" i="1" s="1"/>
  <c r="K3779" i="1"/>
  <c r="L3779" i="1" s="1"/>
  <c r="K3777" i="1"/>
  <c r="L3777" i="1" s="1"/>
  <c r="K3775" i="1"/>
  <c r="L3775" i="1" s="1"/>
  <c r="K3774" i="1"/>
  <c r="L3774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6" i="1"/>
  <c r="L3766" i="1" s="1"/>
  <c r="K3765" i="1"/>
  <c r="L3765" i="1" s="1"/>
  <c r="K3764" i="1"/>
  <c r="L3764" i="1" s="1"/>
  <c r="K3763" i="1"/>
  <c r="L3763" i="1" s="1"/>
  <c r="K3762" i="1"/>
  <c r="L3762" i="1" s="1"/>
  <c r="K3760" i="1"/>
  <c r="L3760" i="1" s="1"/>
  <c r="K3759" i="1"/>
  <c r="L3759" i="1" s="1"/>
  <c r="K3758" i="1"/>
  <c r="L3758" i="1" s="1"/>
  <c r="K3757" i="1"/>
  <c r="L3757" i="1" s="1"/>
  <c r="K3755" i="1"/>
  <c r="L3755" i="1" s="1"/>
  <c r="K3754" i="1"/>
  <c r="L3754" i="1" s="1"/>
  <c r="K3753" i="1"/>
  <c r="L3753" i="1" s="1"/>
  <c r="K3752" i="1"/>
  <c r="L3752" i="1" s="1"/>
  <c r="K3751" i="1"/>
  <c r="L3751" i="1" s="1"/>
  <c r="K3749" i="1"/>
  <c r="L3749" i="1" s="1"/>
  <c r="K3748" i="1"/>
  <c r="L3748" i="1" s="1"/>
  <c r="K3747" i="1"/>
  <c r="L3747" i="1" s="1"/>
  <c r="K3746" i="1"/>
  <c r="L3746" i="1" s="1"/>
  <c r="K3745" i="1"/>
  <c r="L3745" i="1" s="1"/>
  <c r="K3743" i="1"/>
  <c r="L3743" i="1" s="1"/>
  <c r="K3741" i="1"/>
  <c r="L3741" i="1" s="1"/>
  <c r="K3738" i="1"/>
  <c r="L3738" i="1" s="1"/>
  <c r="K3737" i="1"/>
  <c r="L3737" i="1" s="1"/>
  <c r="K3736" i="1"/>
  <c r="L3736" i="1" s="1"/>
  <c r="K3735" i="1"/>
  <c r="L3735" i="1" s="1"/>
  <c r="K3733" i="1"/>
  <c r="L3733" i="1" s="1"/>
  <c r="K3731" i="1"/>
  <c r="L3731" i="1" s="1"/>
  <c r="K3730" i="1"/>
  <c r="L3730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2" i="1"/>
  <c r="L3722" i="1" s="1"/>
  <c r="K3721" i="1"/>
  <c r="L3721" i="1" s="1"/>
  <c r="K3720" i="1"/>
  <c r="L3720" i="1" s="1"/>
  <c r="K3719" i="1"/>
  <c r="L3719" i="1" s="1"/>
  <c r="K3718" i="1"/>
  <c r="L3718" i="1" s="1"/>
  <c r="K3716" i="1"/>
  <c r="L3716" i="1" s="1"/>
  <c r="K3715" i="1"/>
  <c r="L3715" i="1" s="1"/>
  <c r="K3714" i="1"/>
  <c r="L3714" i="1" s="1"/>
  <c r="K3713" i="1"/>
  <c r="L3713" i="1" s="1"/>
  <c r="K3711" i="1"/>
  <c r="L3711" i="1" s="1"/>
  <c r="K3710" i="1"/>
  <c r="L3710" i="1" s="1"/>
  <c r="K3709" i="1"/>
  <c r="L3709" i="1" s="1"/>
  <c r="K3708" i="1"/>
  <c r="L3708" i="1" s="1"/>
  <c r="K3705" i="1"/>
  <c r="L3705" i="1" s="1"/>
  <c r="K3704" i="1"/>
  <c r="L3704" i="1" s="1"/>
  <c r="K3703" i="1"/>
  <c r="L3703" i="1" s="1"/>
  <c r="K3702" i="1"/>
  <c r="L3702" i="1" s="1"/>
  <c r="K3701" i="1"/>
  <c r="L3701" i="1" s="1"/>
  <c r="K3699" i="1"/>
  <c r="L3699" i="1" s="1"/>
  <c r="K3697" i="1"/>
  <c r="L3697" i="1" s="1"/>
  <c r="K3694" i="1"/>
  <c r="L3694" i="1" s="1"/>
  <c r="K3693" i="1"/>
  <c r="L3693" i="1" s="1"/>
  <c r="K3692" i="1"/>
  <c r="L3692" i="1" s="1"/>
  <c r="K3691" i="1"/>
  <c r="L3691" i="1" s="1"/>
  <c r="K3689" i="1"/>
  <c r="L3689" i="1" s="1"/>
  <c r="K3687" i="1"/>
  <c r="L3687" i="1" s="1"/>
  <c r="K3686" i="1"/>
  <c r="L3686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8" i="1"/>
  <c r="L3678" i="1" s="1"/>
  <c r="K3666" i="1"/>
  <c r="L3666" i="1" s="1"/>
  <c r="K3633" i="1"/>
  <c r="L3633" i="1" s="1"/>
  <c r="K3632" i="1"/>
  <c r="L3632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622" i="1"/>
  <c r="L3622" i="1" s="1"/>
  <c r="K3621" i="1"/>
  <c r="L3621" i="1" s="1"/>
  <c r="K3620" i="1"/>
  <c r="L3620" i="1" s="1"/>
  <c r="K3619" i="1"/>
  <c r="L3619" i="1" s="1"/>
  <c r="K3617" i="1"/>
  <c r="L3617" i="1" s="1"/>
  <c r="K3616" i="1"/>
  <c r="L3616" i="1" s="1"/>
  <c r="K3615" i="1"/>
  <c r="L3615" i="1" s="1"/>
  <c r="K3614" i="1"/>
  <c r="L3614" i="1" s="1"/>
  <c r="K3613" i="1"/>
  <c r="L3613" i="1" s="1"/>
  <c r="K3611" i="1"/>
  <c r="L3611" i="1" s="1"/>
  <c r="K3610" i="1"/>
  <c r="L3610" i="1" s="1"/>
  <c r="K3609" i="1"/>
  <c r="L3609" i="1" s="1"/>
  <c r="K3608" i="1"/>
  <c r="L3608" i="1" s="1"/>
  <c r="K3606" i="1"/>
  <c r="L3606" i="1" s="1"/>
  <c r="K3605" i="1"/>
  <c r="L3605" i="1" s="1"/>
  <c r="K3604" i="1"/>
  <c r="L3604" i="1" s="1"/>
  <c r="K3603" i="1"/>
  <c r="L3603" i="1" s="1"/>
  <c r="K3601" i="1"/>
  <c r="L3601" i="1" s="1"/>
  <c r="K3599" i="1"/>
  <c r="L3599" i="1" s="1"/>
  <c r="K3598" i="1"/>
  <c r="L3598" i="1" s="1"/>
  <c r="K3597" i="1"/>
  <c r="L3597" i="1" s="1"/>
  <c r="K3596" i="1"/>
  <c r="L3596" i="1" s="1"/>
  <c r="K3595" i="1"/>
  <c r="L3595" i="1" s="1"/>
  <c r="K3594" i="1"/>
  <c r="L3594" i="1" s="1"/>
  <c r="K3593" i="1"/>
  <c r="L3593" i="1" s="1"/>
  <c r="K3592" i="1"/>
  <c r="L3592" i="1" s="1"/>
  <c r="K3590" i="1"/>
  <c r="L3590" i="1" s="1"/>
  <c r="K3589" i="1"/>
  <c r="L3589" i="1" s="1"/>
  <c r="K3588" i="1"/>
  <c r="L3588" i="1" s="1"/>
  <c r="K3587" i="1"/>
  <c r="L3587" i="1" s="1"/>
  <c r="K3586" i="1"/>
  <c r="L3586" i="1" s="1"/>
  <c r="K3585" i="1"/>
  <c r="L3585" i="1" s="1"/>
  <c r="K3584" i="1"/>
  <c r="L3584" i="1" s="1"/>
  <c r="K3583" i="1"/>
  <c r="L3583" i="1" s="1"/>
  <c r="K3582" i="1"/>
  <c r="L3582" i="1" s="1"/>
  <c r="K3581" i="1"/>
  <c r="L3581" i="1" s="1"/>
  <c r="K3580" i="1"/>
  <c r="L3580" i="1" s="1"/>
  <c r="K3579" i="1"/>
  <c r="L3579" i="1" s="1"/>
  <c r="K3576" i="1"/>
  <c r="L3576" i="1" s="1"/>
  <c r="K3575" i="1"/>
  <c r="L3575" i="1" s="1"/>
  <c r="K3573" i="1"/>
  <c r="L3573" i="1" s="1"/>
  <c r="K3572" i="1"/>
  <c r="L3572" i="1" s="1"/>
  <c r="K3571" i="1"/>
  <c r="L3571" i="1" s="1"/>
  <c r="K3570" i="1"/>
  <c r="L3570" i="1" s="1"/>
  <c r="K3569" i="1"/>
  <c r="L3569" i="1" s="1"/>
  <c r="K3567" i="1"/>
  <c r="L3567" i="1" s="1"/>
  <c r="K3566" i="1"/>
  <c r="L3566" i="1" s="1"/>
  <c r="K3565" i="1"/>
  <c r="L3565" i="1" s="1"/>
  <c r="K3564" i="1"/>
  <c r="L3564" i="1" s="1"/>
  <c r="K3562" i="1"/>
  <c r="L3562" i="1" s="1"/>
  <c r="K3561" i="1"/>
  <c r="L3561" i="1" s="1"/>
  <c r="K3560" i="1"/>
  <c r="L3560" i="1" s="1"/>
  <c r="K3557" i="1"/>
  <c r="L3557" i="1" s="1"/>
  <c r="K3555" i="1"/>
  <c r="L3555" i="1" s="1"/>
  <c r="K3554" i="1"/>
  <c r="L3554" i="1" s="1"/>
  <c r="K3553" i="1"/>
  <c r="L3553" i="1" s="1"/>
  <c r="K3552" i="1"/>
  <c r="L3552" i="1" s="1"/>
  <c r="K3551" i="1"/>
  <c r="L3551" i="1" s="1"/>
  <c r="K3550" i="1"/>
  <c r="L3550" i="1" s="1"/>
  <c r="K3549" i="1"/>
  <c r="L3549" i="1" s="1"/>
  <c r="K3548" i="1"/>
  <c r="L3548" i="1" s="1"/>
  <c r="K3546" i="1"/>
  <c r="L3546" i="1" s="1"/>
  <c r="K3545" i="1"/>
  <c r="L3545" i="1" s="1"/>
  <c r="K3544" i="1"/>
  <c r="L3544" i="1" s="1"/>
  <c r="K3543" i="1"/>
  <c r="L3543" i="1" s="1"/>
  <c r="K3542" i="1"/>
  <c r="L3542" i="1" s="1"/>
  <c r="K3541" i="1"/>
  <c r="L3541" i="1" s="1"/>
  <c r="K3540" i="1"/>
  <c r="L3540" i="1" s="1"/>
  <c r="K3539" i="1"/>
  <c r="L3539" i="1" s="1"/>
  <c r="K3538" i="1"/>
  <c r="L3538" i="1" s="1"/>
  <c r="K3537" i="1"/>
  <c r="L3537" i="1" s="1"/>
  <c r="K3536" i="1"/>
  <c r="L3536" i="1" s="1"/>
  <c r="K3535" i="1"/>
  <c r="L3535" i="1" s="1"/>
  <c r="K3534" i="1"/>
  <c r="L3534" i="1" s="1"/>
  <c r="K3533" i="1"/>
  <c r="L3533" i="1" s="1"/>
  <c r="K3532" i="1"/>
  <c r="L3532" i="1" s="1"/>
  <c r="K3531" i="1"/>
  <c r="L3531" i="1" s="1"/>
  <c r="K3529" i="1"/>
  <c r="L3529" i="1" s="1"/>
  <c r="K3528" i="1"/>
  <c r="L3528" i="1" s="1"/>
  <c r="K3527" i="1"/>
  <c r="L3527" i="1" s="1"/>
  <c r="K3526" i="1"/>
  <c r="L3526" i="1" s="1"/>
  <c r="K3525" i="1"/>
  <c r="L3525" i="1" s="1"/>
  <c r="K3523" i="1"/>
  <c r="L3523" i="1" s="1"/>
  <c r="K3521" i="1"/>
  <c r="L3521" i="1" s="1"/>
  <c r="K3520" i="1"/>
  <c r="L3520" i="1" s="1"/>
  <c r="K3518" i="1"/>
  <c r="L3518" i="1" s="1"/>
  <c r="K3516" i="1"/>
  <c r="L3516" i="1" s="1"/>
  <c r="K3515" i="1"/>
  <c r="L3515" i="1" s="1"/>
  <c r="K3513" i="1"/>
  <c r="L3513" i="1" s="1"/>
  <c r="K3511" i="1"/>
  <c r="L3511" i="1" s="1"/>
  <c r="K3510" i="1"/>
  <c r="L3510" i="1" s="1"/>
  <c r="K3509" i="1"/>
  <c r="L3509" i="1" s="1"/>
  <c r="K3508" i="1"/>
  <c r="L3508" i="1" s="1"/>
  <c r="K3507" i="1"/>
  <c r="L3507" i="1" s="1"/>
  <c r="K3506" i="1"/>
  <c r="L3506" i="1" s="1"/>
  <c r="K3505" i="1"/>
  <c r="L3505" i="1" s="1"/>
  <c r="K3504" i="1"/>
  <c r="L3504" i="1" s="1"/>
  <c r="K3502" i="1"/>
  <c r="L3502" i="1" s="1"/>
  <c r="K3501" i="1"/>
  <c r="L3501" i="1" s="1"/>
  <c r="K3500" i="1"/>
  <c r="L3500" i="1" s="1"/>
  <c r="K3499" i="1"/>
  <c r="L3499" i="1" s="1"/>
  <c r="K3498" i="1"/>
  <c r="L3498" i="1" s="1"/>
  <c r="K3497" i="1"/>
  <c r="L3497" i="1" s="1"/>
  <c r="K3496" i="1"/>
  <c r="L3496" i="1" s="1"/>
  <c r="K3495" i="1"/>
  <c r="L3495" i="1" s="1"/>
  <c r="K3494" i="1"/>
  <c r="L3494" i="1" s="1"/>
  <c r="K3493" i="1"/>
  <c r="L3493" i="1" s="1"/>
  <c r="K3492" i="1"/>
  <c r="L3492" i="1" s="1"/>
  <c r="K3491" i="1"/>
  <c r="L3491" i="1" s="1"/>
  <c r="K3490" i="1"/>
  <c r="L3490" i="1" s="1"/>
  <c r="K3489" i="1"/>
  <c r="L3489" i="1" s="1"/>
  <c r="K3488" i="1"/>
  <c r="L3488" i="1" s="1"/>
  <c r="K3485" i="1"/>
  <c r="L3485" i="1" s="1"/>
  <c r="K3484" i="1"/>
  <c r="L3484" i="1" s="1"/>
  <c r="K3483" i="1"/>
  <c r="L3483" i="1" s="1"/>
  <c r="K3482" i="1"/>
  <c r="L3482" i="1" s="1"/>
  <c r="K3481" i="1"/>
  <c r="L3481" i="1" s="1"/>
  <c r="K3478" i="1"/>
  <c r="L3478" i="1" s="1"/>
  <c r="K2631" i="1"/>
  <c r="L2631" i="1" s="1"/>
  <c r="K2630" i="1"/>
  <c r="L2630" i="1" s="1"/>
  <c r="K2627" i="1"/>
  <c r="L2627" i="1" s="1"/>
  <c r="K2626" i="1"/>
  <c r="L2626" i="1" s="1"/>
  <c r="K2625" i="1"/>
  <c r="L2625" i="1" s="1"/>
  <c r="K2624" i="1"/>
  <c r="L2624" i="1" s="1"/>
  <c r="K2622" i="1"/>
  <c r="L2622" i="1" s="1"/>
  <c r="K2621" i="1"/>
  <c r="L2621" i="1" s="1"/>
  <c r="K2620" i="1"/>
  <c r="L2620" i="1" s="1"/>
  <c r="K2619" i="1"/>
  <c r="L2619" i="1" s="1"/>
  <c r="K2618" i="1"/>
  <c r="L2618" i="1" s="1"/>
  <c r="K2617" i="1"/>
  <c r="L2617" i="1" s="1"/>
  <c r="K2614" i="1"/>
  <c r="L2614" i="1" s="1"/>
  <c r="K2612" i="1"/>
  <c r="L2612" i="1" s="1"/>
  <c r="K2611" i="1"/>
  <c r="L2611" i="1" s="1"/>
  <c r="K2610" i="1"/>
  <c r="L2610" i="1" s="1"/>
  <c r="K2609" i="1"/>
  <c r="L2609" i="1" s="1"/>
  <c r="K2608" i="1"/>
  <c r="L2608" i="1" s="1"/>
  <c r="K2607" i="1"/>
  <c r="L2607" i="1" s="1"/>
  <c r="K2605" i="1"/>
  <c r="L2605" i="1" s="1"/>
  <c r="K2604" i="1"/>
  <c r="L2604" i="1" s="1"/>
  <c r="K2602" i="1"/>
  <c r="L2602" i="1" s="1"/>
  <c r="K2601" i="1"/>
  <c r="L2601" i="1" s="1"/>
  <c r="K2599" i="1"/>
  <c r="L2599" i="1" s="1"/>
  <c r="K2598" i="1"/>
  <c r="L2598" i="1" s="1"/>
  <c r="K2597" i="1"/>
  <c r="L2597" i="1" s="1"/>
  <c r="K2596" i="1"/>
  <c r="L2596" i="1" s="1"/>
  <c r="K2594" i="1"/>
  <c r="L2594" i="1" s="1"/>
  <c r="K2593" i="1"/>
  <c r="L2593" i="1" s="1"/>
  <c r="K2592" i="1"/>
  <c r="L2592" i="1" s="1"/>
  <c r="K2591" i="1"/>
  <c r="L2591" i="1" s="1"/>
  <c r="K2589" i="1"/>
  <c r="L2589" i="1" s="1"/>
  <c r="K2587" i="1"/>
  <c r="L2587" i="1" s="1"/>
  <c r="K2586" i="1"/>
  <c r="L2586" i="1" s="1"/>
  <c r="K2584" i="1"/>
  <c r="L2584" i="1" s="1"/>
  <c r="K2583" i="1"/>
  <c r="L2583" i="1" s="1"/>
  <c r="K2581" i="1"/>
  <c r="L2581" i="1" s="1"/>
  <c r="K2580" i="1"/>
  <c r="L2580" i="1" s="1"/>
  <c r="K2578" i="1"/>
  <c r="L2578" i="1" s="1"/>
  <c r="K2577" i="1"/>
  <c r="L2577" i="1" s="1"/>
  <c r="K2576" i="1"/>
  <c r="L2576" i="1" s="1"/>
  <c r="K2575" i="1"/>
  <c r="L2575" i="1" s="1"/>
  <c r="K2574" i="1"/>
  <c r="L2574" i="1" s="1"/>
  <c r="K2568" i="1"/>
  <c r="L2568" i="1" s="1"/>
  <c r="K2567" i="1"/>
  <c r="L2567" i="1" s="1"/>
  <c r="K2566" i="1"/>
  <c r="L2566" i="1" s="1"/>
  <c r="K2565" i="1"/>
  <c r="L2565" i="1" s="1"/>
  <c r="K2564" i="1"/>
  <c r="L2564" i="1" s="1"/>
  <c r="K2563" i="1"/>
  <c r="L2563" i="1" s="1"/>
  <c r="K2561" i="1"/>
  <c r="L2561" i="1" s="1"/>
  <c r="K2560" i="1"/>
  <c r="L2560" i="1" s="1"/>
  <c r="K2557" i="1"/>
  <c r="L2557" i="1" s="1"/>
  <c r="K2555" i="1"/>
  <c r="L2555" i="1" s="1"/>
  <c r="K2554" i="1"/>
  <c r="L2554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5" i="1"/>
  <c r="L2545" i="1" s="1"/>
  <c r="K2543" i="1"/>
  <c r="L2543" i="1" s="1"/>
  <c r="K3477" i="1"/>
  <c r="L3477" i="1" s="1"/>
  <c r="K3476" i="1"/>
  <c r="L3476" i="1" s="1"/>
  <c r="K3472" i="1"/>
  <c r="L3472" i="1" s="1"/>
  <c r="K3471" i="1"/>
  <c r="L3471" i="1" s="1"/>
  <c r="K3469" i="1"/>
  <c r="L3469" i="1" s="1"/>
  <c r="K3466" i="1"/>
  <c r="L3466" i="1" s="1"/>
  <c r="K3465" i="1"/>
  <c r="L3465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8" i="1"/>
  <c r="L3458" i="1" s="1"/>
  <c r="K3457" i="1"/>
  <c r="L3457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48" i="1"/>
  <c r="L3448" i="1" s="1"/>
  <c r="K3446" i="1"/>
  <c r="L3446" i="1" s="1"/>
  <c r="K3445" i="1"/>
  <c r="L3445" i="1" s="1"/>
  <c r="K3444" i="1"/>
  <c r="L3444" i="1" s="1"/>
  <c r="K3441" i="1"/>
  <c r="L3441" i="1" s="1"/>
  <c r="K3440" i="1"/>
  <c r="L3440" i="1" s="1"/>
  <c r="K3439" i="1"/>
  <c r="L3439" i="1" s="1"/>
  <c r="K3438" i="1"/>
  <c r="L3438" i="1" s="1"/>
  <c r="K3437" i="1"/>
  <c r="L3437" i="1" s="1"/>
  <c r="K3434" i="1"/>
  <c r="L3434" i="1" s="1"/>
  <c r="K3433" i="1"/>
  <c r="L3433" i="1" s="1"/>
  <c r="K3432" i="1"/>
  <c r="L3432" i="1" s="1"/>
  <c r="K3430" i="1"/>
  <c r="L3430" i="1" s="1"/>
  <c r="K3429" i="1"/>
  <c r="L3429" i="1" s="1"/>
  <c r="K3428" i="1"/>
  <c r="L3428" i="1" s="1"/>
  <c r="K3427" i="1"/>
  <c r="L3427" i="1" s="1"/>
  <c r="K3425" i="1"/>
  <c r="L3425" i="1" s="1"/>
  <c r="K3423" i="1"/>
  <c r="L3423" i="1" s="1"/>
  <c r="K3422" i="1"/>
  <c r="L3422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4" i="1"/>
  <c r="L3414" i="1" s="1"/>
  <c r="K3413" i="1"/>
  <c r="L3413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4" i="1"/>
  <c r="L3404" i="1" s="1"/>
  <c r="K3403" i="1"/>
  <c r="L3403" i="1" s="1"/>
  <c r="K3402" i="1"/>
  <c r="L3402" i="1" s="1"/>
  <c r="K3401" i="1"/>
  <c r="L3401" i="1" s="1"/>
  <c r="K3400" i="1"/>
  <c r="L3400" i="1" s="1"/>
  <c r="K3397" i="1"/>
  <c r="L3397" i="1" s="1"/>
  <c r="K3396" i="1"/>
  <c r="L3396" i="1" s="1"/>
  <c r="K3395" i="1"/>
  <c r="L3395" i="1" s="1"/>
  <c r="K3394" i="1"/>
  <c r="L3394" i="1" s="1"/>
  <c r="K3393" i="1"/>
  <c r="L3393" i="1" s="1"/>
  <c r="K3390" i="1"/>
  <c r="L3390" i="1" s="1"/>
  <c r="K3389" i="1"/>
  <c r="L3389" i="1" s="1"/>
  <c r="K3388" i="1"/>
  <c r="L3388" i="1" s="1"/>
  <c r="K3386" i="1"/>
  <c r="L3386" i="1" s="1"/>
  <c r="K3385" i="1"/>
  <c r="L3385" i="1" s="1"/>
  <c r="K3384" i="1"/>
  <c r="L3384" i="1" s="1"/>
  <c r="K3383" i="1"/>
  <c r="L3383" i="1" s="1"/>
  <c r="K3381" i="1"/>
  <c r="L3381" i="1" s="1"/>
  <c r="K3379" i="1"/>
  <c r="L3379" i="1" s="1"/>
  <c r="K3378" i="1"/>
  <c r="L3378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0" i="1"/>
  <c r="L3370" i="1" s="1"/>
  <c r="K3369" i="1"/>
  <c r="L3369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0" i="1"/>
  <c r="L3360" i="1" s="1"/>
  <c r="K3359" i="1"/>
  <c r="L3359" i="1" s="1"/>
  <c r="K3358" i="1"/>
  <c r="L3358" i="1" s="1"/>
  <c r="K3357" i="1"/>
  <c r="L3357" i="1" s="1"/>
  <c r="K3356" i="1"/>
  <c r="L3356" i="1" s="1"/>
  <c r="K3353" i="1"/>
  <c r="L3353" i="1" s="1"/>
  <c r="K3352" i="1"/>
  <c r="L3352" i="1" s="1"/>
  <c r="K3351" i="1"/>
  <c r="L3351" i="1" s="1"/>
  <c r="K3350" i="1"/>
  <c r="L3350" i="1" s="1"/>
  <c r="K3349" i="1"/>
  <c r="L3349" i="1" s="1"/>
  <c r="K3346" i="1"/>
  <c r="L3346" i="1" s="1"/>
  <c r="K3345" i="1"/>
  <c r="L3345" i="1" s="1"/>
  <c r="K3344" i="1"/>
  <c r="L3344" i="1" s="1"/>
  <c r="K3342" i="1"/>
  <c r="L3342" i="1" s="1"/>
  <c r="K3341" i="1"/>
  <c r="L3341" i="1" s="1"/>
  <c r="K3340" i="1"/>
  <c r="L3340" i="1" s="1"/>
  <c r="K3339" i="1"/>
  <c r="L3339" i="1" s="1"/>
  <c r="K3337" i="1"/>
  <c r="L3337" i="1" s="1"/>
  <c r="K3335" i="1"/>
  <c r="L3335" i="1" s="1"/>
  <c r="K3334" i="1"/>
  <c r="L3334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6" i="1"/>
  <c r="L3326" i="1" s="1"/>
  <c r="K3325" i="1"/>
  <c r="L3325" i="1" s="1"/>
  <c r="K3324" i="1"/>
  <c r="L3324" i="1" s="1"/>
  <c r="K3323" i="1"/>
  <c r="L3323" i="1" s="1"/>
  <c r="K3322" i="1"/>
  <c r="L3322" i="1" s="1"/>
  <c r="K3320" i="1"/>
  <c r="L3320" i="1" s="1"/>
  <c r="K3319" i="1"/>
  <c r="L3319" i="1" s="1"/>
  <c r="K3318" i="1"/>
  <c r="L3318" i="1" s="1"/>
  <c r="K3315" i="1"/>
  <c r="L3315" i="1" s="1"/>
  <c r="K3314" i="1"/>
  <c r="L3314" i="1" s="1"/>
  <c r="K3313" i="1"/>
  <c r="L3313" i="1" s="1"/>
  <c r="K3312" i="1"/>
  <c r="L3312" i="1" s="1"/>
  <c r="K3309" i="1"/>
  <c r="L3309" i="1" s="1"/>
  <c r="K3308" i="1"/>
  <c r="L3308" i="1" s="1"/>
  <c r="K3307" i="1"/>
  <c r="L3307" i="1" s="1"/>
  <c r="K3306" i="1"/>
  <c r="L3306" i="1" s="1"/>
  <c r="K3305" i="1"/>
  <c r="L3305" i="1" s="1"/>
  <c r="K3302" i="1"/>
  <c r="L3302" i="1" s="1"/>
  <c r="K3301" i="1"/>
  <c r="L3301" i="1" s="1"/>
  <c r="K3300" i="1"/>
  <c r="L3300" i="1" s="1"/>
  <c r="K3298" i="1"/>
  <c r="L3298" i="1" s="1"/>
  <c r="K3297" i="1"/>
  <c r="L3297" i="1" s="1"/>
  <c r="K3296" i="1"/>
  <c r="L3296" i="1" s="1"/>
  <c r="K3295" i="1"/>
  <c r="L3295" i="1" s="1"/>
  <c r="K3293" i="1"/>
  <c r="L3293" i="1" s="1"/>
  <c r="K3291" i="1"/>
  <c r="L3291" i="1" s="1"/>
  <c r="K3290" i="1"/>
  <c r="L3290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2" i="1"/>
  <c r="L3282" i="1" s="1"/>
  <c r="K3281" i="1"/>
  <c r="L3281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1" i="1"/>
  <c r="L3271" i="1" s="1"/>
  <c r="K3270" i="1"/>
  <c r="L3270" i="1" s="1"/>
  <c r="K3269" i="1"/>
  <c r="L3269" i="1" s="1"/>
  <c r="K3268" i="1"/>
  <c r="L3268" i="1" s="1"/>
  <c r="K3265" i="1"/>
  <c r="L3265" i="1" s="1"/>
  <c r="K3264" i="1"/>
  <c r="L3264" i="1" s="1"/>
  <c r="K3263" i="1"/>
  <c r="L3263" i="1" s="1"/>
  <c r="K3262" i="1"/>
  <c r="L3262" i="1" s="1"/>
  <c r="K3261" i="1"/>
  <c r="L3261" i="1" s="1"/>
  <c r="K3258" i="1"/>
  <c r="L3258" i="1" s="1"/>
  <c r="K3257" i="1"/>
  <c r="L3257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49" i="1"/>
  <c r="L3249" i="1" s="1"/>
  <c r="K3247" i="1"/>
  <c r="L3247" i="1" s="1"/>
  <c r="K3246" i="1"/>
  <c r="L3246" i="1" s="1"/>
  <c r="K3244" i="1"/>
  <c r="L3244" i="1" s="1"/>
  <c r="K3243" i="1"/>
  <c r="L3243" i="1" s="1"/>
  <c r="K3242" i="1"/>
  <c r="L3242" i="1" s="1"/>
  <c r="K3241" i="1"/>
  <c r="L3241" i="1" s="1"/>
  <c r="K3240" i="1"/>
  <c r="L3240" i="1" s="1"/>
  <c r="K3238" i="1"/>
  <c r="L3238" i="1" s="1"/>
  <c r="K3237" i="1"/>
  <c r="L3237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8" i="1"/>
  <c r="L3228" i="1" s="1"/>
  <c r="K3226" i="1"/>
  <c r="L3226" i="1" s="1"/>
  <c r="K3225" i="1"/>
  <c r="L3225" i="1" s="1"/>
  <c r="K3224" i="1"/>
  <c r="L3224" i="1" s="1"/>
  <c r="K3221" i="1"/>
  <c r="L3221" i="1" s="1"/>
  <c r="K3220" i="1"/>
  <c r="L3220" i="1" s="1"/>
  <c r="K3219" i="1"/>
  <c r="L3219" i="1" s="1"/>
  <c r="K3218" i="1"/>
  <c r="L3218" i="1" s="1"/>
  <c r="K3217" i="1"/>
  <c r="L3217" i="1" s="1"/>
  <c r="K3214" i="1"/>
  <c r="L3214" i="1" s="1"/>
  <c r="K3213" i="1"/>
  <c r="L3213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5" i="1"/>
  <c r="L3205" i="1" s="1"/>
  <c r="K3202" i="1"/>
  <c r="L3202" i="1" s="1"/>
  <c r="K3200" i="1"/>
  <c r="L3200" i="1" s="1"/>
  <c r="K3199" i="1"/>
  <c r="L3199" i="1" s="1"/>
  <c r="K3198" i="1"/>
  <c r="L3198" i="1" s="1"/>
  <c r="K3197" i="1"/>
  <c r="L3197" i="1" s="1"/>
  <c r="K3196" i="1"/>
  <c r="L3196" i="1" s="1"/>
  <c r="K3194" i="1"/>
  <c r="L3194" i="1" s="1"/>
  <c r="K3193" i="1"/>
  <c r="L3193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4" i="1"/>
  <c r="L3184" i="1" s="1"/>
  <c r="K3182" i="1"/>
  <c r="L3182" i="1" s="1"/>
  <c r="K3180" i="1"/>
  <c r="L3180" i="1" s="1"/>
  <c r="K3177" i="1"/>
  <c r="L3177" i="1" s="1"/>
  <c r="K3176" i="1"/>
  <c r="L3176" i="1" s="1"/>
  <c r="K3175" i="1"/>
  <c r="L3175" i="1" s="1"/>
  <c r="K3174" i="1"/>
  <c r="L3174" i="1" s="1"/>
  <c r="K3173" i="1"/>
  <c r="L3173" i="1" s="1"/>
  <c r="K3171" i="1"/>
  <c r="L3171" i="1" s="1"/>
  <c r="K3170" i="1"/>
  <c r="L3170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1" i="1"/>
  <c r="L3161" i="1" s="1"/>
  <c r="K3158" i="1"/>
  <c r="L3158" i="1" s="1"/>
  <c r="K3156" i="1"/>
  <c r="L3156" i="1" s="1"/>
  <c r="K3155" i="1"/>
  <c r="L3155" i="1" s="1"/>
  <c r="K3154" i="1"/>
  <c r="L3154" i="1" s="1"/>
  <c r="K3153" i="1"/>
  <c r="L3153" i="1" s="1"/>
  <c r="K3152" i="1"/>
  <c r="L3152" i="1" s="1"/>
  <c r="K3150" i="1"/>
  <c r="L3150" i="1" s="1"/>
  <c r="K3149" i="1"/>
  <c r="L3149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0" i="1"/>
  <c r="L3140" i="1" s="1"/>
  <c r="K3139" i="1"/>
  <c r="L3139" i="1" s="1"/>
  <c r="K3138" i="1"/>
  <c r="L3138" i="1" s="1"/>
  <c r="K3137" i="1"/>
  <c r="L3137" i="1" s="1"/>
  <c r="K3136" i="1"/>
  <c r="L3136" i="1" s="1"/>
  <c r="K3133" i="1"/>
  <c r="L3133" i="1" s="1"/>
  <c r="K3132" i="1"/>
  <c r="L3132" i="1" s="1"/>
  <c r="K3131" i="1"/>
  <c r="L3131" i="1" s="1"/>
  <c r="K3130" i="1"/>
  <c r="L3130" i="1" s="1"/>
  <c r="K3129" i="1"/>
  <c r="L3129" i="1" s="1"/>
  <c r="K3127" i="1"/>
  <c r="L3127" i="1" s="1"/>
  <c r="K3125" i="1"/>
  <c r="L3125" i="1" s="1"/>
  <c r="K3124" i="1"/>
  <c r="L3124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7" i="1"/>
  <c r="L3117" i="1" s="1"/>
  <c r="K3114" i="1"/>
  <c r="L3114" i="1" s="1"/>
  <c r="K3112" i="1"/>
  <c r="L3112" i="1" s="1"/>
  <c r="K3111" i="1"/>
  <c r="L3111" i="1" s="1"/>
  <c r="K3110" i="1"/>
  <c r="L3110" i="1" s="1"/>
  <c r="K3109" i="1"/>
  <c r="L3109" i="1" s="1"/>
  <c r="K3108" i="1"/>
  <c r="L3108" i="1" s="1"/>
  <c r="K3106" i="1"/>
  <c r="L3106" i="1" s="1"/>
  <c r="K3105" i="1"/>
  <c r="L3105" i="1" s="1"/>
  <c r="K3104" i="1"/>
  <c r="L3104" i="1" s="1"/>
  <c r="K3103" i="1"/>
  <c r="L3103" i="1" s="1"/>
  <c r="K3102" i="1"/>
  <c r="L3102" i="1" s="1"/>
  <c r="K3100" i="1"/>
  <c r="L3100" i="1" s="1"/>
  <c r="K3099" i="1"/>
  <c r="L3099" i="1" s="1"/>
  <c r="K3098" i="1"/>
  <c r="L3098" i="1" s="1"/>
  <c r="K3095" i="1"/>
  <c r="L3095" i="1" s="1"/>
  <c r="K3094" i="1"/>
  <c r="L3094" i="1" s="1"/>
  <c r="K3093" i="1"/>
  <c r="L3093" i="1" s="1"/>
  <c r="K3092" i="1"/>
  <c r="L3092" i="1" s="1"/>
  <c r="K3089" i="1"/>
  <c r="L3089" i="1" s="1"/>
  <c r="K3088" i="1"/>
  <c r="L3088" i="1" s="1"/>
  <c r="K3087" i="1"/>
  <c r="L3087" i="1" s="1"/>
  <c r="K3086" i="1"/>
  <c r="L3086" i="1" s="1"/>
  <c r="K3085" i="1"/>
  <c r="L3085" i="1" s="1"/>
  <c r="K3083" i="1"/>
  <c r="L3083" i="1" s="1"/>
  <c r="K3082" i="1"/>
  <c r="L3082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3" i="1"/>
  <c r="L3073" i="1" s="1"/>
  <c r="K3070" i="1"/>
  <c r="L3070" i="1" s="1"/>
  <c r="K3068" i="1"/>
  <c r="L3068" i="1" s="1"/>
  <c r="K3067" i="1"/>
  <c r="L3067" i="1" s="1"/>
  <c r="K3066" i="1"/>
  <c r="L3066" i="1" s="1"/>
  <c r="K3065" i="1"/>
  <c r="L3065" i="1" s="1"/>
  <c r="K3064" i="1"/>
  <c r="L3064" i="1" s="1"/>
  <c r="K3062" i="1"/>
  <c r="L3062" i="1" s="1"/>
  <c r="K3061" i="1"/>
  <c r="L3061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2" i="1"/>
  <c r="L3052" i="1" s="1"/>
  <c r="K3051" i="1"/>
  <c r="L3051" i="1" s="1"/>
  <c r="K3049" i="1"/>
  <c r="L3049" i="1" s="1"/>
  <c r="K3048" i="1"/>
  <c r="L3048" i="1" s="1"/>
  <c r="K3045" i="1"/>
  <c r="L3045" i="1" s="1"/>
  <c r="K3044" i="1"/>
  <c r="L3044" i="1" s="1"/>
  <c r="K3043" i="1"/>
  <c r="L3043" i="1" s="1"/>
  <c r="K3042" i="1"/>
  <c r="L3042" i="1" s="1"/>
  <c r="K3041" i="1"/>
  <c r="L3041" i="1" s="1"/>
  <c r="K3039" i="1"/>
  <c r="L3039" i="1" s="1"/>
  <c r="K3038" i="1"/>
  <c r="L3038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29" i="1"/>
  <c r="L3029" i="1" s="1"/>
  <c r="K3027" i="1"/>
  <c r="L3027" i="1" s="1"/>
  <c r="K3026" i="1"/>
  <c r="L3026" i="1" s="1"/>
  <c r="K3024" i="1"/>
  <c r="L3024" i="1" s="1"/>
  <c r="K3023" i="1"/>
  <c r="L3023" i="1" s="1"/>
  <c r="K3022" i="1"/>
  <c r="L3022" i="1" s="1"/>
  <c r="K3021" i="1"/>
  <c r="L3021" i="1" s="1"/>
  <c r="K3020" i="1"/>
  <c r="L3020" i="1" s="1"/>
  <c r="K3018" i="1"/>
  <c r="L3018" i="1" s="1"/>
  <c r="K3017" i="1"/>
  <c r="L3017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8" i="1"/>
  <c r="L3008" i="1" s="1"/>
  <c r="K3007" i="1"/>
  <c r="L3007" i="1" s="1"/>
  <c r="K3006" i="1"/>
  <c r="L3006" i="1" s="1"/>
  <c r="K3005" i="1"/>
  <c r="L3005" i="1" s="1"/>
  <c r="K3004" i="1"/>
  <c r="L3004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2" i="1"/>
  <c r="L2992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5" i="1"/>
  <c r="L2985" i="1" s="1"/>
  <c r="K2982" i="1"/>
  <c r="L2982" i="1" s="1"/>
  <c r="K2980" i="1"/>
  <c r="L2980" i="1" s="1"/>
  <c r="K2979" i="1"/>
  <c r="L2979" i="1" s="1"/>
  <c r="K2977" i="1"/>
  <c r="L2977" i="1" s="1"/>
  <c r="K2976" i="1"/>
  <c r="L2976" i="1" s="1"/>
  <c r="K2974" i="1"/>
  <c r="L2974" i="1" s="1"/>
  <c r="K2973" i="1"/>
  <c r="L2973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4" i="1"/>
  <c r="L2964" i="1" s="1"/>
  <c r="K2963" i="1"/>
  <c r="L2963" i="1" s="1"/>
  <c r="K2962" i="1"/>
  <c r="L2962" i="1" s="1"/>
  <c r="K2961" i="1"/>
  <c r="L2961" i="1" s="1"/>
  <c r="K2960" i="1"/>
  <c r="L2960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8" i="1"/>
  <c r="L2948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1" i="1"/>
  <c r="L2941" i="1" s="1"/>
  <c r="K2938" i="1"/>
  <c r="L2938" i="1" s="1"/>
  <c r="K2936" i="1"/>
  <c r="L2936" i="1" s="1"/>
  <c r="K2935" i="1"/>
  <c r="L2935" i="1" s="1"/>
  <c r="K2934" i="1"/>
  <c r="L2934" i="1" s="1"/>
  <c r="K2933" i="1"/>
  <c r="L2933" i="1" s="1"/>
  <c r="K2932" i="1"/>
  <c r="L2932" i="1" s="1"/>
  <c r="K2930" i="1"/>
  <c r="L2930" i="1" s="1"/>
  <c r="K2929" i="1"/>
  <c r="L2929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0" i="1"/>
  <c r="L2920" i="1" s="1"/>
  <c r="K2919" i="1"/>
  <c r="L2919" i="1" s="1"/>
  <c r="K2918" i="1"/>
  <c r="L2918" i="1" s="1"/>
  <c r="K2916" i="1"/>
  <c r="L2916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4" i="1"/>
  <c r="L2904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7" i="1"/>
  <c r="L2897" i="1" s="1"/>
  <c r="K2894" i="1"/>
  <c r="L2894" i="1" s="1"/>
  <c r="K2892" i="1"/>
  <c r="L2892" i="1" s="1"/>
  <c r="K2891" i="1"/>
  <c r="L2891" i="1" s="1"/>
  <c r="K2890" i="1"/>
  <c r="L2890" i="1" s="1"/>
  <c r="K2889" i="1"/>
  <c r="L2889" i="1" s="1"/>
  <c r="K2888" i="1"/>
  <c r="L2888" i="1" s="1"/>
  <c r="K2886" i="1"/>
  <c r="L2886" i="1" s="1"/>
  <c r="K2885" i="1"/>
  <c r="L2885" i="1" s="1"/>
  <c r="K2884" i="1"/>
  <c r="L2884" i="1" s="1"/>
  <c r="K2883" i="1"/>
  <c r="L2883" i="1" s="1"/>
  <c r="K2881" i="1"/>
  <c r="L2881" i="1" s="1"/>
  <c r="K2880" i="1"/>
  <c r="L2880" i="1" s="1"/>
  <c r="K2879" i="1"/>
  <c r="L2879" i="1" s="1"/>
  <c r="K2878" i="1"/>
  <c r="L2878" i="1" s="1"/>
  <c r="K2876" i="1"/>
  <c r="L2876" i="1" s="1"/>
  <c r="K2875" i="1"/>
  <c r="L2875" i="1" s="1"/>
  <c r="K2874" i="1"/>
  <c r="L2874" i="1" s="1"/>
  <c r="K2873" i="1"/>
  <c r="L2873" i="1" s="1"/>
  <c r="K2872" i="1"/>
  <c r="L2872" i="1" s="1"/>
  <c r="K2871" i="1"/>
  <c r="L2871" i="1" s="1"/>
  <c r="K2869" i="1"/>
  <c r="L2869" i="1" s="1"/>
  <c r="K2868" i="1"/>
  <c r="L2868" i="1" s="1"/>
  <c r="K2867" i="1"/>
  <c r="L2867" i="1" s="1"/>
  <c r="K2866" i="1"/>
  <c r="L2866" i="1" s="1"/>
  <c r="K2865" i="1"/>
  <c r="L2865" i="1" s="1"/>
  <c r="K2863" i="1"/>
  <c r="L2863" i="1" s="1"/>
  <c r="K2862" i="1"/>
  <c r="L2862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3" i="1"/>
  <c r="L2853" i="1" s="1"/>
  <c r="K2851" i="1"/>
  <c r="L2851" i="1" s="1"/>
  <c r="K2850" i="1"/>
  <c r="L2850" i="1" s="1"/>
  <c r="K2848" i="1"/>
  <c r="L2848" i="1" s="1"/>
  <c r="K2847" i="1"/>
  <c r="L2847" i="1" s="1"/>
  <c r="K2846" i="1"/>
  <c r="L2846" i="1" s="1"/>
  <c r="K2845" i="1"/>
  <c r="L2845" i="1" s="1"/>
  <c r="K2844" i="1"/>
  <c r="L2844" i="1" s="1"/>
  <c r="K2842" i="1"/>
  <c r="L2842" i="1" s="1"/>
  <c r="K2841" i="1"/>
  <c r="L2841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2" i="1"/>
  <c r="L2832" i="1" s="1"/>
  <c r="K2831" i="1"/>
  <c r="L2831" i="1" s="1"/>
  <c r="K2830" i="1"/>
  <c r="L2830" i="1" s="1"/>
  <c r="K2828" i="1"/>
  <c r="L2828" i="1" s="1"/>
  <c r="K2827" i="1"/>
  <c r="L2827" i="1" s="1"/>
  <c r="K2825" i="1"/>
  <c r="L2825" i="1" s="1"/>
  <c r="K2824" i="1"/>
  <c r="L2824" i="1" s="1"/>
  <c r="K2823" i="1"/>
  <c r="L2823" i="1" s="1"/>
  <c r="K2822" i="1"/>
  <c r="L2822" i="1" s="1"/>
  <c r="K2821" i="1"/>
  <c r="L2821" i="1" s="1"/>
  <c r="K2819" i="1"/>
  <c r="L2819" i="1" s="1"/>
  <c r="K2818" i="1"/>
  <c r="L2818" i="1" s="1"/>
  <c r="K2817" i="1"/>
  <c r="L2817" i="1" s="1"/>
  <c r="K2816" i="1"/>
  <c r="L2816" i="1" s="1"/>
  <c r="K2815" i="1"/>
  <c r="L2815" i="1" s="1"/>
  <c r="K2813" i="1"/>
  <c r="L2813" i="1" s="1"/>
  <c r="K2812" i="1"/>
  <c r="L2812" i="1" s="1"/>
  <c r="K2811" i="1"/>
  <c r="L2811" i="1" s="1"/>
  <c r="K2809" i="1"/>
  <c r="L2809" i="1" s="1"/>
  <c r="K2807" i="1"/>
  <c r="L2807" i="1" s="1"/>
  <c r="K2806" i="1"/>
  <c r="L2806" i="1" s="1"/>
  <c r="K2804" i="1"/>
  <c r="L2804" i="1" s="1"/>
  <c r="K2803" i="1"/>
  <c r="L2803" i="1" s="1"/>
  <c r="K2802" i="1"/>
  <c r="L2802" i="1" s="1"/>
  <c r="K2801" i="1"/>
  <c r="L2801" i="1" s="1"/>
  <c r="K2800" i="1"/>
  <c r="L2800" i="1" s="1"/>
  <c r="K2798" i="1"/>
  <c r="L2798" i="1" s="1"/>
  <c r="K2797" i="1"/>
  <c r="L2797" i="1" s="1"/>
  <c r="K2796" i="1"/>
  <c r="L2796" i="1" s="1"/>
  <c r="K2795" i="1"/>
  <c r="L2795" i="1" s="1"/>
  <c r="K2794" i="1"/>
  <c r="L2794" i="1" s="1"/>
  <c r="K2792" i="1"/>
  <c r="L2792" i="1" s="1"/>
  <c r="K2791" i="1"/>
  <c r="L2791" i="1" s="1"/>
  <c r="K2790" i="1"/>
  <c r="L2790" i="1" s="1"/>
  <c r="K2787" i="1"/>
  <c r="L2787" i="1" s="1"/>
  <c r="K2786" i="1"/>
  <c r="L2786" i="1" s="1"/>
  <c r="K2785" i="1"/>
  <c r="L2785" i="1" s="1"/>
  <c r="K2784" i="1"/>
  <c r="L2784" i="1" s="1"/>
  <c r="K2783" i="1"/>
  <c r="L2783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2" i="1"/>
  <c r="L2772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5" i="1"/>
  <c r="L2765" i="1" s="1"/>
  <c r="K2762" i="1"/>
  <c r="L2762" i="1" s="1"/>
  <c r="K2760" i="1"/>
  <c r="L2760" i="1" s="1"/>
  <c r="K2759" i="1"/>
  <c r="L2759" i="1" s="1"/>
  <c r="K2758" i="1"/>
  <c r="L2758" i="1" s="1"/>
  <c r="K2757" i="1"/>
  <c r="L2757" i="1" s="1"/>
  <c r="K2756" i="1"/>
  <c r="L2756" i="1" s="1"/>
  <c r="K2754" i="1"/>
  <c r="L2754" i="1" s="1"/>
  <c r="K2753" i="1"/>
  <c r="L2753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4" i="1"/>
  <c r="L2744" i="1" s="1"/>
  <c r="K2743" i="1"/>
  <c r="L2743" i="1" s="1"/>
  <c r="K2742" i="1"/>
  <c r="L2742" i="1" s="1"/>
  <c r="K2741" i="1"/>
  <c r="L2741" i="1" s="1"/>
  <c r="K2740" i="1"/>
  <c r="L2740" i="1" s="1"/>
  <c r="K2739" i="1"/>
  <c r="L2739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8" i="1"/>
  <c r="L2728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1" i="1"/>
  <c r="L2721" i="1" s="1"/>
  <c r="K2719" i="1"/>
  <c r="L2719" i="1" s="1"/>
  <c r="K2718" i="1"/>
  <c r="L2718" i="1" s="1"/>
  <c r="K2716" i="1"/>
  <c r="L2716" i="1" s="1"/>
  <c r="K2715" i="1"/>
  <c r="L2715" i="1" s="1"/>
  <c r="K2714" i="1"/>
  <c r="L2714" i="1" s="1"/>
  <c r="K2713" i="1"/>
  <c r="L2713" i="1" s="1"/>
  <c r="K2712" i="1"/>
  <c r="L2712" i="1" s="1"/>
  <c r="K2710" i="1"/>
  <c r="L2710" i="1" s="1"/>
  <c r="K2709" i="1"/>
  <c r="L2709" i="1" s="1"/>
  <c r="K2708" i="1"/>
  <c r="L2708" i="1" s="1"/>
  <c r="K2707" i="1"/>
  <c r="L2707" i="1" s="1"/>
  <c r="K2706" i="1"/>
  <c r="L2706" i="1" s="1"/>
  <c r="K2705" i="1"/>
  <c r="L2705" i="1" s="1"/>
  <c r="K2702" i="1"/>
  <c r="L2702" i="1" s="1"/>
  <c r="K2700" i="1"/>
  <c r="L2700" i="1" s="1"/>
  <c r="K2699" i="1"/>
  <c r="L2699" i="1" s="1"/>
  <c r="K2698" i="1"/>
  <c r="L2698" i="1" s="1"/>
  <c r="K2697" i="1"/>
  <c r="L2697" i="1" s="1"/>
  <c r="K2696" i="1"/>
  <c r="L2696" i="1" s="1"/>
  <c r="K2695" i="1"/>
  <c r="L2695" i="1" s="1"/>
  <c r="K2693" i="1"/>
  <c r="L2693" i="1" s="1"/>
  <c r="K2689" i="1"/>
  <c r="L2689" i="1" s="1"/>
  <c r="K2687" i="1"/>
  <c r="L2687" i="1" s="1"/>
  <c r="K2686" i="1"/>
  <c r="L2686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7" i="1"/>
  <c r="L2677" i="1" s="1"/>
  <c r="K2675" i="1"/>
  <c r="L2675" i="1" s="1"/>
  <c r="K2674" i="1"/>
  <c r="L2674" i="1" s="1"/>
  <c r="K2671" i="1"/>
  <c r="L2671" i="1" s="1"/>
  <c r="K2670" i="1"/>
  <c r="L2670" i="1" s="1"/>
  <c r="K2669" i="1"/>
  <c r="L2669" i="1" s="1"/>
  <c r="K2668" i="1"/>
  <c r="L2668" i="1" s="1"/>
  <c r="K2666" i="1"/>
  <c r="L2666" i="1" s="1"/>
  <c r="K2665" i="1"/>
  <c r="L2665" i="1" s="1"/>
  <c r="K2664" i="1"/>
  <c r="L2664" i="1" s="1"/>
  <c r="K2663" i="1"/>
  <c r="L2663" i="1" s="1"/>
  <c r="K2662" i="1"/>
  <c r="L2662" i="1" s="1"/>
  <c r="K2661" i="1"/>
  <c r="L2661" i="1" s="1"/>
  <c r="K2658" i="1"/>
  <c r="L2658" i="1" s="1"/>
  <c r="K2656" i="1"/>
  <c r="L2656" i="1" s="1"/>
  <c r="K2655" i="1"/>
  <c r="L2655" i="1" s="1"/>
  <c r="K2654" i="1"/>
  <c r="L2654" i="1" s="1"/>
  <c r="K2653" i="1"/>
  <c r="L2653" i="1" s="1"/>
  <c r="K2652" i="1"/>
  <c r="L2652" i="1" s="1"/>
  <c r="K2651" i="1"/>
  <c r="L2651" i="1" s="1"/>
  <c r="K2649" i="1"/>
  <c r="L2649" i="1" s="1"/>
  <c r="K2648" i="1"/>
  <c r="L2648" i="1" s="1"/>
  <c r="K2646" i="1"/>
  <c r="L2646" i="1" s="1"/>
  <c r="K2645" i="1"/>
  <c r="L2645" i="1" s="1"/>
  <c r="K2643" i="1"/>
  <c r="L2643" i="1" s="1"/>
  <c r="K2642" i="1"/>
  <c r="L2642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3" i="1"/>
  <c r="L2633" i="1" s="1"/>
  <c r="K2542" i="1"/>
  <c r="L2542" i="1" s="1"/>
  <c r="K2540" i="1"/>
  <c r="L2540" i="1" s="1"/>
  <c r="K2539" i="1"/>
  <c r="L2539" i="1" s="1"/>
  <c r="K2538" i="1"/>
  <c r="L2538" i="1" s="1"/>
  <c r="K2537" i="1"/>
  <c r="L2537" i="1" s="1"/>
  <c r="K2536" i="1"/>
  <c r="L2536" i="1" s="1"/>
  <c r="K2534" i="1"/>
  <c r="L2534" i="1" s="1"/>
  <c r="K2533" i="1"/>
  <c r="L2533" i="1" s="1"/>
  <c r="K2532" i="1"/>
  <c r="L2532" i="1" s="1"/>
  <c r="K2531" i="1"/>
  <c r="L2531" i="1" s="1"/>
  <c r="K2530" i="1"/>
  <c r="L2530" i="1" s="1"/>
  <c r="K2524" i="1"/>
  <c r="L2524" i="1" s="1"/>
  <c r="K2523" i="1"/>
  <c r="L2523" i="1" s="1"/>
  <c r="K2522" i="1"/>
  <c r="L2522" i="1" s="1"/>
  <c r="K2521" i="1"/>
  <c r="L2521" i="1" s="1"/>
  <c r="K2520" i="1"/>
  <c r="L2520" i="1" s="1"/>
  <c r="K2519" i="1"/>
  <c r="L2519" i="1" s="1"/>
  <c r="K2517" i="1"/>
  <c r="L2517" i="1" s="1"/>
  <c r="K2516" i="1"/>
  <c r="L2516" i="1" s="1"/>
  <c r="K2513" i="1"/>
  <c r="L2513" i="1" s="1"/>
  <c r="K2511" i="1"/>
  <c r="L2511" i="1" s="1"/>
  <c r="K2510" i="1"/>
  <c r="L2510" i="1" s="1"/>
  <c r="K2509" i="1"/>
  <c r="L2509" i="1" s="1"/>
  <c r="K2508" i="1"/>
  <c r="L2508" i="1" s="1"/>
  <c r="K2507" i="1"/>
  <c r="L2507" i="1" s="1"/>
  <c r="K2506" i="1"/>
  <c r="L2506" i="1" s="1"/>
  <c r="K2505" i="1"/>
  <c r="L2505" i="1" s="1"/>
  <c r="K2504" i="1"/>
  <c r="L2504" i="1" s="1"/>
  <c r="K2503" i="1"/>
  <c r="L2503" i="1" s="1"/>
  <c r="K2501" i="1"/>
  <c r="L2501" i="1" s="1"/>
  <c r="K2499" i="1"/>
  <c r="L2499" i="1" s="1"/>
  <c r="K2498" i="1"/>
  <c r="L2498" i="1" s="1"/>
  <c r="K2496" i="1"/>
  <c r="L2496" i="1" s="1"/>
  <c r="K2495" i="1"/>
  <c r="L2495" i="1" s="1"/>
  <c r="K2494" i="1"/>
  <c r="L2494" i="1" s="1"/>
  <c r="K2493" i="1"/>
  <c r="L2493" i="1" s="1"/>
  <c r="K2492" i="1"/>
  <c r="L2492" i="1" s="1"/>
  <c r="K2490" i="1"/>
  <c r="L2490" i="1" s="1"/>
  <c r="K2489" i="1"/>
  <c r="L2489" i="1" s="1"/>
  <c r="K2488" i="1"/>
  <c r="L2488" i="1" s="1"/>
  <c r="K2487" i="1"/>
  <c r="L2487" i="1" s="1"/>
  <c r="K2486" i="1"/>
  <c r="L2486" i="1" s="1"/>
  <c r="K2480" i="1"/>
  <c r="L2480" i="1" s="1"/>
  <c r="K2479" i="1"/>
  <c r="L2479" i="1" s="1"/>
  <c r="K2478" i="1"/>
  <c r="L2478" i="1" s="1"/>
  <c r="K2477" i="1"/>
  <c r="L2477" i="1" s="1"/>
  <c r="K2476" i="1"/>
  <c r="L2476" i="1" s="1"/>
  <c r="K2475" i="1"/>
  <c r="L2475" i="1" s="1"/>
  <c r="K2473" i="1"/>
  <c r="L2473" i="1" s="1"/>
  <c r="K2472" i="1"/>
  <c r="L2472" i="1" s="1"/>
  <c r="K2469" i="1"/>
  <c r="L2469" i="1" s="1"/>
  <c r="K2466" i="1"/>
  <c r="L2466" i="1" s="1"/>
  <c r="K2465" i="1"/>
  <c r="L2465" i="1" s="1"/>
  <c r="K2464" i="1"/>
  <c r="L2464" i="1" s="1"/>
  <c r="K2463" i="1"/>
  <c r="L2463" i="1" s="1"/>
  <c r="K2462" i="1"/>
  <c r="L2462" i="1" s="1"/>
  <c r="K2461" i="1"/>
  <c r="L2461" i="1" s="1"/>
  <c r="K2460" i="1"/>
  <c r="L2460" i="1" s="1"/>
  <c r="K2459" i="1"/>
  <c r="L2459" i="1" s="1"/>
  <c r="K2457" i="1"/>
  <c r="L2457" i="1" s="1"/>
  <c r="K2455" i="1"/>
  <c r="L2455" i="1" s="1"/>
  <c r="K2454" i="1"/>
  <c r="L2454" i="1" s="1"/>
  <c r="K2452" i="1"/>
  <c r="L2452" i="1" s="1"/>
  <c r="K2451" i="1"/>
  <c r="L2451" i="1" s="1"/>
  <c r="K2450" i="1"/>
  <c r="L2450" i="1" s="1"/>
  <c r="K2449" i="1"/>
  <c r="L2449" i="1" s="1"/>
  <c r="K2448" i="1"/>
  <c r="L2448" i="1" s="1"/>
  <c r="K2446" i="1"/>
  <c r="L2446" i="1" s="1"/>
  <c r="K2445" i="1"/>
  <c r="L2445" i="1" s="1"/>
  <c r="K2444" i="1"/>
  <c r="L2444" i="1" s="1"/>
  <c r="K2443" i="1"/>
  <c r="L2443" i="1" s="1"/>
  <c r="K2436" i="1"/>
  <c r="L2436" i="1" s="1"/>
  <c r="K2435" i="1"/>
  <c r="L2435" i="1" s="1"/>
  <c r="K2434" i="1"/>
  <c r="L2434" i="1" s="1"/>
  <c r="K2433" i="1"/>
  <c r="L2433" i="1" s="1"/>
  <c r="K2432" i="1"/>
  <c r="L2432" i="1" s="1"/>
  <c r="K2431" i="1"/>
  <c r="L2431" i="1" s="1"/>
  <c r="K2429" i="1"/>
  <c r="L2429" i="1" s="1"/>
  <c r="K2428" i="1"/>
  <c r="L2428" i="1" s="1"/>
  <c r="K2426" i="1"/>
  <c r="L2426" i="1" s="1"/>
  <c r="K2425" i="1"/>
  <c r="L2425" i="1" s="1"/>
  <c r="K2423" i="1"/>
  <c r="L2423" i="1" s="1"/>
  <c r="K2422" i="1"/>
  <c r="L2422" i="1" s="1"/>
  <c r="K2421" i="1"/>
  <c r="L2421" i="1" s="1"/>
  <c r="K2420" i="1"/>
  <c r="L2420" i="1" s="1"/>
  <c r="K2419" i="1"/>
  <c r="L2419" i="1" s="1"/>
  <c r="K2418" i="1"/>
  <c r="L2418" i="1" s="1"/>
  <c r="K2417" i="1"/>
  <c r="L2417" i="1" s="1"/>
  <c r="K2416" i="1"/>
  <c r="L2416" i="1" s="1"/>
  <c r="K2415" i="1"/>
  <c r="L2415" i="1" s="1"/>
  <c r="K2413" i="1"/>
  <c r="L2413" i="1" s="1"/>
  <c r="K2410" i="1"/>
  <c r="L2410" i="1" s="1"/>
  <c r="K2408" i="1"/>
  <c r="L2408" i="1" s="1"/>
  <c r="K2407" i="1"/>
  <c r="L2407" i="1" s="1"/>
  <c r="K2406" i="1"/>
  <c r="L2406" i="1" s="1"/>
  <c r="K2405" i="1"/>
  <c r="L2405" i="1" s="1"/>
  <c r="K2404" i="1"/>
  <c r="L2404" i="1" s="1"/>
  <c r="K2402" i="1"/>
  <c r="L2402" i="1" s="1"/>
  <c r="K2401" i="1"/>
  <c r="L2401" i="1" s="1"/>
  <c r="K2400" i="1"/>
  <c r="L2400" i="1" s="1"/>
  <c r="K2399" i="1"/>
  <c r="L2399" i="1" s="1"/>
  <c r="K2392" i="1"/>
  <c r="L2392" i="1" s="1"/>
  <c r="K2391" i="1"/>
  <c r="L2391" i="1" s="1"/>
  <c r="K2390" i="1"/>
  <c r="L2390" i="1" s="1"/>
  <c r="K2389" i="1"/>
  <c r="L2389" i="1" s="1"/>
  <c r="K2388" i="1"/>
  <c r="L2388" i="1" s="1"/>
  <c r="K2385" i="1"/>
  <c r="L2385" i="1" s="1"/>
  <c r="K2384" i="1"/>
  <c r="L2384" i="1" s="1"/>
  <c r="K2377" i="1"/>
  <c r="L2377" i="1" s="1"/>
  <c r="K2374" i="1"/>
  <c r="L2374" i="1" s="1"/>
  <c r="K2371" i="1"/>
  <c r="L2371" i="1" s="1"/>
  <c r="K2369" i="1"/>
  <c r="L2369" i="1" s="1"/>
  <c r="K2364" i="1"/>
  <c r="L2364" i="1" s="1"/>
  <c r="K2363" i="1"/>
  <c r="L2363" i="1" s="1"/>
  <c r="K2362" i="1"/>
  <c r="L2362" i="1" s="1"/>
  <c r="K2361" i="1"/>
  <c r="L2361" i="1" s="1"/>
  <c r="K2360" i="1"/>
  <c r="L2360" i="1" s="1"/>
  <c r="K2358" i="1"/>
  <c r="L2358" i="1" s="1"/>
  <c r="K2357" i="1"/>
  <c r="L2357" i="1" s="1"/>
  <c r="K2356" i="1"/>
  <c r="L2356" i="1" s="1"/>
  <c r="K2355" i="1"/>
  <c r="L2355" i="1" s="1"/>
  <c r="K2354" i="1"/>
  <c r="L2354" i="1" s="1"/>
  <c r="K2348" i="1"/>
  <c r="L2348" i="1" s="1"/>
  <c r="K2347" i="1"/>
  <c r="L2347" i="1" s="1"/>
  <c r="K2346" i="1"/>
  <c r="L2346" i="1" s="1"/>
  <c r="K2345" i="1"/>
  <c r="L2345" i="1" s="1"/>
  <c r="K2344" i="1"/>
  <c r="L2344" i="1" s="1"/>
  <c r="K2341" i="1"/>
  <c r="L2341" i="1" s="1"/>
  <c r="K2340" i="1"/>
  <c r="L2340" i="1" s="1"/>
  <c r="K2338" i="1"/>
  <c r="L2338" i="1" s="1"/>
  <c r="K2337" i="1"/>
  <c r="L2337" i="1" s="1"/>
  <c r="K2335" i="1"/>
  <c r="L2335" i="1" s="1"/>
  <c r="K2334" i="1"/>
  <c r="L2334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5" i="1"/>
  <c r="L2325" i="1" s="1"/>
  <c r="K2323" i="1"/>
  <c r="L2323" i="1" s="1"/>
  <c r="K2322" i="1"/>
  <c r="L2322" i="1" s="1"/>
  <c r="K2320" i="1"/>
  <c r="L2320" i="1" s="1"/>
  <c r="K2319" i="1"/>
  <c r="L2319" i="1" s="1"/>
  <c r="K2318" i="1"/>
  <c r="L2318" i="1" s="1"/>
  <c r="K2317" i="1"/>
  <c r="L2317" i="1" s="1"/>
  <c r="K2316" i="1"/>
  <c r="L2316" i="1" s="1"/>
  <c r="K2314" i="1"/>
  <c r="L2314" i="1" s="1"/>
  <c r="K2313" i="1"/>
  <c r="L2313" i="1" s="1"/>
  <c r="K2312" i="1"/>
  <c r="L2312" i="1" s="1"/>
  <c r="K2311" i="1"/>
  <c r="L2311" i="1" s="1"/>
  <c r="K2310" i="1"/>
  <c r="L2310" i="1" s="1"/>
  <c r="K2304" i="1"/>
  <c r="L2304" i="1" s="1"/>
  <c r="K2303" i="1"/>
  <c r="L2303" i="1" s="1"/>
  <c r="K2302" i="1"/>
  <c r="L2302" i="1" s="1"/>
  <c r="K2301" i="1"/>
  <c r="L2301" i="1" s="1"/>
  <c r="K2300" i="1"/>
  <c r="L2300" i="1" s="1"/>
  <c r="K2297" i="1"/>
  <c r="L2297" i="1" s="1"/>
  <c r="K2296" i="1"/>
  <c r="L2296" i="1" s="1"/>
  <c r="K2294" i="1"/>
  <c r="L2294" i="1" s="1"/>
  <c r="K2293" i="1"/>
  <c r="L2293" i="1" s="1"/>
  <c r="K2291" i="1"/>
  <c r="L2291" i="1" s="1"/>
  <c r="K2290" i="1"/>
  <c r="L2290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1" i="1"/>
  <c r="L2281" i="1" s="1"/>
  <c r="K2279" i="1"/>
  <c r="L2279" i="1" s="1"/>
  <c r="K2278" i="1"/>
  <c r="L2278" i="1" s="1"/>
  <c r="K2276" i="1"/>
  <c r="L2276" i="1" s="1"/>
  <c r="K2275" i="1"/>
  <c r="L2275" i="1" s="1"/>
  <c r="K2274" i="1"/>
  <c r="L2274" i="1" s="1"/>
  <c r="K2273" i="1"/>
  <c r="L2273" i="1" s="1"/>
  <c r="K2272" i="1"/>
  <c r="L2272" i="1" s="1"/>
  <c r="K2270" i="1"/>
  <c r="L2270" i="1" s="1"/>
  <c r="K2269" i="1"/>
  <c r="L2269" i="1" s="1"/>
  <c r="K2268" i="1"/>
  <c r="L2268" i="1" s="1"/>
  <c r="K2267" i="1"/>
  <c r="L2267" i="1" s="1"/>
  <c r="K2266" i="1"/>
  <c r="L2266" i="1" s="1"/>
  <c r="K2260" i="1"/>
  <c r="L2260" i="1" s="1"/>
  <c r="K2259" i="1"/>
  <c r="L2259" i="1" s="1"/>
  <c r="K2258" i="1"/>
  <c r="L2258" i="1" s="1"/>
  <c r="K2257" i="1"/>
  <c r="L2257" i="1" s="1"/>
  <c r="K2256" i="1"/>
  <c r="L2256" i="1" s="1"/>
  <c r="K2253" i="1"/>
  <c r="L2253" i="1" s="1"/>
  <c r="K2252" i="1"/>
  <c r="L2252" i="1" s="1"/>
  <c r="K2250" i="1"/>
  <c r="L2250" i="1" s="1"/>
  <c r="K2249" i="1"/>
  <c r="L2249" i="1" s="1"/>
  <c r="K2247" i="1"/>
  <c r="L2247" i="1" s="1"/>
  <c r="K2246" i="1"/>
  <c r="L2246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7" i="1"/>
  <c r="L2237" i="1" s="1"/>
  <c r="K2235" i="1"/>
  <c r="L2235" i="1" s="1"/>
  <c r="K2234" i="1"/>
  <c r="L2234" i="1" s="1"/>
  <c r="K2232" i="1"/>
  <c r="L2232" i="1" s="1"/>
  <c r="K2231" i="1"/>
  <c r="L2231" i="1" s="1"/>
  <c r="K2230" i="1"/>
  <c r="L2230" i="1" s="1"/>
  <c r="K2229" i="1"/>
  <c r="L2229" i="1" s="1"/>
  <c r="K2228" i="1"/>
  <c r="L2228" i="1" s="1"/>
  <c r="K2226" i="1"/>
  <c r="L2226" i="1" s="1"/>
  <c r="K2199" i="1"/>
  <c r="L2199" i="1" s="1"/>
  <c r="K2181" i="1"/>
  <c r="L2181" i="1" s="1"/>
  <c r="K2180" i="1"/>
  <c r="L2180" i="1" s="1"/>
  <c r="K2179" i="1"/>
  <c r="L2179" i="1" s="1"/>
  <c r="K2178" i="1"/>
  <c r="L2178" i="1" s="1"/>
  <c r="K2171" i="1"/>
  <c r="L2171" i="1" s="1"/>
  <c r="K2170" i="1"/>
  <c r="L2170" i="1" s="1"/>
  <c r="K2169" i="1"/>
  <c r="L2169" i="1" s="1"/>
  <c r="K2168" i="1"/>
  <c r="L2168" i="1" s="1"/>
  <c r="K2165" i="1"/>
  <c r="L2165" i="1" s="1"/>
  <c r="K2164" i="1"/>
  <c r="L2164" i="1" s="1"/>
  <c r="K2162" i="1"/>
  <c r="L2162" i="1" s="1"/>
  <c r="K2159" i="1"/>
  <c r="L2159" i="1" s="1"/>
  <c r="K2158" i="1"/>
  <c r="L2158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49" i="1"/>
  <c r="L2149" i="1" s="1"/>
  <c r="K2147" i="1"/>
  <c r="L2147" i="1" s="1"/>
  <c r="K2146" i="1"/>
  <c r="L2146" i="1" s="1"/>
  <c r="K2144" i="1"/>
  <c r="L2144" i="1" s="1"/>
  <c r="K2143" i="1"/>
  <c r="L2143" i="1" s="1"/>
  <c r="K2142" i="1"/>
  <c r="L2142" i="1" s="1"/>
  <c r="K2141" i="1"/>
  <c r="L2141" i="1" s="1"/>
  <c r="K2140" i="1"/>
  <c r="L2140" i="1" s="1"/>
  <c r="K2138" i="1"/>
  <c r="L2138" i="1" s="1"/>
  <c r="K2137" i="1"/>
  <c r="L2137" i="1" s="1"/>
  <c r="K2136" i="1"/>
  <c r="L2136" i="1" s="1"/>
  <c r="K2135" i="1"/>
  <c r="L2135" i="1" s="1"/>
  <c r="K2134" i="1"/>
  <c r="L2134" i="1" s="1"/>
  <c r="K2128" i="1"/>
  <c r="L2128" i="1" s="1"/>
  <c r="K2127" i="1"/>
  <c r="L2127" i="1" s="1"/>
  <c r="K2126" i="1"/>
  <c r="L2126" i="1" s="1"/>
  <c r="K2125" i="1"/>
  <c r="L2125" i="1" s="1"/>
  <c r="K2124" i="1"/>
  <c r="L2124" i="1" s="1"/>
  <c r="K2121" i="1"/>
  <c r="L2121" i="1" s="1"/>
  <c r="K2120" i="1"/>
  <c r="L2120" i="1" s="1"/>
  <c r="K2118" i="1"/>
  <c r="L2118" i="1" s="1"/>
  <c r="K2117" i="1"/>
  <c r="L2117" i="1" s="1"/>
  <c r="K2115" i="1"/>
  <c r="L2115" i="1" s="1"/>
  <c r="K2114" i="1"/>
  <c r="L2114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5" i="1"/>
  <c r="L2105" i="1" s="1"/>
  <c r="K2103" i="1"/>
  <c r="L2103" i="1" s="1"/>
  <c r="K2102" i="1"/>
  <c r="L2102" i="1" s="1"/>
  <c r="K2100" i="1"/>
  <c r="L2100" i="1" s="1"/>
  <c r="K2099" i="1"/>
  <c r="L2099" i="1" s="1"/>
  <c r="K2098" i="1"/>
  <c r="L2098" i="1" s="1"/>
  <c r="K2097" i="1"/>
  <c r="L2097" i="1" s="1"/>
  <c r="K2096" i="1"/>
  <c r="L2096" i="1" s="1"/>
  <c r="K2094" i="1"/>
  <c r="L2094" i="1" s="1"/>
  <c r="K2093" i="1"/>
  <c r="L2093" i="1" s="1"/>
  <c r="K2092" i="1"/>
  <c r="L2092" i="1" s="1"/>
  <c r="K2091" i="1"/>
  <c r="L2091" i="1" s="1"/>
  <c r="K2090" i="1"/>
  <c r="L2090" i="1" s="1"/>
  <c r="K2084" i="1"/>
  <c r="L2084" i="1" s="1"/>
  <c r="K2083" i="1"/>
  <c r="L2083" i="1" s="1"/>
  <c r="K2082" i="1"/>
  <c r="L2082" i="1" s="1"/>
  <c r="K2081" i="1"/>
  <c r="L2081" i="1" s="1"/>
  <c r="K2080" i="1"/>
  <c r="L2080" i="1" s="1"/>
  <c r="K2077" i="1"/>
  <c r="L2077" i="1" s="1"/>
  <c r="K2076" i="1"/>
  <c r="L2076" i="1" s="1"/>
  <c r="K2074" i="1"/>
  <c r="L2074" i="1" s="1"/>
  <c r="K2073" i="1"/>
  <c r="L2073" i="1" s="1"/>
  <c r="K2071" i="1"/>
  <c r="L2071" i="1" s="1"/>
  <c r="K2070" i="1"/>
  <c r="L2070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1" i="1"/>
  <c r="L2061" i="1" s="1"/>
  <c r="K2059" i="1"/>
  <c r="L2059" i="1" s="1"/>
  <c r="K2058" i="1"/>
  <c r="L2058" i="1" s="1"/>
  <c r="K2056" i="1"/>
  <c r="L2056" i="1" s="1"/>
  <c r="K2055" i="1"/>
  <c r="L2055" i="1" s="1"/>
  <c r="K2054" i="1"/>
  <c r="L2054" i="1" s="1"/>
  <c r="K2053" i="1"/>
  <c r="L2053" i="1" s="1"/>
  <c r="K2052" i="1"/>
  <c r="L2052" i="1" s="1"/>
  <c r="K2050" i="1"/>
  <c r="L2050" i="1" s="1"/>
  <c r="K2049" i="1"/>
  <c r="L2049" i="1" s="1"/>
  <c r="K2048" i="1"/>
  <c r="L2048" i="1" s="1"/>
  <c r="K2047" i="1"/>
  <c r="L2047" i="1" s="1"/>
  <c r="K2046" i="1"/>
  <c r="L2046" i="1" s="1"/>
  <c r="K2040" i="1"/>
  <c r="L2040" i="1" s="1"/>
  <c r="K2039" i="1"/>
  <c r="L2039" i="1" s="1"/>
  <c r="K2038" i="1"/>
  <c r="L2038" i="1" s="1"/>
  <c r="K2037" i="1"/>
  <c r="L2037" i="1" s="1"/>
  <c r="K2036" i="1"/>
  <c r="L2036" i="1" s="1"/>
  <c r="K2033" i="1"/>
  <c r="L2033" i="1" s="1"/>
  <c r="K2032" i="1"/>
  <c r="L2032" i="1" s="1"/>
  <c r="K2030" i="1"/>
  <c r="L2030" i="1" s="1"/>
  <c r="K2029" i="1"/>
  <c r="L2029" i="1" s="1"/>
  <c r="K2027" i="1"/>
  <c r="L2027" i="1" s="1"/>
  <c r="K2026" i="1"/>
  <c r="L2026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7" i="1"/>
  <c r="L2017" i="1" s="1"/>
  <c r="K2015" i="1"/>
  <c r="L2015" i="1" s="1"/>
  <c r="K2014" i="1"/>
  <c r="L2014" i="1" s="1"/>
  <c r="K2012" i="1"/>
  <c r="L2012" i="1" s="1"/>
  <c r="K2011" i="1"/>
  <c r="L2011" i="1" s="1"/>
  <c r="K2010" i="1"/>
  <c r="L2010" i="1" s="1"/>
  <c r="K2009" i="1"/>
  <c r="L2009" i="1" s="1"/>
  <c r="K2008" i="1"/>
  <c r="L2008" i="1" s="1"/>
  <c r="K2006" i="1"/>
  <c r="L2006" i="1" s="1"/>
  <c r="K2005" i="1"/>
  <c r="L2005" i="1" s="1"/>
  <c r="K2004" i="1"/>
  <c r="L2004" i="1" s="1"/>
  <c r="K2003" i="1"/>
  <c r="L2003" i="1" s="1"/>
  <c r="K2002" i="1"/>
  <c r="L2002" i="1" s="1"/>
  <c r="K1996" i="1"/>
  <c r="L1996" i="1" s="1"/>
  <c r="K1995" i="1"/>
  <c r="L1995" i="1" s="1"/>
  <c r="K1994" i="1"/>
  <c r="L1994" i="1" s="1"/>
  <c r="K1992" i="1"/>
  <c r="L1992" i="1" s="1"/>
  <c r="K1989" i="1"/>
  <c r="L1989" i="1" s="1"/>
  <c r="K1988" i="1"/>
  <c r="L1988" i="1" s="1"/>
  <c r="K1986" i="1"/>
  <c r="L1986" i="1" s="1"/>
  <c r="K1985" i="1"/>
  <c r="L1985" i="1" s="1"/>
  <c r="K1983" i="1"/>
  <c r="L1983" i="1" s="1"/>
  <c r="K1982" i="1"/>
  <c r="L1982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3" i="1"/>
  <c r="L1973" i="1" s="1"/>
  <c r="K1971" i="1"/>
  <c r="L1971" i="1" s="1"/>
  <c r="K1970" i="1"/>
  <c r="L1970" i="1" s="1"/>
  <c r="K1968" i="1"/>
  <c r="L1968" i="1" s="1"/>
  <c r="K1967" i="1"/>
  <c r="L1967" i="1" s="1"/>
  <c r="K1966" i="1"/>
  <c r="L1966" i="1" s="1"/>
  <c r="K1965" i="1"/>
  <c r="L1965" i="1" s="1"/>
  <c r="K1964" i="1"/>
  <c r="L1964" i="1" s="1"/>
  <c r="K1962" i="1"/>
  <c r="L1962" i="1" s="1"/>
  <c r="K1961" i="1"/>
  <c r="L1961" i="1" s="1"/>
  <c r="K1960" i="1"/>
  <c r="L1960" i="1" s="1"/>
  <c r="K1959" i="1"/>
  <c r="L1959" i="1" s="1"/>
  <c r="K1958" i="1"/>
  <c r="L1958" i="1" s="1"/>
  <c r="K1952" i="1"/>
  <c r="L1952" i="1" s="1"/>
  <c r="K1951" i="1"/>
  <c r="L1951" i="1" s="1"/>
  <c r="K1950" i="1"/>
  <c r="L1950" i="1" s="1"/>
  <c r="K1948" i="1"/>
  <c r="L1948" i="1" s="1"/>
  <c r="K1947" i="1"/>
  <c r="L1947" i="1" s="1"/>
  <c r="K1945" i="1"/>
  <c r="L1945" i="1" s="1"/>
  <c r="K1944" i="1"/>
  <c r="L1944" i="1" s="1"/>
  <c r="K1942" i="1"/>
  <c r="L1942" i="1" s="1"/>
  <c r="K1941" i="1"/>
  <c r="L1941" i="1" s="1"/>
  <c r="K1939" i="1"/>
  <c r="L1939" i="1" s="1"/>
  <c r="K1938" i="1"/>
  <c r="L1938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29" i="1"/>
  <c r="L1929" i="1" s="1"/>
  <c r="K1927" i="1"/>
  <c r="L1927" i="1" s="1"/>
  <c r="K1926" i="1"/>
  <c r="L1926" i="1" s="1"/>
  <c r="K1924" i="1"/>
  <c r="L1924" i="1" s="1"/>
  <c r="K1923" i="1"/>
  <c r="L1923" i="1" s="1"/>
  <c r="K1922" i="1"/>
  <c r="L1922" i="1" s="1"/>
  <c r="K1921" i="1"/>
  <c r="L1921" i="1" s="1"/>
  <c r="K1920" i="1"/>
  <c r="L1920" i="1" s="1"/>
  <c r="K1918" i="1"/>
  <c r="L1918" i="1" s="1"/>
  <c r="K1917" i="1"/>
  <c r="L1917" i="1" s="1"/>
  <c r="K1916" i="1"/>
  <c r="L1916" i="1" s="1"/>
  <c r="K1915" i="1"/>
  <c r="L1915" i="1" s="1"/>
  <c r="K1914" i="1"/>
  <c r="L1914" i="1" s="1"/>
  <c r="K1908" i="1"/>
  <c r="L1908" i="1" s="1"/>
  <c r="K1907" i="1"/>
  <c r="L1907" i="1" s="1"/>
  <c r="K1906" i="1"/>
  <c r="L1906" i="1" s="1"/>
  <c r="K1905" i="1"/>
  <c r="L1905" i="1" s="1"/>
  <c r="K1904" i="1"/>
  <c r="L1904" i="1" s="1"/>
  <c r="K1903" i="1"/>
  <c r="L1903" i="1" s="1"/>
  <c r="K1901" i="1"/>
  <c r="L1901" i="1" s="1"/>
  <c r="K1900" i="1"/>
  <c r="L1900" i="1" s="1"/>
  <c r="K1898" i="1"/>
  <c r="L1898" i="1" s="1"/>
  <c r="K1897" i="1"/>
  <c r="L1897" i="1" s="1"/>
  <c r="K1895" i="1"/>
  <c r="L1895" i="1" s="1"/>
  <c r="K1894" i="1"/>
  <c r="L1894" i="1" s="1"/>
  <c r="K1893" i="1"/>
  <c r="L1893" i="1" s="1"/>
  <c r="K1892" i="1"/>
  <c r="L1892" i="1" s="1"/>
  <c r="K1890" i="1"/>
  <c r="L1890" i="1" s="1"/>
  <c r="K1889" i="1"/>
  <c r="L1889" i="1" s="1"/>
  <c r="K1888" i="1"/>
  <c r="L1888" i="1" s="1"/>
  <c r="K1887" i="1"/>
  <c r="L1887" i="1" s="1"/>
  <c r="K1885" i="1"/>
  <c r="L1885" i="1" s="1"/>
  <c r="K1883" i="1"/>
  <c r="L1883" i="1" s="1"/>
  <c r="K1882" i="1"/>
  <c r="L1882" i="1" s="1"/>
  <c r="K1880" i="1"/>
  <c r="L1880" i="1" s="1"/>
  <c r="K1879" i="1"/>
  <c r="L1879" i="1" s="1"/>
  <c r="K1878" i="1"/>
  <c r="L1878" i="1" s="1"/>
  <c r="K1877" i="1"/>
  <c r="L1877" i="1" s="1"/>
  <c r="K1876" i="1"/>
  <c r="L1876" i="1" s="1"/>
  <c r="K1874" i="1"/>
  <c r="L1874" i="1" s="1"/>
  <c r="K1873" i="1"/>
  <c r="L1873" i="1" s="1"/>
  <c r="K1872" i="1"/>
  <c r="L1872" i="1" s="1"/>
  <c r="K1871" i="1"/>
  <c r="L1871" i="1" s="1"/>
  <c r="K1870" i="1"/>
  <c r="L1870" i="1" s="1"/>
  <c r="K1866" i="1"/>
  <c r="L1866" i="1" s="1"/>
  <c r="K1864" i="1"/>
  <c r="L1864" i="1" s="1"/>
  <c r="K1863" i="1"/>
  <c r="L1863" i="1" s="1"/>
  <c r="K1862" i="1"/>
  <c r="L1862" i="1" s="1"/>
  <c r="K1861" i="1"/>
  <c r="L1861" i="1" s="1"/>
  <c r="K1860" i="1"/>
  <c r="L1860" i="1" s="1"/>
  <c r="K1859" i="1"/>
  <c r="L1859" i="1" s="1"/>
  <c r="K1857" i="1"/>
  <c r="L1857" i="1" s="1"/>
  <c r="K1856" i="1"/>
  <c r="L1856" i="1" s="1"/>
  <c r="K1854" i="1"/>
  <c r="L1854" i="1" s="1"/>
  <c r="K1853" i="1"/>
  <c r="L1853" i="1" s="1"/>
  <c r="K1851" i="1"/>
  <c r="L1851" i="1" s="1"/>
  <c r="K1850" i="1"/>
  <c r="L1850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1" i="1"/>
  <c r="L1841" i="1" s="1"/>
  <c r="K1839" i="1"/>
  <c r="L1839" i="1" s="1"/>
  <c r="K1838" i="1"/>
  <c r="L1838" i="1" s="1"/>
  <c r="K1836" i="1"/>
  <c r="L1836" i="1" s="1"/>
  <c r="K1835" i="1"/>
  <c r="L1835" i="1" s="1"/>
  <c r="K1833" i="1"/>
  <c r="L1833" i="1" s="1"/>
  <c r="K1832" i="1"/>
  <c r="L1832" i="1" s="1"/>
  <c r="K1830" i="1"/>
  <c r="L1830" i="1" s="1"/>
  <c r="K1829" i="1"/>
  <c r="L1829" i="1" s="1"/>
  <c r="K1828" i="1"/>
  <c r="L1828" i="1" s="1"/>
  <c r="K1827" i="1"/>
  <c r="L1827" i="1" s="1"/>
  <c r="K1826" i="1"/>
  <c r="L1826" i="1" s="1"/>
  <c r="K1820" i="1"/>
  <c r="L1820" i="1" s="1"/>
  <c r="K1819" i="1"/>
  <c r="L1819" i="1" s="1"/>
  <c r="K1818" i="1"/>
  <c r="L1818" i="1" s="1"/>
  <c r="K1817" i="1"/>
  <c r="L1817" i="1" s="1"/>
  <c r="K1816" i="1"/>
  <c r="L1816" i="1" s="1"/>
  <c r="K1815" i="1"/>
  <c r="L1815" i="1" s="1"/>
  <c r="K1813" i="1"/>
  <c r="L1813" i="1" s="1"/>
  <c r="K1812" i="1"/>
  <c r="L1812" i="1" s="1"/>
  <c r="K1810" i="1"/>
  <c r="L1810" i="1" s="1"/>
  <c r="K1809" i="1"/>
  <c r="L1809" i="1" s="1"/>
  <c r="K1807" i="1"/>
  <c r="L1807" i="1" s="1"/>
  <c r="K1806" i="1"/>
  <c r="L1806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7" i="1"/>
  <c r="L1797" i="1" s="1"/>
  <c r="K1795" i="1"/>
  <c r="L1795" i="1" s="1"/>
  <c r="K1794" i="1"/>
  <c r="L1794" i="1" s="1"/>
  <c r="K1792" i="1"/>
  <c r="L1792" i="1" s="1"/>
  <c r="K1791" i="1"/>
  <c r="L1791" i="1" s="1"/>
  <c r="K1790" i="1"/>
  <c r="L1790" i="1" s="1"/>
  <c r="K1789" i="1"/>
  <c r="L1789" i="1" s="1"/>
  <c r="K1788" i="1"/>
  <c r="L1788" i="1" s="1"/>
  <c r="K1786" i="1"/>
  <c r="L1786" i="1" s="1"/>
  <c r="K1785" i="1"/>
  <c r="L1785" i="1" s="1"/>
  <c r="K1784" i="1"/>
  <c r="L1784" i="1" s="1"/>
  <c r="K1783" i="1"/>
  <c r="L1783" i="1" s="1"/>
  <c r="K1782" i="1"/>
  <c r="L1782" i="1" s="1"/>
  <c r="K1778" i="1"/>
  <c r="L1778" i="1" s="1"/>
  <c r="K1776" i="1"/>
  <c r="L1776" i="1" s="1"/>
  <c r="K1775" i="1"/>
  <c r="L1775" i="1" s="1"/>
  <c r="K1774" i="1"/>
  <c r="L1774" i="1" s="1"/>
  <c r="K1773" i="1"/>
  <c r="L1773" i="1" s="1"/>
  <c r="K1772" i="1"/>
  <c r="L1772" i="1" s="1"/>
  <c r="K1771" i="1"/>
  <c r="L1771" i="1" s="1"/>
  <c r="K1769" i="1"/>
  <c r="L1769" i="1" s="1"/>
  <c r="K1768" i="1"/>
  <c r="L1768" i="1" s="1"/>
  <c r="K1766" i="1"/>
  <c r="L1766" i="1" s="1"/>
  <c r="K1765" i="1"/>
  <c r="L1765" i="1" s="1"/>
  <c r="K1763" i="1"/>
  <c r="L1763" i="1" s="1"/>
  <c r="K1762" i="1"/>
  <c r="L1762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3" i="1"/>
  <c r="L1753" i="1" s="1"/>
  <c r="K1751" i="1"/>
  <c r="L1751" i="1" s="1"/>
  <c r="K1750" i="1"/>
  <c r="L1750" i="1" s="1"/>
  <c r="K1748" i="1"/>
  <c r="L1748" i="1" s="1"/>
  <c r="K1747" i="1"/>
  <c r="L1747" i="1" s="1"/>
  <c r="K1746" i="1"/>
  <c r="L1746" i="1" s="1"/>
  <c r="K1745" i="1"/>
  <c r="L1745" i="1" s="1"/>
  <c r="K1744" i="1"/>
  <c r="L1744" i="1" s="1"/>
  <c r="K1742" i="1"/>
  <c r="L1742" i="1" s="1"/>
  <c r="K1741" i="1"/>
  <c r="L1741" i="1" s="1"/>
  <c r="K1740" i="1"/>
  <c r="L1740" i="1" s="1"/>
  <c r="K1739" i="1"/>
  <c r="L1739" i="1" s="1"/>
  <c r="K1738" i="1"/>
  <c r="L1738" i="1" s="1"/>
  <c r="K1734" i="1"/>
  <c r="L1734" i="1" s="1"/>
  <c r="K1732" i="1"/>
  <c r="L1732" i="1" s="1"/>
  <c r="K1731" i="1"/>
  <c r="L1731" i="1" s="1"/>
  <c r="K1730" i="1"/>
  <c r="L1730" i="1" s="1"/>
  <c r="K1729" i="1"/>
  <c r="L1729" i="1" s="1"/>
  <c r="K1728" i="1"/>
  <c r="L1728" i="1" s="1"/>
  <c r="K1725" i="1"/>
  <c r="L1725" i="1" s="1"/>
  <c r="K1724" i="1"/>
  <c r="L1724" i="1" s="1"/>
  <c r="K1722" i="1"/>
  <c r="L1722" i="1" s="1"/>
  <c r="K1721" i="1"/>
  <c r="L1721" i="1" s="1"/>
  <c r="K1719" i="1"/>
  <c r="L1719" i="1" s="1"/>
  <c r="K1718" i="1"/>
  <c r="L1718" i="1" s="1"/>
  <c r="K1717" i="1"/>
  <c r="L1717" i="1" s="1"/>
  <c r="K1716" i="1"/>
  <c r="L1716" i="1" s="1"/>
  <c r="K1714" i="1"/>
  <c r="L1714" i="1" s="1"/>
  <c r="K1713" i="1"/>
  <c r="L1713" i="1" s="1"/>
  <c r="K1712" i="1"/>
  <c r="L1712" i="1" s="1"/>
  <c r="K1709" i="1"/>
  <c r="L1709" i="1" s="1"/>
  <c r="K1707" i="1"/>
  <c r="L1707" i="1" s="1"/>
  <c r="K1706" i="1"/>
  <c r="L1706" i="1" s="1"/>
  <c r="K1704" i="1"/>
  <c r="L1704" i="1" s="1"/>
  <c r="K1703" i="1"/>
  <c r="L1703" i="1" s="1"/>
  <c r="K1701" i="1"/>
  <c r="L1701" i="1" s="1"/>
  <c r="K1700" i="1"/>
  <c r="L1700" i="1" s="1"/>
  <c r="K1698" i="1"/>
  <c r="L1698" i="1" s="1"/>
  <c r="K1697" i="1"/>
  <c r="L1697" i="1" s="1"/>
  <c r="K1696" i="1"/>
  <c r="L1696" i="1" s="1"/>
  <c r="K1695" i="1"/>
  <c r="L1695" i="1" s="1"/>
  <c r="K1694" i="1"/>
  <c r="L1694" i="1" s="1"/>
  <c r="K1690" i="1"/>
  <c r="L1690" i="1" s="1"/>
  <c r="K1688" i="1"/>
  <c r="L1688" i="1" s="1"/>
  <c r="K1687" i="1"/>
  <c r="L1687" i="1" s="1"/>
  <c r="K1685" i="1"/>
  <c r="L1685" i="1" s="1"/>
  <c r="K1684" i="1"/>
  <c r="L1684" i="1" s="1"/>
  <c r="K1683" i="1"/>
  <c r="L1683" i="1" s="1"/>
  <c r="K1681" i="1"/>
  <c r="L1681" i="1" s="1"/>
  <c r="K1680" i="1"/>
  <c r="L1680" i="1" s="1"/>
  <c r="K1678" i="1"/>
  <c r="L1678" i="1" s="1"/>
  <c r="K1677" i="1"/>
  <c r="L1677" i="1" s="1"/>
  <c r="K1675" i="1"/>
  <c r="L1675" i="1" s="1"/>
  <c r="K1674" i="1"/>
  <c r="L1674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5" i="1"/>
  <c r="L1665" i="1" s="1"/>
  <c r="K1663" i="1"/>
  <c r="L1663" i="1" s="1"/>
  <c r="K1662" i="1"/>
  <c r="L1662" i="1" s="1"/>
  <c r="K1660" i="1"/>
  <c r="L1660" i="1" s="1"/>
  <c r="K1659" i="1"/>
  <c r="L1659" i="1" s="1"/>
  <c r="K1657" i="1"/>
  <c r="L1657" i="1" s="1"/>
  <c r="K1656" i="1"/>
  <c r="L1656" i="1" s="1"/>
  <c r="K1654" i="1"/>
  <c r="L1654" i="1" s="1"/>
  <c r="K1653" i="1"/>
  <c r="L1653" i="1" s="1"/>
  <c r="K1652" i="1"/>
  <c r="L1652" i="1" s="1"/>
  <c r="K1651" i="1"/>
  <c r="L1651" i="1" s="1"/>
  <c r="K1650" i="1"/>
  <c r="L1650" i="1" s="1"/>
  <c r="K1646" i="1"/>
  <c r="L1646" i="1" s="1"/>
  <c r="K1644" i="1"/>
  <c r="L1644" i="1" s="1"/>
  <c r="K1643" i="1"/>
  <c r="L1643" i="1" s="1"/>
  <c r="K1641" i="1"/>
  <c r="L1641" i="1" s="1"/>
  <c r="K1640" i="1"/>
  <c r="L1640" i="1" s="1"/>
  <c r="K1639" i="1"/>
  <c r="L1639" i="1" s="1"/>
  <c r="K1637" i="1"/>
  <c r="L1637" i="1" s="1"/>
  <c r="K1636" i="1"/>
  <c r="L1636" i="1" s="1"/>
  <c r="K1634" i="1"/>
  <c r="L1634" i="1" s="1"/>
  <c r="K1633" i="1"/>
  <c r="L1633" i="1" s="1"/>
  <c r="K1631" i="1"/>
  <c r="L1631" i="1" s="1"/>
  <c r="K1630" i="1"/>
  <c r="L1630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1" i="1"/>
  <c r="L1621" i="1" s="1"/>
  <c r="K1619" i="1"/>
  <c r="L1619" i="1" s="1"/>
  <c r="K1618" i="1"/>
  <c r="L1618" i="1" s="1"/>
  <c r="K1616" i="1"/>
  <c r="L1616" i="1" s="1"/>
  <c r="K1615" i="1"/>
  <c r="L1615" i="1" s="1"/>
  <c r="K1614" i="1"/>
  <c r="L1614" i="1" s="1"/>
  <c r="K1613" i="1"/>
  <c r="L1613" i="1" s="1"/>
  <c r="K1612" i="1"/>
  <c r="L1612" i="1" s="1"/>
  <c r="K1610" i="1"/>
  <c r="L1610" i="1" s="1"/>
  <c r="K1609" i="1"/>
  <c r="L1609" i="1" s="1"/>
  <c r="K1608" i="1"/>
  <c r="L1608" i="1" s="1"/>
  <c r="K1607" i="1"/>
  <c r="L1607" i="1" s="1"/>
  <c r="K1606" i="1"/>
  <c r="L1606" i="1" s="1"/>
  <c r="K1602" i="1"/>
  <c r="L1602" i="1" s="1"/>
  <c r="K1600" i="1"/>
  <c r="L1600" i="1" s="1"/>
  <c r="K1599" i="1"/>
  <c r="L1599" i="1" s="1"/>
  <c r="K1596" i="1"/>
  <c r="L1596" i="1" s="1"/>
  <c r="K1595" i="1"/>
  <c r="L1595" i="1" s="1"/>
  <c r="K1593" i="1"/>
  <c r="L1593" i="1" s="1"/>
  <c r="K1592" i="1"/>
  <c r="L1592" i="1" s="1"/>
  <c r="K1590" i="1"/>
  <c r="L1590" i="1" s="1"/>
  <c r="K1589" i="1"/>
  <c r="L1589" i="1" s="1"/>
  <c r="K1587" i="1"/>
  <c r="L1587" i="1" s="1"/>
  <c r="K1586" i="1"/>
  <c r="L1586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7" i="1"/>
  <c r="L1577" i="1" s="1"/>
  <c r="K1575" i="1"/>
  <c r="L1575" i="1" s="1"/>
  <c r="K1574" i="1"/>
  <c r="L1574" i="1" s="1"/>
  <c r="K1572" i="1"/>
  <c r="L1572" i="1" s="1"/>
  <c r="K1571" i="1"/>
  <c r="L1571" i="1" s="1"/>
  <c r="K1570" i="1"/>
  <c r="L1570" i="1" s="1"/>
  <c r="K1569" i="1"/>
  <c r="L1569" i="1" s="1"/>
  <c r="K1568" i="1"/>
  <c r="L1568" i="1" s="1"/>
  <c r="K1566" i="1"/>
  <c r="L1566" i="1" s="1"/>
  <c r="K1565" i="1"/>
  <c r="L1565" i="1" s="1"/>
  <c r="K1564" i="1"/>
  <c r="L1564" i="1" s="1"/>
  <c r="K1563" i="1"/>
  <c r="L1563" i="1" s="1"/>
  <c r="K1558" i="1"/>
  <c r="L1558" i="1" s="1"/>
  <c r="K1556" i="1"/>
  <c r="L1556" i="1" s="1"/>
  <c r="K1555" i="1"/>
  <c r="L1555" i="1" s="1"/>
  <c r="K1553" i="1"/>
  <c r="L1553" i="1" s="1"/>
  <c r="K1552" i="1"/>
  <c r="L1552" i="1" s="1"/>
  <c r="K1551" i="1"/>
  <c r="L1551" i="1" s="1"/>
  <c r="K1549" i="1"/>
  <c r="L1549" i="1" s="1"/>
  <c r="K1548" i="1"/>
  <c r="L1548" i="1" s="1"/>
  <c r="K1546" i="1"/>
  <c r="L1546" i="1" s="1"/>
  <c r="K1545" i="1"/>
  <c r="L1545" i="1" s="1"/>
  <c r="K1543" i="1"/>
  <c r="L1543" i="1" s="1"/>
  <c r="K1542" i="1"/>
  <c r="L1542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3" i="1"/>
  <c r="L1533" i="1" s="1"/>
  <c r="K1531" i="1"/>
  <c r="L1531" i="1" s="1"/>
  <c r="K1530" i="1"/>
  <c r="L1530" i="1" s="1"/>
  <c r="K1528" i="1"/>
  <c r="L1528" i="1" s="1"/>
  <c r="K1527" i="1"/>
  <c r="L1527" i="1" s="1"/>
  <c r="K1526" i="1"/>
  <c r="L1526" i="1" s="1"/>
  <c r="K1525" i="1"/>
  <c r="L1525" i="1" s="1"/>
  <c r="K1524" i="1"/>
  <c r="L1524" i="1" s="1"/>
  <c r="K1522" i="1"/>
  <c r="L1522" i="1" s="1"/>
  <c r="K1521" i="1"/>
  <c r="L1521" i="1" s="1"/>
  <c r="K1520" i="1"/>
  <c r="L1520" i="1" s="1"/>
  <c r="K1519" i="1"/>
  <c r="L1519" i="1" s="1"/>
  <c r="K1514" i="1"/>
  <c r="L1514" i="1" s="1"/>
  <c r="K1512" i="1"/>
  <c r="L1512" i="1" s="1"/>
  <c r="K1511" i="1"/>
  <c r="L1511" i="1" s="1"/>
  <c r="K1508" i="1"/>
  <c r="L1508" i="1" s="1"/>
  <c r="K1507" i="1"/>
  <c r="L1507" i="1" s="1"/>
  <c r="K1505" i="1"/>
  <c r="L1505" i="1" s="1"/>
  <c r="K1504" i="1"/>
  <c r="L1504" i="1" s="1"/>
  <c r="K1502" i="1"/>
  <c r="L1502" i="1" s="1"/>
  <c r="K1501" i="1"/>
  <c r="L1501" i="1" s="1"/>
  <c r="K1499" i="1"/>
  <c r="L1499" i="1" s="1"/>
  <c r="K1498" i="1"/>
  <c r="L1498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89" i="1"/>
  <c r="L1489" i="1" s="1"/>
  <c r="K1487" i="1"/>
  <c r="L1487" i="1" s="1"/>
  <c r="K1486" i="1"/>
  <c r="L1486" i="1" s="1"/>
  <c r="K1484" i="1"/>
  <c r="L1484" i="1" s="1"/>
  <c r="K1483" i="1"/>
  <c r="L1483" i="1" s="1"/>
  <c r="K1482" i="1"/>
  <c r="L1482" i="1" s="1"/>
  <c r="K1481" i="1"/>
  <c r="L1481" i="1" s="1"/>
  <c r="K1480" i="1"/>
  <c r="L1480" i="1" s="1"/>
  <c r="K1478" i="1"/>
  <c r="L1478" i="1" s="1"/>
  <c r="K1477" i="1"/>
  <c r="L1477" i="1" s="1"/>
  <c r="K1476" i="1"/>
  <c r="L1476" i="1" s="1"/>
  <c r="K1475" i="1"/>
  <c r="L1475" i="1" s="1"/>
  <c r="K1470" i="1"/>
  <c r="L1470" i="1" s="1"/>
  <c r="K1468" i="1"/>
  <c r="L1468" i="1" s="1"/>
  <c r="K1467" i="1"/>
  <c r="L1467" i="1" s="1"/>
  <c r="K1466" i="1"/>
  <c r="L1466" i="1" s="1"/>
  <c r="K1465" i="1"/>
  <c r="L1465" i="1" s="1"/>
  <c r="K1464" i="1"/>
  <c r="L1464" i="1" s="1"/>
  <c r="K1463" i="1"/>
  <c r="L1463" i="1" s="1"/>
  <c r="K1461" i="1"/>
  <c r="L1461" i="1" s="1"/>
  <c r="K1460" i="1"/>
  <c r="L1460" i="1" s="1"/>
  <c r="K1458" i="1"/>
  <c r="L1458" i="1" s="1"/>
  <c r="K1457" i="1"/>
  <c r="L1457" i="1" s="1"/>
  <c r="K1455" i="1"/>
  <c r="L1455" i="1" s="1"/>
  <c r="K1454" i="1"/>
  <c r="L1454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5" i="1"/>
  <c r="L1445" i="1" s="1"/>
  <c r="K1443" i="1"/>
  <c r="L1443" i="1" s="1"/>
  <c r="K1442" i="1"/>
  <c r="L1442" i="1" s="1"/>
  <c r="K1440" i="1"/>
  <c r="L1440" i="1" s="1"/>
  <c r="K1439" i="1"/>
  <c r="L1439" i="1" s="1"/>
  <c r="K1438" i="1"/>
  <c r="L1438" i="1" s="1"/>
  <c r="K1437" i="1"/>
  <c r="L1437" i="1" s="1"/>
  <c r="K1436" i="1"/>
  <c r="L1436" i="1" s="1"/>
  <c r="K1434" i="1"/>
  <c r="L1434" i="1" s="1"/>
  <c r="K1433" i="1"/>
  <c r="L1433" i="1" s="1"/>
  <c r="K1432" i="1"/>
  <c r="L1432" i="1" s="1"/>
  <c r="K1431" i="1"/>
  <c r="L1431" i="1" s="1"/>
  <c r="K1426" i="1"/>
  <c r="L1426" i="1" s="1"/>
  <c r="K1424" i="1"/>
  <c r="L1424" i="1" s="1"/>
  <c r="K1423" i="1"/>
  <c r="L1423" i="1" s="1"/>
  <c r="K1422" i="1"/>
  <c r="L1422" i="1" s="1"/>
  <c r="K1421" i="1"/>
  <c r="L1421" i="1" s="1"/>
  <c r="K1420" i="1"/>
  <c r="L1420" i="1" s="1"/>
  <c r="K1419" i="1"/>
  <c r="L1419" i="1" s="1"/>
  <c r="K1417" i="1"/>
  <c r="L1417" i="1" s="1"/>
  <c r="K1416" i="1"/>
  <c r="L1416" i="1" s="1"/>
  <c r="K1414" i="1"/>
  <c r="L1414" i="1" s="1"/>
  <c r="K1413" i="1"/>
  <c r="L1413" i="1" s="1"/>
  <c r="K1411" i="1"/>
  <c r="L1411" i="1" s="1"/>
  <c r="K1410" i="1"/>
  <c r="L1410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1" i="1"/>
  <c r="L1401" i="1" s="1"/>
  <c r="K1399" i="1"/>
  <c r="L1399" i="1" s="1"/>
  <c r="K1398" i="1"/>
  <c r="L1398" i="1" s="1"/>
  <c r="K1396" i="1"/>
  <c r="L1396" i="1" s="1"/>
  <c r="K1395" i="1"/>
  <c r="L1395" i="1" s="1"/>
  <c r="K1394" i="1"/>
  <c r="L1394" i="1" s="1"/>
  <c r="K1393" i="1"/>
  <c r="L1393" i="1" s="1"/>
  <c r="K1392" i="1"/>
  <c r="L1392" i="1" s="1"/>
  <c r="K1390" i="1"/>
  <c r="L1390" i="1" s="1"/>
  <c r="K1389" i="1"/>
  <c r="L1389" i="1" s="1"/>
  <c r="K1388" i="1"/>
  <c r="L1388" i="1" s="1"/>
  <c r="K1387" i="1"/>
  <c r="L1387" i="1" s="1"/>
  <c r="K1382" i="1"/>
  <c r="L1382" i="1" s="1"/>
  <c r="K1380" i="1"/>
  <c r="L1380" i="1" s="1"/>
  <c r="K1379" i="1"/>
  <c r="L1379" i="1" s="1"/>
  <c r="K1378" i="1"/>
  <c r="L1378" i="1" s="1"/>
  <c r="K1377" i="1"/>
  <c r="L1377" i="1" s="1"/>
  <c r="K1376" i="1"/>
  <c r="L1376" i="1" s="1"/>
  <c r="K1375" i="1"/>
  <c r="L1375" i="1" s="1"/>
  <c r="K1373" i="1"/>
  <c r="L1373" i="1" s="1"/>
  <c r="K1372" i="1"/>
  <c r="L1372" i="1" s="1"/>
  <c r="K1370" i="1"/>
  <c r="L1370" i="1" s="1"/>
  <c r="K1369" i="1"/>
  <c r="L1369" i="1" s="1"/>
  <c r="K1366" i="1"/>
  <c r="L1366" i="1" s="1"/>
  <c r="K1365" i="1"/>
  <c r="L1365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7" i="1"/>
  <c r="L1357" i="1" s="1"/>
  <c r="K1355" i="1"/>
  <c r="L1355" i="1" s="1"/>
  <c r="K1354" i="1"/>
  <c r="L1354" i="1" s="1"/>
  <c r="K1352" i="1"/>
  <c r="L1352" i="1" s="1"/>
  <c r="K1351" i="1"/>
  <c r="L1351" i="1" s="1"/>
  <c r="K1350" i="1"/>
  <c r="L1350" i="1" s="1"/>
  <c r="K1349" i="1"/>
  <c r="L1349" i="1" s="1"/>
  <c r="K1348" i="1"/>
  <c r="L1348" i="1" s="1"/>
  <c r="K1346" i="1"/>
  <c r="L1346" i="1" s="1"/>
  <c r="K1345" i="1"/>
  <c r="L1345" i="1" s="1"/>
  <c r="K1344" i="1"/>
  <c r="L1344" i="1" s="1"/>
  <c r="K1343" i="1"/>
  <c r="L1343" i="1" s="1"/>
  <c r="K1338" i="1"/>
  <c r="L1338" i="1" s="1"/>
  <c r="K1335" i="1"/>
  <c r="L1335" i="1" s="1"/>
  <c r="K1334" i="1"/>
  <c r="L1334" i="1" s="1"/>
  <c r="K1333" i="1"/>
  <c r="L1333" i="1" s="1"/>
  <c r="K1332" i="1"/>
  <c r="L1332" i="1" s="1"/>
  <c r="K1331" i="1"/>
  <c r="L1331" i="1" s="1"/>
  <c r="K1329" i="1"/>
  <c r="L1329" i="1" s="1"/>
  <c r="K1328" i="1"/>
  <c r="L1328" i="1" s="1"/>
  <c r="K1326" i="1"/>
  <c r="L1326" i="1" s="1"/>
  <c r="K1325" i="1"/>
  <c r="L1325" i="1" s="1"/>
  <c r="K1323" i="1"/>
  <c r="L1323" i="1" s="1"/>
  <c r="K1322" i="1"/>
  <c r="L1322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3" i="1"/>
  <c r="L1313" i="1" s="1"/>
  <c r="K1311" i="1"/>
  <c r="L1311" i="1" s="1"/>
  <c r="K1310" i="1"/>
  <c r="L1310" i="1" s="1"/>
  <c r="K1308" i="1"/>
  <c r="L1308" i="1" s="1"/>
  <c r="K1307" i="1"/>
  <c r="L1307" i="1" s="1"/>
  <c r="K1306" i="1"/>
  <c r="L1306" i="1" s="1"/>
  <c r="K1305" i="1"/>
  <c r="L1305" i="1" s="1"/>
  <c r="K1304" i="1"/>
  <c r="L1304" i="1" s="1"/>
  <c r="K1302" i="1"/>
  <c r="L1302" i="1" s="1"/>
  <c r="K1301" i="1"/>
  <c r="L1301" i="1" s="1"/>
  <c r="K1300" i="1"/>
  <c r="L1300" i="1" s="1"/>
  <c r="K1294" i="1"/>
  <c r="L1294" i="1" s="1"/>
  <c r="K1292" i="1"/>
  <c r="L1292" i="1" s="1"/>
  <c r="K1291" i="1"/>
  <c r="L1291" i="1" s="1"/>
  <c r="K1290" i="1"/>
  <c r="L1290" i="1" s="1"/>
  <c r="K1289" i="1"/>
  <c r="L1289" i="1" s="1"/>
  <c r="K1288" i="1"/>
  <c r="L1288" i="1" s="1"/>
  <c r="K1287" i="1"/>
  <c r="L1287" i="1" s="1"/>
  <c r="K1285" i="1"/>
  <c r="L1285" i="1" s="1"/>
  <c r="K1284" i="1"/>
  <c r="L1284" i="1" s="1"/>
  <c r="K1282" i="1"/>
  <c r="L1282" i="1" s="1"/>
  <c r="K1281" i="1"/>
  <c r="L1281" i="1" s="1"/>
  <c r="K1279" i="1"/>
  <c r="L1279" i="1" s="1"/>
  <c r="K1278" i="1"/>
  <c r="L1278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69" i="1"/>
  <c r="L1269" i="1" s="1"/>
  <c r="K1267" i="1"/>
  <c r="L1267" i="1" s="1"/>
  <c r="K1266" i="1"/>
  <c r="L1266" i="1" s="1"/>
  <c r="K1264" i="1"/>
  <c r="L1264" i="1" s="1"/>
  <c r="K1263" i="1"/>
  <c r="L1263" i="1" s="1"/>
  <c r="K1262" i="1"/>
  <c r="L1262" i="1" s="1"/>
  <c r="K1261" i="1"/>
  <c r="L1261" i="1" s="1"/>
  <c r="K1260" i="1"/>
  <c r="L1260" i="1" s="1"/>
  <c r="K1258" i="1"/>
  <c r="L1258" i="1" s="1"/>
  <c r="K1257" i="1"/>
  <c r="L1257" i="1" s="1"/>
  <c r="K1256" i="1"/>
  <c r="L1256" i="1" s="1"/>
  <c r="K1255" i="1"/>
  <c r="L1255" i="1" s="1"/>
  <c r="K1248" i="1"/>
  <c r="L1248" i="1" s="1"/>
  <c r="K1247" i="1"/>
  <c r="L1247" i="1" s="1"/>
  <c r="K1245" i="1"/>
  <c r="L1245" i="1" s="1"/>
  <c r="K1244" i="1"/>
  <c r="L1244" i="1" s="1"/>
  <c r="K1243" i="1"/>
  <c r="L1243" i="1" s="1"/>
  <c r="K1241" i="1"/>
  <c r="L1241" i="1" s="1"/>
  <c r="K1240" i="1"/>
  <c r="L1240" i="1" s="1"/>
  <c r="K1238" i="1"/>
  <c r="L1238" i="1" s="1"/>
  <c r="K1237" i="1"/>
  <c r="L1237" i="1" s="1"/>
  <c r="K1235" i="1"/>
  <c r="L1235" i="1" s="1"/>
  <c r="K1234" i="1"/>
  <c r="L1234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5" i="1"/>
  <c r="L1225" i="1" s="1"/>
  <c r="K1223" i="1"/>
  <c r="L1223" i="1" s="1"/>
  <c r="K1222" i="1"/>
  <c r="L1222" i="1" s="1"/>
  <c r="K1220" i="1"/>
  <c r="L1220" i="1" s="1"/>
  <c r="K1219" i="1"/>
  <c r="L1219" i="1" s="1"/>
  <c r="K1218" i="1"/>
  <c r="L1218" i="1" s="1"/>
  <c r="K1217" i="1"/>
  <c r="L1217" i="1" s="1"/>
  <c r="K1216" i="1"/>
  <c r="L1216" i="1" s="1"/>
  <c r="K1214" i="1"/>
  <c r="L1214" i="1" s="1"/>
  <c r="K1213" i="1"/>
  <c r="L1213" i="1" s="1"/>
  <c r="K1212" i="1"/>
  <c r="L1212" i="1" s="1"/>
  <c r="K1204" i="1"/>
  <c r="L1204" i="1" s="1"/>
  <c r="K1203" i="1"/>
  <c r="L1203" i="1" s="1"/>
  <c r="K1200" i="1"/>
  <c r="L1200" i="1" s="1"/>
  <c r="K1199" i="1"/>
  <c r="L1199" i="1" s="1"/>
  <c r="K1197" i="1"/>
  <c r="L1197" i="1" s="1"/>
  <c r="K1196" i="1"/>
  <c r="L1196" i="1" s="1"/>
  <c r="K1194" i="1"/>
  <c r="L1194" i="1" s="1"/>
  <c r="K1193" i="1"/>
  <c r="L1193" i="1" s="1"/>
  <c r="K1191" i="1"/>
  <c r="L1191" i="1" s="1"/>
  <c r="K1189" i="1"/>
  <c r="L1189" i="1" s="1"/>
  <c r="K1188" i="1"/>
  <c r="L1188" i="1" s="1"/>
  <c r="K1187" i="1"/>
  <c r="L1187" i="1" s="1"/>
  <c r="K1185" i="1"/>
  <c r="L1185" i="1" s="1"/>
  <c r="K1184" i="1"/>
  <c r="L1184" i="1" s="1"/>
  <c r="K1181" i="1"/>
  <c r="L1181" i="1" s="1"/>
  <c r="K1179" i="1"/>
  <c r="L1179" i="1" s="1"/>
  <c r="K418" i="1"/>
  <c r="L418" i="1" s="1"/>
  <c r="K412" i="1"/>
  <c r="L412" i="1" s="1"/>
  <c r="K350" i="1"/>
  <c r="L350" i="1" s="1"/>
  <c r="K338" i="1"/>
  <c r="L338" i="1" s="1"/>
  <c r="K336" i="1"/>
  <c r="L336" i="1" s="1"/>
  <c r="K335" i="1"/>
  <c r="L335" i="1" s="1"/>
  <c r="K334" i="1"/>
  <c r="L334" i="1" s="1"/>
  <c r="K333" i="1"/>
  <c r="L333" i="1" s="1"/>
  <c r="K331" i="1"/>
  <c r="L331" i="1" s="1"/>
  <c r="K328" i="1"/>
  <c r="L328" i="1" s="1"/>
  <c r="K326" i="1"/>
  <c r="L326" i="1" s="1"/>
  <c r="K324" i="1"/>
  <c r="L324" i="1" s="1"/>
  <c r="K321" i="1"/>
  <c r="L321" i="1" s="1"/>
  <c r="K320" i="1"/>
  <c r="L320" i="1" s="1"/>
  <c r="K318" i="1"/>
  <c r="L318" i="1" s="1"/>
  <c r="K316" i="1"/>
  <c r="L316" i="1" s="1"/>
  <c r="K310" i="1"/>
  <c r="L310" i="1" s="1"/>
  <c r="K308" i="1"/>
  <c r="L308" i="1" s="1"/>
  <c r="K306" i="1"/>
  <c r="L306" i="1" s="1"/>
  <c r="K303" i="1"/>
  <c r="L303" i="1" s="1"/>
  <c r="K300" i="1"/>
  <c r="L300" i="1" s="1"/>
  <c r="K298" i="1"/>
  <c r="L298" i="1" s="1"/>
  <c r="K294" i="1"/>
  <c r="L294" i="1" s="1"/>
  <c r="K292" i="1"/>
  <c r="L292" i="1" s="1"/>
  <c r="K290" i="1"/>
  <c r="L290" i="1" s="1"/>
  <c r="K288" i="1"/>
  <c r="L288" i="1" s="1"/>
  <c r="K286" i="1"/>
  <c r="L286" i="1" s="1"/>
  <c r="K285" i="1"/>
  <c r="L285" i="1" s="1"/>
  <c r="K284" i="1"/>
  <c r="L284" i="1" s="1"/>
  <c r="K283" i="1"/>
  <c r="L283" i="1" s="1"/>
  <c r="K280" i="1"/>
  <c r="L280" i="1" s="1"/>
  <c r="K277" i="1"/>
  <c r="L277" i="1" s="1"/>
  <c r="K276" i="1"/>
  <c r="L276" i="1" s="1"/>
  <c r="K275" i="1"/>
  <c r="L275" i="1" s="1"/>
  <c r="K273" i="1"/>
  <c r="L273" i="1" s="1"/>
  <c r="K269" i="1"/>
  <c r="L269" i="1" s="1"/>
  <c r="K267" i="1"/>
  <c r="L267" i="1" s="1"/>
  <c r="K264" i="1"/>
  <c r="L264" i="1" s="1"/>
  <c r="K261" i="1"/>
  <c r="L261" i="1" s="1"/>
  <c r="K259" i="1"/>
  <c r="L259" i="1" s="1"/>
  <c r="K257" i="1"/>
  <c r="L257" i="1" s="1"/>
  <c r="K255" i="1"/>
  <c r="L255" i="1" s="1"/>
  <c r="K253" i="1"/>
  <c r="L253" i="1" s="1"/>
  <c r="K251" i="1"/>
  <c r="L251" i="1" s="1"/>
  <c r="K249" i="1"/>
  <c r="L249" i="1" s="1"/>
  <c r="K244" i="1"/>
  <c r="L244" i="1" s="1"/>
  <c r="K242" i="1"/>
  <c r="L242" i="1" s="1"/>
  <c r="K240" i="1"/>
  <c r="L240" i="1" s="1"/>
  <c r="K230" i="1"/>
  <c r="L230" i="1" s="1"/>
  <c r="K228" i="1"/>
  <c r="L228" i="1" s="1"/>
  <c r="K225" i="1"/>
  <c r="L225" i="1" s="1"/>
  <c r="K224" i="1"/>
  <c r="L224" i="1" s="1"/>
  <c r="K222" i="1"/>
  <c r="L222" i="1" s="1"/>
  <c r="K220" i="1"/>
  <c r="L220" i="1" s="1"/>
  <c r="K218" i="1"/>
  <c r="L218" i="1" s="1"/>
  <c r="K217" i="1"/>
  <c r="L217" i="1" s="1"/>
  <c r="K216" i="1"/>
  <c r="L216" i="1" s="1"/>
  <c r="K199" i="1"/>
  <c r="L199" i="1" s="1"/>
  <c r="K192" i="1"/>
  <c r="L192" i="1" s="1"/>
  <c r="K154" i="1"/>
  <c r="L154" i="1" s="1"/>
  <c r="K125" i="1"/>
  <c r="L125" i="1" s="1"/>
  <c r="K120" i="1"/>
  <c r="L120" i="1" s="1"/>
  <c r="K118" i="1"/>
  <c r="L118" i="1" s="1"/>
  <c r="K114" i="1"/>
  <c r="L114" i="1" s="1"/>
  <c r="K113" i="1"/>
  <c r="L113" i="1" s="1"/>
  <c r="K110" i="1"/>
  <c r="L110" i="1" s="1"/>
  <c r="K107" i="1"/>
  <c r="L107" i="1" s="1"/>
  <c r="K106" i="1"/>
  <c r="L106" i="1" s="1"/>
  <c r="K103" i="1"/>
  <c r="L103" i="1" s="1"/>
  <c r="K101" i="1"/>
  <c r="L101" i="1" s="1"/>
  <c r="K92" i="1"/>
  <c r="L92" i="1" s="1"/>
  <c r="K659" i="1"/>
  <c r="L659" i="1" s="1"/>
  <c r="K159" i="1"/>
  <c r="L159" i="1" s="1"/>
  <c r="K158" i="1"/>
  <c r="L158" i="1" s="1"/>
  <c r="K656" i="1"/>
  <c r="L656" i="1" s="1"/>
  <c r="K157" i="1"/>
  <c r="L157" i="1" s="1"/>
  <c r="K67" i="1"/>
  <c r="L67" i="1" s="1"/>
  <c r="K655" i="1"/>
  <c r="L655" i="1" s="1"/>
  <c r="K654" i="1"/>
  <c r="L654" i="1" s="1"/>
  <c r="K153" i="1"/>
  <c r="L153" i="1" s="1"/>
  <c r="K55" i="1"/>
  <c r="L55" i="1" s="1"/>
  <c r="K210" i="1"/>
  <c r="L210" i="1" s="1"/>
  <c r="K652" i="1"/>
  <c r="L652" i="1" s="1"/>
  <c r="K43" i="1"/>
  <c r="L43" i="1" s="1"/>
  <c r="K37" i="1"/>
  <c r="L37" i="1" s="1"/>
  <c r="K96" i="1"/>
  <c r="L96" i="1" s="1"/>
  <c r="K31" i="1"/>
  <c r="L31" i="1" s="1"/>
  <c r="K648" i="1"/>
  <c r="L648" i="1" s="1"/>
  <c r="K206" i="1"/>
  <c r="L206" i="1" s="1"/>
  <c r="K95" i="1"/>
  <c r="L95" i="1" s="1"/>
  <c r="K9" i="1"/>
  <c r="L9" i="1" s="1"/>
  <c r="K25" i="1"/>
  <c r="L25" i="1" s="1"/>
  <c r="K205" i="1"/>
  <c r="L205" i="1" s="1"/>
  <c r="K8" i="1"/>
  <c r="L8" i="1" s="1"/>
  <c r="K19" i="1"/>
  <c r="L19" i="1" s="1"/>
  <c r="K18" i="1"/>
  <c r="L18" i="1" s="1"/>
  <c r="K91" i="1"/>
  <c r="L91" i="1" s="1"/>
  <c r="K5" i="1"/>
  <c r="L5" i="1" s="1"/>
  <c r="K203" i="1"/>
  <c r="L203" i="1" s="1"/>
  <c r="K201" i="1"/>
  <c r="L201" i="1" s="1"/>
  <c r="K3" i="1"/>
  <c r="L3" i="1" s="1"/>
  <c r="K2382" i="1"/>
  <c r="L2382" i="1" s="1"/>
  <c r="K2379" i="1"/>
  <c r="L2379" i="1" s="1"/>
  <c r="K2378" i="1"/>
  <c r="L2378" i="1" s="1"/>
  <c r="K2376" i="1"/>
  <c r="L2376" i="1" s="1"/>
  <c r="K2373" i="1"/>
  <c r="L2373" i="1" s="1"/>
  <c r="K1178" i="1"/>
  <c r="L1178" i="1" s="1"/>
  <c r="K1176" i="1"/>
  <c r="L1176" i="1" s="1"/>
  <c r="K1175" i="1"/>
  <c r="L1175" i="1" s="1"/>
  <c r="K1174" i="1"/>
  <c r="L1174" i="1" s="1"/>
  <c r="K1173" i="1"/>
  <c r="L1173" i="1" s="1"/>
  <c r="K1172" i="1"/>
  <c r="L1172" i="1" s="1"/>
  <c r="K1170" i="1"/>
  <c r="L1170" i="1" s="1"/>
  <c r="K1169" i="1"/>
  <c r="L1169" i="1" s="1"/>
  <c r="K1168" i="1"/>
  <c r="L1168" i="1" s="1"/>
  <c r="K1162" i="1"/>
  <c r="L1162" i="1" s="1"/>
  <c r="K1159" i="1"/>
  <c r="L1159" i="1" s="1"/>
  <c r="K1157" i="1"/>
  <c r="L1157" i="1" s="1"/>
  <c r="K1156" i="1"/>
  <c r="L1156" i="1" s="1"/>
  <c r="K1155" i="1"/>
  <c r="L1155" i="1" s="1"/>
  <c r="K1153" i="1"/>
  <c r="L1153" i="1" s="1"/>
  <c r="K1152" i="1"/>
  <c r="L1152" i="1" s="1"/>
  <c r="K1150" i="1"/>
  <c r="L1150" i="1" s="1"/>
  <c r="K1149" i="1"/>
  <c r="L1149" i="1" s="1"/>
  <c r="K1147" i="1"/>
  <c r="L1147" i="1" s="1"/>
  <c r="K1146" i="1"/>
  <c r="L1146" i="1" s="1"/>
  <c r="K1145" i="1"/>
  <c r="L1145" i="1" s="1"/>
  <c r="K1144" i="1"/>
  <c r="L1144" i="1" s="1"/>
  <c r="K1142" i="1"/>
  <c r="L1142" i="1" s="1"/>
  <c r="K1141" i="1"/>
  <c r="L1141" i="1" s="1"/>
  <c r="K1140" i="1"/>
  <c r="L1140" i="1" s="1"/>
  <c r="K1137" i="1"/>
  <c r="L1137" i="1" s="1"/>
  <c r="K1135" i="1"/>
  <c r="L1135" i="1" s="1"/>
  <c r="K1134" i="1"/>
  <c r="L1134" i="1" s="1"/>
  <c r="K1132" i="1"/>
  <c r="L1132" i="1" s="1"/>
  <c r="K1131" i="1"/>
  <c r="L1131" i="1" s="1"/>
  <c r="K1130" i="1"/>
  <c r="L1130" i="1" s="1"/>
  <c r="K1129" i="1"/>
  <c r="L1129" i="1" s="1"/>
  <c r="K1128" i="1"/>
  <c r="L1128" i="1" s="1"/>
  <c r="K1126" i="1"/>
  <c r="L1126" i="1" s="1"/>
  <c r="K1125" i="1"/>
  <c r="L1125" i="1" s="1"/>
  <c r="K1124" i="1"/>
  <c r="L1124" i="1" s="1"/>
  <c r="K1115" i="1"/>
  <c r="L1115" i="1" s="1"/>
  <c r="K1113" i="1"/>
  <c r="L1113" i="1" s="1"/>
  <c r="K1112" i="1"/>
  <c r="L1112" i="1" s="1"/>
  <c r="K1111" i="1"/>
  <c r="L1111" i="1" s="1"/>
  <c r="K1109" i="1"/>
  <c r="L1109" i="1" s="1"/>
  <c r="K1108" i="1"/>
  <c r="L1108" i="1" s="1"/>
  <c r="K1106" i="1"/>
  <c r="L1106" i="1" s="1"/>
  <c r="K1105" i="1"/>
  <c r="L1105" i="1" s="1"/>
  <c r="K1103" i="1"/>
  <c r="L1103" i="1" s="1"/>
  <c r="K1102" i="1"/>
  <c r="L1102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3" i="1"/>
  <c r="L1093" i="1" s="1"/>
  <c r="K1091" i="1"/>
  <c r="L1091" i="1" s="1"/>
  <c r="K1090" i="1"/>
  <c r="L1090" i="1" s="1"/>
  <c r="K1088" i="1"/>
  <c r="L1088" i="1" s="1"/>
  <c r="K1087" i="1"/>
  <c r="L1087" i="1" s="1"/>
  <c r="K1085" i="1"/>
  <c r="L1085" i="1" s="1"/>
  <c r="K1084" i="1"/>
  <c r="L1084" i="1" s="1"/>
  <c r="K1082" i="1"/>
  <c r="L1082" i="1" s="1"/>
  <c r="K1081" i="1"/>
  <c r="L1081" i="1" s="1"/>
  <c r="K1080" i="1"/>
  <c r="L1080" i="1" s="1"/>
  <c r="K1071" i="1"/>
  <c r="L1071" i="1" s="1"/>
  <c r="K1069" i="1"/>
  <c r="L1069" i="1" s="1"/>
  <c r="K1068" i="1"/>
  <c r="L1068" i="1" s="1"/>
  <c r="K1067" i="1"/>
  <c r="L1067" i="1" s="1"/>
  <c r="K1065" i="1"/>
  <c r="L1065" i="1" s="1"/>
  <c r="K1064" i="1"/>
  <c r="L1064" i="1" s="1"/>
  <c r="K1062" i="1"/>
  <c r="L1062" i="1" s="1"/>
  <c r="K1061" i="1"/>
  <c r="L1061" i="1" s="1"/>
  <c r="K1059" i="1"/>
  <c r="L1059" i="1" s="1"/>
  <c r="K1058" i="1"/>
  <c r="L1058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49" i="1"/>
  <c r="L1049" i="1" s="1"/>
  <c r="K1047" i="1"/>
  <c r="L1047" i="1" s="1"/>
  <c r="K1046" i="1"/>
  <c r="L1046" i="1" s="1"/>
  <c r="K1044" i="1"/>
  <c r="L1044" i="1" s="1"/>
  <c r="K1043" i="1"/>
  <c r="L1043" i="1" s="1"/>
  <c r="K1042" i="1"/>
  <c r="L1042" i="1" s="1"/>
  <c r="K1041" i="1"/>
  <c r="L1041" i="1" s="1"/>
  <c r="K1040" i="1"/>
  <c r="L1040" i="1" s="1"/>
  <c r="K1038" i="1"/>
  <c r="L1038" i="1" s="1"/>
  <c r="K1037" i="1"/>
  <c r="L1037" i="1" s="1"/>
  <c r="K1036" i="1"/>
  <c r="L1036" i="1" s="1"/>
  <c r="K1030" i="1"/>
  <c r="L1030" i="1" s="1"/>
  <c r="K1027" i="1"/>
  <c r="L1027" i="1" s="1"/>
  <c r="K1025" i="1"/>
  <c r="L1025" i="1" s="1"/>
  <c r="K1024" i="1"/>
  <c r="L1024" i="1" s="1"/>
  <c r="K1023" i="1"/>
  <c r="L1023" i="1" s="1"/>
  <c r="K1021" i="1"/>
  <c r="L1021" i="1" s="1"/>
  <c r="K1020" i="1"/>
  <c r="L1020" i="1" s="1"/>
  <c r="K1018" i="1"/>
  <c r="L1018" i="1" s="1"/>
  <c r="K1017" i="1"/>
  <c r="L1017" i="1" s="1"/>
  <c r="K1015" i="1"/>
  <c r="L1015" i="1" s="1"/>
  <c r="K1014" i="1"/>
  <c r="L1014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5" i="1"/>
  <c r="L1005" i="1" s="1"/>
  <c r="K1003" i="1"/>
  <c r="L1003" i="1" s="1"/>
  <c r="K1002" i="1"/>
  <c r="L1002" i="1" s="1"/>
  <c r="K1000" i="1"/>
  <c r="L1000" i="1" s="1"/>
  <c r="K999" i="1"/>
  <c r="L999" i="1" s="1"/>
  <c r="K998" i="1"/>
  <c r="L998" i="1" s="1"/>
  <c r="K997" i="1"/>
  <c r="L997" i="1" s="1"/>
  <c r="K996" i="1"/>
  <c r="L996" i="1" s="1"/>
  <c r="K994" i="1"/>
  <c r="L994" i="1" s="1"/>
  <c r="K993" i="1"/>
  <c r="L993" i="1" s="1"/>
  <c r="K992" i="1"/>
  <c r="L992" i="1" s="1"/>
  <c r="K983" i="1"/>
  <c r="L983" i="1" s="1"/>
  <c r="K981" i="1"/>
  <c r="L981" i="1" s="1"/>
  <c r="K980" i="1"/>
  <c r="L980" i="1" s="1"/>
  <c r="K979" i="1"/>
  <c r="L979" i="1" s="1"/>
  <c r="K977" i="1"/>
  <c r="L977" i="1" s="1"/>
  <c r="K976" i="1"/>
  <c r="L976" i="1" s="1"/>
  <c r="K974" i="1"/>
  <c r="L974" i="1" s="1"/>
  <c r="K973" i="1"/>
  <c r="L973" i="1" s="1"/>
  <c r="K971" i="1"/>
  <c r="L971" i="1" s="1"/>
  <c r="K970" i="1"/>
  <c r="L970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1" i="1"/>
  <c r="L961" i="1" s="1"/>
  <c r="K959" i="1"/>
  <c r="L959" i="1" s="1"/>
  <c r="K958" i="1"/>
  <c r="L958" i="1" s="1"/>
  <c r="K956" i="1"/>
  <c r="L956" i="1" s="1"/>
  <c r="K955" i="1"/>
  <c r="L955" i="1" s="1"/>
  <c r="K954" i="1"/>
  <c r="L954" i="1" s="1"/>
  <c r="K953" i="1"/>
  <c r="L953" i="1" s="1"/>
  <c r="K952" i="1"/>
  <c r="L952" i="1" s="1"/>
  <c r="K950" i="1"/>
  <c r="L950" i="1" s="1"/>
  <c r="K949" i="1"/>
  <c r="L949" i="1" s="1"/>
  <c r="K948" i="1"/>
  <c r="L948" i="1" s="1"/>
  <c r="K939" i="1"/>
  <c r="L939" i="1" s="1"/>
  <c r="K937" i="1"/>
  <c r="L937" i="1" s="1"/>
  <c r="K936" i="1"/>
  <c r="L936" i="1" s="1"/>
  <c r="K935" i="1"/>
  <c r="L935" i="1" s="1"/>
  <c r="K933" i="1"/>
  <c r="L933" i="1" s="1"/>
  <c r="K932" i="1"/>
  <c r="L932" i="1" s="1"/>
  <c r="K930" i="1"/>
  <c r="L930" i="1" s="1"/>
  <c r="K929" i="1"/>
  <c r="L929" i="1" s="1"/>
  <c r="K927" i="1"/>
  <c r="L927" i="1" s="1"/>
  <c r="K926" i="1"/>
  <c r="L926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7" i="1"/>
  <c r="L917" i="1" s="1"/>
  <c r="K915" i="1"/>
  <c r="L915" i="1" s="1"/>
  <c r="K914" i="1"/>
  <c r="L914" i="1" s="1"/>
  <c r="K912" i="1"/>
  <c r="L912" i="1" s="1"/>
  <c r="K911" i="1"/>
  <c r="L911" i="1" s="1"/>
  <c r="K910" i="1"/>
  <c r="L910" i="1" s="1"/>
  <c r="K909" i="1"/>
  <c r="L909" i="1" s="1"/>
  <c r="K908" i="1"/>
  <c r="L908" i="1" s="1"/>
  <c r="K906" i="1"/>
  <c r="L906" i="1" s="1"/>
  <c r="K905" i="1"/>
  <c r="L905" i="1" s="1"/>
  <c r="K904" i="1"/>
  <c r="L904" i="1" s="1"/>
  <c r="K895" i="1"/>
  <c r="L895" i="1" s="1"/>
  <c r="K893" i="1"/>
  <c r="L893" i="1" s="1"/>
  <c r="K892" i="1"/>
  <c r="L892" i="1" s="1"/>
  <c r="K891" i="1"/>
  <c r="L891" i="1" s="1"/>
  <c r="K889" i="1"/>
  <c r="L889" i="1" s="1"/>
  <c r="K888" i="1"/>
  <c r="L888" i="1" s="1"/>
  <c r="K885" i="1"/>
  <c r="L885" i="1" s="1"/>
  <c r="K883" i="1"/>
  <c r="L883" i="1" s="1"/>
  <c r="K882" i="1"/>
  <c r="L882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3" i="1"/>
  <c r="L873" i="1" s="1"/>
  <c r="K871" i="1"/>
  <c r="L871" i="1" s="1"/>
  <c r="K870" i="1"/>
  <c r="L870" i="1" s="1"/>
  <c r="K868" i="1"/>
  <c r="L868" i="1" s="1"/>
  <c r="K867" i="1"/>
  <c r="L867" i="1" s="1"/>
  <c r="K866" i="1"/>
  <c r="L866" i="1" s="1"/>
  <c r="K865" i="1"/>
  <c r="L865" i="1" s="1"/>
  <c r="K864" i="1"/>
  <c r="L864" i="1" s="1"/>
  <c r="K862" i="1"/>
  <c r="L862" i="1" s="1"/>
  <c r="K861" i="1"/>
  <c r="L861" i="1" s="1"/>
  <c r="K860" i="1"/>
  <c r="L860" i="1" s="1"/>
  <c r="K851" i="1"/>
  <c r="L851" i="1" s="1"/>
  <c r="K849" i="1"/>
  <c r="L849" i="1" s="1"/>
  <c r="K848" i="1"/>
  <c r="L848" i="1" s="1"/>
  <c r="K847" i="1"/>
  <c r="L847" i="1" s="1"/>
  <c r="K845" i="1"/>
  <c r="L845" i="1" s="1"/>
  <c r="K844" i="1"/>
  <c r="L844" i="1" s="1"/>
  <c r="K841" i="1"/>
  <c r="L841" i="1" s="1"/>
  <c r="K839" i="1"/>
  <c r="L839" i="1" s="1"/>
  <c r="K838" i="1"/>
  <c r="L838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29" i="1"/>
  <c r="L829" i="1" s="1"/>
  <c r="K827" i="1"/>
  <c r="L827" i="1" s="1"/>
  <c r="K826" i="1"/>
  <c r="L826" i="1" s="1"/>
  <c r="K824" i="1"/>
  <c r="L824" i="1" s="1"/>
  <c r="K823" i="1"/>
  <c r="L823" i="1" s="1"/>
  <c r="K822" i="1"/>
  <c r="L822" i="1" s="1"/>
  <c r="K821" i="1"/>
  <c r="L821" i="1" s="1"/>
  <c r="K820" i="1"/>
  <c r="L820" i="1" s="1"/>
  <c r="K818" i="1"/>
  <c r="L818" i="1" s="1"/>
  <c r="K817" i="1"/>
  <c r="L817" i="1" s="1"/>
  <c r="K804" i="1"/>
  <c r="L804" i="1" s="1"/>
  <c r="K803" i="1"/>
  <c r="L803" i="1" s="1"/>
  <c r="K801" i="1"/>
  <c r="L801" i="1" s="1"/>
  <c r="K797" i="1"/>
  <c r="L797" i="1" s="1"/>
  <c r="K795" i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5" i="1"/>
  <c r="L785" i="1" s="1"/>
  <c r="K780" i="1"/>
  <c r="L780" i="1" s="1"/>
  <c r="K779" i="1"/>
  <c r="L779" i="1" s="1"/>
  <c r="K777" i="1"/>
  <c r="L777" i="1" s="1"/>
  <c r="K776" i="1"/>
  <c r="L776" i="1" s="1"/>
  <c r="K774" i="1"/>
  <c r="L774" i="1" s="1"/>
  <c r="K756" i="1"/>
  <c r="L756" i="1" s="1"/>
  <c r="K747" i="1"/>
  <c r="L747" i="1" s="1"/>
  <c r="K746" i="1"/>
  <c r="L746" i="1" s="1"/>
  <c r="K658" i="1"/>
  <c r="L658" i="1" s="1"/>
  <c r="K638" i="1"/>
  <c r="L638" i="1" s="1"/>
  <c r="K637" i="1"/>
  <c r="L637" i="1" s="1"/>
  <c r="K625" i="1"/>
  <c r="L625" i="1" s="1"/>
  <c r="K592" i="1"/>
  <c r="L592" i="1" s="1"/>
  <c r="K590" i="1"/>
  <c r="L590" i="1" s="1"/>
  <c r="K557" i="1"/>
  <c r="L557" i="1" s="1"/>
  <c r="K548" i="1"/>
  <c r="L548" i="1" s="1"/>
  <c r="K547" i="1"/>
  <c r="L547" i="1" s="1"/>
  <c r="K522" i="1"/>
  <c r="L522" i="1" s="1"/>
  <c r="K504" i="1"/>
  <c r="L504" i="1" s="1"/>
  <c r="K503" i="1"/>
  <c r="L503" i="1" s="1"/>
  <c r="K487" i="1"/>
  <c r="L487" i="1" s="1"/>
  <c r="K478" i="1"/>
  <c r="L478" i="1" s="1"/>
  <c r="K456" i="1"/>
  <c r="L456" i="1" s="1"/>
  <c r="K452" i="1"/>
  <c r="L452" i="1" s="1"/>
  <c r="K430" i="1"/>
  <c r="L430" i="1" s="1"/>
  <c r="K384" i="1"/>
  <c r="L384" i="1" s="1"/>
  <c r="K369" i="1"/>
  <c r="L369" i="1" s="1"/>
  <c r="K337" i="1"/>
  <c r="L337" i="1" s="1"/>
  <c r="K332" i="1"/>
  <c r="L332" i="1" s="1"/>
  <c r="K329" i="1"/>
  <c r="L329" i="1" s="1"/>
  <c r="K327" i="1"/>
  <c r="L327" i="1" s="1"/>
  <c r="K325" i="1"/>
  <c r="L325" i="1" s="1"/>
  <c r="K323" i="1"/>
  <c r="L323" i="1" s="1"/>
  <c r="K322" i="1"/>
  <c r="L322" i="1" s="1"/>
  <c r="K319" i="1"/>
  <c r="L319" i="1" s="1"/>
  <c r="K317" i="1"/>
  <c r="L317" i="1" s="1"/>
  <c r="K314" i="1"/>
  <c r="L314" i="1" s="1"/>
  <c r="K309" i="1"/>
  <c r="L309" i="1" s="1"/>
  <c r="K307" i="1"/>
  <c r="L307" i="1" s="1"/>
  <c r="K304" i="1"/>
  <c r="L304" i="1" s="1"/>
  <c r="K302" i="1"/>
  <c r="L302" i="1" s="1"/>
  <c r="K299" i="1"/>
  <c r="L299" i="1" s="1"/>
  <c r="K295" i="1"/>
  <c r="L295" i="1" s="1"/>
  <c r="K293" i="1"/>
  <c r="L293" i="1" s="1"/>
  <c r="K291" i="1"/>
  <c r="L291" i="1" s="1"/>
  <c r="K289" i="1"/>
  <c r="L289" i="1" s="1"/>
  <c r="K287" i="1"/>
  <c r="L287" i="1" s="1"/>
  <c r="K282" i="1"/>
  <c r="L282" i="1" s="1"/>
  <c r="K274" i="1"/>
  <c r="L274" i="1" s="1"/>
  <c r="K270" i="1"/>
  <c r="L270" i="1" s="1"/>
  <c r="K268" i="1"/>
  <c r="L268" i="1" s="1"/>
  <c r="K266" i="1"/>
  <c r="L266" i="1" s="1"/>
  <c r="K265" i="1"/>
  <c r="L265" i="1" s="1"/>
  <c r="K260" i="1"/>
  <c r="L260" i="1" s="1"/>
  <c r="K258" i="1"/>
  <c r="L258" i="1" s="1"/>
  <c r="K256" i="1"/>
  <c r="L256" i="1" s="1"/>
  <c r="K254" i="1"/>
  <c r="L254" i="1" s="1"/>
  <c r="K252" i="1"/>
  <c r="L252" i="1" s="1"/>
  <c r="K250" i="1"/>
  <c r="L250" i="1" s="1"/>
  <c r="K247" i="1"/>
  <c r="L247" i="1" s="1"/>
  <c r="K243" i="1"/>
  <c r="L243" i="1" s="1"/>
  <c r="K241" i="1"/>
  <c r="L241" i="1" s="1"/>
  <c r="K239" i="1"/>
  <c r="L239" i="1" s="1"/>
  <c r="K229" i="1"/>
  <c r="L229" i="1" s="1"/>
  <c r="K227" i="1"/>
  <c r="L227" i="1" s="1"/>
  <c r="K226" i="1"/>
  <c r="L226" i="1" s="1"/>
  <c r="K221" i="1"/>
  <c r="L221" i="1" s="1"/>
  <c r="K219" i="1"/>
  <c r="L219" i="1" s="1"/>
  <c r="K124" i="1"/>
  <c r="L124" i="1" s="1"/>
  <c r="K119" i="1"/>
  <c r="L119" i="1" s="1"/>
  <c r="K117" i="1"/>
  <c r="L117" i="1" s="1"/>
  <c r="K116" i="1"/>
  <c r="L116" i="1" s="1"/>
  <c r="K115" i="1"/>
  <c r="L115" i="1" s="1"/>
  <c r="K112" i="1"/>
  <c r="L112" i="1" s="1"/>
  <c r="K109" i="1"/>
  <c r="L109" i="1" s="1"/>
  <c r="K108" i="1"/>
  <c r="L108" i="1" s="1"/>
  <c r="K105" i="1"/>
  <c r="L105" i="1" s="1"/>
  <c r="K104" i="1"/>
  <c r="L104" i="1" s="1"/>
  <c r="K102" i="1"/>
  <c r="L102" i="1" s="1"/>
  <c r="K87" i="1"/>
  <c r="L87" i="1" s="1"/>
  <c r="K82" i="1"/>
  <c r="L82" i="1" s="1"/>
  <c r="K366" i="1"/>
  <c r="L366" i="1" s="1"/>
  <c r="K77" i="1"/>
  <c r="L77" i="1" s="1"/>
  <c r="K657" i="1"/>
  <c r="L657" i="1" s="1"/>
  <c r="K365" i="1"/>
  <c r="L365" i="1" s="1"/>
  <c r="K363" i="1"/>
  <c r="L363" i="1" s="1"/>
  <c r="K66" i="1"/>
  <c r="L66" i="1" s="1"/>
  <c r="K362" i="1"/>
  <c r="L362" i="1" s="1"/>
  <c r="K155" i="1"/>
  <c r="L155" i="1" s="1"/>
  <c r="K61" i="1"/>
  <c r="L61" i="1" s="1"/>
  <c r="K211" i="1"/>
  <c r="L211" i="1" s="1"/>
  <c r="K16" i="1"/>
  <c r="L16" i="1" s="1"/>
  <c r="K653" i="1"/>
  <c r="L653" i="1" s="1"/>
  <c r="K99" i="1"/>
  <c r="L99" i="1" s="1"/>
  <c r="K15" i="1"/>
  <c r="L15" i="1" s="1"/>
  <c r="K49" i="1"/>
  <c r="L49" i="1" s="1"/>
  <c r="K209" i="1"/>
  <c r="L209" i="1" s="1"/>
  <c r="K98" i="1"/>
  <c r="L98" i="1" s="1"/>
  <c r="K14" i="1"/>
  <c r="L14" i="1" s="1"/>
  <c r="K651" i="1"/>
  <c r="L651" i="1" s="1"/>
  <c r="K208" i="1"/>
  <c r="L208" i="1" s="1"/>
  <c r="K97" i="1"/>
  <c r="L97" i="1" s="1"/>
  <c r="K11" i="1"/>
  <c r="L11" i="1" s="1"/>
  <c r="K650" i="1"/>
  <c r="L650" i="1" s="1"/>
  <c r="K207" i="1"/>
  <c r="L207" i="1" s="1"/>
  <c r="K10" i="1"/>
  <c r="L10" i="1" s="1"/>
  <c r="K647" i="1"/>
  <c r="L647" i="1" s="1"/>
  <c r="K94" i="1"/>
  <c r="L94" i="1" s="1"/>
  <c r="K613" i="1"/>
  <c r="L613" i="1" s="1"/>
  <c r="K204" i="1"/>
  <c r="L204" i="1" s="1"/>
  <c r="K12" i="1"/>
  <c r="L12" i="1" s="1"/>
  <c r="K90" i="1"/>
  <c r="L90" i="1" s="1"/>
  <c r="K4" i="1"/>
  <c r="L4" i="1" s="1"/>
  <c r="K6" i="1"/>
  <c r="L6" i="1" s="1"/>
  <c r="K611" i="1"/>
  <c r="L611" i="1" s="1"/>
  <c r="K89" i="1"/>
  <c r="L89" i="1" s="1"/>
  <c r="K2381" i="1"/>
  <c r="L2381" i="1" s="1"/>
  <c r="K2375" i="1"/>
  <c r="L2375" i="1" s="1"/>
  <c r="K2372" i="1"/>
  <c r="L2372" i="1" s="1"/>
</calcChain>
</file>

<file path=xl/sharedStrings.xml><?xml version="1.0" encoding="utf-8"?>
<sst xmlns="http://schemas.openxmlformats.org/spreadsheetml/2006/main" count="9438" uniqueCount="125">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</sst>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705"/>
  <sheetViews>
    <sheetView tabSelected="1" zoomScale="85" zoomScaleNormal="85" workbookViewId="0">
      <selection activeCell="D21" sqref="D2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3.85546875" style="12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3" t="s">
        <v>14</v>
      </c>
      <c r="P1" s="1"/>
    </row>
    <row r="2" spans="1:16" x14ac:dyDescent="0.25">
      <c r="A2" s="10">
        <v>46143</v>
      </c>
      <c r="B2" t="s">
        <v>15</v>
      </c>
      <c r="C2" s="1" t="s">
        <v>16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f>E2+G2+H2</f>
        <v>0</v>
      </c>
      <c r="J2" s="3">
        <v>0</v>
      </c>
      <c r="K2" s="3">
        <f>I2-J2</f>
        <v>0</v>
      </c>
      <c r="L2" s="3" t="str">
        <f>IF(K2&lt;-5,"CRÍTICO",IF(K2&lt;0,"ATENÇÃO",IF(K2&lt;=5,"OPORTUNO","MUITO BOM")))</f>
        <v>OPORTUNO</v>
      </c>
      <c r="M2" s="3">
        <v>0</v>
      </c>
      <c r="N2" s="3">
        <v>99.25</v>
      </c>
      <c r="O2" s="12">
        <v>20.408163265306118</v>
      </c>
    </row>
    <row r="3" spans="1:16" x14ac:dyDescent="0.25">
      <c r="A3" s="5">
        <v>46146</v>
      </c>
      <c r="B3" s="6" t="s">
        <v>15</v>
      </c>
      <c r="C3" s="1" t="s">
        <v>16</v>
      </c>
      <c r="D3" s="3">
        <v>48</v>
      </c>
      <c r="E3" s="3">
        <v>36</v>
      </c>
      <c r="F3" s="3">
        <v>10.4</v>
      </c>
      <c r="G3" s="3">
        <v>0</v>
      </c>
      <c r="H3" s="3">
        <v>0</v>
      </c>
      <c r="I3" s="3">
        <f>E3+G3+H3</f>
        <v>36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26</v>
      </c>
      <c r="L3" s="3" t="str">
        <f>IF(K3&lt;-5,"CRÍTICO",IF(K3&lt;0,"ATENÇÃO",IF(K3&lt;=5,"BOM","EXCELENTE")))</f>
        <v>EXCELENTE</v>
      </c>
      <c r="M3" s="3">
        <v>29</v>
      </c>
      <c r="N3" s="3">
        <v>99.25</v>
      </c>
      <c r="O3" s="12">
        <v>20.408163265306118</v>
      </c>
    </row>
    <row r="4" spans="1:16" x14ac:dyDescent="0.25">
      <c r="A4" s="5">
        <v>46147</v>
      </c>
      <c r="B4" s="6" t="s">
        <v>15</v>
      </c>
      <c r="C4" s="1" t="s">
        <v>16</v>
      </c>
      <c r="D4" s="3">
        <v>36</v>
      </c>
      <c r="E4" s="3">
        <v>35</v>
      </c>
      <c r="F4" s="3">
        <v>17.29</v>
      </c>
      <c r="G4" s="3">
        <v>0</v>
      </c>
      <c r="H4" s="3">
        <v>0</v>
      </c>
      <c r="I4" s="3">
        <f>E4+G4+H4</f>
        <v>35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25</v>
      </c>
      <c r="L4" s="3" t="str">
        <f>IF(K4&lt;-5,"CRÍTICO",IF(K4&lt;0,"ATENÇÃO",IF(K4&lt;=5,"BOM","EXCELENTE")))</f>
        <v>EXCELENTE</v>
      </c>
      <c r="M4" s="3">
        <v>33</v>
      </c>
      <c r="N4" s="3">
        <v>99.25</v>
      </c>
      <c r="O4" s="12">
        <v>20.408163265306118</v>
      </c>
    </row>
    <row r="5" spans="1:16" x14ac:dyDescent="0.25">
      <c r="A5" s="5">
        <v>46148</v>
      </c>
      <c r="B5" s="6" t="s">
        <v>15</v>
      </c>
      <c r="C5" s="1" t="s">
        <v>16</v>
      </c>
      <c r="D5" s="3">
        <v>27</v>
      </c>
      <c r="E5" s="3">
        <v>26</v>
      </c>
      <c r="F5" s="3">
        <v>23.4</v>
      </c>
      <c r="G5" s="3">
        <v>0</v>
      </c>
      <c r="H5" s="3">
        <v>0</v>
      </c>
      <c r="I5" s="3">
        <f>E5+G5+H5</f>
        <v>26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16</v>
      </c>
      <c r="L5" s="3" t="str">
        <f>IF(K5&lt;-5,"CRÍTICO",IF(K5&lt;0,"ATENÇÃO",IF(K5&lt;=5,"BOM","EXCELENTE")))</f>
        <v>EXCELENTE</v>
      </c>
      <c r="M5" s="3">
        <v>25</v>
      </c>
      <c r="N5" s="3">
        <v>99.25</v>
      </c>
      <c r="O5" s="12">
        <v>20.408163265306118</v>
      </c>
    </row>
    <row r="6" spans="1:16" hidden="1" x14ac:dyDescent="0.25">
      <c r="A6" s="10">
        <v>46083</v>
      </c>
      <c r="B6" t="s">
        <v>20</v>
      </c>
      <c r="C6" s="1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>IF(K6&lt;-5,"CRÍTICO",IF(K6&lt;0,"ATENÇÃO",IF(K6&lt;=5,"BOM","EXCELENTE")))</f>
        <v>ATENÇÃO</v>
      </c>
      <c r="M6" s="3">
        <v>5</v>
      </c>
      <c r="N6" s="3">
        <v>95.83</v>
      </c>
      <c r="O6" s="12">
        <v>25.773195876288661</v>
      </c>
    </row>
    <row r="7" spans="1:16" hidden="1" x14ac:dyDescent="0.25">
      <c r="A7" s="10">
        <v>46083</v>
      </c>
      <c r="B7" t="s">
        <v>21</v>
      </c>
      <c r="C7" s="1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>IF(K7&lt;-5,"CRÍTICO",IF(K7&lt;0,"ATENÇÃO",IF(K7&lt;=5,"BOM","EXCELENTE")))</f>
        <v>BOM</v>
      </c>
      <c r="M7" s="3">
        <v>0</v>
      </c>
      <c r="N7" s="3">
        <v>100</v>
      </c>
      <c r="O7" s="12">
        <v>35</v>
      </c>
    </row>
    <row r="8" spans="1:16" x14ac:dyDescent="0.25">
      <c r="A8" s="5">
        <v>46149</v>
      </c>
      <c r="B8" s="6" t="s">
        <v>15</v>
      </c>
      <c r="C8" s="1" t="s">
        <v>16</v>
      </c>
      <c r="D8" s="3">
        <v>33</v>
      </c>
      <c r="E8" s="3">
        <v>32</v>
      </c>
      <c r="F8" s="3">
        <v>19.09</v>
      </c>
      <c r="G8" s="3">
        <v>0</v>
      </c>
      <c r="H8" s="3">
        <v>0</v>
      </c>
      <c r="I8" s="3">
        <f>E8+G8+H8</f>
        <v>32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9</v>
      </c>
      <c r="K8" s="3">
        <f>I8-J8</f>
        <v>23</v>
      </c>
      <c r="L8" s="3" t="str">
        <f>IF(K8&lt;-5,"CRÍTICO",IF(K8&lt;0,"ATENÇÃO",IF(K8&lt;=5,"BOM","EXCELENTE")))</f>
        <v>EXCELENTE</v>
      </c>
      <c r="M8" s="3">
        <v>30</v>
      </c>
      <c r="N8" s="3">
        <v>99.25</v>
      </c>
      <c r="O8" s="12">
        <v>20.408163265306118</v>
      </c>
    </row>
    <row r="9" spans="1:16" x14ac:dyDescent="0.25">
      <c r="A9" s="5">
        <v>46150</v>
      </c>
      <c r="B9" s="6" t="s">
        <v>15</v>
      </c>
      <c r="C9" s="1" t="s">
        <v>16</v>
      </c>
      <c r="D9" s="3">
        <v>38</v>
      </c>
      <c r="E9" s="3">
        <v>35</v>
      </c>
      <c r="F9" s="3">
        <v>15.27</v>
      </c>
      <c r="G9" s="3">
        <v>0</v>
      </c>
      <c r="H9" s="3">
        <v>0</v>
      </c>
      <c r="I9" s="3">
        <f>E9+G9+H9</f>
        <v>35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8</v>
      </c>
      <c r="K9" s="3">
        <f>I9-J9</f>
        <v>27</v>
      </c>
      <c r="L9" s="3" t="str">
        <f>IF(K9&lt;-5,"CRÍTICO",IF(K9&lt;0,"ATENÇÃO",IF(K9&lt;=5,"BOM","EXCELENTE")))</f>
        <v>EXCELENTE</v>
      </c>
      <c r="M9" s="3">
        <v>29</v>
      </c>
      <c r="N9" s="3">
        <v>99.25</v>
      </c>
      <c r="O9" s="12">
        <v>20.408163265306118</v>
      </c>
    </row>
    <row r="10" spans="1:16" x14ac:dyDescent="0.25">
      <c r="A10" s="5">
        <v>46153</v>
      </c>
      <c r="B10" s="6" t="s">
        <v>15</v>
      </c>
      <c r="C10" s="1" t="s">
        <v>16</v>
      </c>
      <c r="D10" s="3">
        <v>32</v>
      </c>
      <c r="E10" s="3">
        <v>32</v>
      </c>
      <c r="F10" s="3">
        <v>15.35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9</v>
      </c>
      <c r="K10" s="3">
        <f>I10-J10</f>
        <v>23</v>
      </c>
      <c r="L10" s="3" t="str">
        <f>IF(K10&lt;-5,"CRÍTICO",IF(K10&lt;0,"ATENÇÃO",IF(K10&lt;=5,"BOM","EXCELENTE")))</f>
        <v>EXCELENTE</v>
      </c>
      <c r="M10" s="3">
        <v>29</v>
      </c>
      <c r="N10" s="3">
        <v>99.25</v>
      </c>
      <c r="O10" s="12">
        <v>20.408163265306118</v>
      </c>
    </row>
    <row r="11" spans="1:16" x14ac:dyDescent="0.25">
      <c r="A11" s="5">
        <v>46154</v>
      </c>
      <c r="B11" s="6" t="s">
        <v>15</v>
      </c>
      <c r="C11" s="1" t="s">
        <v>16</v>
      </c>
      <c r="D11" s="3">
        <v>25</v>
      </c>
      <c r="E11" s="3">
        <v>25</v>
      </c>
      <c r="F11" s="3">
        <v>20.14</v>
      </c>
      <c r="G11" s="3">
        <v>0</v>
      </c>
      <c r="H11" s="3">
        <v>0</v>
      </c>
      <c r="I11" s="3">
        <f>E11+G11+H11</f>
        <v>25</v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>9</v>
      </c>
      <c r="K11" s="3">
        <f>I11-J11</f>
        <v>16</v>
      </c>
      <c r="L11" s="3" t="str">
        <f>IF(K11&lt;-5,"CRÍTICO",IF(K11&lt;0,"ATENÇÃO",IF(K11&lt;=5,"BOM","EXCELENTE")))</f>
        <v>EXCELENTE</v>
      </c>
      <c r="M11" s="3">
        <v>18</v>
      </c>
      <c r="N11" s="3">
        <v>99.25</v>
      </c>
      <c r="O11" s="12">
        <v>20.408163265306118</v>
      </c>
    </row>
    <row r="12" spans="1:16" hidden="1" x14ac:dyDescent="0.25">
      <c r="A12" s="10">
        <v>46084</v>
      </c>
      <c r="B12" t="s">
        <v>20</v>
      </c>
      <c r="C12" s="1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>IF(K12&lt;-5,"CRÍTICO",IF(K12&lt;0,"ATENÇÃO",IF(K12&lt;=5,"BOM","EXCELENTE")))</f>
        <v>BOM</v>
      </c>
      <c r="M12" s="3">
        <v>4</v>
      </c>
      <c r="N12" s="3">
        <v>95.83</v>
      </c>
      <c r="O12" s="12">
        <v>25.773195876288661</v>
      </c>
    </row>
    <row r="13" spans="1:16" hidden="1" x14ac:dyDescent="0.25">
      <c r="A13" s="10">
        <v>46084</v>
      </c>
      <c r="B13" t="s">
        <v>21</v>
      </c>
      <c r="C13" s="1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>IF(K13&lt;-5,"CRÍTICO",IF(K13&lt;0,"ATENÇÃO",IF(K13&lt;=5,"BOM","EXCELENTE")))</f>
        <v>BOM</v>
      </c>
      <c r="M13" s="3">
        <v>0</v>
      </c>
      <c r="N13" s="3">
        <v>100</v>
      </c>
      <c r="O13" s="12">
        <v>35</v>
      </c>
    </row>
    <row r="14" spans="1:16" x14ac:dyDescent="0.25">
      <c r="A14" s="5">
        <v>46155</v>
      </c>
      <c r="B14" s="6" t="s">
        <v>15</v>
      </c>
      <c r="C14" s="1" t="s">
        <v>16</v>
      </c>
      <c r="D14" s="3">
        <v>23</v>
      </c>
      <c r="E14" s="3">
        <v>23</v>
      </c>
      <c r="F14" s="3">
        <v>15.57</v>
      </c>
      <c r="G14" s="3">
        <v>0</v>
      </c>
      <c r="H14" s="3">
        <v>0</v>
      </c>
      <c r="I14" s="3">
        <f>E14+G14+H14</f>
        <v>23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8</v>
      </c>
      <c r="K14" s="3">
        <f>I14-J14</f>
        <v>15</v>
      </c>
      <c r="L14" s="3" t="str">
        <f>IF(K14&lt;-5,"CRÍTICO",IF(K14&lt;0,"ATENÇÃO",IF(K14&lt;=5,"BOM","EXCELENTE")))</f>
        <v>EXCELENTE</v>
      </c>
      <c r="M14" s="3">
        <v>18</v>
      </c>
      <c r="N14" s="3">
        <v>99.25</v>
      </c>
      <c r="O14" s="12">
        <v>20.408163265306118</v>
      </c>
    </row>
    <row r="15" spans="1:16" x14ac:dyDescent="0.25">
      <c r="A15" s="5">
        <v>46156</v>
      </c>
      <c r="B15" s="6" t="s">
        <v>15</v>
      </c>
      <c r="C15" s="1" t="s">
        <v>16</v>
      </c>
      <c r="D15" s="3">
        <v>31</v>
      </c>
      <c r="E15" s="3">
        <v>29</v>
      </c>
      <c r="F15" s="3">
        <v>18.5</v>
      </c>
      <c r="G15" s="3">
        <v>0</v>
      </c>
      <c r="H15" s="3">
        <v>0</v>
      </c>
      <c r="I15" s="3">
        <f>E15+G15+H15</f>
        <v>29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8</v>
      </c>
      <c r="K15" s="3">
        <f>I15-J15</f>
        <v>21</v>
      </c>
      <c r="L15" s="3" t="str">
        <f>IF(K15&lt;-5,"CRÍTICO",IF(K15&lt;0,"ATENÇÃO",IF(K15&lt;=5,"BOM","EXCELENTE")))</f>
        <v>EXCELENTE</v>
      </c>
      <c r="M15" s="3">
        <v>26</v>
      </c>
      <c r="N15" s="3">
        <v>99.25</v>
      </c>
      <c r="O15" s="12">
        <v>20.408163265306118</v>
      </c>
    </row>
    <row r="16" spans="1:16" x14ac:dyDescent="0.25">
      <c r="A16" s="5">
        <v>46157</v>
      </c>
      <c r="B16" s="6" t="s">
        <v>15</v>
      </c>
      <c r="C16" s="1" t="s">
        <v>16</v>
      </c>
      <c r="D16" s="3">
        <v>42</v>
      </c>
      <c r="E16" s="3">
        <v>40</v>
      </c>
      <c r="F16" s="3">
        <v>15.42</v>
      </c>
      <c r="G16" s="3">
        <v>0</v>
      </c>
      <c r="H16" s="3">
        <v>0</v>
      </c>
      <c r="I16" s="3">
        <f>E16+G16+H16</f>
        <v>40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8</v>
      </c>
      <c r="K16" s="3">
        <f>I16-J16</f>
        <v>32</v>
      </c>
      <c r="L16" s="3" t="str">
        <f>IF(K16&lt;-5,"CRÍTICO",IF(K16&lt;0,"ATENÇÃO",IF(K16&lt;=5,"BOM","EXCELENTE")))</f>
        <v>EXCELENTE</v>
      </c>
      <c r="M16" s="3">
        <v>34</v>
      </c>
      <c r="N16" s="3">
        <v>99.25</v>
      </c>
      <c r="O16" s="12">
        <v>20.408163265306118</v>
      </c>
    </row>
    <row r="17" spans="1:15" x14ac:dyDescent="0.25">
      <c r="A17" s="5">
        <v>46160</v>
      </c>
      <c r="B17" s="6" t="s">
        <v>15</v>
      </c>
      <c r="C17" s="1" t="s">
        <v>26</v>
      </c>
      <c r="D17" s="3">
        <v>27</v>
      </c>
      <c r="E17" s="3">
        <v>26</v>
      </c>
      <c r="F17" s="3">
        <v>5.09</v>
      </c>
      <c r="G17" s="3">
        <v>0</v>
      </c>
      <c r="H17" s="3">
        <v>0</v>
      </c>
      <c r="I17" s="3">
        <f>E17+G17+H17</f>
        <v>26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15</v>
      </c>
      <c r="K17" s="3">
        <f>I17-J17</f>
        <v>11</v>
      </c>
      <c r="L17" s="3" t="str">
        <f>IF(K17&lt;-5,"CRÍTICO",IF(K17&lt;0,"ATENÇÃO",IF(K17&lt;=5,"OPORTUNO","MUITO BOM")))</f>
        <v>MUITO BOM</v>
      </c>
      <c r="M17" s="3">
        <v>28</v>
      </c>
      <c r="N17" s="3">
        <v>99.25</v>
      </c>
      <c r="O17" s="12">
        <v>20.408163265306118</v>
      </c>
    </row>
    <row r="18" spans="1:15" hidden="1" x14ac:dyDescent="0.25">
      <c r="A18" s="10">
        <v>46085</v>
      </c>
      <c r="B18" t="s">
        <v>20</v>
      </c>
      <c r="C18" s="1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>E18+G18+H18</f>
        <v>7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8</v>
      </c>
      <c r="K18" s="3">
        <f>I18-J18</f>
        <v>-1</v>
      </c>
      <c r="L18" s="3" t="str">
        <f>IF(K18&lt;-5,"CRÍTICO",IF(K18&lt;0,"ATENÇÃO",IF(K18&lt;=5,"BOM","EXCELENTE")))</f>
        <v>ATENÇÃO</v>
      </c>
      <c r="M18" s="3">
        <v>2</v>
      </c>
      <c r="N18" s="3">
        <v>95.83</v>
      </c>
      <c r="O18" s="12">
        <v>25.773195876288661</v>
      </c>
    </row>
    <row r="19" spans="1:15" hidden="1" x14ac:dyDescent="0.25">
      <c r="A19" s="10">
        <v>46024</v>
      </c>
      <c r="B19" t="s">
        <v>22</v>
      </c>
      <c r="C19" s="1" t="s">
        <v>23</v>
      </c>
      <c r="D19" s="3">
        <v>17</v>
      </c>
      <c r="E19" s="3">
        <v>17</v>
      </c>
      <c r="F19" s="3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>I19-J19</f>
        <v>8</v>
      </c>
      <c r="L19" s="3" t="str">
        <f>IF(K19&lt;-5,"CRÍTICO",IF(K19&lt;0,"ATENÇÃO",IF(K19&lt;=5,"BOM","EXCELENTE")))</f>
        <v>EXCELENTE</v>
      </c>
      <c r="M19" s="3">
        <v>14</v>
      </c>
      <c r="N19" s="3">
        <v>98.91</v>
      </c>
      <c r="O19" s="12">
        <v>31.367292225201069</v>
      </c>
    </row>
    <row r="20" spans="1:15" hidden="1" x14ac:dyDescent="0.25">
      <c r="A20" s="10">
        <v>46085</v>
      </c>
      <c r="B20" t="s">
        <v>21</v>
      </c>
      <c r="C20" s="1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  <c r="M20" s="3">
        <v>0</v>
      </c>
      <c r="N20" s="3">
        <v>100</v>
      </c>
      <c r="O20" s="12">
        <v>35</v>
      </c>
    </row>
    <row r="21" spans="1:15" x14ac:dyDescent="0.25">
      <c r="A21" s="7">
        <v>46161</v>
      </c>
      <c r="B21" s="8" t="s">
        <v>15</v>
      </c>
      <c r="C21" s="1" t="s">
        <v>26</v>
      </c>
      <c r="D21" s="3">
        <v>30</v>
      </c>
      <c r="E21" s="3">
        <v>29</v>
      </c>
      <c r="F21" s="3">
        <v>18.21</v>
      </c>
      <c r="G21" s="3">
        <v>0</v>
      </c>
      <c r="H21" s="3">
        <v>0</v>
      </c>
      <c r="I21" s="3">
        <f>E21+G21+H21</f>
        <v>29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17</v>
      </c>
      <c r="K21" s="3">
        <f>I21-J21</f>
        <v>12</v>
      </c>
      <c r="L21" s="3" t="str">
        <f>IF(K21&lt;-5,"CRÍTICO",IF(K21&lt;0,"ATENÇÃO",IF(K21&lt;=5,"OPORTUNO","MUITO BOM")))</f>
        <v>MUITO BOM</v>
      </c>
      <c r="M21" s="3">
        <v>28</v>
      </c>
      <c r="N21" s="3">
        <v>99.25</v>
      </c>
      <c r="O21" s="12">
        <v>20.408163265306118</v>
      </c>
    </row>
    <row r="22" spans="1:15" x14ac:dyDescent="0.25">
      <c r="A22" s="7">
        <v>46162</v>
      </c>
      <c r="B22" s="8" t="s">
        <v>15</v>
      </c>
      <c r="C22" s="1" t="s">
        <v>26</v>
      </c>
      <c r="D22" s="3">
        <v>33</v>
      </c>
      <c r="E22" s="3">
        <v>33</v>
      </c>
      <c r="F22" s="3">
        <v>14.07</v>
      </c>
      <c r="G22" s="3">
        <v>0</v>
      </c>
      <c r="H22" s="3">
        <v>0</v>
      </c>
      <c r="I22" s="3">
        <f>E22+G22+H22</f>
        <v>33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15</v>
      </c>
      <c r="K22" s="3">
        <f>I22-J22</f>
        <v>18</v>
      </c>
      <c r="L22" s="3" t="str">
        <f>IF(K22&lt;-5,"CRÍTICO",IF(K22&lt;0,"ATENÇÃO",IF(K22&lt;=5,"OPORTUNO","MUITO BOM")))</f>
        <v>MUITO BOM</v>
      </c>
      <c r="M22" s="3">
        <v>32</v>
      </c>
      <c r="N22" s="3">
        <v>99.25</v>
      </c>
      <c r="O22" s="12">
        <v>20.408163265306118</v>
      </c>
    </row>
    <row r="23" spans="1:15" x14ac:dyDescent="0.25">
      <c r="A23" s="5">
        <v>46163</v>
      </c>
      <c r="B23" s="6" t="s">
        <v>15</v>
      </c>
      <c r="C23" s="1" t="s">
        <v>26</v>
      </c>
      <c r="D23" s="3">
        <v>24</v>
      </c>
      <c r="E23" s="3">
        <v>22</v>
      </c>
      <c r="F23" s="3">
        <v>15.57</v>
      </c>
      <c r="G23" s="3">
        <v>0</v>
      </c>
      <c r="H23" s="3">
        <v>0</v>
      </c>
      <c r="I23" s="3">
        <f>E23+G23+H23</f>
        <v>22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13</v>
      </c>
      <c r="K23" s="3">
        <f>I23-J23</f>
        <v>9</v>
      </c>
      <c r="L23" s="3" t="str">
        <f>IF(K23&lt;-5,"CRÍTICO",IF(K23&lt;0,"ATENÇÃO",IF(K23&lt;=5,"OPORTUNO","MUITO BOM")))</f>
        <v>MUITO BOM</v>
      </c>
      <c r="M23" s="3">
        <v>20</v>
      </c>
      <c r="N23" s="3">
        <v>99.25</v>
      </c>
      <c r="O23" s="12">
        <v>20.408163265306118</v>
      </c>
    </row>
    <row r="24" spans="1:15" x14ac:dyDescent="0.25">
      <c r="A24" s="9">
        <v>46164</v>
      </c>
      <c r="B24" s="6" t="s">
        <v>15</v>
      </c>
      <c r="C24" s="1" t="s">
        <v>26</v>
      </c>
      <c r="D24" s="3">
        <v>20</v>
      </c>
      <c r="E24" s="3">
        <v>19</v>
      </c>
      <c r="F24" s="3">
        <v>22.07</v>
      </c>
      <c r="G24" s="3">
        <v>0</v>
      </c>
      <c r="H24" s="3">
        <v>0</v>
      </c>
      <c r="I24" s="3">
        <f>E24+G24+H24</f>
        <v>19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11</v>
      </c>
      <c r="K24" s="3">
        <f>I24-J24</f>
        <v>8</v>
      </c>
      <c r="L24" s="3" t="str">
        <f>IF(K24&lt;-5,"CRÍTICO",IF(K24&lt;0,"ATENÇÃO",IF(K24&lt;=5,"OPORTUNO","MUITO BOM")))</f>
        <v>MUITO BOM</v>
      </c>
      <c r="M24" s="3">
        <v>18</v>
      </c>
      <c r="N24" s="3">
        <v>99.25</v>
      </c>
      <c r="O24" s="12">
        <v>20.408163265306118</v>
      </c>
    </row>
    <row r="25" spans="1:15" hidden="1" x14ac:dyDescent="0.25">
      <c r="A25" s="10">
        <v>46086</v>
      </c>
      <c r="B25" t="s">
        <v>20</v>
      </c>
      <c r="C25" s="1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12</v>
      </c>
      <c r="N25" s="3">
        <v>95.83</v>
      </c>
      <c r="O25" s="12">
        <v>25.773195876288661</v>
      </c>
    </row>
    <row r="26" spans="1:15" hidden="1" x14ac:dyDescent="0.25">
      <c r="A26" s="10">
        <v>46086</v>
      </c>
      <c r="B26" t="s">
        <v>21</v>
      </c>
      <c r="C26" s="1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 s="3">
        <v>0</v>
      </c>
      <c r="N26" s="3">
        <v>100</v>
      </c>
      <c r="O26" s="12">
        <v>35</v>
      </c>
    </row>
    <row r="27" spans="1:15" x14ac:dyDescent="0.25">
      <c r="A27" s="10">
        <v>46167</v>
      </c>
      <c r="B27" t="s">
        <v>15</v>
      </c>
      <c r="C27" s="1" t="s">
        <v>26</v>
      </c>
      <c r="D27" s="3">
        <v>25</v>
      </c>
      <c r="E27" s="3">
        <v>25</v>
      </c>
      <c r="F27" s="3">
        <v>15.22</v>
      </c>
      <c r="G27" s="3">
        <v>0</v>
      </c>
      <c r="H27" s="3">
        <v>0</v>
      </c>
      <c r="I27" s="3">
        <f>E27+G27+H27</f>
        <v>25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13</v>
      </c>
      <c r="K27" s="3">
        <f>I27-J27</f>
        <v>12</v>
      </c>
      <c r="L27" s="3" t="str">
        <f>IF(K27&lt;-5,"CRÍTICO",IF(K27&lt;0,"ATENÇÃO",IF(K27&lt;=5,"OPORTUNO","MUITO BOM")))</f>
        <v>MUITO BOM</v>
      </c>
      <c r="M27" s="3">
        <v>25</v>
      </c>
      <c r="N27" s="3">
        <v>99.25</v>
      </c>
      <c r="O27" s="12">
        <v>20.408163265306118</v>
      </c>
    </row>
    <row r="28" spans="1:15" x14ac:dyDescent="0.25">
      <c r="A28" s="10">
        <v>46168</v>
      </c>
      <c r="B28" t="s">
        <v>15</v>
      </c>
      <c r="C28" s="1" t="s">
        <v>26</v>
      </c>
      <c r="D28" s="3">
        <v>27</v>
      </c>
      <c r="E28" s="3">
        <v>27</v>
      </c>
      <c r="F28" s="3">
        <v>19.04</v>
      </c>
      <c r="G28" s="3">
        <v>0</v>
      </c>
      <c r="H28" s="3">
        <v>0</v>
      </c>
      <c r="I28" s="3">
        <f>E28+G28+H28</f>
        <v>27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16</v>
      </c>
      <c r="K28" s="3">
        <f>I28-J28</f>
        <v>11</v>
      </c>
      <c r="L28" s="3" t="str">
        <f>IF(K28&lt;-5,"CRÍTICO",IF(K28&lt;0,"ATENÇÃO",IF(K28&lt;=5,"OPORTUNO","MUITO BOM")))</f>
        <v>MUITO BOM</v>
      </c>
      <c r="M28" s="3">
        <v>22</v>
      </c>
      <c r="N28" s="3">
        <v>99.25</v>
      </c>
      <c r="O28" s="12">
        <v>21.7687074829932</v>
      </c>
    </row>
    <row r="29" spans="1:15" x14ac:dyDescent="0.25">
      <c r="A29" s="10">
        <v>46169</v>
      </c>
      <c r="B29" t="s">
        <v>15</v>
      </c>
      <c r="C29" s="1" t="s">
        <v>26</v>
      </c>
      <c r="D29" s="3">
        <v>40</v>
      </c>
      <c r="E29" s="3">
        <v>38</v>
      </c>
      <c r="F29" s="3">
        <v>12.23</v>
      </c>
      <c r="G29" s="3">
        <v>0</v>
      </c>
      <c r="H29" s="3">
        <v>0</v>
      </c>
      <c r="I29" s="3">
        <f>E29+G29+H29</f>
        <v>38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16</v>
      </c>
      <c r="K29" s="3">
        <f>I29-J29</f>
        <v>22</v>
      </c>
      <c r="L29" s="3" t="str">
        <f>IF(K29&lt;-5,"CRÍTICO",IF(K29&lt;0,"ATENÇÃO",IF(K29&lt;=5,"OPORTUNO","MUITO BOM")))</f>
        <v>MUITO BOM</v>
      </c>
      <c r="M29" s="3">
        <v>32</v>
      </c>
      <c r="N29" s="3">
        <v>99.3</v>
      </c>
      <c r="O29" s="12">
        <v>20.93023255813954</v>
      </c>
    </row>
    <row r="30" spans="1:15" x14ac:dyDescent="0.25">
      <c r="A30" s="10">
        <v>46170</v>
      </c>
      <c r="B30" t="s">
        <v>15</v>
      </c>
      <c r="C30" s="1" t="s">
        <v>26</v>
      </c>
      <c r="D30" s="3">
        <v>29</v>
      </c>
      <c r="E30" s="3">
        <v>29</v>
      </c>
      <c r="F30" s="3">
        <v>20.079999999999998</v>
      </c>
      <c r="G30" s="3">
        <v>0</v>
      </c>
      <c r="H30" s="3">
        <v>0</v>
      </c>
      <c r="I30" s="3">
        <f>E30+G30+H30</f>
        <v>29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15</v>
      </c>
      <c r="K30" s="3">
        <f>I30-J30</f>
        <v>14</v>
      </c>
      <c r="L30" s="3" t="str">
        <f>IF(K30&lt;-5,"CRÍTICO",IF(K30&lt;0,"ATENÇÃO",IF(K30&lt;=5,"OPORTUNO","MUITO BOM")))</f>
        <v>MUITO BOM</v>
      </c>
      <c r="M30" s="3">
        <v>23</v>
      </c>
      <c r="N30" s="3">
        <v>99.33</v>
      </c>
      <c r="O30" s="12">
        <v>22.177419354838712</v>
      </c>
    </row>
    <row r="31" spans="1:15" hidden="1" x14ac:dyDescent="0.25">
      <c r="A31" s="10">
        <v>46087</v>
      </c>
      <c r="B31" t="s">
        <v>20</v>
      </c>
      <c r="C31" s="1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12">
        <v>25.773195876288661</v>
      </c>
    </row>
    <row r="32" spans="1:15" hidden="1" x14ac:dyDescent="0.25">
      <c r="A32" s="10">
        <v>46087</v>
      </c>
      <c r="B32" t="s">
        <v>21</v>
      </c>
      <c r="C32" s="1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 s="3">
        <v>0</v>
      </c>
      <c r="N32" s="3">
        <v>100</v>
      </c>
      <c r="O32" s="12">
        <v>35</v>
      </c>
    </row>
    <row r="33" spans="1:15" hidden="1" x14ac:dyDescent="0.25">
      <c r="A33" s="5">
        <v>46146</v>
      </c>
      <c r="B33" s="6" t="s">
        <v>31</v>
      </c>
      <c r="C33" s="1" t="s">
        <v>32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f>E33+G33+H33</f>
        <v>0</v>
      </c>
      <c r="J33" s="3">
        <v>0</v>
      </c>
      <c r="K33" s="3">
        <f>I33-J33</f>
        <v>0</v>
      </c>
      <c r="L33" s="3" t="str">
        <f>IF(K33&lt;-5,"CRÍTICO",IF(K33&lt;0,"ATENÇÃO",IF(K33&lt;=5,"OPORTUNO","MUITO BOM")))</f>
        <v>OPORTUNO</v>
      </c>
      <c r="M33" s="3">
        <v>0</v>
      </c>
      <c r="N33" s="3">
        <v>100</v>
      </c>
      <c r="O33" s="12">
        <v>0</v>
      </c>
    </row>
    <row r="34" spans="1:15" hidden="1" x14ac:dyDescent="0.25">
      <c r="A34" s="5">
        <v>46146</v>
      </c>
      <c r="B34" s="6" t="s">
        <v>33</v>
      </c>
      <c r="C34" s="1" t="s">
        <v>32</v>
      </c>
      <c r="D34" s="3">
        <v>30</v>
      </c>
      <c r="E34" s="3">
        <v>27</v>
      </c>
      <c r="F34" s="3">
        <v>17.2</v>
      </c>
      <c r="G34" s="3">
        <v>0</v>
      </c>
      <c r="H34" s="3">
        <v>0</v>
      </c>
      <c r="I34" s="3">
        <f>E34+G34+H34</f>
        <v>27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-8</v>
      </c>
      <c r="L34" s="3" t="str">
        <f>IF(K34&lt;-5,"CRÍTICO",IF(K34&lt;0,"ATENÇÃO",IF(K34&lt;=5,"OPORTUNO","MUITO BOM")))</f>
        <v>CRÍTICO</v>
      </c>
      <c r="M34" s="3">
        <v>31</v>
      </c>
      <c r="N34" s="3">
        <v>96.94</v>
      </c>
      <c r="O34" s="12">
        <v>19.613259668508292</v>
      </c>
    </row>
    <row r="35" spans="1:15" hidden="1" x14ac:dyDescent="0.25">
      <c r="A35" s="5">
        <v>46146</v>
      </c>
      <c r="B35" s="6" t="s">
        <v>34</v>
      </c>
      <c r="C35" s="1" t="s">
        <v>32</v>
      </c>
      <c r="D35" s="3">
        <v>38</v>
      </c>
      <c r="E35" s="3">
        <v>37</v>
      </c>
      <c r="F35" s="3">
        <v>13.54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>IF(K35&lt;-5,"CRÍTICO",IF(K35&lt;0,"ATENÇÃO",IF(K35&lt;=5,"OPORTUNO","MUITO BOM")))</f>
        <v>OPORTUNO</v>
      </c>
      <c r="M35" s="3">
        <v>32</v>
      </c>
      <c r="N35" s="3">
        <v>92.81</v>
      </c>
      <c r="O35" s="12">
        <v>25.477707006369432</v>
      </c>
    </row>
    <row r="36" spans="1:15" hidden="1" x14ac:dyDescent="0.25">
      <c r="A36" s="5">
        <v>46146</v>
      </c>
      <c r="B36" s="6" t="s">
        <v>35</v>
      </c>
      <c r="C36" s="1" t="s">
        <v>32</v>
      </c>
      <c r="D36" s="3">
        <v>21</v>
      </c>
      <c r="E36" s="3">
        <v>20</v>
      </c>
      <c r="F36" s="3">
        <v>21.4</v>
      </c>
      <c r="G36" s="3">
        <v>0</v>
      </c>
      <c r="H36" s="3">
        <v>0</v>
      </c>
      <c r="I36" s="3">
        <f>E36+G36+H36</f>
        <v>20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35</v>
      </c>
      <c r="K36" s="3">
        <f>I36-J36</f>
        <v>-15</v>
      </c>
      <c r="L36" s="3" t="str">
        <f>IF(K36&lt;-5,"CRÍTICO",IF(K36&lt;0,"ATENÇÃO",IF(K36&lt;=5,"OPORTUNO","MUITO BOM")))</f>
        <v>CRÍTICO</v>
      </c>
      <c r="M36" s="3">
        <v>25</v>
      </c>
      <c r="N36" s="3">
        <v>99.19</v>
      </c>
      <c r="O36" s="12">
        <v>28.404669260700391</v>
      </c>
    </row>
    <row r="37" spans="1:15" hidden="1" x14ac:dyDescent="0.25">
      <c r="A37" s="10">
        <v>46090</v>
      </c>
      <c r="B37" t="s">
        <v>20</v>
      </c>
      <c r="C37" s="1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12">
        <v>25.773195876288661</v>
      </c>
    </row>
    <row r="38" spans="1:15" hidden="1" x14ac:dyDescent="0.25">
      <c r="A38" s="10">
        <v>46090</v>
      </c>
      <c r="B38" t="s">
        <v>21</v>
      </c>
      <c r="C38" s="1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 s="3">
        <v>0</v>
      </c>
      <c r="N38" s="3">
        <v>100</v>
      </c>
      <c r="O38" s="12">
        <v>35</v>
      </c>
    </row>
    <row r="39" spans="1:15" hidden="1" x14ac:dyDescent="0.25">
      <c r="A39" s="5">
        <v>46146</v>
      </c>
      <c r="B39" s="6" t="s">
        <v>36</v>
      </c>
      <c r="C39" s="1" t="s">
        <v>32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f>E39+G39+H39</f>
        <v>0</v>
      </c>
      <c r="J39" s="3">
        <v>0</v>
      </c>
      <c r="K39" s="3">
        <f>I39-J39</f>
        <v>0</v>
      </c>
      <c r="L39" s="3" t="str">
        <f>IF(K39&lt;-5,"CRÍTICO",IF(K39&lt;0,"ATENÇÃO",IF(K39&lt;=5,"OPORTUNO","MUITO BOM")))</f>
        <v>OPORTUNO</v>
      </c>
      <c r="M39" s="3">
        <v>0</v>
      </c>
      <c r="N39" s="3">
        <v>100</v>
      </c>
      <c r="O39" s="12">
        <v>13.51351351351351</v>
      </c>
    </row>
    <row r="40" spans="1:15" hidden="1" x14ac:dyDescent="0.25">
      <c r="A40" s="5">
        <v>46146</v>
      </c>
      <c r="B40" s="6" t="s">
        <v>37</v>
      </c>
      <c r="C40" s="1" t="s">
        <v>32</v>
      </c>
      <c r="D40" s="3">
        <v>47</v>
      </c>
      <c r="E40" s="3">
        <v>44</v>
      </c>
      <c r="F40" s="3">
        <v>12.18</v>
      </c>
      <c r="G40" s="3">
        <v>5</v>
      </c>
      <c r="H40" s="3">
        <v>0</v>
      </c>
      <c r="I40" s="3">
        <f>E40+G40+H40</f>
        <v>49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35</v>
      </c>
      <c r="K40" s="3">
        <f>I40-J40</f>
        <v>14</v>
      </c>
      <c r="L40" s="3" t="str">
        <f>IF(K40&lt;-5,"CRÍTICO",IF(K40&lt;0,"ATENÇÃO",IF(K40&lt;=5,"OPORTUNO","MUITO BOM")))</f>
        <v>MUITO BOM</v>
      </c>
      <c r="M40" s="3">
        <v>46</v>
      </c>
      <c r="N40" s="3">
        <v>99</v>
      </c>
      <c r="O40" s="12">
        <v>22.27414330218069</v>
      </c>
    </row>
    <row r="41" spans="1:15" hidden="1" x14ac:dyDescent="0.25">
      <c r="A41" s="5">
        <v>46146</v>
      </c>
      <c r="B41" s="6" t="s">
        <v>38</v>
      </c>
      <c r="C41" s="1" t="s">
        <v>32</v>
      </c>
      <c r="D41" s="3">
        <v>11</v>
      </c>
      <c r="E41" s="3">
        <v>11</v>
      </c>
      <c r="F41" s="3">
        <v>22</v>
      </c>
      <c r="G41" s="3">
        <v>5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35</v>
      </c>
      <c r="K41" s="3">
        <f>I41-J41</f>
        <v>-19</v>
      </c>
      <c r="L41" s="3" t="str">
        <f>IF(K41&lt;-5,"CRÍTICO",IF(K41&lt;0,"ATENÇÃO",IF(K41&lt;=5,"OPORTUNO","MUITO BOM")))</f>
        <v>CRÍTICO</v>
      </c>
      <c r="M41" s="3">
        <v>18</v>
      </c>
      <c r="N41" s="3">
        <v>97.04</v>
      </c>
      <c r="O41" s="12">
        <v>29.828850855745721</v>
      </c>
    </row>
    <row r="42" spans="1:15" hidden="1" x14ac:dyDescent="0.25">
      <c r="A42" s="5">
        <v>46146</v>
      </c>
      <c r="B42" s="6" t="s">
        <v>39</v>
      </c>
      <c r="C42" s="1" t="s">
        <v>32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f>E42+G42+H42</f>
        <v>0</v>
      </c>
      <c r="J42" s="3">
        <v>0</v>
      </c>
      <c r="K42" s="3">
        <f>I42-J42</f>
        <v>0</v>
      </c>
      <c r="L42" s="3" t="str">
        <f>IF(K42&lt;-5,"CRÍTICO",IF(K42&lt;0,"ATENÇÃO",IF(K42&lt;=5,"OPORTUNO","MUITO BOM")))</f>
        <v>OPORTUNO</v>
      </c>
      <c r="M42" s="3">
        <v>0</v>
      </c>
      <c r="N42" s="3">
        <v>0</v>
      </c>
      <c r="O42" s="12">
        <v>0</v>
      </c>
    </row>
    <row r="43" spans="1:15" hidden="1" x14ac:dyDescent="0.25">
      <c r="A43" s="10">
        <v>46091</v>
      </c>
      <c r="B43" t="s">
        <v>20</v>
      </c>
      <c r="C43" s="1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12">
        <v>25.773195876288661</v>
      </c>
    </row>
    <row r="44" spans="1:15" hidden="1" x14ac:dyDescent="0.25">
      <c r="A44" s="10">
        <v>46091</v>
      </c>
      <c r="B44" t="s">
        <v>21</v>
      </c>
      <c r="C44" s="1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 s="3">
        <v>0</v>
      </c>
      <c r="N44" s="3">
        <v>100</v>
      </c>
      <c r="O44" s="12">
        <v>35</v>
      </c>
    </row>
    <row r="45" spans="1:15" hidden="1" x14ac:dyDescent="0.25">
      <c r="A45" s="5">
        <v>46146</v>
      </c>
      <c r="B45" s="6" t="s">
        <v>40</v>
      </c>
      <c r="C45" s="1" t="s">
        <v>32</v>
      </c>
      <c r="D45" s="3">
        <v>20</v>
      </c>
      <c r="E45" s="3">
        <v>20</v>
      </c>
      <c r="F45" s="3">
        <v>20.48</v>
      </c>
      <c r="G45" s="3">
        <v>0</v>
      </c>
      <c r="H45" s="3">
        <v>0</v>
      </c>
      <c r="I45" s="3">
        <f>E45+G45+H45</f>
        <v>20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-15</v>
      </c>
      <c r="L45" s="3" t="str">
        <f>IF(K45&lt;-5,"CRÍTICO",IF(K45&lt;0,"ATENÇÃO",IF(K45&lt;=5,"OPORTUNO","MUITO BOM")))</f>
        <v>CRÍTICO</v>
      </c>
      <c r="M45" s="3">
        <v>20</v>
      </c>
      <c r="N45" s="3">
        <v>96.84</v>
      </c>
      <c r="O45" s="12">
        <v>16.338028169014081</v>
      </c>
    </row>
    <row r="46" spans="1:15" hidden="1" x14ac:dyDescent="0.25">
      <c r="A46" s="5">
        <v>46146</v>
      </c>
      <c r="B46" s="6" t="s">
        <v>41</v>
      </c>
      <c r="C46" s="1" t="s">
        <v>32</v>
      </c>
      <c r="D46" s="3">
        <v>32</v>
      </c>
      <c r="E46" s="3">
        <v>29</v>
      </c>
      <c r="F46" s="3">
        <v>15.44</v>
      </c>
      <c r="G46" s="3">
        <v>0</v>
      </c>
      <c r="H46" s="3">
        <v>0</v>
      </c>
      <c r="I46" s="3">
        <f>E46+G46+H46</f>
        <v>29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35</v>
      </c>
      <c r="K46" s="3">
        <f>I46-J46</f>
        <v>-6</v>
      </c>
      <c r="L46" s="3" t="str">
        <f>IF(K46&lt;-5,"CRÍTICO",IF(K46&lt;0,"ATENÇÃO",IF(K46&lt;=5,"OPORTUNO","MUITO BOM")))</f>
        <v>CRÍTICO</v>
      </c>
      <c r="M46" s="3">
        <v>27</v>
      </c>
      <c r="N46" s="3">
        <v>100</v>
      </c>
      <c r="O46" s="12">
        <v>18.244803695150122</v>
      </c>
    </row>
    <row r="47" spans="1:15" hidden="1" x14ac:dyDescent="0.25">
      <c r="A47" s="5">
        <v>46146</v>
      </c>
      <c r="B47" s="6" t="s">
        <v>42</v>
      </c>
      <c r="C47" s="1" t="s">
        <v>32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f>E47+G47+H47</f>
        <v>0</v>
      </c>
      <c r="J47" s="3">
        <v>0</v>
      </c>
      <c r="K47" s="3">
        <f>I47-J47</f>
        <v>0</v>
      </c>
      <c r="L47" s="3" t="str">
        <f>IF(K47&lt;-5,"CRÍTICO",IF(K47&lt;0,"ATENÇÃO",IF(K47&lt;=5,"OPORTUNO","MUITO BOM")))</f>
        <v>OPORTUNO</v>
      </c>
      <c r="M47" s="3">
        <v>0</v>
      </c>
      <c r="N47" s="3">
        <v>100</v>
      </c>
      <c r="O47" s="12">
        <v>15.789473684210529</v>
      </c>
    </row>
    <row r="48" spans="1:15" hidden="1" x14ac:dyDescent="0.25">
      <c r="A48" s="5">
        <v>46146</v>
      </c>
      <c r="B48" s="6" t="s">
        <v>44</v>
      </c>
      <c r="C48" s="1" t="s">
        <v>32</v>
      </c>
      <c r="D48" s="3">
        <v>40</v>
      </c>
      <c r="E48" s="3">
        <v>37</v>
      </c>
      <c r="F48" s="3">
        <v>10.48</v>
      </c>
      <c r="G48" s="3">
        <v>1</v>
      </c>
      <c r="H48" s="3">
        <v>0</v>
      </c>
      <c r="I48" s="3">
        <f>E48+G48+H48</f>
        <v>38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35</v>
      </c>
      <c r="K48" s="3">
        <f>I48-J48</f>
        <v>3</v>
      </c>
      <c r="L48" s="3" t="str">
        <f>IF(K48&lt;-5,"CRÍTICO",IF(K48&lt;0,"ATENÇÃO",IF(K48&lt;=5,"OPORTUNO","MUITO BOM")))</f>
        <v>OPORTUNO</v>
      </c>
      <c r="M48" s="3">
        <v>33</v>
      </c>
      <c r="N48" s="3">
        <v>96.38</v>
      </c>
      <c r="O48" s="12">
        <v>23.198198198198199</v>
      </c>
    </row>
    <row r="49" spans="1:15" hidden="1" x14ac:dyDescent="0.25">
      <c r="A49" s="10">
        <v>46092</v>
      </c>
      <c r="B49" t="s">
        <v>20</v>
      </c>
      <c r="C49" s="1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12">
        <v>25.773195876288661</v>
      </c>
    </row>
    <row r="50" spans="1:15" hidden="1" x14ac:dyDescent="0.25">
      <c r="A50" s="10">
        <v>46092</v>
      </c>
      <c r="B50" t="s">
        <v>21</v>
      </c>
      <c r="C50" s="1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 s="3">
        <v>0</v>
      </c>
      <c r="N50" s="3">
        <v>100</v>
      </c>
      <c r="O50" s="12">
        <v>35</v>
      </c>
    </row>
    <row r="51" spans="1:15" hidden="1" x14ac:dyDescent="0.25">
      <c r="A51" s="5">
        <v>46146</v>
      </c>
      <c r="B51" s="6" t="s">
        <v>45</v>
      </c>
      <c r="C51" s="1" t="s">
        <v>32</v>
      </c>
      <c r="D51" s="3">
        <v>50</v>
      </c>
      <c r="E51" s="3">
        <v>46</v>
      </c>
      <c r="F51" s="3">
        <v>12.23</v>
      </c>
      <c r="G51" s="3">
        <v>1</v>
      </c>
      <c r="H51" s="3">
        <v>0</v>
      </c>
      <c r="I51" s="3">
        <f>E51+G51+H51</f>
        <v>47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35</v>
      </c>
      <c r="K51" s="3">
        <f>I51-J51</f>
        <v>12</v>
      </c>
      <c r="L51" s="3" t="str">
        <f>IF(K51&lt;-5,"CRÍTICO",IF(K51&lt;0,"ATENÇÃO",IF(K51&lt;=5,"OPORTUNO","MUITO BOM")))</f>
        <v>MUITO BOM</v>
      </c>
      <c r="M51" s="3">
        <v>32</v>
      </c>
      <c r="N51" s="3">
        <v>99.39</v>
      </c>
      <c r="O51" s="12">
        <v>25.203252032520329</v>
      </c>
    </row>
    <row r="52" spans="1:15" hidden="1" x14ac:dyDescent="0.25">
      <c r="A52" s="5">
        <v>46146</v>
      </c>
      <c r="B52" s="6" t="s">
        <v>46</v>
      </c>
      <c r="C52" s="1" t="s">
        <v>32</v>
      </c>
      <c r="D52" s="3">
        <v>26</v>
      </c>
      <c r="E52" s="3">
        <v>25</v>
      </c>
      <c r="F52" s="3">
        <v>17.25</v>
      </c>
      <c r="G52" s="3">
        <v>4</v>
      </c>
      <c r="H52" s="3">
        <v>0</v>
      </c>
      <c r="I52" s="3">
        <f>E52+G52+H52</f>
        <v>29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35</v>
      </c>
      <c r="K52" s="3">
        <f>I52-J52</f>
        <v>-6</v>
      </c>
      <c r="L52" s="3" t="str">
        <f>IF(K52&lt;-5,"CRÍTICO",IF(K52&lt;0,"ATENÇÃO",IF(K52&lt;=5,"OPORTUNO","MUITO BOM")))</f>
        <v>CRÍTICO</v>
      </c>
      <c r="M52" s="3">
        <v>26</v>
      </c>
      <c r="N52" s="3">
        <v>97</v>
      </c>
      <c r="O52" s="12">
        <v>20.325203252032519</v>
      </c>
    </row>
    <row r="53" spans="1:15" hidden="1" x14ac:dyDescent="0.25">
      <c r="A53" s="5">
        <v>46146</v>
      </c>
      <c r="B53" s="6" t="s">
        <v>47</v>
      </c>
      <c r="C53" s="1" t="s">
        <v>48</v>
      </c>
      <c r="D53" s="3">
        <v>40</v>
      </c>
      <c r="E53" s="3">
        <v>38</v>
      </c>
      <c r="F53" s="3">
        <v>13.5</v>
      </c>
      <c r="G53" s="3">
        <v>4</v>
      </c>
      <c r="H53" s="3">
        <v>0</v>
      </c>
      <c r="I53" s="3">
        <f>E53+G53+H53</f>
        <v>42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28</v>
      </c>
      <c r="K53" s="3">
        <f>I53-J53</f>
        <v>14</v>
      </c>
      <c r="L53" s="3" t="str">
        <f>IF(K53&lt;-5,"CRÍTICO",IF(K53&lt;0,"ATENÇÃO",IF(K53&lt;=5,"OPORTUNO","MUITO BOM")))</f>
        <v>MUITO BOM</v>
      </c>
      <c r="M53" s="3">
        <v>36</v>
      </c>
      <c r="N53" s="3">
        <v>99.18</v>
      </c>
      <c r="O53" s="12">
        <v>24.501424501424498</v>
      </c>
    </row>
    <row r="54" spans="1:15" hidden="1" x14ac:dyDescent="0.25">
      <c r="A54" s="5">
        <v>46146</v>
      </c>
      <c r="B54" s="6" t="s">
        <v>49</v>
      </c>
      <c r="C54" s="1" t="s">
        <v>48</v>
      </c>
      <c r="D54" s="3">
        <v>41</v>
      </c>
      <c r="E54" s="3">
        <v>38</v>
      </c>
      <c r="F54" s="3">
        <v>11.44</v>
      </c>
      <c r="G54" s="3">
        <v>5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>IF(K54&lt;-5,"CRÍTICO",IF(K54&lt;0,"ATENÇÃO",IF(K54&lt;=5,"OPORTUNO","MUITO BOM")))</f>
        <v>MUITO BOM</v>
      </c>
      <c r="M54" s="3">
        <v>43</v>
      </c>
      <c r="N54" s="3">
        <v>99.35</v>
      </c>
      <c r="O54" s="12">
        <v>19.852941176470591</v>
      </c>
    </row>
    <row r="55" spans="1:15" hidden="1" x14ac:dyDescent="0.25">
      <c r="A55" s="10">
        <v>46093</v>
      </c>
      <c r="B55" t="s">
        <v>20</v>
      </c>
      <c r="C55" s="1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12">
        <v>25.773195876288661</v>
      </c>
    </row>
    <row r="56" spans="1:15" hidden="1" x14ac:dyDescent="0.25">
      <c r="A56" s="10">
        <v>46093</v>
      </c>
      <c r="B56" t="s">
        <v>21</v>
      </c>
      <c r="C56" s="1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 s="3">
        <v>0</v>
      </c>
      <c r="N56" s="3">
        <v>100</v>
      </c>
      <c r="O56" s="12">
        <v>35</v>
      </c>
    </row>
    <row r="57" spans="1:15" hidden="1" x14ac:dyDescent="0.25">
      <c r="A57" s="5">
        <v>46146</v>
      </c>
      <c r="B57" s="6" t="s">
        <v>50</v>
      </c>
      <c r="C57" s="1" t="s">
        <v>48</v>
      </c>
      <c r="D57" s="3">
        <v>31</v>
      </c>
      <c r="E57" s="3">
        <v>29</v>
      </c>
      <c r="F57" s="3">
        <v>20.3</v>
      </c>
      <c r="G57" s="3">
        <v>0</v>
      </c>
      <c r="H57" s="3">
        <v>0</v>
      </c>
      <c r="I57" s="3">
        <f>E57+G57+H57</f>
        <v>29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28</v>
      </c>
      <c r="K57" s="3">
        <f>I57-J57</f>
        <v>1</v>
      </c>
      <c r="L57" s="3" t="str">
        <f>IF(K57&lt;-5,"CRÍTICO",IF(K57&lt;0,"ATENÇÃO",IF(K57&lt;=5,"OPORTUNO","MUITO BOM")))</f>
        <v>OPORTUNO</v>
      </c>
      <c r="M57" s="3">
        <v>28</v>
      </c>
      <c r="N57" s="3">
        <v>99.07</v>
      </c>
      <c r="O57" s="12">
        <v>20.098039215686271</v>
      </c>
    </row>
    <row r="58" spans="1:15" hidden="1" x14ac:dyDescent="0.25">
      <c r="A58" s="5">
        <v>46146</v>
      </c>
      <c r="B58" s="6" t="s">
        <v>51</v>
      </c>
      <c r="C58" s="1" t="s">
        <v>48</v>
      </c>
      <c r="D58" s="3">
        <v>37</v>
      </c>
      <c r="E58" s="3">
        <v>30</v>
      </c>
      <c r="F58" s="3">
        <v>15.15</v>
      </c>
      <c r="G58" s="3">
        <v>0</v>
      </c>
      <c r="H58" s="3">
        <v>0</v>
      </c>
      <c r="I58" s="3">
        <f>E58+G58+H58</f>
        <v>30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28</v>
      </c>
      <c r="K58" s="3">
        <f>I58-J58</f>
        <v>2</v>
      </c>
      <c r="L58" s="3" t="str">
        <f>IF(K58&lt;-5,"CRÍTICO",IF(K58&lt;0,"ATENÇÃO",IF(K58&lt;=5,"OPORTUNO","MUITO BOM")))</f>
        <v>OPORTUNO</v>
      </c>
      <c r="M58" s="3">
        <v>25</v>
      </c>
      <c r="N58" s="3">
        <v>98.81</v>
      </c>
      <c r="O58" s="12">
        <v>22.767857142857139</v>
      </c>
    </row>
    <row r="59" spans="1:15" hidden="1" x14ac:dyDescent="0.25">
      <c r="A59" s="5">
        <v>46146</v>
      </c>
      <c r="B59" s="6" t="s">
        <v>52</v>
      </c>
      <c r="C59" s="1" t="s">
        <v>48</v>
      </c>
      <c r="D59" s="3">
        <v>31</v>
      </c>
      <c r="E59" s="3">
        <v>28</v>
      </c>
      <c r="F59" s="3">
        <v>15.09</v>
      </c>
      <c r="G59" s="3">
        <v>7</v>
      </c>
      <c r="H59" s="3">
        <v>0</v>
      </c>
      <c r="I59" s="3">
        <f>E59+G59+H59</f>
        <v>35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28</v>
      </c>
      <c r="K59" s="3">
        <f>I59-J59</f>
        <v>7</v>
      </c>
      <c r="L59" s="3" t="str">
        <f>IF(K59&lt;-5,"CRÍTICO",IF(K59&lt;0,"ATENÇÃO",IF(K59&lt;=5,"OPORTUNO","MUITO BOM")))</f>
        <v>MUITO BOM</v>
      </c>
      <c r="M59" s="3">
        <v>29</v>
      </c>
      <c r="N59" s="3">
        <v>99.01</v>
      </c>
      <c r="O59" s="12">
        <v>17.766497461928939</v>
      </c>
    </row>
    <row r="60" spans="1:15" hidden="1" x14ac:dyDescent="0.25">
      <c r="A60" s="5">
        <v>46146</v>
      </c>
      <c r="B60" s="6" t="s">
        <v>53</v>
      </c>
      <c r="C60" s="1" t="s">
        <v>48</v>
      </c>
      <c r="D60" s="3">
        <v>36</v>
      </c>
      <c r="E60" s="3">
        <v>33</v>
      </c>
      <c r="F60" s="3">
        <v>18.37</v>
      </c>
      <c r="G60" s="3">
        <v>0</v>
      </c>
      <c r="H60" s="3">
        <v>0</v>
      </c>
      <c r="I60" s="3">
        <f>E60+G60+H60</f>
        <v>33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5</v>
      </c>
      <c r="L60" s="3" t="str">
        <f>IF(K60&lt;-5,"CRÍTICO",IF(K60&lt;0,"ATENÇÃO",IF(K60&lt;=5,"OPORTUNO","MUITO BOM")))</f>
        <v>OPORTUNO</v>
      </c>
      <c r="M60" s="3">
        <v>29</v>
      </c>
      <c r="N60" s="3">
        <v>100</v>
      </c>
      <c r="O60" s="12">
        <v>17.241379310344829</v>
      </c>
    </row>
    <row r="61" spans="1:15" hidden="1" x14ac:dyDescent="0.25">
      <c r="A61" s="10">
        <v>46094</v>
      </c>
      <c r="B61" t="s">
        <v>20</v>
      </c>
      <c r="C61" s="1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12">
        <v>25.773195876288661</v>
      </c>
    </row>
    <row r="62" spans="1:15" hidden="1" x14ac:dyDescent="0.25">
      <c r="A62" s="10">
        <v>46094</v>
      </c>
      <c r="B62" t="s">
        <v>21</v>
      </c>
      <c r="C62" s="1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 s="3">
        <v>0</v>
      </c>
      <c r="N62" s="3">
        <v>100</v>
      </c>
      <c r="O62" s="12">
        <v>35</v>
      </c>
    </row>
    <row r="63" spans="1:15" hidden="1" x14ac:dyDescent="0.25">
      <c r="A63" s="5">
        <v>46146</v>
      </c>
      <c r="B63" s="6" t="s">
        <v>54</v>
      </c>
      <c r="C63" s="1" t="s">
        <v>48</v>
      </c>
      <c r="D63" s="3">
        <v>36</v>
      </c>
      <c r="E63" s="3">
        <v>34</v>
      </c>
      <c r="F63" s="3">
        <v>14.11</v>
      </c>
      <c r="G63" s="3">
        <v>0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>IF(K63&lt;-5,"CRÍTICO",IF(K63&lt;0,"ATENÇÃO",IF(K63&lt;=5,"OPORTUNO","MUITO BOM")))</f>
        <v>MUITO BOM</v>
      </c>
      <c r="M63" s="3">
        <v>33</v>
      </c>
      <c r="N63" s="3">
        <v>98.98</v>
      </c>
      <c r="O63" s="12">
        <v>19.35483870967742</v>
      </c>
    </row>
    <row r="64" spans="1:15" hidden="1" x14ac:dyDescent="0.25">
      <c r="A64" s="5">
        <v>46146</v>
      </c>
      <c r="B64" s="6" t="s">
        <v>55</v>
      </c>
      <c r="C64" s="1" t="s">
        <v>48</v>
      </c>
      <c r="D64" s="3">
        <v>32</v>
      </c>
      <c r="E64" s="3">
        <v>28</v>
      </c>
      <c r="F64" s="3">
        <v>14.15</v>
      </c>
      <c r="G64" s="3">
        <v>4</v>
      </c>
      <c r="H64" s="3">
        <v>0</v>
      </c>
      <c r="I64" s="3">
        <f>E64+G64+H64</f>
        <v>32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28</v>
      </c>
      <c r="K64" s="3">
        <f>I64-J64</f>
        <v>4</v>
      </c>
      <c r="L64" s="3" t="str">
        <f>IF(K64&lt;-5,"CRÍTICO",IF(K64&lt;0,"ATENÇÃO",IF(K64&lt;=5,"OPORTUNO","MUITO BOM")))</f>
        <v>OPORTUNO</v>
      </c>
      <c r="M64" s="3">
        <v>31</v>
      </c>
      <c r="N64" s="3">
        <v>98.94</v>
      </c>
      <c r="O64" s="12">
        <v>21.270718232044199</v>
      </c>
    </row>
    <row r="65" spans="1:15" hidden="1" x14ac:dyDescent="0.25">
      <c r="A65" s="5">
        <v>46146</v>
      </c>
      <c r="B65" s="6" t="s">
        <v>56</v>
      </c>
      <c r="C65" s="1" t="s">
        <v>48</v>
      </c>
      <c r="D65" s="3">
        <v>29</v>
      </c>
      <c r="E65" s="3">
        <v>26</v>
      </c>
      <c r="F65" s="3">
        <v>15.47</v>
      </c>
      <c r="G65" s="3">
        <v>0</v>
      </c>
      <c r="H65" s="3">
        <v>0</v>
      </c>
      <c r="I65" s="3">
        <f>E65+G65+H65</f>
        <v>26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28</v>
      </c>
      <c r="K65" s="3">
        <f>I65-J65</f>
        <v>-2</v>
      </c>
      <c r="L65" s="3" t="str">
        <f>IF(K65&lt;-5,"CRÍTICO",IF(K65&lt;0,"ATENÇÃO",IF(K65&lt;=5,"OPORTUNO","MUITO BOM")))</f>
        <v>ATENÇÃO</v>
      </c>
      <c r="M65" s="3">
        <v>15</v>
      </c>
      <c r="N65" s="3">
        <v>99</v>
      </c>
      <c r="O65" s="12">
        <v>22.010869565217391</v>
      </c>
    </row>
    <row r="66" spans="1:15" hidden="1" x14ac:dyDescent="0.25">
      <c r="A66" s="10">
        <v>46027</v>
      </c>
      <c r="B66" t="s">
        <v>22</v>
      </c>
      <c r="C66" s="1" t="s">
        <v>23</v>
      </c>
      <c r="D66" s="3">
        <v>21</v>
      </c>
      <c r="E66" s="3">
        <v>19</v>
      </c>
      <c r="F66" s="3">
        <v>21.5</v>
      </c>
      <c r="G66" s="3">
        <v>0</v>
      </c>
      <c r="H66" s="3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 s="3">
        <v>18</v>
      </c>
      <c r="N66" s="3">
        <v>98.91</v>
      </c>
      <c r="O66" s="12">
        <v>31.367292225201069</v>
      </c>
    </row>
    <row r="67" spans="1:15" hidden="1" x14ac:dyDescent="0.25">
      <c r="A67" s="10">
        <v>46097</v>
      </c>
      <c r="B67" t="s">
        <v>20</v>
      </c>
      <c r="C67" s="1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12">
        <v>25.773195876288661</v>
      </c>
    </row>
    <row r="68" spans="1:15" hidden="1" x14ac:dyDescent="0.25">
      <c r="A68" s="10">
        <v>46097</v>
      </c>
      <c r="B68" t="s">
        <v>21</v>
      </c>
      <c r="C68" s="1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 s="3">
        <v>0</v>
      </c>
      <c r="N68" s="3">
        <v>100</v>
      </c>
      <c r="O68" s="12">
        <v>35</v>
      </c>
    </row>
    <row r="69" spans="1:15" hidden="1" x14ac:dyDescent="0.25">
      <c r="A69" s="5">
        <v>46146</v>
      </c>
      <c r="B69" s="6" t="s">
        <v>57</v>
      </c>
      <c r="C69" s="1" t="s">
        <v>48</v>
      </c>
      <c r="D69" s="3">
        <v>41</v>
      </c>
      <c r="E69" s="3">
        <v>40</v>
      </c>
      <c r="F69" s="3">
        <v>15.1</v>
      </c>
      <c r="G69" s="3">
        <v>0</v>
      </c>
      <c r="H69" s="3">
        <v>0</v>
      </c>
      <c r="I69" s="3">
        <f>E69+G69+H69</f>
        <v>40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28</v>
      </c>
      <c r="K69" s="3">
        <f>I69-J69</f>
        <v>12</v>
      </c>
      <c r="L69" s="3" t="str">
        <f>IF(K69&lt;-5,"CRÍTICO",IF(K69&lt;0,"ATENÇÃO",IF(K69&lt;=5,"OPORTUNO","MUITO BOM")))</f>
        <v>MUITO BOM</v>
      </c>
      <c r="M69" s="3">
        <v>31</v>
      </c>
      <c r="N69" s="3">
        <v>100</v>
      </c>
      <c r="O69" s="12">
        <v>25</v>
      </c>
    </row>
    <row r="70" spans="1:15" hidden="1" x14ac:dyDescent="0.25">
      <c r="A70" s="5">
        <v>46146</v>
      </c>
      <c r="B70" s="6" t="s">
        <v>58</v>
      </c>
      <c r="C70" s="1" t="s">
        <v>48</v>
      </c>
      <c r="D70" s="3">
        <v>20</v>
      </c>
      <c r="E70" s="3">
        <v>16</v>
      </c>
      <c r="F70" s="3">
        <v>16.510000000000002</v>
      </c>
      <c r="G70" s="3">
        <v>0</v>
      </c>
      <c r="H70" s="3">
        <v>0</v>
      </c>
      <c r="I70" s="3">
        <f>E70+G70+H70</f>
        <v>16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-12</v>
      </c>
      <c r="L70" s="3" t="str">
        <f>IF(K70&lt;-5,"CRÍTICO",IF(K70&lt;0,"ATENÇÃO",IF(K70&lt;=5,"OPORTUNO","MUITO BOM")))</f>
        <v>CRÍTICO</v>
      </c>
      <c r="M70" s="3">
        <v>14</v>
      </c>
      <c r="N70" s="3">
        <v>100</v>
      </c>
      <c r="O70" s="12">
        <v>20.183486238532112</v>
      </c>
    </row>
    <row r="71" spans="1:15" hidden="1" x14ac:dyDescent="0.25">
      <c r="A71" s="5">
        <v>46146</v>
      </c>
      <c r="B71" s="6" t="s">
        <v>59</v>
      </c>
      <c r="C71" s="1" t="s">
        <v>23</v>
      </c>
      <c r="D71" s="3">
        <v>41</v>
      </c>
      <c r="E71" s="3">
        <v>39</v>
      </c>
      <c r="F71" s="3">
        <v>17.309999999999999</v>
      </c>
      <c r="G71" s="3">
        <v>1</v>
      </c>
      <c r="H71" s="3">
        <v>0</v>
      </c>
      <c r="I71" s="3">
        <f>E71+G71+H71</f>
        <v>40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23</v>
      </c>
      <c r="K71" s="3">
        <f>I71-J71</f>
        <v>17</v>
      </c>
      <c r="L71" s="3" t="str">
        <f>IF(K71&lt;-5,"CRÍTICO",IF(K71&lt;0,"ATENÇÃO",IF(K71&lt;=5,"OPORTUNO","MUITO BOM")))</f>
        <v>MUITO BOM</v>
      </c>
      <c r="M71" s="3">
        <v>35</v>
      </c>
      <c r="N71" s="3">
        <v>96.25</v>
      </c>
      <c r="O71" s="12">
        <v>25.586353944562902</v>
      </c>
    </row>
    <row r="72" spans="1:15" hidden="1" x14ac:dyDescent="0.25">
      <c r="A72" s="10">
        <v>46098</v>
      </c>
      <c r="B72" t="s">
        <v>20</v>
      </c>
      <c r="C72" s="1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>IF(K72&lt;-5,"CRÍTICO",IF(K72&lt;0,"ATENÇÃO",IF(K72&lt;=5,"OPORTUNO","MUITO BOM")))</f>
        <v>OPORTUNO</v>
      </c>
      <c r="M72" s="3">
        <v>0</v>
      </c>
      <c r="N72" s="3">
        <v>95.83</v>
      </c>
      <c r="O72" s="12">
        <v>25.773195876288661</v>
      </c>
    </row>
    <row r="73" spans="1:15" hidden="1" x14ac:dyDescent="0.25">
      <c r="A73" s="10">
        <v>46098</v>
      </c>
      <c r="B73" t="s">
        <v>21</v>
      </c>
      <c r="C73" s="1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>IF(K73&lt;-5,"CRÍTICO",IF(K73&lt;0,"ATENÇÃO",IF(K73&lt;=5,"OPORTUNO","MUITO BOM")))</f>
        <v>OPORTUNO</v>
      </c>
      <c r="M73" s="3">
        <v>0</v>
      </c>
      <c r="N73" s="3">
        <v>100</v>
      </c>
      <c r="O73" s="12">
        <v>35</v>
      </c>
    </row>
    <row r="74" spans="1:15" hidden="1" x14ac:dyDescent="0.25">
      <c r="A74" s="5">
        <v>46146</v>
      </c>
      <c r="B74" s="6" t="s">
        <v>60</v>
      </c>
      <c r="C74" s="1" t="s">
        <v>23</v>
      </c>
      <c r="D74" s="3">
        <v>32</v>
      </c>
      <c r="E74" s="3">
        <v>26</v>
      </c>
      <c r="F74" s="3">
        <v>15.13</v>
      </c>
      <c r="G74" s="3">
        <v>6</v>
      </c>
      <c r="H74" s="3">
        <v>0</v>
      </c>
      <c r="I74" s="3">
        <f>E74+G74+H74</f>
        <v>32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23</v>
      </c>
      <c r="K74" s="3">
        <f>I74-J74</f>
        <v>9</v>
      </c>
      <c r="L74" s="3" t="str">
        <f>IF(K74&lt;-5,"CRÍTICO",IF(K74&lt;0,"ATENÇÃO",IF(K74&lt;=5,"OPORTUNO","MUITO BOM")))</f>
        <v>MUITO BOM</v>
      </c>
      <c r="M74" s="3">
        <v>29</v>
      </c>
      <c r="N74" s="3">
        <v>97.48</v>
      </c>
      <c r="O74" s="12">
        <v>22.99465240641711</v>
      </c>
    </row>
    <row r="75" spans="1:15" hidden="1" x14ac:dyDescent="0.25">
      <c r="A75" s="5">
        <v>46146</v>
      </c>
      <c r="B75" s="6" t="s">
        <v>61</v>
      </c>
      <c r="C75" s="1" t="s">
        <v>23</v>
      </c>
      <c r="D75" s="3">
        <v>28</v>
      </c>
      <c r="E75" s="3">
        <v>27</v>
      </c>
      <c r="F75" s="3">
        <v>17.14</v>
      </c>
      <c r="G75" s="3">
        <v>0</v>
      </c>
      <c r="H75" s="3">
        <v>0</v>
      </c>
      <c r="I75" s="3">
        <f>E75+G75+H75</f>
        <v>27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23</v>
      </c>
      <c r="K75" s="3">
        <f>I75-J75</f>
        <v>4</v>
      </c>
      <c r="L75" s="3" t="str">
        <f>IF(K75&lt;-5,"CRÍTICO",IF(K75&lt;0,"ATENÇÃO",IF(K75&lt;=5,"OPORTUNO","MUITO BOM")))</f>
        <v>OPORTUNO</v>
      </c>
      <c r="M75" s="3">
        <v>16</v>
      </c>
      <c r="N75" s="3">
        <v>100</v>
      </c>
      <c r="O75" s="12">
        <v>20.788530465949819</v>
      </c>
    </row>
    <row r="76" spans="1:15" hidden="1" x14ac:dyDescent="0.25">
      <c r="A76" s="5">
        <v>46146</v>
      </c>
      <c r="B76" s="6" t="s">
        <v>22</v>
      </c>
      <c r="C76" s="1" t="s">
        <v>23</v>
      </c>
      <c r="D76" s="3">
        <v>24</v>
      </c>
      <c r="E76" s="3">
        <v>20</v>
      </c>
      <c r="F76" s="3">
        <v>21.45</v>
      </c>
      <c r="G76" s="3">
        <v>7</v>
      </c>
      <c r="H76" s="3">
        <v>0</v>
      </c>
      <c r="I76" s="3">
        <f>E76+G76+H76</f>
        <v>27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23</v>
      </c>
      <c r="K76" s="3">
        <f>I76-J76</f>
        <v>4</v>
      </c>
      <c r="L76" s="3" t="str">
        <f>IF(K76&lt;-5,"CRÍTICO",IF(K76&lt;0,"ATENÇÃO",IF(K76&lt;=5,"OPORTUNO","MUITO BOM")))</f>
        <v>OPORTUNO</v>
      </c>
      <c r="M76" s="3">
        <v>22</v>
      </c>
      <c r="N76" s="3">
        <v>99.06</v>
      </c>
      <c r="O76" s="12">
        <v>19.417475728155338</v>
      </c>
    </row>
    <row r="77" spans="1:15" hidden="1" x14ac:dyDescent="0.25">
      <c r="A77" s="10">
        <v>46099</v>
      </c>
      <c r="B77" t="s">
        <v>20</v>
      </c>
      <c r="C77" s="1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>IF(K77&lt;-5,"CRÍTICO",IF(K77&lt;0,"ATENÇÃO",IF(K77&lt;=5,"OPORTUNO","MUITO BOM")))</f>
        <v>OPORTUNO</v>
      </c>
      <c r="M77" s="3">
        <v>3</v>
      </c>
      <c r="N77" s="3">
        <v>95.83</v>
      </c>
      <c r="O77" s="12">
        <v>25.773195876288661</v>
      </c>
    </row>
    <row r="78" spans="1:15" hidden="1" x14ac:dyDescent="0.25">
      <c r="A78" s="10">
        <v>46099</v>
      </c>
      <c r="B78" t="s">
        <v>21</v>
      </c>
      <c r="C78" s="1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IF(K78&lt;-5,"CRÍTICO",IF(K78&lt;0,"ATENÇÃO",IF(K78&lt;=5,"OPORTUNO","MUITO BOM")))</f>
        <v>OPORTUNO</v>
      </c>
      <c r="M78" s="3">
        <v>0</v>
      </c>
      <c r="N78" s="3">
        <v>100</v>
      </c>
      <c r="O78" s="12">
        <v>35</v>
      </c>
    </row>
    <row r="79" spans="1:15" hidden="1" x14ac:dyDescent="0.25">
      <c r="A79" s="5">
        <v>46146</v>
      </c>
      <c r="B79" s="6" t="s">
        <v>62</v>
      </c>
      <c r="C79" s="1" t="s">
        <v>23</v>
      </c>
      <c r="D79" s="3">
        <v>25</v>
      </c>
      <c r="E79" s="3">
        <v>21</v>
      </c>
      <c r="F79" s="3">
        <v>17.18</v>
      </c>
      <c r="G79" s="3">
        <v>4</v>
      </c>
      <c r="H79" s="3">
        <v>0</v>
      </c>
      <c r="I79" s="3">
        <f>E79+G79+H79</f>
        <v>25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2</v>
      </c>
      <c r="L79" s="3" t="str">
        <f>IF(K79&lt;-5,"CRÍTICO",IF(K79&lt;0,"ATENÇÃO",IF(K79&lt;=5,"OPORTUNO","MUITO BOM")))</f>
        <v>OPORTUNO</v>
      </c>
      <c r="M79" s="3">
        <v>26</v>
      </c>
      <c r="N79" s="3">
        <v>94.55</v>
      </c>
      <c r="O79" s="12">
        <v>23.450134770889491</v>
      </c>
    </row>
    <row r="80" spans="1:15" hidden="1" x14ac:dyDescent="0.25">
      <c r="A80" s="5">
        <v>46146</v>
      </c>
      <c r="B80" s="6" t="s">
        <v>63</v>
      </c>
      <c r="C80" s="1" t="s">
        <v>23</v>
      </c>
      <c r="D80" s="3">
        <v>27</v>
      </c>
      <c r="E80" s="3">
        <v>23</v>
      </c>
      <c r="F80" s="3">
        <v>14.07</v>
      </c>
      <c r="G80" s="3">
        <v>4</v>
      </c>
      <c r="H80" s="3">
        <v>0</v>
      </c>
      <c r="I80" s="3">
        <f>E80+G80+H80</f>
        <v>27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23</v>
      </c>
      <c r="K80" s="3">
        <f>I80-J80</f>
        <v>4</v>
      </c>
      <c r="L80" s="3" t="str">
        <f>IF(K80&lt;-5,"CRÍTICO",IF(K80&lt;0,"ATENÇÃO",IF(K80&lt;=5,"OPORTUNO","MUITO BOM")))</f>
        <v>OPORTUNO</v>
      </c>
      <c r="M80" s="3">
        <v>20</v>
      </c>
      <c r="N80" s="3">
        <v>98</v>
      </c>
      <c r="O80" s="12">
        <v>20.73490813648294</v>
      </c>
    </row>
    <row r="81" spans="1:15" hidden="1" x14ac:dyDescent="0.25">
      <c r="A81" s="5">
        <v>46146</v>
      </c>
      <c r="B81" s="6" t="s">
        <v>64</v>
      </c>
      <c r="C81" s="1" t="s">
        <v>23</v>
      </c>
      <c r="D81" s="3">
        <v>20</v>
      </c>
      <c r="E81" s="3">
        <v>20</v>
      </c>
      <c r="F81" s="3">
        <v>25.29</v>
      </c>
      <c r="G81" s="3">
        <v>0</v>
      </c>
      <c r="H81" s="3">
        <v>0</v>
      </c>
      <c r="I81" s="3">
        <f>E81+G81+H81</f>
        <v>20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23</v>
      </c>
      <c r="K81" s="3">
        <f>I81-J81</f>
        <v>-3</v>
      </c>
      <c r="L81" s="3" t="str">
        <f>IF(K81&lt;-5,"CRÍTICO",IF(K81&lt;0,"ATENÇÃO",IF(K81&lt;=5,"OPORTUNO","MUITO BOM")))</f>
        <v>ATENÇÃO</v>
      </c>
      <c r="M81" s="3">
        <v>20</v>
      </c>
      <c r="N81" s="3">
        <v>100</v>
      </c>
      <c r="O81" s="12">
        <v>18</v>
      </c>
    </row>
    <row r="82" spans="1:15" hidden="1" x14ac:dyDescent="0.25">
      <c r="A82" s="10">
        <v>46100</v>
      </c>
      <c r="B82" t="s">
        <v>20</v>
      </c>
      <c r="C82" s="1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>IF(K82&lt;-5,"CRÍTICO",IF(K82&lt;0,"ATENÇÃO",IF(K82&lt;=5,"OPORTUNO","MUITO BOM")))</f>
        <v>OPORTUNO</v>
      </c>
      <c r="M82" s="3">
        <v>4</v>
      </c>
      <c r="N82" s="3">
        <v>95.83</v>
      </c>
      <c r="O82" s="12">
        <v>25.773195876288661</v>
      </c>
    </row>
    <row r="83" spans="1:15" hidden="1" x14ac:dyDescent="0.25">
      <c r="A83" s="10">
        <v>46100</v>
      </c>
      <c r="B83" t="s">
        <v>21</v>
      </c>
      <c r="C83" s="1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>IF(K83&lt;-5,"CRÍTICO",IF(K83&lt;0,"ATENÇÃO",IF(K83&lt;=5,"OPORTUNO","MUITO BOM")))</f>
        <v>OPORTUNO</v>
      </c>
      <c r="M83" s="3">
        <v>0</v>
      </c>
      <c r="N83" s="3">
        <v>100</v>
      </c>
      <c r="O83" s="12">
        <v>35</v>
      </c>
    </row>
    <row r="84" spans="1:15" x14ac:dyDescent="0.25">
      <c r="A84" s="10">
        <v>46171</v>
      </c>
      <c r="B84" t="s">
        <v>15</v>
      </c>
      <c r="C84" s="1" t="s">
        <v>26</v>
      </c>
      <c r="D84" s="3">
        <v>25</v>
      </c>
      <c r="E84" s="3">
        <v>24</v>
      </c>
      <c r="F84" s="3">
        <v>18.41</v>
      </c>
      <c r="G84" s="3">
        <v>0</v>
      </c>
      <c r="H84" s="3">
        <v>0</v>
      </c>
      <c r="I84" s="3">
        <f>E84+G84+H84</f>
        <v>24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16</v>
      </c>
      <c r="K84" s="3">
        <f>I84-J84</f>
        <v>8</v>
      </c>
      <c r="L84" s="3" t="str">
        <f>IF(K84&lt;-5,"CRÍTICO",IF(K84&lt;0,"ATENÇÃO",IF(K84&lt;=5,"OPORTUNO","MUITO BOM")))</f>
        <v>MUITO BOM</v>
      </c>
      <c r="M84" s="3">
        <v>1</v>
      </c>
      <c r="N84" s="3">
        <v>99.35</v>
      </c>
      <c r="O84" s="12">
        <v>22.13279678068411</v>
      </c>
    </row>
    <row r="85" spans="1:15" x14ac:dyDescent="0.25">
      <c r="A85" s="10">
        <v>46143</v>
      </c>
      <c r="B85" t="s">
        <v>17</v>
      </c>
      <c r="C85" s="1" t="s">
        <v>16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f>E85+G85+H85</f>
        <v>0</v>
      </c>
      <c r="J85" s="3">
        <v>0</v>
      </c>
      <c r="K85" s="3">
        <f>I85-J85</f>
        <v>0</v>
      </c>
      <c r="L85" s="3" t="str">
        <f>IF(K85&lt;-5,"CRÍTICO",IF(K85&lt;0,"ATENÇÃO",IF(K85&lt;=5,"OPORTUNO","MUITO BOM")))</f>
        <v>OPORTUNO</v>
      </c>
      <c r="M85" s="3">
        <v>0</v>
      </c>
      <c r="N85" s="3">
        <v>97.14</v>
      </c>
      <c r="O85" s="12">
        <v>24.761904761904759</v>
      </c>
    </row>
    <row r="86" spans="1:15" hidden="1" x14ac:dyDescent="0.25">
      <c r="A86" s="5">
        <v>46146</v>
      </c>
      <c r="B86" s="6" t="s">
        <v>43</v>
      </c>
      <c r="C86" s="1" t="s">
        <v>32</v>
      </c>
      <c r="D86" s="3">
        <v>32</v>
      </c>
      <c r="E86" s="3">
        <v>31</v>
      </c>
      <c r="F86" s="3">
        <v>10.27</v>
      </c>
      <c r="G86" s="3">
        <v>1</v>
      </c>
      <c r="H86" s="3">
        <v>25</v>
      </c>
      <c r="I86" s="3">
        <f>E86+G86+H86</f>
        <v>57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35</v>
      </c>
      <c r="K86" s="3">
        <f>I86-J86</f>
        <v>22</v>
      </c>
      <c r="L86" s="3" t="str">
        <f>IF(K86&lt;-5,"CRÍTICO",IF(K86&lt;0,"ATENÇÃO",IF(K86&lt;=5,"OPORTUNO","MUITO BOM")))</f>
        <v>MUITO BOM</v>
      </c>
      <c r="M86" s="3">
        <v>36</v>
      </c>
      <c r="N86" s="3">
        <v>98.39</v>
      </c>
      <c r="O86" s="12">
        <v>8.7999999999999989</v>
      </c>
    </row>
    <row r="87" spans="1:15" hidden="1" x14ac:dyDescent="0.25">
      <c r="A87" s="10">
        <v>46101</v>
      </c>
      <c r="B87" t="s">
        <v>20</v>
      </c>
      <c r="C87" s="1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>IF(K87&lt;-5,"CRÍTICO",IF(K87&lt;0,"ATENÇÃO",IF(K87&lt;=5,"OPORTUNO","MUITO BOM")))</f>
        <v>ATENÇÃO</v>
      </c>
      <c r="M87" s="3">
        <v>1</v>
      </c>
      <c r="N87" s="3">
        <v>95.83</v>
      </c>
      <c r="O87" s="12">
        <v>25.773195876288661</v>
      </c>
    </row>
    <row r="88" spans="1:15" hidden="1" x14ac:dyDescent="0.25">
      <c r="A88" s="10">
        <v>46101</v>
      </c>
      <c r="B88" t="s">
        <v>21</v>
      </c>
      <c r="C88" s="1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>IF(K88&lt;-5,"CRÍTICO",IF(K88&lt;0,"ATENÇÃO",IF(K88&lt;=5,"OPORTUNO","MUITO BOM")))</f>
        <v>OPORTUNO</v>
      </c>
      <c r="M88" s="3">
        <v>0</v>
      </c>
      <c r="N88" s="3">
        <v>100</v>
      </c>
      <c r="O88" s="12">
        <v>35</v>
      </c>
    </row>
    <row r="89" spans="1:15" x14ac:dyDescent="0.25">
      <c r="A89" s="5">
        <v>46146</v>
      </c>
      <c r="B89" s="6" t="s">
        <v>17</v>
      </c>
      <c r="C89" s="1" t="s">
        <v>16</v>
      </c>
      <c r="D89" s="3">
        <v>8</v>
      </c>
      <c r="E89" s="3">
        <v>8</v>
      </c>
      <c r="F89" s="3">
        <v>25.13</v>
      </c>
      <c r="G89" s="3">
        <v>0</v>
      </c>
      <c r="H89" s="3">
        <v>0</v>
      </c>
      <c r="I89" s="3">
        <f>E89+G89+H89</f>
        <v>8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10</v>
      </c>
      <c r="K89" s="3">
        <f>I89-J89</f>
        <v>-2</v>
      </c>
      <c r="L89" s="3" t="str">
        <f>IF(K89&lt;-5,"CRÍTICO",IF(K89&lt;0,"ATENÇÃO",IF(K89&lt;=5,"BOM","EXCELENTE")))</f>
        <v>ATENÇÃO</v>
      </c>
      <c r="M89" s="3">
        <v>7</v>
      </c>
      <c r="N89" s="3">
        <v>97.14</v>
      </c>
      <c r="O89" s="12">
        <v>24.761904761904759</v>
      </c>
    </row>
    <row r="90" spans="1:15" x14ac:dyDescent="0.25">
      <c r="A90" s="5">
        <v>46147</v>
      </c>
      <c r="B90" s="6" t="s">
        <v>17</v>
      </c>
      <c r="C90" s="1" t="s">
        <v>16</v>
      </c>
      <c r="D90" s="3">
        <v>10</v>
      </c>
      <c r="E90" s="3">
        <v>10</v>
      </c>
      <c r="F90" s="3">
        <v>12.39</v>
      </c>
      <c r="G90" s="3">
        <v>0</v>
      </c>
      <c r="H90" s="3">
        <v>0</v>
      </c>
      <c r="I90" s="3">
        <f>E90+G90+H90</f>
        <v>10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10</v>
      </c>
      <c r="K90" s="3">
        <f>I90-J90</f>
        <v>0</v>
      </c>
      <c r="L90" s="3" t="str">
        <f>IF(K90&lt;-5,"CRÍTICO",IF(K90&lt;0,"ATENÇÃO",IF(K90&lt;=5,"BOM","EXCELENTE")))</f>
        <v>BOM</v>
      </c>
      <c r="M90" s="3">
        <v>9</v>
      </c>
      <c r="N90" s="3">
        <v>97.14</v>
      </c>
      <c r="O90" s="12">
        <v>24.761904761904759</v>
      </c>
    </row>
    <row r="91" spans="1:15" x14ac:dyDescent="0.25">
      <c r="A91" s="5">
        <v>46148</v>
      </c>
      <c r="B91" s="6" t="s">
        <v>17</v>
      </c>
      <c r="C91" s="1" t="s">
        <v>16</v>
      </c>
      <c r="D91" s="3">
        <v>13</v>
      </c>
      <c r="E91" s="3">
        <v>12</v>
      </c>
      <c r="F91" s="3">
        <v>20.07</v>
      </c>
      <c r="G91" s="3">
        <v>0</v>
      </c>
      <c r="H91" s="3">
        <v>0</v>
      </c>
      <c r="I91" s="3">
        <f>E91+G91+H91</f>
        <v>12</v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>10</v>
      </c>
      <c r="K91" s="3">
        <f>I91-J91</f>
        <v>2</v>
      </c>
      <c r="L91" s="3" t="str">
        <f>IF(K91&lt;-5,"CRÍTICO",IF(K91&lt;0,"ATENÇÃO",IF(K91&lt;=5,"BOM","EXCELENTE")))</f>
        <v>BOM</v>
      </c>
      <c r="M91" s="3">
        <v>9</v>
      </c>
      <c r="N91" s="3">
        <v>97.14</v>
      </c>
      <c r="O91" s="12">
        <v>24.761904761904759</v>
      </c>
    </row>
    <row r="92" spans="1:15" hidden="1" x14ac:dyDescent="0.25">
      <c r="A92" s="10">
        <v>46104</v>
      </c>
      <c r="B92" t="s">
        <v>20</v>
      </c>
      <c r="C92" s="1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>IF(K92&lt;-5,"CRÍTICO",IF(K92&lt;0,"ATENÇÃO",IF(K92&lt;=5,"OPORTUNO","MUITO BOM")))</f>
        <v>ATENÇÃO</v>
      </c>
      <c r="M92" s="3">
        <v>3</v>
      </c>
      <c r="N92" s="3">
        <v>95.83</v>
      </c>
      <c r="O92" s="12">
        <v>25.773195876288661</v>
      </c>
    </row>
    <row r="93" spans="1:15" hidden="1" x14ac:dyDescent="0.25">
      <c r="A93" s="10">
        <v>46104</v>
      </c>
      <c r="B93" t="s">
        <v>21</v>
      </c>
      <c r="C93" s="1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  <c r="M93" s="3">
        <v>0</v>
      </c>
      <c r="N93" s="3">
        <v>100</v>
      </c>
      <c r="O93" s="12">
        <v>35</v>
      </c>
    </row>
    <row r="94" spans="1:15" x14ac:dyDescent="0.25">
      <c r="A94" s="5">
        <v>46149</v>
      </c>
      <c r="B94" s="6" t="s">
        <v>17</v>
      </c>
      <c r="C94" s="1" t="s">
        <v>16</v>
      </c>
      <c r="D94" s="3">
        <v>12</v>
      </c>
      <c r="E94" s="3">
        <v>12</v>
      </c>
      <c r="F94" s="3">
        <v>19.170000000000002</v>
      </c>
      <c r="G94" s="3">
        <v>0</v>
      </c>
      <c r="H94" s="3">
        <v>0</v>
      </c>
      <c r="I94" s="3">
        <f>E94+G94+H94</f>
        <v>12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9</v>
      </c>
      <c r="K94" s="3">
        <f>I94-J94</f>
        <v>3</v>
      </c>
      <c r="L94" s="3" t="str">
        <f>IF(K94&lt;-5,"CRÍTICO",IF(K94&lt;0,"ATENÇÃO",IF(K94&lt;=5,"BOM","EXCELENTE")))</f>
        <v>BOM</v>
      </c>
      <c r="M94" s="3">
        <v>9</v>
      </c>
      <c r="N94" s="3">
        <v>97.14</v>
      </c>
      <c r="O94" s="12">
        <v>24.761904761904759</v>
      </c>
    </row>
    <row r="95" spans="1:15" x14ac:dyDescent="0.25">
      <c r="A95" s="5">
        <v>46150</v>
      </c>
      <c r="B95" s="6" t="s">
        <v>17</v>
      </c>
      <c r="C95" s="1" t="s">
        <v>16</v>
      </c>
      <c r="D95" s="3">
        <v>10</v>
      </c>
      <c r="E95" s="3">
        <v>9</v>
      </c>
      <c r="F95" s="3">
        <v>17.38</v>
      </c>
      <c r="G95" s="3">
        <v>0</v>
      </c>
      <c r="H95" s="3">
        <v>0</v>
      </c>
      <c r="I95" s="3">
        <f>E95+G95+H95</f>
        <v>9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1</v>
      </c>
      <c r="L95" s="3" t="str">
        <f>IF(K95&lt;-5,"CRÍTICO",IF(K95&lt;0,"ATENÇÃO",IF(K95&lt;=5,"BOM","EXCELENTE")))</f>
        <v>BOM</v>
      </c>
      <c r="M95" s="3">
        <v>7</v>
      </c>
      <c r="N95" s="3">
        <v>97.14</v>
      </c>
      <c r="O95" s="12">
        <v>24.761904761904759</v>
      </c>
    </row>
    <row r="96" spans="1:15" x14ac:dyDescent="0.25">
      <c r="A96" s="5">
        <v>46153</v>
      </c>
      <c r="B96" s="6" t="s">
        <v>17</v>
      </c>
      <c r="C96" s="1" t="s">
        <v>16</v>
      </c>
      <c r="D96" s="3">
        <v>1</v>
      </c>
      <c r="E96" s="3">
        <v>1</v>
      </c>
      <c r="F96" s="3">
        <v>45.11</v>
      </c>
      <c r="G96" s="3">
        <v>0</v>
      </c>
      <c r="H96" s="3">
        <v>0</v>
      </c>
      <c r="I96" s="3">
        <f>E96+G96+H96</f>
        <v>1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9</v>
      </c>
      <c r="K96" s="3">
        <f>I96-J96</f>
        <v>-8</v>
      </c>
      <c r="L96" s="3" t="str">
        <f>IF(K96&lt;-5,"CRÍTICO",IF(K96&lt;0,"ATENÇÃO",IF(K96&lt;=5,"BOM","EXCELENTE")))</f>
        <v>CRÍTICO</v>
      </c>
      <c r="M96" s="3">
        <v>1</v>
      </c>
      <c r="N96" s="3">
        <v>97.14</v>
      </c>
      <c r="O96" s="12">
        <v>24.761904761904759</v>
      </c>
    </row>
    <row r="97" spans="1:15" x14ac:dyDescent="0.25">
      <c r="A97" s="5">
        <v>46154</v>
      </c>
      <c r="B97" s="6" t="s">
        <v>17</v>
      </c>
      <c r="C97" s="1" t="s">
        <v>16</v>
      </c>
      <c r="D97" s="3">
        <v>8</v>
      </c>
      <c r="E97" s="3">
        <v>7</v>
      </c>
      <c r="F97" s="3">
        <v>33.4</v>
      </c>
      <c r="G97" s="3">
        <v>0</v>
      </c>
      <c r="H97" s="3">
        <v>0</v>
      </c>
      <c r="I97" s="3">
        <f>E97+G97+H97</f>
        <v>7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9</v>
      </c>
      <c r="K97" s="3">
        <f>I97-J97</f>
        <v>-2</v>
      </c>
      <c r="L97" s="3" t="str">
        <f>IF(K97&lt;-5,"CRÍTICO",IF(K97&lt;0,"ATENÇÃO",IF(K97&lt;=5,"BOM","EXCELENTE")))</f>
        <v>ATENÇÃO</v>
      </c>
      <c r="M97" s="3">
        <v>6</v>
      </c>
      <c r="N97" s="3">
        <v>97.14</v>
      </c>
      <c r="O97" s="12">
        <v>24.761904761904759</v>
      </c>
    </row>
    <row r="98" spans="1:15" x14ac:dyDescent="0.25">
      <c r="A98" s="5">
        <v>46155</v>
      </c>
      <c r="B98" s="6" t="s">
        <v>17</v>
      </c>
      <c r="C98" s="1" t="s">
        <v>16</v>
      </c>
      <c r="D98" s="3">
        <v>5</v>
      </c>
      <c r="E98" s="3">
        <v>5</v>
      </c>
      <c r="F98" s="3">
        <v>42.33</v>
      </c>
      <c r="G98" s="3">
        <v>0</v>
      </c>
      <c r="H98" s="3">
        <v>0</v>
      </c>
      <c r="I98" s="3">
        <f>E98+G98+H98</f>
        <v>5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8</v>
      </c>
      <c r="K98" s="3">
        <f>I98-J98</f>
        <v>-3</v>
      </c>
      <c r="L98" s="3" t="str">
        <f>IF(K98&lt;-5,"CRÍTICO",IF(K98&lt;0,"ATENÇÃO",IF(K98&lt;=5,"BOM","EXCELENTE")))</f>
        <v>ATENÇÃO</v>
      </c>
      <c r="M98" s="3">
        <v>5</v>
      </c>
      <c r="N98" s="3">
        <v>97.14</v>
      </c>
      <c r="O98" s="12">
        <v>24.761904761904759</v>
      </c>
    </row>
    <row r="99" spans="1:15" x14ac:dyDescent="0.25">
      <c r="A99" s="5">
        <v>46156</v>
      </c>
      <c r="B99" s="6" t="s">
        <v>17</v>
      </c>
      <c r="C99" s="1" t="s">
        <v>16</v>
      </c>
      <c r="D99" s="3">
        <v>9</v>
      </c>
      <c r="E99" s="3">
        <v>9</v>
      </c>
      <c r="F99" s="3">
        <v>24.16</v>
      </c>
      <c r="G99" s="3">
        <v>0</v>
      </c>
      <c r="H99" s="3">
        <v>0</v>
      </c>
      <c r="I99" s="3">
        <f>E99+G99+H99</f>
        <v>9</v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>8</v>
      </c>
      <c r="K99" s="3">
        <f>I99-J99</f>
        <v>1</v>
      </c>
      <c r="L99" s="3" t="str">
        <f>IF(K99&lt;-5,"CRÍTICO",IF(K99&lt;0,"ATENÇÃO",IF(K99&lt;=5,"BOM","EXCELENTE")))</f>
        <v>BOM</v>
      </c>
      <c r="M99" s="3">
        <v>6</v>
      </c>
      <c r="N99" s="3">
        <v>97.14</v>
      </c>
      <c r="O99" s="12">
        <v>24.761904761904759</v>
      </c>
    </row>
    <row r="100" spans="1:15" hidden="1" x14ac:dyDescent="0.25">
      <c r="A100" s="5">
        <v>46147</v>
      </c>
      <c r="B100" s="6" t="s">
        <v>31</v>
      </c>
      <c r="C100" s="1" t="s">
        <v>32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f>E100+G100+H100</f>
        <v>0</v>
      </c>
      <c r="J100" s="3">
        <v>0</v>
      </c>
      <c r="K100" s="3">
        <f>I100-J100</f>
        <v>0</v>
      </c>
      <c r="L100" s="3" t="str">
        <f>IF(K100&lt;-5,"CRÍTICO",IF(K100&lt;0,"ATENÇÃO",IF(K100&lt;=5,"OPORTUNO","MUITO BOM")))</f>
        <v>OPORTUNO</v>
      </c>
      <c r="M100" s="3">
        <v>0</v>
      </c>
      <c r="N100" s="3">
        <v>100</v>
      </c>
      <c r="O100" s="12">
        <v>0</v>
      </c>
    </row>
    <row r="101" spans="1:15" hidden="1" x14ac:dyDescent="0.25">
      <c r="A101" s="10">
        <v>46140</v>
      </c>
      <c r="B101" t="s">
        <v>15</v>
      </c>
      <c r="C101" s="1" t="s">
        <v>16</v>
      </c>
      <c r="D101" s="3">
        <v>27</v>
      </c>
      <c r="E101" s="3">
        <v>27</v>
      </c>
      <c r="F101" s="3">
        <v>20.5</v>
      </c>
      <c r="G101" s="3">
        <v>0</v>
      </c>
      <c r="H101" s="3">
        <v>0</v>
      </c>
      <c r="I101" s="3">
        <f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17</v>
      </c>
      <c r="L101" s="3" t="str">
        <f>IF(K101&lt;-5,"CRÍTICO",IF(K101&lt;0,"ATENÇÃO",IF(K101&lt;=5,"OPORTUNO","MUITO BOM")))</f>
        <v>MUITO BOM</v>
      </c>
      <c r="M101" s="3">
        <v>26</v>
      </c>
      <c r="N101" s="3">
        <v>96.74</v>
      </c>
      <c r="O101" s="12">
        <v>28.67647058823529</v>
      </c>
    </row>
    <row r="102" spans="1:15" hidden="1" x14ac:dyDescent="0.25">
      <c r="A102" s="10">
        <v>46140</v>
      </c>
      <c r="B102" t="s">
        <v>17</v>
      </c>
      <c r="C102" s="1" t="s">
        <v>16</v>
      </c>
      <c r="D102" s="3">
        <v>10</v>
      </c>
      <c r="E102" s="3">
        <v>9</v>
      </c>
      <c r="F102" s="3">
        <v>13.36</v>
      </c>
      <c r="G102" s="3">
        <v>0</v>
      </c>
      <c r="H102" s="3">
        <v>0</v>
      </c>
      <c r="I102" s="3">
        <f>E102+G102+H102</f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>I102-J102</f>
        <v>-1</v>
      </c>
      <c r="L102" s="3" t="str">
        <f>IF(K102&lt;-5,"CRÍTICO",IF(K102&lt;0,"ATENÇÃO",IF(K102&lt;=5,"OPORTUNO","MUITO BOM")))</f>
        <v>ATENÇÃO</v>
      </c>
      <c r="M102" s="3">
        <v>5</v>
      </c>
      <c r="N102" s="3">
        <v>100</v>
      </c>
      <c r="O102" s="12">
        <v>23.134328358208951</v>
      </c>
    </row>
    <row r="103" spans="1:15" hidden="1" x14ac:dyDescent="0.25">
      <c r="A103" s="10">
        <v>46140</v>
      </c>
      <c r="B103" t="s">
        <v>18</v>
      </c>
      <c r="C103" s="1" t="s">
        <v>16</v>
      </c>
      <c r="D103" s="3">
        <v>8</v>
      </c>
      <c r="E103" s="3">
        <v>6</v>
      </c>
      <c r="F103" s="3">
        <v>39.18</v>
      </c>
      <c r="G103" s="3">
        <v>0</v>
      </c>
      <c r="H103" s="3">
        <v>0</v>
      </c>
      <c r="I103" s="3">
        <f>E103+G103+H103</f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>I103-J103</f>
        <v>-4</v>
      </c>
      <c r="L103" s="3" t="str">
        <f>IF(K103&lt;-5,"CRÍTICO",IF(K103&lt;0,"ATENÇÃO",IF(K103&lt;=5,"OPORTUNO","MUITO BOM")))</f>
        <v>ATENÇÃO</v>
      </c>
      <c r="M103" s="3">
        <v>4</v>
      </c>
      <c r="N103" s="3">
        <v>100</v>
      </c>
      <c r="O103" s="12">
        <v>27.368421052631579</v>
      </c>
    </row>
    <row r="104" spans="1:15" hidden="1" x14ac:dyDescent="0.25">
      <c r="A104" s="10">
        <v>46140</v>
      </c>
      <c r="B104" t="s">
        <v>19</v>
      </c>
      <c r="C104" s="1" t="s">
        <v>16</v>
      </c>
      <c r="D104" s="3">
        <v>78</v>
      </c>
      <c r="E104" s="3">
        <v>47</v>
      </c>
      <c r="F104" s="3">
        <v>5.47</v>
      </c>
      <c r="G104" s="3">
        <v>0</v>
      </c>
      <c r="H104" s="3">
        <v>0</v>
      </c>
      <c r="I104" s="3">
        <f>E104+G104+H104</f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>I104-J104</f>
        <v>37</v>
      </c>
      <c r="L104" s="3" t="str">
        <f>IF(K104&lt;-5,"CRÍTICO",IF(K104&lt;0,"ATENÇÃO",IF(K104&lt;=5,"OPORTUNO","MUITO BOM")))</f>
        <v>MUITO BOM</v>
      </c>
      <c r="M104" s="3">
        <v>3</v>
      </c>
      <c r="N104" s="3">
        <v>100</v>
      </c>
      <c r="O104" s="12">
        <v>25</v>
      </c>
    </row>
    <row r="105" spans="1:15" hidden="1" x14ac:dyDescent="0.25">
      <c r="A105" s="10">
        <v>46105</v>
      </c>
      <c r="B105" t="s">
        <v>20</v>
      </c>
      <c r="C105" s="1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8</v>
      </c>
      <c r="K105" s="3">
        <f>I105-J105</f>
        <v>8</v>
      </c>
      <c r="L105" s="3" t="str">
        <f>IF(K105&lt;-5,"CRÍTICO",IF(K105&lt;0,"ATENÇÃO",IF(K105&lt;=5,"OPORTUNO","MUITO BOM")))</f>
        <v>MUITO BOM</v>
      </c>
      <c r="M105" s="3">
        <v>8</v>
      </c>
      <c r="N105" s="3">
        <v>95.83</v>
      </c>
      <c r="O105" s="12">
        <v>25.773195876288661</v>
      </c>
    </row>
    <row r="106" spans="1:15" hidden="1" x14ac:dyDescent="0.25">
      <c r="A106" s="10">
        <v>46105</v>
      </c>
      <c r="B106" t="s">
        <v>21</v>
      </c>
      <c r="C106" s="1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>E106+G106+H106</f>
        <v>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8</v>
      </c>
      <c r="K106" s="3">
        <f>I106-J106</f>
        <v>-5</v>
      </c>
      <c r="L106" s="3" t="str">
        <f>IF(K106&lt;-5,"CRÍTICO",IF(K106&lt;0,"ATENÇÃO",IF(K106&lt;=5,"OPORTUNO","MUITO BOM")))</f>
        <v>ATENÇÃO</v>
      </c>
      <c r="M106" s="3">
        <v>2</v>
      </c>
      <c r="N106" s="3">
        <v>100</v>
      </c>
      <c r="O106" s="12">
        <v>35</v>
      </c>
    </row>
    <row r="107" spans="1:15" hidden="1" x14ac:dyDescent="0.25">
      <c r="A107" s="10">
        <v>46141</v>
      </c>
      <c r="B107" t="s">
        <v>15</v>
      </c>
      <c r="C107" s="1" t="s">
        <v>16</v>
      </c>
      <c r="D107" s="3">
        <v>34</v>
      </c>
      <c r="E107" s="3">
        <v>31</v>
      </c>
      <c r="F107" s="3">
        <v>15.45</v>
      </c>
      <c r="G107" s="3">
        <v>0</v>
      </c>
      <c r="H107" s="3">
        <v>0</v>
      </c>
      <c r="I107" s="3">
        <f>E107+G107+H107</f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>I107-J107</f>
        <v>21</v>
      </c>
      <c r="L107" s="3" t="str">
        <f>IF(K107&lt;-5,"CRÍTICO",IF(K107&lt;0,"ATENÇÃO",IF(K107&lt;=5,"OPORTUNO","MUITO BOM")))</f>
        <v>MUITO BOM</v>
      </c>
      <c r="M107" s="3">
        <v>27</v>
      </c>
      <c r="N107" s="3">
        <v>96.74</v>
      </c>
      <c r="O107" s="12">
        <v>28.67647058823529</v>
      </c>
    </row>
    <row r="108" spans="1:15" hidden="1" x14ac:dyDescent="0.25">
      <c r="A108" s="10">
        <v>46141</v>
      </c>
      <c r="B108" t="s">
        <v>17</v>
      </c>
      <c r="C108" s="1" t="s">
        <v>16</v>
      </c>
      <c r="D108" s="3">
        <v>22</v>
      </c>
      <c r="E108" s="3">
        <v>17</v>
      </c>
      <c r="F108" s="3">
        <v>10.53</v>
      </c>
      <c r="G108" s="3">
        <v>0</v>
      </c>
      <c r="H108" s="3">
        <v>0</v>
      </c>
      <c r="I108" s="3">
        <f>E108+G108+H108</f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>I108-J108</f>
        <v>7</v>
      </c>
      <c r="L108" s="3" t="str">
        <f>IF(K108&lt;-5,"CRÍTICO",IF(K108&lt;0,"ATENÇÃO",IF(K108&lt;=5,"OPORTUNO","MUITO BOM")))</f>
        <v>MUITO BOM</v>
      </c>
      <c r="M108" s="3">
        <v>12</v>
      </c>
      <c r="N108" s="3">
        <v>100</v>
      </c>
      <c r="O108" s="12">
        <v>23.134328358208951</v>
      </c>
    </row>
    <row r="109" spans="1:15" hidden="1" x14ac:dyDescent="0.25">
      <c r="A109" s="10">
        <v>46141</v>
      </c>
      <c r="B109" t="s">
        <v>18</v>
      </c>
      <c r="C109" s="1" t="s">
        <v>16</v>
      </c>
      <c r="D109" s="3">
        <v>8</v>
      </c>
      <c r="E109" s="3">
        <v>8</v>
      </c>
      <c r="F109" s="3">
        <v>43.36</v>
      </c>
      <c r="G109" s="3">
        <v>0</v>
      </c>
      <c r="H109" s="3">
        <v>0</v>
      </c>
      <c r="I109" s="3">
        <f>E109+G109+H109</f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>I109-J109</f>
        <v>-2</v>
      </c>
      <c r="L109" s="3" t="str">
        <f>IF(K109&lt;-5,"CRÍTICO",IF(K109&lt;0,"ATENÇÃO",IF(K109&lt;=5,"OPORTUNO","MUITO BOM")))</f>
        <v>ATENÇÃO</v>
      </c>
      <c r="M109" s="3">
        <v>7</v>
      </c>
      <c r="N109" s="3">
        <v>100</v>
      </c>
      <c r="O109" s="12">
        <v>27.368421052631579</v>
      </c>
    </row>
    <row r="110" spans="1:15" hidden="1" x14ac:dyDescent="0.25">
      <c r="A110" s="10">
        <v>46028</v>
      </c>
      <c r="B110" t="s">
        <v>22</v>
      </c>
      <c r="C110" s="1" t="s">
        <v>23</v>
      </c>
      <c r="D110" s="3">
        <v>34</v>
      </c>
      <c r="E110" s="3">
        <v>33</v>
      </c>
      <c r="F110" s="3">
        <v>18.57</v>
      </c>
      <c r="G110" s="3">
        <v>0</v>
      </c>
      <c r="H110" s="3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>I110-J110</f>
        <v>16</v>
      </c>
      <c r="L110" s="3" t="str">
        <f>IF(K110&lt;-5,"CRÍTICO",IF(K110&lt;0,"ATENÇÃO",IF(K110&lt;=5,"BOM","EXCELENTE")))</f>
        <v>EXCELENTE</v>
      </c>
      <c r="M110" s="3">
        <v>30</v>
      </c>
      <c r="N110" s="3">
        <v>98.91</v>
      </c>
      <c r="O110" s="12">
        <v>31.367292225201069</v>
      </c>
    </row>
    <row r="111" spans="1:15" hidden="1" x14ac:dyDescent="0.25">
      <c r="A111" s="5">
        <v>46147</v>
      </c>
      <c r="B111" s="6" t="s">
        <v>33</v>
      </c>
      <c r="C111" s="1" t="s">
        <v>32</v>
      </c>
      <c r="D111" s="3">
        <v>30</v>
      </c>
      <c r="E111" s="3">
        <v>28</v>
      </c>
      <c r="F111" s="3">
        <v>18.41</v>
      </c>
      <c r="G111" s="3">
        <v>0</v>
      </c>
      <c r="H111" s="3">
        <v>0</v>
      </c>
      <c r="I111" s="3">
        <f>E111+G111+H111</f>
        <v>28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35</v>
      </c>
      <c r="K111" s="3">
        <f>I111-J111</f>
        <v>-7</v>
      </c>
      <c r="L111" s="3" t="str">
        <f>IF(K111&lt;-5,"CRÍTICO",IF(K111&lt;0,"ATENÇÃO",IF(K111&lt;=5,"OPORTUNO","MUITO BOM")))</f>
        <v>CRÍTICO</v>
      </c>
      <c r="M111" s="3">
        <v>26</v>
      </c>
      <c r="N111" s="3">
        <v>96.94</v>
      </c>
      <c r="O111" s="12">
        <v>19.613259668508292</v>
      </c>
    </row>
    <row r="112" spans="1:15" hidden="1" x14ac:dyDescent="0.25">
      <c r="A112" s="10">
        <v>46141</v>
      </c>
      <c r="B112" t="s">
        <v>19</v>
      </c>
      <c r="C112" s="1" t="s">
        <v>16</v>
      </c>
      <c r="D112" s="3">
        <v>69</v>
      </c>
      <c r="E112" s="3">
        <v>34</v>
      </c>
      <c r="F112" s="3">
        <v>3.49</v>
      </c>
      <c r="G112" s="3">
        <v>0</v>
      </c>
      <c r="H112" s="3">
        <v>0</v>
      </c>
      <c r="I112" s="3">
        <f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>I112-J112</f>
        <v>24</v>
      </c>
      <c r="L112" s="3" t="str">
        <f>IF(K112&lt;-5,"CRÍTICO",IF(K112&lt;0,"ATENÇÃO",IF(K112&lt;=5,"OPORTUNO","MUITO BOM")))</f>
        <v>MUITO BOM</v>
      </c>
      <c r="M112" s="3">
        <v>0</v>
      </c>
      <c r="N112" s="3">
        <v>100</v>
      </c>
      <c r="O112" s="12">
        <v>25</v>
      </c>
    </row>
    <row r="113" spans="1:15" hidden="1" x14ac:dyDescent="0.25">
      <c r="A113" s="10">
        <v>46106</v>
      </c>
      <c r="B113" t="s">
        <v>20</v>
      </c>
      <c r="C113" s="1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>E113+G113+H113</f>
        <v>13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7</v>
      </c>
      <c r="K113" s="3">
        <f>I113-J113</f>
        <v>6</v>
      </c>
      <c r="L113" s="3" t="str">
        <f>IF(K113&lt;-5,"CRÍTICO",IF(K113&lt;0,"ATENÇÃO",IF(K113&lt;=5,"OPORTUNO","MUITO BOM")))</f>
        <v>MUITO BOM</v>
      </c>
      <c r="M113" s="3">
        <v>9</v>
      </c>
      <c r="N113" s="3">
        <v>95.83</v>
      </c>
      <c r="O113" s="12">
        <v>25.773195876288661</v>
      </c>
    </row>
    <row r="114" spans="1:15" hidden="1" x14ac:dyDescent="0.25">
      <c r="A114" s="10">
        <v>46106</v>
      </c>
      <c r="B114" t="s">
        <v>21</v>
      </c>
      <c r="C114" s="1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>E114+G114+H114</f>
        <v>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7</v>
      </c>
      <c r="K114" s="3">
        <f>I114-J114</f>
        <v>-2</v>
      </c>
      <c r="L114" s="3" t="str">
        <f>IF(K114&lt;-5,"CRÍTICO",IF(K114&lt;0,"ATENÇÃO",IF(K114&lt;=5,"OPORTUNO","MUITO BOM")))</f>
        <v>ATENÇÃO</v>
      </c>
      <c r="M114" s="3">
        <v>3</v>
      </c>
      <c r="N114" s="3">
        <v>100</v>
      </c>
      <c r="O114" s="12">
        <v>35</v>
      </c>
    </row>
    <row r="115" spans="1:15" hidden="1" x14ac:dyDescent="0.25">
      <c r="A115" s="10">
        <v>46142</v>
      </c>
      <c r="B115" t="s">
        <v>15</v>
      </c>
      <c r="C115" s="1" t="s">
        <v>16</v>
      </c>
      <c r="D115" s="3">
        <v>34</v>
      </c>
      <c r="E115" s="3">
        <v>33</v>
      </c>
      <c r="F115" s="3">
        <v>14.16</v>
      </c>
      <c r="G115" s="3">
        <v>0</v>
      </c>
      <c r="H115" s="3">
        <v>0</v>
      </c>
      <c r="I115" s="3">
        <f>E115+G115+H115</f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>I115-J115</f>
        <v>24</v>
      </c>
      <c r="L115" s="3" t="str">
        <f>IF(K115&lt;-5,"CRÍTICO",IF(K115&lt;0,"ATENÇÃO",IF(K115&lt;=5,"OPORTUNO","MUITO BOM")))</f>
        <v>MUITO BOM</v>
      </c>
      <c r="M115" s="3">
        <v>33</v>
      </c>
      <c r="N115" s="3">
        <v>96.74</v>
      </c>
      <c r="O115" s="12">
        <v>28.67647058823529</v>
      </c>
    </row>
    <row r="116" spans="1:15" hidden="1" x14ac:dyDescent="0.25">
      <c r="A116" s="10">
        <v>46142</v>
      </c>
      <c r="B116" t="s">
        <v>17</v>
      </c>
      <c r="C116" s="1" t="s">
        <v>16</v>
      </c>
      <c r="D116" s="3">
        <v>6</v>
      </c>
      <c r="E116" s="3">
        <v>6</v>
      </c>
      <c r="F116" s="3">
        <v>28.42</v>
      </c>
      <c r="G116" s="3">
        <v>0</v>
      </c>
      <c r="H116" s="3">
        <v>0</v>
      </c>
      <c r="I116" s="3">
        <f>E116+G116+H116</f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>I116-J116</f>
        <v>-3</v>
      </c>
      <c r="L116" s="3" t="str">
        <f>IF(K116&lt;-5,"CRÍTICO",IF(K116&lt;0,"ATENÇÃO",IF(K116&lt;=5,"OPORTUNO","MUITO BOM")))</f>
        <v>ATENÇÃO</v>
      </c>
      <c r="M116" s="3">
        <v>5</v>
      </c>
      <c r="N116" s="3">
        <v>100</v>
      </c>
      <c r="O116" s="12">
        <v>23.134328358208951</v>
      </c>
    </row>
    <row r="117" spans="1:15" hidden="1" x14ac:dyDescent="0.25">
      <c r="A117" s="10">
        <v>46142</v>
      </c>
      <c r="B117" t="s">
        <v>18</v>
      </c>
      <c r="C117" s="1" t="s">
        <v>16</v>
      </c>
      <c r="D117" s="3">
        <v>32</v>
      </c>
      <c r="E117" s="3">
        <v>23</v>
      </c>
      <c r="F117" s="3">
        <v>4.1399999999999997</v>
      </c>
      <c r="G117" s="3">
        <v>0</v>
      </c>
      <c r="H117" s="3">
        <v>0</v>
      </c>
      <c r="I117" s="3">
        <f>E117+G117+H117</f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>I117-J117</f>
        <v>14</v>
      </c>
      <c r="L117" s="3" t="str">
        <f>IF(K117&lt;-5,"CRÍTICO",IF(K117&lt;0,"ATENÇÃO",IF(K117&lt;=5,"OPORTUNO","MUITO BOM")))</f>
        <v>MUITO BOM</v>
      </c>
      <c r="M117" s="3">
        <v>1</v>
      </c>
      <c r="N117" s="3">
        <v>100</v>
      </c>
      <c r="O117" s="12">
        <v>27.368421052631579</v>
      </c>
    </row>
    <row r="118" spans="1:15" hidden="1" x14ac:dyDescent="0.25">
      <c r="A118" s="10">
        <v>46142</v>
      </c>
      <c r="B118" t="s">
        <v>19</v>
      </c>
      <c r="C118" s="1" t="s">
        <v>16</v>
      </c>
      <c r="D118" s="3">
        <v>80</v>
      </c>
      <c r="E118" s="3">
        <v>46</v>
      </c>
      <c r="F118" s="3">
        <v>5.0599999999999996</v>
      </c>
      <c r="G118" s="3">
        <v>0</v>
      </c>
      <c r="H118" s="3">
        <v>0</v>
      </c>
      <c r="I118" s="3">
        <f>E118+G118+H118</f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>I118-J118</f>
        <v>37</v>
      </c>
      <c r="L118" s="3" t="str">
        <f>IF(K118&lt;-5,"CRÍTICO",IF(K118&lt;0,"ATENÇÃO",IF(K118&lt;=5,"OPORTUNO","MUITO BOM")))</f>
        <v>MUITO BOM</v>
      </c>
      <c r="M118" s="3">
        <v>0</v>
      </c>
      <c r="N118" s="3">
        <v>100</v>
      </c>
      <c r="O118" s="12">
        <v>25</v>
      </c>
    </row>
    <row r="119" spans="1:15" hidden="1" x14ac:dyDescent="0.25">
      <c r="A119" s="10">
        <v>46107</v>
      </c>
      <c r="B119" t="s">
        <v>20</v>
      </c>
      <c r="C119" s="1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>E119+G119+H119</f>
        <v>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8</v>
      </c>
      <c r="K119" s="3">
        <f>I119-J119</f>
        <v>-1</v>
      </c>
      <c r="L119" s="3" t="str">
        <f>IF(K119&lt;-5,"CRÍTICO",IF(K119&lt;0,"ATENÇÃO",IF(K119&lt;=5,"OPORTUNO","MUITO BOM")))</f>
        <v>ATENÇÃO</v>
      </c>
      <c r="M119" s="3">
        <v>4</v>
      </c>
      <c r="N119" s="3">
        <v>95.83</v>
      </c>
      <c r="O119" s="12">
        <v>25.773195876288661</v>
      </c>
    </row>
    <row r="120" spans="1:15" hidden="1" x14ac:dyDescent="0.25">
      <c r="A120" s="10">
        <v>46107</v>
      </c>
      <c r="B120" t="s">
        <v>21</v>
      </c>
      <c r="C120" s="1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>E120+G120+H120</f>
        <v>5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8</v>
      </c>
      <c r="K120" s="3">
        <f>I120-J120</f>
        <v>-3</v>
      </c>
      <c r="L120" s="3" t="str">
        <f>IF(K120&lt;-5,"CRÍTICO",IF(K120&lt;0,"ATENÇÃO",IF(K120&lt;=5,"OPORTUNO","MUITO BOM")))</f>
        <v>ATENÇÃO</v>
      </c>
      <c r="M120" s="3">
        <v>4</v>
      </c>
      <c r="N120" s="3">
        <v>100</v>
      </c>
      <c r="O120" s="12">
        <v>35</v>
      </c>
    </row>
    <row r="121" spans="1:15" hidden="1" x14ac:dyDescent="0.25">
      <c r="A121" s="5">
        <v>46147</v>
      </c>
      <c r="B121" s="6" t="s">
        <v>34</v>
      </c>
      <c r="C121" s="1" t="s">
        <v>32</v>
      </c>
      <c r="D121" s="3">
        <v>46</v>
      </c>
      <c r="E121" s="3">
        <v>39</v>
      </c>
      <c r="F121" s="3">
        <v>10.45</v>
      </c>
      <c r="G121" s="3">
        <v>8</v>
      </c>
      <c r="H121" s="3">
        <v>0</v>
      </c>
      <c r="I121" s="3">
        <f>E121+G121+H121</f>
        <v>47</v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>35</v>
      </c>
      <c r="K121" s="3">
        <f>I121-J121</f>
        <v>12</v>
      </c>
      <c r="L121" s="3" t="str">
        <f>IF(K121&lt;-5,"CRÍTICO",IF(K121&lt;0,"ATENÇÃO",IF(K121&lt;=5,"OPORTUNO","MUITO BOM")))</f>
        <v>MUITO BOM</v>
      </c>
      <c r="M121" s="3">
        <v>46</v>
      </c>
      <c r="N121" s="3">
        <v>92.81</v>
      </c>
      <c r="O121" s="12">
        <v>25.477707006369432</v>
      </c>
    </row>
    <row r="122" spans="1:15" hidden="1" x14ac:dyDescent="0.25">
      <c r="A122" s="5">
        <v>46147</v>
      </c>
      <c r="B122" s="6" t="s">
        <v>35</v>
      </c>
      <c r="C122" s="1" t="s">
        <v>32</v>
      </c>
      <c r="D122" s="3">
        <v>27</v>
      </c>
      <c r="E122" s="3">
        <v>27</v>
      </c>
      <c r="F122" s="3">
        <v>24.15</v>
      </c>
      <c r="G122" s="3">
        <v>0</v>
      </c>
      <c r="H122" s="3">
        <v>0</v>
      </c>
      <c r="I122" s="3">
        <f>E122+G122+H122</f>
        <v>27</v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>35</v>
      </c>
      <c r="K122" s="3">
        <f>I122-J122</f>
        <v>-8</v>
      </c>
      <c r="L122" s="3" t="str">
        <f>IF(K122&lt;-5,"CRÍTICO",IF(K122&lt;0,"ATENÇÃO",IF(K122&lt;=5,"OPORTUNO","MUITO BOM")))</f>
        <v>CRÍTICO</v>
      </c>
      <c r="M122" s="3">
        <v>28</v>
      </c>
      <c r="N122" s="3">
        <v>99.19</v>
      </c>
      <c r="O122" s="12">
        <v>28.404669260700391</v>
      </c>
    </row>
    <row r="123" spans="1:15" hidden="1" x14ac:dyDescent="0.25">
      <c r="A123" s="5">
        <v>46147</v>
      </c>
      <c r="B123" s="6" t="s">
        <v>36</v>
      </c>
      <c r="C123" s="1" t="s">
        <v>32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f>E123+G123+H123</f>
        <v>0</v>
      </c>
      <c r="J123" s="3">
        <v>0</v>
      </c>
      <c r="K123" s="3">
        <f>I123-J123</f>
        <v>0</v>
      </c>
      <c r="L123" s="3" t="str">
        <f>IF(K123&lt;-5,"CRÍTICO",IF(K123&lt;0,"ATENÇÃO",IF(K123&lt;=5,"OPORTUNO","MUITO BOM")))</f>
        <v>OPORTUNO</v>
      </c>
      <c r="M123" s="3">
        <v>0</v>
      </c>
      <c r="N123" s="3">
        <v>100</v>
      </c>
      <c r="O123" s="12">
        <v>13.51351351351351</v>
      </c>
    </row>
    <row r="124" spans="1:15" hidden="1" x14ac:dyDescent="0.25">
      <c r="A124" s="10">
        <v>46108</v>
      </c>
      <c r="B124" t="s">
        <v>20</v>
      </c>
      <c r="C124" s="1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12">
        <v>25.773195876288661</v>
      </c>
    </row>
    <row r="125" spans="1:15" hidden="1" x14ac:dyDescent="0.25">
      <c r="A125" s="10">
        <v>46108</v>
      </c>
      <c r="B125" t="s">
        <v>21</v>
      </c>
      <c r="C125" s="1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 s="3">
        <v>4</v>
      </c>
      <c r="N125" s="3">
        <v>100</v>
      </c>
      <c r="O125" s="12">
        <v>35</v>
      </c>
    </row>
    <row r="126" spans="1:15" hidden="1" x14ac:dyDescent="0.25">
      <c r="A126" s="5">
        <v>46147</v>
      </c>
      <c r="B126" s="6" t="s">
        <v>37</v>
      </c>
      <c r="C126" s="1" t="s">
        <v>32</v>
      </c>
      <c r="D126" s="3">
        <v>40</v>
      </c>
      <c r="E126" s="3">
        <v>40</v>
      </c>
      <c r="F126" s="3">
        <v>15.42</v>
      </c>
      <c r="G126" s="3">
        <v>2</v>
      </c>
      <c r="H126" s="3">
        <v>0</v>
      </c>
      <c r="I126" s="3">
        <f>E126+G126+H126</f>
        <v>42</v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>35</v>
      </c>
      <c r="K126" s="3">
        <f>I126-J126</f>
        <v>7</v>
      </c>
      <c r="L126" s="3" t="str">
        <f>IF(K126&lt;-5,"CRÍTICO",IF(K126&lt;0,"ATENÇÃO",IF(K126&lt;=5,"OPORTUNO","MUITO BOM")))</f>
        <v>MUITO BOM</v>
      </c>
      <c r="M126" s="3">
        <v>40</v>
      </c>
      <c r="N126" s="3">
        <v>99</v>
      </c>
      <c r="O126" s="12">
        <v>22.27414330218069</v>
      </c>
    </row>
    <row r="127" spans="1:15" hidden="1" x14ac:dyDescent="0.25">
      <c r="A127" s="5">
        <v>46147</v>
      </c>
      <c r="B127" s="6" t="s">
        <v>38</v>
      </c>
      <c r="C127" s="1" t="s">
        <v>32</v>
      </c>
      <c r="D127" s="3">
        <v>42</v>
      </c>
      <c r="E127" s="3">
        <v>41</v>
      </c>
      <c r="F127" s="3">
        <v>13.26</v>
      </c>
      <c r="G127" s="3">
        <v>2</v>
      </c>
      <c r="H127" s="3">
        <v>0</v>
      </c>
      <c r="I127" s="3">
        <f>E127+G127+H127</f>
        <v>43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35</v>
      </c>
      <c r="K127" s="3">
        <f>I127-J127</f>
        <v>8</v>
      </c>
      <c r="L127" s="3" t="str">
        <f>IF(K127&lt;-5,"CRÍTICO",IF(K127&lt;0,"ATENÇÃO",IF(K127&lt;=5,"OPORTUNO","MUITO BOM")))</f>
        <v>MUITO BOM</v>
      </c>
      <c r="M127" s="3">
        <v>41</v>
      </c>
      <c r="N127" s="3">
        <v>97.04</v>
      </c>
      <c r="O127" s="12">
        <v>29.828850855745721</v>
      </c>
    </row>
    <row r="128" spans="1:15" hidden="1" x14ac:dyDescent="0.25">
      <c r="A128" s="5">
        <v>46147</v>
      </c>
      <c r="B128" s="6" t="s">
        <v>39</v>
      </c>
      <c r="C128" s="1" t="s">
        <v>32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f>E128+G128+H128</f>
        <v>0</v>
      </c>
      <c r="J128" s="3">
        <v>0</v>
      </c>
      <c r="K128" s="3">
        <f>I128-J128</f>
        <v>0</v>
      </c>
      <c r="L128" s="3" t="str">
        <f>IF(K128&lt;-5,"CRÍTICO",IF(K128&lt;0,"ATENÇÃO",IF(K128&lt;=5,"OPORTUNO","MUITO BOM")))</f>
        <v>OPORTUNO</v>
      </c>
      <c r="M128" s="3">
        <v>0</v>
      </c>
      <c r="N128" s="3">
        <v>0</v>
      </c>
      <c r="O128" s="12">
        <v>0</v>
      </c>
    </row>
    <row r="129" spans="1:15" hidden="1" x14ac:dyDescent="0.25">
      <c r="A129" s="5">
        <v>46147</v>
      </c>
      <c r="B129" s="6" t="s">
        <v>40</v>
      </c>
      <c r="C129" s="1" t="s">
        <v>32</v>
      </c>
      <c r="D129" s="3">
        <v>26</v>
      </c>
      <c r="E129" s="3">
        <v>26</v>
      </c>
      <c r="F129" s="3">
        <v>18.420000000000002</v>
      </c>
      <c r="G129" s="3">
        <v>1</v>
      </c>
      <c r="H129" s="3">
        <v>0</v>
      </c>
      <c r="I129" s="3">
        <f>E129+G129+H129</f>
        <v>27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35</v>
      </c>
      <c r="K129" s="3">
        <f>I129-J129</f>
        <v>-8</v>
      </c>
      <c r="L129" s="3" t="str">
        <f>IF(K129&lt;-5,"CRÍTICO",IF(K129&lt;0,"ATENÇÃO",IF(K129&lt;=5,"OPORTUNO","MUITO BOM")))</f>
        <v>CRÍTICO</v>
      </c>
      <c r="M129" s="3">
        <v>22</v>
      </c>
      <c r="N129" s="3">
        <v>96.84</v>
      </c>
      <c r="O129" s="12">
        <v>16.338028169014081</v>
      </c>
    </row>
    <row r="130" spans="1:15" hidden="1" x14ac:dyDescent="0.25">
      <c r="A130" s="5">
        <v>46147</v>
      </c>
      <c r="B130" s="6" t="s">
        <v>41</v>
      </c>
      <c r="C130" s="1" t="s">
        <v>32</v>
      </c>
      <c r="D130" s="3">
        <v>29</v>
      </c>
      <c r="E130" s="3">
        <v>25</v>
      </c>
      <c r="F130" s="3">
        <v>16.399999999999999</v>
      </c>
      <c r="G130" s="3">
        <v>0</v>
      </c>
      <c r="H130" s="3">
        <v>0</v>
      </c>
      <c r="I130" s="3">
        <f>E130+G130+H130</f>
        <v>25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35</v>
      </c>
      <c r="K130" s="3">
        <f>I130-J130</f>
        <v>-10</v>
      </c>
      <c r="L130" s="3" t="str">
        <f>IF(K130&lt;-5,"CRÍTICO",IF(K130&lt;0,"ATENÇÃO",IF(K130&lt;=5,"OPORTUNO","MUITO BOM")))</f>
        <v>CRÍTICO</v>
      </c>
      <c r="M130" s="3">
        <v>32</v>
      </c>
      <c r="N130" s="3">
        <v>100</v>
      </c>
      <c r="O130" s="12">
        <v>18.244803695150122</v>
      </c>
    </row>
    <row r="131" spans="1:15" hidden="1" x14ac:dyDescent="0.25">
      <c r="A131" s="5">
        <v>46147</v>
      </c>
      <c r="B131" s="6" t="s">
        <v>42</v>
      </c>
      <c r="C131" s="1" t="s">
        <v>32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f>E131+G131+H131</f>
        <v>0</v>
      </c>
      <c r="J131" s="3">
        <v>0</v>
      </c>
      <c r="K131" s="3">
        <f>I131-J131</f>
        <v>0</v>
      </c>
      <c r="L131" s="3" t="str">
        <f>IF(K131&lt;-5,"CRÍTICO",IF(K131&lt;0,"ATENÇÃO",IF(K131&lt;=5,"OPORTUNO","MUITO BOM")))</f>
        <v>OPORTUNO</v>
      </c>
      <c r="M131" s="3">
        <v>0</v>
      </c>
      <c r="N131" s="3">
        <v>100</v>
      </c>
      <c r="O131" s="12">
        <v>15.789473684210529</v>
      </c>
    </row>
    <row r="132" spans="1:15" hidden="1" x14ac:dyDescent="0.25">
      <c r="A132" s="5">
        <v>46147</v>
      </c>
      <c r="B132" s="6" t="s">
        <v>44</v>
      </c>
      <c r="C132" s="1" t="s">
        <v>32</v>
      </c>
      <c r="D132" s="3">
        <v>32</v>
      </c>
      <c r="E132" s="3">
        <v>30</v>
      </c>
      <c r="F132" s="3">
        <v>15.03</v>
      </c>
      <c r="G132" s="3">
        <v>10</v>
      </c>
      <c r="H132" s="3">
        <v>0</v>
      </c>
      <c r="I132" s="3">
        <f>E132+G132+H132</f>
        <v>40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35</v>
      </c>
      <c r="K132" s="3">
        <f>I132-J132</f>
        <v>5</v>
      </c>
      <c r="L132" s="3" t="str">
        <f>IF(K132&lt;-5,"CRÍTICO",IF(K132&lt;0,"ATENÇÃO",IF(K132&lt;=5,"OPORTUNO","MUITO BOM")))</f>
        <v>OPORTUNO</v>
      </c>
      <c r="M132" s="3">
        <v>37</v>
      </c>
      <c r="N132" s="3">
        <v>96.38</v>
      </c>
      <c r="O132" s="12">
        <v>23.198198198198199</v>
      </c>
    </row>
    <row r="133" spans="1:15" hidden="1" x14ac:dyDescent="0.25">
      <c r="A133" s="5">
        <v>46147</v>
      </c>
      <c r="B133" s="6" t="s">
        <v>45</v>
      </c>
      <c r="C133" s="1" t="s">
        <v>32</v>
      </c>
      <c r="D133" s="3">
        <v>49</v>
      </c>
      <c r="E133" s="3">
        <v>45</v>
      </c>
      <c r="F133" s="3">
        <v>10.46</v>
      </c>
      <c r="G133" s="3">
        <v>9</v>
      </c>
      <c r="H133" s="3">
        <v>0</v>
      </c>
      <c r="I133" s="3">
        <f>E133+G133+H133</f>
        <v>54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35</v>
      </c>
      <c r="K133" s="3">
        <f>I133-J133</f>
        <v>19</v>
      </c>
      <c r="L133" s="3" t="str">
        <f>IF(K133&lt;-5,"CRÍTICO",IF(K133&lt;0,"ATENÇÃO",IF(K133&lt;=5,"OPORTUNO","MUITO BOM")))</f>
        <v>MUITO BOM</v>
      </c>
      <c r="M133" s="3">
        <v>49</v>
      </c>
      <c r="N133" s="3">
        <v>99.39</v>
      </c>
      <c r="O133" s="12">
        <v>25.203252032520329</v>
      </c>
    </row>
    <row r="134" spans="1:15" hidden="1" x14ac:dyDescent="0.25">
      <c r="A134" s="5">
        <v>46147</v>
      </c>
      <c r="B134" s="6" t="s">
        <v>46</v>
      </c>
      <c r="C134" s="1" t="s">
        <v>32</v>
      </c>
      <c r="D134" s="3">
        <v>33</v>
      </c>
      <c r="E134" s="3">
        <v>32</v>
      </c>
      <c r="F134" s="3">
        <v>15.31</v>
      </c>
      <c r="G134" s="3">
        <v>0</v>
      </c>
      <c r="H134" s="3">
        <v>0</v>
      </c>
      <c r="I134" s="3">
        <f>E134+G134+H134</f>
        <v>32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35</v>
      </c>
      <c r="K134" s="3">
        <f>I134-J134</f>
        <v>-3</v>
      </c>
      <c r="L134" s="3" t="str">
        <f>IF(K134&lt;-5,"CRÍTICO",IF(K134&lt;0,"ATENÇÃO",IF(K134&lt;=5,"OPORTUNO","MUITO BOM")))</f>
        <v>ATENÇÃO</v>
      </c>
      <c r="M134" s="3">
        <v>28</v>
      </c>
      <c r="N134" s="3">
        <v>97</v>
      </c>
      <c r="O134" s="12">
        <v>20.325203252032519</v>
      </c>
    </row>
    <row r="135" spans="1:15" hidden="1" x14ac:dyDescent="0.25">
      <c r="A135" s="5">
        <v>46147</v>
      </c>
      <c r="B135" s="6" t="s">
        <v>47</v>
      </c>
      <c r="C135" s="1" t="s">
        <v>48</v>
      </c>
      <c r="D135" s="3">
        <v>42</v>
      </c>
      <c r="E135" s="3">
        <v>37</v>
      </c>
      <c r="F135" s="3">
        <v>12.29</v>
      </c>
      <c r="G135" s="3">
        <v>4</v>
      </c>
      <c r="H135" s="3">
        <v>0</v>
      </c>
      <c r="I135" s="3">
        <f>E135+G135+H135</f>
        <v>41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28</v>
      </c>
      <c r="K135" s="3">
        <f>I135-J135</f>
        <v>13</v>
      </c>
      <c r="L135" s="3" t="str">
        <f>IF(K135&lt;-5,"CRÍTICO",IF(K135&lt;0,"ATENÇÃO",IF(K135&lt;=5,"OPORTUNO","MUITO BOM")))</f>
        <v>MUITO BOM</v>
      </c>
      <c r="M135" s="3">
        <v>32</v>
      </c>
      <c r="N135" s="3">
        <v>99.18</v>
      </c>
      <c r="O135" s="12">
        <v>24.501424501424498</v>
      </c>
    </row>
    <row r="136" spans="1:15" hidden="1" x14ac:dyDescent="0.25">
      <c r="A136" s="5">
        <v>46147</v>
      </c>
      <c r="B136" s="6" t="s">
        <v>49</v>
      </c>
      <c r="C136" s="1" t="s">
        <v>48</v>
      </c>
      <c r="D136" s="3">
        <v>45</v>
      </c>
      <c r="E136" s="3">
        <v>37</v>
      </c>
      <c r="F136" s="3">
        <v>13.52</v>
      </c>
      <c r="G136" s="3">
        <v>6</v>
      </c>
      <c r="H136" s="3">
        <v>0</v>
      </c>
      <c r="I136" s="3">
        <f>E136+G136+H136</f>
        <v>43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28</v>
      </c>
      <c r="K136" s="3">
        <f>I136-J136</f>
        <v>15</v>
      </c>
      <c r="L136" s="3" t="str">
        <f>IF(K136&lt;-5,"CRÍTICO",IF(K136&lt;0,"ATENÇÃO",IF(K136&lt;=5,"OPORTUNO","MUITO BOM")))</f>
        <v>MUITO BOM</v>
      </c>
      <c r="M136" s="3">
        <v>43</v>
      </c>
      <c r="N136" s="3">
        <v>99.35</v>
      </c>
      <c r="O136" s="12">
        <v>19.852941176470591</v>
      </c>
    </row>
    <row r="137" spans="1:15" hidden="1" x14ac:dyDescent="0.25">
      <c r="A137" s="5">
        <v>46147</v>
      </c>
      <c r="B137" s="6" t="s">
        <v>50</v>
      </c>
      <c r="C137" s="1" t="s">
        <v>48</v>
      </c>
      <c r="D137" s="3">
        <v>19</v>
      </c>
      <c r="E137" s="3">
        <v>18</v>
      </c>
      <c r="F137" s="3">
        <v>26.46</v>
      </c>
      <c r="G137" s="3">
        <v>9</v>
      </c>
      <c r="H137" s="3">
        <v>0</v>
      </c>
      <c r="I137" s="3">
        <f>E137+G137+H137</f>
        <v>27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28</v>
      </c>
      <c r="K137" s="3">
        <f>I137-J137</f>
        <v>-1</v>
      </c>
      <c r="L137" s="3" t="str">
        <f>IF(K137&lt;-5,"CRÍTICO",IF(K137&lt;0,"ATENÇÃO",IF(K137&lt;=5,"OPORTUNO","MUITO BOM")))</f>
        <v>ATENÇÃO</v>
      </c>
      <c r="M137" s="3">
        <v>27</v>
      </c>
      <c r="N137" s="3">
        <v>99.07</v>
      </c>
      <c r="O137" s="12">
        <v>20.098039215686271</v>
      </c>
    </row>
    <row r="138" spans="1:15" hidden="1" x14ac:dyDescent="0.25">
      <c r="A138" s="5">
        <v>46147</v>
      </c>
      <c r="B138" s="6" t="s">
        <v>51</v>
      </c>
      <c r="C138" s="1" t="s">
        <v>48</v>
      </c>
      <c r="D138" s="3">
        <v>23</v>
      </c>
      <c r="E138" s="3">
        <v>21</v>
      </c>
      <c r="F138" s="3">
        <v>19.190000000000001</v>
      </c>
      <c r="G138" s="3">
        <v>0</v>
      </c>
      <c r="H138" s="3">
        <v>0</v>
      </c>
      <c r="I138" s="3">
        <f>E138+G138+H138</f>
        <v>21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28</v>
      </c>
      <c r="K138" s="3">
        <f>I138-J138</f>
        <v>-7</v>
      </c>
      <c r="L138" s="3" t="str">
        <f>IF(K138&lt;-5,"CRÍTICO",IF(K138&lt;0,"ATENÇÃO",IF(K138&lt;=5,"OPORTUNO","MUITO BOM")))</f>
        <v>CRÍTICO</v>
      </c>
      <c r="M138" s="3">
        <v>26</v>
      </c>
      <c r="N138" s="3">
        <v>98.81</v>
      </c>
      <c r="O138" s="12">
        <v>22.767857142857139</v>
      </c>
    </row>
    <row r="139" spans="1:15" hidden="1" x14ac:dyDescent="0.25">
      <c r="A139" s="5">
        <v>46147</v>
      </c>
      <c r="B139" s="6" t="s">
        <v>52</v>
      </c>
      <c r="C139" s="1" t="s">
        <v>48</v>
      </c>
      <c r="D139" s="3">
        <v>34</v>
      </c>
      <c r="E139" s="3">
        <v>31</v>
      </c>
      <c r="F139" s="3">
        <v>14.15</v>
      </c>
      <c r="G139" s="3">
        <v>3</v>
      </c>
      <c r="H139" s="3">
        <v>0</v>
      </c>
      <c r="I139" s="3">
        <f>E139+G139+H139</f>
        <v>34</v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>28</v>
      </c>
      <c r="K139" s="3">
        <f>I139-J139</f>
        <v>6</v>
      </c>
      <c r="L139" s="3" t="str">
        <f>IF(K139&lt;-5,"CRÍTICO",IF(K139&lt;0,"ATENÇÃO",IF(K139&lt;=5,"OPORTUNO","MUITO BOM")))</f>
        <v>MUITO BOM</v>
      </c>
      <c r="M139" s="3">
        <v>31</v>
      </c>
      <c r="N139" s="3">
        <v>99.01</v>
      </c>
      <c r="O139" s="12">
        <v>17.766497461928939</v>
      </c>
    </row>
    <row r="140" spans="1:15" hidden="1" x14ac:dyDescent="0.25">
      <c r="A140" s="5">
        <v>46147</v>
      </c>
      <c r="B140" s="6" t="s">
        <v>53</v>
      </c>
      <c r="C140" s="1" t="s">
        <v>48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f>E140+G140+H140</f>
        <v>0</v>
      </c>
      <c r="J140" s="3">
        <v>0</v>
      </c>
      <c r="K140" s="3">
        <f>I140-J140</f>
        <v>0</v>
      </c>
      <c r="L140" s="3" t="str">
        <f>IF(K140&lt;-5,"CRÍTICO",IF(K140&lt;0,"ATENÇÃO",IF(K140&lt;=5,"OPORTUNO","MUITO BOM")))</f>
        <v>OPORTUNO</v>
      </c>
      <c r="M140" s="3">
        <v>0</v>
      </c>
      <c r="N140" s="3">
        <v>100</v>
      </c>
      <c r="O140" s="12">
        <v>17.241379310344829</v>
      </c>
    </row>
    <row r="141" spans="1:15" hidden="1" x14ac:dyDescent="0.25">
      <c r="A141" s="5">
        <v>46147</v>
      </c>
      <c r="B141" s="6" t="s">
        <v>54</v>
      </c>
      <c r="C141" s="1" t="s">
        <v>48</v>
      </c>
      <c r="D141" s="3">
        <v>26</v>
      </c>
      <c r="E141" s="3">
        <v>26</v>
      </c>
      <c r="F141" s="3">
        <v>20.010000000000002</v>
      </c>
      <c r="G141" s="3">
        <v>1</v>
      </c>
      <c r="H141" s="3">
        <v>0</v>
      </c>
      <c r="I141" s="3">
        <f>E141+G141+H141</f>
        <v>27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28</v>
      </c>
      <c r="K141" s="3">
        <f>I141-J141</f>
        <v>-1</v>
      </c>
      <c r="L141" s="3" t="str">
        <f>IF(K141&lt;-5,"CRÍTICO",IF(K141&lt;0,"ATENÇÃO",IF(K141&lt;=5,"OPORTUNO","MUITO BOM")))</f>
        <v>ATENÇÃO</v>
      </c>
      <c r="M141" s="3">
        <v>31</v>
      </c>
      <c r="N141" s="3">
        <v>98.98</v>
      </c>
      <c r="O141" s="12">
        <v>19.35483870967742</v>
      </c>
    </row>
    <row r="142" spans="1:15" hidden="1" x14ac:dyDescent="0.25">
      <c r="A142" s="5">
        <v>46147</v>
      </c>
      <c r="B142" s="6" t="s">
        <v>55</v>
      </c>
      <c r="C142" s="1" t="s">
        <v>48</v>
      </c>
      <c r="D142" s="3">
        <v>39</v>
      </c>
      <c r="E142" s="3">
        <v>30</v>
      </c>
      <c r="F142" s="3">
        <v>14.13</v>
      </c>
      <c r="G142" s="3">
        <v>0</v>
      </c>
      <c r="H142" s="3">
        <v>0</v>
      </c>
      <c r="I142" s="3">
        <f>E142+G142+H142</f>
        <v>30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28</v>
      </c>
      <c r="K142" s="3">
        <f>I142-J142</f>
        <v>2</v>
      </c>
      <c r="L142" s="3" t="str">
        <f>IF(K142&lt;-5,"CRÍTICO",IF(K142&lt;0,"ATENÇÃO",IF(K142&lt;=5,"OPORTUNO","MUITO BOM")))</f>
        <v>OPORTUNO</v>
      </c>
      <c r="M142" s="3">
        <v>30</v>
      </c>
      <c r="N142" s="3">
        <v>98.94</v>
      </c>
      <c r="O142" s="12">
        <v>21.270718232044199</v>
      </c>
    </row>
    <row r="143" spans="1:15" hidden="1" x14ac:dyDescent="0.25">
      <c r="A143" s="5">
        <v>46147</v>
      </c>
      <c r="B143" s="6" t="s">
        <v>56</v>
      </c>
      <c r="C143" s="1" t="s">
        <v>48</v>
      </c>
      <c r="D143" s="3">
        <v>18</v>
      </c>
      <c r="E143" s="3">
        <v>18</v>
      </c>
      <c r="F143" s="3">
        <v>18.28</v>
      </c>
      <c r="G143" s="3">
        <v>4</v>
      </c>
      <c r="H143" s="3">
        <v>0</v>
      </c>
      <c r="I143" s="3">
        <f>E143+G143+H143</f>
        <v>22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28</v>
      </c>
      <c r="K143" s="3">
        <f>I143-J143</f>
        <v>-6</v>
      </c>
      <c r="L143" s="3" t="str">
        <f>IF(K143&lt;-5,"CRÍTICO",IF(K143&lt;0,"ATENÇÃO",IF(K143&lt;=5,"OPORTUNO","MUITO BOM")))</f>
        <v>CRÍTICO</v>
      </c>
      <c r="M143" s="3">
        <v>25</v>
      </c>
      <c r="N143" s="3">
        <v>99</v>
      </c>
      <c r="O143" s="12">
        <v>22.010869565217391</v>
      </c>
    </row>
    <row r="144" spans="1:15" hidden="1" x14ac:dyDescent="0.25">
      <c r="A144" s="5">
        <v>46147</v>
      </c>
      <c r="B144" s="6" t="s">
        <v>57</v>
      </c>
      <c r="C144" s="1" t="s">
        <v>48</v>
      </c>
      <c r="D144" s="3">
        <v>37</v>
      </c>
      <c r="E144" s="3">
        <v>35</v>
      </c>
      <c r="F144" s="3">
        <v>15.27</v>
      </c>
      <c r="G144" s="3">
        <v>0</v>
      </c>
      <c r="H144" s="3">
        <v>0</v>
      </c>
      <c r="I144" s="3">
        <f>E144+G144+H144</f>
        <v>35</v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>28</v>
      </c>
      <c r="K144" s="3">
        <f>I144-J144</f>
        <v>7</v>
      </c>
      <c r="L144" s="3" t="str">
        <f>IF(K144&lt;-5,"CRÍTICO",IF(K144&lt;0,"ATENÇÃO",IF(K144&lt;=5,"OPORTUNO","MUITO BOM")))</f>
        <v>MUITO BOM</v>
      </c>
      <c r="M144" s="3">
        <v>37</v>
      </c>
      <c r="N144" s="3">
        <v>100</v>
      </c>
      <c r="O144" s="12">
        <v>25</v>
      </c>
    </row>
    <row r="145" spans="1:15" hidden="1" x14ac:dyDescent="0.25">
      <c r="A145" s="5">
        <v>46147</v>
      </c>
      <c r="B145" s="6" t="s">
        <v>58</v>
      </c>
      <c r="C145" s="1" t="s">
        <v>48</v>
      </c>
      <c r="D145" s="3">
        <v>27</v>
      </c>
      <c r="E145" s="3">
        <v>25</v>
      </c>
      <c r="F145" s="3">
        <v>17.39</v>
      </c>
      <c r="G145" s="3">
        <v>0</v>
      </c>
      <c r="H145" s="3">
        <v>0</v>
      </c>
      <c r="I145" s="3">
        <f>E145+G145+H145</f>
        <v>25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28</v>
      </c>
      <c r="K145" s="3">
        <f>I145-J145</f>
        <v>-3</v>
      </c>
      <c r="L145" s="3" t="str">
        <f>IF(K145&lt;-5,"CRÍTICO",IF(K145&lt;0,"ATENÇÃO",IF(K145&lt;=5,"OPORTUNO","MUITO BOM")))</f>
        <v>ATENÇÃO</v>
      </c>
      <c r="M145" s="3">
        <v>21</v>
      </c>
      <c r="N145" s="3">
        <v>100</v>
      </c>
      <c r="O145" s="12">
        <v>20.183486238532112</v>
      </c>
    </row>
    <row r="146" spans="1:15" hidden="1" x14ac:dyDescent="0.25">
      <c r="A146" s="5">
        <v>46147</v>
      </c>
      <c r="B146" t="s">
        <v>59</v>
      </c>
      <c r="C146" s="1" t="s">
        <v>23</v>
      </c>
      <c r="D146" s="3">
        <v>30</v>
      </c>
      <c r="E146" s="3">
        <v>30</v>
      </c>
      <c r="F146" s="3">
        <v>17.010000000000002</v>
      </c>
      <c r="G146" s="3">
        <v>7</v>
      </c>
      <c r="H146" s="3">
        <v>0</v>
      </c>
      <c r="I146" s="3">
        <f>E146+G146+H146</f>
        <v>37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23</v>
      </c>
      <c r="K146" s="3">
        <f>I146-J146</f>
        <v>14</v>
      </c>
      <c r="L146" s="3" t="str">
        <f>IF(K146&lt;-5,"CRÍTICO",IF(K146&lt;0,"ATENÇÃO",IF(K146&lt;=5,"OPORTUNO","MUITO BOM")))</f>
        <v>MUITO BOM</v>
      </c>
      <c r="M146" s="3">
        <v>36</v>
      </c>
      <c r="N146" s="3">
        <v>96.25</v>
      </c>
      <c r="O146" s="12">
        <v>25.586353944562902</v>
      </c>
    </row>
    <row r="147" spans="1:15" hidden="1" x14ac:dyDescent="0.25">
      <c r="A147" s="5">
        <v>46147</v>
      </c>
      <c r="B147" s="6" t="s">
        <v>60</v>
      </c>
      <c r="C147" s="1" t="s">
        <v>23</v>
      </c>
      <c r="D147" s="3">
        <v>122</v>
      </c>
      <c r="E147" s="3">
        <v>28</v>
      </c>
      <c r="F147" s="3">
        <v>3.47</v>
      </c>
      <c r="G147" s="3">
        <v>1</v>
      </c>
      <c r="H147" s="3">
        <v>0</v>
      </c>
      <c r="I147" s="3">
        <f>E147+G147+H147</f>
        <v>29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23</v>
      </c>
      <c r="K147" s="3">
        <f>I147-J147</f>
        <v>6</v>
      </c>
      <c r="L147" s="3" t="str">
        <f>IF(K147&lt;-5,"CRÍTICO",IF(K147&lt;0,"ATENÇÃO",IF(K147&lt;=5,"OPORTUNO","MUITO BOM")))</f>
        <v>MUITO BOM</v>
      </c>
      <c r="M147" s="3">
        <v>16</v>
      </c>
      <c r="N147" s="3">
        <v>97.48</v>
      </c>
      <c r="O147" s="12">
        <v>22.99465240641711</v>
      </c>
    </row>
    <row r="148" spans="1:15" hidden="1" x14ac:dyDescent="0.25">
      <c r="A148" s="5">
        <v>46147</v>
      </c>
      <c r="B148" s="6" t="s">
        <v>61</v>
      </c>
      <c r="C148" s="1" t="s">
        <v>23</v>
      </c>
      <c r="D148" s="3">
        <v>12</v>
      </c>
      <c r="E148" s="3">
        <v>12</v>
      </c>
      <c r="F148" s="3">
        <v>28.25</v>
      </c>
      <c r="G148" s="3">
        <v>10</v>
      </c>
      <c r="H148" s="3">
        <v>0</v>
      </c>
      <c r="I148" s="3">
        <f>E148+G148+H148</f>
        <v>22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23</v>
      </c>
      <c r="K148" s="3">
        <f>I148-J148</f>
        <v>-1</v>
      </c>
      <c r="L148" s="3" t="str">
        <f>IF(K148&lt;-5,"CRÍTICO",IF(K148&lt;0,"ATENÇÃO",IF(K148&lt;=5,"OPORTUNO","MUITO BOM")))</f>
        <v>ATENÇÃO</v>
      </c>
      <c r="M148" s="3">
        <v>18</v>
      </c>
      <c r="N148" s="3">
        <v>100</v>
      </c>
      <c r="O148" s="12">
        <v>20.788530465949819</v>
      </c>
    </row>
    <row r="149" spans="1:15" hidden="1" x14ac:dyDescent="0.25">
      <c r="A149" s="5">
        <v>46147</v>
      </c>
      <c r="B149" s="6" t="s">
        <v>22</v>
      </c>
      <c r="C149" s="1" t="s">
        <v>23</v>
      </c>
      <c r="D149" s="3">
        <v>13</v>
      </c>
      <c r="E149" s="3">
        <v>12</v>
      </c>
      <c r="F149" s="3">
        <v>17.149999999999999</v>
      </c>
      <c r="G149" s="3">
        <v>9</v>
      </c>
      <c r="H149" s="3">
        <v>0</v>
      </c>
      <c r="I149" s="3">
        <f>E149+G149+H149</f>
        <v>21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23</v>
      </c>
      <c r="K149" s="3">
        <f>I149-J149</f>
        <v>-2</v>
      </c>
      <c r="L149" s="3" t="str">
        <f>IF(K149&lt;-5,"CRÍTICO",IF(K149&lt;0,"ATENÇÃO",IF(K149&lt;=5,"OPORTUNO","MUITO BOM")))</f>
        <v>ATENÇÃO</v>
      </c>
      <c r="M149" s="3">
        <v>12</v>
      </c>
      <c r="N149" s="3">
        <v>99.06</v>
      </c>
      <c r="O149" s="12">
        <v>19.417475728155338</v>
      </c>
    </row>
    <row r="150" spans="1:15" hidden="1" x14ac:dyDescent="0.25">
      <c r="A150" s="5">
        <v>46147</v>
      </c>
      <c r="B150" s="6" t="s">
        <v>62</v>
      </c>
      <c r="C150" s="1" t="s">
        <v>23</v>
      </c>
      <c r="D150" s="3">
        <v>31</v>
      </c>
      <c r="E150" s="3">
        <v>28</v>
      </c>
      <c r="F150" s="3">
        <v>17.329999999999998</v>
      </c>
      <c r="G150" s="3">
        <v>1</v>
      </c>
      <c r="H150" s="3">
        <v>0</v>
      </c>
      <c r="I150" s="3">
        <f>E150+G150+H150</f>
        <v>29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23</v>
      </c>
      <c r="K150" s="3">
        <f>I150-J150</f>
        <v>6</v>
      </c>
      <c r="L150" s="3" t="str">
        <f>IF(K150&lt;-5,"CRÍTICO",IF(K150&lt;0,"ATENÇÃO",IF(K150&lt;=5,"OPORTUNO","MUITO BOM")))</f>
        <v>MUITO BOM</v>
      </c>
      <c r="M150" s="3">
        <v>30</v>
      </c>
      <c r="N150" s="3">
        <v>94.55</v>
      </c>
      <c r="O150" s="12">
        <v>23.450134770889491</v>
      </c>
    </row>
    <row r="151" spans="1:15" hidden="1" x14ac:dyDescent="0.25">
      <c r="A151" s="5">
        <v>46147</v>
      </c>
      <c r="B151" s="6" t="s">
        <v>63</v>
      </c>
      <c r="C151" s="1" t="s">
        <v>23</v>
      </c>
      <c r="D151" s="3">
        <v>31</v>
      </c>
      <c r="E151" s="3">
        <v>26</v>
      </c>
      <c r="F151" s="3">
        <v>13.5</v>
      </c>
      <c r="G151" s="3">
        <v>10</v>
      </c>
      <c r="H151" s="3">
        <v>0</v>
      </c>
      <c r="I151" s="3">
        <f>E151+G151+H151</f>
        <v>36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23</v>
      </c>
      <c r="K151" s="3">
        <f>I151-J151</f>
        <v>13</v>
      </c>
      <c r="L151" s="3" t="str">
        <f>IF(K151&lt;-5,"CRÍTICO",IF(K151&lt;0,"ATENÇÃO",IF(K151&lt;=5,"OPORTUNO","MUITO BOM")))</f>
        <v>MUITO BOM</v>
      </c>
      <c r="M151" s="3">
        <v>21</v>
      </c>
      <c r="N151" s="3">
        <v>98</v>
      </c>
      <c r="O151" s="12">
        <v>20.73490813648294</v>
      </c>
    </row>
    <row r="152" spans="1:15" hidden="1" x14ac:dyDescent="0.25">
      <c r="A152" s="5">
        <v>46147</v>
      </c>
      <c r="B152" s="6" t="s">
        <v>64</v>
      </c>
      <c r="C152" s="1" t="s">
        <v>23</v>
      </c>
      <c r="D152" s="3">
        <v>14</v>
      </c>
      <c r="E152" s="3">
        <v>14</v>
      </c>
      <c r="F152" s="3">
        <v>35.53</v>
      </c>
      <c r="G152" s="3">
        <v>3</v>
      </c>
      <c r="H152" s="3">
        <v>0</v>
      </c>
      <c r="I152" s="3">
        <f>E152+G152+H152</f>
        <v>17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23</v>
      </c>
      <c r="K152" s="3">
        <f>I152-J152</f>
        <v>-6</v>
      </c>
      <c r="L152" s="3" t="str">
        <f>IF(K152&lt;-5,"CRÍTICO",IF(K152&lt;0,"ATENÇÃO",IF(K152&lt;=5,"OPORTUNO","MUITO BOM")))</f>
        <v>CRÍTICO</v>
      </c>
      <c r="M152" s="3">
        <v>10</v>
      </c>
      <c r="N152" s="3">
        <v>100</v>
      </c>
      <c r="O152" s="12">
        <v>18</v>
      </c>
    </row>
    <row r="153" spans="1:15" x14ac:dyDescent="0.25">
      <c r="A153" s="5">
        <v>46157</v>
      </c>
      <c r="B153" s="6" t="s">
        <v>17</v>
      </c>
      <c r="C153" s="1" t="s">
        <v>16</v>
      </c>
      <c r="D153" s="3">
        <v>11</v>
      </c>
      <c r="E153" s="3">
        <v>10</v>
      </c>
      <c r="F153" s="3">
        <v>20.190000000000001</v>
      </c>
      <c r="G153" s="3">
        <v>0</v>
      </c>
      <c r="H153" s="3">
        <v>0</v>
      </c>
      <c r="I153" s="3">
        <f>E153+G153+H153</f>
        <v>10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8</v>
      </c>
      <c r="K153" s="3">
        <f>I153-J153</f>
        <v>2</v>
      </c>
      <c r="L153" s="3" t="str">
        <f>IF(K153&lt;-5,"CRÍTICO",IF(K153&lt;0,"ATENÇÃO",IF(K153&lt;=5,"BOM","EXCELENTE")))</f>
        <v>BOM</v>
      </c>
      <c r="M153" s="3">
        <v>8</v>
      </c>
      <c r="N153" s="3">
        <v>97.14</v>
      </c>
      <c r="O153" s="12">
        <v>24.761904761904759</v>
      </c>
    </row>
    <row r="154" spans="1:15" hidden="1" x14ac:dyDescent="0.25">
      <c r="A154" s="10">
        <v>46029</v>
      </c>
      <c r="B154" t="s">
        <v>22</v>
      </c>
      <c r="C154" s="1" t="s">
        <v>23</v>
      </c>
      <c r="D154" s="3">
        <v>26</v>
      </c>
      <c r="E154" s="3">
        <v>25</v>
      </c>
      <c r="F154" s="3">
        <v>23.44</v>
      </c>
      <c r="G154" s="3">
        <v>0</v>
      </c>
      <c r="H154" s="3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>I154-J154</f>
        <v>8</v>
      </c>
      <c r="L154" s="3" t="str">
        <f>IF(K154&lt;-5,"CRÍTICO",IF(K154&lt;0,"ATENÇÃO",IF(K154&lt;=5,"BOM","EXCELENTE")))</f>
        <v>EXCELENTE</v>
      </c>
      <c r="M154" s="3">
        <v>23</v>
      </c>
      <c r="N154" s="3">
        <v>98.91</v>
      </c>
      <c r="O154" s="12">
        <v>31.367292225201069</v>
      </c>
    </row>
    <row r="155" spans="1:15" x14ac:dyDescent="0.25">
      <c r="A155" s="5">
        <v>46160</v>
      </c>
      <c r="B155" s="6" t="s">
        <v>17</v>
      </c>
      <c r="C155" s="1" t="s">
        <v>16</v>
      </c>
      <c r="D155" s="3">
        <v>6</v>
      </c>
      <c r="E155" s="3">
        <v>6</v>
      </c>
      <c r="F155" s="3">
        <v>15.59</v>
      </c>
      <c r="G155" s="3">
        <v>0</v>
      </c>
      <c r="H155" s="3">
        <v>0</v>
      </c>
      <c r="I155" s="3">
        <f>E155+G155+H155</f>
        <v>6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8</v>
      </c>
      <c r="K155" s="3">
        <f>I155-J155</f>
        <v>-2</v>
      </c>
      <c r="L155" s="3" t="str">
        <f>IF(K155&lt;-5,"CRÍTICO",IF(K155&lt;0,"ATENÇÃO",IF(K155&lt;=5,"BOM","EXCELENTE")))</f>
        <v>ATENÇÃO</v>
      </c>
      <c r="M155" s="3">
        <v>6</v>
      </c>
      <c r="N155" s="3">
        <v>97.14</v>
      </c>
      <c r="O155" s="12">
        <v>24.761904761904759</v>
      </c>
    </row>
    <row r="156" spans="1:15" hidden="1" x14ac:dyDescent="0.25">
      <c r="A156" s="5">
        <v>46147</v>
      </c>
      <c r="B156" s="6" t="s">
        <v>43</v>
      </c>
      <c r="C156" s="1" t="s">
        <v>32</v>
      </c>
      <c r="D156" s="3">
        <v>14</v>
      </c>
      <c r="E156" s="3">
        <v>14</v>
      </c>
      <c r="F156" s="3">
        <v>15.35</v>
      </c>
      <c r="G156" s="3">
        <v>0</v>
      </c>
      <c r="H156" s="3">
        <v>21</v>
      </c>
      <c r="I156" s="3">
        <f>E156+G156+H156</f>
        <v>35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35</v>
      </c>
      <c r="K156" s="3">
        <f>I156-J156</f>
        <v>0</v>
      </c>
      <c r="L156" s="3" t="str">
        <f>IF(K156&lt;-5,"CRÍTICO",IF(K156&lt;0,"ATENÇÃO",IF(K156&lt;=5,"OPORTUNO","MUITO BOM")))</f>
        <v>OPORTUNO</v>
      </c>
      <c r="M156" s="3">
        <v>28</v>
      </c>
      <c r="N156" s="3">
        <v>98.39</v>
      </c>
      <c r="O156" s="12">
        <v>8.7999999999999989</v>
      </c>
    </row>
    <row r="157" spans="1:15" x14ac:dyDescent="0.25">
      <c r="A157" s="7">
        <v>46161</v>
      </c>
      <c r="B157" s="8" t="s">
        <v>17</v>
      </c>
      <c r="C157" s="1" t="s">
        <v>16</v>
      </c>
      <c r="D157" s="3">
        <v>9</v>
      </c>
      <c r="E157" s="3">
        <v>9</v>
      </c>
      <c r="F157" s="3">
        <v>25.28</v>
      </c>
      <c r="G157" s="3">
        <v>0</v>
      </c>
      <c r="H157" s="3">
        <v>0</v>
      </c>
      <c r="I157" s="3">
        <f>E157+G157+H157</f>
        <v>9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8</v>
      </c>
      <c r="K157" s="3">
        <f>I157-J157</f>
        <v>1</v>
      </c>
      <c r="L157" s="3" t="str">
        <f>IF(K157&lt;-5,"CRÍTICO",IF(K157&lt;0,"ATENÇÃO",IF(K157&lt;=5,"BOM","EXCELENTE")))</f>
        <v>BOM</v>
      </c>
      <c r="M157" s="3">
        <v>7</v>
      </c>
      <c r="N157" s="3">
        <v>97.14</v>
      </c>
      <c r="O157" s="12">
        <v>24.761904761904759</v>
      </c>
    </row>
    <row r="158" spans="1:15" x14ac:dyDescent="0.25">
      <c r="A158" s="7">
        <v>46162</v>
      </c>
      <c r="B158" s="8" t="s">
        <v>17</v>
      </c>
      <c r="C158" s="1" t="s">
        <v>16</v>
      </c>
      <c r="D158" s="3">
        <v>11</v>
      </c>
      <c r="E158" s="3">
        <v>10</v>
      </c>
      <c r="F158" s="3">
        <v>20.440000000000001</v>
      </c>
      <c r="G158" s="3">
        <v>0</v>
      </c>
      <c r="H158" s="3">
        <v>0</v>
      </c>
      <c r="I158" s="3">
        <f>E158+G158+H158</f>
        <v>10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7</v>
      </c>
      <c r="K158" s="3">
        <f>I158-J158</f>
        <v>3</v>
      </c>
      <c r="L158" s="3" t="str">
        <f>IF(K158&lt;-5,"CRÍTICO",IF(K158&lt;0,"ATENÇÃO",IF(K158&lt;=5,"OPORTUNO","MUITO BOM")))</f>
        <v>OPORTUNO</v>
      </c>
      <c r="M158" s="3">
        <v>8</v>
      </c>
      <c r="N158" s="3">
        <v>97.14</v>
      </c>
      <c r="O158" s="12">
        <v>24.761904761904759</v>
      </c>
    </row>
    <row r="159" spans="1:15" x14ac:dyDescent="0.25">
      <c r="A159" s="5">
        <v>46163</v>
      </c>
      <c r="B159" s="6" t="s">
        <v>17</v>
      </c>
      <c r="C159" s="1" t="s">
        <v>16</v>
      </c>
      <c r="D159" s="3">
        <v>7</v>
      </c>
      <c r="E159" s="3">
        <v>6</v>
      </c>
      <c r="F159" s="3">
        <v>27.14</v>
      </c>
      <c r="G159" s="3">
        <v>0</v>
      </c>
      <c r="H159" s="3">
        <v>0</v>
      </c>
      <c r="I159" s="3">
        <f>E159+G159+H159</f>
        <v>6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6</v>
      </c>
      <c r="K159" s="3">
        <f>I159-J159</f>
        <v>0</v>
      </c>
      <c r="L159" s="3" t="str">
        <f>IF(K159&lt;-5,"CRÍTICO",IF(K159&lt;0,"ATENÇÃO",IF(K159&lt;=5,"OPORTUNO","MUITO BOM")))</f>
        <v>OPORTUNO</v>
      </c>
      <c r="M159" s="3">
        <v>4</v>
      </c>
      <c r="N159" s="3">
        <v>97.14</v>
      </c>
      <c r="O159" s="12">
        <v>24.761904761904759</v>
      </c>
    </row>
    <row r="160" spans="1:15" x14ac:dyDescent="0.25">
      <c r="A160" s="9">
        <v>46164</v>
      </c>
      <c r="B160" s="6" t="s">
        <v>17</v>
      </c>
      <c r="C160" s="1" t="s">
        <v>16</v>
      </c>
      <c r="D160" s="3">
        <v>7</v>
      </c>
      <c r="E160" s="3">
        <v>7</v>
      </c>
      <c r="F160" s="3">
        <v>22.38</v>
      </c>
      <c r="G160" s="3">
        <v>0</v>
      </c>
      <c r="H160" s="3">
        <v>0</v>
      </c>
      <c r="I160" s="3">
        <f>E160+G160+H160</f>
        <v>7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6</v>
      </c>
      <c r="K160" s="3">
        <f>I160-J160</f>
        <v>1</v>
      </c>
      <c r="L160" s="3" t="str">
        <f>IF(K160&lt;-5,"CRÍTICO",IF(K160&lt;0,"ATENÇÃO",IF(K160&lt;=5,"OPORTUNO","MUITO BOM")))</f>
        <v>OPORTUNO</v>
      </c>
      <c r="M160" s="3">
        <v>3</v>
      </c>
      <c r="N160" s="3">
        <v>97.14</v>
      </c>
      <c r="O160" s="12">
        <v>24.761904761904759</v>
      </c>
    </row>
    <row r="161" spans="1:15" x14ac:dyDescent="0.25">
      <c r="A161" s="10">
        <v>46167</v>
      </c>
      <c r="B161" t="s">
        <v>17</v>
      </c>
      <c r="C161" s="1" t="s">
        <v>16</v>
      </c>
      <c r="D161" s="3">
        <v>6</v>
      </c>
      <c r="E161" s="3">
        <v>4</v>
      </c>
      <c r="F161" s="3">
        <v>26.55</v>
      </c>
      <c r="G161" s="3">
        <v>0</v>
      </c>
      <c r="H161" s="3">
        <v>0</v>
      </c>
      <c r="I161" s="3">
        <f>E161+G161+H161</f>
        <v>4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6</v>
      </c>
      <c r="K161" s="3">
        <f>I161-J161</f>
        <v>-2</v>
      </c>
      <c r="L161" s="3" t="str">
        <f>IF(K161&lt;-5,"CRÍTICO",IF(K161&lt;0,"ATENÇÃO",IF(K161&lt;=5,"OPORTUNO","MUITO BOM")))</f>
        <v>ATENÇÃO</v>
      </c>
      <c r="M161" s="3">
        <v>3</v>
      </c>
      <c r="N161" s="3">
        <v>97.14</v>
      </c>
      <c r="O161" s="12">
        <v>24.761904761904759</v>
      </c>
    </row>
    <row r="162" spans="1:15" x14ac:dyDescent="0.25">
      <c r="A162" s="10">
        <v>46168</v>
      </c>
      <c r="B162" t="s">
        <v>17</v>
      </c>
      <c r="C162" s="1" t="s">
        <v>16</v>
      </c>
      <c r="D162" s="3">
        <v>9</v>
      </c>
      <c r="E162" s="3">
        <v>8</v>
      </c>
      <c r="F162" s="3">
        <v>22.08</v>
      </c>
      <c r="G162" s="3">
        <v>0</v>
      </c>
      <c r="H162" s="3">
        <v>0</v>
      </c>
      <c r="I162" s="3">
        <f>E162+G162+H162</f>
        <v>8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8</v>
      </c>
      <c r="K162" s="3">
        <f>I162-J162</f>
        <v>0</v>
      </c>
      <c r="L162" s="3" t="str">
        <f>IF(K162&lt;-5,"CRÍTICO",IF(K162&lt;0,"ATENÇÃO",IF(K162&lt;=5,"OPORTUNO","MUITO BOM")))</f>
        <v>OPORTUNO</v>
      </c>
      <c r="M162" s="3">
        <v>7</v>
      </c>
      <c r="N162" s="3">
        <v>97.14</v>
      </c>
      <c r="O162" s="12">
        <v>24.761904761904759</v>
      </c>
    </row>
    <row r="163" spans="1:15" x14ac:dyDescent="0.25">
      <c r="A163" s="10">
        <v>46169</v>
      </c>
      <c r="B163" t="s">
        <v>17</v>
      </c>
      <c r="C163" s="1" t="s">
        <v>16</v>
      </c>
      <c r="D163" s="3">
        <v>8</v>
      </c>
      <c r="E163" s="3">
        <v>8</v>
      </c>
      <c r="F163" s="3">
        <v>23.25</v>
      </c>
      <c r="G163" s="3">
        <v>0</v>
      </c>
      <c r="H163" s="3">
        <v>0</v>
      </c>
      <c r="I163" s="3">
        <f>E163+G163+H163</f>
        <v>8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8</v>
      </c>
      <c r="K163" s="3">
        <f>I163-J163</f>
        <v>0</v>
      </c>
      <c r="L163" s="3" t="str">
        <f>IF(K163&lt;-5,"CRÍTICO",IF(K163&lt;0,"ATENÇÃO",IF(K163&lt;=5,"OPORTUNO","MUITO BOM")))</f>
        <v>OPORTUNO</v>
      </c>
      <c r="M163" s="3">
        <v>8</v>
      </c>
      <c r="N163" s="3">
        <v>97.14</v>
      </c>
      <c r="O163" s="12">
        <v>23.008849557522119</v>
      </c>
    </row>
    <row r="164" spans="1:15" x14ac:dyDescent="0.25">
      <c r="A164" s="10">
        <v>46170</v>
      </c>
      <c r="B164" t="s">
        <v>17</v>
      </c>
      <c r="C164" s="1" t="s">
        <v>16</v>
      </c>
      <c r="D164" s="3">
        <v>12</v>
      </c>
      <c r="E164" s="3">
        <v>11</v>
      </c>
      <c r="F164" s="3">
        <v>18.47</v>
      </c>
      <c r="G164" s="3">
        <v>0</v>
      </c>
      <c r="H164" s="3">
        <v>0</v>
      </c>
      <c r="I164" s="3">
        <f>E164+G164+H164</f>
        <v>11</v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>8</v>
      </c>
      <c r="K164" s="3">
        <f>I164-J164</f>
        <v>3</v>
      </c>
      <c r="L164" s="3" t="str">
        <f>IF(K164&lt;-5,"CRÍTICO",IF(K164&lt;0,"ATENÇÃO",IF(K164&lt;=5,"OPORTUNO","MUITO BOM")))</f>
        <v>OPORTUNO</v>
      </c>
      <c r="M164" s="3">
        <v>11</v>
      </c>
      <c r="N164" s="3">
        <v>97.22</v>
      </c>
      <c r="O164" s="12">
        <v>23.387096774193552</v>
      </c>
    </row>
    <row r="165" spans="1:15" x14ac:dyDescent="0.25">
      <c r="A165" s="10">
        <v>46171</v>
      </c>
      <c r="B165" t="s">
        <v>17</v>
      </c>
      <c r="C165" s="1" t="s">
        <v>16</v>
      </c>
      <c r="D165" s="3">
        <v>13</v>
      </c>
      <c r="E165" s="3">
        <v>11</v>
      </c>
      <c r="F165" s="3">
        <v>15.34</v>
      </c>
      <c r="G165" s="3">
        <v>0</v>
      </c>
      <c r="H165" s="3">
        <v>0</v>
      </c>
      <c r="I165" s="3">
        <f>E165+G165+H165</f>
        <v>11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8</v>
      </c>
      <c r="K165" s="3">
        <f>I165-J165</f>
        <v>3</v>
      </c>
      <c r="L165" s="3" t="str">
        <f>IF(K165&lt;-5,"CRÍTICO",IF(K165&lt;0,"ATENÇÃO",IF(K165&lt;=5,"OPORTUNO","MUITO BOM")))</f>
        <v>OPORTUNO</v>
      </c>
      <c r="M165" s="3">
        <v>3</v>
      </c>
      <c r="N165" s="3">
        <v>97.37</v>
      </c>
      <c r="O165" s="12">
        <v>22.834645669291341</v>
      </c>
    </row>
    <row r="166" spans="1:15" hidden="1" x14ac:dyDescent="0.25">
      <c r="A166" s="5">
        <v>46148</v>
      </c>
      <c r="B166" s="6" t="s">
        <v>31</v>
      </c>
      <c r="C166" s="1" t="s">
        <v>32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f>E166+G166+H166</f>
        <v>0</v>
      </c>
      <c r="J166" s="3">
        <v>0</v>
      </c>
      <c r="K166" s="3">
        <f>I166-J166</f>
        <v>0</v>
      </c>
      <c r="L166" s="3" t="str">
        <f>IF(K166&lt;-5,"CRÍTICO",IF(K166&lt;0,"ATENÇÃO",IF(K166&lt;=5,"OPORTUNO","MUITO BOM")))</f>
        <v>OPORTUNO</v>
      </c>
      <c r="M166" s="3">
        <v>0</v>
      </c>
      <c r="N166" s="3">
        <v>100</v>
      </c>
      <c r="O166" s="12">
        <v>0</v>
      </c>
    </row>
    <row r="167" spans="1:15" hidden="1" x14ac:dyDescent="0.25">
      <c r="A167" s="5">
        <v>46148</v>
      </c>
      <c r="B167" s="6" t="s">
        <v>33</v>
      </c>
      <c r="C167" s="1" t="s">
        <v>32</v>
      </c>
      <c r="D167" s="3">
        <v>22</v>
      </c>
      <c r="E167" s="3">
        <v>20</v>
      </c>
      <c r="F167" s="3">
        <v>18.47</v>
      </c>
      <c r="G167" s="3">
        <v>12</v>
      </c>
      <c r="H167" s="3">
        <v>0</v>
      </c>
      <c r="I167" s="3">
        <f>E167+G167+H167</f>
        <v>32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35</v>
      </c>
      <c r="K167" s="3">
        <f>I167-J167</f>
        <v>-3</v>
      </c>
      <c r="L167" s="3" t="str">
        <f>IF(K167&lt;-5,"CRÍTICO",IF(K167&lt;0,"ATENÇÃO",IF(K167&lt;=5,"OPORTUNO","MUITO BOM")))</f>
        <v>ATENÇÃO</v>
      </c>
      <c r="M167" s="3">
        <v>30</v>
      </c>
      <c r="N167" s="3">
        <v>96.94</v>
      </c>
      <c r="O167" s="12">
        <v>19.613259668508292</v>
      </c>
    </row>
    <row r="168" spans="1:15" hidden="1" x14ac:dyDescent="0.25">
      <c r="A168" s="5">
        <v>46148</v>
      </c>
      <c r="B168" s="6" t="s">
        <v>34</v>
      </c>
      <c r="C168" s="1" t="s">
        <v>32</v>
      </c>
      <c r="D168" s="3">
        <v>48</v>
      </c>
      <c r="E168" s="3">
        <v>44</v>
      </c>
      <c r="F168" s="3">
        <v>12.07</v>
      </c>
      <c r="G168" s="3">
        <v>0</v>
      </c>
      <c r="H168" s="3">
        <v>0</v>
      </c>
      <c r="I168" s="3">
        <f>E168+G168+H168</f>
        <v>44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35</v>
      </c>
      <c r="K168" s="3">
        <f>I168-J168</f>
        <v>9</v>
      </c>
      <c r="L168" s="3" t="str">
        <f>IF(K168&lt;-5,"CRÍTICO",IF(K168&lt;0,"ATENÇÃO",IF(K168&lt;=5,"OPORTUNO","MUITO BOM")))</f>
        <v>MUITO BOM</v>
      </c>
      <c r="M168" s="3">
        <v>41</v>
      </c>
      <c r="N168" s="3">
        <v>92.81</v>
      </c>
      <c r="O168" s="12">
        <v>25.477707006369432</v>
      </c>
    </row>
    <row r="169" spans="1:15" hidden="1" x14ac:dyDescent="0.25">
      <c r="A169" s="5">
        <v>46148</v>
      </c>
      <c r="B169" s="6" t="s">
        <v>35</v>
      </c>
      <c r="C169" s="1" t="s">
        <v>32</v>
      </c>
      <c r="D169" s="3">
        <v>24</v>
      </c>
      <c r="E169" s="3">
        <v>22</v>
      </c>
      <c r="F169" s="3">
        <v>17.18</v>
      </c>
      <c r="G169" s="3">
        <v>0</v>
      </c>
      <c r="H169" s="3">
        <v>0</v>
      </c>
      <c r="I169" s="3">
        <f>E169+G169+H169</f>
        <v>22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35</v>
      </c>
      <c r="K169" s="3">
        <f>I169-J169</f>
        <v>-13</v>
      </c>
      <c r="L169" s="3" t="str">
        <f>IF(K169&lt;-5,"CRÍTICO",IF(K169&lt;0,"ATENÇÃO",IF(K169&lt;=5,"OPORTUNO","MUITO BOM")))</f>
        <v>CRÍTICO</v>
      </c>
      <c r="M169" s="3">
        <v>32</v>
      </c>
      <c r="N169" s="3">
        <v>99.19</v>
      </c>
      <c r="O169" s="12">
        <v>28.404669260700391</v>
      </c>
    </row>
    <row r="170" spans="1:15" hidden="1" x14ac:dyDescent="0.25">
      <c r="A170" s="5">
        <v>46148</v>
      </c>
      <c r="B170" s="6" t="s">
        <v>36</v>
      </c>
      <c r="C170" s="1" t="s">
        <v>32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f>E170+G170+H170</f>
        <v>0</v>
      </c>
      <c r="J170" s="3">
        <v>0</v>
      </c>
      <c r="K170" s="3">
        <f>I170-J170</f>
        <v>0</v>
      </c>
      <c r="L170" s="3" t="str">
        <f>IF(K170&lt;-5,"CRÍTICO",IF(K170&lt;0,"ATENÇÃO",IF(K170&lt;=5,"OPORTUNO","MUITO BOM")))</f>
        <v>OPORTUNO</v>
      </c>
      <c r="M170" s="3">
        <v>0</v>
      </c>
      <c r="N170" s="3">
        <v>100</v>
      </c>
      <c r="O170" s="12">
        <v>13.51351351351351</v>
      </c>
    </row>
    <row r="171" spans="1:15" hidden="1" x14ac:dyDescent="0.25">
      <c r="A171" s="5">
        <v>46148</v>
      </c>
      <c r="B171" s="6" t="s">
        <v>37</v>
      </c>
      <c r="C171" s="1" t="s">
        <v>32</v>
      </c>
      <c r="D171" s="3">
        <v>52</v>
      </c>
      <c r="E171" s="3">
        <v>45</v>
      </c>
      <c r="F171" s="3">
        <v>13.59</v>
      </c>
      <c r="G171" s="3">
        <v>23</v>
      </c>
      <c r="H171" s="3">
        <v>0</v>
      </c>
      <c r="I171" s="3">
        <f>E171+G171+H171</f>
        <v>68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35</v>
      </c>
      <c r="K171" s="3">
        <f>I171-J171</f>
        <v>33</v>
      </c>
      <c r="L171" s="3" t="str">
        <f>IF(K171&lt;-5,"CRÍTICO",IF(K171&lt;0,"ATENÇÃO",IF(K171&lt;=5,"OPORTUNO","MUITO BOM")))</f>
        <v>MUITO BOM</v>
      </c>
      <c r="M171" s="3">
        <v>55</v>
      </c>
      <c r="N171" s="3">
        <v>99</v>
      </c>
      <c r="O171" s="12">
        <v>22.27414330218069</v>
      </c>
    </row>
    <row r="172" spans="1:15" hidden="1" x14ac:dyDescent="0.25">
      <c r="A172" s="5">
        <v>46148</v>
      </c>
      <c r="B172" s="6" t="s">
        <v>38</v>
      </c>
      <c r="C172" s="1" t="s">
        <v>32</v>
      </c>
      <c r="D172" s="3">
        <v>27</v>
      </c>
      <c r="E172" s="3">
        <v>26</v>
      </c>
      <c r="F172" s="3">
        <v>12.18</v>
      </c>
      <c r="G172" s="3">
        <v>7</v>
      </c>
      <c r="H172" s="3">
        <v>0</v>
      </c>
      <c r="I172" s="3">
        <f>E172+G172+H172</f>
        <v>33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35</v>
      </c>
      <c r="K172" s="3">
        <f>I172-J172</f>
        <v>-2</v>
      </c>
      <c r="L172" s="3" t="str">
        <f>IF(K172&lt;-5,"CRÍTICO",IF(K172&lt;0,"ATENÇÃO",IF(K172&lt;=5,"OPORTUNO","MUITO BOM")))</f>
        <v>ATENÇÃO</v>
      </c>
      <c r="M172" s="3">
        <v>26</v>
      </c>
      <c r="N172" s="3">
        <v>97.04</v>
      </c>
      <c r="O172" s="12">
        <v>29.828850855745721</v>
      </c>
    </row>
    <row r="173" spans="1:15" hidden="1" x14ac:dyDescent="0.25">
      <c r="A173" s="5">
        <v>46148</v>
      </c>
      <c r="B173" s="6" t="s">
        <v>39</v>
      </c>
      <c r="C173" s="1" t="s">
        <v>32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f>E173+G173+H173</f>
        <v>0</v>
      </c>
      <c r="J173" s="3">
        <v>0</v>
      </c>
      <c r="K173" s="3">
        <f>I173-J173</f>
        <v>0</v>
      </c>
      <c r="L173" s="3" t="str">
        <f>IF(K173&lt;-5,"CRÍTICO",IF(K173&lt;0,"ATENÇÃO",IF(K173&lt;=5,"OPORTUNO","MUITO BOM")))</f>
        <v>OPORTUNO</v>
      </c>
      <c r="M173" s="3">
        <v>0</v>
      </c>
      <c r="N173" s="3">
        <v>0</v>
      </c>
      <c r="O173" s="12">
        <v>0</v>
      </c>
    </row>
    <row r="174" spans="1:15" hidden="1" x14ac:dyDescent="0.25">
      <c r="A174" s="5">
        <v>46148</v>
      </c>
      <c r="B174" s="6" t="s">
        <v>40</v>
      </c>
      <c r="C174" s="1" t="s">
        <v>32</v>
      </c>
      <c r="D174" s="3">
        <v>27</v>
      </c>
      <c r="E174" s="3">
        <v>25</v>
      </c>
      <c r="F174" s="3">
        <v>22.17</v>
      </c>
      <c r="G174" s="3">
        <v>1</v>
      </c>
      <c r="H174" s="3">
        <v>0</v>
      </c>
      <c r="I174" s="3">
        <f>E174+G174+H174</f>
        <v>26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35</v>
      </c>
      <c r="K174" s="3">
        <f>I174-J174</f>
        <v>-9</v>
      </c>
      <c r="L174" s="3" t="str">
        <f>IF(K174&lt;-5,"CRÍTICO",IF(K174&lt;0,"ATENÇÃO",IF(K174&lt;=5,"OPORTUNO","MUITO BOM")))</f>
        <v>CRÍTICO</v>
      </c>
      <c r="M174" s="3">
        <v>26</v>
      </c>
      <c r="N174" s="3">
        <v>96.84</v>
      </c>
      <c r="O174" s="12">
        <v>16.338028169014081</v>
      </c>
    </row>
    <row r="175" spans="1:15" hidden="1" x14ac:dyDescent="0.25">
      <c r="A175" s="5">
        <v>46148</v>
      </c>
      <c r="B175" s="6" t="s">
        <v>41</v>
      </c>
      <c r="C175" s="1" t="s">
        <v>32</v>
      </c>
      <c r="D175" s="3">
        <v>38</v>
      </c>
      <c r="E175" s="3">
        <v>38</v>
      </c>
      <c r="F175" s="3">
        <v>16.420000000000002</v>
      </c>
      <c r="G175" s="3">
        <v>0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35</v>
      </c>
      <c r="K175" s="3">
        <f>I175-J175</f>
        <v>3</v>
      </c>
      <c r="L175" s="3" t="str">
        <f>IF(K175&lt;-5,"CRÍTICO",IF(K175&lt;0,"ATENÇÃO",IF(K175&lt;=5,"OPORTUNO","MUITO BOM")))</f>
        <v>OPORTUNO</v>
      </c>
      <c r="M175" s="3">
        <v>36</v>
      </c>
      <c r="N175" s="3">
        <v>100</v>
      </c>
      <c r="O175" s="12">
        <v>18.244803695150122</v>
      </c>
    </row>
    <row r="176" spans="1:15" hidden="1" x14ac:dyDescent="0.25">
      <c r="A176" s="5">
        <v>46148</v>
      </c>
      <c r="B176" s="6" t="s">
        <v>42</v>
      </c>
      <c r="C176" s="1" t="s">
        <v>32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f>E176+G176+H176</f>
        <v>0</v>
      </c>
      <c r="J176" s="3">
        <v>0</v>
      </c>
      <c r="K176" s="3">
        <f>I176-J176</f>
        <v>0</v>
      </c>
      <c r="L176" s="3" t="str">
        <f>IF(K176&lt;-5,"CRÍTICO",IF(K176&lt;0,"ATENÇÃO",IF(K176&lt;=5,"OPORTUNO","MUITO BOM")))</f>
        <v>OPORTUNO</v>
      </c>
      <c r="M176" s="3">
        <v>0</v>
      </c>
      <c r="N176" s="3">
        <v>100</v>
      </c>
      <c r="O176" s="12">
        <v>15.789473684210529</v>
      </c>
    </row>
    <row r="177" spans="1:15" hidden="1" x14ac:dyDescent="0.25">
      <c r="A177" s="5">
        <v>46148</v>
      </c>
      <c r="B177" s="6" t="s">
        <v>44</v>
      </c>
      <c r="C177" s="1" t="s">
        <v>32</v>
      </c>
      <c r="D177" s="3">
        <v>32</v>
      </c>
      <c r="E177" s="3">
        <v>30</v>
      </c>
      <c r="F177" s="3">
        <v>19.04</v>
      </c>
      <c r="G177" s="3">
        <v>1</v>
      </c>
      <c r="H177" s="3">
        <v>0</v>
      </c>
      <c r="I177" s="3">
        <f>E177+G177+H177</f>
        <v>31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35</v>
      </c>
      <c r="K177" s="3">
        <f>I177-J177</f>
        <v>-4</v>
      </c>
      <c r="L177" s="3" t="str">
        <f>IF(K177&lt;-5,"CRÍTICO",IF(K177&lt;0,"ATENÇÃO",IF(K177&lt;=5,"OPORTUNO","MUITO BOM")))</f>
        <v>ATENÇÃO</v>
      </c>
      <c r="M177" s="3">
        <v>31</v>
      </c>
      <c r="N177" s="3">
        <v>96.38</v>
      </c>
      <c r="O177" s="12">
        <v>23.198198198198199</v>
      </c>
    </row>
    <row r="178" spans="1:15" hidden="1" x14ac:dyDescent="0.25">
      <c r="A178" s="5">
        <v>46148</v>
      </c>
      <c r="B178" s="6" t="s">
        <v>45</v>
      </c>
      <c r="C178" s="1" t="s">
        <v>32</v>
      </c>
      <c r="D178" s="3">
        <v>57</v>
      </c>
      <c r="E178" s="3">
        <v>51</v>
      </c>
      <c r="F178" s="3">
        <v>10.53</v>
      </c>
      <c r="G178" s="3">
        <v>1</v>
      </c>
      <c r="H178" s="3">
        <v>0</v>
      </c>
      <c r="I178" s="3">
        <f>E178+G178+H178</f>
        <v>52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35</v>
      </c>
      <c r="K178" s="3">
        <f>I178-J178</f>
        <v>17</v>
      </c>
      <c r="L178" s="3" t="str">
        <f>IF(K178&lt;-5,"CRÍTICO",IF(K178&lt;0,"ATENÇÃO",IF(K178&lt;=5,"OPORTUNO","MUITO BOM")))</f>
        <v>MUITO BOM</v>
      </c>
      <c r="M178" s="3">
        <v>37</v>
      </c>
      <c r="N178" s="3">
        <v>99.39</v>
      </c>
      <c r="O178" s="12">
        <v>25.203252032520329</v>
      </c>
    </row>
    <row r="179" spans="1:15" hidden="1" x14ac:dyDescent="0.25">
      <c r="A179" s="5">
        <v>46148</v>
      </c>
      <c r="B179" s="6" t="s">
        <v>46</v>
      </c>
      <c r="C179" s="1" t="s">
        <v>32</v>
      </c>
      <c r="D179" s="3">
        <v>21</v>
      </c>
      <c r="E179" s="3">
        <v>20</v>
      </c>
      <c r="F179" s="3">
        <v>18.47</v>
      </c>
      <c r="G179" s="3">
        <v>8</v>
      </c>
      <c r="H179" s="3">
        <v>0</v>
      </c>
      <c r="I179" s="3">
        <f>E179+G179+H179</f>
        <v>28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35</v>
      </c>
      <c r="K179" s="3">
        <f>I179-J179</f>
        <v>-7</v>
      </c>
      <c r="L179" s="3" t="str">
        <f>IF(K179&lt;-5,"CRÍTICO",IF(K179&lt;0,"ATENÇÃO",IF(K179&lt;=5,"OPORTUNO","MUITO BOM")))</f>
        <v>CRÍTICO</v>
      </c>
      <c r="M179" s="3">
        <v>25</v>
      </c>
      <c r="N179" s="3">
        <v>97</v>
      </c>
      <c r="O179" s="12">
        <v>20.325203252032519</v>
      </c>
    </row>
    <row r="180" spans="1:15" hidden="1" x14ac:dyDescent="0.25">
      <c r="A180" s="5">
        <v>46148</v>
      </c>
      <c r="B180" s="6" t="s">
        <v>47</v>
      </c>
      <c r="C180" s="1" t="s">
        <v>48</v>
      </c>
      <c r="D180" s="3">
        <v>35</v>
      </c>
      <c r="E180" s="3">
        <v>29</v>
      </c>
      <c r="F180" s="3">
        <v>12.32</v>
      </c>
      <c r="G180" s="3">
        <v>11</v>
      </c>
      <c r="H180" s="3">
        <v>0</v>
      </c>
      <c r="I180" s="3">
        <f>E180+G180+H180</f>
        <v>40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28</v>
      </c>
      <c r="K180" s="3">
        <f>I180-J180</f>
        <v>12</v>
      </c>
      <c r="L180" s="3" t="str">
        <f>IF(K180&lt;-5,"CRÍTICO",IF(K180&lt;0,"ATENÇÃO",IF(K180&lt;=5,"OPORTUNO","MUITO BOM")))</f>
        <v>MUITO BOM</v>
      </c>
      <c r="M180" s="3">
        <v>32</v>
      </c>
      <c r="N180" s="3">
        <v>99.18</v>
      </c>
      <c r="O180" s="12">
        <v>24.501424501424498</v>
      </c>
    </row>
    <row r="181" spans="1:15" hidden="1" x14ac:dyDescent="0.25">
      <c r="A181" s="5">
        <v>46148</v>
      </c>
      <c r="B181" s="6" t="s">
        <v>49</v>
      </c>
      <c r="C181" s="1" t="s">
        <v>48</v>
      </c>
      <c r="D181" s="3">
        <v>31</v>
      </c>
      <c r="E181" s="3">
        <v>28</v>
      </c>
      <c r="F181" s="3">
        <v>18.45</v>
      </c>
      <c r="G181" s="3">
        <v>9</v>
      </c>
      <c r="H181" s="3">
        <v>0</v>
      </c>
      <c r="I181" s="3">
        <f>E181+G181+H181</f>
        <v>37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28</v>
      </c>
      <c r="K181" s="3">
        <f>I181-J181</f>
        <v>9</v>
      </c>
      <c r="L181" s="3" t="str">
        <f>IF(K181&lt;-5,"CRÍTICO",IF(K181&lt;0,"ATENÇÃO",IF(K181&lt;=5,"OPORTUNO","MUITO BOM")))</f>
        <v>MUITO BOM</v>
      </c>
      <c r="M181" s="3">
        <v>35</v>
      </c>
      <c r="N181" s="3">
        <v>99.35</v>
      </c>
      <c r="O181" s="12">
        <v>19.852941176470591</v>
      </c>
    </row>
    <row r="182" spans="1:15" hidden="1" x14ac:dyDescent="0.25">
      <c r="A182" s="5">
        <v>46148</v>
      </c>
      <c r="B182" s="6" t="s">
        <v>50</v>
      </c>
      <c r="C182" s="1" t="s">
        <v>48</v>
      </c>
      <c r="D182" s="3">
        <v>34</v>
      </c>
      <c r="E182" s="3">
        <v>32</v>
      </c>
      <c r="F182" s="3">
        <v>14.16</v>
      </c>
      <c r="G182" s="3">
        <v>1</v>
      </c>
      <c r="H182" s="3">
        <v>0</v>
      </c>
      <c r="I182" s="3">
        <f>E182+G182+H182</f>
        <v>33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28</v>
      </c>
      <c r="K182" s="3">
        <f>I182-J182</f>
        <v>5</v>
      </c>
      <c r="L182" s="3" t="str">
        <f>IF(K182&lt;-5,"CRÍTICO",IF(K182&lt;0,"ATENÇÃO",IF(K182&lt;=5,"OPORTUNO","MUITO BOM")))</f>
        <v>OPORTUNO</v>
      </c>
      <c r="M182" s="3">
        <v>31</v>
      </c>
      <c r="N182" s="3">
        <v>99.07</v>
      </c>
      <c r="O182" s="12">
        <v>20.098039215686271</v>
      </c>
    </row>
    <row r="183" spans="1:15" hidden="1" x14ac:dyDescent="0.25">
      <c r="A183" s="5">
        <v>46148</v>
      </c>
      <c r="B183" s="6" t="s">
        <v>51</v>
      </c>
      <c r="C183" s="1" t="s">
        <v>48</v>
      </c>
      <c r="D183" s="3">
        <v>40</v>
      </c>
      <c r="E183" s="3">
        <v>35</v>
      </c>
      <c r="F183" s="3">
        <v>15.25</v>
      </c>
      <c r="G183" s="3">
        <v>0</v>
      </c>
      <c r="H183" s="3">
        <v>0</v>
      </c>
      <c r="I183" s="3">
        <f>E183+G183+H183</f>
        <v>35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28</v>
      </c>
      <c r="K183" s="3">
        <f>I183-J183</f>
        <v>7</v>
      </c>
      <c r="L183" s="3" t="str">
        <f>IF(K183&lt;-5,"CRÍTICO",IF(K183&lt;0,"ATENÇÃO",IF(K183&lt;=5,"OPORTUNO","MUITO BOM")))</f>
        <v>MUITO BOM</v>
      </c>
      <c r="M183" s="3">
        <v>29</v>
      </c>
      <c r="N183" s="3">
        <v>98.81</v>
      </c>
      <c r="O183" s="12">
        <v>22.767857142857139</v>
      </c>
    </row>
    <row r="184" spans="1:15" hidden="1" x14ac:dyDescent="0.25">
      <c r="A184" s="5">
        <v>46148</v>
      </c>
      <c r="B184" s="6" t="s">
        <v>52</v>
      </c>
      <c r="C184" s="1" t="s">
        <v>48</v>
      </c>
      <c r="D184" s="3">
        <v>15</v>
      </c>
      <c r="E184" s="3">
        <v>14</v>
      </c>
      <c r="F184" s="3">
        <v>17.309999999999999</v>
      </c>
      <c r="G184" s="3">
        <v>9</v>
      </c>
      <c r="H184" s="3">
        <v>0</v>
      </c>
      <c r="I184" s="3">
        <f>E184+G184+H184</f>
        <v>23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28</v>
      </c>
      <c r="K184" s="3">
        <f>I184-J184</f>
        <v>-5</v>
      </c>
      <c r="L184" s="3" t="str">
        <f>IF(K184&lt;-5,"CRÍTICO",IF(K184&lt;0,"ATENÇÃO",IF(K184&lt;=5,"OPORTUNO","MUITO BOM")))</f>
        <v>ATENÇÃO</v>
      </c>
      <c r="M184" s="3">
        <v>22</v>
      </c>
      <c r="N184" s="3">
        <v>99.01</v>
      </c>
      <c r="O184" s="12">
        <v>17.766497461928939</v>
      </c>
    </row>
    <row r="185" spans="1:15" hidden="1" x14ac:dyDescent="0.25">
      <c r="A185" s="5">
        <v>46148</v>
      </c>
      <c r="B185" s="6" t="s">
        <v>53</v>
      </c>
      <c r="C185" s="1" t="s">
        <v>48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f>E185+G185+H185</f>
        <v>0</v>
      </c>
      <c r="J185" s="3">
        <v>0</v>
      </c>
      <c r="K185" s="3">
        <f>I185-J185</f>
        <v>0</v>
      </c>
      <c r="L185" s="3" t="str">
        <f>IF(K185&lt;-5,"CRÍTICO",IF(K185&lt;0,"ATENÇÃO",IF(K185&lt;=5,"OPORTUNO","MUITO BOM")))</f>
        <v>OPORTUNO</v>
      </c>
      <c r="M185" s="3">
        <v>0</v>
      </c>
      <c r="N185" s="3">
        <v>100</v>
      </c>
      <c r="O185" s="12">
        <v>17.241379310344829</v>
      </c>
    </row>
    <row r="186" spans="1:15" hidden="1" x14ac:dyDescent="0.25">
      <c r="A186" s="5">
        <v>46148</v>
      </c>
      <c r="B186" s="6" t="s">
        <v>54</v>
      </c>
      <c r="C186" s="1" t="s">
        <v>48</v>
      </c>
      <c r="D186" s="3">
        <v>33</v>
      </c>
      <c r="E186" s="3">
        <v>32</v>
      </c>
      <c r="F186" s="3">
        <v>20.010000000000002</v>
      </c>
      <c r="G186" s="3">
        <v>9</v>
      </c>
      <c r="H186" s="3">
        <v>0</v>
      </c>
      <c r="I186" s="3">
        <f>E186+G186+H186</f>
        <v>41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28</v>
      </c>
      <c r="K186" s="3">
        <f>I186-J186</f>
        <v>13</v>
      </c>
      <c r="L186" s="3" t="str">
        <f>IF(K186&lt;-5,"CRÍTICO",IF(K186&lt;0,"ATENÇÃO",IF(K186&lt;=5,"OPORTUNO","MUITO BOM")))</f>
        <v>MUITO BOM</v>
      </c>
      <c r="M186" s="3">
        <v>30</v>
      </c>
      <c r="N186" s="3">
        <v>98.98</v>
      </c>
      <c r="O186" s="12">
        <v>19.35483870967742</v>
      </c>
    </row>
    <row r="187" spans="1:15" hidden="1" x14ac:dyDescent="0.25">
      <c r="A187" s="5">
        <v>46148</v>
      </c>
      <c r="B187" s="6" t="s">
        <v>55</v>
      </c>
      <c r="C187" s="1" t="s">
        <v>48</v>
      </c>
      <c r="D187" s="3">
        <v>29</v>
      </c>
      <c r="E187" s="3">
        <v>28</v>
      </c>
      <c r="F187" s="3">
        <v>10.28</v>
      </c>
      <c r="G187" s="3">
        <v>7</v>
      </c>
      <c r="H187" s="3">
        <v>0</v>
      </c>
      <c r="I187" s="3">
        <f>E187+G187+H187</f>
        <v>35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28</v>
      </c>
      <c r="K187" s="3">
        <f>I187-J187</f>
        <v>7</v>
      </c>
      <c r="L187" s="3" t="str">
        <f>IF(K187&lt;-5,"CRÍTICO",IF(K187&lt;0,"ATENÇÃO",IF(K187&lt;=5,"OPORTUNO","MUITO BOM")))</f>
        <v>MUITO BOM</v>
      </c>
      <c r="M187" s="3">
        <v>34</v>
      </c>
      <c r="N187" s="3">
        <v>98.94</v>
      </c>
      <c r="O187" s="12">
        <v>21.270718232044199</v>
      </c>
    </row>
    <row r="188" spans="1:15" hidden="1" x14ac:dyDescent="0.25">
      <c r="A188" s="5">
        <v>46148</v>
      </c>
      <c r="B188" s="6" t="s">
        <v>56</v>
      </c>
      <c r="C188" s="1" t="s">
        <v>48</v>
      </c>
      <c r="D188" s="3">
        <v>38</v>
      </c>
      <c r="E188" s="3">
        <v>36</v>
      </c>
      <c r="F188" s="3">
        <v>15.35</v>
      </c>
      <c r="G188" s="3">
        <v>2</v>
      </c>
      <c r="H188" s="3">
        <v>0</v>
      </c>
      <c r="I188" s="3">
        <f>E188+G188+H188</f>
        <v>38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28</v>
      </c>
      <c r="K188" s="3">
        <f>I188-J188</f>
        <v>10</v>
      </c>
      <c r="L188" s="3" t="str">
        <f>IF(K188&lt;-5,"CRÍTICO",IF(K188&lt;0,"ATENÇÃO",IF(K188&lt;=5,"OPORTUNO","MUITO BOM")))</f>
        <v>MUITO BOM</v>
      </c>
      <c r="M188" s="3">
        <v>16</v>
      </c>
      <c r="N188" s="3">
        <v>99</v>
      </c>
      <c r="O188" s="12">
        <v>22.010869565217391</v>
      </c>
    </row>
    <row r="189" spans="1:15" hidden="1" x14ac:dyDescent="0.25">
      <c r="A189" s="5">
        <v>46148</v>
      </c>
      <c r="B189" s="6" t="s">
        <v>57</v>
      </c>
      <c r="C189" s="1" t="s">
        <v>48</v>
      </c>
      <c r="D189" s="3">
        <v>34</v>
      </c>
      <c r="E189" s="3">
        <v>31</v>
      </c>
      <c r="F189" s="3">
        <v>16.420000000000002</v>
      </c>
      <c r="G189" s="3">
        <v>0</v>
      </c>
      <c r="H189" s="3">
        <v>0</v>
      </c>
      <c r="I189" s="3">
        <f>E189+G189+H189</f>
        <v>31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28</v>
      </c>
      <c r="K189" s="3">
        <f>I189-J189</f>
        <v>3</v>
      </c>
      <c r="L189" s="3" t="str">
        <f>IF(K189&lt;-5,"CRÍTICO",IF(K189&lt;0,"ATENÇÃO",IF(K189&lt;=5,"OPORTUNO","MUITO BOM")))</f>
        <v>OPORTUNO</v>
      </c>
      <c r="M189" s="3">
        <v>28</v>
      </c>
      <c r="N189" s="3">
        <v>100</v>
      </c>
      <c r="O189" s="12">
        <v>25</v>
      </c>
    </row>
    <row r="190" spans="1:15" hidden="1" x14ac:dyDescent="0.25">
      <c r="A190" s="5">
        <v>46148</v>
      </c>
      <c r="B190" s="6" t="s">
        <v>58</v>
      </c>
      <c r="C190" s="1" t="s">
        <v>48</v>
      </c>
      <c r="D190" s="3">
        <v>35</v>
      </c>
      <c r="E190" s="3">
        <v>33</v>
      </c>
      <c r="F190" s="3">
        <v>15.19</v>
      </c>
      <c r="G190" s="3">
        <v>0</v>
      </c>
      <c r="H190" s="3">
        <v>0</v>
      </c>
      <c r="I190" s="3">
        <f>E190+G190+H190</f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28</v>
      </c>
      <c r="K190" s="3">
        <f>I190-J190</f>
        <v>5</v>
      </c>
      <c r="L190" s="3" t="str">
        <f>IF(K190&lt;-5,"CRÍTICO",IF(K190&lt;0,"ATENÇÃO",IF(K190&lt;=5,"OPORTUNO","MUITO BOM")))</f>
        <v>OPORTUNO</v>
      </c>
      <c r="M190" s="3">
        <v>30</v>
      </c>
      <c r="N190" s="3">
        <v>100</v>
      </c>
      <c r="O190" s="12">
        <v>20.183486238532112</v>
      </c>
    </row>
    <row r="191" spans="1:15" hidden="1" x14ac:dyDescent="0.25">
      <c r="A191" s="5">
        <v>46148</v>
      </c>
      <c r="B191" s="6" t="s">
        <v>59</v>
      </c>
      <c r="C191" s="1" t="s">
        <v>23</v>
      </c>
      <c r="D191" s="3">
        <v>50</v>
      </c>
      <c r="E191" s="3">
        <v>43</v>
      </c>
      <c r="F191" s="3">
        <v>14.05</v>
      </c>
      <c r="G191" s="3">
        <v>6</v>
      </c>
      <c r="H191" s="3">
        <v>0</v>
      </c>
      <c r="I191" s="3">
        <f>E191+G191+H191</f>
        <v>49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23</v>
      </c>
      <c r="K191" s="3">
        <f>I191-J191</f>
        <v>26</v>
      </c>
      <c r="L191" s="3" t="str">
        <f>IF(K191&lt;-5,"CRÍTICO",IF(K191&lt;0,"ATENÇÃO",IF(K191&lt;=5,"OPORTUNO","MUITO BOM")))</f>
        <v>MUITO BOM</v>
      </c>
      <c r="M191" s="3">
        <v>43</v>
      </c>
      <c r="N191" s="3">
        <v>96.25</v>
      </c>
      <c r="O191" s="12">
        <v>25.586353944562902</v>
      </c>
    </row>
    <row r="192" spans="1:15" hidden="1" x14ac:dyDescent="0.25">
      <c r="A192" s="10">
        <v>46030</v>
      </c>
      <c r="B192" t="s">
        <v>22</v>
      </c>
      <c r="C192" s="1" t="s">
        <v>23</v>
      </c>
      <c r="D192" s="3">
        <v>17</v>
      </c>
      <c r="E192" s="3">
        <v>17</v>
      </c>
      <c r="F192" s="3">
        <v>38.39</v>
      </c>
      <c r="G192" s="3">
        <v>0</v>
      </c>
      <c r="H192" s="3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>I192-J192</f>
        <v>1</v>
      </c>
      <c r="L192" s="3" t="str">
        <f>IF(K192&lt;-5,"CRÍTICO",IF(K192&lt;0,"ATENÇÃO",IF(K192&lt;=5,"BOM","EXCELENTE")))</f>
        <v>BOM</v>
      </c>
      <c r="M192" s="3">
        <v>16</v>
      </c>
      <c r="N192" s="3">
        <v>98.91</v>
      </c>
      <c r="O192" s="12">
        <v>31.367292225201069</v>
      </c>
    </row>
    <row r="193" spans="1:15" hidden="1" x14ac:dyDescent="0.25">
      <c r="A193" s="5">
        <v>46148</v>
      </c>
      <c r="B193" s="6" t="s">
        <v>60</v>
      </c>
      <c r="C193" s="1" t="s">
        <v>23</v>
      </c>
      <c r="D193" s="3">
        <v>24</v>
      </c>
      <c r="E193" s="3">
        <v>23</v>
      </c>
      <c r="F193" s="3">
        <v>17.07</v>
      </c>
      <c r="G193" s="3">
        <v>9</v>
      </c>
      <c r="H193" s="3">
        <v>0</v>
      </c>
      <c r="I193" s="3">
        <f>E193+G193+H193</f>
        <v>32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23</v>
      </c>
      <c r="K193" s="3">
        <f>I193-J193</f>
        <v>9</v>
      </c>
      <c r="L193" s="3" t="str">
        <f>IF(K193&lt;-5,"CRÍTICO",IF(K193&lt;0,"ATENÇÃO",IF(K193&lt;=5,"OPORTUNO","MUITO BOM")))</f>
        <v>MUITO BOM</v>
      </c>
      <c r="M193" s="3">
        <v>30</v>
      </c>
      <c r="N193" s="3">
        <v>97.48</v>
      </c>
      <c r="O193" s="12">
        <v>22.99465240641711</v>
      </c>
    </row>
    <row r="194" spans="1:15" hidden="1" x14ac:dyDescent="0.25">
      <c r="A194" s="5">
        <v>46148</v>
      </c>
      <c r="B194" s="6" t="s">
        <v>61</v>
      </c>
      <c r="C194" s="1" t="s">
        <v>23</v>
      </c>
      <c r="D194" s="3">
        <v>19</v>
      </c>
      <c r="E194" s="3">
        <v>16</v>
      </c>
      <c r="F194" s="3">
        <v>16.510000000000002</v>
      </c>
      <c r="G194" s="3">
        <v>0</v>
      </c>
      <c r="H194" s="3">
        <v>0</v>
      </c>
      <c r="I194" s="3">
        <f>E194+G194+H194</f>
        <v>16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23</v>
      </c>
      <c r="K194" s="3">
        <f>I194-J194</f>
        <v>-7</v>
      </c>
      <c r="L194" s="3" t="str">
        <f>IF(K194&lt;-5,"CRÍTICO",IF(K194&lt;0,"ATENÇÃO",IF(K194&lt;=5,"OPORTUNO","MUITO BOM")))</f>
        <v>CRÍTICO</v>
      </c>
      <c r="M194" s="3">
        <v>13</v>
      </c>
      <c r="N194" s="3">
        <v>100</v>
      </c>
      <c r="O194" s="12">
        <v>20.788530465949819</v>
      </c>
    </row>
    <row r="195" spans="1:15" hidden="1" x14ac:dyDescent="0.25">
      <c r="A195" s="5">
        <v>46148</v>
      </c>
      <c r="B195" s="6" t="s">
        <v>22</v>
      </c>
      <c r="C195" s="1" t="s">
        <v>23</v>
      </c>
      <c r="D195" s="3">
        <v>23</v>
      </c>
      <c r="E195" s="3">
        <v>22</v>
      </c>
      <c r="F195" s="3">
        <v>20.21</v>
      </c>
      <c r="G195" s="3">
        <v>9</v>
      </c>
      <c r="H195" s="3">
        <v>0</v>
      </c>
      <c r="I195" s="3">
        <f>E195+G195+H195</f>
        <v>31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23</v>
      </c>
      <c r="K195" s="3">
        <f>I195-J195</f>
        <v>8</v>
      </c>
      <c r="L195" s="3" t="str">
        <f>IF(K195&lt;-5,"CRÍTICO",IF(K195&lt;0,"ATENÇÃO",IF(K195&lt;=5,"OPORTUNO","MUITO BOM")))</f>
        <v>MUITO BOM</v>
      </c>
      <c r="M195" s="3">
        <v>24</v>
      </c>
      <c r="N195" s="3">
        <v>99.06</v>
      </c>
      <c r="O195" s="12">
        <v>19.417475728155338</v>
      </c>
    </row>
    <row r="196" spans="1:15" hidden="1" x14ac:dyDescent="0.25">
      <c r="A196" s="5">
        <v>46148</v>
      </c>
      <c r="B196" s="6" t="s">
        <v>62</v>
      </c>
      <c r="C196" s="1" t="s">
        <v>23</v>
      </c>
      <c r="D196" s="3">
        <v>31</v>
      </c>
      <c r="E196" s="3">
        <v>30</v>
      </c>
      <c r="F196" s="3">
        <v>17.329999999999998</v>
      </c>
      <c r="G196" s="3">
        <v>8</v>
      </c>
      <c r="H196" s="3">
        <v>0</v>
      </c>
      <c r="I196" s="3">
        <f>E196+G196+H196</f>
        <v>38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23</v>
      </c>
      <c r="K196" s="3">
        <f>I196-J196</f>
        <v>15</v>
      </c>
      <c r="L196" s="3" t="str">
        <f>IF(K196&lt;-5,"CRÍTICO",IF(K196&lt;0,"ATENÇÃO",IF(K196&lt;=5,"OPORTUNO","MUITO BOM")))</f>
        <v>MUITO BOM</v>
      </c>
      <c r="M196" s="3">
        <v>35</v>
      </c>
      <c r="N196" s="3">
        <v>94.55</v>
      </c>
      <c r="O196" s="12">
        <v>23.450134770889491</v>
      </c>
    </row>
    <row r="197" spans="1:15" hidden="1" x14ac:dyDescent="0.25">
      <c r="A197" s="5">
        <v>46148</v>
      </c>
      <c r="B197" s="6" t="s">
        <v>63</v>
      </c>
      <c r="C197" s="1" t="s">
        <v>23</v>
      </c>
      <c r="D197" s="3">
        <v>34</v>
      </c>
      <c r="E197" s="3">
        <v>30</v>
      </c>
      <c r="F197" s="3">
        <v>13.25</v>
      </c>
      <c r="G197" s="3">
        <v>5</v>
      </c>
      <c r="H197" s="3">
        <v>0</v>
      </c>
      <c r="I197" s="3">
        <f>E197+G197+H197</f>
        <v>35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23</v>
      </c>
      <c r="K197" s="3">
        <f>I197-J197</f>
        <v>12</v>
      </c>
      <c r="L197" s="3" t="str">
        <f>IF(K197&lt;-5,"CRÍTICO",IF(K197&lt;0,"ATENÇÃO",IF(K197&lt;=5,"OPORTUNO","MUITO BOM")))</f>
        <v>MUITO BOM</v>
      </c>
      <c r="M197" s="3">
        <v>23</v>
      </c>
      <c r="N197" s="3">
        <v>98</v>
      </c>
      <c r="O197" s="12">
        <v>20.73490813648294</v>
      </c>
    </row>
    <row r="198" spans="1:15" hidden="1" x14ac:dyDescent="0.25">
      <c r="A198" s="5">
        <v>46148</v>
      </c>
      <c r="B198" s="6" t="s">
        <v>64</v>
      </c>
      <c r="C198" s="1" t="s">
        <v>23</v>
      </c>
      <c r="D198" s="3">
        <v>19</v>
      </c>
      <c r="E198" s="3">
        <v>18</v>
      </c>
      <c r="F198" s="3">
        <v>26.43</v>
      </c>
      <c r="G198" s="3">
        <v>1</v>
      </c>
      <c r="H198" s="3">
        <v>0</v>
      </c>
      <c r="I198" s="3">
        <f>E198+G198+H198</f>
        <v>19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23</v>
      </c>
      <c r="K198" s="3">
        <f>I198-J198</f>
        <v>-4</v>
      </c>
      <c r="L198" s="3" t="str">
        <f>IF(K198&lt;-5,"CRÍTICO",IF(K198&lt;0,"ATENÇÃO",IF(K198&lt;=5,"OPORTUNO","MUITO BOM")))</f>
        <v>ATENÇÃO</v>
      </c>
      <c r="M198" s="3">
        <v>18</v>
      </c>
      <c r="N198" s="3">
        <v>100</v>
      </c>
      <c r="O198" s="12">
        <v>18</v>
      </c>
    </row>
    <row r="199" spans="1:15" hidden="1" x14ac:dyDescent="0.25">
      <c r="A199" s="10">
        <v>46031</v>
      </c>
      <c r="B199" t="s">
        <v>22</v>
      </c>
      <c r="C199" s="1" t="s">
        <v>23</v>
      </c>
      <c r="D199" s="3">
        <v>18</v>
      </c>
      <c r="E199" s="3">
        <v>17</v>
      </c>
      <c r="F199" s="3">
        <v>25.04</v>
      </c>
      <c r="G199" s="3">
        <v>0</v>
      </c>
      <c r="H199" s="3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>I199-J199</f>
        <v>4</v>
      </c>
      <c r="L199" s="3" t="str">
        <f>IF(K199&lt;-5,"CRÍTICO",IF(K199&lt;0,"ATENÇÃO",IF(K199&lt;=5,"BOM","EXCELENTE")))</f>
        <v>BOM</v>
      </c>
      <c r="M199" s="3">
        <v>15</v>
      </c>
      <c r="N199" s="3">
        <v>98.91</v>
      </c>
      <c r="O199" s="12">
        <v>31.367292225201069</v>
      </c>
    </row>
    <row r="200" spans="1:15" x14ac:dyDescent="0.25">
      <c r="A200" s="10">
        <v>46143</v>
      </c>
      <c r="B200" t="s">
        <v>18</v>
      </c>
      <c r="C200" s="1" t="s">
        <v>16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f>E200+G200+H200</f>
        <v>0</v>
      </c>
      <c r="J200" s="3">
        <v>0</v>
      </c>
      <c r="K200" s="3">
        <f>I200-J200</f>
        <v>0</v>
      </c>
      <c r="L200" s="3" t="str">
        <f>IF(K200&lt;-5,"CRÍTICO",IF(K200&lt;0,"ATENÇÃO",IF(K200&lt;=5,"OPORTUNO","MUITO BOM")))</f>
        <v>OPORTUNO</v>
      </c>
      <c r="M200" s="3">
        <v>0</v>
      </c>
      <c r="N200" s="3">
        <v>100</v>
      </c>
      <c r="O200" s="12">
        <v>28.94736842105263</v>
      </c>
    </row>
    <row r="201" spans="1:15" x14ac:dyDescent="0.25">
      <c r="A201" s="5">
        <v>46146</v>
      </c>
      <c r="B201" s="6" t="s">
        <v>18</v>
      </c>
      <c r="C201" s="1" t="s">
        <v>16</v>
      </c>
      <c r="D201" s="3">
        <v>8</v>
      </c>
      <c r="E201" s="3">
        <v>8</v>
      </c>
      <c r="F201" s="3">
        <v>38.450000000000003</v>
      </c>
      <c r="G201" s="3">
        <v>0</v>
      </c>
      <c r="H201" s="3">
        <v>0</v>
      </c>
      <c r="I201" s="3">
        <f>E201+G201+H201</f>
        <v>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10</v>
      </c>
      <c r="K201" s="3">
        <f>I201-J201</f>
        <v>-2</v>
      </c>
      <c r="L201" s="3" t="str">
        <f>IF(K201&lt;-5,"CRÍTICO",IF(K201&lt;0,"ATENÇÃO",IF(K201&lt;=5,"BOM","EXCELENTE")))</f>
        <v>ATENÇÃO</v>
      </c>
      <c r="M201" s="3">
        <v>8</v>
      </c>
      <c r="N201" s="3">
        <v>100</v>
      </c>
      <c r="O201" s="12">
        <v>28.94736842105263</v>
      </c>
    </row>
    <row r="202" spans="1:15" hidden="1" x14ac:dyDescent="0.25">
      <c r="A202" s="5">
        <v>46148</v>
      </c>
      <c r="B202" s="6" t="s">
        <v>43</v>
      </c>
      <c r="C202" s="1" t="s">
        <v>32</v>
      </c>
      <c r="D202" s="3">
        <v>24</v>
      </c>
      <c r="E202" s="3">
        <v>24</v>
      </c>
      <c r="F202" s="3">
        <v>18.39</v>
      </c>
      <c r="G202" s="3">
        <v>0</v>
      </c>
      <c r="H202" s="3">
        <v>17</v>
      </c>
      <c r="I202" s="3">
        <f>E202+G202+H202</f>
        <v>41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35</v>
      </c>
      <c r="K202" s="3">
        <f>I202-J202</f>
        <v>6</v>
      </c>
      <c r="L202" s="3" t="str">
        <f>IF(K202&lt;-5,"CRÍTICO",IF(K202&lt;0,"ATENÇÃO",IF(K202&lt;=5,"OPORTUNO","MUITO BOM")))</f>
        <v>MUITO BOM</v>
      </c>
      <c r="M202" s="3">
        <v>31</v>
      </c>
      <c r="N202" s="3">
        <v>98.39</v>
      </c>
      <c r="O202" s="12">
        <v>8.7999999999999989</v>
      </c>
    </row>
    <row r="203" spans="1:15" x14ac:dyDescent="0.25">
      <c r="A203" s="5">
        <v>46147</v>
      </c>
      <c r="B203" s="6" t="s">
        <v>18</v>
      </c>
      <c r="C203" s="1" t="s">
        <v>16</v>
      </c>
      <c r="D203" s="3">
        <v>48</v>
      </c>
      <c r="E203" s="3">
        <v>32</v>
      </c>
      <c r="F203" s="3">
        <v>4.04</v>
      </c>
      <c r="G203" s="3">
        <v>0</v>
      </c>
      <c r="H203" s="3">
        <v>0</v>
      </c>
      <c r="I203" s="3">
        <f>E203+G203+H203</f>
        <v>32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10</v>
      </c>
      <c r="K203" s="3">
        <f>I203-J203</f>
        <v>22</v>
      </c>
      <c r="L203" s="3" t="str">
        <f>IF(K203&lt;-5,"CRÍTICO",IF(K203&lt;0,"ATENÇÃO",IF(K203&lt;=5,"BOM","EXCELENTE")))</f>
        <v>EXCELENTE</v>
      </c>
      <c r="M203" s="3">
        <v>0</v>
      </c>
      <c r="N203" s="3">
        <v>100</v>
      </c>
      <c r="O203" s="12">
        <v>28.94736842105263</v>
      </c>
    </row>
    <row r="204" spans="1:15" x14ac:dyDescent="0.25">
      <c r="A204" s="5">
        <v>46148</v>
      </c>
      <c r="B204" s="6" t="s">
        <v>18</v>
      </c>
      <c r="C204" s="1" t="s">
        <v>16</v>
      </c>
      <c r="D204" s="3">
        <v>56</v>
      </c>
      <c r="E204" s="3">
        <v>43</v>
      </c>
      <c r="F204" s="3">
        <v>5.13</v>
      </c>
      <c r="G204" s="3">
        <v>0</v>
      </c>
      <c r="H204" s="3">
        <v>0</v>
      </c>
      <c r="I204" s="3">
        <f>E204+G204+H204</f>
        <v>43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10</v>
      </c>
      <c r="K204" s="3">
        <f>I204-J204</f>
        <v>33</v>
      </c>
      <c r="L204" s="3" t="str">
        <f>IF(K204&lt;-5,"CRÍTICO",IF(K204&lt;0,"ATENÇÃO",IF(K204&lt;=5,"BOM","EXCELENTE")))</f>
        <v>EXCELENTE</v>
      </c>
      <c r="M204" s="3">
        <v>2</v>
      </c>
      <c r="N204" s="3">
        <v>100</v>
      </c>
      <c r="O204" s="12">
        <v>28.94736842105263</v>
      </c>
    </row>
    <row r="205" spans="1:15" x14ac:dyDescent="0.25">
      <c r="A205" s="5">
        <v>46149</v>
      </c>
      <c r="B205" s="6" t="s">
        <v>18</v>
      </c>
      <c r="C205" s="1" t="s">
        <v>16</v>
      </c>
      <c r="D205" s="3">
        <v>51</v>
      </c>
      <c r="E205" s="3">
        <v>32</v>
      </c>
      <c r="F205" s="3">
        <v>3.44</v>
      </c>
      <c r="G205" s="3">
        <v>0</v>
      </c>
      <c r="H205" s="3">
        <v>0</v>
      </c>
      <c r="I205" s="3">
        <f>E205+G205+H205</f>
        <v>32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9</v>
      </c>
      <c r="K205" s="3">
        <f>I205-J205</f>
        <v>23</v>
      </c>
      <c r="L205" s="3" t="str">
        <f>IF(K205&lt;-5,"CRÍTICO",IF(K205&lt;0,"ATENÇÃO",IF(K205&lt;=5,"BOM","EXCELENTE")))</f>
        <v>EXCELENTE</v>
      </c>
      <c r="M205" s="3">
        <v>1</v>
      </c>
      <c r="N205" s="3">
        <v>100</v>
      </c>
      <c r="O205" s="12">
        <v>28.94736842105263</v>
      </c>
    </row>
    <row r="206" spans="1:15" x14ac:dyDescent="0.25">
      <c r="A206" s="5">
        <v>46150</v>
      </c>
      <c r="B206" s="6" t="s">
        <v>18</v>
      </c>
      <c r="C206" s="1" t="s">
        <v>16</v>
      </c>
      <c r="D206" s="3">
        <v>9</v>
      </c>
      <c r="E206" s="3">
        <v>8</v>
      </c>
      <c r="F206" s="3">
        <v>27.06</v>
      </c>
      <c r="G206" s="3">
        <v>0</v>
      </c>
      <c r="H206" s="3">
        <v>0</v>
      </c>
      <c r="I206" s="3">
        <f>E206+G206+H206</f>
        <v>8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8</v>
      </c>
      <c r="K206" s="3">
        <f>I206-J206</f>
        <v>0</v>
      </c>
      <c r="L206" s="3" t="str">
        <f>IF(K206&lt;-5,"CRÍTICO",IF(K206&lt;0,"ATENÇÃO",IF(K206&lt;=5,"BOM","EXCELENTE")))</f>
        <v>BOM</v>
      </c>
      <c r="M206" s="3">
        <v>6</v>
      </c>
      <c r="N206" s="3">
        <v>100</v>
      </c>
      <c r="O206" s="12">
        <v>28.94736842105263</v>
      </c>
    </row>
    <row r="207" spans="1:15" x14ac:dyDescent="0.25">
      <c r="A207" s="5">
        <v>46153</v>
      </c>
      <c r="B207" s="6" t="s">
        <v>18</v>
      </c>
      <c r="C207" s="1" t="s">
        <v>16</v>
      </c>
      <c r="D207" s="3">
        <v>8</v>
      </c>
      <c r="E207" s="3">
        <v>5</v>
      </c>
      <c r="F207" s="3">
        <v>21.51</v>
      </c>
      <c r="G207" s="3">
        <v>0</v>
      </c>
      <c r="H207" s="3">
        <v>0</v>
      </c>
      <c r="I207" s="3">
        <f>E207+G207+H207</f>
        <v>5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9</v>
      </c>
      <c r="K207" s="3">
        <f>I207-J207</f>
        <v>-4</v>
      </c>
      <c r="L207" s="3" t="str">
        <f>IF(K207&lt;-5,"CRÍTICO",IF(K207&lt;0,"ATENÇÃO",IF(K207&lt;=5,"BOM","EXCELENTE")))</f>
        <v>ATENÇÃO</v>
      </c>
      <c r="M207" s="3">
        <v>2</v>
      </c>
      <c r="N207" s="3">
        <v>100</v>
      </c>
      <c r="O207" s="12">
        <v>28.94736842105263</v>
      </c>
    </row>
    <row r="208" spans="1:15" x14ac:dyDescent="0.25">
      <c r="A208" s="5">
        <v>46154</v>
      </c>
      <c r="B208" s="6" t="s">
        <v>18</v>
      </c>
      <c r="C208" s="1" t="s">
        <v>16</v>
      </c>
      <c r="D208" s="3">
        <v>28</v>
      </c>
      <c r="E208" s="3">
        <v>16</v>
      </c>
      <c r="F208" s="3">
        <v>3.55</v>
      </c>
      <c r="G208" s="3">
        <v>0</v>
      </c>
      <c r="H208" s="3">
        <v>0</v>
      </c>
      <c r="I208" s="3">
        <f>E208+G208+H208</f>
        <v>16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9</v>
      </c>
      <c r="K208" s="3">
        <f>I208-J208</f>
        <v>7</v>
      </c>
      <c r="L208" s="3" t="str">
        <f>IF(K208&lt;-5,"CRÍTICO",IF(K208&lt;0,"ATENÇÃO",IF(K208&lt;=5,"BOM","EXCELENTE")))</f>
        <v>EXCELENTE</v>
      </c>
      <c r="M208" s="3">
        <v>0</v>
      </c>
      <c r="N208" s="3">
        <v>100</v>
      </c>
      <c r="O208" s="12">
        <v>28.94736842105263</v>
      </c>
    </row>
    <row r="209" spans="1:15" x14ac:dyDescent="0.25">
      <c r="A209" s="5">
        <v>46155</v>
      </c>
      <c r="B209" s="6" t="s">
        <v>18</v>
      </c>
      <c r="C209" s="1" t="s">
        <v>16</v>
      </c>
      <c r="D209" s="3">
        <v>60</v>
      </c>
      <c r="E209" s="3">
        <v>19</v>
      </c>
      <c r="F209" s="3">
        <v>2.2400000000000002</v>
      </c>
      <c r="G209" s="3">
        <v>0</v>
      </c>
      <c r="H209" s="3">
        <v>0</v>
      </c>
      <c r="I209" s="3">
        <f>E209+G209+H209</f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8</v>
      </c>
      <c r="K209" s="3">
        <f>I209-J209</f>
        <v>11</v>
      </c>
      <c r="L209" s="3" t="str">
        <f>IF(K209&lt;-5,"CRÍTICO",IF(K209&lt;0,"ATENÇÃO",IF(K209&lt;=5,"BOM","EXCELENTE")))</f>
        <v>EXCELENTE</v>
      </c>
      <c r="M209" s="3">
        <v>0</v>
      </c>
      <c r="N209" s="3">
        <v>100</v>
      </c>
      <c r="O209" s="12">
        <v>28.94736842105263</v>
      </c>
    </row>
    <row r="210" spans="1:15" x14ac:dyDescent="0.25">
      <c r="A210" s="5">
        <v>46156</v>
      </c>
      <c r="B210" s="6" t="s">
        <v>18</v>
      </c>
      <c r="C210" s="1" t="s">
        <v>16</v>
      </c>
      <c r="D210" s="3">
        <v>21</v>
      </c>
      <c r="E210" s="3">
        <v>10</v>
      </c>
      <c r="F210" s="3">
        <v>3.22</v>
      </c>
      <c r="G210" s="3">
        <v>5</v>
      </c>
      <c r="H210" s="3">
        <v>0</v>
      </c>
      <c r="I210" s="3">
        <f>E210+G210+H210</f>
        <v>15</v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>8</v>
      </c>
      <c r="K210" s="3">
        <f>I210-J210</f>
        <v>7</v>
      </c>
      <c r="L210" s="3" t="str">
        <f>IF(K210&lt;-5,"CRÍTICO",IF(K210&lt;0,"ATENÇÃO",IF(K210&lt;=5,"BOM","EXCELENTE")))</f>
        <v>EXCELENTE</v>
      </c>
      <c r="M210" s="3">
        <v>0</v>
      </c>
      <c r="N210" s="3">
        <v>100</v>
      </c>
      <c r="O210" s="12">
        <v>28.94736842105263</v>
      </c>
    </row>
    <row r="211" spans="1:15" x14ac:dyDescent="0.25">
      <c r="A211" s="5">
        <v>46157</v>
      </c>
      <c r="B211" s="6" t="s">
        <v>18</v>
      </c>
      <c r="C211" s="1" t="s">
        <v>16</v>
      </c>
      <c r="D211" s="3">
        <v>39</v>
      </c>
      <c r="E211" s="3">
        <v>24</v>
      </c>
      <c r="F211" s="3">
        <v>3.43</v>
      </c>
      <c r="G211" s="3">
        <v>0</v>
      </c>
      <c r="H211" s="3">
        <v>0</v>
      </c>
      <c r="I211" s="3">
        <f>E211+G211+H211</f>
        <v>24</v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>8</v>
      </c>
      <c r="K211" s="3">
        <f>I211-J211</f>
        <v>16</v>
      </c>
      <c r="L211" s="3" t="str">
        <f>IF(K211&lt;-5,"CRÍTICO",IF(K211&lt;0,"ATENÇÃO",IF(K211&lt;=5,"BOM","EXCELENTE")))</f>
        <v>EXCELENTE</v>
      </c>
      <c r="M211" s="3">
        <v>0</v>
      </c>
      <c r="N211" s="3">
        <v>100</v>
      </c>
      <c r="O211" s="12">
        <v>28.94736842105263</v>
      </c>
    </row>
    <row r="212" spans="1:15" hidden="1" x14ac:dyDescent="0.25">
      <c r="A212" s="5">
        <v>46149</v>
      </c>
      <c r="B212" s="6" t="s">
        <v>31</v>
      </c>
      <c r="C212" s="1" t="s">
        <v>32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f>E212+G212+H212</f>
        <v>0</v>
      </c>
      <c r="J212" s="3">
        <v>0</v>
      </c>
      <c r="K212" s="3">
        <f>I212-J212</f>
        <v>0</v>
      </c>
      <c r="L212" s="3" t="str">
        <f>IF(K212&lt;-5,"CRÍTICO",IF(K212&lt;0,"ATENÇÃO",IF(K212&lt;=5,"OPORTUNO","MUITO BOM")))</f>
        <v>OPORTUNO</v>
      </c>
      <c r="M212" s="3">
        <v>0</v>
      </c>
      <c r="N212" s="3">
        <v>100</v>
      </c>
      <c r="O212" s="12">
        <v>0</v>
      </c>
    </row>
    <row r="213" spans="1:15" hidden="1" x14ac:dyDescent="0.25">
      <c r="A213" s="5">
        <v>46149</v>
      </c>
      <c r="B213" s="6" t="s">
        <v>33</v>
      </c>
      <c r="C213" s="1" t="s">
        <v>32</v>
      </c>
      <c r="D213" s="3">
        <v>32</v>
      </c>
      <c r="E213" s="3">
        <v>32</v>
      </c>
      <c r="F213" s="3">
        <v>17.260000000000002</v>
      </c>
      <c r="G213" s="3">
        <v>0</v>
      </c>
      <c r="H213" s="3">
        <v>0</v>
      </c>
      <c r="I213" s="3">
        <f>E213+G213+H213</f>
        <v>32</v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33</v>
      </c>
      <c r="K213" s="3">
        <f>I213-J213</f>
        <v>-1</v>
      </c>
      <c r="L213" s="3" t="str">
        <f>IF(K213&lt;-5,"CRÍTICO",IF(K213&lt;0,"ATENÇÃO",IF(K213&lt;=5,"OPORTUNO","MUITO BOM")))</f>
        <v>ATENÇÃO</v>
      </c>
      <c r="M213" s="3">
        <v>33</v>
      </c>
      <c r="N213" s="3">
        <v>96.94</v>
      </c>
      <c r="O213" s="12">
        <v>19.613259668508292</v>
      </c>
    </row>
    <row r="214" spans="1:15" hidden="1" x14ac:dyDescent="0.25">
      <c r="A214" s="5">
        <v>46149</v>
      </c>
      <c r="B214" s="6" t="s">
        <v>34</v>
      </c>
      <c r="C214" s="1" t="s">
        <v>32</v>
      </c>
      <c r="D214" s="3">
        <v>47</v>
      </c>
      <c r="E214" s="3">
        <v>44</v>
      </c>
      <c r="F214" s="3">
        <v>11.45</v>
      </c>
      <c r="G214" s="3">
        <v>0</v>
      </c>
      <c r="H214" s="3">
        <v>0</v>
      </c>
      <c r="I214" s="3">
        <f>E214+G214+H214</f>
        <v>44</v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>33</v>
      </c>
      <c r="K214" s="3">
        <f>I214-J214</f>
        <v>11</v>
      </c>
      <c r="L214" s="3" t="str">
        <f>IF(K214&lt;-5,"CRÍTICO",IF(K214&lt;0,"ATENÇÃO",IF(K214&lt;=5,"OPORTUNO","MUITO BOM")))</f>
        <v>MUITO BOM</v>
      </c>
      <c r="M214" s="3">
        <v>38</v>
      </c>
      <c r="N214" s="3">
        <v>92.81</v>
      </c>
      <c r="O214" s="12">
        <v>25.477707006369432</v>
      </c>
    </row>
    <row r="215" spans="1:15" hidden="1" x14ac:dyDescent="0.25">
      <c r="A215" s="5">
        <v>46149</v>
      </c>
      <c r="B215" s="6" t="s">
        <v>35</v>
      </c>
      <c r="C215" s="1" t="s">
        <v>32</v>
      </c>
      <c r="D215" s="3">
        <v>31</v>
      </c>
      <c r="E215" s="3">
        <v>30</v>
      </c>
      <c r="F215" s="3">
        <v>21.48</v>
      </c>
      <c r="G215" s="3">
        <v>0</v>
      </c>
      <c r="H215" s="3">
        <v>0</v>
      </c>
      <c r="I215" s="3">
        <f>E215+G215+H215</f>
        <v>30</v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>33</v>
      </c>
      <c r="K215" s="3">
        <f>I215-J215</f>
        <v>-3</v>
      </c>
      <c r="L215" s="3" t="str">
        <f>IF(K215&lt;-5,"CRÍTICO",IF(K215&lt;0,"ATENÇÃO",IF(K215&lt;=5,"OPORTUNO","MUITO BOM")))</f>
        <v>ATENÇÃO</v>
      </c>
      <c r="M215" s="3">
        <v>29</v>
      </c>
      <c r="N215" s="3">
        <v>99.19</v>
      </c>
      <c r="O215" s="12">
        <v>28.404669260700391</v>
      </c>
    </row>
    <row r="216" spans="1:15" hidden="1" x14ac:dyDescent="0.25">
      <c r="A216" s="10">
        <v>46140</v>
      </c>
      <c r="B216" t="s">
        <v>25</v>
      </c>
      <c r="C216" s="1" t="s">
        <v>26</v>
      </c>
      <c r="D216" s="3">
        <v>27</v>
      </c>
      <c r="E216" s="3">
        <v>25</v>
      </c>
      <c r="F216" s="3">
        <v>16.48</v>
      </c>
      <c r="G216" s="3">
        <v>0</v>
      </c>
      <c r="H216" s="3">
        <v>0</v>
      </c>
      <c r="I216" s="3">
        <f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>I216-J216</f>
        <v>6</v>
      </c>
      <c r="L216" s="3" t="str">
        <f>IF(K216&lt;-5,"CRÍTICO",IF(K216&lt;0,"ATENÇÃO",IF(K216&lt;=5,"OPORTUNO","MUITO BOM")))</f>
        <v>MUITO BOM</v>
      </c>
      <c r="M216" s="3">
        <v>26</v>
      </c>
      <c r="N216" s="3">
        <v>97.17</v>
      </c>
      <c r="O216" s="12">
        <v>28.81844380403458</v>
      </c>
    </row>
    <row r="217" spans="1:15" hidden="1" x14ac:dyDescent="0.25">
      <c r="A217" s="10">
        <v>46140</v>
      </c>
      <c r="B217" t="s">
        <v>27</v>
      </c>
      <c r="C217" s="1" t="s">
        <v>26</v>
      </c>
      <c r="D217" s="3">
        <v>17</v>
      </c>
      <c r="E217" s="3">
        <v>14</v>
      </c>
      <c r="F217" s="3">
        <v>22.19</v>
      </c>
      <c r="G217" s="3">
        <v>0</v>
      </c>
      <c r="H217" s="3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>I217-J217</f>
        <v>-5</v>
      </c>
      <c r="L217" s="3" t="str">
        <f>IF(K217&lt;-5,"CRÍTICO",IF(K217&lt;0,"ATENÇÃO",IF(K217&lt;=5,"OPORTUNO","MUITO BOM")))</f>
        <v>ATENÇÃO</v>
      </c>
      <c r="M217" s="3">
        <v>12</v>
      </c>
      <c r="N217" s="3">
        <v>98.15</v>
      </c>
      <c r="O217" s="12">
        <v>27.1551724137931</v>
      </c>
    </row>
    <row r="218" spans="1:15" hidden="1" x14ac:dyDescent="0.25">
      <c r="A218" s="10">
        <v>46140</v>
      </c>
      <c r="B218" t="s">
        <v>28</v>
      </c>
      <c r="C218" s="1" t="s">
        <v>26</v>
      </c>
      <c r="D218" s="3">
        <v>28</v>
      </c>
      <c r="E218" s="3">
        <v>18</v>
      </c>
      <c r="F218" s="3">
        <v>15.03</v>
      </c>
      <c r="G218" s="3">
        <v>0</v>
      </c>
      <c r="H218" s="3">
        <v>0</v>
      </c>
      <c r="I218" s="3">
        <f>E218+G218+H218</f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>I218-J218</f>
        <v>-1</v>
      </c>
      <c r="L218" s="3" t="str">
        <f>IF(K218&lt;-5,"CRÍTICO",IF(K218&lt;0,"ATENÇÃO",IF(K218&lt;=5,"OPORTUNO","MUITO BOM")))</f>
        <v>ATENÇÃO</v>
      </c>
      <c r="M218" s="3">
        <v>12</v>
      </c>
      <c r="N218" s="3">
        <v>96.15</v>
      </c>
      <c r="O218" s="12">
        <v>24.045801526717561</v>
      </c>
    </row>
    <row r="219" spans="1:15" hidden="1" x14ac:dyDescent="0.25">
      <c r="A219" s="10">
        <v>46140</v>
      </c>
      <c r="B219" t="s">
        <v>29</v>
      </c>
      <c r="C219" s="1" t="s">
        <v>26</v>
      </c>
      <c r="D219" s="3">
        <v>23</v>
      </c>
      <c r="E219" s="3">
        <v>22</v>
      </c>
      <c r="F219" s="3">
        <v>17.079999999999998</v>
      </c>
      <c r="G219" s="3">
        <v>0</v>
      </c>
      <c r="H219" s="3">
        <v>0</v>
      </c>
      <c r="I219" s="3">
        <f>E219+G219+H219</f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3</v>
      </c>
      <c r="L219" s="3" t="str">
        <f>IF(K219&lt;-5,"CRÍTICO",IF(K219&lt;0,"ATENÇÃO",IF(K219&lt;=5,"OPORTUNO","MUITO BOM")))</f>
        <v>OPORTUNO</v>
      </c>
      <c r="M219" s="3">
        <v>20</v>
      </c>
      <c r="N219" s="3">
        <v>98.84</v>
      </c>
      <c r="O219" s="12">
        <v>31.868131868131869</v>
      </c>
    </row>
    <row r="220" spans="1:15" hidden="1" x14ac:dyDescent="0.25">
      <c r="A220" s="10">
        <v>46140</v>
      </c>
      <c r="B220" t="s">
        <v>30</v>
      </c>
      <c r="C220" s="1" t="s">
        <v>26</v>
      </c>
      <c r="D220" s="3">
        <v>19</v>
      </c>
      <c r="E220" s="3">
        <v>19</v>
      </c>
      <c r="F220" s="3">
        <v>17.21</v>
      </c>
      <c r="G220" s="3">
        <v>0</v>
      </c>
      <c r="H220" s="3">
        <v>0</v>
      </c>
      <c r="I220" s="3">
        <f>E220+G220+H220</f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>I220-J220</f>
        <v>0</v>
      </c>
      <c r="L220" s="3" t="str">
        <f>IF(K220&lt;-5,"CRÍTICO",IF(K220&lt;0,"ATENÇÃO",IF(K220&lt;=5,"OPORTUNO","MUITO BOM")))</f>
        <v>OPORTUNO</v>
      </c>
      <c r="M220" s="3">
        <v>15</v>
      </c>
      <c r="N220" s="3">
        <v>100</v>
      </c>
      <c r="O220" s="12">
        <v>34.666666666666671</v>
      </c>
    </row>
    <row r="221" spans="1:15" hidden="1" x14ac:dyDescent="0.25">
      <c r="A221" s="10">
        <v>46141</v>
      </c>
      <c r="B221" t="s">
        <v>25</v>
      </c>
      <c r="C221" s="1" t="s">
        <v>26</v>
      </c>
      <c r="D221" s="3">
        <v>24</v>
      </c>
      <c r="E221" s="3">
        <v>22</v>
      </c>
      <c r="F221" s="3">
        <v>19.14</v>
      </c>
      <c r="G221" s="3">
        <v>0</v>
      </c>
      <c r="H221" s="3">
        <v>0</v>
      </c>
      <c r="I221" s="3">
        <f>E221+G221+H221</f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>I221-J221</f>
        <v>2</v>
      </c>
      <c r="L221" s="3" t="str">
        <f>IF(K221&lt;-5,"CRÍTICO",IF(K221&lt;0,"ATENÇÃO",IF(K221&lt;=5,"OPORTUNO","MUITO BOM")))</f>
        <v>OPORTUNO</v>
      </c>
      <c r="M221" s="3">
        <v>22</v>
      </c>
      <c r="N221" s="3">
        <v>97.17</v>
      </c>
      <c r="O221" s="12">
        <v>28.81844380403458</v>
      </c>
    </row>
    <row r="222" spans="1:15" hidden="1" x14ac:dyDescent="0.25">
      <c r="A222" s="10">
        <v>46141</v>
      </c>
      <c r="B222" t="s">
        <v>27</v>
      </c>
      <c r="C222" s="1" t="s">
        <v>26</v>
      </c>
      <c r="D222" s="3">
        <v>16</v>
      </c>
      <c r="E222" s="3">
        <v>14</v>
      </c>
      <c r="F222" s="3">
        <v>20.46</v>
      </c>
      <c r="G222" s="3">
        <v>0</v>
      </c>
      <c r="H222" s="3">
        <v>0</v>
      </c>
      <c r="I222" s="3">
        <f>E222+G222+H222</f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>I222-J222</f>
        <v>-6</v>
      </c>
      <c r="L222" s="3" t="str">
        <f>IF(K222&lt;-5,"CRÍTICO",IF(K222&lt;0,"ATENÇÃO",IF(K222&lt;=5,"OPORTUNO","MUITO BOM")))</f>
        <v>CRÍTICO</v>
      </c>
      <c r="M222" s="3">
        <v>11</v>
      </c>
      <c r="N222" s="3">
        <v>98.15</v>
      </c>
      <c r="O222" s="12">
        <v>27.1551724137931</v>
      </c>
    </row>
    <row r="223" spans="1:15" hidden="1" x14ac:dyDescent="0.25">
      <c r="A223" s="10">
        <v>46141</v>
      </c>
      <c r="B223" t="s">
        <v>28</v>
      </c>
      <c r="C223" s="1" t="s">
        <v>26</v>
      </c>
      <c r="D223" s="3">
        <v>0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 t="str">
        <f>IF(K223&lt;-5,"CRÍTICO",IF(K223&lt;0,"ATENÇÃO",IF(K223&lt;=5,"OPORTUNO","MUITO BOM")))</f>
        <v>OPORTUNO</v>
      </c>
      <c r="M223" s="3">
        <v>0</v>
      </c>
      <c r="N223" s="3">
        <v>96.15</v>
      </c>
      <c r="O223" s="12">
        <v>24.045801526717561</v>
      </c>
    </row>
    <row r="224" spans="1:15" hidden="1" x14ac:dyDescent="0.25">
      <c r="A224" s="10">
        <v>46141</v>
      </c>
      <c r="B224" t="s">
        <v>29</v>
      </c>
      <c r="C224" s="1" t="s">
        <v>26</v>
      </c>
      <c r="D224" s="3">
        <v>23</v>
      </c>
      <c r="E224" s="3">
        <v>22</v>
      </c>
      <c r="F224" s="3">
        <v>17.07</v>
      </c>
      <c r="G224" s="3">
        <v>0</v>
      </c>
      <c r="H224" s="3">
        <v>0</v>
      </c>
      <c r="I224" s="3">
        <f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>I224-J224</f>
        <v>2</v>
      </c>
      <c r="L224" s="3" t="str">
        <f>IF(K224&lt;-5,"CRÍTICO",IF(K224&lt;0,"ATENÇÃO",IF(K224&lt;=5,"OPORTUNO","MUITO BOM")))</f>
        <v>OPORTUNO</v>
      </c>
      <c r="M224" s="3">
        <v>17</v>
      </c>
      <c r="N224" s="3">
        <v>98.84</v>
      </c>
      <c r="O224" s="12">
        <v>31.868131868131869</v>
      </c>
    </row>
    <row r="225" spans="1:15" hidden="1" x14ac:dyDescent="0.25">
      <c r="A225" s="10">
        <v>46141</v>
      </c>
      <c r="B225" t="s">
        <v>30</v>
      </c>
      <c r="C225" s="1" t="s">
        <v>26</v>
      </c>
      <c r="D225" s="3">
        <v>24</v>
      </c>
      <c r="E225" s="3">
        <v>23</v>
      </c>
      <c r="F225" s="3">
        <v>17.3</v>
      </c>
      <c r="G225" s="3">
        <v>0</v>
      </c>
      <c r="H225" s="3">
        <v>0</v>
      </c>
      <c r="I225" s="3">
        <f>E225+G225+H225</f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3</v>
      </c>
      <c r="L225" s="3" t="str">
        <f>IF(K225&lt;-5,"CRÍTICO",IF(K225&lt;0,"ATENÇÃO",IF(K225&lt;=5,"OPORTUNO","MUITO BOM")))</f>
        <v>OPORTUNO</v>
      </c>
      <c r="M225" s="3">
        <v>18</v>
      </c>
      <c r="N225" s="3">
        <v>100</v>
      </c>
      <c r="O225" s="12">
        <v>34.666666666666671</v>
      </c>
    </row>
    <row r="226" spans="1:15" hidden="1" x14ac:dyDescent="0.25">
      <c r="A226" s="10">
        <v>46142</v>
      </c>
      <c r="B226" t="s">
        <v>25</v>
      </c>
      <c r="C226" s="1" t="s">
        <v>26</v>
      </c>
      <c r="D226" s="3">
        <v>19</v>
      </c>
      <c r="E226" s="3">
        <v>17</v>
      </c>
      <c r="F226" s="3">
        <v>19.12</v>
      </c>
      <c r="G226" s="3">
        <v>0</v>
      </c>
      <c r="H226" s="3">
        <v>0</v>
      </c>
      <c r="I226" s="3">
        <f>E226+G226+H226</f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>I226-J226</f>
        <v>-1</v>
      </c>
      <c r="L226" s="3" t="str">
        <f>IF(K226&lt;-5,"CRÍTICO",IF(K226&lt;0,"ATENÇÃO",IF(K226&lt;=5,"OPORTUNO","MUITO BOM")))</f>
        <v>ATENÇÃO</v>
      </c>
      <c r="M226" s="3">
        <v>17</v>
      </c>
      <c r="N226" s="3">
        <v>97.17</v>
      </c>
      <c r="O226" s="12">
        <v>28.81844380403458</v>
      </c>
    </row>
    <row r="227" spans="1:15" hidden="1" x14ac:dyDescent="0.25">
      <c r="A227" s="10">
        <v>46142</v>
      </c>
      <c r="B227" t="s">
        <v>27</v>
      </c>
      <c r="C227" s="1" t="s">
        <v>26</v>
      </c>
      <c r="D227" s="3">
        <v>22</v>
      </c>
      <c r="E227" s="3">
        <v>21</v>
      </c>
      <c r="F227" s="3">
        <v>17.260000000000002</v>
      </c>
      <c r="G227" s="3">
        <v>0</v>
      </c>
      <c r="H227" s="3">
        <v>0</v>
      </c>
      <c r="I227" s="3">
        <f>E227+G227+H227</f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>I227-J227</f>
        <v>3</v>
      </c>
      <c r="L227" s="3" t="str">
        <f>IF(K227&lt;-5,"CRÍTICO",IF(K227&lt;0,"ATENÇÃO",IF(K227&lt;=5,"OPORTUNO","MUITO BOM")))</f>
        <v>OPORTUNO</v>
      </c>
      <c r="M227" s="3">
        <v>19</v>
      </c>
      <c r="N227" s="3">
        <v>98.15</v>
      </c>
      <c r="O227" s="12">
        <v>27.1551724137931</v>
      </c>
    </row>
    <row r="228" spans="1:15" hidden="1" x14ac:dyDescent="0.25">
      <c r="A228" s="10">
        <v>46142</v>
      </c>
      <c r="B228" t="s">
        <v>28</v>
      </c>
      <c r="C228" s="1" t="s">
        <v>26</v>
      </c>
      <c r="D228" s="3">
        <v>36</v>
      </c>
      <c r="E228" s="3">
        <v>20</v>
      </c>
      <c r="F228" s="3">
        <v>9.19</v>
      </c>
      <c r="G228" s="3">
        <v>0</v>
      </c>
      <c r="H228" s="3">
        <v>0</v>
      </c>
      <c r="I228" s="3">
        <f>E228+G228+H228</f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>I228-J228</f>
        <v>2</v>
      </c>
      <c r="L228" s="3" t="str">
        <f>IF(K228&lt;-5,"CRÍTICO",IF(K228&lt;0,"ATENÇÃO",IF(K228&lt;=5,"OPORTUNO","MUITO BOM")))</f>
        <v>OPORTUNO</v>
      </c>
      <c r="M228" s="3">
        <v>9</v>
      </c>
      <c r="N228" s="3">
        <v>96.15</v>
      </c>
      <c r="O228" s="12">
        <v>24.045801526717561</v>
      </c>
    </row>
    <row r="229" spans="1:15" hidden="1" x14ac:dyDescent="0.25">
      <c r="A229" s="10">
        <v>46142</v>
      </c>
      <c r="B229" t="s">
        <v>29</v>
      </c>
      <c r="C229" s="1" t="s">
        <v>26</v>
      </c>
      <c r="D229" s="3">
        <v>19</v>
      </c>
      <c r="E229" s="3">
        <v>19</v>
      </c>
      <c r="F229" s="3">
        <v>20.079999999999998</v>
      </c>
      <c r="G229" s="3">
        <v>0</v>
      </c>
      <c r="H229" s="3">
        <v>0</v>
      </c>
      <c r="I229" s="3">
        <f>E229+G229+H229</f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>I229-J229</f>
        <v>1</v>
      </c>
      <c r="L229" s="3" t="str">
        <f>IF(K229&lt;-5,"CRÍTICO",IF(K229&lt;0,"ATENÇÃO",IF(K229&lt;=5,"OPORTUNO","MUITO BOM")))</f>
        <v>OPORTUNO</v>
      </c>
      <c r="M229" s="3">
        <v>16</v>
      </c>
      <c r="N229" s="3">
        <v>98.84</v>
      </c>
      <c r="O229" s="12">
        <v>31.868131868131869</v>
      </c>
    </row>
    <row r="230" spans="1:15" hidden="1" x14ac:dyDescent="0.25">
      <c r="A230" s="10">
        <v>46142</v>
      </c>
      <c r="B230" t="s">
        <v>30</v>
      </c>
      <c r="C230" s="1" t="s">
        <v>26</v>
      </c>
      <c r="D230" s="3">
        <v>15</v>
      </c>
      <c r="E230" s="3">
        <v>13</v>
      </c>
      <c r="F230" s="3">
        <v>13.59</v>
      </c>
      <c r="G230" s="3">
        <v>0</v>
      </c>
      <c r="H230" s="3">
        <v>0</v>
      </c>
      <c r="I230" s="3">
        <f>E230+G230+H230</f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>I230-J230</f>
        <v>-5</v>
      </c>
      <c r="L230" s="3" t="str">
        <f>IF(K230&lt;-5,"CRÍTICO",IF(K230&lt;0,"ATENÇÃO",IF(K230&lt;=5,"OPORTUNO","MUITO BOM")))</f>
        <v>ATENÇÃO</v>
      </c>
      <c r="M230" s="3">
        <v>12</v>
      </c>
      <c r="N230" s="3">
        <v>100</v>
      </c>
      <c r="O230" s="12">
        <v>34.666666666666671</v>
      </c>
    </row>
    <row r="231" spans="1:15" hidden="1" x14ac:dyDescent="0.25">
      <c r="A231" s="5">
        <v>46149</v>
      </c>
      <c r="B231" s="6" t="s">
        <v>36</v>
      </c>
      <c r="C231" s="1" t="s">
        <v>32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f>E231+G231+H231</f>
        <v>0</v>
      </c>
      <c r="J231" s="3">
        <v>0</v>
      </c>
      <c r="K231" s="3">
        <f>I231-J231</f>
        <v>0</v>
      </c>
      <c r="L231" s="3" t="str">
        <f>IF(K231&lt;-5,"CRÍTICO",IF(K231&lt;0,"ATENÇÃO",IF(K231&lt;=5,"OPORTUNO","MUITO BOM")))</f>
        <v>OPORTUNO</v>
      </c>
      <c r="M231" s="3">
        <v>0</v>
      </c>
      <c r="N231" s="3">
        <v>100</v>
      </c>
      <c r="O231" s="12">
        <v>13.51351351351351</v>
      </c>
    </row>
    <row r="232" spans="1:15" hidden="1" x14ac:dyDescent="0.25">
      <c r="A232" s="5">
        <v>46149</v>
      </c>
      <c r="B232" s="6" t="s">
        <v>37</v>
      </c>
      <c r="C232" s="1" t="s">
        <v>32</v>
      </c>
      <c r="D232" s="3">
        <v>56</v>
      </c>
      <c r="E232" s="3">
        <v>51</v>
      </c>
      <c r="F232" s="3">
        <v>13.48</v>
      </c>
      <c r="G232" s="3">
        <v>9</v>
      </c>
      <c r="H232" s="3">
        <v>0</v>
      </c>
      <c r="I232" s="3">
        <f>E232+G232+H232</f>
        <v>60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33</v>
      </c>
      <c r="K232" s="3">
        <f>I232-J232</f>
        <v>27</v>
      </c>
      <c r="L232" s="3" t="str">
        <f>IF(K232&lt;-5,"CRÍTICO",IF(K232&lt;0,"ATENÇÃO",IF(K232&lt;=5,"OPORTUNO","MUITO BOM")))</f>
        <v>MUITO BOM</v>
      </c>
      <c r="M232" s="3">
        <v>49</v>
      </c>
      <c r="N232" s="3">
        <v>99</v>
      </c>
      <c r="O232" s="12">
        <v>22.27414330218069</v>
      </c>
    </row>
    <row r="233" spans="1:15" hidden="1" x14ac:dyDescent="0.25">
      <c r="A233" s="5">
        <v>46149</v>
      </c>
      <c r="B233" s="6" t="s">
        <v>38</v>
      </c>
      <c r="C233" s="1" t="s">
        <v>32</v>
      </c>
      <c r="D233" s="3">
        <v>48</v>
      </c>
      <c r="E233" s="3">
        <v>39</v>
      </c>
      <c r="F233" s="3">
        <v>10.43</v>
      </c>
      <c r="G233" s="3">
        <v>6</v>
      </c>
      <c r="H233" s="3">
        <v>0</v>
      </c>
      <c r="I233" s="3">
        <f>E233+G233+H233</f>
        <v>45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33</v>
      </c>
      <c r="K233" s="3">
        <f>I233-J233</f>
        <v>12</v>
      </c>
      <c r="L233" s="3" t="str">
        <f>IF(K233&lt;-5,"CRÍTICO",IF(K233&lt;0,"ATENÇÃO",IF(K233&lt;=5,"OPORTUNO","MUITO BOM")))</f>
        <v>MUITO BOM</v>
      </c>
      <c r="M233" s="3">
        <v>41</v>
      </c>
      <c r="N233" s="3">
        <v>97.04</v>
      </c>
      <c r="O233" s="12">
        <v>29.828850855745721</v>
      </c>
    </row>
    <row r="234" spans="1:15" hidden="1" x14ac:dyDescent="0.25">
      <c r="A234" s="5">
        <v>46149</v>
      </c>
      <c r="B234" s="6" t="s">
        <v>39</v>
      </c>
      <c r="C234" s="1" t="s">
        <v>32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f>E234+G234+H234</f>
        <v>0</v>
      </c>
      <c r="J234" s="3">
        <v>0</v>
      </c>
      <c r="K234" s="3">
        <f>I234-J234</f>
        <v>0</v>
      </c>
      <c r="L234" s="3" t="str">
        <f>IF(K234&lt;-5,"CRÍTICO",IF(K234&lt;0,"ATENÇÃO",IF(K234&lt;=5,"OPORTUNO","MUITO BOM")))</f>
        <v>OPORTUNO</v>
      </c>
      <c r="M234" s="3">
        <v>0</v>
      </c>
      <c r="N234" s="3">
        <v>0</v>
      </c>
      <c r="O234" s="12">
        <v>0</v>
      </c>
    </row>
    <row r="235" spans="1:15" hidden="1" x14ac:dyDescent="0.25">
      <c r="A235" s="5">
        <v>46149</v>
      </c>
      <c r="B235" s="6" t="s">
        <v>40</v>
      </c>
      <c r="C235" s="1" t="s">
        <v>32</v>
      </c>
      <c r="D235" s="3">
        <v>20</v>
      </c>
      <c r="E235" s="3">
        <v>19</v>
      </c>
      <c r="F235" s="3">
        <v>20.329999999999998</v>
      </c>
      <c r="G235" s="3">
        <v>4</v>
      </c>
      <c r="H235" s="3">
        <v>0</v>
      </c>
      <c r="I235" s="3">
        <f>E235+G235+H235</f>
        <v>23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33</v>
      </c>
      <c r="K235" s="3">
        <f>I235-J235</f>
        <v>-10</v>
      </c>
      <c r="L235" s="3" t="str">
        <f>IF(K235&lt;-5,"CRÍTICO",IF(K235&lt;0,"ATENÇÃO",IF(K235&lt;=5,"OPORTUNO","MUITO BOM")))</f>
        <v>CRÍTICO</v>
      </c>
      <c r="M235" s="3">
        <v>23</v>
      </c>
      <c r="N235" s="3">
        <v>96.84</v>
      </c>
      <c r="O235" s="12">
        <v>16.338028169014081</v>
      </c>
    </row>
    <row r="236" spans="1:15" hidden="1" x14ac:dyDescent="0.25">
      <c r="A236" s="5">
        <v>46149</v>
      </c>
      <c r="B236" s="6" t="s">
        <v>41</v>
      </c>
      <c r="C236" s="1" t="s">
        <v>32</v>
      </c>
      <c r="D236" s="3">
        <v>25</v>
      </c>
      <c r="E236" s="3">
        <v>23</v>
      </c>
      <c r="F236" s="3">
        <v>20.420000000000002</v>
      </c>
      <c r="G236" s="3">
        <v>0</v>
      </c>
      <c r="H236" s="3">
        <v>0</v>
      </c>
      <c r="I236" s="3">
        <f>E236+G236+H236</f>
        <v>23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33</v>
      </c>
      <c r="K236" s="3">
        <f>I236-J236</f>
        <v>-10</v>
      </c>
      <c r="L236" s="3" t="str">
        <f>IF(K236&lt;-5,"CRÍTICO",IF(K236&lt;0,"ATENÇÃO",IF(K236&lt;=5,"OPORTUNO","MUITO BOM")))</f>
        <v>CRÍTICO</v>
      </c>
      <c r="M236" s="3">
        <v>25</v>
      </c>
      <c r="N236" s="3">
        <v>100</v>
      </c>
      <c r="O236" s="12">
        <v>18.244803695150122</v>
      </c>
    </row>
    <row r="237" spans="1:15" hidden="1" x14ac:dyDescent="0.25">
      <c r="A237" s="10">
        <v>46140</v>
      </c>
      <c r="B237" t="s">
        <v>31</v>
      </c>
      <c r="C237" s="1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12">
        <v>35.416666666666671</v>
      </c>
    </row>
    <row r="238" spans="1:15" hidden="1" x14ac:dyDescent="0.25">
      <c r="A238" s="10">
        <v>46140</v>
      </c>
      <c r="B238" t="s">
        <v>33</v>
      </c>
      <c r="C238" s="1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100</v>
      </c>
      <c r="O238" s="12">
        <v>27.803738317757009</v>
      </c>
    </row>
    <row r="239" spans="1:15" hidden="1" x14ac:dyDescent="0.25">
      <c r="A239" s="10">
        <v>46140</v>
      </c>
      <c r="B239" t="s">
        <v>34</v>
      </c>
      <c r="C239" s="1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>E239+G239+H239</f>
        <v>24</v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>I239-J239</f>
        <v>-10</v>
      </c>
      <c r="L239" s="3" t="str">
        <f>IF(K239&lt;-5,"CRÍTICO",IF(K239&lt;0,"ATENÇÃO",IF(K239&lt;=5,"OPORTUNO","MUITO BOM")))</f>
        <v>CRÍTICO</v>
      </c>
      <c r="M239" s="3">
        <v>22</v>
      </c>
      <c r="N239" s="3">
        <v>93.75</v>
      </c>
      <c r="O239" s="12">
        <v>26.819923371647509</v>
      </c>
    </row>
    <row r="240" spans="1:15" hidden="1" x14ac:dyDescent="0.25">
      <c r="A240" s="10">
        <v>46140</v>
      </c>
      <c r="B240" t="s">
        <v>35</v>
      </c>
      <c r="C240" s="1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>E240+G240+H240</f>
        <v>28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34</v>
      </c>
      <c r="K240" s="3">
        <f>I240-J240</f>
        <v>-6</v>
      </c>
      <c r="L240" s="3" t="str">
        <f>IF(K240&lt;-5,"CRÍTICO",IF(K240&lt;0,"ATENÇÃO",IF(K240&lt;=5,"OPORTUNO","MUITO BOM")))</f>
        <v>CRÍTICO</v>
      </c>
      <c r="M240" s="3">
        <v>29</v>
      </c>
      <c r="N240" s="3">
        <v>100</v>
      </c>
      <c r="O240" s="12">
        <v>38.653846153846153</v>
      </c>
    </row>
    <row r="241" spans="1:15" hidden="1" x14ac:dyDescent="0.25">
      <c r="A241" s="10">
        <v>46140</v>
      </c>
      <c r="B241" t="s">
        <v>36</v>
      </c>
      <c r="C241" s="1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>E241+G241+H241</f>
        <v>31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34</v>
      </c>
      <c r="K241" s="3">
        <f>I241-J241</f>
        <v>-3</v>
      </c>
      <c r="L241" s="3" t="str">
        <f>IF(K241&lt;-5,"CRÍTICO",IF(K241&lt;0,"ATENÇÃO",IF(K241&lt;=5,"OPORTUNO","MUITO BOM")))</f>
        <v>ATENÇÃO</v>
      </c>
      <c r="M241" s="3">
        <v>30</v>
      </c>
      <c r="N241" s="3">
        <v>99.26</v>
      </c>
      <c r="O241" s="12">
        <v>29.766536964980549</v>
      </c>
    </row>
    <row r="242" spans="1:15" hidden="1" x14ac:dyDescent="0.25">
      <c r="A242" s="10">
        <v>46140</v>
      </c>
      <c r="B242" t="s">
        <v>37</v>
      </c>
      <c r="C242" s="1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>E242+G242+H242</f>
        <v>35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34</v>
      </c>
      <c r="K242" s="3">
        <f>I242-J242</f>
        <v>1</v>
      </c>
      <c r="L242" s="3" t="str">
        <f>IF(K242&lt;-5,"CRÍTICO",IF(K242&lt;0,"ATENÇÃO",IF(K242&lt;=5,"OPORTUNO","MUITO BOM")))</f>
        <v>OPORTUNO</v>
      </c>
      <c r="M242" s="3">
        <v>32</v>
      </c>
      <c r="N242" s="3">
        <v>99.57</v>
      </c>
      <c r="O242" s="12">
        <v>30.635838150289018</v>
      </c>
    </row>
    <row r="243" spans="1:15" hidden="1" x14ac:dyDescent="0.25">
      <c r="A243" s="10">
        <v>46034</v>
      </c>
      <c r="B243" t="s">
        <v>22</v>
      </c>
      <c r="C243" s="1" t="s">
        <v>23</v>
      </c>
      <c r="D243" s="3">
        <v>22</v>
      </c>
      <c r="E243" s="3">
        <v>22</v>
      </c>
      <c r="F243" s="3">
        <v>20.39</v>
      </c>
      <c r="G243" s="3">
        <v>0</v>
      </c>
      <c r="H243" s="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 s="3">
        <v>20</v>
      </c>
      <c r="N243" s="3">
        <v>98.91</v>
      </c>
      <c r="O243" s="12">
        <v>31.367292225201069</v>
      </c>
    </row>
    <row r="244" spans="1:15" hidden="1" x14ac:dyDescent="0.25">
      <c r="A244" s="10">
        <v>46140</v>
      </c>
      <c r="B244" t="s">
        <v>38</v>
      </c>
      <c r="C244" s="1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>E244+G244+H244</f>
        <v>28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34</v>
      </c>
      <c r="K244" s="3">
        <f>I244-J244</f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12">
        <v>32.432432432432442</v>
      </c>
    </row>
    <row r="245" spans="1:15" hidden="1" x14ac:dyDescent="0.25">
      <c r="A245" s="10">
        <v>46140</v>
      </c>
      <c r="B245" t="s">
        <v>39</v>
      </c>
      <c r="C245" s="1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0</v>
      </c>
      <c r="O245" s="12">
        <v>0</v>
      </c>
    </row>
    <row r="246" spans="1:15" hidden="1" x14ac:dyDescent="0.25">
      <c r="A246" s="10">
        <v>46140</v>
      </c>
      <c r="B246" t="s">
        <v>40</v>
      </c>
      <c r="C246" s="1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26</v>
      </c>
      <c r="N246" s="3">
        <v>96.81</v>
      </c>
      <c r="O246" s="12">
        <v>48.018648018648022</v>
      </c>
    </row>
    <row r="247" spans="1:15" hidden="1" x14ac:dyDescent="0.25">
      <c r="A247" s="10">
        <v>46140</v>
      </c>
      <c r="B247" t="s">
        <v>41</v>
      </c>
      <c r="C247" s="1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12">
        <v>27.586206896551719</v>
      </c>
    </row>
    <row r="248" spans="1:15" hidden="1" x14ac:dyDescent="0.25">
      <c r="A248" s="10">
        <v>46140</v>
      </c>
      <c r="B248" t="s">
        <v>42</v>
      </c>
      <c r="C248" s="1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IF(K248&lt;-5,"CRÍTICO",IF(K248&lt;0,"ATENÇÃO",IF(K248&lt;=5,"OPORTUNO","MUITO BOM")))</f>
        <v>OPORTUNO</v>
      </c>
      <c r="M248" s="3">
        <v>0</v>
      </c>
      <c r="N248" s="3">
        <v>88.68</v>
      </c>
      <c r="O248" s="12">
        <v>22.03389830508474</v>
      </c>
    </row>
    <row r="249" spans="1:15" hidden="1" x14ac:dyDescent="0.25">
      <c r="A249" s="10">
        <v>46083</v>
      </c>
      <c r="B249" t="s">
        <v>43</v>
      </c>
      <c r="C249" s="1" t="s">
        <v>32</v>
      </c>
      <c r="D249" s="3">
        <v>43</v>
      </c>
      <c r="E249" s="3">
        <v>38</v>
      </c>
      <c r="F249" s="3">
        <v>17.28</v>
      </c>
      <c r="G249" s="3">
        <v>0</v>
      </c>
      <c r="H249" s="3">
        <v>0</v>
      </c>
      <c r="I249" s="3">
        <f>E249+G249+H249</f>
        <v>38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27</v>
      </c>
      <c r="K249" s="3">
        <f>I249-J249</f>
        <v>11</v>
      </c>
      <c r="L249" s="3" t="str">
        <f>IF(K249&lt;-5,"CRÍTICO",IF(K249&lt;0,"ATENÇÃO",IF(K249&lt;=5,"BOM","EXCELENTE")))</f>
        <v>EXCELENTE</v>
      </c>
      <c r="M249" s="3">
        <v>40</v>
      </c>
      <c r="N249" s="3">
        <v>98.86</v>
      </c>
      <c r="O249" s="12">
        <v>28.959276018099551</v>
      </c>
    </row>
    <row r="250" spans="1:15" hidden="1" x14ac:dyDescent="0.25">
      <c r="A250" s="10">
        <v>46140</v>
      </c>
      <c r="B250" t="s">
        <v>44</v>
      </c>
      <c r="C250" s="1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12">
        <v>28.370221327967808</v>
      </c>
    </row>
    <row r="251" spans="1:15" hidden="1" x14ac:dyDescent="0.25">
      <c r="A251" s="10">
        <v>46140</v>
      </c>
      <c r="B251" t="s">
        <v>45</v>
      </c>
      <c r="C251" s="1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12">
        <v>31.135531135531139</v>
      </c>
    </row>
    <row r="252" spans="1:15" hidden="1" x14ac:dyDescent="0.25">
      <c r="A252" s="10">
        <v>46140</v>
      </c>
      <c r="B252" t="s">
        <v>46</v>
      </c>
      <c r="C252" s="1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12">
        <v>25.188916876574311</v>
      </c>
    </row>
    <row r="253" spans="1:15" hidden="1" x14ac:dyDescent="0.25">
      <c r="A253" s="11">
        <v>46140</v>
      </c>
      <c r="B253" t="s">
        <v>47</v>
      </c>
      <c r="C253" s="1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12">
        <v>32.764505119453922</v>
      </c>
    </row>
    <row r="254" spans="1:15" hidden="1" x14ac:dyDescent="0.25">
      <c r="A254" s="10">
        <v>46140</v>
      </c>
      <c r="B254" t="s">
        <v>49</v>
      </c>
      <c r="C254" s="1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12">
        <v>30.741410488245929</v>
      </c>
    </row>
    <row r="255" spans="1:15" hidden="1" x14ac:dyDescent="0.25">
      <c r="A255" s="10">
        <v>46140</v>
      </c>
      <c r="B255" t="s">
        <v>50</v>
      </c>
      <c r="C255" s="1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12">
        <v>27.170868347338931</v>
      </c>
    </row>
    <row r="256" spans="1:15" hidden="1" x14ac:dyDescent="0.25">
      <c r="A256" s="10">
        <v>46140</v>
      </c>
      <c r="B256" t="s">
        <v>51</v>
      </c>
      <c r="C256" s="1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12">
        <v>31.018518518518519</v>
      </c>
    </row>
    <row r="257" spans="1:15" hidden="1" x14ac:dyDescent="0.25">
      <c r="A257" s="10">
        <v>46140</v>
      </c>
      <c r="B257" t="s">
        <v>52</v>
      </c>
      <c r="C257" s="1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12">
        <v>28.35164835164835</v>
      </c>
    </row>
    <row r="258" spans="1:15" hidden="1" x14ac:dyDescent="0.25">
      <c r="A258" s="10">
        <v>46140</v>
      </c>
      <c r="B258" t="s">
        <v>53</v>
      </c>
      <c r="C258" s="1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12">
        <v>29.462365591397852</v>
      </c>
    </row>
    <row r="259" spans="1:15" hidden="1" x14ac:dyDescent="0.25">
      <c r="A259" s="10">
        <v>46140</v>
      </c>
      <c r="B259" t="s">
        <v>54</v>
      </c>
      <c r="C259" s="1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12">
        <v>28.921568627450981</v>
      </c>
    </row>
    <row r="260" spans="1:15" hidden="1" x14ac:dyDescent="0.25">
      <c r="A260" s="10">
        <v>46140</v>
      </c>
      <c r="B260" t="s">
        <v>55</v>
      </c>
      <c r="C260" s="1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12">
        <v>26.256983240223459</v>
      </c>
    </row>
    <row r="261" spans="1:15" hidden="1" x14ac:dyDescent="0.25">
      <c r="A261" s="10">
        <v>46140</v>
      </c>
      <c r="B261" t="s">
        <v>56</v>
      </c>
      <c r="C261" s="1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12">
        <v>29.75206611570248</v>
      </c>
    </row>
    <row r="262" spans="1:15" hidden="1" x14ac:dyDescent="0.25">
      <c r="A262" s="10">
        <v>46140</v>
      </c>
      <c r="B262" t="s">
        <v>57</v>
      </c>
      <c r="C262" s="1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IF(K262&lt;-5,"CRÍTICO",IF(K262&lt;0,"ATENÇÃO",IF(K262&lt;=5,"OPORTUNO","MUITO BOM")))</f>
        <v>OPORTUNO</v>
      </c>
      <c r="M262" s="3">
        <v>0</v>
      </c>
      <c r="N262" s="3">
        <v>98.73</v>
      </c>
      <c r="O262" s="12">
        <v>28.961748633879779</v>
      </c>
    </row>
    <row r="263" spans="1:15" hidden="1" x14ac:dyDescent="0.25">
      <c r="A263" s="10">
        <v>46140</v>
      </c>
      <c r="B263" t="s">
        <v>58</v>
      </c>
      <c r="C263" s="1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IF(K263&lt;-5,"CRÍTICO",IF(K263&lt;0,"ATENÇÃO",IF(K263&lt;=5,"OPORTUNO","MUITO BOM")))</f>
        <v>OPORTUNO</v>
      </c>
      <c r="M263" s="3">
        <v>0</v>
      </c>
      <c r="N263" s="3">
        <v>99.02</v>
      </c>
      <c r="O263" s="12">
        <v>34.797297297297298</v>
      </c>
    </row>
    <row r="264" spans="1:15" hidden="1" x14ac:dyDescent="0.25">
      <c r="A264" s="10">
        <v>46140</v>
      </c>
      <c r="B264" t="s">
        <v>59</v>
      </c>
      <c r="C264" s="1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12">
        <v>30.648330058939099</v>
      </c>
    </row>
    <row r="265" spans="1:15" hidden="1" x14ac:dyDescent="0.25">
      <c r="A265" s="10">
        <v>46140</v>
      </c>
      <c r="B265" t="s">
        <v>60</v>
      </c>
      <c r="C265" s="1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12">
        <v>32.219570405727922</v>
      </c>
    </row>
    <row r="266" spans="1:15" hidden="1" x14ac:dyDescent="0.25">
      <c r="A266" s="10">
        <v>46140</v>
      </c>
      <c r="B266" t="s">
        <v>61</v>
      </c>
      <c r="C266" s="1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12">
        <v>36.594202898550733</v>
      </c>
    </row>
    <row r="267" spans="1:15" hidden="1" x14ac:dyDescent="0.25">
      <c r="A267" s="10">
        <v>46140</v>
      </c>
      <c r="B267" t="s">
        <v>22</v>
      </c>
      <c r="C267" s="1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12">
        <v>27.689243027888441</v>
      </c>
    </row>
    <row r="268" spans="1:15" hidden="1" x14ac:dyDescent="0.25">
      <c r="A268" s="10">
        <v>46140</v>
      </c>
      <c r="B268" t="s">
        <v>62</v>
      </c>
      <c r="C268" s="1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12">
        <v>25.76530612244898</v>
      </c>
    </row>
    <row r="269" spans="1:15" hidden="1" x14ac:dyDescent="0.25">
      <c r="A269" s="10">
        <v>46140</v>
      </c>
      <c r="B269" t="s">
        <v>63</v>
      </c>
      <c r="C269" s="1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12">
        <v>26.858513189448441</v>
      </c>
    </row>
    <row r="270" spans="1:15" hidden="1" x14ac:dyDescent="0.25">
      <c r="A270" s="10">
        <v>46140</v>
      </c>
      <c r="B270" t="s">
        <v>64</v>
      </c>
      <c r="C270" s="1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12">
        <v>26.36986301369863</v>
      </c>
    </row>
    <row r="271" spans="1:15" hidden="1" x14ac:dyDescent="0.25">
      <c r="A271" s="10">
        <v>46141</v>
      </c>
      <c r="B271" t="s">
        <v>31</v>
      </c>
      <c r="C271" s="1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12">
        <v>35.416666666666671</v>
      </c>
    </row>
    <row r="272" spans="1:15" hidden="1" x14ac:dyDescent="0.25">
      <c r="A272" s="10">
        <v>46141</v>
      </c>
      <c r="B272" t="s">
        <v>33</v>
      </c>
      <c r="C272" s="1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12">
        <v>27.803738317757009</v>
      </c>
    </row>
    <row r="273" spans="1:15" hidden="1" x14ac:dyDescent="0.25">
      <c r="A273" s="10">
        <v>46141</v>
      </c>
      <c r="B273" t="s">
        <v>34</v>
      </c>
      <c r="C273" s="1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12">
        <v>26.819923371647509</v>
      </c>
    </row>
    <row r="274" spans="1:15" hidden="1" x14ac:dyDescent="0.25">
      <c r="A274" s="10">
        <v>46141</v>
      </c>
      <c r="B274" t="s">
        <v>35</v>
      </c>
      <c r="C274" s="1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12">
        <v>38.653846153846153</v>
      </c>
    </row>
    <row r="275" spans="1:15" hidden="1" x14ac:dyDescent="0.25">
      <c r="A275" s="10">
        <v>46141</v>
      </c>
      <c r="B275" t="s">
        <v>36</v>
      </c>
      <c r="C275" s="1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12">
        <v>29.766536964980549</v>
      </c>
    </row>
    <row r="276" spans="1:15" hidden="1" x14ac:dyDescent="0.25">
      <c r="A276" s="10">
        <v>46141</v>
      </c>
      <c r="B276" t="s">
        <v>37</v>
      </c>
      <c r="C276" s="1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12">
        <v>30.635838150289018</v>
      </c>
    </row>
    <row r="277" spans="1:15" hidden="1" x14ac:dyDescent="0.25">
      <c r="A277" s="10">
        <v>46141</v>
      </c>
      <c r="B277" t="s">
        <v>38</v>
      </c>
      <c r="C277" s="1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12">
        <v>32.432432432432442</v>
      </c>
    </row>
    <row r="278" spans="1:15" hidden="1" x14ac:dyDescent="0.25">
      <c r="A278" s="10">
        <v>46141</v>
      </c>
      <c r="B278" t="s">
        <v>39</v>
      </c>
      <c r="C278" s="1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>IF(K278&lt;-5,"CRÍTICO",IF(K278&lt;0,"ATENÇÃO",IF(K278&lt;=5,"OPORTUNO","MUITO BOM")))</f>
        <v>OPORTUNO</v>
      </c>
      <c r="M278" s="3">
        <v>0</v>
      </c>
      <c r="N278" s="3">
        <v>0</v>
      </c>
      <c r="O278" s="12">
        <v>0</v>
      </c>
    </row>
    <row r="279" spans="1:15" hidden="1" x14ac:dyDescent="0.25">
      <c r="A279" s="10">
        <v>46141</v>
      </c>
      <c r="B279" t="s">
        <v>40</v>
      </c>
      <c r="C279" s="1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IF(K279&lt;-5,"CRÍTICO",IF(K279&lt;0,"ATENÇÃO",IF(K279&lt;=5,"OPORTUNO","MUITO BOM")))</f>
        <v>OPORTUNO</v>
      </c>
      <c r="M279" s="3">
        <v>34</v>
      </c>
      <c r="N279" s="3">
        <v>96.81</v>
      </c>
      <c r="O279" s="12">
        <v>48.018648018648022</v>
      </c>
    </row>
    <row r="280" spans="1:15" hidden="1" x14ac:dyDescent="0.25">
      <c r="A280" s="10">
        <v>46141</v>
      </c>
      <c r="B280" t="s">
        <v>41</v>
      </c>
      <c r="C280" s="1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12">
        <v>27.586206896551719</v>
      </c>
    </row>
    <row r="281" spans="1:15" hidden="1" x14ac:dyDescent="0.25">
      <c r="A281" s="10">
        <v>46141</v>
      </c>
      <c r="B281" t="s">
        <v>42</v>
      </c>
      <c r="C281" s="1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>IF(K281&lt;-5,"CRÍTICO",IF(K281&lt;0,"ATENÇÃO",IF(K281&lt;=5,"OPORTUNO","MUITO BOM")))</f>
        <v>OPORTUNO</v>
      </c>
      <c r="M281" s="3">
        <v>0</v>
      </c>
      <c r="N281" s="3">
        <v>88.68</v>
      </c>
      <c r="O281" s="12">
        <v>22.03389830508474</v>
      </c>
    </row>
    <row r="282" spans="1:15" hidden="1" x14ac:dyDescent="0.25">
      <c r="A282" s="10">
        <v>46035</v>
      </c>
      <c r="B282" t="s">
        <v>22</v>
      </c>
      <c r="C282" s="1" t="s">
        <v>23</v>
      </c>
      <c r="D282" s="3">
        <v>27</v>
      </c>
      <c r="E282" s="3">
        <v>24</v>
      </c>
      <c r="F282" s="3">
        <v>16.46</v>
      </c>
      <c r="G282" s="3">
        <v>0</v>
      </c>
      <c r="H282" s="3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 s="3">
        <v>22</v>
      </c>
      <c r="N282" s="3">
        <v>98.91</v>
      </c>
      <c r="O282" s="12">
        <v>31.367292225201069</v>
      </c>
    </row>
    <row r="283" spans="1:15" hidden="1" x14ac:dyDescent="0.25">
      <c r="A283" s="10">
        <v>46084</v>
      </c>
      <c r="B283" t="s">
        <v>43</v>
      </c>
      <c r="C283" s="1" t="s">
        <v>32</v>
      </c>
      <c r="D283" s="3">
        <v>32</v>
      </c>
      <c r="E283" s="3">
        <v>30</v>
      </c>
      <c r="F283" s="3">
        <v>19.100000000000001</v>
      </c>
      <c r="G283" s="3">
        <v>0</v>
      </c>
      <c r="H283" s="3">
        <v>0</v>
      </c>
      <c r="I283" s="3">
        <f>E283+G283+H283</f>
        <v>30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27</v>
      </c>
      <c r="K283" s="3">
        <f>I283-J283</f>
        <v>3</v>
      </c>
      <c r="L283" s="3" t="str">
        <f>IF(K283&lt;-5,"CRÍTICO",IF(K283&lt;0,"ATENÇÃO",IF(K283&lt;=5,"BOM","EXCELENTE")))</f>
        <v>BOM</v>
      </c>
      <c r="M283" s="3">
        <v>31</v>
      </c>
      <c r="N283" s="3">
        <v>98.86</v>
      </c>
      <c r="O283" s="12">
        <v>28.959276018099551</v>
      </c>
    </row>
    <row r="284" spans="1:15" hidden="1" x14ac:dyDescent="0.25">
      <c r="A284" s="10">
        <v>46141</v>
      </c>
      <c r="B284" t="s">
        <v>44</v>
      </c>
      <c r="C284" s="1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12">
        <v>28.370221327967808</v>
      </c>
    </row>
    <row r="285" spans="1:15" hidden="1" x14ac:dyDescent="0.25">
      <c r="A285" s="10">
        <v>46141</v>
      </c>
      <c r="B285" t="s">
        <v>45</v>
      </c>
      <c r="C285" s="1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12">
        <v>31.135531135531139</v>
      </c>
    </row>
    <row r="286" spans="1:15" hidden="1" x14ac:dyDescent="0.25">
      <c r="A286" s="10">
        <v>46141</v>
      </c>
      <c r="B286" t="s">
        <v>46</v>
      </c>
      <c r="C286" s="1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12">
        <v>25.188916876574311</v>
      </c>
    </row>
    <row r="287" spans="1:15" hidden="1" x14ac:dyDescent="0.25">
      <c r="A287" s="11">
        <v>46141</v>
      </c>
      <c r="B287" t="s">
        <v>47</v>
      </c>
      <c r="C287" s="1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12">
        <v>32.764505119453922</v>
      </c>
    </row>
    <row r="288" spans="1:15" hidden="1" x14ac:dyDescent="0.25">
      <c r="A288" s="10">
        <v>46141</v>
      </c>
      <c r="B288" t="s">
        <v>49</v>
      </c>
      <c r="C288" s="1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12">
        <v>30.741410488245929</v>
      </c>
    </row>
    <row r="289" spans="1:15" hidden="1" x14ac:dyDescent="0.25">
      <c r="A289" s="10">
        <v>46141</v>
      </c>
      <c r="B289" t="s">
        <v>50</v>
      </c>
      <c r="C289" s="1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12">
        <v>27.170868347338931</v>
      </c>
    </row>
    <row r="290" spans="1:15" hidden="1" x14ac:dyDescent="0.25">
      <c r="A290" s="10">
        <v>46141</v>
      </c>
      <c r="B290" t="s">
        <v>51</v>
      </c>
      <c r="C290" s="1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12">
        <v>31.018518518518519</v>
      </c>
    </row>
    <row r="291" spans="1:15" hidden="1" x14ac:dyDescent="0.25">
      <c r="A291" s="10">
        <v>46141</v>
      </c>
      <c r="B291" t="s">
        <v>52</v>
      </c>
      <c r="C291" s="1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12">
        <v>28.35164835164835</v>
      </c>
    </row>
    <row r="292" spans="1:15" hidden="1" x14ac:dyDescent="0.25">
      <c r="A292" s="10">
        <v>46141</v>
      </c>
      <c r="B292" t="s">
        <v>53</v>
      </c>
      <c r="C292" s="1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12">
        <v>29.462365591397852</v>
      </c>
    </row>
    <row r="293" spans="1:15" hidden="1" x14ac:dyDescent="0.25">
      <c r="A293" s="10">
        <v>46141</v>
      </c>
      <c r="B293" t="s">
        <v>54</v>
      </c>
      <c r="C293" s="1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12">
        <v>28.921568627450981</v>
      </c>
    </row>
    <row r="294" spans="1:15" hidden="1" x14ac:dyDescent="0.25">
      <c r="A294" s="10">
        <v>46141</v>
      </c>
      <c r="B294" t="s">
        <v>55</v>
      </c>
      <c r="C294" s="1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12">
        <v>26.256983240223459</v>
      </c>
    </row>
    <row r="295" spans="1:15" hidden="1" x14ac:dyDescent="0.25">
      <c r="A295" s="10">
        <v>46141</v>
      </c>
      <c r="B295" t="s">
        <v>56</v>
      </c>
      <c r="C295" s="1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12">
        <v>29.75206611570248</v>
      </c>
    </row>
    <row r="296" spans="1:15" hidden="1" x14ac:dyDescent="0.25">
      <c r="A296" s="10">
        <v>46141</v>
      </c>
      <c r="B296" t="s">
        <v>57</v>
      </c>
      <c r="C296" s="1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>IF(K296&lt;-5,"CRÍTICO",IF(K296&lt;0,"ATENÇÃO",IF(K296&lt;=5,"OPORTUNO","MUITO BOM")))</f>
        <v>OPORTUNO</v>
      </c>
      <c r="M296" s="3">
        <v>0</v>
      </c>
      <c r="N296" s="3">
        <v>98.73</v>
      </c>
      <c r="O296" s="12">
        <v>28.961748633879779</v>
      </c>
    </row>
    <row r="297" spans="1:15" hidden="1" x14ac:dyDescent="0.25">
      <c r="A297" s="10">
        <v>46141</v>
      </c>
      <c r="B297" t="s">
        <v>58</v>
      </c>
      <c r="C297" s="1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>IF(K297&lt;-5,"CRÍTICO",IF(K297&lt;0,"ATENÇÃO",IF(K297&lt;=5,"OPORTUNO","MUITO BOM")))</f>
        <v>OPORTUNO</v>
      </c>
      <c r="M297" s="3">
        <v>0</v>
      </c>
      <c r="N297" s="3">
        <v>99.02</v>
      </c>
      <c r="O297" s="12">
        <v>34.797297297297298</v>
      </c>
    </row>
    <row r="298" spans="1:15" hidden="1" x14ac:dyDescent="0.25">
      <c r="A298" s="10">
        <v>46141</v>
      </c>
      <c r="B298" t="s">
        <v>59</v>
      </c>
      <c r="C298" s="1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12">
        <v>30.648330058939099</v>
      </c>
    </row>
    <row r="299" spans="1:15" hidden="1" x14ac:dyDescent="0.25">
      <c r="A299" s="10">
        <v>46141</v>
      </c>
      <c r="B299" t="s">
        <v>60</v>
      </c>
      <c r="C299" s="1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12">
        <v>32.219570405727922</v>
      </c>
    </row>
    <row r="300" spans="1:15" hidden="1" x14ac:dyDescent="0.25">
      <c r="A300" s="10">
        <v>46141</v>
      </c>
      <c r="B300" t="s">
        <v>61</v>
      </c>
      <c r="C300" s="1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12">
        <v>36.594202898550733</v>
      </c>
    </row>
    <row r="301" spans="1:15" hidden="1" x14ac:dyDescent="0.25">
      <c r="A301" s="10">
        <v>46141</v>
      </c>
      <c r="B301" t="s">
        <v>22</v>
      </c>
      <c r="C301" s="1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>IF(K301&lt;-5,"CRÍTICO",IF(K301&lt;0,"ATENÇÃO",IF(K301&lt;=5,"OPORTUNO","MUITO BOM")))</f>
        <v>OPORTUNO</v>
      </c>
      <c r="M301" s="3">
        <v>54</v>
      </c>
      <c r="N301" s="3">
        <v>99.28</v>
      </c>
      <c r="O301" s="12">
        <v>27.689243027888441</v>
      </c>
    </row>
    <row r="302" spans="1:15" hidden="1" x14ac:dyDescent="0.25">
      <c r="A302" s="10">
        <v>46141</v>
      </c>
      <c r="B302" t="s">
        <v>62</v>
      </c>
      <c r="C302" s="1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12">
        <v>25.76530612244898</v>
      </c>
    </row>
    <row r="303" spans="1:15" hidden="1" x14ac:dyDescent="0.25">
      <c r="A303" s="10">
        <v>46141</v>
      </c>
      <c r="B303" t="s">
        <v>63</v>
      </c>
      <c r="C303" s="1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12">
        <v>26.858513189448441</v>
      </c>
    </row>
    <row r="304" spans="1:15" hidden="1" x14ac:dyDescent="0.25">
      <c r="A304" s="10">
        <v>46141</v>
      </c>
      <c r="B304" t="s">
        <v>64</v>
      </c>
      <c r="C304" s="1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12">
        <v>26.36986301369863</v>
      </c>
    </row>
    <row r="305" spans="1:15" hidden="1" x14ac:dyDescent="0.25">
      <c r="A305" s="10">
        <v>46142</v>
      </c>
      <c r="B305" t="s">
        <v>31</v>
      </c>
      <c r="C305" s="1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12">
        <v>35.416666666666671</v>
      </c>
    </row>
    <row r="306" spans="1:15" hidden="1" x14ac:dyDescent="0.25">
      <c r="A306" s="10">
        <v>46142</v>
      </c>
      <c r="B306" t="s">
        <v>33</v>
      </c>
      <c r="C306" s="1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12">
        <v>27.803738317757009</v>
      </c>
    </row>
    <row r="307" spans="1:15" hidden="1" x14ac:dyDescent="0.25">
      <c r="A307" s="10">
        <v>46142</v>
      </c>
      <c r="B307" t="s">
        <v>34</v>
      </c>
      <c r="C307" s="1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12">
        <v>26.819923371647509</v>
      </c>
    </row>
    <row r="308" spans="1:15" hidden="1" x14ac:dyDescent="0.25">
      <c r="A308" s="10">
        <v>46142</v>
      </c>
      <c r="B308" t="s">
        <v>35</v>
      </c>
      <c r="C308" s="1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12">
        <v>38.653846153846153</v>
      </c>
    </row>
    <row r="309" spans="1:15" hidden="1" x14ac:dyDescent="0.25">
      <c r="A309" s="10">
        <v>46142</v>
      </c>
      <c r="B309" t="s">
        <v>36</v>
      </c>
      <c r="C309" s="1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12">
        <v>29.766536964980549</v>
      </c>
    </row>
    <row r="310" spans="1:15" hidden="1" x14ac:dyDescent="0.25">
      <c r="A310" s="10">
        <v>46142</v>
      </c>
      <c r="B310" t="s">
        <v>37</v>
      </c>
      <c r="C310" s="1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12">
        <v>30.635838150289018</v>
      </c>
    </row>
    <row r="311" spans="1:15" hidden="1" x14ac:dyDescent="0.25">
      <c r="A311" s="10">
        <v>46142</v>
      </c>
      <c r="B311" t="s">
        <v>38</v>
      </c>
      <c r="C311" s="1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>IF(K311&lt;-5,"CRÍTICO",IF(K311&lt;0,"ATENÇÃO",IF(K311&lt;=5,"OPORTUNO","MUITO BOM")))</f>
        <v>OPORTUNO</v>
      </c>
      <c r="M311" s="3">
        <v>9</v>
      </c>
      <c r="N311" s="3">
        <v>95.65</v>
      </c>
      <c r="O311" s="12">
        <v>32.432432432432442</v>
      </c>
    </row>
    <row r="312" spans="1:15" hidden="1" x14ac:dyDescent="0.25">
      <c r="A312" s="10">
        <v>46142</v>
      </c>
      <c r="B312" t="s">
        <v>39</v>
      </c>
      <c r="C312" s="1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IF(K312&lt;-5,"CRÍTICO",IF(K312&lt;0,"ATENÇÃO",IF(K312&lt;=5,"OPORTUNO","MUITO BOM")))</f>
        <v>OPORTUNO</v>
      </c>
      <c r="M312" s="3">
        <v>0</v>
      </c>
      <c r="N312" s="3">
        <v>0</v>
      </c>
      <c r="O312" s="12">
        <v>0</v>
      </c>
    </row>
    <row r="313" spans="1:15" hidden="1" x14ac:dyDescent="0.25">
      <c r="A313" s="10">
        <v>46142</v>
      </c>
      <c r="B313" t="s">
        <v>40</v>
      </c>
      <c r="C313" s="1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>IF(K313&lt;-5,"CRÍTICO",IF(K313&lt;0,"ATENÇÃO",IF(K313&lt;=5,"OPORTUNO","MUITO BOM")))</f>
        <v>OPORTUNO</v>
      </c>
      <c r="M313" s="3">
        <v>16</v>
      </c>
      <c r="N313" s="3">
        <v>96.81</v>
      </c>
      <c r="O313" s="12">
        <v>48.018648018648022</v>
      </c>
    </row>
    <row r="314" spans="1:15" hidden="1" x14ac:dyDescent="0.25">
      <c r="A314" s="10">
        <v>46142</v>
      </c>
      <c r="B314" t="s">
        <v>41</v>
      </c>
      <c r="C314" s="1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12">
        <v>27.586206896551719</v>
      </c>
    </row>
    <row r="315" spans="1:15" hidden="1" x14ac:dyDescent="0.25">
      <c r="A315" s="10">
        <v>46142</v>
      </c>
      <c r="B315" t="s">
        <v>42</v>
      </c>
      <c r="C315" s="1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>IF(K315&lt;-5,"CRÍTICO",IF(K315&lt;0,"ATENÇÃO",IF(K315&lt;=5,"OPORTUNO","MUITO BOM")))</f>
        <v>OPORTUNO</v>
      </c>
      <c r="M315" s="3">
        <v>0</v>
      </c>
      <c r="N315" s="3">
        <v>88.68</v>
      </c>
      <c r="O315" s="12">
        <v>22.03389830508474</v>
      </c>
    </row>
    <row r="316" spans="1:15" hidden="1" x14ac:dyDescent="0.25">
      <c r="A316" s="10">
        <v>46085</v>
      </c>
      <c r="B316" t="s">
        <v>43</v>
      </c>
      <c r="C316" s="1" t="s">
        <v>32</v>
      </c>
      <c r="D316" s="3">
        <v>11</v>
      </c>
      <c r="E316" s="3">
        <v>11</v>
      </c>
      <c r="F316" s="3">
        <v>24.12</v>
      </c>
      <c r="G316" s="3">
        <v>0</v>
      </c>
      <c r="H316" s="3">
        <v>0</v>
      </c>
      <c r="I316" s="3">
        <f>E316+G316+H316</f>
        <v>11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26</v>
      </c>
      <c r="K316" s="3">
        <f>I316-J316</f>
        <v>-15</v>
      </c>
      <c r="L316" s="3" t="str">
        <f>IF(K316&lt;-5,"CRÍTICO",IF(K316&lt;0,"ATENÇÃO",IF(K316&lt;=5,"BOM","EXCELENTE")))</f>
        <v>CRÍTICO</v>
      </c>
      <c r="M316" s="3">
        <v>38</v>
      </c>
      <c r="N316" s="3">
        <v>98.86</v>
      </c>
      <c r="O316" s="12">
        <v>28.959276018099551</v>
      </c>
    </row>
    <row r="317" spans="1:15" hidden="1" x14ac:dyDescent="0.25">
      <c r="A317" s="10">
        <v>46142</v>
      </c>
      <c r="B317" t="s">
        <v>44</v>
      </c>
      <c r="C317" s="1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12">
        <v>28.370221327967808</v>
      </c>
    </row>
    <row r="318" spans="1:15" hidden="1" x14ac:dyDescent="0.25">
      <c r="A318" s="10">
        <v>46142</v>
      </c>
      <c r="B318" t="s">
        <v>45</v>
      </c>
      <c r="C318" s="1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12">
        <v>31.135531135531139</v>
      </c>
    </row>
    <row r="319" spans="1:15" hidden="1" x14ac:dyDescent="0.25">
      <c r="A319" s="10">
        <v>46142</v>
      </c>
      <c r="B319" t="s">
        <v>46</v>
      </c>
      <c r="C319" s="1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12">
        <v>25.188916876574311</v>
      </c>
    </row>
    <row r="320" spans="1:15" hidden="1" x14ac:dyDescent="0.25">
      <c r="A320" s="11">
        <v>46142</v>
      </c>
      <c r="B320" t="s">
        <v>47</v>
      </c>
      <c r="C320" s="1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12">
        <v>32.764505119453922</v>
      </c>
    </row>
    <row r="321" spans="1:15" hidden="1" x14ac:dyDescent="0.25">
      <c r="A321" s="10">
        <v>46142</v>
      </c>
      <c r="B321" t="s">
        <v>49</v>
      </c>
      <c r="C321" s="1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12">
        <v>30.741410488245929</v>
      </c>
    </row>
    <row r="322" spans="1:15" hidden="1" x14ac:dyDescent="0.25">
      <c r="A322" s="10">
        <v>46142</v>
      </c>
      <c r="B322" t="s">
        <v>50</v>
      </c>
      <c r="C322" s="1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12">
        <v>27.170868347338931</v>
      </c>
    </row>
    <row r="323" spans="1:15" hidden="1" x14ac:dyDescent="0.25">
      <c r="A323" s="10">
        <v>46142</v>
      </c>
      <c r="B323" t="s">
        <v>51</v>
      </c>
      <c r="C323" s="1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12">
        <v>31.018518518518519</v>
      </c>
    </row>
    <row r="324" spans="1:15" hidden="1" x14ac:dyDescent="0.25">
      <c r="A324" s="10">
        <v>46142</v>
      </c>
      <c r="B324" t="s">
        <v>52</v>
      </c>
      <c r="C324" s="1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12">
        <v>28.35164835164835</v>
      </c>
    </row>
    <row r="325" spans="1:15" hidden="1" x14ac:dyDescent="0.25">
      <c r="A325" s="10">
        <v>46036</v>
      </c>
      <c r="B325" t="s">
        <v>22</v>
      </c>
      <c r="C325" s="1" t="s">
        <v>23</v>
      </c>
      <c r="D325" s="3">
        <v>17</v>
      </c>
      <c r="E325" s="3">
        <v>16</v>
      </c>
      <c r="F325" s="3">
        <v>22.33</v>
      </c>
      <c r="G325" s="3">
        <v>0</v>
      </c>
      <c r="H325" s="3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 s="3">
        <v>16</v>
      </c>
      <c r="N325" s="3">
        <v>98.91</v>
      </c>
      <c r="O325" s="12">
        <v>31.367292225201069</v>
      </c>
    </row>
    <row r="326" spans="1:15" hidden="1" x14ac:dyDescent="0.25">
      <c r="A326" s="10">
        <v>46142</v>
      </c>
      <c r="B326" t="s">
        <v>53</v>
      </c>
      <c r="C326" s="1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12">
        <v>29.462365591397852</v>
      </c>
    </row>
    <row r="327" spans="1:15" hidden="1" x14ac:dyDescent="0.25">
      <c r="A327" s="10">
        <v>46142</v>
      </c>
      <c r="B327" t="s">
        <v>54</v>
      </c>
      <c r="C327" s="1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12">
        <v>28.921568627450981</v>
      </c>
    </row>
    <row r="328" spans="1:15" hidden="1" x14ac:dyDescent="0.25">
      <c r="A328" s="10">
        <v>46142</v>
      </c>
      <c r="B328" t="s">
        <v>55</v>
      </c>
      <c r="C328" s="1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12">
        <v>26.256983240223459</v>
      </c>
    </row>
    <row r="329" spans="1:15" hidden="1" x14ac:dyDescent="0.25">
      <c r="A329" s="10">
        <v>46142</v>
      </c>
      <c r="B329" t="s">
        <v>56</v>
      </c>
      <c r="C329" s="1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12">
        <v>29.75206611570248</v>
      </c>
    </row>
    <row r="330" spans="1:15" hidden="1" x14ac:dyDescent="0.25">
      <c r="A330" s="10">
        <v>46142</v>
      </c>
      <c r="B330" t="s">
        <v>57</v>
      </c>
      <c r="C330" s="1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IF(K330&lt;-5,"CRÍTICO",IF(K330&lt;0,"ATENÇÃO",IF(K330&lt;=5,"OPORTUNO","MUITO BOM")))</f>
        <v>OPORTUNO</v>
      </c>
      <c r="M330" s="3">
        <v>0</v>
      </c>
      <c r="N330" s="3">
        <v>98.73</v>
      </c>
      <c r="O330" s="12">
        <v>28.961748633879779</v>
      </c>
    </row>
    <row r="331" spans="1:15" hidden="1" x14ac:dyDescent="0.25">
      <c r="A331" s="10">
        <v>46142</v>
      </c>
      <c r="B331" t="s">
        <v>58</v>
      </c>
      <c r="C331" s="1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12">
        <v>34.797297297297298</v>
      </c>
    </row>
    <row r="332" spans="1:15" hidden="1" x14ac:dyDescent="0.25">
      <c r="A332" s="10">
        <v>46142</v>
      </c>
      <c r="B332" t="s">
        <v>59</v>
      </c>
      <c r="C332" s="1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12">
        <v>30.648330058939099</v>
      </c>
    </row>
    <row r="333" spans="1:15" hidden="1" x14ac:dyDescent="0.25">
      <c r="A333" s="10">
        <v>46142</v>
      </c>
      <c r="B333" t="s">
        <v>60</v>
      </c>
      <c r="C333" s="1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12">
        <v>32.219570405727922</v>
      </c>
    </row>
    <row r="334" spans="1:15" hidden="1" x14ac:dyDescent="0.25">
      <c r="A334" s="10">
        <v>46142</v>
      </c>
      <c r="B334" t="s">
        <v>61</v>
      </c>
      <c r="C334" s="1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12">
        <v>36.594202898550733</v>
      </c>
    </row>
    <row r="335" spans="1:15" hidden="1" x14ac:dyDescent="0.25">
      <c r="A335" s="10">
        <v>46142</v>
      </c>
      <c r="B335" t="s">
        <v>22</v>
      </c>
      <c r="C335" s="1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12">
        <v>27.689243027888441</v>
      </c>
    </row>
    <row r="336" spans="1:15" hidden="1" x14ac:dyDescent="0.25">
      <c r="A336" s="10">
        <v>46142</v>
      </c>
      <c r="B336" t="s">
        <v>62</v>
      </c>
      <c r="C336" s="1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12">
        <v>25.76530612244898</v>
      </c>
    </row>
    <row r="337" spans="1:15" hidden="1" x14ac:dyDescent="0.25">
      <c r="A337" s="10">
        <v>46142</v>
      </c>
      <c r="B337" t="s">
        <v>63</v>
      </c>
      <c r="C337" s="1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12">
        <v>26.858513189448441</v>
      </c>
    </row>
    <row r="338" spans="1:15" hidden="1" x14ac:dyDescent="0.25">
      <c r="A338" s="10">
        <v>46142</v>
      </c>
      <c r="B338" t="s">
        <v>64</v>
      </c>
      <c r="C338" s="1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12">
        <v>26.36986301369863</v>
      </c>
    </row>
    <row r="339" spans="1:15" hidden="1" x14ac:dyDescent="0.25">
      <c r="A339" s="5">
        <v>46149</v>
      </c>
      <c r="B339" s="6" t="s">
        <v>42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f>E339+G339+H339</f>
        <v>0</v>
      </c>
      <c r="J339" s="3">
        <v>0</v>
      </c>
      <c r="K339" s="3">
        <f>I339-J339</f>
        <v>0</v>
      </c>
      <c r="L339" s="3" t="str">
        <f>IF(K339&lt;-5,"CRÍTICO",IF(K339&lt;0,"ATENÇÃO",IF(K339&lt;=5,"OPORTUNO","MUITO BOM")))</f>
        <v>OPORTUNO</v>
      </c>
      <c r="M339" s="3">
        <v>0</v>
      </c>
      <c r="N339" s="3">
        <v>100</v>
      </c>
      <c r="O339" s="12">
        <v>15.789473684210529</v>
      </c>
    </row>
    <row r="340" spans="1:15" hidden="1" x14ac:dyDescent="0.25">
      <c r="A340" s="5">
        <v>46149</v>
      </c>
      <c r="B340" s="6" t="s">
        <v>44</v>
      </c>
      <c r="C340" s="1" t="s">
        <v>32</v>
      </c>
      <c r="D340" s="3">
        <v>26</v>
      </c>
      <c r="E340" s="3">
        <v>23</v>
      </c>
      <c r="F340" s="3">
        <v>15.28</v>
      </c>
      <c r="G340" s="3">
        <v>6</v>
      </c>
      <c r="H340" s="3">
        <v>0</v>
      </c>
      <c r="I340" s="3">
        <f>E340+G340+H340</f>
        <v>29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33</v>
      </c>
      <c r="K340" s="3">
        <f>I340-J340</f>
        <v>-4</v>
      </c>
      <c r="L340" s="3" t="str">
        <f>IF(K340&lt;-5,"CRÍTICO",IF(K340&lt;0,"ATENÇÃO",IF(K340&lt;=5,"OPORTUNO","MUITO BOM")))</f>
        <v>ATENÇÃO</v>
      </c>
      <c r="M340" s="3">
        <v>26</v>
      </c>
      <c r="N340" s="3">
        <v>96.38</v>
      </c>
      <c r="O340" s="12">
        <v>23.198198198198199</v>
      </c>
    </row>
    <row r="341" spans="1:15" hidden="1" x14ac:dyDescent="0.25">
      <c r="A341" s="5">
        <v>46149</v>
      </c>
      <c r="B341" s="6" t="s">
        <v>45</v>
      </c>
      <c r="C341" s="1" t="s">
        <v>32</v>
      </c>
      <c r="D341" s="3">
        <v>35</v>
      </c>
      <c r="E341" s="3">
        <v>30</v>
      </c>
      <c r="F341" s="3">
        <v>13.33</v>
      </c>
      <c r="G341" s="3">
        <v>8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33</v>
      </c>
      <c r="K341" s="3">
        <f>I341-J341</f>
        <v>5</v>
      </c>
      <c r="L341" s="3" t="str">
        <f>IF(K341&lt;-5,"CRÍTICO",IF(K341&lt;0,"ATENÇÃO",IF(K341&lt;=5,"OPORTUNO","MUITO BOM")))</f>
        <v>OPORTUNO</v>
      </c>
      <c r="M341" s="3">
        <v>37</v>
      </c>
      <c r="N341" s="3">
        <v>99.39</v>
      </c>
      <c r="O341" s="12">
        <v>25.203252032520329</v>
      </c>
    </row>
    <row r="342" spans="1:15" hidden="1" x14ac:dyDescent="0.25">
      <c r="A342" s="5">
        <v>46149</v>
      </c>
      <c r="B342" s="6" t="s">
        <v>46</v>
      </c>
      <c r="C342" s="1" t="s">
        <v>32</v>
      </c>
      <c r="D342" s="3">
        <v>34</v>
      </c>
      <c r="E342" s="3">
        <v>31</v>
      </c>
      <c r="F342" s="3">
        <v>15.09</v>
      </c>
      <c r="G342" s="3">
        <v>1</v>
      </c>
      <c r="H342" s="3">
        <v>0</v>
      </c>
      <c r="I342" s="3">
        <f>E342+G342+H342</f>
        <v>32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33</v>
      </c>
      <c r="K342" s="3">
        <f>I342-J342</f>
        <v>-1</v>
      </c>
      <c r="L342" s="3" t="str">
        <f>IF(K342&lt;-5,"CRÍTICO",IF(K342&lt;0,"ATENÇÃO",IF(K342&lt;=5,"OPORTUNO","MUITO BOM")))</f>
        <v>ATENÇÃO</v>
      </c>
      <c r="M342" s="3">
        <v>28</v>
      </c>
      <c r="N342" s="3">
        <v>97</v>
      </c>
      <c r="O342" s="12">
        <v>20.325203252032519</v>
      </c>
    </row>
    <row r="343" spans="1:15" hidden="1" x14ac:dyDescent="0.25">
      <c r="A343" s="5">
        <v>46149</v>
      </c>
      <c r="B343" s="6" t="s">
        <v>47</v>
      </c>
      <c r="C343" s="1" t="s">
        <v>48</v>
      </c>
      <c r="D343" s="3">
        <v>39</v>
      </c>
      <c r="E343" s="3">
        <v>34</v>
      </c>
      <c r="F343" s="3">
        <v>8.33</v>
      </c>
      <c r="G343" s="3">
        <v>0</v>
      </c>
      <c r="H343" s="3">
        <v>0</v>
      </c>
      <c r="I343" s="3">
        <f>E343+G343+H343</f>
        <v>34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26</v>
      </c>
      <c r="K343" s="3">
        <f>I343-J343</f>
        <v>8</v>
      </c>
      <c r="L343" s="3" t="str">
        <f>IF(K343&lt;-5,"CRÍTICO",IF(K343&lt;0,"ATENÇÃO",IF(K343&lt;=5,"OPORTUNO","MUITO BOM")))</f>
        <v>MUITO BOM</v>
      </c>
      <c r="M343" s="3">
        <v>19</v>
      </c>
      <c r="N343" s="3">
        <v>99.18</v>
      </c>
      <c r="O343" s="12">
        <v>24.501424501424498</v>
      </c>
    </row>
    <row r="344" spans="1:15" hidden="1" x14ac:dyDescent="0.25">
      <c r="A344" s="5">
        <v>46149</v>
      </c>
      <c r="B344" s="6" t="s">
        <v>49</v>
      </c>
      <c r="C344" s="1" t="s">
        <v>48</v>
      </c>
      <c r="D344" s="3">
        <v>33</v>
      </c>
      <c r="E344" s="3">
        <v>29</v>
      </c>
      <c r="F344" s="3">
        <v>13.37</v>
      </c>
      <c r="G344" s="3">
        <v>5</v>
      </c>
      <c r="H344" s="3">
        <v>0</v>
      </c>
      <c r="I344" s="3">
        <f>E344+G344+H344</f>
        <v>34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26</v>
      </c>
      <c r="K344" s="3">
        <f>I344-J344</f>
        <v>8</v>
      </c>
      <c r="L344" s="3" t="str">
        <f>IF(K344&lt;-5,"CRÍTICO",IF(K344&lt;0,"ATENÇÃO",IF(K344&lt;=5,"OPORTUNO","MUITO BOM")))</f>
        <v>MUITO BOM</v>
      </c>
      <c r="M344" s="3">
        <v>31</v>
      </c>
      <c r="N344" s="3">
        <v>99.35</v>
      </c>
      <c r="O344" s="12">
        <v>19.852941176470591</v>
      </c>
    </row>
    <row r="345" spans="1:15" hidden="1" x14ac:dyDescent="0.25">
      <c r="A345" s="5">
        <v>46149</v>
      </c>
      <c r="B345" s="6" t="s">
        <v>50</v>
      </c>
      <c r="C345" s="1" t="s">
        <v>48</v>
      </c>
      <c r="D345" s="3">
        <v>24</v>
      </c>
      <c r="E345" s="3">
        <v>24</v>
      </c>
      <c r="F345" s="3">
        <v>25.23</v>
      </c>
      <c r="G345" s="3">
        <v>5</v>
      </c>
      <c r="H345" s="3">
        <v>0</v>
      </c>
      <c r="I345" s="3">
        <f>E345+G345+H345</f>
        <v>29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26</v>
      </c>
      <c r="K345" s="3">
        <f>I345-J345</f>
        <v>3</v>
      </c>
      <c r="L345" s="3" t="str">
        <f>IF(K345&lt;-5,"CRÍTICO",IF(K345&lt;0,"ATENÇÃO",IF(K345&lt;=5,"OPORTUNO","MUITO BOM")))</f>
        <v>OPORTUNO</v>
      </c>
      <c r="M345" s="3">
        <v>27</v>
      </c>
      <c r="N345" s="3">
        <v>99.07</v>
      </c>
      <c r="O345" s="12">
        <v>20.098039215686271</v>
      </c>
    </row>
    <row r="346" spans="1:15" hidden="1" x14ac:dyDescent="0.25">
      <c r="A346" s="5">
        <v>46149</v>
      </c>
      <c r="B346" s="6" t="s">
        <v>51</v>
      </c>
      <c r="C346" s="1" t="s">
        <v>48</v>
      </c>
      <c r="D346" s="3">
        <v>17</v>
      </c>
      <c r="E346" s="3">
        <v>16</v>
      </c>
      <c r="F346" s="3">
        <v>30.25</v>
      </c>
      <c r="G346" s="3">
        <v>0</v>
      </c>
      <c r="H346" s="3">
        <v>0</v>
      </c>
      <c r="I346" s="3">
        <f>E346+G346+H346</f>
        <v>16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26</v>
      </c>
      <c r="K346" s="3">
        <f>I346-J346</f>
        <v>-10</v>
      </c>
      <c r="L346" s="3" t="str">
        <f>IF(K346&lt;-5,"CRÍTICO",IF(K346&lt;0,"ATENÇÃO",IF(K346&lt;=5,"OPORTUNO","MUITO BOM")))</f>
        <v>CRÍTICO</v>
      </c>
      <c r="M346" s="3">
        <v>19</v>
      </c>
      <c r="N346" s="3">
        <v>98.81</v>
      </c>
      <c r="O346" s="12">
        <v>22.767857142857139</v>
      </c>
    </row>
    <row r="347" spans="1:15" hidden="1" x14ac:dyDescent="0.25">
      <c r="A347" s="5">
        <v>46149</v>
      </c>
      <c r="B347" s="6" t="s">
        <v>52</v>
      </c>
      <c r="C347" s="1" t="s">
        <v>48</v>
      </c>
      <c r="D347" s="3">
        <v>30</v>
      </c>
      <c r="E347" s="3">
        <v>29</v>
      </c>
      <c r="F347" s="3">
        <v>17.100000000000001</v>
      </c>
      <c r="G347" s="3">
        <v>2</v>
      </c>
      <c r="H347" s="3">
        <v>0</v>
      </c>
      <c r="I347" s="3">
        <f>E347+G347+H347</f>
        <v>31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26</v>
      </c>
      <c r="K347" s="3">
        <f>I347-J347</f>
        <v>5</v>
      </c>
      <c r="L347" s="3" t="str">
        <f>IF(K347&lt;-5,"CRÍTICO",IF(K347&lt;0,"ATENÇÃO",IF(K347&lt;=5,"OPORTUNO","MUITO BOM")))</f>
        <v>OPORTUNO</v>
      </c>
      <c r="M347" s="3">
        <v>28</v>
      </c>
      <c r="N347" s="3">
        <v>99.01</v>
      </c>
      <c r="O347" s="12">
        <v>17.766497461928939</v>
      </c>
    </row>
    <row r="348" spans="1:15" hidden="1" x14ac:dyDescent="0.25">
      <c r="A348" s="5">
        <v>46149</v>
      </c>
      <c r="B348" s="6" t="s">
        <v>53</v>
      </c>
      <c r="C348" s="1" t="s">
        <v>48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f>E348+G348+H348</f>
        <v>0</v>
      </c>
      <c r="J348" s="3">
        <v>0</v>
      </c>
      <c r="K348" s="3">
        <f>I348-J348</f>
        <v>0</v>
      </c>
      <c r="L348" s="3" t="str">
        <f>IF(K348&lt;-5,"CRÍTICO",IF(K348&lt;0,"ATENÇÃO",IF(K348&lt;=5,"OPORTUNO","MUITO BOM")))</f>
        <v>OPORTUNO</v>
      </c>
      <c r="M348" s="3">
        <v>0</v>
      </c>
      <c r="N348" s="3">
        <v>100</v>
      </c>
      <c r="O348" s="12">
        <v>17.241379310344829</v>
      </c>
    </row>
    <row r="349" spans="1:15" hidden="1" x14ac:dyDescent="0.25">
      <c r="A349" s="5">
        <v>46149</v>
      </c>
      <c r="B349" s="6" t="s">
        <v>54</v>
      </c>
      <c r="C349" s="1" t="s">
        <v>48</v>
      </c>
      <c r="D349" s="3">
        <v>25</v>
      </c>
      <c r="E349" s="3">
        <v>24</v>
      </c>
      <c r="F349" s="3">
        <v>24.02</v>
      </c>
      <c r="G349" s="3">
        <v>0</v>
      </c>
      <c r="H349" s="3">
        <v>0</v>
      </c>
      <c r="I349" s="3">
        <f>E349+G349+H349</f>
        <v>24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26</v>
      </c>
      <c r="K349" s="3">
        <f>I349-J349</f>
        <v>-2</v>
      </c>
      <c r="L349" s="3" t="str">
        <f>IF(K349&lt;-5,"CRÍTICO",IF(K349&lt;0,"ATENÇÃO",IF(K349&lt;=5,"OPORTUNO","MUITO BOM")))</f>
        <v>ATENÇÃO</v>
      </c>
      <c r="M349" s="3">
        <v>22</v>
      </c>
      <c r="N349" s="3">
        <v>98.98</v>
      </c>
      <c r="O349" s="12">
        <v>19.35483870967742</v>
      </c>
    </row>
    <row r="350" spans="1:15" hidden="1" x14ac:dyDescent="0.25">
      <c r="A350" s="10">
        <v>46086</v>
      </c>
      <c r="B350" t="s">
        <v>43</v>
      </c>
      <c r="C350" s="1" t="s">
        <v>32</v>
      </c>
      <c r="D350" s="3">
        <v>7</v>
      </c>
      <c r="E350" s="3">
        <v>7</v>
      </c>
      <c r="F350" s="3">
        <v>10.57</v>
      </c>
      <c r="G350" s="3">
        <v>0</v>
      </c>
      <c r="H350" s="3">
        <v>0</v>
      </c>
      <c r="I350" s="3">
        <f>E350+G350+H350</f>
        <v>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28</v>
      </c>
      <c r="K350" s="3">
        <f>I350-J350</f>
        <v>-21</v>
      </c>
      <c r="L350" s="3" t="str">
        <f>IF(K350&lt;-5,"CRÍTICO",IF(K350&lt;0,"ATENÇÃO",IF(K350&lt;=5,"BOM","EXCELENTE")))</f>
        <v>CRÍTICO</v>
      </c>
      <c r="M350" s="3">
        <v>52</v>
      </c>
      <c r="N350" s="3">
        <v>98.86</v>
      </c>
      <c r="O350" s="12">
        <v>28.959276018099551</v>
      </c>
    </row>
    <row r="351" spans="1:15" hidden="1" x14ac:dyDescent="0.25">
      <c r="A351" s="5">
        <v>46149</v>
      </c>
      <c r="B351" s="6" t="s">
        <v>55</v>
      </c>
      <c r="C351" s="1" t="s">
        <v>48</v>
      </c>
      <c r="D351" s="3">
        <v>34</v>
      </c>
      <c r="E351" s="3">
        <v>28</v>
      </c>
      <c r="F351" s="3">
        <v>13.53</v>
      </c>
      <c r="G351" s="3">
        <v>0</v>
      </c>
      <c r="H351" s="3">
        <v>0</v>
      </c>
      <c r="I351" s="3">
        <f>E351+G351+H351</f>
        <v>28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26</v>
      </c>
      <c r="K351" s="3">
        <f>I351-J351</f>
        <v>2</v>
      </c>
      <c r="L351" s="3" t="str">
        <f>IF(K351&lt;-5,"CRÍTICO",IF(K351&lt;0,"ATENÇÃO",IF(K351&lt;=5,"OPORTUNO","MUITO BOM")))</f>
        <v>OPORTUNO</v>
      </c>
      <c r="M351" s="3">
        <v>26</v>
      </c>
      <c r="N351" s="3">
        <v>98.94</v>
      </c>
      <c r="O351" s="12">
        <v>21.270718232044199</v>
      </c>
    </row>
    <row r="352" spans="1:15" hidden="1" x14ac:dyDescent="0.25">
      <c r="A352" s="5">
        <v>46149</v>
      </c>
      <c r="B352" s="6" t="s">
        <v>56</v>
      </c>
      <c r="C352" s="1" t="s">
        <v>48</v>
      </c>
      <c r="D352" s="3">
        <v>40</v>
      </c>
      <c r="E352" s="3">
        <v>37</v>
      </c>
      <c r="F352" s="3">
        <v>13.54</v>
      </c>
      <c r="G352" s="3">
        <v>6</v>
      </c>
      <c r="H352" s="3">
        <v>0</v>
      </c>
      <c r="I352" s="3">
        <f>E352+G352+H352</f>
        <v>43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26</v>
      </c>
      <c r="K352" s="3">
        <f>I352-J352</f>
        <v>17</v>
      </c>
      <c r="L352" s="3" t="str">
        <f>IF(K352&lt;-5,"CRÍTICO",IF(K352&lt;0,"ATENÇÃO",IF(K352&lt;=5,"OPORTUNO","MUITO BOM")))</f>
        <v>MUITO BOM</v>
      </c>
      <c r="M352" s="3">
        <v>51</v>
      </c>
      <c r="N352" s="3">
        <v>99</v>
      </c>
      <c r="O352" s="12">
        <v>22.010869565217391</v>
      </c>
    </row>
    <row r="353" spans="1:15" hidden="1" x14ac:dyDescent="0.25">
      <c r="A353" s="5">
        <v>46149</v>
      </c>
      <c r="B353" s="6" t="s">
        <v>57</v>
      </c>
      <c r="C353" s="1" t="s">
        <v>48</v>
      </c>
      <c r="D353" s="3">
        <v>26</v>
      </c>
      <c r="E353" s="3">
        <v>24</v>
      </c>
      <c r="F353" s="3">
        <v>18.21</v>
      </c>
      <c r="G353" s="3">
        <v>0</v>
      </c>
      <c r="H353" s="3">
        <v>0</v>
      </c>
      <c r="I353" s="3">
        <f>E353+G353+H353</f>
        <v>24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26</v>
      </c>
      <c r="K353" s="3">
        <f>I353-J353</f>
        <v>-2</v>
      </c>
      <c r="L353" s="3" t="str">
        <f>IF(K353&lt;-5,"CRÍTICO",IF(K353&lt;0,"ATENÇÃO",IF(K353&lt;=5,"OPORTUNO","MUITO BOM")))</f>
        <v>ATENÇÃO</v>
      </c>
      <c r="M353" s="3">
        <v>26</v>
      </c>
      <c r="N353" s="3">
        <v>100</v>
      </c>
      <c r="O353" s="12">
        <v>25</v>
      </c>
    </row>
    <row r="354" spans="1:15" hidden="1" x14ac:dyDescent="0.25">
      <c r="A354" s="5">
        <v>46149</v>
      </c>
      <c r="B354" s="6" t="s">
        <v>58</v>
      </c>
      <c r="C354" s="1" t="s">
        <v>48</v>
      </c>
      <c r="D354" s="3">
        <v>10</v>
      </c>
      <c r="E354" s="3">
        <v>10</v>
      </c>
      <c r="F354" s="3">
        <v>28.38</v>
      </c>
      <c r="G354" s="3">
        <v>0</v>
      </c>
      <c r="H354" s="3">
        <v>0</v>
      </c>
      <c r="I354" s="3">
        <f>E354+G354+H354</f>
        <v>10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26</v>
      </c>
      <c r="K354" s="3">
        <f>I354-J354</f>
        <v>-16</v>
      </c>
      <c r="L354" s="3" t="str">
        <f>IF(K354&lt;-5,"CRÍTICO",IF(K354&lt;0,"ATENÇÃO",IF(K354&lt;=5,"OPORTUNO","MUITO BOM")))</f>
        <v>CRÍTICO</v>
      </c>
      <c r="M354" s="3">
        <v>9</v>
      </c>
      <c r="N354" s="3">
        <v>100</v>
      </c>
      <c r="O354" s="12">
        <v>20.183486238532112</v>
      </c>
    </row>
    <row r="355" spans="1:15" hidden="1" x14ac:dyDescent="0.25">
      <c r="A355" s="5">
        <v>46149</v>
      </c>
      <c r="B355" s="6" t="s">
        <v>59</v>
      </c>
      <c r="C355" s="1" t="s">
        <v>23</v>
      </c>
      <c r="D355" s="3">
        <v>31</v>
      </c>
      <c r="E355" s="3">
        <v>28</v>
      </c>
      <c r="F355" s="3">
        <v>15.11</v>
      </c>
      <c r="G355" s="3">
        <v>10</v>
      </c>
      <c r="H355" s="3">
        <v>0</v>
      </c>
      <c r="I355" s="3">
        <f>E355+G355+H355</f>
        <v>38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22</v>
      </c>
      <c r="K355" s="3">
        <f>I355-J355</f>
        <v>16</v>
      </c>
      <c r="L355" s="3" t="str">
        <f>IF(K355&lt;-5,"CRÍTICO",IF(K355&lt;0,"ATENÇÃO",IF(K355&lt;=5,"OPORTUNO","MUITO BOM")))</f>
        <v>MUITO BOM</v>
      </c>
      <c r="M355" s="3">
        <v>36</v>
      </c>
      <c r="N355" s="3">
        <v>96.25</v>
      </c>
      <c r="O355" s="12">
        <v>25.586353944562902</v>
      </c>
    </row>
    <row r="356" spans="1:15" hidden="1" x14ac:dyDescent="0.25">
      <c r="A356" s="5">
        <v>46149</v>
      </c>
      <c r="B356" s="6" t="s">
        <v>60</v>
      </c>
      <c r="C356" s="1" t="s">
        <v>23</v>
      </c>
      <c r="D356" s="3">
        <v>25</v>
      </c>
      <c r="E356" s="3">
        <v>23</v>
      </c>
      <c r="F356" s="3">
        <v>16.559999999999999</v>
      </c>
      <c r="G356" s="3">
        <v>1</v>
      </c>
      <c r="H356" s="3">
        <v>0</v>
      </c>
      <c r="I356" s="3">
        <f>E356+G356+H356</f>
        <v>24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22</v>
      </c>
      <c r="K356" s="3">
        <f>I356-J356</f>
        <v>2</v>
      </c>
      <c r="L356" s="3" t="str">
        <f>IF(K356&lt;-5,"CRÍTICO",IF(K356&lt;0,"ATENÇÃO",IF(K356&lt;=5,"OPORTUNO","MUITO BOM")))</f>
        <v>OPORTUNO</v>
      </c>
      <c r="M356" s="3">
        <v>22</v>
      </c>
      <c r="N356" s="3">
        <v>97.48</v>
      </c>
      <c r="O356" s="12">
        <v>22.99465240641711</v>
      </c>
    </row>
    <row r="357" spans="1:15" hidden="1" x14ac:dyDescent="0.25">
      <c r="A357" s="5">
        <v>46149</v>
      </c>
      <c r="B357" s="6" t="s">
        <v>61</v>
      </c>
      <c r="C357" s="1" t="s">
        <v>23</v>
      </c>
      <c r="D357" s="3">
        <v>17</v>
      </c>
      <c r="E357" s="3">
        <v>17</v>
      </c>
      <c r="F357" s="3">
        <v>16.5</v>
      </c>
      <c r="G357" s="3">
        <v>7</v>
      </c>
      <c r="H357" s="3">
        <v>0</v>
      </c>
      <c r="I357" s="3">
        <f>E357+G357+H357</f>
        <v>24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22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19</v>
      </c>
      <c r="N357" s="3">
        <v>100</v>
      </c>
      <c r="O357" s="12">
        <v>20.788530465949819</v>
      </c>
    </row>
    <row r="358" spans="1:15" hidden="1" x14ac:dyDescent="0.25">
      <c r="A358" s="5">
        <v>46149</v>
      </c>
      <c r="B358" s="6" t="s">
        <v>62</v>
      </c>
      <c r="C358" s="1" t="s">
        <v>23</v>
      </c>
      <c r="D358" s="3">
        <v>25</v>
      </c>
      <c r="E358" s="3">
        <v>25</v>
      </c>
      <c r="F358" s="3">
        <v>25.28</v>
      </c>
      <c r="G358" s="3">
        <v>1</v>
      </c>
      <c r="H358" s="3">
        <v>0</v>
      </c>
      <c r="I358" s="3">
        <f>E358+G358+H358</f>
        <v>26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22</v>
      </c>
      <c r="K358" s="3">
        <f>I358-J358</f>
        <v>4</v>
      </c>
      <c r="L358" s="3" t="str">
        <f>IF(K358&lt;-5,"CRÍTICO",IF(K358&lt;0,"ATENÇÃO",IF(K358&lt;=5,"OPORTUNO","MUITO BOM")))</f>
        <v>OPORTUNO</v>
      </c>
      <c r="M358" s="3">
        <v>25</v>
      </c>
      <c r="N358" s="3">
        <v>94.55</v>
      </c>
      <c r="O358" s="12">
        <v>23.450134770889491</v>
      </c>
    </row>
    <row r="359" spans="1:15" hidden="1" x14ac:dyDescent="0.25">
      <c r="A359" s="5">
        <v>46149</v>
      </c>
      <c r="B359" s="6" t="s">
        <v>63</v>
      </c>
      <c r="C359" s="1" t="s">
        <v>23</v>
      </c>
      <c r="D359" s="3">
        <v>31</v>
      </c>
      <c r="E359" s="3">
        <v>26</v>
      </c>
      <c r="F359" s="3">
        <v>11.59</v>
      </c>
      <c r="G359" s="3">
        <v>14</v>
      </c>
      <c r="H359" s="3">
        <v>0</v>
      </c>
      <c r="I359" s="3">
        <f>E359+G359+H359</f>
        <v>40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22</v>
      </c>
      <c r="K359" s="3">
        <f>I359-J359</f>
        <v>18</v>
      </c>
      <c r="L359" s="3" t="str">
        <f>IF(K359&lt;-5,"CRÍTICO",IF(K359&lt;0,"ATENÇÃO",IF(K359&lt;=5,"OPORTUNO","MUITO BOM")))</f>
        <v>MUITO BOM</v>
      </c>
      <c r="M359" s="3">
        <v>23</v>
      </c>
      <c r="N359" s="3">
        <v>98</v>
      </c>
      <c r="O359" s="12">
        <v>20.73490813648294</v>
      </c>
    </row>
    <row r="360" spans="1:15" hidden="1" x14ac:dyDescent="0.25">
      <c r="A360" s="5">
        <v>46149</v>
      </c>
      <c r="B360" s="6" t="s">
        <v>64</v>
      </c>
      <c r="C360" s="1" t="s">
        <v>23</v>
      </c>
      <c r="D360" s="3">
        <v>14</v>
      </c>
      <c r="E360" s="3">
        <v>14</v>
      </c>
      <c r="F360" s="3">
        <v>33.450000000000003</v>
      </c>
      <c r="G360" s="3">
        <v>6</v>
      </c>
      <c r="H360" s="3">
        <v>0</v>
      </c>
      <c r="I360" s="3">
        <f>E360+G360+H360</f>
        <v>20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22</v>
      </c>
      <c r="K360" s="3">
        <f>I360-J360</f>
        <v>-2</v>
      </c>
      <c r="L360" s="3" t="str">
        <f>IF(K360&lt;-5,"CRÍTICO",IF(K360&lt;0,"ATENÇÃO",IF(K360&lt;=5,"OPORTUNO","MUITO BOM")))</f>
        <v>ATENÇÃO</v>
      </c>
      <c r="M360" s="3">
        <v>20</v>
      </c>
      <c r="N360" s="3">
        <v>100</v>
      </c>
      <c r="O360" s="12">
        <v>18</v>
      </c>
    </row>
    <row r="361" spans="1:15" hidden="1" x14ac:dyDescent="0.25">
      <c r="A361" s="5">
        <v>46149</v>
      </c>
      <c r="B361" s="6" t="s">
        <v>22</v>
      </c>
      <c r="C361" s="1" t="s">
        <v>23</v>
      </c>
      <c r="D361" s="3">
        <v>26</v>
      </c>
      <c r="E361" s="3">
        <v>26</v>
      </c>
      <c r="F361" s="3">
        <v>18.46</v>
      </c>
      <c r="G361" s="3">
        <v>2</v>
      </c>
      <c r="H361" s="3">
        <v>0</v>
      </c>
      <c r="I361" s="3">
        <f>E361+G361+H361</f>
        <v>28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22</v>
      </c>
      <c r="K361" s="3">
        <f>I361-J361</f>
        <v>6</v>
      </c>
      <c r="L361" s="3" t="str">
        <f>IF(K361&lt;-5,"CRÍTICO",IF(K361&lt;0,"ATENÇÃO",IF(K361&lt;=5,"OPORTUNO","MUITO BOM")))</f>
        <v>MUITO BOM</v>
      </c>
      <c r="M361" s="3">
        <v>24</v>
      </c>
      <c r="N361" s="3">
        <v>99.06</v>
      </c>
      <c r="O361" s="12">
        <v>19.417475728155338</v>
      </c>
    </row>
    <row r="362" spans="1:15" x14ac:dyDescent="0.25">
      <c r="A362" s="5">
        <v>46160</v>
      </c>
      <c r="B362" s="6" t="s">
        <v>18</v>
      </c>
      <c r="C362" s="1" t="s">
        <v>16</v>
      </c>
      <c r="D362" s="3">
        <v>32</v>
      </c>
      <c r="E362" s="3">
        <v>13</v>
      </c>
      <c r="F362" s="3">
        <v>4.16</v>
      </c>
      <c r="G362" s="3">
        <v>0</v>
      </c>
      <c r="H362" s="3">
        <v>0</v>
      </c>
      <c r="I362" s="3">
        <f>E362+G362+H362</f>
        <v>13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8</v>
      </c>
      <c r="K362" s="3">
        <f>I362-J362</f>
        <v>5</v>
      </c>
      <c r="L362" s="3" t="str">
        <f>IF(K362&lt;-5,"CRÍTICO",IF(K362&lt;0,"ATENÇÃO",IF(K362&lt;=5,"BOM","EXCELENTE")))</f>
        <v>BOM</v>
      </c>
      <c r="M362" s="3">
        <v>0</v>
      </c>
      <c r="N362" s="3">
        <v>100</v>
      </c>
      <c r="O362" s="12">
        <v>28.94736842105263</v>
      </c>
    </row>
    <row r="363" spans="1:15" x14ac:dyDescent="0.25">
      <c r="A363" s="7">
        <v>46161</v>
      </c>
      <c r="B363" s="8" t="s">
        <v>18</v>
      </c>
      <c r="C363" s="1" t="s">
        <v>16</v>
      </c>
      <c r="D363" s="3">
        <v>17</v>
      </c>
      <c r="E363" s="3">
        <v>5</v>
      </c>
      <c r="F363" s="3">
        <v>2.2000000000000002</v>
      </c>
      <c r="G363" s="3">
        <v>0</v>
      </c>
      <c r="H363" s="3">
        <v>0</v>
      </c>
      <c r="I363" s="3">
        <f>E363+G363+H363</f>
        <v>5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8</v>
      </c>
      <c r="K363" s="3">
        <f>I363-J363</f>
        <v>-3</v>
      </c>
      <c r="L363" s="3" t="str">
        <f>IF(K363&lt;-5,"CRÍTICO",IF(K363&lt;0,"ATENÇÃO",IF(K363&lt;=5,"BOM","EXCELENTE")))</f>
        <v>ATENÇÃO</v>
      </c>
      <c r="M363" s="3">
        <v>0</v>
      </c>
      <c r="N363" s="3">
        <v>100</v>
      </c>
      <c r="O363" s="12">
        <v>28.94736842105263</v>
      </c>
    </row>
    <row r="364" spans="1:15" hidden="1" x14ac:dyDescent="0.25">
      <c r="A364" s="5">
        <v>46149</v>
      </c>
      <c r="B364" s="6" t="s">
        <v>43</v>
      </c>
      <c r="C364" s="1" t="s">
        <v>32</v>
      </c>
      <c r="D364" s="3">
        <v>15</v>
      </c>
      <c r="E364" s="3">
        <v>14</v>
      </c>
      <c r="F364" s="3">
        <v>9.02</v>
      </c>
      <c r="G364" s="3">
        <v>0</v>
      </c>
      <c r="H364" s="3">
        <v>32</v>
      </c>
      <c r="I364" s="3">
        <f>E364+G364+H364</f>
        <v>46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33</v>
      </c>
      <c r="K364" s="3">
        <f>I364-J364</f>
        <v>13</v>
      </c>
      <c r="L364" s="3" t="str">
        <f>IF(K364&lt;-5,"CRÍTICO",IF(K364&lt;0,"ATENÇÃO",IF(K364&lt;=5,"OPORTUNO","MUITO BOM")))</f>
        <v>MUITO BOM</v>
      </c>
      <c r="M364" s="3">
        <v>35</v>
      </c>
      <c r="N364" s="3">
        <v>98.39</v>
      </c>
      <c r="O364" s="12">
        <v>8.7999999999999989</v>
      </c>
    </row>
    <row r="365" spans="1:15" x14ac:dyDescent="0.25">
      <c r="A365" s="7">
        <v>46162</v>
      </c>
      <c r="B365" s="8" t="s">
        <v>18</v>
      </c>
      <c r="C365" s="1" t="s">
        <v>16</v>
      </c>
      <c r="D365" s="3">
        <v>10</v>
      </c>
      <c r="E365" s="3">
        <v>4</v>
      </c>
      <c r="F365" s="3">
        <v>3.22</v>
      </c>
      <c r="G365" s="3">
        <v>0</v>
      </c>
      <c r="H365" s="3">
        <v>0</v>
      </c>
      <c r="I365" s="3">
        <f>E365+G365+H365</f>
        <v>4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7</v>
      </c>
      <c r="K365" s="3">
        <f>I365-J365</f>
        <v>-3</v>
      </c>
      <c r="L365" s="3" t="str">
        <f>IF(K365&lt;-5,"CRÍTICO",IF(K365&lt;0,"ATENÇÃO",IF(K365&lt;=5,"OPORTUNO","MUITO BOM")))</f>
        <v>ATENÇÃO</v>
      </c>
      <c r="M365" s="3">
        <v>0</v>
      </c>
      <c r="N365" s="3">
        <v>100</v>
      </c>
      <c r="O365" s="12">
        <v>28.94736842105263</v>
      </c>
    </row>
    <row r="366" spans="1:15" x14ac:dyDescent="0.25">
      <c r="A366" s="5">
        <v>46163</v>
      </c>
      <c r="B366" s="6" t="s">
        <v>18</v>
      </c>
      <c r="C366" s="1" t="s">
        <v>16</v>
      </c>
      <c r="D366" s="3">
        <v>9</v>
      </c>
      <c r="E366" s="3">
        <v>8</v>
      </c>
      <c r="F366" s="3">
        <v>23.57</v>
      </c>
      <c r="G366" s="3">
        <v>0</v>
      </c>
      <c r="H366" s="3">
        <v>0</v>
      </c>
      <c r="I366" s="3">
        <f>E366+G366+H366</f>
        <v>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6</v>
      </c>
      <c r="K366" s="3">
        <f>I366-J366</f>
        <v>2</v>
      </c>
      <c r="L366" s="3" t="str">
        <f>IF(K366&lt;-5,"CRÍTICO",IF(K366&lt;0,"ATENÇÃO",IF(K366&lt;=5,"OPORTUNO","MUITO BOM")))</f>
        <v>OPORTUNO</v>
      </c>
      <c r="M366" s="3">
        <v>6</v>
      </c>
      <c r="N366" s="3">
        <v>100</v>
      </c>
      <c r="O366" s="12">
        <v>28.94736842105263</v>
      </c>
    </row>
    <row r="367" spans="1:15" x14ac:dyDescent="0.25">
      <c r="A367" s="9">
        <v>46164</v>
      </c>
      <c r="B367" s="6" t="s">
        <v>18</v>
      </c>
      <c r="C367" s="1" t="s">
        <v>16</v>
      </c>
      <c r="D367" s="3">
        <v>6</v>
      </c>
      <c r="E367" s="3">
        <v>6</v>
      </c>
      <c r="F367" s="3">
        <v>36.58</v>
      </c>
      <c r="G367" s="3">
        <v>0</v>
      </c>
      <c r="H367" s="3">
        <v>0</v>
      </c>
      <c r="I367" s="3">
        <f>E367+G367+H367</f>
        <v>6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6</v>
      </c>
      <c r="K367" s="3">
        <f>I367-J367</f>
        <v>0</v>
      </c>
      <c r="L367" s="3" t="str">
        <f>IF(K367&lt;-5,"CRÍTICO",IF(K367&lt;0,"ATENÇÃO",IF(K367&lt;=5,"OPORTUNO","MUITO BOM")))</f>
        <v>OPORTUNO</v>
      </c>
      <c r="M367" s="3">
        <v>6</v>
      </c>
      <c r="N367" s="3">
        <v>100</v>
      </c>
      <c r="O367" s="12">
        <v>28.94736842105263</v>
      </c>
    </row>
    <row r="368" spans="1:15" x14ac:dyDescent="0.25">
      <c r="A368" s="10">
        <v>46167</v>
      </c>
      <c r="B368" t="s">
        <v>18</v>
      </c>
      <c r="C368" s="1" t="s">
        <v>16</v>
      </c>
      <c r="D368" s="3">
        <v>1</v>
      </c>
      <c r="E368" s="3">
        <v>1</v>
      </c>
      <c r="F368" s="3">
        <v>72.069999999999993</v>
      </c>
      <c r="G368" s="3">
        <v>0</v>
      </c>
      <c r="H368" s="3">
        <v>0</v>
      </c>
      <c r="I368" s="3">
        <f>E368+G368+H368</f>
        <v>1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6</v>
      </c>
      <c r="K368" s="3">
        <f>I368-J368</f>
        <v>-5</v>
      </c>
      <c r="L368" s="3" t="str">
        <f>IF(K368&lt;-5,"CRÍTICO",IF(K368&lt;0,"ATENÇÃO",IF(K368&lt;=5,"OPORTUNO","MUITO BOM")))</f>
        <v>ATENÇÃO</v>
      </c>
      <c r="M368" s="3">
        <v>1</v>
      </c>
      <c r="N368" s="3">
        <v>100</v>
      </c>
      <c r="O368" s="12">
        <v>28.94736842105263</v>
      </c>
    </row>
    <row r="369" spans="1:15" hidden="1" x14ac:dyDescent="0.25">
      <c r="A369" s="10">
        <v>46037</v>
      </c>
      <c r="B369" t="s">
        <v>22</v>
      </c>
      <c r="C369" s="1" t="s">
        <v>23</v>
      </c>
      <c r="D369" s="3">
        <v>27</v>
      </c>
      <c r="E369" s="3">
        <v>27</v>
      </c>
      <c r="F369" s="3">
        <v>18.350000000000001</v>
      </c>
      <c r="G369" s="3">
        <v>0</v>
      </c>
      <c r="H369" s="3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 s="3">
        <v>24</v>
      </c>
      <c r="N369" s="3">
        <v>98.91</v>
      </c>
      <c r="O369" s="12">
        <v>31.367292225201069</v>
      </c>
    </row>
    <row r="370" spans="1:15" x14ac:dyDescent="0.25">
      <c r="A370" s="10">
        <v>46168</v>
      </c>
      <c r="B370" t="s">
        <v>18</v>
      </c>
      <c r="C370" s="1" t="s">
        <v>16</v>
      </c>
      <c r="D370" s="3">
        <v>7</v>
      </c>
      <c r="E370" s="3">
        <v>7</v>
      </c>
      <c r="F370" s="3">
        <v>41.42</v>
      </c>
      <c r="G370" s="3">
        <v>0</v>
      </c>
      <c r="H370" s="3">
        <v>0</v>
      </c>
      <c r="I370" s="3">
        <f>E370+G370+H370</f>
        <v>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8</v>
      </c>
      <c r="K370" s="3">
        <f>I370-J370</f>
        <v>-1</v>
      </c>
      <c r="L370" s="3" t="str">
        <f>IF(K370&lt;-5,"CRÍTICO",IF(K370&lt;0,"ATENÇÃO",IF(K370&lt;=5,"OPORTUNO","MUITO BOM")))</f>
        <v>ATENÇÃO</v>
      </c>
      <c r="M370" s="3">
        <v>6</v>
      </c>
      <c r="N370" s="3">
        <v>100</v>
      </c>
      <c r="O370" s="12">
        <v>31.578947368421051</v>
      </c>
    </row>
    <row r="371" spans="1:15" x14ac:dyDescent="0.25">
      <c r="A371" s="10">
        <v>46169</v>
      </c>
      <c r="B371" t="s">
        <v>18</v>
      </c>
      <c r="C371" s="1" t="s">
        <v>16</v>
      </c>
      <c r="D371" s="3">
        <v>5</v>
      </c>
      <c r="E371" s="3">
        <v>5</v>
      </c>
      <c r="F371" s="3">
        <v>57</v>
      </c>
      <c r="G371" s="3">
        <v>0</v>
      </c>
      <c r="H371" s="3">
        <v>0</v>
      </c>
      <c r="I371" s="3">
        <f>E371+G371+H371</f>
        <v>5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8</v>
      </c>
      <c r="K371" s="3">
        <f>I371-J371</f>
        <v>-3</v>
      </c>
      <c r="L371" s="3" t="str">
        <f>IF(K371&lt;-5,"CRÍTICO",IF(K371&lt;0,"ATENÇÃO",IF(K371&lt;=5,"OPORTUNO","MUITO BOM")))</f>
        <v>ATENÇÃO</v>
      </c>
      <c r="M371" s="3">
        <v>5</v>
      </c>
      <c r="N371" s="3">
        <v>100</v>
      </c>
      <c r="O371" s="12">
        <v>30.232558139534881</v>
      </c>
    </row>
    <row r="372" spans="1:15" x14ac:dyDescent="0.25">
      <c r="A372" s="10">
        <v>46170</v>
      </c>
      <c r="B372" t="s">
        <v>18</v>
      </c>
      <c r="C372" s="1" t="s">
        <v>16</v>
      </c>
      <c r="D372" s="3">
        <v>9</v>
      </c>
      <c r="E372" s="3">
        <v>8</v>
      </c>
      <c r="F372" s="3">
        <v>32.24</v>
      </c>
      <c r="G372" s="3">
        <v>0</v>
      </c>
      <c r="H372" s="3">
        <v>0</v>
      </c>
      <c r="I372" s="3">
        <f>E372+G372+H372</f>
        <v>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8</v>
      </c>
      <c r="K372" s="3">
        <f>I372-J372</f>
        <v>0</v>
      </c>
      <c r="L372" s="3" t="str">
        <f>IF(K372&lt;-5,"CRÍTICO",IF(K372&lt;0,"ATENÇÃO",IF(K372&lt;=5,"OPORTUNO","MUITO BOM")))</f>
        <v>OPORTUNO</v>
      </c>
      <c r="M372" s="3">
        <v>8</v>
      </c>
      <c r="N372" s="3">
        <v>100</v>
      </c>
      <c r="O372" s="12">
        <v>33.333333333333329</v>
      </c>
    </row>
    <row r="373" spans="1:15" x14ac:dyDescent="0.25">
      <c r="A373" s="10">
        <v>46171</v>
      </c>
      <c r="B373" t="s">
        <v>18</v>
      </c>
      <c r="C373" s="1" t="s">
        <v>16</v>
      </c>
      <c r="D373" s="3">
        <v>6</v>
      </c>
      <c r="E373" s="3">
        <v>6</v>
      </c>
      <c r="F373" s="3">
        <v>49.01</v>
      </c>
      <c r="G373" s="3">
        <v>0</v>
      </c>
      <c r="H373" s="3">
        <v>0</v>
      </c>
      <c r="I373" s="3">
        <f>E373+G373+H373</f>
        <v>6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8</v>
      </c>
      <c r="K373" s="3">
        <f>I373-J373</f>
        <v>-2</v>
      </c>
      <c r="L373" s="3" t="str">
        <f>IF(K373&lt;-5,"CRÍTICO",IF(K373&lt;0,"ATENÇÃO",IF(K373&lt;=5,"OPORTUNO","MUITO BOM")))</f>
        <v>ATENÇÃO</v>
      </c>
      <c r="M373" s="3">
        <v>1</v>
      </c>
      <c r="N373" s="3">
        <v>100</v>
      </c>
      <c r="O373" s="12">
        <v>32.692307692307693</v>
      </c>
    </row>
    <row r="374" spans="1:15" x14ac:dyDescent="0.25">
      <c r="A374" s="5">
        <v>46150</v>
      </c>
      <c r="B374" s="6" t="s">
        <v>24</v>
      </c>
      <c r="C374" s="1" t="s">
        <v>16</v>
      </c>
      <c r="D374" s="3">
        <v>46</v>
      </c>
      <c r="E374" s="3">
        <v>42</v>
      </c>
      <c r="F374" s="3">
        <v>5.38</v>
      </c>
      <c r="G374" s="3">
        <v>0</v>
      </c>
      <c r="H374" s="3">
        <v>0</v>
      </c>
      <c r="I374" s="3">
        <f>E374+G374+H374</f>
        <v>42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8</v>
      </c>
      <c r="K374" s="3">
        <f>I374-J374</f>
        <v>34</v>
      </c>
      <c r="L374" s="3" t="str">
        <f>IF(K374&lt;-5,"CRÍTICO",IF(K374&lt;0,"ATENÇÃO",IF(K374&lt;=5,"OPORTUNO","MUITO BOM")))</f>
        <v>MUITO BOM</v>
      </c>
      <c r="M374" s="3">
        <v>0</v>
      </c>
      <c r="N374" s="3">
        <v>100</v>
      </c>
      <c r="O374" s="12">
        <v>33.333333333333329</v>
      </c>
    </row>
    <row r="375" spans="1:15" x14ac:dyDescent="0.25">
      <c r="A375" s="5">
        <v>46157</v>
      </c>
      <c r="B375" s="6" t="s">
        <v>24</v>
      </c>
      <c r="C375" s="1" t="s">
        <v>16</v>
      </c>
      <c r="D375" s="3">
        <v>4</v>
      </c>
      <c r="E375" s="3">
        <v>4</v>
      </c>
      <c r="F375" s="3">
        <v>55.52</v>
      </c>
      <c r="G375" s="3">
        <v>0</v>
      </c>
      <c r="H375" s="3">
        <v>0</v>
      </c>
      <c r="I375" s="3">
        <f>E375+G375+H375</f>
        <v>4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8</v>
      </c>
      <c r="K375" s="3">
        <f>I375-J375</f>
        <v>-4</v>
      </c>
      <c r="L375" s="3" t="str">
        <f>IF(K375&lt;-5,"CRÍTICO",IF(K375&lt;0,"ATENÇÃO",IF(K375&lt;=5,"OPORTUNO","MUITO BOM")))</f>
        <v>ATENÇÃO</v>
      </c>
      <c r="M375" s="3">
        <v>3</v>
      </c>
      <c r="N375" s="3">
        <v>100</v>
      </c>
      <c r="O375" s="12">
        <v>33.333333333333329</v>
      </c>
    </row>
    <row r="376" spans="1:15" hidden="1" x14ac:dyDescent="0.25">
      <c r="A376" s="5">
        <v>46150</v>
      </c>
      <c r="B376" s="6" t="s">
        <v>31</v>
      </c>
      <c r="C376" s="1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f>E376+G376+H376</f>
        <v>0</v>
      </c>
      <c r="J376" s="3">
        <v>0</v>
      </c>
      <c r="K376" s="3">
        <f>I376-J376</f>
        <v>0</v>
      </c>
      <c r="L376" s="3" t="str">
        <f>IF(K376&lt;-5,"CRÍTICO",IF(K376&lt;0,"ATENÇÃO",IF(K376&lt;=5,"OPORTUNO","MUITO BOM")))</f>
        <v>OPORTUNO</v>
      </c>
      <c r="M376" s="3">
        <v>0</v>
      </c>
      <c r="N376" s="3">
        <v>100</v>
      </c>
      <c r="O376" s="12">
        <v>0</v>
      </c>
    </row>
    <row r="377" spans="1:15" hidden="1" x14ac:dyDescent="0.25">
      <c r="A377" s="5">
        <v>46150</v>
      </c>
      <c r="B377" s="6" t="s">
        <v>33</v>
      </c>
      <c r="C377" s="1" t="s">
        <v>32</v>
      </c>
      <c r="D377" s="3">
        <v>22</v>
      </c>
      <c r="E377" s="3">
        <v>21</v>
      </c>
      <c r="F377" s="3">
        <v>16.5</v>
      </c>
      <c r="G377" s="3">
        <v>3</v>
      </c>
      <c r="H377" s="3">
        <v>0</v>
      </c>
      <c r="I377" s="3">
        <f>E377+G377+H377</f>
        <v>24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-5</v>
      </c>
      <c r="L377" s="3" t="str">
        <f>IF(K377&lt;-5,"CRÍTICO",IF(K377&lt;0,"ATENÇÃO",IF(K377&lt;=5,"OPORTUNO","MUITO BOM")))</f>
        <v>ATENÇÃO</v>
      </c>
      <c r="M377" s="3">
        <v>20</v>
      </c>
      <c r="N377" s="3">
        <v>96.94</v>
      </c>
      <c r="O377" s="12">
        <v>19.613259668508292</v>
      </c>
    </row>
    <row r="378" spans="1:15" hidden="1" x14ac:dyDescent="0.25">
      <c r="A378" s="5">
        <v>46150</v>
      </c>
      <c r="B378" s="6" t="s">
        <v>34</v>
      </c>
      <c r="C378" s="1" t="s">
        <v>32</v>
      </c>
      <c r="D378" s="3">
        <v>27</v>
      </c>
      <c r="E378" s="3">
        <v>26</v>
      </c>
      <c r="F378" s="3">
        <v>17.37</v>
      </c>
      <c r="G378" s="3">
        <v>0</v>
      </c>
      <c r="H378" s="3">
        <v>0</v>
      </c>
      <c r="I378" s="3">
        <f>E378+G378+H378</f>
        <v>26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-3</v>
      </c>
      <c r="L378" s="3" t="str">
        <f>IF(K378&lt;-5,"CRÍTICO",IF(K378&lt;0,"ATENÇÃO",IF(K378&lt;=5,"OPORTUNO","MUITO BOM")))</f>
        <v>ATENÇÃO</v>
      </c>
      <c r="M378" s="3">
        <v>25</v>
      </c>
      <c r="N378" s="3">
        <v>92.81</v>
      </c>
      <c r="O378" s="12">
        <v>25.477707006369432</v>
      </c>
    </row>
    <row r="379" spans="1:15" hidden="1" x14ac:dyDescent="0.25">
      <c r="A379" s="5">
        <v>46150</v>
      </c>
      <c r="B379" s="6" t="s">
        <v>35</v>
      </c>
      <c r="C379" s="1" t="s">
        <v>32</v>
      </c>
      <c r="D379" s="3">
        <v>17</v>
      </c>
      <c r="E379" s="3">
        <v>17</v>
      </c>
      <c r="F379" s="3">
        <v>25.05</v>
      </c>
      <c r="G379" s="3">
        <v>0</v>
      </c>
      <c r="H379" s="3">
        <v>0</v>
      </c>
      <c r="I379" s="3">
        <f>E379+G379+H379</f>
        <v>17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29</v>
      </c>
      <c r="K379" s="3">
        <f>I379-J379</f>
        <v>-12</v>
      </c>
      <c r="L379" s="3" t="str">
        <f>IF(K379&lt;-5,"CRÍTICO",IF(K379&lt;0,"ATENÇÃO",IF(K379&lt;=5,"OPORTUNO","MUITO BOM")))</f>
        <v>CRÍTICO</v>
      </c>
      <c r="M379" s="3">
        <v>22</v>
      </c>
      <c r="N379" s="3">
        <v>99.19</v>
      </c>
      <c r="O379" s="12">
        <v>28.404669260700391</v>
      </c>
    </row>
    <row r="380" spans="1:15" hidden="1" x14ac:dyDescent="0.25">
      <c r="A380" s="5">
        <v>46150</v>
      </c>
      <c r="B380" s="6" t="s">
        <v>36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>E380+G380+H380</f>
        <v>0</v>
      </c>
      <c r="J380" s="3">
        <v>0</v>
      </c>
      <c r="K380" s="3">
        <f>I380-J380</f>
        <v>0</v>
      </c>
      <c r="L380" s="3" t="str">
        <f>IF(K380&lt;-5,"CRÍTICO",IF(K380&lt;0,"ATENÇÃO",IF(K380&lt;=5,"OPORTUNO","MUITO BOM")))</f>
        <v>OPORTUNO</v>
      </c>
      <c r="M380" s="3">
        <v>0</v>
      </c>
      <c r="N380" s="3">
        <v>100</v>
      </c>
      <c r="O380" s="12">
        <v>13.51351351351351</v>
      </c>
    </row>
    <row r="381" spans="1:15" hidden="1" x14ac:dyDescent="0.25">
      <c r="A381" s="5">
        <v>46150</v>
      </c>
      <c r="B381" s="6" t="s">
        <v>37</v>
      </c>
      <c r="C381" s="1" t="s">
        <v>32</v>
      </c>
      <c r="D381" s="3">
        <v>41</v>
      </c>
      <c r="E381" s="3">
        <v>37</v>
      </c>
      <c r="F381" s="3">
        <v>14.1</v>
      </c>
      <c r="G381" s="3">
        <v>8</v>
      </c>
      <c r="H381" s="3">
        <v>0</v>
      </c>
      <c r="I381" s="3">
        <f>E381+G381+H381</f>
        <v>45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16</v>
      </c>
      <c r="L381" s="3" t="str">
        <f>IF(K381&lt;-5,"CRÍTICO",IF(K381&lt;0,"ATENÇÃO",IF(K381&lt;=5,"OPORTUNO","MUITO BOM")))</f>
        <v>MUITO BOM</v>
      </c>
      <c r="M381" s="3">
        <v>41</v>
      </c>
      <c r="N381" s="3">
        <v>99</v>
      </c>
      <c r="O381" s="12">
        <v>22.27414330218069</v>
      </c>
    </row>
    <row r="382" spans="1:15" hidden="1" x14ac:dyDescent="0.25">
      <c r="A382" s="5">
        <v>46150</v>
      </c>
      <c r="B382" s="6" t="s">
        <v>38</v>
      </c>
      <c r="C382" s="1" t="s">
        <v>32</v>
      </c>
      <c r="D382" s="3">
        <v>20</v>
      </c>
      <c r="E382" s="3">
        <v>19</v>
      </c>
      <c r="F382" s="3">
        <v>12.31</v>
      </c>
      <c r="G382" s="3">
        <v>5</v>
      </c>
      <c r="H382" s="3">
        <v>0</v>
      </c>
      <c r="I382" s="3">
        <f>E382+G382+H382</f>
        <v>24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29</v>
      </c>
      <c r="K382" s="3">
        <f>I382-J382</f>
        <v>-5</v>
      </c>
      <c r="L382" s="3" t="str">
        <f>IF(K382&lt;-5,"CRÍTICO",IF(K382&lt;0,"ATENÇÃO",IF(K382&lt;=5,"OPORTUNO","MUITO BOM")))</f>
        <v>ATENÇÃO</v>
      </c>
      <c r="M382" s="3">
        <v>21</v>
      </c>
      <c r="N382" s="3">
        <v>97.04</v>
      </c>
      <c r="O382" s="12">
        <v>29.828850855745721</v>
      </c>
    </row>
    <row r="383" spans="1:15" hidden="1" x14ac:dyDescent="0.25">
      <c r="A383" s="5">
        <v>46150</v>
      </c>
      <c r="B383" s="6" t="s">
        <v>39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>E383+G383+H383</f>
        <v>0</v>
      </c>
      <c r="J383" s="3">
        <v>0</v>
      </c>
      <c r="K383" s="3">
        <f>I383-J383</f>
        <v>0</v>
      </c>
      <c r="L383" s="3" t="str">
        <f>IF(K383&lt;-5,"CRÍTICO",IF(K383&lt;0,"ATENÇÃO",IF(K383&lt;=5,"OPORTUNO","MUITO BOM")))</f>
        <v>OPORTUNO</v>
      </c>
      <c r="M383" s="3">
        <v>0</v>
      </c>
      <c r="N383" s="3">
        <v>0</v>
      </c>
      <c r="O383" s="12">
        <v>0</v>
      </c>
    </row>
    <row r="384" spans="1:15" hidden="1" x14ac:dyDescent="0.25">
      <c r="A384" s="10">
        <v>46087</v>
      </c>
      <c r="B384" t="s">
        <v>43</v>
      </c>
      <c r="C384" s="1" t="s">
        <v>32</v>
      </c>
      <c r="D384" s="3">
        <v>11</v>
      </c>
      <c r="E384" s="3">
        <v>10</v>
      </c>
      <c r="F384" s="3">
        <v>18.29</v>
      </c>
      <c r="G384" s="3">
        <v>0</v>
      </c>
      <c r="H384" s="3">
        <v>0</v>
      </c>
      <c r="I384" s="3">
        <f>E384+G384+H384</f>
        <v>10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27</v>
      </c>
      <c r="K384" s="3">
        <f>I384-J384</f>
        <v>-17</v>
      </c>
      <c r="L384" s="3" t="str">
        <f>IF(K384&lt;-5,"CRÍTICO",IF(K384&lt;0,"ATENÇÃO",IF(K384&lt;=5,"OPORTUNO","MUITO BOM")))</f>
        <v>CRÍTICO</v>
      </c>
      <c r="M384" s="3">
        <v>48</v>
      </c>
      <c r="N384" s="3">
        <v>98.86</v>
      </c>
      <c r="O384" s="12">
        <v>28.959276018099551</v>
      </c>
    </row>
    <row r="385" spans="1:15" hidden="1" x14ac:dyDescent="0.25">
      <c r="A385" s="5">
        <v>46150</v>
      </c>
      <c r="B385" s="6" t="s">
        <v>40</v>
      </c>
      <c r="C385" s="1" t="s">
        <v>32</v>
      </c>
      <c r="D385" s="3">
        <v>4</v>
      </c>
      <c r="E385" s="3">
        <v>4</v>
      </c>
      <c r="F385" s="3">
        <v>30.5</v>
      </c>
      <c r="G385" s="3">
        <v>0</v>
      </c>
      <c r="H385" s="3">
        <v>0</v>
      </c>
      <c r="I385" s="3">
        <f>E385+G385+H385</f>
        <v>4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-25</v>
      </c>
      <c r="L385" s="3" t="str">
        <f>IF(K385&lt;-5,"CRÍTICO",IF(K385&lt;0,"ATENÇÃO",IF(K385&lt;=5,"OPORTUNO","MUITO BOM")))</f>
        <v>CRÍTICO</v>
      </c>
      <c r="M385" s="3">
        <v>4</v>
      </c>
      <c r="N385" s="3">
        <v>96.84</v>
      </c>
      <c r="O385" s="12">
        <v>16.338028169014081</v>
      </c>
    </row>
    <row r="386" spans="1:15" hidden="1" x14ac:dyDescent="0.25">
      <c r="A386" s="5">
        <v>46150</v>
      </c>
      <c r="B386" s="6" t="s">
        <v>41</v>
      </c>
      <c r="C386" s="1" t="s">
        <v>32</v>
      </c>
      <c r="D386" s="3">
        <v>29</v>
      </c>
      <c r="E386" s="3">
        <v>28</v>
      </c>
      <c r="F386" s="3">
        <v>22.03</v>
      </c>
      <c r="G386" s="3">
        <v>0</v>
      </c>
      <c r="H386" s="3">
        <v>0</v>
      </c>
      <c r="I386" s="3">
        <f>E386+G386+H386</f>
        <v>28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-1</v>
      </c>
      <c r="L386" s="3" t="str">
        <f>IF(K386&lt;-5,"CRÍTICO",IF(K386&lt;0,"ATENÇÃO",IF(K386&lt;=5,"OPORTUNO","MUITO BOM")))</f>
        <v>ATENÇÃO</v>
      </c>
      <c r="M386" s="3">
        <v>24</v>
      </c>
      <c r="N386" s="3">
        <v>100</v>
      </c>
      <c r="O386" s="12">
        <v>18.244803695150122</v>
      </c>
    </row>
    <row r="387" spans="1:15" hidden="1" x14ac:dyDescent="0.25">
      <c r="A387" s="5">
        <v>46150</v>
      </c>
      <c r="B387" s="6" t="s">
        <v>42</v>
      </c>
      <c r="C387" s="1" t="s">
        <v>32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f>E387+G387+H387</f>
        <v>0</v>
      </c>
      <c r="J387" s="3">
        <v>0</v>
      </c>
      <c r="K387" s="3">
        <f>I387-J387</f>
        <v>0</v>
      </c>
      <c r="L387" s="3" t="str">
        <f>IF(K387&lt;-5,"CRÍTICO",IF(K387&lt;0,"ATENÇÃO",IF(K387&lt;=5,"OPORTUNO","MUITO BOM")))</f>
        <v>OPORTUNO</v>
      </c>
      <c r="M387" s="3">
        <v>0</v>
      </c>
      <c r="N387" s="3">
        <v>100</v>
      </c>
      <c r="O387" s="12">
        <v>15.789473684210529</v>
      </c>
    </row>
    <row r="388" spans="1:15" hidden="1" x14ac:dyDescent="0.25">
      <c r="A388" s="5">
        <v>46150</v>
      </c>
      <c r="B388" s="6" t="s">
        <v>44</v>
      </c>
      <c r="C388" s="1" t="s">
        <v>32</v>
      </c>
      <c r="D388" s="3">
        <v>30</v>
      </c>
      <c r="E388" s="3">
        <v>28</v>
      </c>
      <c r="F388" s="3">
        <v>13.33</v>
      </c>
      <c r="G388" s="3">
        <v>1</v>
      </c>
      <c r="H388" s="3">
        <v>0</v>
      </c>
      <c r="I388" s="3">
        <f>E388+G388+H388</f>
        <v>29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0</v>
      </c>
      <c r="L388" s="3" t="str">
        <f>IF(K388&lt;-5,"CRÍTICO",IF(K388&lt;0,"ATENÇÃO",IF(K388&lt;=5,"OPORTUNO","MUITO BOM")))</f>
        <v>OPORTUNO</v>
      </c>
      <c r="M388" s="3">
        <v>23</v>
      </c>
      <c r="N388" s="3">
        <v>96.38</v>
      </c>
      <c r="O388" s="12">
        <v>23.198198198198199</v>
      </c>
    </row>
    <row r="389" spans="1:15" hidden="1" x14ac:dyDescent="0.25">
      <c r="A389" s="5">
        <v>46150</v>
      </c>
      <c r="B389" s="6" t="s">
        <v>45</v>
      </c>
      <c r="C389" s="1" t="s">
        <v>32</v>
      </c>
      <c r="D389" s="3">
        <v>44</v>
      </c>
      <c r="E389" s="3">
        <v>38</v>
      </c>
      <c r="F389" s="3">
        <v>10.220000000000001</v>
      </c>
      <c r="G389" s="3">
        <v>0</v>
      </c>
      <c r="H389" s="3">
        <v>0</v>
      </c>
      <c r="I389" s="3">
        <f>E389+G389+H389</f>
        <v>38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29</v>
      </c>
      <c r="K389" s="3">
        <f>I389-J389</f>
        <v>9</v>
      </c>
      <c r="L389" s="3" t="str">
        <f>IF(K389&lt;-5,"CRÍTICO",IF(K389&lt;0,"ATENÇÃO",IF(K389&lt;=5,"OPORTUNO","MUITO BOM")))</f>
        <v>MUITO BOM</v>
      </c>
      <c r="M389" s="3">
        <v>26</v>
      </c>
      <c r="N389" s="3">
        <v>99.39</v>
      </c>
      <c r="O389" s="12">
        <v>25.203252032520329</v>
      </c>
    </row>
    <row r="390" spans="1:15" hidden="1" x14ac:dyDescent="0.25">
      <c r="A390" s="5">
        <v>46150</v>
      </c>
      <c r="B390" s="6" t="s">
        <v>46</v>
      </c>
      <c r="C390" s="1" t="s">
        <v>32</v>
      </c>
      <c r="D390" s="3">
        <v>22</v>
      </c>
      <c r="E390" s="3">
        <v>21</v>
      </c>
      <c r="F390" s="3">
        <v>14.04</v>
      </c>
      <c r="G390" s="3">
        <v>5</v>
      </c>
      <c r="H390" s="3">
        <v>0</v>
      </c>
      <c r="I390" s="3">
        <f>E390+G390+H390</f>
        <v>26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29</v>
      </c>
      <c r="K390" s="3">
        <f>I390-J390</f>
        <v>-3</v>
      </c>
      <c r="L390" s="3" t="str">
        <f>IF(K390&lt;-5,"CRÍTICO",IF(K390&lt;0,"ATENÇÃO",IF(K390&lt;=5,"OPORTUNO","MUITO BOM")))</f>
        <v>ATENÇÃO</v>
      </c>
      <c r="M390" s="3">
        <v>25</v>
      </c>
      <c r="N390" s="3">
        <v>97</v>
      </c>
      <c r="O390" s="12">
        <v>20.325203252032519</v>
      </c>
    </row>
    <row r="391" spans="1:15" hidden="1" x14ac:dyDescent="0.25">
      <c r="A391" s="5">
        <v>46150</v>
      </c>
      <c r="B391" s="6" t="s">
        <v>47</v>
      </c>
      <c r="C391" s="1" t="s">
        <v>48</v>
      </c>
      <c r="D391" s="3">
        <v>34</v>
      </c>
      <c r="E391" s="3">
        <v>30</v>
      </c>
      <c r="F391" s="3">
        <v>11.56</v>
      </c>
      <c r="G391" s="3">
        <v>4</v>
      </c>
      <c r="H391" s="3">
        <v>0</v>
      </c>
      <c r="I391" s="3">
        <f>E391+G391+H391</f>
        <v>34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23</v>
      </c>
      <c r="K391" s="3">
        <f>I391-J391</f>
        <v>11</v>
      </c>
      <c r="L391" s="3" t="str">
        <f>IF(K391&lt;-5,"CRÍTICO",IF(K391&lt;0,"ATENÇÃO",IF(K391&lt;=5,"OPORTUNO","MUITO BOM")))</f>
        <v>MUITO BOM</v>
      </c>
      <c r="M391" s="3">
        <v>21</v>
      </c>
      <c r="N391" s="3">
        <v>99.18</v>
      </c>
      <c r="O391" s="12">
        <v>24.501424501424498</v>
      </c>
    </row>
    <row r="392" spans="1:15" hidden="1" x14ac:dyDescent="0.25">
      <c r="A392" s="5">
        <v>46150</v>
      </c>
      <c r="B392" s="6" t="s">
        <v>49</v>
      </c>
      <c r="C392" s="1" t="s">
        <v>48</v>
      </c>
      <c r="D392" s="3">
        <v>31</v>
      </c>
      <c r="E392" s="3">
        <v>28</v>
      </c>
      <c r="F392" s="3">
        <v>15.19</v>
      </c>
      <c r="G392" s="3">
        <v>4</v>
      </c>
      <c r="H392" s="3">
        <v>0</v>
      </c>
      <c r="I392" s="3">
        <f>E392+G392+H392</f>
        <v>32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23</v>
      </c>
      <c r="K392" s="3">
        <f>I392-J392</f>
        <v>9</v>
      </c>
      <c r="L392" s="3" t="str">
        <f>IF(K392&lt;-5,"CRÍTICO",IF(K392&lt;0,"ATENÇÃO",IF(K392&lt;=5,"OPORTUNO","MUITO BOM")))</f>
        <v>MUITO BOM</v>
      </c>
      <c r="M392" s="3">
        <v>35</v>
      </c>
      <c r="N392" s="3">
        <v>99.35</v>
      </c>
      <c r="O392" s="12">
        <v>19.852941176470591</v>
      </c>
    </row>
    <row r="393" spans="1:15" hidden="1" x14ac:dyDescent="0.25">
      <c r="A393" s="5">
        <v>46150</v>
      </c>
      <c r="B393" s="6" t="s">
        <v>50</v>
      </c>
      <c r="C393" s="1" t="s">
        <v>48</v>
      </c>
      <c r="D393" s="3">
        <v>12</v>
      </c>
      <c r="E393" s="3">
        <v>12</v>
      </c>
      <c r="F393" s="3">
        <v>38.58</v>
      </c>
      <c r="G393" s="3">
        <v>0</v>
      </c>
      <c r="H393" s="3">
        <v>0</v>
      </c>
      <c r="I393" s="3">
        <f>E393+G393+H393</f>
        <v>12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23</v>
      </c>
      <c r="K393" s="3">
        <f>I393-J393</f>
        <v>-11</v>
      </c>
      <c r="L393" s="3" t="str">
        <f>IF(K393&lt;-5,"CRÍTICO",IF(K393&lt;0,"ATENÇÃO",IF(K393&lt;=5,"OPORTUNO","MUITO BOM")))</f>
        <v>CRÍTICO</v>
      </c>
      <c r="M393" s="3">
        <v>12</v>
      </c>
      <c r="N393" s="3">
        <v>99.07</v>
      </c>
      <c r="O393" s="12">
        <v>20.098039215686271</v>
      </c>
    </row>
    <row r="394" spans="1:15" hidden="1" x14ac:dyDescent="0.25">
      <c r="A394" s="5">
        <v>46150</v>
      </c>
      <c r="B394" s="6" t="s">
        <v>51</v>
      </c>
      <c r="C394" s="1" t="s">
        <v>48</v>
      </c>
      <c r="D394" s="3">
        <v>19</v>
      </c>
      <c r="E394" s="3">
        <v>17</v>
      </c>
      <c r="F394" s="3">
        <v>23.59</v>
      </c>
      <c r="G394" s="3">
        <v>0</v>
      </c>
      <c r="H394" s="3">
        <v>0</v>
      </c>
      <c r="I394" s="3">
        <f>E394+G394+H394</f>
        <v>17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23</v>
      </c>
      <c r="K394" s="3">
        <f>I394-J394</f>
        <v>-6</v>
      </c>
      <c r="L394" s="3" t="str">
        <f>IF(K394&lt;-5,"CRÍTICO",IF(K394&lt;0,"ATENÇÃO",IF(K394&lt;=5,"OPORTUNO","MUITO BOM")))</f>
        <v>CRÍTICO</v>
      </c>
      <c r="M394" s="3">
        <v>16</v>
      </c>
      <c r="N394" s="3">
        <v>98.81</v>
      </c>
      <c r="O394" s="12">
        <v>22.767857142857139</v>
      </c>
    </row>
    <row r="395" spans="1:15" hidden="1" x14ac:dyDescent="0.25">
      <c r="A395" s="5">
        <v>46150</v>
      </c>
      <c r="B395" s="6" t="s">
        <v>52</v>
      </c>
      <c r="C395" s="1" t="s">
        <v>48</v>
      </c>
      <c r="D395" s="3">
        <v>25</v>
      </c>
      <c r="E395" s="3">
        <v>23</v>
      </c>
      <c r="F395" s="3">
        <v>12.17</v>
      </c>
      <c r="G395" s="3">
        <v>6</v>
      </c>
      <c r="H395" s="3">
        <v>0</v>
      </c>
      <c r="I395" s="3">
        <f>E395+G395+H395</f>
        <v>29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23</v>
      </c>
      <c r="K395" s="3">
        <f>I395-J395</f>
        <v>6</v>
      </c>
      <c r="L395" s="3" t="str">
        <f>IF(K395&lt;-5,"CRÍTICO",IF(K395&lt;0,"ATENÇÃO",IF(K395&lt;=5,"OPORTUNO","MUITO BOM")))</f>
        <v>MUITO BOM</v>
      </c>
      <c r="M395" s="3">
        <v>26</v>
      </c>
      <c r="N395" s="3">
        <v>99.01</v>
      </c>
      <c r="O395" s="12">
        <v>17.766497461928939</v>
      </c>
    </row>
    <row r="396" spans="1:15" hidden="1" x14ac:dyDescent="0.25">
      <c r="A396" s="5">
        <v>46150</v>
      </c>
      <c r="B396" s="6" t="s">
        <v>53</v>
      </c>
      <c r="C396" s="1" t="s">
        <v>48</v>
      </c>
      <c r="D396" s="3">
        <v>0</v>
      </c>
      <c r="E396" s="3">
        <v>0</v>
      </c>
      <c r="F396" s="3">
        <v>0</v>
      </c>
      <c r="G396" s="3">
        <v>0</v>
      </c>
      <c r="H396" s="3">
        <v>0</v>
      </c>
      <c r="I396" s="3">
        <f>E396+G396+H396</f>
        <v>0</v>
      </c>
      <c r="J396" s="3">
        <v>0</v>
      </c>
      <c r="K396" s="3">
        <f>I396-J396</f>
        <v>0</v>
      </c>
      <c r="L396" s="3" t="str">
        <f>IF(K396&lt;-5,"CRÍTICO",IF(K396&lt;0,"ATENÇÃO",IF(K396&lt;=5,"OPORTUNO","MUITO BOM")))</f>
        <v>OPORTUNO</v>
      </c>
      <c r="M396" s="3">
        <v>0</v>
      </c>
      <c r="N396" s="3">
        <v>100</v>
      </c>
      <c r="O396" s="12">
        <v>17.241379310344829</v>
      </c>
    </row>
    <row r="397" spans="1:15" hidden="1" x14ac:dyDescent="0.25">
      <c r="A397" s="5">
        <v>46150</v>
      </c>
      <c r="B397" s="6" t="s">
        <v>54</v>
      </c>
      <c r="C397" s="1" t="s">
        <v>48</v>
      </c>
      <c r="D397" s="3">
        <v>30</v>
      </c>
      <c r="E397" s="3">
        <v>27</v>
      </c>
      <c r="F397" s="3">
        <v>15.28</v>
      </c>
      <c r="G397" s="3">
        <v>0</v>
      </c>
      <c r="H397" s="3">
        <v>0</v>
      </c>
      <c r="I397" s="3">
        <f>E397+G397+H397</f>
        <v>27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23</v>
      </c>
      <c r="K397" s="3">
        <f>I397-J397</f>
        <v>4</v>
      </c>
      <c r="L397" s="3" t="str">
        <f>IF(K397&lt;-5,"CRÍTICO",IF(K397&lt;0,"ATENÇÃO",IF(K397&lt;=5,"OPORTUNO","MUITO BOM")))</f>
        <v>OPORTUNO</v>
      </c>
      <c r="M397" s="3">
        <v>22</v>
      </c>
      <c r="N397" s="3">
        <v>98.98</v>
      </c>
      <c r="O397" s="12">
        <v>19.35483870967742</v>
      </c>
    </row>
    <row r="398" spans="1:15" hidden="1" x14ac:dyDescent="0.25">
      <c r="A398" s="5">
        <v>46150</v>
      </c>
      <c r="B398" s="6" t="s">
        <v>55</v>
      </c>
      <c r="C398" s="1" t="s">
        <v>48</v>
      </c>
      <c r="D398" s="3">
        <v>25</v>
      </c>
      <c r="E398" s="3">
        <v>20</v>
      </c>
      <c r="F398" s="3">
        <v>14.16</v>
      </c>
      <c r="G398" s="3">
        <v>3</v>
      </c>
      <c r="H398" s="3">
        <v>0</v>
      </c>
      <c r="I398" s="3">
        <f>E398+G398+H398</f>
        <v>23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23</v>
      </c>
      <c r="K398" s="3">
        <f>I398-J398</f>
        <v>0</v>
      </c>
      <c r="L398" s="3" t="str">
        <f>IF(K398&lt;-5,"CRÍTICO",IF(K398&lt;0,"ATENÇÃO",IF(K398&lt;=5,"OPORTUNO","MUITO BOM")))</f>
        <v>OPORTUNO</v>
      </c>
      <c r="M398" s="3">
        <v>24</v>
      </c>
      <c r="N398" s="3">
        <v>98.94</v>
      </c>
      <c r="O398" s="12">
        <v>21.270718232044199</v>
      </c>
    </row>
    <row r="399" spans="1:15" hidden="1" x14ac:dyDescent="0.25">
      <c r="A399" s="5">
        <v>46150</v>
      </c>
      <c r="B399" s="6" t="s">
        <v>56</v>
      </c>
      <c r="C399" s="1" t="s">
        <v>48</v>
      </c>
      <c r="D399" s="3">
        <v>22</v>
      </c>
      <c r="E399" s="3">
        <v>18</v>
      </c>
      <c r="F399" s="3">
        <v>15.45</v>
      </c>
      <c r="G399" s="3">
        <v>3</v>
      </c>
      <c r="H399" s="3">
        <v>0</v>
      </c>
      <c r="I399" s="3">
        <f>E399+G399+H399</f>
        <v>21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-2</v>
      </c>
      <c r="L399" s="3" t="str">
        <f>IF(K399&lt;-5,"CRÍTICO",IF(K399&lt;0,"ATENÇÃO",IF(K399&lt;=5,"OPORTUNO","MUITO BOM")))</f>
        <v>ATENÇÃO</v>
      </c>
      <c r="M399" s="3">
        <v>18</v>
      </c>
      <c r="N399" s="3">
        <v>99</v>
      </c>
      <c r="O399" s="12">
        <v>22.010869565217391</v>
      </c>
    </row>
    <row r="400" spans="1:15" hidden="1" x14ac:dyDescent="0.25">
      <c r="A400" s="5">
        <v>46150</v>
      </c>
      <c r="B400" s="6" t="s">
        <v>57</v>
      </c>
      <c r="C400" s="1" t="s">
        <v>48</v>
      </c>
      <c r="D400" s="3">
        <v>26</v>
      </c>
      <c r="E400" s="3">
        <v>26</v>
      </c>
      <c r="F400" s="3">
        <v>20.059999999999999</v>
      </c>
      <c r="G400" s="3">
        <v>0</v>
      </c>
      <c r="H400" s="3">
        <v>0</v>
      </c>
      <c r="I400" s="3">
        <f>E400+G400+H400</f>
        <v>26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3</v>
      </c>
      <c r="L400" s="3" t="str">
        <f>IF(K400&lt;-5,"CRÍTICO",IF(K400&lt;0,"ATENÇÃO",IF(K400&lt;=5,"OPORTUNO","MUITO BOM")))</f>
        <v>OPORTUNO</v>
      </c>
      <c r="M400" s="3">
        <v>21</v>
      </c>
      <c r="N400" s="3">
        <v>100</v>
      </c>
      <c r="O400" s="12">
        <v>25</v>
      </c>
    </row>
    <row r="401" spans="1:15" hidden="1" x14ac:dyDescent="0.25">
      <c r="A401" s="5">
        <v>46150</v>
      </c>
      <c r="B401" s="6" t="s">
        <v>58</v>
      </c>
      <c r="C401" s="1" t="s">
        <v>48</v>
      </c>
      <c r="D401" s="3">
        <v>19</v>
      </c>
      <c r="E401" s="3">
        <v>19</v>
      </c>
      <c r="F401" s="3">
        <v>17.079999999999998</v>
      </c>
      <c r="G401" s="3">
        <v>0</v>
      </c>
      <c r="H401" s="3">
        <v>0</v>
      </c>
      <c r="I401" s="3">
        <f>E401+G401+H401</f>
        <v>19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-4</v>
      </c>
      <c r="L401" s="3" t="str">
        <f>IF(K401&lt;-5,"CRÍTICO",IF(K401&lt;0,"ATENÇÃO",IF(K401&lt;=5,"OPORTUNO","MUITO BOM")))</f>
        <v>ATENÇÃO</v>
      </c>
      <c r="M401" s="3">
        <v>17</v>
      </c>
      <c r="N401" s="3">
        <v>100</v>
      </c>
      <c r="O401" s="12">
        <v>20.183486238532112</v>
      </c>
    </row>
    <row r="402" spans="1:15" hidden="1" x14ac:dyDescent="0.25">
      <c r="A402" s="5">
        <v>46150</v>
      </c>
      <c r="B402" s="6" t="s">
        <v>59</v>
      </c>
      <c r="C402" s="1" t="s">
        <v>23</v>
      </c>
      <c r="D402" s="3">
        <v>26</v>
      </c>
      <c r="E402" s="3">
        <v>25</v>
      </c>
      <c r="F402" s="3">
        <v>22.39</v>
      </c>
      <c r="G402" s="3">
        <v>0</v>
      </c>
      <c r="H402" s="3">
        <v>0</v>
      </c>
      <c r="I402" s="3">
        <f>E402+G402+H402</f>
        <v>25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19</v>
      </c>
      <c r="K402" s="3">
        <f>I402-J402</f>
        <v>6</v>
      </c>
      <c r="L402" s="3" t="str">
        <f>IF(K402&lt;-5,"CRÍTICO",IF(K402&lt;0,"ATENÇÃO",IF(K402&lt;=5,"OPORTUNO","MUITO BOM")))</f>
        <v>MUITO BOM</v>
      </c>
      <c r="M402" s="3">
        <v>24</v>
      </c>
      <c r="N402" s="3">
        <v>96.25</v>
      </c>
      <c r="O402" s="12">
        <v>25.586353944562902</v>
      </c>
    </row>
    <row r="403" spans="1:15" hidden="1" x14ac:dyDescent="0.25">
      <c r="A403" s="5">
        <v>46150</v>
      </c>
      <c r="B403" s="6" t="s">
        <v>60</v>
      </c>
      <c r="C403" s="1" t="s">
        <v>23</v>
      </c>
      <c r="D403" s="3">
        <v>25</v>
      </c>
      <c r="E403" s="3">
        <v>24</v>
      </c>
      <c r="F403" s="3">
        <v>17.350000000000001</v>
      </c>
      <c r="G403" s="3">
        <v>6</v>
      </c>
      <c r="H403" s="3">
        <v>0</v>
      </c>
      <c r="I403" s="3">
        <f>E403+G403+H403</f>
        <v>30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19</v>
      </c>
      <c r="K403" s="3">
        <f>I403-J403</f>
        <v>11</v>
      </c>
      <c r="L403" s="3" t="str">
        <f>IF(K403&lt;-5,"CRÍTICO",IF(K403&lt;0,"ATENÇÃO",IF(K403&lt;=5,"OPORTUNO","MUITO BOM")))</f>
        <v>MUITO BOM</v>
      </c>
      <c r="M403" s="3">
        <v>27</v>
      </c>
      <c r="N403" s="3">
        <v>97.48</v>
      </c>
      <c r="O403" s="12">
        <v>22.99465240641711</v>
      </c>
    </row>
    <row r="404" spans="1:15" hidden="1" x14ac:dyDescent="0.25">
      <c r="A404" s="5">
        <v>46150</v>
      </c>
      <c r="B404" s="6" t="s">
        <v>61</v>
      </c>
      <c r="C404" s="1" t="s">
        <v>23</v>
      </c>
      <c r="D404" s="3">
        <v>16</v>
      </c>
      <c r="E404" s="3">
        <v>16</v>
      </c>
      <c r="F404" s="3">
        <v>23.51</v>
      </c>
      <c r="G404" s="3">
        <v>0</v>
      </c>
      <c r="H404" s="3">
        <v>0</v>
      </c>
      <c r="I404" s="3">
        <f>E404+G404+H404</f>
        <v>16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19</v>
      </c>
      <c r="K404" s="3">
        <f>I404-J404</f>
        <v>-3</v>
      </c>
      <c r="L404" s="3" t="str">
        <f>IF(K404&lt;-5,"CRÍTICO",IF(K404&lt;0,"ATENÇÃO",IF(K404&lt;=5,"OPORTUNO","MUITO BOM")))</f>
        <v>ATENÇÃO</v>
      </c>
      <c r="M404" s="3">
        <v>11</v>
      </c>
      <c r="N404" s="3">
        <v>100</v>
      </c>
      <c r="O404" s="12">
        <v>20.788530465949819</v>
      </c>
    </row>
    <row r="405" spans="1:15" hidden="1" x14ac:dyDescent="0.25">
      <c r="A405" s="5">
        <v>46150</v>
      </c>
      <c r="B405" s="6" t="s">
        <v>62</v>
      </c>
      <c r="C405" s="1" t="s">
        <v>23</v>
      </c>
      <c r="D405" s="3">
        <v>18</v>
      </c>
      <c r="E405" s="3">
        <v>17</v>
      </c>
      <c r="F405" s="3">
        <v>25.06</v>
      </c>
      <c r="G405" s="3">
        <v>6</v>
      </c>
      <c r="H405" s="3">
        <v>0</v>
      </c>
      <c r="I405" s="3">
        <f>E405+G405+H405</f>
        <v>23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19</v>
      </c>
      <c r="K405" s="3">
        <f>I405-J405</f>
        <v>4</v>
      </c>
      <c r="L405" s="3" t="str">
        <f>IF(K405&lt;-5,"CRÍTICO",IF(K405&lt;0,"ATENÇÃO",IF(K405&lt;=5,"OPORTUNO","MUITO BOM")))</f>
        <v>OPORTUNO</v>
      </c>
      <c r="M405" s="3">
        <v>23</v>
      </c>
      <c r="N405" s="3">
        <v>94.55</v>
      </c>
      <c r="O405" s="12">
        <v>23.450134770889491</v>
      </c>
    </row>
    <row r="406" spans="1:15" hidden="1" x14ac:dyDescent="0.25">
      <c r="A406" s="5">
        <v>46150</v>
      </c>
      <c r="B406" s="6" t="s">
        <v>63</v>
      </c>
      <c r="C406" s="1" t="s">
        <v>23</v>
      </c>
      <c r="D406" s="3">
        <v>39</v>
      </c>
      <c r="E406" s="3">
        <v>34</v>
      </c>
      <c r="F406" s="3">
        <v>12.08</v>
      </c>
      <c r="G406" s="3">
        <v>2</v>
      </c>
      <c r="H406" s="3">
        <v>0</v>
      </c>
      <c r="I406" s="3">
        <f>E406+G406+H406</f>
        <v>36</v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>19</v>
      </c>
      <c r="K406" s="3">
        <f>I406-J406</f>
        <v>17</v>
      </c>
      <c r="L406" s="3" t="str">
        <f>IF(K406&lt;-5,"CRÍTICO",IF(K406&lt;0,"ATENÇÃO",IF(K406&lt;=5,"OPORTUNO","MUITO BOM")))</f>
        <v>MUITO BOM</v>
      </c>
      <c r="M406" s="3">
        <v>32</v>
      </c>
      <c r="N406" s="3">
        <v>98</v>
      </c>
      <c r="O406" s="12">
        <v>20.73490813648294</v>
      </c>
    </row>
    <row r="407" spans="1:15" hidden="1" x14ac:dyDescent="0.25">
      <c r="A407" s="5">
        <v>46150</v>
      </c>
      <c r="B407" s="6" t="s">
        <v>64</v>
      </c>
      <c r="C407" s="1" t="s">
        <v>23</v>
      </c>
      <c r="D407" s="3">
        <v>0</v>
      </c>
      <c r="E407" s="3">
        <v>0</v>
      </c>
      <c r="F407" s="3">
        <v>0</v>
      </c>
      <c r="G407" s="3">
        <v>0</v>
      </c>
      <c r="H407" s="3">
        <v>0</v>
      </c>
      <c r="I407" s="3">
        <f>E407+G407+H407</f>
        <v>0</v>
      </c>
      <c r="J407" s="3">
        <v>0</v>
      </c>
      <c r="K407" s="3">
        <f>I407-J407</f>
        <v>0</v>
      </c>
      <c r="L407" s="3" t="str">
        <f>IF(K407&lt;-5,"CRÍTICO",IF(K407&lt;0,"ATENÇÃO",IF(K407&lt;=5,"OPORTUNO","MUITO BOM")))</f>
        <v>OPORTUNO</v>
      </c>
      <c r="M407" s="3">
        <v>0</v>
      </c>
      <c r="N407" s="3">
        <v>100</v>
      </c>
      <c r="O407" s="12">
        <v>18</v>
      </c>
    </row>
    <row r="408" spans="1:15" hidden="1" x14ac:dyDescent="0.25">
      <c r="A408" s="5">
        <v>46150</v>
      </c>
      <c r="B408" s="6" t="s">
        <v>22</v>
      </c>
      <c r="C408" s="1" t="s">
        <v>23</v>
      </c>
      <c r="D408" s="3">
        <v>0</v>
      </c>
      <c r="E408" s="3">
        <v>0</v>
      </c>
      <c r="F408" s="3">
        <v>0</v>
      </c>
      <c r="G408" s="3">
        <v>0</v>
      </c>
      <c r="H408" s="3">
        <v>0</v>
      </c>
      <c r="I408" s="3">
        <f>E408+G408+H408</f>
        <v>0</v>
      </c>
      <c r="J408" s="3">
        <v>0</v>
      </c>
      <c r="K408" s="3">
        <f>I408-J408</f>
        <v>0</v>
      </c>
      <c r="L408" s="3" t="str">
        <f>IF(K408&lt;-5,"CRÍTICO",IF(K408&lt;0,"ATENÇÃO",IF(K408&lt;=5,"OPORTUNO","MUITO BOM")))</f>
        <v>OPORTUNO</v>
      </c>
      <c r="M408" s="3">
        <v>0</v>
      </c>
      <c r="N408" s="3">
        <v>99.06</v>
      </c>
      <c r="O408" s="12">
        <v>19.417475728155338</v>
      </c>
    </row>
    <row r="409" spans="1:15" x14ac:dyDescent="0.25">
      <c r="A409" s="5">
        <v>46160</v>
      </c>
      <c r="B409" s="6" t="s">
        <v>24</v>
      </c>
      <c r="C409" s="1" t="s">
        <v>16</v>
      </c>
      <c r="D409" s="3">
        <v>2</v>
      </c>
      <c r="E409" s="3">
        <v>2</v>
      </c>
      <c r="F409" s="3">
        <v>170.55</v>
      </c>
      <c r="G409" s="3">
        <v>0</v>
      </c>
      <c r="H409" s="3">
        <v>0</v>
      </c>
      <c r="I409" s="3">
        <f>E409+G409+H409</f>
        <v>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8</v>
      </c>
      <c r="K409" s="3">
        <f>I409-J409</f>
        <v>-6</v>
      </c>
      <c r="L409" s="3" t="str">
        <f>IF(K409&lt;-5,"CRÍTICO",IF(K409&lt;0,"ATENÇÃO",IF(K409&lt;=5,"OPORTUNO","MUITO BOM")))</f>
        <v>CRÍTICO</v>
      </c>
      <c r="M409" s="3">
        <v>2</v>
      </c>
      <c r="N409" s="3">
        <v>100</v>
      </c>
      <c r="O409" s="12">
        <v>33.333333333333329</v>
      </c>
    </row>
    <row r="410" spans="1:15" x14ac:dyDescent="0.25">
      <c r="A410" s="7">
        <v>46161</v>
      </c>
      <c r="B410" s="8" t="s">
        <v>24</v>
      </c>
      <c r="C410" s="1" t="s">
        <v>16</v>
      </c>
      <c r="D410" s="3">
        <v>4</v>
      </c>
      <c r="E410" s="3">
        <v>4</v>
      </c>
      <c r="F410" s="3">
        <v>56.44</v>
      </c>
      <c r="G410" s="3">
        <v>0</v>
      </c>
      <c r="H410" s="3">
        <v>0</v>
      </c>
      <c r="I410" s="3">
        <f>E410+G410+H410</f>
        <v>4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8</v>
      </c>
      <c r="K410" s="3">
        <f>I410-J410</f>
        <v>-4</v>
      </c>
      <c r="L410" s="3" t="str">
        <f>IF(K410&lt;-5,"CRÍTICO",IF(K410&lt;0,"ATENÇÃO",IF(K410&lt;=5,"OPORTUNO","MUITO BOM")))</f>
        <v>ATENÇÃO</v>
      </c>
      <c r="M410" s="3">
        <v>3</v>
      </c>
      <c r="N410" s="3">
        <v>100</v>
      </c>
      <c r="O410" s="12">
        <v>33.333333333333329</v>
      </c>
    </row>
    <row r="411" spans="1:15" hidden="1" x14ac:dyDescent="0.25">
      <c r="A411" s="5">
        <v>46150</v>
      </c>
      <c r="B411" s="6" t="s">
        <v>43</v>
      </c>
      <c r="C411" s="1" t="s">
        <v>32</v>
      </c>
      <c r="D411" s="3">
        <v>0</v>
      </c>
      <c r="E411" s="3">
        <v>0</v>
      </c>
      <c r="F411" s="3">
        <v>0</v>
      </c>
      <c r="G411" s="3">
        <v>0</v>
      </c>
      <c r="H411" s="3">
        <v>31</v>
      </c>
      <c r="I411" s="3">
        <f>E411+G411+H411</f>
        <v>31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2</v>
      </c>
      <c r="L411" s="3" t="str">
        <f>IF(K411&lt;-5,"CRÍTICO",IF(K411&lt;0,"ATENÇÃO",IF(K411&lt;=5,"OPORTUNO","MUITO BOM")))</f>
        <v>OPORTUNO</v>
      </c>
      <c r="M411" s="3">
        <v>21</v>
      </c>
      <c r="N411" s="3">
        <v>98.39</v>
      </c>
      <c r="O411" s="12">
        <v>8.7999999999999989</v>
      </c>
    </row>
    <row r="412" spans="1:15" hidden="1" x14ac:dyDescent="0.25">
      <c r="A412" s="10">
        <v>46038</v>
      </c>
      <c r="B412" t="s">
        <v>22</v>
      </c>
      <c r="C412" s="1" t="s">
        <v>23</v>
      </c>
      <c r="D412" s="3">
        <v>19</v>
      </c>
      <c r="E412" s="3">
        <v>19</v>
      </c>
      <c r="F412" s="3">
        <v>24.19</v>
      </c>
      <c r="G412" s="3">
        <v>0</v>
      </c>
      <c r="H412" s="3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 s="3">
        <v>16</v>
      </c>
      <c r="N412" s="3">
        <v>98.91</v>
      </c>
      <c r="O412" s="12">
        <v>31.367292225201069</v>
      </c>
    </row>
    <row r="413" spans="1:15" x14ac:dyDescent="0.25">
      <c r="A413" s="7">
        <v>46162</v>
      </c>
      <c r="B413" s="8" t="s">
        <v>24</v>
      </c>
      <c r="C413" s="1" t="s">
        <v>16</v>
      </c>
      <c r="D413" s="3">
        <v>7</v>
      </c>
      <c r="E413" s="3">
        <v>7</v>
      </c>
      <c r="F413" s="3">
        <v>37.06</v>
      </c>
      <c r="G413" s="3">
        <v>0</v>
      </c>
      <c r="H413" s="3">
        <v>0</v>
      </c>
      <c r="I413" s="3">
        <f>E413+G413+H413</f>
        <v>7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7</v>
      </c>
      <c r="K413" s="3">
        <f>I413-J413</f>
        <v>0</v>
      </c>
      <c r="L413" s="3" t="str">
        <f>IF(K413&lt;-5,"CRÍTICO",IF(K413&lt;0,"ATENÇÃO",IF(K413&lt;=5,"OPORTUNO","MUITO BOM")))</f>
        <v>OPORTUNO</v>
      </c>
      <c r="M413" s="3">
        <v>6</v>
      </c>
      <c r="N413" s="3">
        <v>100</v>
      </c>
      <c r="O413" s="12">
        <v>33.333333333333329</v>
      </c>
    </row>
    <row r="414" spans="1:15" x14ac:dyDescent="0.25">
      <c r="A414" s="5">
        <v>46163</v>
      </c>
      <c r="B414" s="6" t="s">
        <v>24</v>
      </c>
      <c r="C414" s="1" t="s">
        <v>16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f>E414+G414+H414</f>
        <v>0</v>
      </c>
      <c r="J414" s="3">
        <v>0</v>
      </c>
      <c r="K414" s="3">
        <f>I414-J414</f>
        <v>0</v>
      </c>
      <c r="L414" s="3" t="str">
        <f>IF(K414&lt;-5,"CRÍTICO",IF(K414&lt;0,"ATENÇÃO",IF(K414&lt;=5,"OPORTUNO","MUITO BOM")))</f>
        <v>OPORTUNO</v>
      </c>
      <c r="M414" s="3">
        <v>0</v>
      </c>
      <c r="N414" s="3">
        <v>100</v>
      </c>
      <c r="O414" s="12">
        <v>33.333333333333329</v>
      </c>
    </row>
    <row r="415" spans="1:15" x14ac:dyDescent="0.25">
      <c r="A415" s="9">
        <v>46164</v>
      </c>
      <c r="B415" s="6" t="s">
        <v>24</v>
      </c>
      <c r="C415" s="1" t="s">
        <v>16</v>
      </c>
      <c r="D415" s="3">
        <v>0</v>
      </c>
      <c r="E415" s="3">
        <v>0</v>
      </c>
      <c r="F415" s="3">
        <v>0</v>
      </c>
      <c r="G415" s="3">
        <v>0</v>
      </c>
      <c r="H415" s="3">
        <v>0</v>
      </c>
      <c r="I415" s="3">
        <f>E415+G415+H415</f>
        <v>0</v>
      </c>
      <c r="J415" s="3">
        <v>0</v>
      </c>
      <c r="K415" s="3">
        <f>I415-J415</f>
        <v>0</v>
      </c>
      <c r="L415" s="3" t="str">
        <f>IF(K415&lt;-5,"CRÍTICO",IF(K415&lt;0,"ATENÇÃO",IF(K415&lt;=5,"OPORTUNO","MUITO BOM")))</f>
        <v>OPORTUNO</v>
      </c>
      <c r="M415" s="3">
        <v>0</v>
      </c>
      <c r="N415" s="3">
        <v>100</v>
      </c>
      <c r="O415" s="12">
        <v>33.333333333333329</v>
      </c>
    </row>
    <row r="416" spans="1:15" x14ac:dyDescent="0.25">
      <c r="A416" s="10">
        <v>46167</v>
      </c>
      <c r="B416" t="s">
        <v>24</v>
      </c>
      <c r="C416" s="1" t="s">
        <v>16</v>
      </c>
      <c r="D416" s="3">
        <v>0</v>
      </c>
      <c r="E416" s="3">
        <v>0</v>
      </c>
      <c r="F416" s="3">
        <v>0</v>
      </c>
      <c r="G416" s="3">
        <v>0</v>
      </c>
      <c r="H416" s="3">
        <v>0</v>
      </c>
      <c r="I416" s="3">
        <f>E416+G416+H416</f>
        <v>0</v>
      </c>
      <c r="J416" s="3">
        <v>0</v>
      </c>
      <c r="K416" s="3">
        <f>I416-J416</f>
        <v>0</v>
      </c>
      <c r="L416" s="3" t="str">
        <f>IF(K416&lt;-5,"CRÍTICO",IF(K416&lt;0,"ATENÇÃO",IF(K416&lt;=5,"OPORTUNO","MUITO BOM")))</f>
        <v>OPORTUNO</v>
      </c>
      <c r="M416" s="3">
        <v>0</v>
      </c>
      <c r="N416" s="3">
        <v>100</v>
      </c>
      <c r="O416" s="12">
        <v>33.333333333333329</v>
      </c>
    </row>
    <row r="417" spans="1:15" x14ac:dyDescent="0.25">
      <c r="A417" s="10">
        <v>46168</v>
      </c>
      <c r="B417" t="s">
        <v>24</v>
      </c>
      <c r="C417" s="1" t="s">
        <v>16</v>
      </c>
      <c r="D417" s="3">
        <v>1</v>
      </c>
      <c r="E417" s="3">
        <v>1</v>
      </c>
      <c r="F417" s="3">
        <v>55.47</v>
      </c>
      <c r="G417" s="3">
        <v>0</v>
      </c>
      <c r="H417" s="3">
        <v>0</v>
      </c>
      <c r="I417" s="3">
        <f>E417+G417+H417</f>
        <v>1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8</v>
      </c>
      <c r="K417" s="3">
        <f>I417-J417</f>
        <v>-7</v>
      </c>
      <c r="L417" s="3" t="str">
        <f>IF(K417&lt;-5,"CRÍTICO",IF(K417&lt;0,"ATENÇÃO",IF(K417&lt;=5,"OPORTUNO","MUITO BOM")))</f>
        <v>CRÍTICO</v>
      </c>
      <c r="M417" s="3">
        <v>1</v>
      </c>
      <c r="N417" s="3">
        <v>100</v>
      </c>
      <c r="O417" s="12">
        <v>33.333333333333329</v>
      </c>
    </row>
    <row r="418" spans="1:15" hidden="1" x14ac:dyDescent="0.25">
      <c r="A418" s="10">
        <v>46090</v>
      </c>
      <c r="B418" t="s">
        <v>43</v>
      </c>
      <c r="C418" s="1" t="s">
        <v>32</v>
      </c>
      <c r="D418" s="3">
        <v>35</v>
      </c>
      <c r="E418" s="3">
        <v>35</v>
      </c>
      <c r="F418" s="3">
        <v>20.02</v>
      </c>
      <c r="G418" s="3">
        <v>0</v>
      </c>
      <c r="H418" s="3">
        <v>0</v>
      </c>
      <c r="I418" s="3">
        <f>E418+G418+H418</f>
        <v>35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21</v>
      </c>
      <c r="K418" s="3">
        <f>I418-J418</f>
        <v>14</v>
      </c>
      <c r="L418" s="3" t="str">
        <f>IF(K418&lt;-5,"CRÍTICO",IF(K418&lt;0,"ATENÇÃO",IF(K418&lt;=5,"OPORTUNO","MUITO BOM")))</f>
        <v>MUITO BOM</v>
      </c>
      <c r="M418" s="3">
        <v>30</v>
      </c>
      <c r="N418" s="3">
        <v>98.86</v>
      </c>
      <c r="O418" s="12">
        <v>28.959276018099551</v>
      </c>
    </row>
    <row r="419" spans="1:15" x14ac:dyDescent="0.25">
      <c r="A419" s="10">
        <v>46169</v>
      </c>
      <c r="B419" t="s">
        <v>24</v>
      </c>
      <c r="C419" s="1" t="s">
        <v>16</v>
      </c>
      <c r="D419" s="3">
        <v>7</v>
      </c>
      <c r="E419" s="3">
        <v>7</v>
      </c>
      <c r="F419" s="3">
        <v>46.44</v>
      </c>
      <c r="G419" s="3">
        <v>0</v>
      </c>
      <c r="H419" s="3">
        <v>0</v>
      </c>
      <c r="I419" s="3">
        <f>E419+G419+H419</f>
        <v>7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8</v>
      </c>
      <c r="K419" s="3">
        <f>I419-J419</f>
        <v>-1</v>
      </c>
      <c r="L419" s="3" t="str">
        <f>IF(K419&lt;-5,"CRÍTICO",IF(K419&lt;0,"ATENÇÃO",IF(K419&lt;=5,"OPORTUNO","MUITO BOM")))</f>
        <v>ATENÇÃO</v>
      </c>
      <c r="M419" s="3">
        <v>7</v>
      </c>
      <c r="N419" s="3">
        <v>100</v>
      </c>
      <c r="O419" s="12">
        <v>27.27272727272727</v>
      </c>
    </row>
    <row r="420" spans="1:15" x14ac:dyDescent="0.25">
      <c r="A420" s="10">
        <v>46170</v>
      </c>
      <c r="B420" t="s">
        <v>24</v>
      </c>
      <c r="C420" s="1" t="s">
        <v>16</v>
      </c>
      <c r="D420" s="3">
        <v>12</v>
      </c>
      <c r="E420" s="3">
        <v>9</v>
      </c>
      <c r="F420" s="3">
        <v>16.53</v>
      </c>
      <c r="G420" s="3">
        <v>0</v>
      </c>
      <c r="H420" s="3">
        <v>0</v>
      </c>
      <c r="I420" s="3">
        <f>E420+G420+H420</f>
        <v>9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8</v>
      </c>
      <c r="K420" s="3">
        <f>I420-J420</f>
        <v>1</v>
      </c>
      <c r="L420" s="3" t="str">
        <f>IF(K420&lt;-5,"CRÍTICO",IF(K420&lt;0,"ATENÇÃO",IF(K420&lt;=5,"OPORTUNO","MUITO BOM")))</f>
        <v>OPORTUNO</v>
      </c>
      <c r="M420" s="3">
        <v>8</v>
      </c>
      <c r="N420" s="3">
        <v>100</v>
      </c>
      <c r="O420" s="12">
        <v>26.666666666666671</v>
      </c>
    </row>
    <row r="421" spans="1:15" x14ac:dyDescent="0.25">
      <c r="A421" s="10">
        <v>46171</v>
      </c>
      <c r="B421" t="s">
        <v>24</v>
      </c>
      <c r="C421" s="1" t="s">
        <v>16</v>
      </c>
      <c r="D421" s="3">
        <v>8</v>
      </c>
      <c r="E421" s="3">
        <v>8</v>
      </c>
      <c r="F421" s="3">
        <v>49.11</v>
      </c>
      <c r="G421" s="3">
        <v>0</v>
      </c>
      <c r="H421" s="3">
        <v>0</v>
      </c>
      <c r="I421" s="3">
        <f>E421+G421+H421</f>
        <v>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8</v>
      </c>
      <c r="K421" s="3">
        <f>I421-J421</f>
        <v>0</v>
      </c>
      <c r="L421" s="3" t="str">
        <f>IF(K421&lt;-5,"CRÍTICO",IF(K421&lt;0,"ATENÇÃO",IF(K421&lt;=5,"OPORTUNO","MUITO BOM")))</f>
        <v>OPORTUNO</v>
      </c>
      <c r="M421" s="3">
        <v>0</v>
      </c>
      <c r="N421" s="3">
        <v>100</v>
      </c>
      <c r="O421" s="12">
        <v>26.666666666666671</v>
      </c>
    </row>
    <row r="422" spans="1:15" x14ac:dyDescent="0.25">
      <c r="A422" s="10">
        <v>46143</v>
      </c>
      <c r="B422" t="s">
        <v>25</v>
      </c>
      <c r="C422" s="1" t="s">
        <v>26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f>E422+G422+H422</f>
        <v>0</v>
      </c>
      <c r="J422" s="3">
        <v>0</v>
      </c>
      <c r="K422" s="3">
        <f>I422-J422</f>
        <v>0</v>
      </c>
      <c r="L422" s="3" t="str">
        <f>IF(K422&lt;-5,"CRÍTICO",IF(K422&lt;0,"ATENÇÃO",IF(K422&lt;=5,"OPORTUNO","MUITO BOM")))</f>
        <v>OPORTUNO</v>
      </c>
      <c r="M422" s="3">
        <v>0</v>
      </c>
      <c r="N422" s="3">
        <v>97.62</v>
      </c>
      <c r="O422" s="12">
        <v>17.82477341389728</v>
      </c>
    </row>
    <row r="423" spans="1:15" hidden="1" x14ac:dyDescent="0.25">
      <c r="A423" s="5">
        <v>46153</v>
      </c>
      <c r="B423" s="6" t="s">
        <v>31</v>
      </c>
      <c r="C423" s="1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f>E423+G423+H423</f>
        <v>0</v>
      </c>
      <c r="J423" s="3">
        <v>0</v>
      </c>
      <c r="K423" s="3">
        <f>I423-J423</f>
        <v>0</v>
      </c>
      <c r="L423" s="3" t="str">
        <f>IF(K423&lt;-5,"CRÍTICO",IF(K423&lt;0,"ATENÇÃO",IF(K423&lt;=5,"OPORTUNO","MUITO BOM")))</f>
        <v>OPORTUNO</v>
      </c>
      <c r="M423" s="3">
        <v>0</v>
      </c>
      <c r="N423" s="3">
        <v>100</v>
      </c>
      <c r="O423" s="12">
        <v>0</v>
      </c>
    </row>
    <row r="424" spans="1:15" hidden="1" x14ac:dyDescent="0.25">
      <c r="A424" s="5">
        <v>46153</v>
      </c>
      <c r="B424" s="6" t="s">
        <v>33</v>
      </c>
      <c r="C424" s="1" t="s">
        <v>32</v>
      </c>
      <c r="D424" s="3">
        <v>18</v>
      </c>
      <c r="E424" s="3">
        <v>16</v>
      </c>
      <c r="F424" s="3">
        <v>23.31</v>
      </c>
      <c r="G424" s="3">
        <v>0</v>
      </c>
      <c r="H424" s="3">
        <v>0</v>
      </c>
      <c r="I424" s="3">
        <f>E424+G424+H424</f>
        <v>16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30</v>
      </c>
      <c r="K424" s="3">
        <f>I424-J424</f>
        <v>-14</v>
      </c>
      <c r="L424" s="3" t="str">
        <f>IF(K424&lt;-5,"CRÍTICO",IF(K424&lt;0,"ATENÇÃO",IF(K424&lt;=5,"OPORTUNO","MUITO BOM")))</f>
        <v>CRÍTICO</v>
      </c>
      <c r="M424" s="3">
        <v>13</v>
      </c>
      <c r="N424" s="3">
        <v>96.94</v>
      </c>
      <c r="O424" s="12">
        <v>19.613259668508292</v>
      </c>
    </row>
    <row r="425" spans="1:15" hidden="1" x14ac:dyDescent="0.25">
      <c r="A425" s="5">
        <v>46153</v>
      </c>
      <c r="B425" s="6" t="s">
        <v>34</v>
      </c>
      <c r="C425" s="1" t="s">
        <v>32</v>
      </c>
      <c r="D425" s="3">
        <v>35</v>
      </c>
      <c r="E425" s="3">
        <v>35</v>
      </c>
      <c r="F425" s="3">
        <v>12.1</v>
      </c>
      <c r="G425" s="3">
        <v>0</v>
      </c>
      <c r="H425" s="3">
        <v>0</v>
      </c>
      <c r="I425" s="3">
        <f>E425+G425+H425</f>
        <v>35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30</v>
      </c>
      <c r="K425" s="3">
        <f>I425-J425</f>
        <v>5</v>
      </c>
      <c r="L425" s="3" t="str">
        <f>IF(K425&lt;-5,"CRÍTICO",IF(K425&lt;0,"ATENÇÃO",IF(K425&lt;=5,"OPORTUNO","MUITO BOM")))</f>
        <v>OPORTUNO</v>
      </c>
      <c r="M425" s="3">
        <v>31</v>
      </c>
      <c r="N425" s="3">
        <v>92.81</v>
      </c>
      <c r="O425" s="12">
        <v>25.477707006369432</v>
      </c>
    </row>
    <row r="426" spans="1:15" hidden="1" x14ac:dyDescent="0.25">
      <c r="A426" s="5">
        <v>46153</v>
      </c>
      <c r="B426" s="6" t="s">
        <v>35</v>
      </c>
      <c r="C426" s="1" t="s">
        <v>32</v>
      </c>
      <c r="D426" s="3">
        <v>25</v>
      </c>
      <c r="E426" s="3">
        <v>25</v>
      </c>
      <c r="F426" s="3">
        <v>29.18</v>
      </c>
      <c r="G426" s="3">
        <v>0</v>
      </c>
      <c r="H426" s="3">
        <v>0</v>
      </c>
      <c r="I426" s="3">
        <f>E426+G426+H426</f>
        <v>25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30</v>
      </c>
      <c r="K426" s="3">
        <f>I426-J426</f>
        <v>-5</v>
      </c>
      <c r="L426" s="3" t="str">
        <f>IF(K426&lt;-5,"CRÍTICO",IF(K426&lt;0,"ATENÇÃO",IF(K426&lt;=5,"OPORTUNO","MUITO BOM")))</f>
        <v>ATENÇÃO</v>
      </c>
      <c r="M426" s="3">
        <v>25</v>
      </c>
      <c r="N426" s="3">
        <v>99.19</v>
      </c>
      <c r="O426" s="12">
        <v>28.404669260700391</v>
      </c>
    </row>
    <row r="427" spans="1:15" hidden="1" x14ac:dyDescent="0.25">
      <c r="A427" s="5">
        <v>46153</v>
      </c>
      <c r="B427" s="6" t="s">
        <v>36</v>
      </c>
      <c r="C427" s="1" t="s">
        <v>32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f>E427+G427+H427</f>
        <v>0</v>
      </c>
      <c r="J427" s="3">
        <v>0</v>
      </c>
      <c r="K427" s="3">
        <f>I427-J427</f>
        <v>0</v>
      </c>
      <c r="L427" s="3" t="str">
        <f>IF(K427&lt;-5,"CRÍTICO",IF(K427&lt;0,"ATENÇÃO",IF(K427&lt;=5,"OPORTUNO","MUITO BOM")))</f>
        <v>OPORTUNO</v>
      </c>
      <c r="M427" s="3">
        <v>0</v>
      </c>
      <c r="N427" s="3">
        <v>100</v>
      </c>
      <c r="O427" s="12">
        <v>13.51351351351351</v>
      </c>
    </row>
    <row r="428" spans="1:15" hidden="1" x14ac:dyDescent="0.25">
      <c r="A428" s="5">
        <v>46153</v>
      </c>
      <c r="B428" s="6" t="s">
        <v>37</v>
      </c>
      <c r="C428" s="1" t="s">
        <v>32</v>
      </c>
      <c r="D428" s="3">
        <v>53</v>
      </c>
      <c r="E428" s="3">
        <v>46</v>
      </c>
      <c r="F428" s="3">
        <v>11.56</v>
      </c>
      <c r="G428" s="3">
        <v>3</v>
      </c>
      <c r="H428" s="3">
        <v>0</v>
      </c>
      <c r="I428" s="3">
        <f>E428+G428+H428</f>
        <v>49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30</v>
      </c>
      <c r="K428" s="3">
        <f>I428-J428</f>
        <v>19</v>
      </c>
      <c r="L428" s="3" t="str">
        <f>IF(K428&lt;-5,"CRÍTICO",IF(K428&lt;0,"ATENÇÃO",IF(K428&lt;=5,"OPORTUNO","MUITO BOM")))</f>
        <v>MUITO BOM</v>
      </c>
      <c r="M428" s="3">
        <v>44</v>
      </c>
      <c r="N428" s="3">
        <v>99</v>
      </c>
      <c r="O428" s="12">
        <v>22.27414330218069</v>
      </c>
    </row>
    <row r="429" spans="1:15" hidden="1" x14ac:dyDescent="0.25">
      <c r="A429" s="5">
        <v>46153</v>
      </c>
      <c r="B429" s="6" t="s">
        <v>38</v>
      </c>
      <c r="C429" s="1" t="s">
        <v>32</v>
      </c>
      <c r="D429" s="3">
        <v>22</v>
      </c>
      <c r="E429" s="3">
        <v>20</v>
      </c>
      <c r="F429" s="3">
        <v>11.59</v>
      </c>
      <c r="G429" s="3">
        <v>4</v>
      </c>
      <c r="H429" s="3">
        <v>0</v>
      </c>
      <c r="I429" s="3">
        <f>E429+G429+H429</f>
        <v>24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30</v>
      </c>
      <c r="K429" s="3">
        <f>I429-J429</f>
        <v>-6</v>
      </c>
      <c r="L429" s="3" t="str">
        <f>IF(K429&lt;-5,"CRÍTICO",IF(K429&lt;0,"ATENÇÃO",IF(K429&lt;=5,"OPORTUNO","MUITO BOM")))</f>
        <v>CRÍTICO</v>
      </c>
      <c r="M429" s="3">
        <v>17</v>
      </c>
      <c r="N429" s="3">
        <v>97.04</v>
      </c>
      <c r="O429" s="12">
        <v>29.828850855745721</v>
      </c>
    </row>
    <row r="430" spans="1:15" hidden="1" x14ac:dyDescent="0.25">
      <c r="A430" s="10">
        <v>46041</v>
      </c>
      <c r="B430" t="s">
        <v>22</v>
      </c>
      <c r="C430" s="1" t="s">
        <v>23</v>
      </c>
      <c r="D430" s="3">
        <v>13</v>
      </c>
      <c r="E430" s="3">
        <v>13</v>
      </c>
      <c r="F430" s="3">
        <v>29.11</v>
      </c>
      <c r="G430" s="3">
        <v>0</v>
      </c>
      <c r="H430" s="3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 s="3">
        <v>12</v>
      </c>
      <c r="N430" s="3">
        <v>98.91</v>
      </c>
      <c r="O430" s="12">
        <v>31.367292225201069</v>
      </c>
    </row>
    <row r="431" spans="1:15" hidden="1" x14ac:dyDescent="0.25">
      <c r="A431" s="5">
        <v>46153</v>
      </c>
      <c r="B431" s="6" t="s">
        <v>39</v>
      </c>
      <c r="C431" s="1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0</v>
      </c>
      <c r="I431" s="3">
        <f>E431+G431+H431</f>
        <v>0</v>
      </c>
      <c r="J431" s="3">
        <v>0</v>
      </c>
      <c r="K431" s="3">
        <f>I431-J431</f>
        <v>0</v>
      </c>
      <c r="L431" s="3" t="str">
        <f>IF(K431&lt;-5,"CRÍTICO",IF(K431&lt;0,"ATENÇÃO",IF(K431&lt;=5,"OPORTUNO","MUITO BOM")))</f>
        <v>OPORTUNO</v>
      </c>
      <c r="M431" s="3">
        <v>0</v>
      </c>
      <c r="N431" s="3">
        <v>0</v>
      </c>
      <c r="O431" s="12">
        <v>0</v>
      </c>
    </row>
    <row r="432" spans="1:15" hidden="1" x14ac:dyDescent="0.25">
      <c r="A432" s="5">
        <v>46153</v>
      </c>
      <c r="B432" s="6" t="s">
        <v>40</v>
      </c>
      <c r="C432" s="1" t="s">
        <v>32</v>
      </c>
      <c r="D432" s="3">
        <v>24</v>
      </c>
      <c r="E432" s="3">
        <v>23</v>
      </c>
      <c r="F432" s="3">
        <v>20</v>
      </c>
      <c r="G432" s="3">
        <v>1</v>
      </c>
      <c r="H432" s="3">
        <v>0</v>
      </c>
      <c r="I432" s="3">
        <f>E432+G432+H432</f>
        <v>24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30</v>
      </c>
      <c r="K432" s="3">
        <f>I432-J432</f>
        <v>-6</v>
      </c>
      <c r="L432" s="3" t="str">
        <f>IF(K432&lt;-5,"CRÍTICO",IF(K432&lt;0,"ATENÇÃO",IF(K432&lt;=5,"OPORTUNO","MUITO BOM")))</f>
        <v>CRÍTICO</v>
      </c>
      <c r="M432" s="3">
        <v>23</v>
      </c>
      <c r="N432" s="3">
        <v>96.84</v>
      </c>
      <c r="O432" s="12">
        <v>16.338028169014081</v>
      </c>
    </row>
    <row r="433" spans="1:15" hidden="1" x14ac:dyDescent="0.25">
      <c r="A433" s="5">
        <v>46153</v>
      </c>
      <c r="B433" s="6" t="s">
        <v>41</v>
      </c>
      <c r="C433" s="1" t="s">
        <v>32</v>
      </c>
      <c r="D433" s="3">
        <v>31</v>
      </c>
      <c r="E433" s="3">
        <v>29</v>
      </c>
      <c r="F433" s="3">
        <v>14.18</v>
      </c>
      <c r="G433" s="3">
        <v>0</v>
      </c>
      <c r="H433" s="3">
        <v>0</v>
      </c>
      <c r="I433" s="3">
        <f>E433+G433+H433</f>
        <v>29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30</v>
      </c>
      <c r="K433" s="3">
        <f>I433-J433</f>
        <v>-1</v>
      </c>
      <c r="L433" s="3" t="str">
        <f>IF(K433&lt;-5,"CRÍTICO",IF(K433&lt;0,"ATENÇÃO",IF(K433&lt;=5,"OPORTUNO","MUITO BOM")))</f>
        <v>ATENÇÃO</v>
      </c>
      <c r="M433" s="3">
        <v>29</v>
      </c>
      <c r="N433" s="3">
        <v>100</v>
      </c>
      <c r="O433" s="12">
        <v>18.244803695150122</v>
      </c>
    </row>
    <row r="434" spans="1:15" hidden="1" x14ac:dyDescent="0.25">
      <c r="A434" s="5">
        <v>46153</v>
      </c>
      <c r="B434" s="6" t="s">
        <v>42</v>
      </c>
      <c r="C434" s="1" t="s">
        <v>32</v>
      </c>
      <c r="D434" s="3">
        <v>0</v>
      </c>
      <c r="E434" s="3">
        <v>0</v>
      </c>
      <c r="F434" s="3">
        <v>0</v>
      </c>
      <c r="G434" s="3">
        <v>0</v>
      </c>
      <c r="H434" s="3">
        <v>0</v>
      </c>
      <c r="I434" s="3">
        <f>E434+G434+H434</f>
        <v>0</v>
      </c>
      <c r="J434" s="3">
        <v>0</v>
      </c>
      <c r="K434" s="3">
        <f>I434-J434</f>
        <v>0</v>
      </c>
      <c r="L434" s="3" t="str">
        <f>IF(K434&lt;-5,"CRÍTICO",IF(K434&lt;0,"ATENÇÃO",IF(K434&lt;=5,"OPORTUNO","MUITO BOM")))</f>
        <v>OPORTUNO</v>
      </c>
      <c r="M434" s="3">
        <v>0</v>
      </c>
      <c r="N434" s="3">
        <v>100</v>
      </c>
      <c r="O434" s="12">
        <v>15.789473684210529</v>
      </c>
    </row>
    <row r="435" spans="1:15" hidden="1" x14ac:dyDescent="0.25">
      <c r="A435" s="5">
        <v>46153</v>
      </c>
      <c r="B435" s="6" t="s">
        <v>44</v>
      </c>
      <c r="C435" s="1" t="s">
        <v>32</v>
      </c>
      <c r="D435" s="3">
        <v>33</v>
      </c>
      <c r="E435" s="3">
        <v>24</v>
      </c>
      <c r="F435" s="3">
        <v>8.43</v>
      </c>
      <c r="G435" s="3">
        <v>5</v>
      </c>
      <c r="H435" s="3">
        <v>0</v>
      </c>
      <c r="I435" s="3">
        <f>E435+G435+H435</f>
        <v>29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30</v>
      </c>
      <c r="K435" s="3">
        <f>I435-J435</f>
        <v>-1</v>
      </c>
      <c r="L435" s="3" t="str">
        <f>IF(K435&lt;-5,"CRÍTICO",IF(K435&lt;0,"ATENÇÃO",IF(K435&lt;=5,"OPORTUNO","MUITO BOM")))</f>
        <v>ATENÇÃO</v>
      </c>
      <c r="M435" s="3">
        <v>26</v>
      </c>
      <c r="N435" s="3">
        <v>96.38</v>
      </c>
      <c r="O435" s="12">
        <v>23.198198198198199</v>
      </c>
    </row>
    <row r="436" spans="1:15" hidden="1" x14ac:dyDescent="0.25">
      <c r="A436" s="5">
        <v>46153</v>
      </c>
      <c r="B436" s="6" t="s">
        <v>45</v>
      </c>
      <c r="C436" s="1" t="s">
        <v>32</v>
      </c>
      <c r="D436" s="3">
        <v>23</v>
      </c>
      <c r="E436" s="3">
        <v>21</v>
      </c>
      <c r="F436" s="3">
        <v>17.37</v>
      </c>
      <c r="G436" s="3">
        <v>2</v>
      </c>
      <c r="H436" s="3">
        <v>0</v>
      </c>
      <c r="I436" s="3">
        <f>E436+G436+H436</f>
        <v>23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30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17</v>
      </c>
      <c r="N436" s="3">
        <v>99.39</v>
      </c>
      <c r="O436" s="12">
        <v>25.203252032520329</v>
      </c>
    </row>
    <row r="437" spans="1:15" hidden="1" x14ac:dyDescent="0.25">
      <c r="A437" s="5">
        <v>46153</v>
      </c>
      <c r="B437" s="6" t="s">
        <v>46</v>
      </c>
      <c r="C437" s="1" t="s">
        <v>32</v>
      </c>
      <c r="D437" s="3">
        <v>25</v>
      </c>
      <c r="E437" s="3">
        <v>21</v>
      </c>
      <c r="F437" s="3">
        <v>15.04</v>
      </c>
      <c r="G437" s="3">
        <v>0</v>
      </c>
      <c r="H437" s="3">
        <v>0</v>
      </c>
      <c r="I437" s="3">
        <f>E437+G437+H437</f>
        <v>21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30</v>
      </c>
      <c r="K437" s="3">
        <f>I437-J437</f>
        <v>-9</v>
      </c>
      <c r="L437" s="3" t="str">
        <f>IF(K437&lt;-5,"CRÍTICO",IF(K437&lt;0,"ATENÇÃO",IF(K437&lt;=5,"OPORTUNO","MUITO BOM")))</f>
        <v>CRÍTICO</v>
      </c>
      <c r="M437" s="3">
        <v>16</v>
      </c>
      <c r="N437" s="3">
        <v>97</v>
      </c>
      <c r="O437" s="12">
        <v>20.325203252032519</v>
      </c>
    </row>
    <row r="438" spans="1:15" hidden="1" x14ac:dyDescent="0.25">
      <c r="A438" s="5">
        <v>46153</v>
      </c>
      <c r="B438" s="6" t="s">
        <v>47</v>
      </c>
      <c r="C438" s="1" t="s">
        <v>48</v>
      </c>
      <c r="D438" s="3">
        <v>36</v>
      </c>
      <c r="E438" s="3">
        <v>29</v>
      </c>
      <c r="F438" s="3">
        <v>11.5</v>
      </c>
      <c r="G438" s="3">
        <v>5</v>
      </c>
      <c r="H438" s="3">
        <v>0</v>
      </c>
      <c r="I438" s="3">
        <f>E438+G438+H438</f>
        <v>34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24</v>
      </c>
      <c r="K438" s="3">
        <f>I438-J438</f>
        <v>10</v>
      </c>
      <c r="L438" s="3" t="str">
        <f>IF(K438&lt;-5,"CRÍTICO",IF(K438&lt;0,"ATENÇÃO",IF(K438&lt;=5,"OPORTUNO","MUITO BOM")))</f>
        <v>MUITO BOM</v>
      </c>
      <c r="M438" s="3">
        <v>18</v>
      </c>
      <c r="N438" s="3">
        <v>99.18</v>
      </c>
      <c r="O438" s="12">
        <v>24.501424501424498</v>
      </c>
    </row>
    <row r="439" spans="1:15" hidden="1" x14ac:dyDescent="0.25">
      <c r="A439" s="5">
        <v>46153</v>
      </c>
      <c r="B439" s="6" t="s">
        <v>49</v>
      </c>
      <c r="C439" s="1" t="s">
        <v>48</v>
      </c>
      <c r="D439" s="3">
        <v>31</v>
      </c>
      <c r="E439" s="3">
        <v>29</v>
      </c>
      <c r="F439" s="3">
        <v>17.13</v>
      </c>
      <c r="G439" s="3">
        <v>1</v>
      </c>
      <c r="H439" s="3">
        <v>0</v>
      </c>
      <c r="I439" s="3">
        <f>E439+G439+H439</f>
        <v>30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24</v>
      </c>
      <c r="K439" s="3">
        <f>I439-J439</f>
        <v>6</v>
      </c>
      <c r="L439" s="3" t="str">
        <f>IF(K439&lt;-5,"CRÍTICO",IF(K439&lt;0,"ATENÇÃO",IF(K439&lt;=5,"OPORTUNO","MUITO BOM")))</f>
        <v>MUITO BOM</v>
      </c>
      <c r="M439" s="3">
        <v>30</v>
      </c>
      <c r="N439" s="3">
        <v>99.35</v>
      </c>
      <c r="O439" s="12">
        <v>19.852941176470591</v>
      </c>
    </row>
    <row r="440" spans="1:15" hidden="1" x14ac:dyDescent="0.25">
      <c r="A440" s="5">
        <v>46153</v>
      </c>
      <c r="B440" s="6" t="s">
        <v>50</v>
      </c>
      <c r="C440" s="1" t="s">
        <v>48</v>
      </c>
      <c r="D440" s="3">
        <v>22</v>
      </c>
      <c r="E440" s="3">
        <v>22</v>
      </c>
      <c r="F440" s="3">
        <v>26.55</v>
      </c>
      <c r="G440" s="3">
        <v>4</v>
      </c>
      <c r="H440" s="3">
        <v>0</v>
      </c>
      <c r="I440" s="3">
        <f>E440+G440+H440</f>
        <v>26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24</v>
      </c>
      <c r="K440" s="3">
        <f>I440-J440</f>
        <v>2</v>
      </c>
      <c r="L440" s="3" t="str">
        <f>IF(K440&lt;-5,"CRÍTICO",IF(K440&lt;0,"ATENÇÃO",IF(K440&lt;=5,"OPORTUNO","MUITO BOM")))</f>
        <v>OPORTUNO</v>
      </c>
      <c r="M440" s="3">
        <v>26</v>
      </c>
      <c r="N440" s="3">
        <v>99.07</v>
      </c>
      <c r="O440" s="12">
        <v>20.098039215686271</v>
      </c>
    </row>
    <row r="441" spans="1:15" hidden="1" x14ac:dyDescent="0.25">
      <c r="A441" s="5">
        <v>46153</v>
      </c>
      <c r="B441" s="6" t="s">
        <v>51</v>
      </c>
      <c r="C441" s="1" t="s">
        <v>48</v>
      </c>
      <c r="D441" s="3">
        <v>30</v>
      </c>
      <c r="E441" s="3">
        <v>27</v>
      </c>
      <c r="F441" s="3">
        <v>16.46</v>
      </c>
      <c r="G441" s="3">
        <v>0</v>
      </c>
      <c r="H441" s="3">
        <v>0</v>
      </c>
      <c r="I441" s="3">
        <f>E441+G441+H441</f>
        <v>27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24</v>
      </c>
      <c r="K441" s="3">
        <f>I441-J441</f>
        <v>3</v>
      </c>
      <c r="L441" s="3" t="str">
        <f>IF(K441&lt;-5,"CRÍTICO",IF(K441&lt;0,"ATENÇÃO",IF(K441&lt;=5,"OPORTUNO","MUITO BOM")))</f>
        <v>OPORTUNO</v>
      </c>
      <c r="M441" s="3">
        <v>22</v>
      </c>
      <c r="N441" s="3">
        <v>98.81</v>
      </c>
      <c r="O441" s="12">
        <v>22.767857142857139</v>
      </c>
    </row>
    <row r="442" spans="1:15" hidden="1" x14ac:dyDescent="0.25">
      <c r="A442" s="5">
        <v>46153</v>
      </c>
      <c r="B442" s="6" t="s">
        <v>52</v>
      </c>
      <c r="C442" s="1" t="s">
        <v>48</v>
      </c>
      <c r="D442" s="3">
        <v>28</v>
      </c>
      <c r="E442" s="3">
        <v>27</v>
      </c>
      <c r="F442" s="3">
        <v>15.05</v>
      </c>
      <c r="G442" s="3">
        <v>4</v>
      </c>
      <c r="H442" s="3">
        <v>0</v>
      </c>
      <c r="I442" s="3">
        <f>E442+G442+H442</f>
        <v>31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24</v>
      </c>
      <c r="K442" s="3">
        <f>I442-J442</f>
        <v>7</v>
      </c>
      <c r="L442" s="3" t="str">
        <f>IF(K442&lt;-5,"CRÍTICO",IF(K442&lt;0,"ATENÇÃO",IF(K442&lt;=5,"OPORTUNO","MUITO BOM")))</f>
        <v>MUITO BOM</v>
      </c>
      <c r="M442" s="3">
        <v>27</v>
      </c>
      <c r="N442" s="3">
        <v>99.01</v>
      </c>
      <c r="O442" s="12">
        <v>17.766497461928939</v>
      </c>
    </row>
    <row r="443" spans="1:15" hidden="1" x14ac:dyDescent="0.25">
      <c r="A443" s="5">
        <v>46153</v>
      </c>
      <c r="B443" s="6" t="s">
        <v>53</v>
      </c>
      <c r="C443" s="1" t="s">
        <v>48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f>E443+G443+H443</f>
        <v>0</v>
      </c>
      <c r="J443" s="3">
        <v>0</v>
      </c>
      <c r="K443" s="3">
        <f>I443-J443</f>
        <v>0</v>
      </c>
      <c r="L443" s="3" t="str">
        <f>IF(K443&lt;-5,"CRÍTICO",IF(K443&lt;0,"ATENÇÃO",IF(K443&lt;=5,"OPORTUNO","MUITO BOM")))</f>
        <v>OPORTUNO</v>
      </c>
      <c r="M443" s="3">
        <v>0</v>
      </c>
      <c r="N443" s="3">
        <v>100</v>
      </c>
      <c r="O443" s="12">
        <v>17.241379310344829</v>
      </c>
    </row>
    <row r="444" spans="1:15" hidden="1" x14ac:dyDescent="0.25">
      <c r="A444" s="5">
        <v>46153</v>
      </c>
      <c r="B444" s="6" t="s">
        <v>54</v>
      </c>
      <c r="C444" s="1" t="s">
        <v>48</v>
      </c>
      <c r="D444" s="3">
        <v>26</v>
      </c>
      <c r="E444" s="3">
        <v>24</v>
      </c>
      <c r="F444" s="3">
        <v>18.309999999999999</v>
      </c>
      <c r="G444" s="3">
        <v>0</v>
      </c>
      <c r="H444" s="3">
        <v>0</v>
      </c>
      <c r="I444" s="3">
        <f>E444+G444+H444</f>
        <v>24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24</v>
      </c>
      <c r="K444" s="3">
        <f>I444-J444</f>
        <v>0</v>
      </c>
      <c r="L444" s="3" t="str">
        <f>IF(K444&lt;-5,"CRÍTICO",IF(K444&lt;0,"ATENÇÃO",IF(K444&lt;=5,"OPORTUNO","MUITO BOM")))</f>
        <v>OPORTUNO</v>
      </c>
      <c r="M444" s="3">
        <v>23</v>
      </c>
      <c r="N444" s="3">
        <v>98.98</v>
      </c>
      <c r="O444" s="12">
        <v>19.35483870967742</v>
      </c>
    </row>
    <row r="445" spans="1:15" hidden="1" x14ac:dyDescent="0.25">
      <c r="A445" s="5">
        <v>46153</v>
      </c>
      <c r="B445" s="6" t="s">
        <v>55</v>
      </c>
      <c r="C445" s="1" t="s">
        <v>48</v>
      </c>
      <c r="D445" s="3">
        <v>39</v>
      </c>
      <c r="E445" s="3">
        <v>31</v>
      </c>
      <c r="F445" s="3">
        <v>12</v>
      </c>
      <c r="G445" s="3">
        <v>1</v>
      </c>
      <c r="H445" s="3">
        <v>0</v>
      </c>
      <c r="I445" s="3">
        <f>E445+G445+H445</f>
        <v>32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24</v>
      </c>
      <c r="K445" s="3">
        <f>I445-J445</f>
        <v>8</v>
      </c>
      <c r="L445" s="3" t="str">
        <f>IF(K445&lt;-5,"CRÍTICO",IF(K445&lt;0,"ATENÇÃO",IF(K445&lt;=5,"OPORTUNO","MUITO BOM")))</f>
        <v>MUITO BOM</v>
      </c>
      <c r="M445" s="3">
        <v>25</v>
      </c>
      <c r="N445" s="3">
        <v>98.94</v>
      </c>
      <c r="O445" s="12">
        <v>21.270718232044199</v>
      </c>
    </row>
    <row r="446" spans="1:15" hidden="1" x14ac:dyDescent="0.25">
      <c r="A446" s="5">
        <v>46153</v>
      </c>
      <c r="B446" s="6" t="s">
        <v>56</v>
      </c>
      <c r="C446" s="1" t="s">
        <v>48</v>
      </c>
      <c r="D446" s="3">
        <v>25</v>
      </c>
      <c r="E446" s="3">
        <v>22</v>
      </c>
      <c r="F446" s="3">
        <v>17.13</v>
      </c>
      <c r="G446" s="3">
        <v>2</v>
      </c>
      <c r="H446" s="3">
        <v>0</v>
      </c>
      <c r="I446" s="3">
        <f>E446+G446+H446</f>
        <v>24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24</v>
      </c>
      <c r="K446" s="3">
        <f>I446-J446</f>
        <v>0</v>
      </c>
      <c r="L446" s="3" t="str">
        <f>IF(K446&lt;-5,"CRÍTICO",IF(K446&lt;0,"ATENÇÃO",IF(K446&lt;=5,"OPORTUNO","MUITO BOM")))</f>
        <v>OPORTUNO</v>
      </c>
      <c r="M446" s="3">
        <v>21</v>
      </c>
      <c r="N446" s="3">
        <v>99</v>
      </c>
      <c r="O446" s="12">
        <v>22.010869565217391</v>
      </c>
    </row>
    <row r="447" spans="1:15" hidden="1" x14ac:dyDescent="0.25">
      <c r="A447" s="5">
        <v>46153</v>
      </c>
      <c r="B447" s="6" t="s">
        <v>57</v>
      </c>
      <c r="C447" s="1" t="s">
        <v>48</v>
      </c>
      <c r="D447" s="3">
        <v>31</v>
      </c>
      <c r="E447" s="3">
        <v>30</v>
      </c>
      <c r="F447" s="3">
        <v>17.05</v>
      </c>
      <c r="G447" s="3">
        <v>0</v>
      </c>
      <c r="H447" s="3">
        <v>0</v>
      </c>
      <c r="I447" s="3">
        <f>E447+G447+H447</f>
        <v>30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24</v>
      </c>
      <c r="K447" s="3">
        <f>I447-J447</f>
        <v>6</v>
      </c>
      <c r="L447" s="3" t="str">
        <f>IF(K447&lt;-5,"CRÍTICO",IF(K447&lt;0,"ATENÇÃO",IF(K447&lt;=5,"OPORTUNO","MUITO BOM")))</f>
        <v>MUITO BOM</v>
      </c>
      <c r="M447" s="3">
        <v>25</v>
      </c>
      <c r="N447" s="3">
        <v>100</v>
      </c>
      <c r="O447" s="12">
        <v>25</v>
      </c>
    </row>
    <row r="448" spans="1:15" hidden="1" x14ac:dyDescent="0.25">
      <c r="A448" s="5">
        <v>46153</v>
      </c>
      <c r="B448" s="6" t="s">
        <v>58</v>
      </c>
      <c r="C448" s="1" t="s">
        <v>48</v>
      </c>
      <c r="D448" s="3">
        <v>9</v>
      </c>
      <c r="E448" s="3">
        <v>8</v>
      </c>
      <c r="F448" s="3">
        <v>23.37</v>
      </c>
      <c r="G448" s="3">
        <v>0</v>
      </c>
      <c r="H448" s="3">
        <v>0</v>
      </c>
      <c r="I448" s="3">
        <f>E448+G448+H448</f>
        <v>8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24</v>
      </c>
      <c r="K448" s="3">
        <f>I448-J448</f>
        <v>-16</v>
      </c>
      <c r="L448" s="3" t="str">
        <f>IF(K448&lt;-5,"CRÍTICO",IF(K448&lt;0,"ATENÇÃO",IF(K448&lt;=5,"OPORTUNO","MUITO BOM")))</f>
        <v>CRÍTICO</v>
      </c>
      <c r="M448" s="3">
        <v>7</v>
      </c>
      <c r="N448" s="3">
        <v>100</v>
      </c>
      <c r="O448" s="12">
        <v>20.183486238532112</v>
      </c>
    </row>
    <row r="449" spans="1:15" hidden="1" x14ac:dyDescent="0.25">
      <c r="A449" s="5">
        <v>46153</v>
      </c>
      <c r="B449" s="6" t="s">
        <v>59</v>
      </c>
      <c r="C449" s="1" t="s">
        <v>23</v>
      </c>
      <c r="D449" s="3">
        <v>40</v>
      </c>
      <c r="E449" s="3">
        <v>38</v>
      </c>
      <c r="F449" s="3">
        <v>13.44</v>
      </c>
      <c r="G449" s="3">
        <v>8</v>
      </c>
      <c r="H449" s="3">
        <v>0</v>
      </c>
      <c r="I449" s="3">
        <f>E449+G449+H449</f>
        <v>46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20</v>
      </c>
      <c r="K449" s="3">
        <f>I449-J449</f>
        <v>26</v>
      </c>
      <c r="L449" s="3" t="str">
        <f>IF(K449&lt;-5,"CRÍTICO",IF(K449&lt;0,"ATENÇÃO",IF(K449&lt;=5,"OPORTUNO","MUITO BOM")))</f>
        <v>MUITO BOM</v>
      </c>
      <c r="M449" s="3">
        <v>38</v>
      </c>
      <c r="N449" s="3">
        <v>96.25</v>
      </c>
      <c r="O449" s="12">
        <v>25.586353944562902</v>
      </c>
    </row>
    <row r="450" spans="1:15" hidden="1" x14ac:dyDescent="0.25">
      <c r="A450" s="5">
        <v>46153</v>
      </c>
      <c r="B450" s="6" t="s">
        <v>60</v>
      </c>
      <c r="C450" s="1" t="s">
        <v>23</v>
      </c>
      <c r="D450" s="3">
        <v>24</v>
      </c>
      <c r="E450" s="3">
        <v>23</v>
      </c>
      <c r="F450" s="3">
        <v>18.57</v>
      </c>
      <c r="G450" s="3">
        <v>2</v>
      </c>
      <c r="H450" s="3">
        <v>0</v>
      </c>
      <c r="I450" s="3">
        <f>E450+G450+H450</f>
        <v>25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20</v>
      </c>
      <c r="K450" s="3">
        <f>I450-J450</f>
        <v>5</v>
      </c>
      <c r="L450" s="3" t="str">
        <f>IF(K450&lt;-5,"CRÍTICO",IF(K450&lt;0,"ATENÇÃO",IF(K450&lt;=5,"OPORTUNO","MUITO BOM")))</f>
        <v>OPORTUNO</v>
      </c>
      <c r="M450" s="3">
        <v>21</v>
      </c>
      <c r="N450" s="3">
        <v>97.48</v>
      </c>
      <c r="O450" s="12">
        <v>22.99465240641711</v>
      </c>
    </row>
    <row r="451" spans="1:15" hidden="1" x14ac:dyDescent="0.25">
      <c r="A451" s="5">
        <v>46153</v>
      </c>
      <c r="B451" s="6" t="s">
        <v>61</v>
      </c>
      <c r="C451" s="1" t="s">
        <v>23</v>
      </c>
      <c r="D451" s="3">
        <v>24</v>
      </c>
      <c r="E451" s="3">
        <v>20</v>
      </c>
      <c r="F451" s="3">
        <v>13.37</v>
      </c>
      <c r="G451" s="3">
        <v>2</v>
      </c>
      <c r="H451" s="3">
        <v>0</v>
      </c>
      <c r="I451" s="3">
        <f>E451+G451+H451</f>
        <v>22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20</v>
      </c>
      <c r="K451" s="3">
        <f>I451-J451</f>
        <v>2</v>
      </c>
      <c r="L451" s="3" t="str">
        <f>IF(K451&lt;-5,"CRÍTICO",IF(K451&lt;0,"ATENÇÃO",IF(K451&lt;=5,"OPORTUNO","MUITO BOM")))</f>
        <v>OPORTUNO</v>
      </c>
      <c r="M451" s="3">
        <v>19</v>
      </c>
      <c r="N451" s="3">
        <v>100</v>
      </c>
      <c r="O451" s="12">
        <v>20.788530465949819</v>
      </c>
    </row>
    <row r="452" spans="1:15" hidden="1" x14ac:dyDescent="0.25">
      <c r="A452" s="10">
        <v>46091</v>
      </c>
      <c r="B452" t="s">
        <v>43</v>
      </c>
      <c r="C452" s="1" t="s">
        <v>32</v>
      </c>
      <c r="D452" s="3">
        <v>25</v>
      </c>
      <c r="E452" s="3">
        <v>24</v>
      </c>
      <c r="F452" s="3">
        <v>18.29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21</v>
      </c>
      <c r="K452" s="3">
        <f>I452-J452</f>
        <v>3</v>
      </c>
      <c r="L452" s="3" t="str">
        <f>IF(K452&lt;-5,"CRÍTICO",IF(K452&lt;0,"ATENÇÃO",IF(K452&lt;=5,"OPORTUNO","MUITO BOM")))</f>
        <v>OPORTUNO</v>
      </c>
      <c r="M452" s="3">
        <v>22</v>
      </c>
      <c r="N452" s="3">
        <v>98.86</v>
      </c>
      <c r="O452" s="12">
        <v>28.959276018099551</v>
      </c>
    </row>
    <row r="453" spans="1:15" hidden="1" x14ac:dyDescent="0.25">
      <c r="A453" s="5">
        <v>46153</v>
      </c>
      <c r="B453" s="6" t="s">
        <v>62</v>
      </c>
      <c r="C453" s="1" t="s">
        <v>23</v>
      </c>
      <c r="D453" s="3">
        <v>24</v>
      </c>
      <c r="E453" s="3">
        <v>23</v>
      </c>
      <c r="F453" s="3">
        <v>17.22</v>
      </c>
      <c r="G453" s="3">
        <v>1</v>
      </c>
      <c r="H453" s="3">
        <v>0</v>
      </c>
      <c r="I453" s="3">
        <f>E453+G453+H453</f>
        <v>24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20</v>
      </c>
      <c r="K453" s="3">
        <f>I453-J453</f>
        <v>4</v>
      </c>
      <c r="L453" s="3" t="str">
        <f>IF(K453&lt;-5,"CRÍTICO",IF(K453&lt;0,"ATENÇÃO",IF(K453&lt;=5,"OPORTUNO","MUITO BOM")))</f>
        <v>OPORTUNO</v>
      </c>
      <c r="M453" s="3">
        <v>25</v>
      </c>
      <c r="N453" s="3">
        <v>94.55</v>
      </c>
      <c r="O453" s="12">
        <v>23.450134770889491</v>
      </c>
    </row>
    <row r="454" spans="1:15" hidden="1" x14ac:dyDescent="0.25">
      <c r="A454" s="5">
        <v>46153</v>
      </c>
      <c r="B454" s="6" t="s">
        <v>63</v>
      </c>
      <c r="C454" s="1" t="s">
        <v>23</v>
      </c>
      <c r="D454" s="3">
        <v>29</v>
      </c>
      <c r="E454" s="3">
        <v>25</v>
      </c>
      <c r="F454" s="3">
        <v>22.14</v>
      </c>
      <c r="G454" s="3">
        <v>6</v>
      </c>
      <c r="H454" s="3">
        <v>0</v>
      </c>
      <c r="I454" s="3">
        <f>E454+G454+H454</f>
        <v>31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20</v>
      </c>
      <c r="K454" s="3">
        <f>I454-J454</f>
        <v>11</v>
      </c>
      <c r="L454" s="3" t="str">
        <f>IF(K454&lt;-5,"CRÍTICO",IF(K454&lt;0,"ATENÇÃO",IF(K454&lt;=5,"OPORTUNO","MUITO BOM")))</f>
        <v>MUITO BOM</v>
      </c>
      <c r="M454" s="3">
        <v>24</v>
      </c>
      <c r="N454" s="3">
        <v>98</v>
      </c>
      <c r="O454" s="12">
        <v>20.73490813648294</v>
      </c>
    </row>
    <row r="455" spans="1:15" hidden="1" x14ac:dyDescent="0.25">
      <c r="A455" s="5">
        <v>46153</v>
      </c>
      <c r="B455" s="6" t="s">
        <v>64</v>
      </c>
      <c r="C455" s="1" t="s">
        <v>23</v>
      </c>
      <c r="D455" s="3">
        <v>16</v>
      </c>
      <c r="E455" s="3">
        <v>16</v>
      </c>
      <c r="F455" s="3">
        <v>33.21</v>
      </c>
      <c r="G455" s="3">
        <v>1</v>
      </c>
      <c r="H455" s="3">
        <v>0</v>
      </c>
      <c r="I455" s="3">
        <f>E455+G455+H455</f>
        <v>17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20</v>
      </c>
      <c r="K455" s="3">
        <f>I455-J455</f>
        <v>-3</v>
      </c>
      <c r="L455" s="3" t="str">
        <f>IF(K455&lt;-5,"CRÍTICO",IF(K455&lt;0,"ATENÇÃO",IF(K455&lt;=5,"OPORTUNO","MUITO BOM")))</f>
        <v>ATENÇÃO</v>
      </c>
      <c r="M455" s="3">
        <v>15</v>
      </c>
      <c r="N455" s="3">
        <v>100</v>
      </c>
      <c r="O455" s="12">
        <v>18</v>
      </c>
    </row>
    <row r="456" spans="1:15" hidden="1" x14ac:dyDescent="0.25">
      <c r="A456" s="10">
        <v>46042</v>
      </c>
      <c r="B456" t="s">
        <v>22</v>
      </c>
      <c r="C456" s="1" t="s">
        <v>23</v>
      </c>
      <c r="D456" s="3">
        <v>12</v>
      </c>
      <c r="E456" s="3">
        <v>9</v>
      </c>
      <c r="F456" s="3">
        <v>10.01</v>
      </c>
      <c r="G456" s="3">
        <v>0</v>
      </c>
      <c r="H456" s="3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 s="3">
        <v>6</v>
      </c>
      <c r="N456" s="3">
        <v>98.91</v>
      </c>
      <c r="O456" s="12">
        <v>31.367292225201069</v>
      </c>
    </row>
    <row r="457" spans="1:15" hidden="1" x14ac:dyDescent="0.25">
      <c r="A457" s="5">
        <v>46153</v>
      </c>
      <c r="B457" s="6" t="s">
        <v>22</v>
      </c>
      <c r="C457" s="1" t="s">
        <v>23</v>
      </c>
      <c r="D457" s="3">
        <v>25</v>
      </c>
      <c r="E457" s="3">
        <v>22</v>
      </c>
      <c r="F457" s="3">
        <v>17.3</v>
      </c>
      <c r="G457" s="3">
        <v>5</v>
      </c>
      <c r="H457" s="3">
        <v>0</v>
      </c>
      <c r="I457" s="3">
        <f>E457+G457+H457</f>
        <v>27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20</v>
      </c>
      <c r="K457" s="3">
        <f>I457-J457</f>
        <v>7</v>
      </c>
      <c r="L457" s="3" t="str">
        <f>IF(K457&lt;-5,"CRÍTICO",IF(K457&lt;0,"ATENÇÃO",IF(K457&lt;=5,"OPORTUNO","MUITO BOM")))</f>
        <v>MUITO BOM</v>
      </c>
      <c r="M457" s="3">
        <v>23</v>
      </c>
      <c r="N457" s="3">
        <v>99.06</v>
      </c>
      <c r="O457" s="12">
        <v>19.417475728155338</v>
      </c>
    </row>
    <row r="458" spans="1:15" x14ac:dyDescent="0.25">
      <c r="A458" s="5">
        <v>46146</v>
      </c>
      <c r="B458" s="6" t="s">
        <v>25</v>
      </c>
      <c r="C458" s="1" t="s">
        <v>26</v>
      </c>
      <c r="D458" s="3">
        <v>24</v>
      </c>
      <c r="E458" s="3">
        <v>24</v>
      </c>
      <c r="F458" s="3">
        <v>18.510000000000002</v>
      </c>
      <c r="G458" s="3">
        <v>0</v>
      </c>
      <c r="H458" s="3">
        <v>0</v>
      </c>
      <c r="I458" s="3">
        <f>E458+G458+H458</f>
        <v>24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20</v>
      </c>
      <c r="K458" s="3">
        <f>I458-J458</f>
        <v>4</v>
      </c>
      <c r="L458" s="3" t="str">
        <f>IF(K458&lt;-5,"CRÍTICO",IF(K458&lt;0,"ATENÇÃO",IF(K458&lt;=5,"OPORTUNO","MUITO BOM")))</f>
        <v>OPORTUNO</v>
      </c>
      <c r="M458" s="3">
        <v>22</v>
      </c>
      <c r="N458" s="3">
        <v>97.62</v>
      </c>
      <c r="O458" s="12">
        <v>17.82477341389728</v>
      </c>
    </row>
    <row r="459" spans="1:15" x14ac:dyDescent="0.25">
      <c r="A459" s="5">
        <v>46147</v>
      </c>
      <c r="B459" s="6" t="s">
        <v>25</v>
      </c>
      <c r="C459" s="1" t="s">
        <v>26</v>
      </c>
      <c r="D459" s="3">
        <v>10</v>
      </c>
      <c r="E459" s="3">
        <v>10</v>
      </c>
      <c r="F459" s="3">
        <v>21.42</v>
      </c>
      <c r="G459" s="3">
        <v>10</v>
      </c>
      <c r="H459" s="3">
        <v>0</v>
      </c>
      <c r="I459" s="3">
        <f>E459+G459+H459</f>
        <v>20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20</v>
      </c>
      <c r="K459" s="3">
        <f>I459-J459</f>
        <v>0</v>
      </c>
      <c r="L459" s="3" t="str">
        <f>IF(K459&lt;-5,"CRÍTICO",IF(K459&lt;0,"ATENÇÃO",IF(K459&lt;=5,"OPORTUNO","MUITO BOM")))</f>
        <v>OPORTUNO</v>
      </c>
      <c r="M459" s="3">
        <v>27</v>
      </c>
      <c r="N459" s="3">
        <v>97.62</v>
      </c>
      <c r="O459" s="12">
        <v>17.82477341389728</v>
      </c>
    </row>
    <row r="460" spans="1:15" hidden="1" x14ac:dyDescent="0.25">
      <c r="A460" s="5">
        <v>46153</v>
      </c>
      <c r="B460" s="6" t="s">
        <v>43</v>
      </c>
      <c r="C460" s="1" t="s">
        <v>32</v>
      </c>
      <c r="D460" s="3">
        <v>0</v>
      </c>
      <c r="E460" s="3">
        <v>0</v>
      </c>
      <c r="F460" s="3">
        <v>0</v>
      </c>
      <c r="H460" s="3">
        <v>46</v>
      </c>
      <c r="I460" s="3">
        <f>E460+G460+H460</f>
        <v>46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30</v>
      </c>
      <c r="K460" s="3">
        <f>I460-J460</f>
        <v>16</v>
      </c>
      <c r="L460" s="3" t="str">
        <f>IF(K460&lt;-5,"CRÍTICO",IF(K460&lt;0,"ATENÇÃO",IF(K460&lt;=5,"OPORTUNO","MUITO BOM")))</f>
        <v>MUITO BOM</v>
      </c>
      <c r="M460" s="3">
        <v>27</v>
      </c>
      <c r="N460" s="3">
        <v>98.39</v>
      </c>
      <c r="O460" s="12">
        <v>8.7999999999999989</v>
      </c>
    </row>
    <row r="461" spans="1:15" x14ac:dyDescent="0.25">
      <c r="A461" s="5">
        <v>46148</v>
      </c>
      <c r="B461" s="6" t="s">
        <v>25</v>
      </c>
      <c r="C461" s="1" t="s">
        <v>26</v>
      </c>
      <c r="D461" s="3">
        <v>22</v>
      </c>
      <c r="E461" s="3">
        <v>22</v>
      </c>
      <c r="F461" s="3">
        <v>30.08</v>
      </c>
      <c r="G461" s="3">
        <v>1</v>
      </c>
      <c r="H461" s="3">
        <v>0</v>
      </c>
      <c r="I461" s="3">
        <f>E461+G461+H461</f>
        <v>23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20</v>
      </c>
      <c r="K461" s="3">
        <f>I461-J461</f>
        <v>3</v>
      </c>
      <c r="L461" s="3" t="str">
        <f>IF(K461&lt;-5,"CRÍTICO",IF(K461&lt;0,"ATENÇÃO",IF(K461&lt;=5,"OPORTUNO","MUITO BOM")))</f>
        <v>OPORTUNO</v>
      </c>
      <c r="M461" s="3">
        <v>22</v>
      </c>
      <c r="N461" s="3">
        <v>97.62</v>
      </c>
      <c r="O461" s="12">
        <v>17.82477341389728</v>
      </c>
    </row>
    <row r="462" spans="1:15" x14ac:dyDescent="0.25">
      <c r="A462" s="5">
        <v>46149</v>
      </c>
      <c r="B462" s="6" t="s">
        <v>25</v>
      </c>
      <c r="C462" s="1" t="s">
        <v>26</v>
      </c>
      <c r="D462" s="3">
        <v>18</v>
      </c>
      <c r="E462" s="3">
        <v>17</v>
      </c>
      <c r="F462" s="3">
        <v>23.23</v>
      </c>
      <c r="G462" s="3">
        <v>9</v>
      </c>
      <c r="H462" s="3">
        <v>0</v>
      </c>
      <c r="I462" s="3">
        <f>E462+G462+H462</f>
        <v>26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19</v>
      </c>
      <c r="K462" s="3">
        <f>I462-J462</f>
        <v>7</v>
      </c>
      <c r="L462" s="3" t="str">
        <f>IF(K462&lt;-5,"CRÍTICO",IF(K462&lt;0,"ATENÇÃO",IF(K462&lt;=5,"OPORTUNO","MUITO BOM")))</f>
        <v>MUITO BOM</v>
      </c>
      <c r="M462" s="3">
        <v>22</v>
      </c>
      <c r="N462" s="3">
        <v>97.62</v>
      </c>
      <c r="O462" s="12">
        <v>17.82477341389728</v>
      </c>
    </row>
    <row r="463" spans="1:15" x14ac:dyDescent="0.25">
      <c r="A463" s="5">
        <v>46150</v>
      </c>
      <c r="B463" s="6" t="s">
        <v>25</v>
      </c>
      <c r="C463" s="1" t="s">
        <v>26</v>
      </c>
      <c r="D463" s="3">
        <v>21</v>
      </c>
      <c r="E463" s="3">
        <v>20</v>
      </c>
      <c r="F463" s="3">
        <v>22.21</v>
      </c>
      <c r="G463" s="3">
        <v>1</v>
      </c>
      <c r="H463" s="3">
        <v>0</v>
      </c>
      <c r="I463" s="3">
        <f>E463+G463+H463</f>
        <v>21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16</v>
      </c>
      <c r="K463" s="3">
        <f>I463-J463</f>
        <v>5</v>
      </c>
      <c r="L463" s="3" t="str">
        <f>IF(K463&lt;-5,"CRÍTICO",IF(K463&lt;0,"ATENÇÃO",IF(K463&lt;=5,"OPORTUNO","MUITO BOM")))</f>
        <v>OPORTUNO</v>
      </c>
      <c r="M463" s="3">
        <v>16</v>
      </c>
      <c r="N463" s="3">
        <v>97.62</v>
      </c>
      <c r="O463" s="12">
        <v>17.82477341389728</v>
      </c>
    </row>
    <row r="464" spans="1:15" x14ac:dyDescent="0.25">
      <c r="A464" s="5">
        <v>46153</v>
      </c>
      <c r="B464" s="6" t="s">
        <v>25</v>
      </c>
      <c r="C464" s="1" t="s">
        <v>26</v>
      </c>
      <c r="D464" s="3">
        <v>17</v>
      </c>
      <c r="E464" s="3">
        <v>17</v>
      </c>
      <c r="F464" s="3">
        <v>30.53</v>
      </c>
      <c r="G464" s="3">
        <v>2</v>
      </c>
      <c r="H464" s="3">
        <v>0</v>
      </c>
      <c r="I464" s="3">
        <f>E464+G464+H464</f>
        <v>19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17</v>
      </c>
      <c r="K464" s="3">
        <f>I464-J464</f>
        <v>2</v>
      </c>
      <c r="L464" s="3" t="str">
        <f>IF(K464&lt;-5,"CRÍTICO",IF(K464&lt;0,"ATENÇÃO",IF(K464&lt;=5,"OPORTUNO","MUITO BOM")))</f>
        <v>OPORTUNO</v>
      </c>
      <c r="M464" s="3">
        <v>18</v>
      </c>
      <c r="N464" s="3">
        <v>97.62</v>
      </c>
      <c r="O464" s="12">
        <v>17.82477341389728</v>
      </c>
    </row>
    <row r="465" spans="1:15" x14ac:dyDescent="0.25">
      <c r="A465" s="5">
        <v>46154</v>
      </c>
      <c r="B465" s="6" t="s">
        <v>25</v>
      </c>
      <c r="C465" s="1" t="s">
        <v>26</v>
      </c>
      <c r="D465" s="3">
        <v>26</v>
      </c>
      <c r="E465" s="3">
        <v>22</v>
      </c>
      <c r="F465" s="3">
        <v>21.43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18</v>
      </c>
      <c r="K465" s="3">
        <f>I465-J465</f>
        <v>4</v>
      </c>
      <c r="L465" s="3" t="str">
        <f>IF(K465&lt;-5,"CRÍTICO",IF(K465&lt;0,"ATENÇÃO",IF(K465&lt;=5,"OPORTUNO","MUITO BOM")))</f>
        <v>OPORTUNO</v>
      </c>
      <c r="M465" s="3">
        <v>22</v>
      </c>
      <c r="N465" s="3">
        <v>97.62</v>
      </c>
      <c r="O465" s="12">
        <v>17.82477341389728</v>
      </c>
    </row>
    <row r="466" spans="1:15" x14ac:dyDescent="0.25">
      <c r="A466" s="5">
        <v>46155</v>
      </c>
      <c r="B466" s="6" t="s">
        <v>25</v>
      </c>
      <c r="C466" s="1" t="s">
        <v>26</v>
      </c>
      <c r="D466" s="3">
        <v>17</v>
      </c>
      <c r="E466" s="3">
        <v>14</v>
      </c>
      <c r="F466" s="3">
        <v>24.07</v>
      </c>
      <c r="G466" s="3">
        <v>6</v>
      </c>
      <c r="H466" s="3">
        <v>0</v>
      </c>
      <c r="I466" s="3">
        <f>E466+G466+H466</f>
        <v>20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16</v>
      </c>
      <c r="K466" s="3">
        <f>I466-J466</f>
        <v>4</v>
      </c>
      <c r="L466" s="3" t="str">
        <f>IF(K466&lt;-5,"CRÍTICO",IF(K466&lt;0,"ATENÇÃO",IF(K466&lt;=5,"OPORTUNO","MUITO BOM")))</f>
        <v>OPORTUNO</v>
      </c>
      <c r="M466" s="3">
        <v>18</v>
      </c>
      <c r="N466" s="3">
        <v>97.62</v>
      </c>
      <c r="O466" s="12">
        <v>17.82477341389728</v>
      </c>
    </row>
    <row r="467" spans="1:15" x14ac:dyDescent="0.25">
      <c r="A467" s="5">
        <v>46156</v>
      </c>
      <c r="B467" s="6" t="s">
        <v>25</v>
      </c>
      <c r="C467" s="1" t="s">
        <v>26</v>
      </c>
      <c r="D467" s="3">
        <v>23</v>
      </c>
      <c r="E467" s="3">
        <v>23</v>
      </c>
      <c r="F467" s="3">
        <v>25.1</v>
      </c>
      <c r="G467" s="3">
        <v>0</v>
      </c>
      <c r="H467" s="3">
        <v>0</v>
      </c>
      <c r="I467" s="3">
        <f>E467+G467+H467</f>
        <v>23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16</v>
      </c>
      <c r="K467" s="3">
        <f>I467-J467</f>
        <v>7</v>
      </c>
      <c r="L467" s="3" t="str">
        <f>IF(K467&lt;-5,"CRÍTICO",IF(K467&lt;0,"ATENÇÃO",IF(K467&lt;=5,"OPORTUNO","MUITO BOM")))</f>
        <v>MUITO BOM</v>
      </c>
      <c r="M467" s="3">
        <v>22</v>
      </c>
      <c r="N467" s="3">
        <v>97.62</v>
      </c>
      <c r="O467" s="12">
        <v>17.82477341389728</v>
      </c>
    </row>
    <row r="468" spans="1:15" x14ac:dyDescent="0.25">
      <c r="A468" s="5">
        <v>46157</v>
      </c>
      <c r="B468" s="6" t="s">
        <v>25</v>
      </c>
      <c r="C468" s="1" t="s">
        <v>26</v>
      </c>
      <c r="D468" s="3">
        <v>23</v>
      </c>
      <c r="E468" s="3">
        <v>20</v>
      </c>
      <c r="F468" s="3">
        <v>25.17</v>
      </c>
      <c r="G468" s="3">
        <v>5</v>
      </c>
      <c r="H468" s="3">
        <v>0</v>
      </c>
      <c r="I468" s="3">
        <f>E468+G468+H468</f>
        <v>25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17</v>
      </c>
      <c r="K468" s="3">
        <f>I468-J468</f>
        <v>8</v>
      </c>
      <c r="L468" s="3" t="str">
        <f>IF(K468&lt;-5,"CRÍTICO",IF(K468&lt;0,"ATENÇÃO",IF(K468&lt;=5,"OPORTUNO","MUITO BOM")))</f>
        <v>MUITO BOM</v>
      </c>
      <c r="M468" s="3">
        <v>23</v>
      </c>
      <c r="N468" s="3">
        <v>97.62</v>
      </c>
      <c r="O468" s="12">
        <v>17.82477341389728</v>
      </c>
    </row>
    <row r="469" spans="1:15" x14ac:dyDescent="0.25">
      <c r="A469" s="5">
        <v>46160</v>
      </c>
      <c r="B469" s="6" t="s">
        <v>25</v>
      </c>
      <c r="C469" s="1" t="s">
        <v>26</v>
      </c>
      <c r="D469" s="3">
        <v>18</v>
      </c>
      <c r="E469" s="3">
        <v>17</v>
      </c>
      <c r="F469" s="3">
        <v>30.41</v>
      </c>
      <c r="G469" s="3">
        <v>2</v>
      </c>
      <c r="H469" s="3">
        <v>0</v>
      </c>
      <c r="I469" s="3">
        <f>E469+G469+H469</f>
        <v>19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15</v>
      </c>
      <c r="K469" s="3">
        <f>I469-J469</f>
        <v>4</v>
      </c>
      <c r="L469" s="3" t="str">
        <f>IF(K469&lt;-5,"CRÍTICO",IF(K469&lt;0,"ATENÇÃO",IF(K469&lt;=5,"OPORTUNO","MUITO BOM")))</f>
        <v>OPORTUNO</v>
      </c>
      <c r="M469" s="3">
        <v>21</v>
      </c>
      <c r="N469" s="3">
        <v>97.62</v>
      </c>
      <c r="O469" s="12">
        <v>17.82477341389728</v>
      </c>
    </row>
    <row r="470" spans="1:15" hidden="1" x14ac:dyDescent="0.25">
      <c r="A470" s="5">
        <v>46154</v>
      </c>
      <c r="B470" s="6" t="s">
        <v>31</v>
      </c>
      <c r="C470" s="1" t="s">
        <v>32</v>
      </c>
      <c r="D470" s="3">
        <v>0</v>
      </c>
      <c r="E470" s="3">
        <v>0</v>
      </c>
      <c r="F470" s="3">
        <v>0</v>
      </c>
      <c r="G470" s="3">
        <v>0</v>
      </c>
      <c r="H470" s="3">
        <v>0</v>
      </c>
      <c r="I470" s="3">
        <f>E470+G470+H470</f>
        <v>0</v>
      </c>
      <c r="J470" s="3">
        <v>0</v>
      </c>
      <c r="K470" s="3">
        <f>I470-J470</f>
        <v>0</v>
      </c>
      <c r="L470" s="3" t="str">
        <f>IF(K470&lt;-5,"CRÍTICO",IF(K470&lt;0,"ATENÇÃO",IF(K470&lt;=5,"OPORTUNO","MUITO BOM")))</f>
        <v>OPORTUNO</v>
      </c>
      <c r="M470" s="3">
        <v>0</v>
      </c>
      <c r="N470" s="3">
        <v>100</v>
      </c>
      <c r="O470" s="12">
        <v>0</v>
      </c>
    </row>
    <row r="471" spans="1:15" hidden="1" x14ac:dyDescent="0.25">
      <c r="A471" s="5">
        <v>46154</v>
      </c>
      <c r="B471" s="6" t="s">
        <v>33</v>
      </c>
      <c r="C471" s="1" t="s">
        <v>32</v>
      </c>
      <c r="D471" s="3">
        <v>28</v>
      </c>
      <c r="E471" s="3">
        <v>24</v>
      </c>
      <c r="F471" s="3">
        <v>15.56</v>
      </c>
      <c r="G471" s="3">
        <v>4</v>
      </c>
      <c r="H471" s="3">
        <v>0</v>
      </c>
      <c r="I471" s="3">
        <f>E471+G471+H471</f>
        <v>28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32</v>
      </c>
      <c r="K471" s="3">
        <f>I471-J471</f>
        <v>-4</v>
      </c>
      <c r="L471" s="3" t="str">
        <f>IF(K471&lt;-5,"CRÍTICO",IF(K471&lt;0,"ATENÇÃO",IF(K471&lt;=5,"OPORTUNO","MUITO BOM")))</f>
        <v>ATENÇÃO</v>
      </c>
      <c r="M471" s="3">
        <v>25</v>
      </c>
      <c r="N471" s="3">
        <v>96.94</v>
      </c>
      <c r="O471" s="12">
        <v>19.613259668508292</v>
      </c>
    </row>
    <row r="472" spans="1:15" hidden="1" x14ac:dyDescent="0.25">
      <c r="A472" s="5">
        <v>46154</v>
      </c>
      <c r="B472" s="6" t="s">
        <v>34</v>
      </c>
      <c r="C472" s="1" t="s">
        <v>32</v>
      </c>
      <c r="D472" s="3">
        <v>41</v>
      </c>
      <c r="E472" s="3">
        <v>39</v>
      </c>
      <c r="F472" s="3">
        <v>10.52</v>
      </c>
      <c r="G472" s="3">
        <v>0</v>
      </c>
      <c r="H472" s="3">
        <v>0</v>
      </c>
      <c r="I472" s="3">
        <f>E472+G472+H472</f>
        <v>39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32</v>
      </c>
      <c r="K472" s="3">
        <f>I472-J472</f>
        <v>7</v>
      </c>
      <c r="L472" s="3" t="str">
        <f>IF(K472&lt;-5,"CRÍTICO",IF(K472&lt;0,"ATENÇÃO",IF(K472&lt;=5,"OPORTUNO","MUITO BOM")))</f>
        <v>MUITO BOM</v>
      </c>
      <c r="M472" s="3">
        <v>33</v>
      </c>
      <c r="N472" s="3">
        <v>92.81</v>
      </c>
      <c r="O472" s="12">
        <v>25.477707006369432</v>
      </c>
    </row>
    <row r="473" spans="1:15" hidden="1" x14ac:dyDescent="0.25">
      <c r="A473" s="5">
        <v>46154</v>
      </c>
      <c r="B473" s="6" t="s">
        <v>35</v>
      </c>
      <c r="C473" s="1" t="s">
        <v>32</v>
      </c>
      <c r="D473" s="3">
        <v>23</v>
      </c>
      <c r="E473" s="3">
        <v>23</v>
      </c>
      <c r="F473" s="3">
        <v>25.03</v>
      </c>
      <c r="G473" s="3">
        <v>0</v>
      </c>
      <c r="H473" s="3">
        <v>0</v>
      </c>
      <c r="I473" s="3">
        <f>E473+G473+H473</f>
        <v>23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32</v>
      </c>
      <c r="K473" s="3">
        <f>I473-J473</f>
        <v>-9</v>
      </c>
      <c r="L473" s="3" t="str">
        <f>IF(K473&lt;-5,"CRÍTICO",IF(K473&lt;0,"ATENÇÃO",IF(K473&lt;=5,"OPORTUNO","MUITO BOM")))</f>
        <v>CRÍTICO</v>
      </c>
      <c r="M473" s="3">
        <v>27</v>
      </c>
      <c r="N473" s="3">
        <v>99.19</v>
      </c>
      <c r="O473" s="12">
        <v>28.404669260700391</v>
      </c>
    </row>
    <row r="474" spans="1:15" hidden="1" x14ac:dyDescent="0.25">
      <c r="A474" s="5">
        <v>46154</v>
      </c>
      <c r="B474" s="6" t="s">
        <v>36</v>
      </c>
      <c r="C474" s="1" t="s">
        <v>32</v>
      </c>
      <c r="D474" s="3">
        <v>0</v>
      </c>
      <c r="E474" s="3">
        <v>0</v>
      </c>
      <c r="F474" s="3">
        <v>0</v>
      </c>
      <c r="G474" s="3">
        <v>0</v>
      </c>
      <c r="H474" s="3">
        <v>0</v>
      </c>
      <c r="I474" s="3">
        <f>E474+G474+H474</f>
        <v>0</v>
      </c>
      <c r="J474" s="3">
        <v>0</v>
      </c>
      <c r="K474" s="3">
        <f>I474-J474</f>
        <v>0</v>
      </c>
      <c r="L474" s="3" t="str">
        <f>IF(K474&lt;-5,"CRÍTICO",IF(K474&lt;0,"ATENÇÃO",IF(K474&lt;=5,"OPORTUNO","MUITO BOM")))</f>
        <v>OPORTUNO</v>
      </c>
      <c r="M474" s="3">
        <v>0</v>
      </c>
      <c r="N474" s="3">
        <v>100</v>
      </c>
      <c r="O474" s="12">
        <v>13.51351351351351</v>
      </c>
    </row>
    <row r="475" spans="1:15" hidden="1" x14ac:dyDescent="0.25">
      <c r="A475" s="5">
        <v>46154</v>
      </c>
      <c r="B475" s="6" t="s">
        <v>37</v>
      </c>
      <c r="C475" s="1" t="s">
        <v>32</v>
      </c>
      <c r="D475" s="3">
        <v>47</v>
      </c>
      <c r="E475" s="3">
        <v>43</v>
      </c>
      <c r="F475" s="3">
        <v>10.34</v>
      </c>
      <c r="G475" s="3">
        <v>8</v>
      </c>
      <c r="H475" s="3">
        <v>0</v>
      </c>
      <c r="I475" s="3">
        <f>E475+G475+H475</f>
        <v>51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32</v>
      </c>
      <c r="K475" s="3">
        <f>I475-J475</f>
        <v>19</v>
      </c>
      <c r="L475" s="3" t="str">
        <f>IF(K475&lt;-5,"CRÍTICO",IF(K475&lt;0,"ATENÇÃO",IF(K475&lt;=5,"OPORTUNO","MUITO BOM")))</f>
        <v>MUITO BOM</v>
      </c>
      <c r="M475" s="3">
        <v>45</v>
      </c>
      <c r="N475" s="3">
        <v>99</v>
      </c>
      <c r="O475" s="12">
        <v>22.27414330218069</v>
      </c>
    </row>
    <row r="476" spans="1:15" hidden="1" x14ac:dyDescent="0.25">
      <c r="A476" s="5">
        <v>46154</v>
      </c>
      <c r="B476" s="6" t="s">
        <v>38</v>
      </c>
      <c r="C476" s="1" t="s">
        <v>32</v>
      </c>
      <c r="D476" s="3">
        <v>42</v>
      </c>
      <c r="E476" s="3">
        <v>37</v>
      </c>
      <c r="F476" s="3">
        <v>10.49</v>
      </c>
      <c r="G476" s="3">
        <v>9</v>
      </c>
      <c r="H476" s="3">
        <v>0</v>
      </c>
      <c r="I476" s="3">
        <f>E476+G476+H476</f>
        <v>46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32</v>
      </c>
      <c r="K476" s="3">
        <f>I476-J476</f>
        <v>14</v>
      </c>
      <c r="L476" s="3" t="str">
        <f>IF(K476&lt;-5,"CRÍTICO",IF(K476&lt;0,"ATENÇÃO",IF(K476&lt;=5,"OPORTUNO","MUITO BOM")))</f>
        <v>MUITO BOM</v>
      </c>
      <c r="M476" s="3">
        <v>37</v>
      </c>
      <c r="N476" s="3">
        <v>97.04</v>
      </c>
      <c r="O476" s="12">
        <v>29.828850855745721</v>
      </c>
    </row>
    <row r="477" spans="1:15" hidden="1" x14ac:dyDescent="0.25">
      <c r="A477" s="5">
        <v>46154</v>
      </c>
      <c r="B477" s="6" t="s">
        <v>39</v>
      </c>
      <c r="C477" s="1" t="s">
        <v>32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f>E477+G477+H477</f>
        <v>0</v>
      </c>
      <c r="J477" s="3">
        <v>0</v>
      </c>
      <c r="K477" s="3">
        <f>I477-J477</f>
        <v>0</v>
      </c>
      <c r="L477" s="3" t="str">
        <f>IF(K477&lt;-5,"CRÍTICO",IF(K477&lt;0,"ATENÇÃO",IF(K477&lt;=5,"OPORTUNO","MUITO BOM")))</f>
        <v>OPORTUNO</v>
      </c>
      <c r="M477" s="3">
        <v>0</v>
      </c>
      <c r="N477" s="3">
        <v>0</v>
      </c>
      <c r="O477" s="12">
        <v>0</v>
      </c>
    </row>
    <row r="478" spans="1:15" hidden="1" x14ac:dyDescent="0.25">
      <c r="A478" s="10">
        <v>46043</v>
      </c>
      <c r="B478" t="s">
        <v>22</v>
      </c>
      <c r="C478" s="1" t="s">
        <v>23</v>
      </c>
      <c r="D478" s="3">
        <v>17</v>
      </c>
      <c r="E478" s="3">
        <v>17</v>
      </c>
      <c r="F478" s="3">
        <v>26.55</v>
      </c>
      <c r="G478" s="3">
        <v>0</v>
      </c>
      <c r="H478" s="3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 s="3">
        <v>15</v>
      </c>
      <c r="N478" s="3">
        <v>98.91</v>
      </c>
      <c r="O478" s="12">
        <v>31.367292225201069</v>
      </c>
    </row>
    <row r="479" spans="1:15" hidden="1" x14ac:dyDescent="0.25">
      <c r="A479" s="5">
        <v>46154</v>
      </c>
      <c r="B479" s="6" t="s">
        <v>40</v>
      </c>
      <c r="C479" s="1" t="s">
        <v>32</v>
      </c>
      <c r="D479" s="3">
        <v>19</v>
      </c>
      <c r="E479" s="3">
        <v>17</v>
      </c>
      <c r="F479" s="3">
        <v>25.12</v>
      </c>
      <c r="G479" s="3">
        <v>1</v>
      </c>
      <c r="H479" s="3">
        <v>0</v>
      </c>
      <c r="I479" s="3">
        <f>E479+G479+H479</f>
        <v>18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32</v>
      </c>
      <c r="K479" s="3">
        <f>I479-J479</f>
        <v>-14</v>
      </c>
      <c r="L479" s="3" t="str">
        <f>IF(K479&lt;-5,"CRÍTICO",IF(K479&lt;0,"ATENÇÃO",IF(K479&lt;=5,"OPORTUNO","MUITO BOM")))</f>
        <v>CRÍTICO</v>
      </c>
      <c r="M479" s="3">
        <v>18</v>
      </c>
      <c r="N479" s="3">
        <v>96.84</v>
      </c>
      <c r="O479" s="12">
        <v>16.338028169014081</v>
      </c>
    </row>
    <row r="480" spans="1:15" hidden="1" x14ac:dyDescent="0.25">
      <c r="A480" s="5">
        <v>46154</v>
      </c>
      <c r="B480" s="6" t="s">
        <v>41</v>
      </c>
      <c r="C480" s="1" t="s">
        <v>32</v>
      </c>
      <c r="D480" s="3">
        <v>31</v>
      </c>
      <c r="E480" s="3">
        <v>25</v>
      </c>
      <c r="F480" s="3">
        <v>16.55</v>
      </c>
      <c r="G480" s="3">
        <v>0</v>
      </c>
      <c r="H480" s="3">
        <v>0</v>
      </c>
      <c r="I480" s="3">
        <f>E480+G480+H480</f>
        <v>25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32</v>
      </c>
      <c r="K480" s="3">
        <f>I480-J480</f>
        <v>-7</v>
      </c>
      <c r="L480" s="3" t="str">
        <f>IF(K480&lt;-5,"CRÍTICO",IF(K480&lt;0,"ATENÇÃO",IF(K480&lt;=5,"OPORTUNO","MUITO BOM")))</f>
        <v>CRÍTICO</v>
      </c>
      <c r="M480" s="3">
        <v>28</v>
      </c>
      <c r="N480" s="3">
        <v>100</v>
      </c>
      <c r="O480" s="12">
        <v>18.244803695150122</v>
      </c>
    </row>
    <row r="481" spans="1:15" hidden="1" x14ac:dyDescent="0.25">
      <c r="A481" s="5">
        <v>46154</v>
      </c>
      <c r="B481" s="6" t="s">
        <v>42</v>
      </c>
      <c r="C481" s="1" t="s">
        <v>32</v>
      </c>
      <c r="D481" s="3">
        <v>0</v>
      </c>
      <c r="E481" s="3">
        <v>0</v>
      </c>
      <c r="F481" s="3">
        <v>0</v>
      </c>
      <c r="G481" s="3">
        <v>0</v>
      </c>
      <c r="H481" s="3">
        <v>0</v>
      </c>
      <c r="I481" s="3">
        <f>E481+G481+H481</f>
        <v>0</v>
      </c>
      <c r="J481" s="3">
        <v>0</v>
      </c>
      <c r="K481" s="3">
        <f>I481-J481</f>
        <v>0</v>
      </c>
      <c r="L481" s="3" t="str">
        <f>IF(K481&lt;-5,"CRÍTICO",IF(K481&lt;0,"ATENÇÃO",IF(K481&lt;=5,"OPORTUNO","MUITO BOM")))</f>
        <v>OPORTUNO</v>
      </c>
      <c r="M481" s="3">
        <v>0</v>
      </c>
      <c r="N481" s="3">
        <v>100</v>
      </c>
      <c r="O481" s="12">
        <v>15.789473684210529</v>
      </c>
    </row>
    <row r="482" spans="1:15" hidden="1" x14ac:dyDescent="0.25">
      <c r="A482" s="5">
        <v>46154</v>
      </c>
      <c r="B482" s="6" t="s">
        <v>44</v>
      </c>
      <c r="C482" s="1" t="s">
        <v>32</v>
      </c>
      <c r="D482" s="3">
        <v>36</v>
      </c>
      <c r="E482" s="3">
        <v>31</v>
      </c>
      <c r="F482" s="3">
        <v>13.49</v>
      </c>
      <c r="G482" s="3">
        <v>2</v>
      </c>
      <c r="H482" s="3">
        <v>0</v>
      </c>
      <c r="I482" s="3">
        <f>E482+G482+H482</f>
        <v>33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32</v>
      </c>
      <c r="K482" s="3">
        <f>I482-J482</f>
        <v>1</v>
      </c>
      <c r="L482" s="3" t="str">
        <f>IF(K482&lt;-5,"CRÍTICO",IF(K482&lt;0,"ATENÇÃO",IF(K482&lt;=5,"OPORTUNO","MUITO BOM")))</f>
        <v>OPORTUNO</v>
      </c>
      <c r="M482" s="3">
        <v>28</v>
      </c>
      <c r="N482" s="3">
        <v>96.38</v>
      </c>
      <c r="O482" s="12">
        <v>23.198198198198199</v>
      </c>
    </row>
    <row r="483" spans="1:15" hidden="1" x14ac:dyDescent="0.25">
      <c r="A483" s="5">
        <v>46154</v>
      </c>
      <c r="B483" s="6" t="s">
        <v>45</v>
      </c>
      <c r="C483" s="1" t="s">
        <v>32</v>
      </c>
      <c r="D483" s="3">
        <v>33</v>
      </c>
      <c r="E483" s="3">
        <v>28</v>
      </c>
      <c r="F483" s="3">
        <v>13.43</v>
      </c>
      <c r="G483" s="3">
        <v>1</v>
      </c>
      <c r="H483" s="3">
        <v>0</v>
      </c>
      <c r="I483" s="3">
        <f>E483+G483+H483</f>
        <v>29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32</v>
      </c>
      <c r="K483" s="3">
        <f>I483-J483</f>
        <v>-3</v>
      </c>
      <c r="L483" s="3" t="str">
        <f>IF(K483&lt;-5,"CRÍTICO",IF(K483&lt;0,"ATENÇÃO",IF(K483&lt;=5,"OPORTUNO","MUITO BOM")))</f>
        <v>ATENÇÃO</v>
      </c>
      <c r="M483" s="3">
        <v>22</v>
      </c>
      <c r="N483" s="3">
        <v>99.39</v>
      </c>
      <c r="O483" s="12">
        <v>25.203252032520329</v>
      </c>
    </row>
    <row r="484" spans="1:15" hidden="1" x14ac:dyDescent="0.25">
      <c r="A484" s="5">
        <v>46154</v>
      </c>
      <c r="B484" s="6" t="s">
        <v>46</v>
      </c>
      <c r="C484" s="1" t="s">
        <v>32</v>
      </c>
      <c r="D484" s="3">
        <v>29</v>
      </c>
      <c r="E484" s="3">
        <v>28</v>
      </c>
      <c r="F484" s="3">
        <v>14.1</v>
      </c>
      <c r="G484" s="3">
        <v>4</v>
      </c>
      <c r="H484" s="3">
        <v>0</v>
      </c>
      <c r="I484" s="3">
        <f>E484+G484+H484</f>
        <v>32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32</v>
      </c>
      <c r="K484" s="3">
        <f>I484-J484</f>
        <v>0</v>
      </c>
      <c r="L484" s="3" t="str">
        <f>IF(K484&lt;-5,"CRÍTICO",IF(K484&lt;0,"ATENÇÃO",IF(K484&lt;=5,"OPORTUNO","MUITO BOM")))</f>
        <v>OPORTUNO</v>
      </c>
      <c r="M484" s="3">
        <v>25</v>
      </c>
      <c r="N484" s="3">
        <v>97</v>
      </c>
      <c r="O484" s="12">
        <v>20.325203252032519</v>
      </c>
    </row>
    <row r="485" spans="1:15" hidden="1" x14ac:dyDescent="0.25">
      <c r="A485" s="5">
        <v>46154</v>
      </c>
      <c r="B485" s="6" t="s">
        <v>47</v>
      </c>
      <c r="C485" s="1" t="s">
        <v>48</v>
      </c>
      <c r="D485" s="3">
        <v>25</v>
      </c>
      <c r="E485" s="3">
        <v>18</v>
      </c>
      <c r="F485" s="3">
        <v>9</v>
      </c>
      <c r="G485" s="3">
        <v>8</v>
      </c>
      <c r="H485" s="3">
        <v>0</v>
      </c>
      <c r="I485" s="3">
        <f>E485+G485+H485</f>
        <v>26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25</v>
      </c>
      <c r="K485" s="3">
        <f>I485-J485</f>
        <v>1</v>
      </c>
      <c r="L485" s="3" t="str">
        <f>IF(K485&lt;-5,"CRÍTICO",IF(K485&lt;0,"ATENÇÃO",IF(K485&lt;=5,"OPORTUNO","MUITO BOM")))</f>
        <v>OPORTUNO</v>
      </c>
      <c r="M485" s="3">
        <v>17</v>
      </c>
      <c r="N485" s="3">
        <v>99.18</v>
      </c>
      <c r="O485" s="12">
        <v>24.501424501424498</v>
      </c>
    </row>
    <row r="486" spans="1:15" hidden="1" x14ac:dyDescent="0.25">
      <c r="A486" s="5">
        <v>46154</v>
      </c>
      <c r="B486" s="6" t="s">
        <v>49</v>
      </c>
      <c r="C486" s="1" t="s">
        <v>48</v>
      </c>
      <c r="D486" s="3">
        <v>38</v>
      </c>
      <c r="E486" s="3">
        <v>35</v>
      </c>
      <c r="F486" s="3">
        <v>12.22</v>
      </c>
      <c r="G486" s="3">
        <v>3</v>
      </c>
      <c r="H486" s="3">
        <v>0</v>
      </c>
      <c r="I486" s="3">
        <f>E486+G486+H486</f>
        <v>38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25</v>
      </c>
      <c r="K486" s="3">
        <f>I486-J486</f>
        <v>13</v>
      </c>
      <c r="L486" s="3" t="str">
        <f>IF(K486&lt;-5,"CRÍTICO",IF(K486&lt;0,"ATENÇÃO",IF(K486&lt;=5,"OPORTUNO","MUITO BOM")))</f>
        <v>MUITO BOM</v>
      </c>
      <c r="M486" s="3">
        <v>34</v>
      </c>
      <c r="N486" s="3">
        <v>99.35</v>
      </c>
      <c r="O486" s="12">
        <v>19.852941176470591</v>
      </c>
    </row>
    <row r="487" spans="1:15" hidden="1" x14ac:dyDescent="0.25">
      <c r="A487" s="10">
        <v>46092</v>
      </c>
      <c r="B487" t="s">
        <v>43</v>
      </c>
      <c r="C487" s="1" t="s">
        <v>32</v>
      </c>
      <c r="D487" s="3">
        <v>39</v>
      </c>
      <c r="E487" s="3">
        <v>36</v>
      </c>
      <c r="F487" s="3">
        <v>17.07</v>
      </c>
      <c r="G487" s="3">
        <v>0</v>
      </c>
      <c r="H487" s="3">
        <v>0</v>
      </c>
      <c r="I487" s="3">
        <f>E487+G487+H487</f>
        <v>36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25</v>
      </c>
      <c r="K487" s="3">
        <f>I487-J487</f>
        <v>11</v>
      </c>
      <c r="L487" s="3" t="str">
        <f>IF(K487&lt;-5,"CRÍTICO",IF(K487&lt;0,"ATENÇÃO",IF(K487&lt;=5,"OPORTUNO","MUITO BOM")))</f>
        <v>MUITO BOM</v>
      </c>
      <c r="M487" s="3">
        <v>33</v>
      </c>
      <c r="N487" s="3">
        <v>98.86</v>
      </c>
      <c r="O487" s="12">
        <v>28.959276018099551</v>
      </c>
    </row>
    <row r="488" spans="1:15" hidden="1" x14ac:dyDescent="0.25">
      <c r="A488" s="5">
        <v>46154</v>
      </c>
      <c r="B488" s="6" t="s">
        <v>50</v>
      </c>
      <c r="C488" s="1" t="s">
        <v>48</v>
      </c>
      <c r="D488" s="3">
        <v>26</v>
      </c>
      <c r="E488" s="3">
        <v>26</v>
      </c>
      <c r="F488" s="3">
        <v>27</v>
      </c>
      <c r="G488" s="3">
        <v>0</v>
      </c>
      <c r="H488" s="3">
        <v>0</v>
      </c>
      <c r="I488" s="3">
        <f>E488+G488+H488</f>
        <v>26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25</v>
      </c>
      <c r="K488" s="3">
        <f>I488-J488</f>
        <v>1</v>
      </c>
      <c r="L488" s="3" t="str">
        <f>IF(K488&lt;-5,"CRÍTICO",IF(K488&lt;0,"ATENÇÃO",IF(K488&lt;=5,"OPORTUNO","MUITO BOM")))</f>
        <v>OPORTUNO</v>
      </c>
      <c r="M488" s="3">
        <v>24</v>
      </c>
      <c r="N488" s="3">
        <v>99.07</v>
      </c>
      <c r="O488" s="12">
        <v>20.098039215686271</v>
      </c>
    </row>
    <row r="489" spans="1:15" hidden="1" x14ac:dyDescent="0.25">
      <c r="A489" s="5">
        <v>46154</v>
      </c>
      <c r="B489" s="6" t="s">
        <v>51</v>
      </c>
      <c r="C489" s="1" t="s">
        <v>48</v>
      </c>
      <c r="D489" s="3">
        <v>37</v>
      </c>
      <c r="E489" s="3">
        <v>30</v>
      </c>
      <c r="F489" s="3">
        <v>13.28</v>
      </c>
      <c r="G489" s="3">
        <v>0</v>
      </c>
      <c r="H489" s="3">
        <v>0</v>
      </c>
      <c r="I489" s="3">
        <f>E489+G489+H489</f>
        <v>30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25</v>
      </c>
      <c r="K489" s="3">
        <f>I489-J489</f>
        <v>5</v>
      </c>
      <c r="L489" s="3" t="str">
        <f>IF(K489&lt;-5,"CRÍTICO",IF(K489&lt;0,"ATENÇÃO",IF(K489&lt;=5,"OPORTUNO","MUITO BOM")))</f>
        <v>OPORTUNO</v>
      </c>
      <c r="M489" s="3">
        <v>27</v>
      </c>
      <c r="N489" s="3">
        <v>98.81</v>
      </c>
      <c r="O489" s="12">
        <v>22.767857142857139</v>
      </c>
    </row>
    <row r="490" spans="1:15" hidden="1" x14ac:dyDescent="0.25">
      <c r="A490" s="5">
        <v>46154</v>
      </c>
      <c r="B490" s="6" t="s">
        <v>52</v>
      </c>
      <c r="C490" s="1" t="s">
        <v>48</v>
      </c>
      <c r="D490" s="3">
        <v>25</v>
      </c>
      <c r="E490" s="3">
        <v>24</v>
      </c>
      <c r="F490" s="3">
        <v>17.21</v>
      </c>
      <c r="G490" s="3">
        <v>5</v>
      </c>
      <c r="H490" s="3">
        <v>0</v>
      </c>
      <c r="I490" s="3">
        <f>E490+G490+H490</f>
        <v>29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25</v>
      </c>
      <c r="K490" s="3">
        <f>I490-J490</f>
        <v>4</v>
      </c>
      <c r="L490" s="3" t="str">
        <f>IF(K490&lt;-5,"CRÍTICO",IF(K490&lt;0,"ATENÇÃO",IF(K490&lt;=5,"OPORTUNO","MUITO BOM")))</f>
        <v>OPORTUNO</v>
      </c>
      <c r="M490" s="3">
        <v>26</v>
      </c>
      <c r="N490" s="3">
        <v>99.01</v>
      </c>
      <c r="O490" s="12">
        <v>17.766497461928939</v>
      </c>
    </row>
    <row r="491" spans="1:15" hidden="1" x14ac:dyDescent="0.25">
      <c r="A491" s="5">
        <v>46154</v>
      </c>
      <c r="B491" s="6" t="s">
        <v>53</v>
      </c>
      <c r="C491" s="1" t="s">
        <v>48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f>E491+G491+H491</f>
        <v>0</v>
      </c>
      <c r="J491" s="3">
        <v>0</v>
      </c>
      <c r="K491" s="3">
        <f>I491-J491</f>
        <v>0</v>
      </c>
      <c r="L491" s="3" t="str">
        <f>IF(K491&lt;-5,"CRÍTICO",IF(K491&lt;0,"ATENÇÃO",IF(K491&lt;=5,"OPORTUNO","MUITO BOM")))</f>
        <v>OPORTUNO</v>
      </c>
      <c r="M491" s="3">
        <v>0</v>
      </c>
      <c r="N491" s="3">
        <v>100</v>
      </c>
      <c r="O491" s="12">
        <v>17.241379310344829</v>
      </c>
    </row>
    <row r="492" spans="1:15" hidden="1" x14ac:dyDescent="0.25">
      <c r="A492" s="5">
        <v>46154</v>
      </c>
      <c r="B492" s="6" t="s">
        <v>54</v>
      </c>
      <c r="C492" s="1" t="s">
        <v>48</v>
      </c>
      <c r="D492" s="3">
        <v>26</v>
      </c>
      <c r="E492" s="3">
        <v>24</v>
      </c>
      <c r="F492" s="3">
        <v>25.14</v>
      </c>
      <c r="G492" s="3">
        <v>0</v>
      </c>
      <c r="H492" s="3">
        <v>0</v>
      </c>
      <c r="I492" s="3">
        <f>E492+G492+H492</f>
        <v>24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25</v>
      </c>
      <c r="K492" s="3">
        <f>I492-J492</f>
        <v>-1</v>
      </c>
      <c r="L492" s="3" t="str">
        <f>IF(K492&lt;-5,"CRÍTICO",IF(K492&lt;0,"ATENÇÃO",IF(K492&lt;=5,"OPORTUNO","MUITO BOM")))</f>
        <v>ATENÇÃO</v>
      </c>
      <c r="M492" s="3">
        <v>18</v>
      </c>
      <c r="N492" s="3">
        <v>98.98</v>
      </c>
      <c r="O492" s="12">
        <v>19.35483870967742</v>
      </c>
    </row>
    <row r="493" spans="1:15" hidden="1" x14ac:dyDescent="0.25">
      <c r="A493" s="5">
        <v>46154</v>
      </c>
      <c r="B493" s="6" t="s">
        <v>55</v>
      </c>
      <c r="C493" s="1" t="s">
        <v>48</v>
      </c>
      <c r="D493" s="3">
        <v>29</v>
      </c>
      <c r="E493" s="3">
        <v>26</v>
      </c>
      <c r="F493" s="3">
        <v>15.07</v>
      </c>
      <c r="G493" s="3">
        <v>5</v>
      </c>
      <c r="H493" s="3">
        <v>0</v>
      </c>
      <c r="I493" s="3">
        <f>E493+G493+H493</f>
        <v>31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25</v>
      </c>
      <c r="K493" s="3">
        <f>I493-J493</f>
        <v>6</v>
      </c>
      <c r="L493" s="3" t="str">
        <f>IF(K493&lt;-5,"CRÍTICO",IF(K493&lt;0,"ATENÇÃO",IF(K493&lt;=5,"OPORTUNO","MUITO BOM")))</f>
        <v>MUITO BOM</v>
      </c>
      <c r="M493" s="3">
        <v>26</v>
      </c>
      <c r="N493" s="3">
        <v>98.94</v>
      </c>
      <c r="O493" s="12">
        <v>21.270718232044199</v>
      </c>
    </row>
    <row r="494" spans="1:15" hidden="1" x14ac:dyDescent="0.25">
      <c r="A494" s="5">
        <v>46154</v>
      </c>
      <c r="B494" s="6" t="s">
        <v>56</v>
      </c>
      <c r="C494" s="1" t="s">
        <v>48</v>
      </c>
      <c r="D494" s="3">
        <v>28</v>
      </c>
      <c r="E494" s="3">
        <v>26</v>
      </c>
      <c r="F494" s="3">
        <v>23.59</v>
      </c>
      <c r="G494" s="3">
        <v>2</v>
      </c>
      <c r="H494" s="3">
        <v>0</v>
      </c>
      <c r="I494" s="3">
        <f>E494+G494+H494</f>
        <v>28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25</v>
      </c>
      <c r="K494" s="3">
        <f>I494-J494</f>
        <v>3</v>
      </c>
      <c r="L494" s="3" t="str">
        <f>IF(K494&lt;-5,"CRÍTICO",IF(K494&lt;0,"ATENÇÃO",IF(K494&lt;=5,"OPORTUNO","MUITO BOM")))</f>
        <v>OPORTUNO</v>
      </c>
      <c r="M494" s="3">
        <v>22</v>
      </c>
      <c r="N494" s="3">
        <v>99</v>
      </c>
      <c r="O494" s="12">
        <v>22.010869565217391</v>
      </c>
    </row>
    <row r="495" spans="1:15" hidden="1" x14ac:dyDescent="0.25">
      <c r="A495" s="5">
        <v>46154</v>
      </c>
      <c r="B495" s="6" t="s">
        <v>57</v>
      </c>
      <c r="C495" s="1" t="s">
        <v>48</v>
      </c>
      <c r="D495" s="3">
        <v>25</v>
      </c>
      <c r="E495" s="3">
        <v>24</v>
      </c>
      <c r="F495" s="3">
        <v>25.44</v>
      </c>
      <c r="G495" s="3">
        <v>0</v>
      </c>
      <c r="H495" s="3">
        <v>0</v>
      </c>
      <c r="I495" s="3">
        <f>E495+G495+H495</f>
        <v>24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25</v>
      </c>
      <c r="K495" s="3">
        <f>I495-J495</f>
        <v>-1</v>
      </c>
      <c r="L495" s="3" t="str">
        <f>IF(K495&lt;-5,"CRÍTICO",IF(K495&lt;0,"ATENÇÃO",IF(K495&lt;=5,"OPORTUNO","MUITO BOM")))</f>
        <v>ATENÇÃO</v>
      </c>
      <c r="M495" s="3">
        <v>19</v>
      </c>
      <c r="N495" s="3">
        <v>100</v>
      </c>
      <c r="O495" s="12">
        <v>25</v>
      </c>
    </row>
    <row r="496" spans="1:15" hidden="1" x14ac:dyDescent="0.25">
      <c r="A496" s="5">
        <v>46154</v>
      </c>
      <c r="B496" s="6" t="s">
        <v>58</v>
      </c>
      <c r="C496" s="1" t="s">
        <v>48</v>
      </c>
      <c r="D496" s="3">
        <v>30</v>
      </c>
      <c r="E496" s="3">
        <v>26</v>
      </c>
      <c r="F496" s="3">
        <v>17.190000000000001</v>
      </c>
      <c r="G496" s="3">
        <v>0</v>
      </c>
      <c r="H496" s="3">
        <v>0</v>
      </c>
      <c r="I496" s="3">
        <f>E496+G496+H496</f>
        <v>26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25</v>
      </c>
      <c r="K496" s="3">
        <f>I496-J496</f>
        <v>1</v>
      </c>
      <c r="L496" s="3" t="str">
        <f>IF(K496&lt;-5,"CRÍTICO",IF(K496&lt;0,"ATENÇÃO",IF(K496&lt;=5,"OPORTUNO","MUITO BOM")))</f>
        <v>OPORTUNO</v>
      </c>
      <c r="M496" s="3">
        <v>22</v>
      </c>
      <c r="N496" s="3">
        <v>100</v>
      </c>
      <c r="O496" s="12">
        <v>20.183486238532112</v>
      </c>
    </row>
    <row r="497" spans="1:15" hidden="1" x14ac:dyDescent="0.25">
      <c r="A497" s="5">
        <v>46154</v>
      </c>
      <c r="B497" s="6" t="s">
        <v>59</v>
      </c>
      <c r="C497" s="1" t="s">
        <v>23</v>
      </c>
      <c r="D497" s="3">
        <v>31</v>
      </c>
      <c r="E497" s="3">
        <v>29</v>
      </c>
      <c r="F497" s="3">
        <v>17.38</v>
      </c>
      <c r="G497" s="3">
        <v>2</v>
      </c>
      <c r="H497" s="3">
        <v>0</v>
      </c>
      <c r="I497" s="3">
        <f>E497+G497+H497</f>
        <v>31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21</v>
      </c>
      <c r="K497" s="3">
        <f>I497-J497</f>
        <v>10</v>
      </c>
      <c r="L497" s="3" t="str">
        <f>IF(K497&lt;-5,"CRÍTICO",IF(K497&lt;0,"ATENÇÃO",IF(K497&lt;=5,"OPORTUNO","MUITO BOM")))</f>
        <v>MUITO BOM</v>
      </c>
      <c r="M497" s="3">
        <v>27</v>
      </c>
      <c r="N497" s="3">
        <v>96.25</v>
      </c>
      <c r="O497" s="12">
        <v>25.586353944562902</v>
      </c>
    </row>
    <row r="498" spans="1:15" hidden="1" x14ac:dyDescent="0.25">
      <c r="A498" s="5">
        <v>46154</v>
      </c>
      <c r="B498" s="6" t="s">
        <v>60</v>
      </c>
      <c r="C498" s="1" t="s">
        <v>23</v>
      </c>
      <c r="D498" s="3">
        <v>24</v>
      </c>
      <c r="E498" s="3">
        <v>23</v>
      </c>
      <c r="F498" s="3">
        <v>13.58</v>
      </c>
      <c r="G498" s="3">
        <v>5</v>
      </c>
      <c r="H498" s="3">
        <v>0</v>
      </c>
      <c r="I498" s="3">
        <f>E498+G498+H498</f>
        <v>28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21</v>
      </c>
      <c r="K498" s="3">
        <f>I498-J498</f>
        <v>7</v>
      </c>
      <c r="L498" s="3" t="str">
        <f>IF(K498&lt;-5,"CRÍTICO",IF(K498&lt;0,"ATENÇÃO",IF(K498&lt;=5,"OPORTUNO","MUITO BOM")))</f>
        <v>MUITO BOM</v>
      </c>
      <c r="M498" s="3">
        <v>25</v>
      </c>
      <c r="N498" s="3">
        <v>97.48</v>
      </c>
      <c r="O498" s="12">
        <v>22.99465240641711</v>
      </c>
    </row>
    <row r="499" spans="1:15" hidden="1" x14ac:dyDescent="0.25">
      <c r="A499" s="5">
        <v>46154</v>
      </c>
      <c r="B499" s="6" t="s">
        <v>61</v>
      </c>
      <c r="C499" s="1" t="s">
        <v>23</v>
      </c>
      <c r="D499" s="3">
        <v>28</v>
      </c>
      <c r="E499" s="3">
        <v>26</v>
      </c>
      <c r="F499" s="3">
        <v>11.47</v>
      </c>
      <c r="G499" s="3">
        <v>0</v>
      </c>
      <c r="H499" s="3">
        <v>0</v>
      </c>
      <c r="I499" s="3">
        <f>E499+G499+H499</f>
        <v>26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21</v>
      </c>
      <c r="K499" s="3">
        <f>I499-J499</f>
        <v>5</v>
      </c>
      <c r="L499" s="3" t="str">
        <f>IF(K499&lt;-5,"CRÍTICO",IF(K499&lt;0,"ATENÇÃO",IF(K499&lt;=5,"OPORTUNO","MUITO BOM")))</f>
        <v>OPORTUNO</v>
      </c>
      <c r="M499" s="3">
        <v>17</v>
      </c>
      <c r="N499" s="3">
        <v>100</v>
      </c>
      <c r="O499" s="12">
        <v>20.788530465949819</v>
      </c>
    </row>
    <row r="500" spans="1:15" hidden="1" x14ac:dyDescent="0.25">
      <c r="A500" s="5">
        <v>46154</v>
      </c>
      <c r="B500" s="6" t="s">
        <v>62</v>
      </c>
      <c r="C500" s="1" t="s">
        <v>23</v>
      </c>
      <c r="D500" s="3">
        <v>24</v>
      </c>
      <c r="E500" s="3">
        <v>20</v>
      </c>
      <c r="F500" s="3">
        <v>19.149999999999999</v>
      </c>
      <c r="G500" s="3">
        <v>4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21</v>
      </c>
      <c r="K500" s="3">
        <f>I500-J500</f>
        <v>3</v>
      </c>
      <c r="L500" s="3" t="str">
        <f>IF(K500&lt;-5,"CRÍTICO",IF(K500&lt;0,"ATENÇÃO",IF(K500&lt;=5,"OPORTUNO","MUITO BOM")))</f>
        <v>OPORTUNO</v>
      </c>
      <c r="M500" s="3">
        <v>22</v>
      </c>
      <c r="N500" s="3">
        <v>94.55</v>
      </c>
      <c r="O500" s="12">
        <v>23.450134770889491</v>
      </c>
    </row>
    <row r="501" spans="1:15" hidden="1" x14ac:dyDescent="0.25">
      <c r="A501" s="5">
        <v>46154</v>
      </c>
      <c r="B501" s="6" t="s">
        <v>63</v>
      </c>
      <c r="C501" s="1" t="s">
        <v>23</v>
      </c>
      <c r="D501" s="3">
        <v>27</v>
      </c>
      <c r="E501" s="3">
        <v>26</v>
      </c>
      <c r="F501" s="3">
        <v>17.2</v>
      </c>
      <c r="G501" s="3">
        <v>1</v>
      </c>
      <c r="H501" s="3">
        <v>0</v>
      </c>
      <c r="I501" s="3">
        <f>E501+G501+H501</f>
        <v>27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21</v>
      </c>
      <c r="K501" s="3">
        <f>I501-J501</f>
        <v>6</v>
      </c>
      <c r="L501" s="3" t="str">
        <f>IF(K501&lt;-5,"CRÍTICO",IF(K501&lt;0,"ATENÇÃO",IF(K501&lt;=5,"OPORTUNO","MUITO BOM")))</f>
        <v>MUITO BOM</v>
      </c>
      <c r="M501" s="3">
        <v>20</v>
      </c>
      <c r="N501" s="3">
        <v>98</v>
      </c>
      <c r="O501" s="12">
        <v>20.73490813648294</v>
      </c>
    </row>
    <row r="502" spans="1:15" hidden="1" x14ac:dyDescent="0.25">
      <c r="A502" s="5">
        <v>46154</v>
      </c>
      <c r="B502" s="6" t="s">
        <v>64</v>
      </c>
      <c r="C502" s="1" t="s">
        <v>23</v>
      </c>
      <c r="D502" s="3">
        <v>19</v>
      </c>
      <c r="E502" s="3">
        <v>19</v>
      </c>
      <c r="F502" s="3">
        <v>30.07</v>
      </c>
      <c r="G502" s="3">
        <v>0</v>
      </c>
      <c r="H502" s="3">
        <v>0</v>
      </c>
      <c r="I502" s="3">
        <f>E502+G502+H502</f>
        <v>19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21</v>
      </c>
      <c r="K502" s="3">
        <f>I502-J502</f>
        <v>-2</v>
      </c>
      <c r="L502" s="3" t="str">
        <f>IF(K502&lt;-5,"CRÍTICO",IF(K502&lt;0,"ATENÇÃO",IF(K502&lt;=5,"OPORTUNO","MUITO BOM")))</f>
        <v>ATENÇÃO</v>
      </c>
      <c r="M502" s="3">
        <v>19</v>
      </c>
      <c r="N502" s="3">
        <v>100</v>
      </c>
      <c r="O502" s="12">
        <v>18</v>
      </c>
    </row>
    <row r="503" spans="1:15" hidden="1" x14ac:dyDescent="0.25">
      <c r="A503" s="10">
        <v>46044</v>
      </c>
      <c r="B503" t="s">
        <v>22</v>
      </c>
      <c r="C503" s="1" t="s">
        <v>23</v>
      </c>
      <c r="D503" s="3">
        <v>23</v>
      </c>
      <c r="E503" s="3">
        <v>22</v>
      </c>
      <c r="F503" s="3">
        <v>23.38</v>
      </c>
      <c r="G503" s="3">
        <v>0</v>
      </c>
      <c r="H503" s="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 s="3">
        <v>21</v>
      </c>
      <c r="N503" s="3">
        <v>98.91</v>
      </c>
      <c r="O503" s="12">
        <v>31.367292225201069</v>
      </c>
    </row>
    <row r="504" spans="1:15" hidden="1" x14ac:dyDescent="0.25">
      <c r="A504" s="10">
        <v>46045</v>
      </c>
      <c r="B504" t="s">
        <v>22</v>
      </c>
      <c r="C504" s="1" t="s">
        <v>23</v>
      </c>
      <c r="D504" s="3">
        <v>17</v>
      </c>
      <c r="E504" s="3">
        <v>17</v>
      </c>
      <c r="F504" s="3">
        <v>17</v>
      </c>
      <c r="G504" s="3">
        <v>0</v>
      </c>
      <c r="H504" s="3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 s="3">
        <v>16</v>
      </c>
      <c r="N504" s="3">
        <v>98.91</v>
      </c>
      <c r="O504" s="12">
        <v>31.367292225201069</v>
      </c>
    </row>
    <row r="505" spans="1:15" hidden="1" x14ac:dyDescent="0.25">
      <c r="A505" s="5">
        <v>46154</v>
      </c>
      <c r="B505" s="6" t="s">
        <v>22</v>
      </c>
      <c r="C505" s="1" t="s">
        <v>23</v>
      </c>
      <c r="D505" s="3">
        <v>17</v>
      </c>
      <c r="E505" s="3">
        <v>17</v>
      </c>
      <c r="F505" s="3">
        <v>17.170000000000002</v>
      </c>
      <c r="H505" s="3">
        <v>7</v>
      </c>
      <c r="I505" s="3">
        <f>E505+G505+H505</f>
        <v>24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21</v>
      </c>
      <c r="K505" s="3">
        <f>I505-J505</f>
        <v>3</v>
      </c>
      <c r="L505" s="3" t="str">
        <f>IF(K505&lt;-5,"CRÍTICO",IF(K505&lt;0,"ATENÇÃO",IF(K505&lt;=5,"OPORTUNO","MUITO BOM")))</f>
        <v>OPORTUNO</v>
      </c>
      <c r="M505" s="3">
        <v>24</v>
      </c>
      <c r="N505" s="3">
        <v>99.06</v>
      </c>
      <c r="O505" s="12">
        <v>19.417475728155338</v>
      </c>
    </row>
    <row r="506" spans="1:15" x14ac:dyDescent="0.25">
      <c r="A506" s="7">
        <v>46161</v>
      </c>
      <c r="B506" s="8" t="s">
        <v>25</v>
      </c>
      <c r="C506" s="1" t="s">
        <v>26</v>
      </c>
      <c r="D506" s="3">
        <v>20</v>
      </c>
      <c r="E506" s="3">
        <v>19</v>
      </c>
      <c r="F506" s="3">
        <v>28.41</v>
      </c>
      <c r="G506" s="3">
        <v>2</v>
      </c>
      <c r="H506" s="3">
        <v>0</v>
      </c>
      <c r="I506" s="3">
        <f>E506+G506+H506</f>
        <v>21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17</v>
      </c>
      <c r="K506" s="3">
        <f>I506-J506</f>
        <v>4</v>
      </c>
      <c r="L506" s="3" t="str">
        <f>IF(K506&lt;-5,"CRÍTICO",IF(K506&lt;0,"ATENÇÃO",IF(K506&lt;=5,"OPORTUNO","MUITO BOM")))</f>
        <v>OPORTUNO</v>
      </c>
      <c r="M506" s="3">
        <v>20</v>
      </c>
      <c r="N506" s="3">
        <v>97.62</v>
      </c>
      <c r="O506" s="12">
        <v>17.82477341389728</v>
      </c>
    </row>
    <row r="507" spans="1:15" x14ac:dyDescent="0.25">
      <c r="A507" s="7">
        <v>46162</v>
      </c>
      <c r="B507" s="8" t="s">
        <v>25</v>
      </c>
      <c r="C507" s="1" t="s">
        <v>26</v>
      </c>
      <c r="D507" s="3">
        <v>21</v>
      </c>
      <c r="E507" s="3">
        <v>20</v>
      </c>
      <c r="F507" s="3">
        <v>23.27</v>
      </c>
      <c r="G507" s="3">
        <v>0</v>
      </c>
      <c r="H507" s="3">
        <v>0</v>
      </c>
      <c r="I507" s="3">
        <f>E507+G507+H507</f>
        <v>20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15</v>
      </c>
      <c r="K507" s="3">
        <f>I507-J507</f>
        <v>5</v>
      </c>
      <c r="L507" s="3" t="str">
        <f>IF(K507&lt;-5,"CRÍTICO",IF(K507&lt;0,"ATENÇÃO",IF(K507&lt;=5,"OPORTUNO","MUITO BOM")))</f>
        <v>OPORTUNO</v>
      </c>
      <c r="M507" s="3">
        <v>20</v>
      </c>
      <c r="N507" s="3">
        <v>97.62</v>
      </c>
      <c r="O507" s="12">
        <v>17.82477341389728</v>
      </c>
    </row>
    <row r="508" spans="1:15" hidden="1" x14ac:dyDescent="0.25">
      <c r="A508" s="5">
        <v>46154</v>
      </c>
      <c r="B508" s="6" t="s">
        <v>43</v>
      </c>
      <c r="C508" s="1" t="s">
        <v>32</v>
      </c>
      <c r="D508" s="3">
        <v>0</v>
      </c>
      <c r="E508" s="3">
        <v>0</v>
      </c>
      <c r="F508" s="3">
        <v>0</v>
      </c>
      <c r="H508" s="3">
        <v>51</v>
      </c>
      <c r="I508" s="3">
        <f>E508+G508+H508</f>
        <v>51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32</v>
      </c>
      <c r="K508" s="3">
        <f>I508-J508</f>
        <v>19</v>
      </c>
      <c r="L508" s="3" t="str">
        <f>IF(K508&lt;-5,"CRÍTICO",IF(K508&lt;0,"ATENÇÃO",IF(K508&lt;=5,"OPORTUNO","MUITO BOM")))</f>
        <v>MUITO BOM</v>
      </c>
      <c r="M508" s="3">
        <v>25</v>
      </c>
      <c r="N508" s="3">
        <v>98.39</v>
      </c>
      <c r="O508" s="12">
        <v>8.7999999999999989</v>
      </c>
    </row>
    <row r="509" spans="1:15" x14ac:dyDescent="0.25">
      <c r="A509" s="5">
        <v>46163</v>
      </c>
      <c r="B509" s="6" t="s">
        <v>25</v>
      </c>
      <c r="C509" s="1" t="s">
        <v>26</v>
      </c>
      <c r="D509" s="3">
        <v>15</v>
      </c>
      <c r="E509" s="3">
        <v>13</v>
      </c>
      <c r="F509" s="3">
        <v>20.57</v>
      </c>
      <c r="G509" s="3">
        <v>1</v>
      </c>
      <c r="H509" s="3">
        <v>0</v>
      </c>
      <c r="I509" s="3">
        <f>E509+G509+H509</f>
        <v>14</v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>13</v>
      </c>
      <c r="K509" s="3">
        <f>I509-J509</f>
        <v>1</v>
      </c>
      <c r="L509" s="3" t="str">
        <f>IF(K509&lt;-5,"CRÍTICO",IF(K509&lt;0,"ATENÇÃO",IF(K509&lt;=5,"OPORTUNO","MUITO BOM")))</f>
        <v>OPORTUNO</v>
      </c>
      <c r="M509" s="3">
        <v>15</v>
      </c>
      <c r="N509" s="3">
        <v>97.62</v>
      </c>
      <c r="O509" s="12">
        <v>17.82477341389728</v>
      </c>
    </row>
    <row r="510" spans="1:15" x14ac:dyDescent="0.25">
      <c r="A510" s="9">
        <v>46164</v>
      </c>
      <c r="B510" s="6" t="s">
        <v>25</v>
      </c>
      <c r="C510" s="1" t="s">
        <v>26</v>
      </c>
      <c r="D510" s="3">
        <v>19</v>
      </c>
      <c r="E510" s="3">
        <v>19</v>
      </c>
      <c r="F510" s="3">
        <v>21.43</v>
      </c>
      <c r="G510" s="3">
        <v>0</v>
      </c>
      <c r="H510" s="3">
        <v>0</v>
      </c>
      <c r="I510" s="3">
        <f>E510+G510+H510</f>
        <v>19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11</v>
      </c>
      <c r="K510" s="3">
        <f>I510-J510</f>
        <v>8</v>
      </c>
      <c r="L510" s="3" t="str">
        <f>IF(K510&lt;-5,"CRÍTICO",IF(K510&lt;0,"ATENÇÃO",IF(K510&lt;=5,"OPORTUNO","MUITO BOM")))</f>
        <v>MUITO BOM</v>
      </c>
      <c r="M510" s="3">
        <v>20</v>
      </c>
      <c r="N510" s="3">
        <v>97.62</v>
      </c>
      <c r="O510" s="12">
        <v>17.82477341389728</v>
      </c>
    </row>
    <row r="511" spans="1:15" x14ac:dyDescent="0.25">
      <c r="A511" s="10">
        <v>46167</v>
      </c>
      <c r="B511" t="s">
        <v>25</v>
      </c>
      <c r="C511" s="1" t="s">
        <v>26</v>
      </c>
      <c r="D511" s="3">
        <v>14</v>
      </c>
      <c r="E511" s="3">
        <v>13</v>
      </c>
      <c r="F511" s="3">
        <v>14.05</v>
      </c>
      <c r="G511" s="3">
        <v>0</v>
      </c>
      <c r="H511" s="3">
        <v>0</v>
      </c>
      <c r="I511" s="3">
        <f>E511+G511+H511</f>
        <v>13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13</v>
      </c>
      <c r="K511" s="3">
        <f>I511-J511</f>
        <v>0</v>
      </c>
      <c r="L511" s="3" t="str">
        <f>IF(K511&lt;-5,"CRÍTICO",IF(K511&lt;0,"ATENÇÃO",IF(K511&lt;=5,"OPORTUNO","MUITO BOM")))</f>
        <v>OPORTUNO</v>
      </c>
      <c r="M511" s="3">
        <v>13</v>
      </c>
      <c r="N511" s="3">
        <v>97.62</v>
      </c>
      <c r="O511" s="12">
        <v>17.82477341389728</v>
      </c>
    </row>
    <row r="512" spans="1:15" x14ac:dyDescent="0.25">
      <c r="A512" s="10">
        <v>46168</v>
      </c>
      <c r="B512" t="s">
        <v>25</v>
      </c>
      <c r="C512" s="1" t="s">
        <v>26</v>
      </c>
      <c r="D512" s="3">
        <v>13</v>
      </c>
      <c r="E512" s="3">
        <v>12</v>
      </c>
      <c r="F512" s="3">
        <v>14.16</v>
      </c>
      <c r="G512" s="3">
        <v>2</v>
      </c>
      <c r="H512" s="3">
        <v>0</v>
      </c>
      <c r="I512" s="3">
        <f>E512+G512+H512</f>
        <v>14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16</v>
      </c>
      <c r="K512" s="3">
        <f>I512-J512</f>
        <v>-2</v>
      </c>
      <c r="L512" s="3" t="str">
        <f>IF(K512&lt;-5,"CRÍTICO",IF(K512&lt;0,"ATENÇÃO",IF(K512&lt;=5,"OPORTUNO","MUITO BOM")))</f>
        <v>ATENÇÃO</v>
      </c>
      <c r="M512" s="3">
        <v>10</v>
      </c>
      <c r="N512" s="3">
        <v>97.62</v>
      </c>
      <c r="O512" s="12">
        <v>19.637462235649551</v>
      </c>
    </row>
    <row r="513" spans="1:15" x14ac:dyDescent="0.25">
      <c r="A513" s="10">
        <v>46169</v>
      </c>
      <c r="B513" t="s">
        <v>25</v>
      </c>
      <c r="C513" s="1" t="s">
        <v>26</v>
      </c>
      <c r="D513" s="3">
        <v>17</v>
      </c>
      <c r="E513" s="3">
        <v>17</v>
      </c>
      <c r="F513" s="3">
        <v>22.23</v>
      </c>
      <c r="G513" s="3">
        <v>0</v>
      </c>
      <c r="H513" s="3">
        <v>0</v>
      </c>
      <c r="I513" s="3">
        <f>E513+G513+H513</f>
        <v>17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16</v>
      </c>
      <c r="K513" s="3">
        <f>I513-J513</f>
        <v>1</v>
      </c>
      <c r="L513" s="3" t="str">
        <f>IF(K513&lt;-5,"CRÍTICO",IF(K513&lt;0,"ATENÇÃO",IF(K513&lt;=5,"OPORTUNO","MUITO BOM")))</f>
        <v>OPORTUNO</v>
      </c>
      <c r="M513" s="3">
        <v>17</v>
      </c>
      <c r="N513" s="3">
        <v>97.83</v>
      </c>
      <c r="O513" s="12">
        <v>19.25287356321839</v>
      </c>
    </row>
    <row r="514" spans="1:15" x14ac:dyDescent="0.25">
      <c r="A514" s="10">
        <v>46170</v>
      </c>
      <c r="B514" t="s">
        <v>25</v>
      </c>
      <c r="C514" s="1" t="s">
        <v>26</v>
      </c>
      <c r="D514" s="3">
        <v>16</v>
      </c>
      <c r="E514" s="3">
        <v>16</v>
      </c>
      <c r="F514" s="3">
        <v>27.39</v>
      </c>
      <c r="G514" s="3">
        <v>0</v>
      </c>
      <c r="H514" s="3">
        <v>0</v>
      </c>
      <c r="I514" s="3">
        <f>E514+G514+H514</f>
        <v>16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15</v>
      </c>
      <c r="K514" s="3">
        <f>I514-J514</f>
        <v>1</v>
      </c>
      <c r="L514" s="3" t="str">
        <f>IF(K514&lt;-5,"CRÍTICO",IF(K514&lt;0,"ATENÇÃO",IF(K514&lt;=5,"OPORTUNO","MUITO BOM")))</f>
        <v>OPORTUNO</v>
      </c>
      <c r="M514" s="3">
        <v>16</v>
      </c>
      <c r="N514" s="3">
        <v>97.87</v>
      </c>
      <c r="O514" s="12">
        <v>19.008264462809919</v>
      </c>
    </row>
    <row r="515" spans="1:15" x14ac:dyDescent="0.25">
      <c r="A515" s="10">
        <v>46171</v>
      </c>
      <c r="B515" t="s">
        <v>25</v>
      </c>
      <c r="C515" s="1" t="s">
        <v>26</v>
      </c>
      <c r="D515" s="3">
        <v>1</v>
      </c>
      <c r="E515" s="3">
        <v>1</v>
      </c>
      <c r="F515" s="3">
        <v>62.07</v>
      </c>
      <c r="G515" s="3">
        <v>0</v>
      </c>
      <c r="H515" s="3">
        <v>0</v>
      </c>
      <c r="I515" s="3">
        <f>E515+G515+H515</f>
        <v>1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16</v>
      </c>
      <c r="K515" s="3">
        <f>I515-J515</f>
        <v>-15</v>
      </c>
      <c r="L515" s="3" t="str">
        <f>IF(K515&lt;-5,"CRÍTICO",IF(K515&lt;0,"ATENÇÃO",IF(K515&lt;=5,"OPORTUNO","MUITO BOM")))</f>
        <v>CRÍTICO</v>
      </c>
      <c r="M515" s="3">
        <v>0</v>
      </c>
      <c r="N515" s="3">
        <v>97.87</v>
      </c>
      <c r="O515" s="12">
        <v>19.008264462809919</v>
      </c>
    </row>
    <row r="516" spans="1:15" x14ac:dyDescent="0.25">
      <c r="A516" s="10">
        <v>46143</v>
      </c>
      <c r="B516" t="s">
        <v>27</v>
      </c>
      <c r="C516" s="1" t="s">
        <v>26</v>
      </c>
      <c r="D516" s="3">
        <v>0</v>
      </c>
      <c r="E516" s="3">
        <v>0</v>
      </c>
      <c r="F516" s="3">
        <v>0</v>
      </c>
      <c r="G516" s="3">
        <v>0</v>
      </c>
      <c r="H516" s="3">
        <v>0</v>
      </c>
      <c r="I516" s="3">
        <f>E516+G516+H516</f>
        <v>0</v>
      </c>
      <c r="J516" s="3">
        <v>0</v>
      </c>
      <c r="K516" s="3">
        <f>I516-J516</f>
        <v>0</v>
      </c>
      <c r="L516" s="3" t="str">
        <f>IF(K516&lt;-5,"CRÍTICO",IF(K516&lt;0,"ATENÇÃO",IF(K516&lt;=5,"OPORTUNO","MUITO BOM")))</f>
        <v>OPORTUNO</v>
      </c>
      <c r="M516" s="3">
        <v>0</v>
      </c>
      <c r="N516" s="3">
        <v>100</v>
      </c>
      <c r="O516" s="12">
        <v>19.072164948453612</v>
      </c>
    </row>
    <row r="517" spans="1:15" x14ac:dyDescent="0.25">
      <c r="A517" s="5">
        <v>46146</v>
      </c>
      <c r="B517" s="6" t="s">
        <v>27</v>
      </c>
      <c r="C517" s="1" t="s">
        <v>26</v>
      </c>
      <c r="D517" s="3">
        <v>12</v>
      </c>
      <c r="E517" s="3">
        <v>11</v>
      </c>
      <c r="F517" s="3">
        <v>25.03</v>
      </c>
      <c r="G517" s="3">
        <v>4</v>
      </c>
      <c r="H517" s="3">
        <v>0</v>
      </c>
      <c r="I517" s="3">
        <f>E517+G517+H517</f>
        <v>15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20</v>
      </c>
      <c r="K517" s="3">
        <f>I517-J517</f>
        <v>-5</v>
      </c>
      <c r="L517" s="3" t="str">
        <f>IF(K517&lt;-5,"CRÍTICO",IF(K517&lt;0,"ATENÇÃO",IF(K517&lt;=5,"OPORTUNO","MUITO BOM")))</f>
        <v>ATENÇÃO</v>
      </c>
      <c r="M517" s="3">
        <v>15</v>
      </c>
      <c r="N517" s="3">
        <v>100</v>
      </c>
      <c r="O517" s="12">
        <v>19.072164948453612</v>
      </c>
    </row>
    <row r="518" spans="1:15" hidden="1" x14ac:dyDescent="0.25">
      <c r="A518" s="5">
        <v>46155</v>
      </c>
      <c r="B518" s="6" t="s">
        <v>31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f>E518+G518+H518</f>
        <v>0</v>
      </c>
      <c r="J518" s="3">
        <v>0</v>
      </c>
      <c r="K518" s="3">
        <f>I518-J518</f>
        <v>0</v>
      </c>
      <c r="L518" s="3" t="str">
        <f>IF(K518&lt;-5,"CRÍTICO",IF(K518&lt;0,"ATENÇÃO",IF(K518&lt;=5,"OPORTUNO","MUITO BOM")))</f>
        <v>OPORTUNO</v>
      </c>
      <c r="M518" s="3">
        <v>0</v>
      </c>
      <c r="N518" s="3">
        <v>100</v>
      </c>
      <c r="O518" s="12">
        <v>0</v>
      </c>
    </row>
    <row r="519" spans="1:15" hidden="1" x14ac:dyDescent="0.25">
      <c r="A519" s="5">
        <v>46155</v>
      </c>
      <c r="B519" s="6" t="s">
        <v>33</v>
      </c>
      <c r="C519" s="1" t="s">
        <v>32</v>
      </c>
      <c r="D519" s="3">
        <v>26</v>
      </c>
      <c r="E519" s="3">
        <v>23</v>
      </c>
      <c r="F519" s="3">
        <v>18.239999999999998</v>
      </c>
      <c r="G519" s="3">
        <v>0</v>
      </c>
      <c r="H519" s="3">
        <v>0</v>
      </c>
      <c r="I519" s="3">
        <f>E519+G519+H519</f>
        <v>23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21</v>
      </c>
      <c r="N519" s="3">
        <v>96.94</v>
      </c>
      <c r="O519" s="12">
        <v>19.613259668508292</v>
      </c>
    </row>
    <row r="520" spans="1:15" hidden="1" x14ac:dyDescent="0.25">
      <c r="A520" s="5">
        <v>46155</v>
      </c>
      <c r="B520" s="6" t="s">
        <v>34</v>
      </c>
      <c r="C520" s="1" t="s">
        <v>32</v>
      </c>
      <c r="D520" s="3">
        <v>34</v>
      </c>
      <c r="E520" s="3">
        <v>30</v>
      </c>
      <c r="F520" s="3">
        <v>12.09</v>
      </c>
      <c r="G520" s="3">
        <v>0</v>
      </c>
      <c r="H520" s="3">
        <v>0</v>
      </c>
      <c r="I520" s="3">
        <f>E520+G520+H520</f>
        <v>30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29</v>
      </c>
      <c r="K520" s="3">
        <f>I520-J520</f>
        <v>1</v>
      </c>
      <c r="L520" s="3" t="str">
        <f>IF(K520&lt;-5,"CRÍTICO",IF(K520&lt;0,"ATENÇÃO",IF(K520&lt;=5,"OPORTUNO","MUITO BOM")))</f>
        <v>OPORTUNO</v>
      </c>
      <c r="M520" s="3">
        <v>31</v>
      </c>
      <c r="N520" s="3">
        <v>92.81</v>
      </c>
      <c r="O520" s="12">
        <v>25.477707006369432</v>
      </c>
    </row>
    <row r="521" spans="1:15" hidden="1" x14ac:dyDescent="0.25">
      <c r="A521" s="5">
        <v>46155</v>
      </c>
      <c r="B521" s="6" t="s">
        <v>35</v>
      </c>
      <c r="C521" s="1" t="s">
        <v>32</v>
      </c>
      <c r="D521" s="3">
        <v>23</v>
      </c>
      <c r="E521" s="3">
        <v>23</v>
      </c>
      <c r="F521" s="3">
        <v>25.33</v>
      </c>
      <c r="G521" s="3">
        <v>0</v>
      </c>
      <c r="H521" s="3">
        <v>0</v>
      </c>
      <c r="I521" s="3">
        <f>E521+G521+H521</f>
        <v>23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29</v>
      </c>
      <c r="K521" s="3">
        <f>I521-J521</f>
        <v>-6</v>
      </c>
      <c r="L521" s="3" t="str">
        <f>IF(K521&lt;-5,"CRÍTICO",IF(K521&lt;0,"ATENÇÃO",IF(K521&lt;=5,"OPORTUNO","MUITO BOM")))</f>
        <v>CRÍTICO</v>
      </c>
      <c r="M521" s="3">
        <v>21</v>
      </c>
      <c r="N521" s="3">
        <v>99.19</v>
      </c>
      <c r="O521" s="12">
        <v>28.404669260700391</v>
      </c>
    </row>
    <row r="522" spans="1:15" hidden="1" x14ac:dyDescent="0.25">
      <c r="A522" s="10">
        <v>46093</v>
      </c>
      <c r="B522" t="s">
        <v>43</v>
      </c>
      <c r="C522" s="1" t="s">
        <v>32</v>
      </c>
      <c r="D522" s="3">
        <v>25</v>
      </c>
      <c r="E522" s="3">
        <v>25</v>
      </c>
      <c r="F522" s="3">
        <v>20.52</v>
      </c>
      <c r="G522" s="3">
        <v>0</v>
      </c>
      <c r="H522" s="3">
        <v>0</v>
      </c>
      <c r="I522" s="3">
        <f>E522+G522+H522</f>
        <v>25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22</v>
      </c>
      <c r="K522" s="3">
        <f>I522-J522</f>
        <v>3</v>
      </c>
      <c r="L522" s="3" t="str">
        <f>IF(K522&lt;-5,"CRÍTICO",IF(K522&lt;0,"ATENÇÃO",IF(K522&lt;=5,"OPORTUNO","MUITO BOM")))</f>
        <v>OPORTUNO</v>
      </c>
      <c r="M522" s="3">
        <v>22</v>
      </c>
      <c r="N522" s="3">
        <v>98.86</v>
      </c>
      <c r="O522" s="12">
        <v>28.959276018099551</v>
      </c>
    </row>
    <row r="523" spans="1:15" hidden="1" x14ac:dyDescent="0.25">
      <c r="A523" s="5">
        <v>46155</v>
      </c>
      <c r="B523" s="6" t="s">
        <v>36</v>
      </c>
      <c r="C523" s="1" t="s">
        <v>32</v>
      </c>
      <c r="D523" s="3">
        <v>0</v>
      </c>
      <c r="E523" s="3">
        <v>0</v>
      </c>
      <c r="F523" s="3">
        <v>0</v>
      </c>
      <c r="G523" s="3">
        <v>0</v>
      </c>
      <c r="H523" s="3">
        <v>0</v>
      </c>
      <c r="I523" s="3">
        <f>E523+G523+H523</f>
        <v>0</v>
      </c>
      <c r="J523" s="3">
        <v>0</v>
      </c>
      <c r="K523" s="3">
        <f>I523-J523</f>
        <v>0</v>
      </c>
      <c r="L523" s="3" t="str">
        <f>IF(K523&lt;-5,"CRÍTICO",IF(K523&lt;0,"ATENÇÃO",IF(K523&lt;=5,"OPORTUNO","MUITO BOM")))</f>
        <v>OPORTUNO</v>
      </c>
      <c r="M523" s="3">
        <v>0</v>
      </c>
      <c r="N523" s="3">
        <v>100</v>
      </c>
      <c r="O523" s="12">
        <v>13.51351351351351</v>
      </c>
    </row>
    <row r="524" spans="1:15" hidden="1" x14ac:dyDescent="0.25">
      <c r="A524" s="5">
        <v>46155</v>
      </c>
      <c r="B524" s="6" t="s">
        <v>37</v>
      </c>
      <c r="C524" s="1" t="s">
        <v>32</v>
      </c>
      <c r="D524" s="3">
        <v>46</v>
      </c>
      <c r="E524" s="3">
        <v>40</v>
      </c>
      <c r="F524" s="3">
        <v>16.420000000000002</v>
      </c>
      <c r="G524" s="3">
        <v>3</v>
      </c>
      <c r="H524" s="3">
        <v>0</v>
      </c>
      <c r="I524" s="3">
        <f>E524+G524+H524</f>
        <v>43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29</v>
      </c>
      <c r="K524" s="3">
        <f>I524-J524</f>
        <v>14</v>
      </c>
      <c r="L524" s="3" t="str">
        <f>IF(K524&lt;-5,"CRÍTICO",IF(K524&lt;0,"ATENÇÃO",IF(K524&lt;=5,"OPORTUNO","MUITO BOM")))</f>
        <v>MUITO BOM</v>
      </c>
      <c r="M524" s="3">
        <v>37</v>
      </c>
      <c r="N524" s="3">
        <v>99</v>
      </c>
      <c r="O524" s="12">
        <v>22.27414330218069</v>
      </c>
    </row>
    <row r="525" spans="1:15" hidden="1" x14ac:dyDescent="0.25">
      <c r="A525" s="5">
        <v>46155</v>
      </c>
      <c r="B525" s="6" t="s">
        <v>38</v>
      </c>
      <c r="C525" s="1" t="s">
        <v>32</v>
      </c>
      <c r="D525" s="3">
        <v>30</v>
      </c>
      <c r="E525" s="3">
        <v>29</v>
      </c>
      <c r="F525" s="3">
        <v>12.34</v>
      </c>
      <c r="G525" s="3">
        <v>5</v>
      </c>
      <c r="H525" s="3">
        <v>0</v>
      </c>
      <c r="I525" s="3">
        <f>E525+G525+H525</f>
        <v>34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29</v>
      </c>
      <c r="K525" s="3">
        <f>I525-J525</f>
        <v>5</v>
      </c>
      <c r="L525" s="3" t="str">
        <f>IF(K525&lt;-5,"CRÍTICO",IF(K525&lt;0,"ATENÇÃO",IF(K525&lt;=5,"OPORTUNO","MUITO BOM")))</f>
        <v>OPORTUNO</v>
      </c>
      <c r="M525" s="3">
        <v>31</v>
      </c>
      <c r="N525" s="3">
        <v>97.04</v>
      </c>
      <c r="O525" s="12">
        <v>29.828850855745721</v>
      </c>
    </row>
    <row r="526" spans="1:15" hidden="1" x14ac:dyDescent="0.25">
      <c r="A526" s="5">
        <v>46155</v>
      </c>
      <c r="B526" s="6" t="s">
        <v>39</v>
      </c>
      <c r="C526" s="1" t="s">
        <v>32</v>
      </c>
      <c r="D526" s="3">
        <v>0</v>
      </c>
      <c r="E526" s="3">
        <v>0</v>
      </c>
      <c r="F526" s="3">
        <v>0</v>
      </c>
      <c r="G526" s="3">
        <v>0</v>
      </c>
      <c r="H526" s="3">
        <v>0</v>
      </c>
      <c r="I526" s="3">
        <f>E526+G526+H526</f>
        <v>0</v>
      </c>
      <c r="J526" s="3">
        <v>0</v>
      </c>
      <c r="K526" s="3">
        <f>I526-J526</f>
        <v>0</v>
      </c>
      <c r="L526" s="3" t="str">
        <f>IF(K526&lt;-5,"CRÍTICO",IF(K526&lt;0,"ATENÇÃO",IF(K526&lt;=5,"OPORTUNO","MUITO BOM")))</f>
        <v>OPORTUNO</v>
      </c>
      <c r="M526" s="3">
        <v>0</v>
      </c>
      <c r="N526" s="3">
        <v>0</v>
      </c>
      <c r="O526" s="12">
        <v>0</v>
      </c>
    </row>
    <row r="527" spans="1:15" hidden="1" x14ac:dyDescent="0.25">
      <c r="A527" s="5">
        <v>46155</v>
      </c>
      <c r="B527" s="6" t="s">
        <v>40</v>
      </c>
      <c r="C527" s="1" t="s">
        <v>32</v>
      </c>
      <c r="D527" s="3">
        <v>27</v>
      </c>
      <c r="E527" s="3">
        <v>26</v>
      </c>
      <c r="F527" s="3">
        <v>15.44</v>
      </c>
      <c r="G527" s="3">
        <v>0</v>
      </c>
      <c r="H527" s="3">
        <v>0</v>
      </c>
      <c r="I527" s="3">
        <f>E527+G527+H527</f>
        <v>26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29</v>
      </c>
      <c r="K527" s="3">
        <f>I527-J527</f>
        <v>-3</v>
      </c>
      <c r="L527" s="3" t="str">
        <f>IF(K527&lt;-5,"CRÍTICO",IF(K527&lt;0,"ATENÇÃO",IF(K527&lt;=5,"OPORTUNO","MUITO BOM")))</f>
        <v>ATENÇÃO</v>
      </c>
      <c r="M527" s="3">
        <v>20</v>
      </c>
      <c r="N527" s="3">
        <v>96.84</v>
      </c>
      <c r="O527" s="12">
        <v>16.338028169014081</v>
      </c>
    </row>
    <row r="528" spans="1:15" hidden="1" x14ac:dyDescent="0.25">
      <c r="A528" s="5">
        <v>46155</v>
      </c>
      <c r="B528" s="6" t="s">
        <v>41</v>
      </c>
      <c r="C528" s="1" t="s">
        <v>32</v>
      </c>
      <c r="D528" s="3">
        <v>25</v>
      </c>
      <c r="E528" s="3">
        <v>24</v>
      </c>
      <c r="F528" s="3">
        <v>20</v>
      </c>
      <c r="G528" s="3">
        <v>1</v>
      </c>
      <c r="H528" s="3">
        <v>0</v>
      </c>
      <c r="I528" s="3">
        <f>E528+G528+H528</f>
        <v>25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>I528-J528</f>
        <v>-4</v>
      </c>
      <c r="L528" s="3" t="str">
        <f>IF(K528&lt;-5,"CRÍTICO",IF(K528&lt;0,"ATENÇÃO",IF(K528&lt;=5,"OPORTUNO","MUITO BOM")))</f>
        <v>ATENÇÃO</v>
      </c>
      <c r="M528" s="3">
        <v>26</v>
      </c>
      <c r="N528" s="3">
        <v>100</v>
      </c>
      <c r="O528" s="12">
        <v>18.244803695150122</v>
      </c>
    </row>
    <row r="529" spans="1:15" hidden="1" x14ac:dyDescent="0.25">
      <c r="A529" s="5">
        <v>46155</v>
      </c>
      <c r="B529" s="6" t="s">
        <v>42</v>
      </c>
      <c r="C529" s="1" t="s">
        <v>32</v>
      </c>
      <c r="D529" s="3">
        <v>0</v>
      </c>
      <c r="E529" s="3">
        <v>0</v>
      </c>
      <c r="F529" s="3">
        <v>0</v>
      </c>
      <c r="G529" s="3">
        <v>0</v>
      </c>
      <c r="H529" s="3">
        <v>0</v>
      </c>
      <c r="I529" s="3">
        <f>E529+G529+H529</f>
        <v>0</v>
      </c>
      <c r="J529" s="3">
        <v>0</v>
      </c>
      <c r="K529" s="3">
        <f>I529-J529</f>
        <v>0</v>
      </c>
      <c r="L529" s="3" t="str">
        <f>IF(K529&lt;-5,"CRÍTICO",IF(K529&lt;0,"ATENÇÃO",IF(K529&lt;=5,"OPORTUNO","MUITO BOM")))</f>
        <v>OPORTUNO</v>
      </c>
      <c r="M529" s="3">
        <v>0</v>
      </c>
      <c r="N529" s="3">
        <v>100</v>
      </c>
      <c r="O529" s="12">
        <v>15.789473684210529</v>
      </c>
    </row>
    <row r="530" spans="1:15" hidden="1" x14ac:dyDescent="0.25">
      <c r="A530" s="5">
        <v>46155</v>
      </c>
      <c r="B530" s="6" t="s">
        <v>44</v>
      </c>
      <c r="C530" s="1" t="s">
        <v>32</v>
      </c>
      <c r="D530" s="3">
        <v>36</v>
      </c>
      <c r="E530" s="3">
        <v>30</v>
      </c>
      <c r="F530" s="3">
        <v>10.47</v>
      </c>
      <c r="G530" s="3">
        <v>4</v>
      </c>
      <c r="H530" s="3">
        <v>0</v>
      </c>
      <c r="I530" s="3">
        <f>E530+G530+H530</f>
        <v>34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29</v>
      </c>
      <c r="K530" s="3">
        <f>I530-J530</f>
        <v>5</v>
      </c>
      <c r="L530" s="3" t="str">
        <f>IF(K530&lt;-5,"CRÍTICO",IF(K530&lt;0,"ATENÇÃO",IF(K530&lt;=5,"OPORTUNO","MUITO BOM")))</f>
        <v>OPORTUNO</v>
      </c>
      <c r="M530" s="3">
        <v>29</v>
      </c>
      <c r="N530" s="3">
        <v>96.38</v>
      </c>
      <c r="O530" s="12">
        <v>23.198198198198199</v>
      </c>
    </row>
    <row r="531" spans="1:15" hidden="1" x14ac:dyDescent="0.25">
      <c r="A531" s="5">
        <v>46155</v>
      </c>
      <c r="B531" s="6" t="s">
        <v>45</v>
      </c>
      <c r="C531" s="1" t="s">
        <v>32</v>
      </c>
      <c r="D531" s="3">
        <v>36</v>
      </c>
      <c r="E531" s="3">
        <v>32</v>
      </c>
      <c r="F531" s="3">
        <v>13.49</v>
      </c>
      <c r="G531" s="3">
        <v>5</v>
      </c>
      <c r="H531" s="3">
        <v>0</v>
      </c>
      <c r="I531" s="3">
        <f>E531+G531+H531</f>
        <v>37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29</v>
      </c>
      <c r="K531" s="3">
        <f>I531-J531</f>
        <v>8</v>
      </c>
      <c r="L531" s="3" t="str">
        <f>IF(K531&lt;-5,"CRÍTICO",IF(K531&lt;0,"ATENÇÃO",IF(K531&lt;=5,"OPORTUNO","MUITO BOM")))</f>
        <v>MUITO BOM</v>
      </c>
      <c r="M531" s="3">
        <v>32</v>
      </c>
      <c r="N531" s="3">
        <v>99.39</v>
      </c>
      <c r="O531" s="12">
        <v>25.203252032520329</v>
      </c>
    </row>
    <row r="532" spans="1:15" hidden="1" x14ac:dyDescent="0.25">
      <c r="A532" s="5">
        <v>46155</v>
      </c>
      <c r="B532" s="6" t="s">
        <v>46</v>
      </c>
      <c r="C532" s="1" t="s">
        <v>32</v>
      </c>
      <c r="D532" s="3">
        <v>25</v>
      </c>
      <c r="E532" s="3">
        <v>23</v>
      </c>
      <c r="F532" s="3">
        <v>17.29</v>
      </c>
      <c r="G532" s="3">
        <v>0</v>
      </c>
      <c r="H532" s="3">
        <v>0</v>
      </c>
      <c r="I532" s="3">
        <f>E532+G532+H532</f>
        <v>23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29</v>
      </c>
      <c r="K532" s="3">
        <f>I532-J532</f>
        <v>-6</v>
      </c>
      <c r="L532" s="3" t="str">
        <f>IF(K532&lt;-5,"CRÍTICO",IF(K532&lt;0,"ATENÇÃO",IF(K532&lt;=5,"OPORTUNO","MUITO BOM")))</f>
        <v>CRÍTICO</v>
      </c>
      <c r="M532" s="3">
        <v>21</v>
      </c>
      <c r="N532" s="3">
        <v>97</v>
      </c>
      <c r="O532" s="12">
        <v>20.325203252032519</v>
      </c>
    </row>
    <row r="533" spans="1:15" hidden="1" x14ac:dyDescent="0.25">
      <c r="A533" s="5">
        <v>46155</v>
      </c>
      <c r="B533" s="6" t="s">
        <v>47</v>
      </c>
      <c r="C533" s="1" t="s">
        <v>48</v>
      </c>
      <c r="D533" s="3">
        <v>28</v>
      </c>
      <c r="E533" s="3">
        <v>21</v>
      </c>
      <c r="F533" s="3">
        <v>17.22</v>
      </c>
      <c r="G533" s="3">
        <v>2</v>
      </c>
      <c r="H533" s="3">
        <v>0</v>
      </c>
      <c r="I533" s="3">
        <f>E533+G533+H533</f>
        <v>23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23</v>
      </c>
      <c r="K533" s="3">
        <f>I533-J533</f>
        <v>0</v>
      </c>
      <c r="L533" s="3" t="str">
        <f>IF(K533&lt;-5,"CRÍTICO",IF(K533&lt;0,"ATENÇÃO",IF(K533&lt;=5,"OPORTUNO","MUITO BOM")))</f>
        <v>OPORTUNO</v>
      </c>
      <c r="M533" s="3">
        <v>17</v>
      </c>
      <c r="N533" s="3">
        <v>99.18</v>
      </c>
      <c r="O533" s="12">
        <v>24.501424501424498</v>
      </c>
    </row>
    <row r="534" spans="1:15" hidden="1" x14ac:dyDescent="0.25">
      <c r="A534" s="5">
        <v>46155</v>
      </c>
      <c r="B534" s="6" t="s">
        <v>49</v>
      </c>
      <c r="C534" s="1" t="s">
        <v>48</v>
      </c>
      <c r="D534" s="3">
        <v>33</v>
      </c>
      <c r="E534" s="3">
        <v>29</v>
      </c>
      <c r="F534" s="3">
        <v>18.309999999999999</v>
      </c>
      <c r="G534" s="3">
        <v>1</v>
      </c>
      <c r="H534" s="3">
        <v>0</v>
      </c>
      <c r="I534" s="3">
        <f>E534+G534+H534</f>
        <v>30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23</v>
      </c>
      <c r="K534" s="3">
        <f>I534-J534</f>
        <v>7</v>
      </c>
      <c r="L534" s="3" t="str">
        <f>IF(K534&lt;-5,"CRÍTICO",IF(K534&lt;0,"ATENÇÃO",IF(K534&lt;=5,"OPORTUNO","MUITO BOM")))</f>
        <v>MUITO BOM</v>
      </c>
      <c r="M534" s="3">
        <v>30</v>
      </c>
      <c r="N534" s="3">
        <v>99.35</v>
      </c>
      <c r="O534" s="12">
        <v>19.852941176470591</v>
      </c>
    </row>
    <row r="535" spans="1:15" hidden="1" x14ac:dyDescent="0.25">
      <c r="A535" s="5">
        <v>46155</v>
      </c>
      <c r="B535" s="6" t="s">
        <v>50</v>
      </c>
      <c r="C535" s="1" t="s">
        <v>48</v>
      </c>
      <c r="D535" s="3">
        <v>17</v>
      </c>
      <c r="E535" s="3">
        <v>16</v>
      </c>
      <c r="F535" s="3">
        <v>28.53</v>
      </c>
      <c r="G535" s="3">
        <v>5</v>
      </c>
      <c r="H535" s="3">
        <v>0</v>
      </c>
      <c r="I535" s="3">
        <f>E535+G535+H535</f>
        <v>21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23</v>
      </c>
      <c r="K535" s="3">
        <f>I535-J535</f>
        <v>-2</v>
      </c>
      <c r="L535" s="3" t="str">
        <f>IF(K535&lt;-5,"CRÍTICO",IF(K535&lt;0,"ATENÇÃO",IF(K535&lt;=5,"OPORTUNO","MUITO BOM")))</f>
        <v>ATENÇÃO</v>
      </c>
      <c r="M535" s="3">
        <v>19</v>
      </c>
      <c r="N535" s="3">
        <v>99.07</v>
      </c>
      <c r="O535" s="12">
        <v>20.098039215686271</v>
      </c>
    </row>
    <row r="536" spans="1:15" hidden="1" x14ac:dyDescent="0.25">
      <c r="A536" s="5">
        <v>46155</v>
      </c>
      <c r="B536" s="6" t="s">
        <v>51</v>
      </c>
      <c r="C536" s="1" t="s">
        <v>48</v>
      </c>
      <c r="D536" s="3">
        <v>12</v>
      </c>
      <c r="E536" s="3">
        <v>9</v>
      </c>
      <c r="F536" s="3">
        <v>22.13</v>
      </c>
      <c r="G536" s="3">
        <v>0</v>
      </c>
      <c r="H536" s="3">
        <v>0</v>
      </c>
      <c r="I536" s="3">
        <f>E536+G536+H536</f>
        <v>9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23</v>
      </c>
      <c r="K536" s="3">
        <f>I536-J536</f>
        <v>-14</v>
      </c>
      <c r="L536" s="3" t="str">
        <f>IF(K536&lt;-5,"CRÍTICO",IF(K536&lt;0,"ATENÇÃO",IF(K536&lt;=5,"OPORTUNO","MUITO BOM")))</f>
        <v>CRÍTICO</v>
      </c>
      <c r="M536" s="3">
        <v>13</v>
      </c>
      <c r="N536" s="3">
        <v>98.81</v>
      </c>
      <c r="O536" s="12">
        <v>22.767857142857139</v>
      </c>
    </row>
    <row r="537" spans="1:15" hidden="1" x14ac:dyDescent="0.25">
      <c r="A537" s="5">
        <v>46155</v>
      </c>
      <c r="B537" s="6" t="s">
        <v>52</v>
      </c>
      <c r="C537" s="1" t="s">
        <v>48</v>
      </c>
      <c r="D537" s="3">
        <v>28</v>
      </c>
      <c r="E537" s="3">
        <v>25</v>
      </c>
      <c r="F537" s="3">
        <v>20.05</v>
      </c>
      <c r="G537" s="3">
        <v>2</v>
      </c>
      <c r="H537" s="3">
        <v>0</v>
      </c>
      <c r="I537" s="3">
        <f>E537+G537+H537</f>
        <v>27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23</v>
      </c>
      <c r="K537" s="3">
        <f>I537-J537</f>
        <v>4</v>
      </c>
      <c r="L537" s="3" t="str">
        <f>IF(K537&lt;-5,"CRÍTICO",IF(K537&lt;0,"ATENÇÃO",IF(K537&lt;=5,"OPORTUNO","MUITO BOM")))</f>
        <v>OPORTUNO</v>
      </c>
      <c r="M537" s="3">
        <v>19</v>
      </c>
      <c r="N537" s="3">
        <v>99.01</v>
      </c>
      <c r="O537" s="12">
        <v>17.766497461928939</v>
      </c>
    </row>
    <row r="538" spans="1:15" hidden="1" x14ac:dyDescent="0.25">
      <c r="A538" s="5">
        <v>46155</v>
      </c>
      <c r="B538" s="6" t="s">
        <v>53</v>
      </c>
      <c r="C538" s="1" t="s">
        <v>48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f>E538+G538+H538</f>
        <v>0</v>
      </c>
      <c r="J538" s="3">
        <v>0</v>
      </c>
      <c r="K538" s="3">
        <f>I538-J538</f>
        <v>0</v>
      </c>
      <c r="L538" s="3" t="str">
        <f>IF(K538&lt;-5,"CRÍTICO",IF(K538&lt;0,"ATENÇÃO",IF(K538&lt;=5,"OPORTUNO","MUITO BOM")))</f>
        <v>OPORTUNO</v>
      </c>
      <c r="M538" s="3">
        <v>0</v>
      </c>
      <c r="N538" s="3">
        <v>100</v>
      </c>
      <c r="O538" s="12">
        <v>17.241379310344829</v>
      </c>
    </row>
    <row r="539" spans="1:15" hidden="1" x14ac:dyDescent="0.25">
      <c r="A539" s="5">
        <v>46155</v>
      </c>
      <c r="B539" s="6" t="s">
        <v>54</v>
      </c>
      <c r="C539" s="1" t="s">
        <v>48</v>
      </c>
      <c r="D539" s="3">
        <v>21</v>
      </c>
      <c r="E539" s="3">
        <v>21</v>
      </c>
      <c r="F539" s="3">
        <v>28.56</v>
      </c>
      <c r="G539" s="3">
        <v>1</v>
      </c>
      <c r="H539" s="3">
        <v>0</v>
      </c>
      <c r="I539" s="3">
        <f>E539+G539+H539</f>
        <v>22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23</v>
      </c>
      <c r="K539" s="3">
        <f>I539-J539</f>
        <v>-1</v>
      </c>
      <c r="L539" s="3" t="str">
        <f>IF(K539&lt;-5,"CRÍTICO",IF(K539&lt;0,"ATENÇÃO",IF(K539&lt;=5,"OPORTUNO","MUITO BOM")))</f>
        <v>ATENÇÃO</v>
      </c>
      <c r="M539" s="3">
        <v>22</v>
      </c>
      <c r="N539" s="3">
        <v>98.98</v>
      </c>
      <c r="O539" s="12">
        <v>19.35483870967742</v>
      </c>
    </row>
    <row r="540" spans="1:15" hidden="1" x14ac:dyDescent="0.25">
      <c r="A540" s="5">
        <v>46155</v>
      </c>
      <c r="B540" s="6" t="s">
        <v>55</v>
      </c>
      <c r="C540" s="1" t="s">
        <v>48</v>
      </c>
      <c r="D540" s="3">
        <v>33</v>
      </c>
      <c r="E540" s="3">
        <v>27</v>
      </c>
      <c r="F540" s="3">
        <v>15.43</v>
      </c>
      <c r="G540" s="3">
        <v>0</v>
      </c>
      <c r="H540" s="3">
        <v>0</v>
      </c>
      <c r="I540" s="3">
        <f>E540+G540+H540</f>
        <v>27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23</v>
      </c>
      <c r="K540" s="3">
        <f>I540-J540</f>
        <v>4</v>
      </c>
      <c r="L540" s="3" t="str">
        <f>IF(K540&lt;-5,"CRÍTICO",IF(K540&lt;0,"ATENÇÃO",IF(K540&lt;=5,"OPORTUNO","MUITO BOM")))</f>
        <v>OPORTUNO</v>
      </c>
      <c r="M540" s="3">
        <v>23</v>
      </c>
      <c r="N540" s="3">
        <v>98.94</v>
      </c>
      <c r="O540" s="12">
        <v>21.270718232044199</v>
      </c>
    </row>
    <row r="541" spans="1:15" hidden="1" x14ac:dyDescent="0.25">
      <c r="A541" s="5">
        <v>46155</v>
      </c>
      <c r="B541" s="6" t="s">
        <v>56</v>
      </c>
      <c r="C541" s="1" t="s">
        <v>48</v>
      </c>
      <c r="D541" s="3">
        <v>21</v>
      </c>
      <c r="E541" s="3">
        <v>20</v>
      </c>
      <c r="F541" s="3">
        <v>22.3</v>
      </c>
      <c r="G541" s="3">
        <v>5</v>
      </c>
      <c r="H541" s="3">
        <v>0</v>
      </c>
      <c r="I541" s="3">
        <f>E541+G541+H541</f>
        <v>25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23</v>
      </c>
      <c r="K541" s="3">
        <f>I541-J541</f>
        <v>2</v>
      </c>
      <c r="L541" s="3" t="str">
        <f>IF(K541&lt;-5,"CRÍTICO",IF(K541&lt;0,"ATENÇÃO",IF(K541&lt;=5,"OPORTUNO","MUITO BOM")))</f>
        <v>OPORTUNO</v>
      </c>
      <c r="M541" s="3">
        <v>22</v>
      </c>
      <c r="N541" s="3">
        <v>99</v>
      </c>
      <c r="O541" s="12">
        <v>22.010869565217391</v>
      </c>
    </row>
    <row r="542" spans="1:15" hidden="1" x14ac:dyDescent="0.25">
      <c r="A542" s="5">
        <v>46155</v>
      </c>
      <c r="B542" s="6" t="s">
        <v>57</v>
      </c>
      <c r="C542" s="1" t="s">
        <v>48</v>
      </c>
      <c r="D542" s="3">
        <v>30</v>
      </c>
      <c r="E542" s="3">
        <v>29</v>
      </c>
      <c r="F542" s="3">
        <v>15.49</v>
      </c>
      <c r="G542" s="3">
        <v>0</v>
      </c>
      <c r="H542" s="3">
        <v>0</v>
      </c>
      <c r="I542" s="3">
        <f>E542+G542+H542</f>
        <v>29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23</v>
      </c>
      <c r="K542" s="3">
        <f>I542-J542</f>
        <v>6</v>
      </c>
      <c r="L542" s="3" t="str">
        <f>IF(K542&lt;-5,"CRÍTICO",IF(K542&lt;0,"ATENÇÃO",IF(K542&lt;=5,"OPORTUNO","MUITO BOM")))</f>
        <v>MUITO BOM</v>
      </c>
      <c r="M542" s="3">
        <v>26</v>
      </c>
      <c r="N542" s="3">
        <v>100</v>
      </c>
      <c r="O542" s="12">
        <v>25</v>
      </c>
    </row>
    <row r="543" spans="1:15" hidden="1" x14ac:dyDescent="0.25">
      <c r="A543" s="5">
        <v>46155</v>
      </c>
      <c r="B543" s="6" t="s">
        <v>58</v>
      </c>
      <c r="C543" s="1" t="s">
        <v>48</v>
      </c>
      <c r="D543" s="3">
        <v>24</v>
      </c>
      <c r="E543" s="3">
        <v>22</v>
      </c>
      <c r="F543" s="3">
        <v>21.47</v>
      </c>
      <c r="G543" s="3">
        <v>0</v>
      </c>
      <c r="H543" s="3">
        <v>0</v>
      </c>
      <c r="I543" s="3">
        <f>E543+G543+H543</f>
        <v>22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23</v>
      </c>
      <c r="K543" s="3">
        <f>I543-J543</f>
        <v>-1</v>
      </c>
      <c r="L543" s="3" t="str">
        <f>IF(K543&lt;-5,"CRÍTICO",IF(K543&lt;0,"ATENÇÃO",IF(K543&lt;=5,"OPORTUNO","MUITO BOM")))</f>
        <v>ATENÇÃO</v>
      </c>
      <c r="M543" s="3">
        <v>18</v>
      </c>
      <c r="N543" s="3">
        <v>100</v>
      </c>
      <c r="O543" s="12">
        <v>20.183486238532112</v>
      </c>
    </row>
    <row r="544" spans="1:15" hidden="1" x14ac:dyDescent="0.25">
      <c r="A544" s="5">
        <v>46155</v>
      </c>
      <c r="B544" s="6" t="s">
        <v>59</v>
      </c>
      <c r="C544" s="1" t="s">
        <v>23</v>
      </c>
      <c r="D544" s="3">
        <v>25</v>
      </c>
      <c r="E544" s="3">
        <v>21</v>
      </c>
      <c r="F544" s="3">
        <v>22.22</v>
      </c>
      <c r="G544" s="3">
        <v>7</v>
      </c>
      <c r="H544" s="3">
        <v>0</v>
      </c>
      <c r="I544" s="3">
        <f>E544+G544+H544</f>
        <v>28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19</v>
      </c>
      <c r="K544" s="3">
        <f>I544-J544</f>
        <v>9</v>
      </c>
      <c r="L544" s="3" t="str">
        <f>IF(K544&lt;-5,"CRÍTICO",IF(K544&lt;0,"ATENÇÃO",IF(K544&lt;=5,"OPORTUNO","MUITO BOM")))</f>
        <v>MUITO BOM</v>
      </c>
      <c r="M544" s="3">
        <v>26</v>
      </c>
      <c r="N544" s="3">
        <v>96.25</v>
      </c>
      <c r="O544" s="12">
        <v>25.586353944562902</v>
      </c>
    </row>
    <row r="545" spans="1:15" hidden="1" x14ac:dyDescent="0.25">
      <c r="A545" s="5">
        <v>46155</v>
      </c>
      <c r="B545" s="6" t="s">
        <v>60</v>
      </c>
      <c r="C545" s="1" t="s">
        <v>23</v>
      </c>
      <c r="D545" s="3">
        <v>37</v>
      </c>
      <c r="E545" s="3">
        <v>32</v>
      </c>
      <c r="F545" s="3">
        <v>15.32</v>
      </c>
      <c r="G545" s="3">
        <v>3</v>
      </c>
      <c r="H545" s="3">
        <v>0</v>
      </c>
      <c r="I545" s="3">
        <f>E545+G545+H545</f>
        <v>35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19</v>
      </c>
      <c r="K545" s="3">
        <f>I545-J545</f>
        <v>16</v>
      </c>
      <c r="L545" s="3" t="str">
        <f>IF(K545&lt;-5,"CRÍTICO",IF(K545&lt;0,"ATENÇÃO",IF(K545&lt;=5,"OPORTUNO","MUITO BOM")))</f>
        <v>MUITO BOM</v>
      </c>
      <c r="M545" s="3">
        <v>26</v>
      </c>
      <c r="N545" s="3">
        <v>97.48</v>
      </c>
      <c r="O545" s="12">
        <v>22.99465240641711</v>
      </c>
    </row>
    <row r="546" spans="1:15" hidden="1" x14ac:dyDescent="0.25">
      <c r="A546" s="5">
        <v>46155</v>
      </c>
      <c r="B546" s="6" t="s">
        <v>61</v>
      </c>
      <c r="C546" s="1" t="s">
        <v>23</v>
      </c>
      <c r="D546" s="3">
        <v>17</v>
      </c>
      <c r="E546" s="3">
        <v>16</v>
      </c>
      <c r="F546" s="3">
        <v>21.54</v>
      </c>
      <c r="G546" s="3">
        <v>5</v>
      </c>
      <c r="H546" s="3">
        <v>0</v>
      </c>
      <c r="I546" s="3">
        <f>E546+G546+H546</f>
        <v>21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19</v>
      </c>
      <c r="K546" s="3">
        <f>I546-J546</f>
        <v>2</v>
      </c>
      <c r="L546" s="3" t="str">
        <f>IF(K546&lt;-5,"CRÍTICO",IF(K546&lt;0,"ATENÇÃO",IF(K546&lt;=5,"OPORTUNO","MUITO BOM")))</f>
        <v>OPORTUNO</v>
      </c>
      <c r="M546" s="3">
        <v>19</v>
      </c>
      <c r="N546" s="3">
        <v>100</v>
      </c>
      <c r="O546" s="12">
        <v>20.788530465949819</v>
      </c>
    </row>
    <row r="547" spans="1:15" hidden="1" x14ac:dyDescent="0.25">
      <c r="A547" s="10">
        <v>46048</v>
      </c>
      <c r="B547" t="s">
        <v>22</v>
      </c>
      <c r="C547" s="1" t="s">
        <v>23</v>
      </c>
      <c r="D547" s="3">
        <v>17</v>
      </c>
      <c r="E547" s="3">
        <v>17</v>
      </c>
      <c r="F547" s="3">
        <v>27.39</v>
      </c>
      <c r="G547" s="3">
        <v>0</v>
      </c>
      <c r="H547" s="3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 s="3">
        <v>17</v>
      </c>
      <c r="N547" s="3">
        <v>98.91</v>
      </c>
      <c r="O547" s="12">
        <v>31.367292225201069</v>
      </c>
    </row>
    <row r="548" spans="1:15" hidden="1" x14ac:dyDescent="0.25">
      <c r="A548" s="10">
        <v>46049</v>
      </c>
      <c r="B548" t="s">
        <v>22</v>
      </c>
      <c r="C548" s="1" t="s">
        <v>23</v>
      </c>
      <c r="D548" s="3">
        <v>20</v>
      </c>
      <c r="E548" s="3">
        <v>20</v>
      </c>
      <c r="F548" s="3">
        <v>30.07</v>
      </c>
      <c r="G548" s="3">
        <v>0</v>
      </c>
      <c r="H548" s="3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 s="3">
        <v>20</v>
      </c>
      <c r="N548" s="3">
        <v>98.91</v>
      </c>
      <c r="O548" s="12">
        <v>31.367292225201069</v>
      </c>
    </row>
    <row r="549" spans="1:15" hidden="1" x14ac:dyDescent="0.25">
      <c r="A549" s="5">
        <v>46155</v>
      </c>
      <c r="B549" s="6" t="s">
        <v>62</v>
      </c>
      <c r="C549" s="1" t="s">
        <v>23</v>
      </c>
      <c r="D549" s="3">
        <v>24</v>
      </c>
      <c r="E549" s="3">
        <v>22</v>
      </c>
      <c r="F549" s="3">
        <v>20.170000000000002</v>
      </c>
      <c r="G549" s="3">
        <v>1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19</v>
      </c>
      <c r="K549" s="3">
        <f>I549-J549</f>
        <v>4</v>
      </c>
      <c r="L549" s="3" t="str">
        <f>IF(K549&lt;-5,"CRÍTICO",IF(K549&lt;0,"ATENÇÃO",IF(K549&lt;=5,"OPORTUNO","MUITO BOM")))</f>
        <v>OPORTUNO</v>
      </c>
      <c r="M549" s="3">
        <v>22</v>
      </c>
      <c r="N549" s="3">
        <v>94.55</v>
      </c>
      <c r="O549" s="12">
        <v>23.450134770889491</v>
      </c>
    </row>
    <row r="550" spans="1:15" hidden="1" x14ac:dyDescent="0.25">
      <c r="A550" s="5">
        <v>46155</v>
      </c>
      <c r="B550" s="6" t="s">
        <v>63</v>
      </c>
      <c r="C550" s="1" t="s">
        <v>23</v>
      </c>
      <c r="D550" s="3">
        <v>33</v>
      </c>
      <c r="E550" s="3">
        <v>31</v>
      </c>
      <c r="F550" s="3">
        <v>13.48</v>
      </c>
      <c r="G550" s="3">
        <v>7</v>
      </c>
      <c r="H550" s="3">
        <v>0</v>
      </c>
      <c r="I550" s="3">
        <f>E550+G550+H550</f>
        <v>38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19</v>
      </c>
      <c r="K550" s="3">
        <f>I550-J550</f>
        <v>19</v>
      </c>
      <c r="L550" s="3" t="str">
        <f>IF(K550&lt;-5,"CRÍTICO",IF(K550&lt;0,"ATENÇÃO",IF(K550&lt;=5,"OPORTUNO","MUITO BOM")))</f>
        <v>MUITO BOM</v>
      </c>
      <c r="M550" s="3">
        <v>31</v>
      </c>
      <c r="N550" s="3">
        <v>98</v>
      </c>
      <c r="O550" s="12">
        <v>20.73490813648294</v>
      </c>
    </row>
    <row r="551" spans="1:15" hidden="1" x14ac:dyDescent="0.25">
      <c r="A551" s="5">
        <v>46155</v>
      </c>
      <c r="B551" s="6" t="s">
        <v>64</v>
      </c>
      <c r="C551" s="1" t="s">
        <v>23</v>
      </c>
      <c r="D551" s="3">
        <v>11</v>
      </c>
      <c r="E551" s="3">
        <v>10</v>
      </c>
      <c r="F551" s="3">
        <v>33.26</v>
      </c>
      <c r="G551" s="3">
        <v>5</v>
      </c>
      <c r="H551" s="3">
        <v>0</v>
      </c>
      <c r="I551" s="3">
        <f>E551+G551+H551</f>
        <v>15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19</v>
      </c>
      <c r="K551" s="3">
        <f>I551-J551</f>
        <v>-4</v>
      </c>
      <c r="L551" s="3" t="str">
        <f>IF(K551&lt;-5,"CRÍTICO",IF(K551&lt;0,"ATENÇÃO",IF(K551&lt;=5,"OPORTUNO","MUITO BOM")))</f>
        <v>ATENÇÃO</v>
      </c>
      <c r="M551" s="3">
        <v>16</v>
      </c>
      <c r="N551" s="3">
        <v>100</v>
      </c>
      <c r="O551" s="12">
        <v>18</v>
      </c>
    </row>
    <row r="552" spans="1:15" hidden="1" x14ac:dyDescent="0.25">
      <c r="A552" s="5">
        <v>46155</v>
      </c>
      <c r="B552" s="6" t="s">
        <v>22</v>
      </c>
      <c r="C552" s="1" t="s">
        <v>23</v>
      </c>
      <c r="D552" s="3">
        <v>20</v>
      </c>
      <c r="E552" s="3">
        <v>16</v>
      </c>
      <c r="F552" s="3">
        <v>23.26</v>
      </c>
      <c r="G552" s="3">
        <v>11</v>
      </c>
      <c r="H552" s="3">
        <v>7</v>
      </c>
      <c r="I552" s="3">
        <f>E552+G552+H552</f>
        <v>34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19</v>
      </c>
      <c r="K552" s="3">
        <f>I552-J552</f>
        <v>15</v>
      </c>
      <c r="L552" s="3" t="str">
        <f>IF(K552&lt;-5,"CRÍTICO",IF(K552&lt;0,"ATENÇÃO",IF(K552&lt;=5,"OPORTUNO","MUITO BOM")))</f>
        <v>MUITO BOM</v>
      </c>
      <c r="M552" s="3">
        <v>18</v>
      </c>
      <c r="N552" s="3">
        <v>99.06</v>
      </c>
      <c r="O552" s="12">
        <v>19.417475728155338</v>
      </c>
    </row>
    <row r="553" spans="1:15" x14ac:dyDescent="0.25">
      <c r="A553" s="5">
        <v>46147</v>
      </c>
      <c r="B553" s="6" t="s">
        <v>27</v>
      </c>
      <c r="C553" s="1" t="s">
        <v>26</v>
      </c>
      <c r="D553" s="3">
        <v>17</v>
      </c>
      <c r="E553" s="3">
        <v>17</v>
      </c>
      <c r="F553" s="3">
        <v>22.35</v>
      </c>
      <c r="G553" s="3">
        <v>5</v>
      </c>
      <c r="H553" s="3">
        <v>0</v>
      </c>
      <c r="I553" s="3">
        <f>E553+G553+H553</f>
        <v>22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20</v>
      </c>
      <c r="K553" s="3">
        <f>I553-J553</f>
        <v>2</v>
      </c>
      <c r="L553" s="3" t="str">
        <f>IF(K553&lt;-5,"CRÍTICO",IF(K553&lt;0,"ATENÇÃO",IF(K553&lt;=5,"OPORTUNO","MUITO BOM")))</f>
        <v>OPORTUNO</v>
      </c>
      <c r="M553" s="3">
        <v>16</v>
      </c>
      <c r="N553" s="3">
        <v>100</v>
      </c>
      <c r="O553" s="12">
        <v>19.072164948453612</v>
      </c>
    </row>
    <row r="554" spans="1:15" x14ac:dyDescent="0.25">
      <c r="A554" s="5">
        <v>46148</v>
      </c>
      <c r="B554" s="6" t="s">
        <v>27</v>
      </c>
      <c r="C554" s="1" t="s">
        <v>26</v>
      </c>
      <c r="D554" s="3">
        <v>13</v>
      </c>
      <c r="E554" s="3">
        <v>12</v>
      </c>
      <c r="F554" s="3">
        <v>30.43</v>
      </c>
      <c r="G554" s="3">
        <v>12</v>
      </c>
      <c r="H554" s="3">
        <v>0</v>
      </c>
      <c r="I554" s="3">
        <f>E554+G554+H554</f>
        <v>24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20</v>
      </c>
      <c r="K554" s="3">
        <f>I554-J554</f>
        <v>4</v>
      </c>
      <c r="L554" s="3" t="str">
        <f>IF(K554&lt;-5,"CRÍTICO",IF(K554&lt;0,"ATENÇÃO",IF(K554&lt;=5,"OPORTUNO","MUITO BOM")))</f>
        <v>OPORTUNO</v>
      </c>
      <c r="M554" s="3">
        <v>17</v>
      </c>
      <c r="N554" s="3">
        <v>100</v>
      </c>
      <c r="O554" s="12">
        <v>19.072164948453612</v>
      </c>
    </row>
    <row r="555" spans="1:15" hidden="1" x14ac:dyDescent="0.25">
      <c r="A555" s="5">
        <v>46155</v>
      </c>
      <c r="B555" s="6" t="s">
        <v>43</v>
      </c>
      <c r="C555" s="1" t="s">
        <v>32</v>
      </c>
      <c r="D555" s="3">
        <v>0</v>
      </c>
      <c r="E555" s="3">
        <v>0</v>
      </c>
      <c r="F555" s="3">
        <v>0</v>
      </c>
      <c r="G555" s="3">
        <v>0</v>
      </c>
      <c r="H555" s="3">
        <v>41</v>
      </c>
      <c r="I555" s="3">
        <f>E555+G555+H555</f>
        <v>41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29</v>
      </c>
      <c r="K555" s="3">
        <f>I555-J555</f>
        <v>12</v>
      </c>
      <c r="L555" s="3" t="str">
        <f>IF(K555&lt;-5,"CRÍTICO",IF(K555&lt;0,"ATENÇÃO",IF(K555&lt;=5,"OPORTUNO","MUITO BOM")))</f>
        <v>MUITO BOM</v>
      </c>
      <c r="M555" s="3">
        <v>28</v>
      </c>
      <c r="N555" s="3">
        <v>98.39</v>
      </c>
      <c r="O555" s="12">
        <v>8.7999999999999989</v>
      </c>
    </row>
    <row r="556" spans="1:15" x14ac:dyDescent="0.25">
      <c r="A556" s="5">
        <v>46149</v>
      </c>
      <c r="B556" s="6" t="s">
        <v>27</v>
      </c>
      <c r="C556" s="1" t="s">
        <v>26</v>
      </c>
      <c r="D556" s="3">
        <v>12</v>
      </c>
      <c r="E556" s="3">
        <v>11</v>
      </c>
      <c r="F556" s="3">
        <v>36.43</v>
      </c>
      <c r="G556" s="3">
        <v>4</v>
      </c>
      <c r="H556" s="3">
        <v>0</v>
      </c>
      <c r="I556" s="3">
        <f>E556+G556+H556</f>
        <v>15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19</v>
      </c>
      <c r="K556" s="3">
        <f>I556-J556</f>
        <v>-4</v>
      </c>
      <c r="L556" s="3" t="str">
        <f>IF(K556&lt;-5,"CRÍTICO",IF(K556&lt;0,"ATENÇÃO",IF(K556&lt;=5,"OPORTUNO","MUITO BOM")))</f>
        <v>ATENÇÃO</v>
      </c>
      <c r="M556" s="3">
        <v>8</v>
      </c>
      <c r="N556" s="3">
        <v>100</v>
      </c>
      <c r="O556" s="12">
        <v>19.072164948453612</v>
      </c>
    </row>
    <row r="557" spans="1:15" hidden="1" x14ac:dyDescent="0.25">
      <c r="A557" s="10">
        <v>46094</v>
      </c>
      <c r="B557" t="s">
        <v>43</v>
      </c>
      <c r="C557" s="1" t="s">
        <v>32</v>
      </c>
      <c r="D557" s="3">
        <v>18</v>
      </c>
      <c r="E557" s="3">
        <v>17</v>
      </c>
      <c r="F557" s="3">
        <v>22.09</v>
      </c>
      <c r="G557" s="3">
        <v>0</v>
      </c>
      <c r="H557" s="3">
        <v>0</v>
      </c>
      <c r="I557" s="3">
        <f>E557+G557+H557</f>
        <v>17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20</v>
      </c>
      <c r="K557" s="3">
        <f>I557-J557</f>
        <v>-3</v>
      </c>
      <c r="L557" s="3" t="str">
        <f>IF(K557&lt;-5,"CRÍTICO",IF(K557&lt;0,"ATENÇÃO",IF(K557&lt;=5,"OPORTUNO","MUITO BOM")))</f>
        <v>ATENÇÃO</v>
      </c>
      <c r="M557" s="3">
        <v>22</v>
      </c>
      <c r="N557" s="3">
        <v>98.86</v>
      </c>
      <c r="O557" s="12">
        <v>28.959276018099551</v>
      </c>
    </row>
    <row r="558" spans="1:15" x14ac:dyDescent="0.25">
      <c r="A558" s="5">
        <v>46150</v>
      </c>
      <c r="B558" s="6" t="s">
        <v>27</v>
      </c>
      <c r="C558" s="1" t="s">
        <v>26</v>
      </c>
      <c r="D558" s="3">
        <v>11</v>
      </c>
      <c r="E558" s="3">
        <v>11</v>
      </c>
      <c r="F558" s="3">
        <v>33.549999999999997</v>
      </c>
      <c r="G558" s="3">
        <v>4</v>
      </c>
      <c r="H558" s="3">
        <v>0</v>
      </c>
      <c r="I558" s="3">
        <f>E558+G558+H558</f>
        <v>15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16</v>
      </c>
      <c r="K558" s="3">
        <f>I558-J558</f>
        <v>-1</v>
      </c>
      <c r="L558" s="3" t="str">
        <f>IF(K558&lt;-5,"CRÍTICO",IF(K558&lt;0,"ATENÇÃO",IF(K558&lt;=5,"OPORTUNO","MUITO BOM")))</f>
        <v>ATENÇÃO</v>
      </c>
      <c r="M558" s="3">
        <v>14</v>
      </c>
      <c r="N558" s="3">
        <v>100</v>
      </c>
      <c r="O558" s="12">
        <v>19.072164948453612</v>
      </c>
    </row>
    <row r="559" spans="1:15" x14ac:dyDescent="0.25">
      <c r="A559" s="5">
        <v>46153</v>
      </c>
      <c r="B559" s="6" t="s">
        <v>27</v>
      </c>
      <c r="C559" s="1" t="s">
        <v>26</v>
      </c>
      <c r="D559" s="3">
        <v>12</v>
      </c>
      <c r="E559" s="3">
        <v>11</v>
      </c>
      <c r="F559" s="3">
        <v>22.06</v>
      </c>
      <c r="G559" s="3">
        <v>1</v>
      </c>
      <c r="H559" s="3">
        <v>0</v>
      </c>
      <c r="I559" s="3">
        <f>E559+G559+H559</f>
        <v>12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17</v>
      </c>
      <c r="K559" s="3">
        <f>I559-J559</f>
        <v>-5</v>
      </c>
      <c r="L559" s="3" t="str">
        <f>IF(K559&lt;-5,"CRÍTICO",IF(K559&lt;0,"ATENÇÃO",IF(K559&lt;=5,"OPORTUNO","MUITO BOM")))</f>
        <v>ATENÇÃO</v>
      </c>
      <c r="M559" s="3">
        <v>11</v>
      </c>
      <c r="N559" s="3">
        <v>100</v>
      </c>
      <c r="O559" s="12">
        <v>19.072164948453612</v>
      </c>
    </row>
    <row r="560" spans="1:15" x14ac:dyDescent="0.25">
      <c r="A560" s="5">
        <v>46154</v>
      </c>
      <c r="B560" s="6" t="s">
        <v>27</v>
      </c>
      <c r="C560" s="1" t="s">
        <v>26</v>
      </c>
      <c r="D560" s="3">
        <v>10</v>
      </c>
      <c r="E560" s="3">
        <v>6</v>
      </c>
      <c r="F560" s="3">
        <v>33.28</v>
      </c>
      <c r="G560" s="3">
        <v>7</v>
      </c>
      <c r="H560" s="3">
        <v>0</v>
      </c>
      <c r="I560" s="3">
        <f>E560+G560+H560</f>
        <v>13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18</v>
      </c>
      <c r="K560" s="3">
        <f>I560-J560</f>
        <v>-5</v>
      </c>
      <c r="L560" s="3" t="str">
        <f>IF(K560&lt;-5,"CRÍTICO",IF(K560&lt;0,"ATENÇÃO",IF(K560&lt;=5,"OPORTUNO","MUITO BOM")))</f>
        <v>ATENÇÃO</v>
      </c>
      <c r="M560" s="3">
        <v>12</v>
      </c>
      <c r="N560" s="3">
        <v>100</v>
      </c>
      <c r="O560" s="12">
        <v>19.072164948453612</v>
      </c>
    </row>
    <row r="561" spans="1:15" x14ac:dyDescent="0.25">
      <c r="A561" s="5">
        <v>46155</v>
      </c>
      <c r="B561" s="6" t="s">
        <v>27</v>
      </c>
      <c r="C561" s="1" t="s">
        <v>26</v>
      </c>
      <c r="D561" s="3">
        <v>0</v>
      </c>
      <c r="E561" s="3">
        <v>0</v>
      </c>
      <c r="F561" s="3">
        <v>0</v>
      </c>
      <c r="G561" s="3">
        <v>0</v>
      </c>
      <c r="H561" s="3">
        <v>0</v>
      </c>
      <c r="I561" s="3">
        <f>E561+G561+H561</f>
        <v>0</v>
      </c>
      <c r="J561" s="3">
        <v>0</v>
      </c>
      <c r="K561" s="3">
        <f>I561-J561</f>
        <v>0</v>
      </c>
      <c r="L561" s="3" t="str">
        <f>IF(K561&lt;-5,"CRÍTICO",IF(K561&lt;0,"ATENÇÃO",IF(K561&lt;=5,"OPORTUNO","MUITO BOM")))</f>
        <v>OPORTUNO</v>
      </c>
      <c r="M561" s="3">
        <v>0</v>
      </c>
      <c r="N561" s="3">
        <v>100</v>
      </c>
      <c r="O561" s="12">
        <v>19.072164948453612</v>
      </c>
    </row>
    <row r="562" spans="1:15" x14ac:dyDescent="0.25">
      <c r="A562" s="5">
        <v>46156</v>
      </c>
      <c r="B562" s="6" t="s">
        <v>27</v>
      </c>
      <c r="C562" s="1" t="s">
        <v>26</v>
      </c>
      <c r="D562" s="3">
        <v>9</v>
      </c>
      <c r="E562" s="3">
        <v>7</v>
      </c>
      <c r="F562" s="3">
        <v>27.03</v>
      </c>
      <c r="G562" s="3">
        <v>8</v>
      </c>
      <c r="H562" s="3">
        <v>0</v>
      </c>
      <c r="I562" s="3">
        <f>E562+G562+H562</f>
        <v>15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16</v>
      </c>
      <c r="K562" s="3">
        <f>I562-J562</f>
        <v>-1</v>
      </c>
      <c r="L562" s="3" t="str">
        <f>IF(K562&lt;-5,"CRÍTICO",IF(K562&lt;0,"ATENÇÃO",IF(K562&lt;=5,"OPORTUNO","MUITO BOM")))</f>
        <v>ATENÇÃO</v>
      </c>
      <c r="M562" s="3">
        <v>9</v>
      </c>
      <c r="N562" s="3">
        <v>100</v>
      </c>
      <c r="O562" s="12">
        <v>19.072164948453612</v>
      </c>
    </row>
    <row r="563" spans="1:15" x14ac:dyDescent="0.25">
      <c r="A563" s="5">
        <v>46157</v>
      </c>
      <c r="B563" s="6" t="s">
        <v>27</v>
      </c>
      <c r="C563" s="1" t="s">
        <v>26</v>
      </c>
      <c r="D563" s="3">
        <v>15</v>
      </c>
      <c r="E563" s="3">
        <v>14</v>
      </c>
      <c r="F563" s="3">
        <v>16.53</v>
      </c>
      <c r="G563" s="3">
        <v>2</v>
      </c>
      <c r="H563" s="3">
        <v>0</v>
      </c>
      <c r="I563" s="3">
        <f>E563+G563+H563</f>
        <v>16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17</v>
      </c>
      <c r="K563" s="3">
        <f>I563-J563</f>
        <v>-1</v>
      </c>
      <c r="L563" s="3" t="str">
        <f>IF(K563&lt;-5,"CRÍTICO",IF(K563&lt;0,"ATENÇÃO",IF(K563&lt;=5,"OPORTUNO","MUITO BOM")))</f>
        <v>ATENÇÃO</v>
      </c>
      <c r="M563" s="3">
        <v>11</v>
      </c>
      <c r="N563" s="3">
        <v>100</v>
      </c>
      <c r="O563" s="12">
        <v>19.072164948453612</v>
      </c>
    </row>
    <row r="564" spans="1:15" x14ac:dyDescent="0.25">
      <c r="A564" s="5">
        <v>46160</v>
      </c>
      <c r="B564" s="6" t="s">
        <v>27</v>
      </c>
      <c r="C564" s="1" t="s">
        <v>26</v>
      </c>
      <c r="D564" s="3">
        <v>16</v>
      </c>
      <c r="E564" s="3">
        <v>13</v>
      </c>
      <c r="F564" s="3">
        <v>21.58</v>
      </c>
      <c r="G564" s="3">
        <v>4</v>
      </c>
      <c r="H564" s="3">
        <v>0</v>
      </c>
      <c r="I564" s="3">
        <f>E564+G564+H564</f>
        <v>17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15</v>
      </c>
      <c r="K564" s="3">
        <f>I564-J564</f>
        <v>2</v>
      </c>
      <c r="L564" s="3" t="str">
        <f>IF(K564&lt;-5,"CRÍTICO",IF(K564&lt;0,"ATENÇÃO",IF(K564&lt;=5,"OPORTUNO","MUITO BOM")))</f>
        <v>OPORTUNO</v>
      </c>
      <c r="M564" s="3">
        <v>14</v>
      </c>
      <c r="N564" s="3">
        <v>100</v>
      </c>
      <c r="O564" s="12">
        <v>19.072164948453612</v>
      </c>
    </row>
    <row r="565" spans="1:15" x14ac:dyDescent="0.25">
      <c r="A565" s="7">
        <v>46161</v>
      </c>
      <c r="B565" s="8" t="s">
        <v>27</v>
      </c>
      <c r="C565" s="1" t="s">
        <v>26</v>
      </c>
      <c r="D565" s="3">
        <v>19</v>
      </c>
      <c r="E565" s="3">
        <v>17</v>
      </c>
      <c r="F565" s="3">
        <v>18.559999999999999</v>
      </c>
      <c r="G565" s="3">
        <v>1</v>
      </c>
      <c r="H565" s="3">
        <v>0</v>
      </c>
      <c r="I565" s="3">
        <f>E565+G565+H565</f>
        <v>18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17</v>
      </c>
      <c r="K565" s="3">
        <f>I565-J565</f>
        <v>1</v>
      </c>
      <c r="L565" s="3" t="str">
        <f>IF(K565&lt;-5,"CRÍTICO",IF(K565&lt;0,"ATENÇÃO",IF(K565&lt;=5,"OPORTUNO","MUITO BOM")))</f>
        <v>OPORTUNO</v>
      </c>
      <c r="M565" s="3">
        <v>15</v>
      </c>
      <c r="N565" s="3">
        <v>100</v>
      </c>
      <c r="O565" s="12">
        <v>19.072164948453612</v>
      </c>
    </row>
    <row r="566" spans="1:15" hidden="1" x14ac:dyDescent="0.25">
      <c r="A566" s="5">
        <v>46156</v>
      </c>
      <c r="B566" s="6" t="s">
        <v>31</v>
      </c>
      <c r="C566" s="1" t="s">
        <v>32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f>E566+G566+H566</f>
        <v>0</v>
      </c>
      <c r="J566" s="3">
        <v>0</v>
      </c>
      <c r="K566" s="3">
        <f>I566-J566</f>
        <v>0</v>
      </c>
      <c r="L566" s="3" t="str">
        <f>IF(K566&lt;-5,"CRÍTICO",IF(K566&lt;0,"ATENÇÃO",IF(K566&lt;=5,"OPORTUNO","MUITO BOM")))</f>
        <v>OPORTUNO</v>
      </c>
      <c r="M566" s="3">
        <v>0</v>
      </c>
      <c r="N566" s="3">
        <v>100</v>
      </c>
      <c r="O566" s="12">
        <v>0</v>
      </c>
    </row>
    <row r="567" spans="1:15" hidden="1" x14ac:dyDescent="0.25">
      <c r="A567" s="5">
        <v>46156</v>
      </c>
      <c r="B567" s="6" t="s">
        <v>33</v>
      </c>
      <c r="C567" s="1" t="s">
        <v>32</v>
      </c>
      <c r="D567" s="3">
        <v>25</v>
      </c>
      <c r="E567" s="3">
        <v>25</v>
      </c>
      <c r="F567" s="3">
        <v>17.34</v>
      </c>
      <c r="G567" s="3">
        <v>5</v>
      </c>
      <c r="H567" s="3">
        <v>0</v>
      </c>
      <c r="I567" s="3">
        <f>E567+G567+H567</f>
        <v>30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2</v>
      </c>
      <c r="L567" s="3" t="str">
        <f>IF(K567&lt;-5,"CRÍTICO",IF(K567&lt;0,"ATENÇÃO",IF(K567&lt;=5,"OPORTUNO","MUITO BOM")))</f>
        <v>OPORTUNO</v>
      </c>
      <c r="M567" s="3">
        <v>27</v>
      </c>
      <c r="N567" s="3">
        <v>96.94</v>
      </c>
      <c r="O567" s="12">
        <v>19.613259668508292</v>
      </c>
    </row>
    <row r="568" spans="1:15" hidden="1" x14ac:dyDescent="0.25">
      <c r="A568" s="5">
        <v>46156</v>
      </c>
      <c r="B568" s="6" t="s">
        <v>34</v>
      </c>
      <c r="C568" s="1" t="s">
        <v>32</v>
      </c>
      <c r="D568" s="3">
        <v>22</v>
      </c>
      <c r="E568" s="3">
        <v>18</v>
      </c>
      <c r="F568" s="3">
        <v>11.42</v>
      </c>
      <c r="G568" s="3">
        <v>0</v>
      </c>
      <c r="H568" s="3">
        <v>0</v>
      </c>
      <c r="I568" s="3">
        <f>E568+G568+H568</f>
        <v>18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28</v>
      </c>
      <c r="K568" s="3">
        <f>I568-J568</f>
        <v>-10</v>
      </c>
      <c r="L568" s="3" t="str">
        <f>IF(K568&lt;-5,"CRÍTICO",IF(K568&lt;0,"ATENÇÃO",IF(K568&lt;=5,"OPORTUNO","MUITO BOM")))</f>
        <v>CRÍTICO</v>
      </c>
      <c r="M568" s="3">
        <v>14</v>
      </c>
      <c r="N568" s="3">
        <v>92.81</v>
      </c>
      <c r="O568" s="12">
        <v>25.477707006369432</v>
      </c>
    </row>
    <row r="569" spans="1:15" hidden="1" x14ac:dyDescent="0.25">
      <c r="A569" s="5">
        <v>46156</v>
      </c>
      <c r="B569" s="6" t="s">
        <v>35</v>
      </c>
      <c r="C569" s="1" t="s">
        <v>32</v>
      </c>
      <c r="D569" s="3">
        <v>22</v>
      </c>
      <c r="E569" s="3">
        <v>21</v>
      </c>
      <c r="F569" s="3">
        <v>22.3</v>
      </c>
      <c r="G569" s="3">
        <v>0</v>
      </c>
      <c r="H569" s="3">
        <v>0</v>
      </c>
      <c r="I569" s="3">
        <f>E569+G569+H569</f>
        <v>21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-7</v>
      </c>
      <c r="L569" s="3" t="str">
        <f>IF(K569&lt;-5,"CRÍTICO",IF(K569&lt;0,"ATENÇÃO",IF(K569&lt;=5,"OPORTUNO","MUITO BOM")))</f>
        <v>CRÍTICO</v>
      </c>
      <c r="M569" s="3">
        <v>26</v>
      </c>
      <c r="N569" s="3">
        <v>99.19</v>
      </c>
      <c r="O569" s="12">
        <v>28.404669260700391</v>
      </c>
    </row>
    <row r="570" spans="1:15" hidden="1" x14ac:dyDescent="0.25">
      <c r="A570" s="5">
        <v>46156</v>
      </c>
      <c r="B570" s="6" t="s">
        <v>36</v>
      </c>
      <c r="C570" s="1" t="s">
        <v>32</v>
      </c>
      <c r="D570" s="3">
        <v>0</v>
      </c>
      <c r="E570" s="3">
        <v>0</v>
      </c>
      <c r="F570" s="3">
        <v>0</v>
      </c>
      <c r="G570" s="3">
        <v>0</v>
      </c>
      <c r="H570" s="3">
        <v>0</v>
      </c>
      <c r="I570" s="3">
        <f>E570+G570+H570</f>
        <v>0</v>
      </c>
      <c r="J570" s="3">
        <v>0</v>
      </c>
      <c r="K570" s="3">
        <f>I570-J570</f>
        <v>0</v>
      </c>
      <c r="L570" s="3" t="str">
        <f>IF(K570&lt;-5,"CRÍTICO",IF(K570&lt;0,"ATENÇÃO",IF(K570&lt;=5,"OPORTUNO","MUITO BOM")))</f>
        <v>OPORTUNO</v>
      </c>
      <c r="M570" s="3">
        <v>0</v>
      </c>
      <c r="N570" s="3">
        <v>100</v>
      </c>
      <c r="O570" s="12">
        <v>13.51351351351351</v>
      </c>
    </row>
    <row r="571" spans="1:15" hidden="1" x14ac:dyDescent="0.25">
      <c r="A571" s="5">
        <v>46156</v>
      </c>
      <c r="B571" s="6" t="s">
        <v>37</v>
      </c>
      <c r="C571" s="1" t="s">
        <v>32</v>
      </c>
      <c r="D571" s="3">
        <v>35</v>
      </c>
      <c r="E571" s="3">
        <v>34</v>
      </c>
      <c r="F571" s="3">
        <v>13.41</v>
      </c>
      <c r="G571" s="3">
        <v>6</v>
      </c>
      <c r="H571" s="3">
        <v>0</v>
      </c>
      <c r="I571" s="3">
        <f>E571+G571+H571</f>
        <v>40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28</v>
      </c>
      <c r="K571" s="3">
        <f>I571-J571</f>
        <v>12</v>
      </c>
      <c r="L571" s="3" t="str">
        <f>IF(K571&lt;-5,"CRÍTICO",IF(K571&lt;0,"ATENÇÃO",IF(K571&lt;=5,"OPORTUNO","MUITO BOM")))</f>
        <v>MUITO BOM</v>
      </c>
      <c r="M571" s="3">
        <v>38</v>
      </c>
      <c r="N571" s="3">
        <v>99</v>
      </c>
      <c r="O571" s="12">
        <v>22.27414330218069</v>
      </c>
    </row>
    <row r="572" spans="1:15" hidden="1" x14ac:dyDescent="0.25">
      <c r="A572" s="5">
        <v>46156</v>
      </c>
      <c r="B572" s="6" t="s">
        <v>38</v>
      </c>
      <c r="C572" s="1" t="s">
        <v>32</v>
      </c>
      <c r="D572" s="3">
        <v>42</v>
      </c>
      <c r="E572" s="3">
        <v>40</v>
      </c>
      <c r="F572" s="3">
        <v>10.52</v>
      </c>
      <c r="G572" s="3">
        <v>8</v>
      </c>
      <c r="H572" s="3">
        <v>0</v>
      </c>
      <c r="I572" s="3">
        <f>E572+G572+H572</f>
        <v>48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20</v>
      </c>
      <c r="L572" s="3" t="str">
        <f>IF(K572&lt;-5,"CRÍTICO",IF(K572&lt;0,"ATENÇÃO",IF(K572&lt;=5,"OPORTUNO","MUITO BOM")))</f>
        <v>MUITO BOM</v>
      </c>
      <c r="M572" s="3">
        <v>44</v>
      </c>
      <c r="N572" s="3">
        <v>97.04</v>
      </c>
      <c r="O572" s="12">
        <v>29.828850855745721</v>
      </c>
    </row>
    <row r="573" spans="1:15" hidden="1" x14ac:dyDescent="0.25">
      <c r="A573" s="5">
        <v>46156</v>
      </c>
      <c r="B573" s="6" t="s">
        <v>39</v>
      </c>
      <c r="C573" s="1" t="s">
        <v>32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f>E573+G573+H573</f>
        <v>0</v>
      </c>
      <c r="J573" s="3">
        <v>0</v>
      </c>
      <c r="K573" s="3">
        <f>I573-J573</f>
        <v>0</v>
      </c>
      <c r="L573" s="3" t="str">
        <f>IF(K573&lt;-5,"CRÍTICO",IF(K573&lt;0,"ATENÇÃO",IF(K573&lt;=5,"OPORTUNO","MUITO BOM")))</f>
        <v>OPORTUNO</v>
      </c>
      <c r="M573" s="3">
        <v>0</v>
      </c>
      <c r="N573" s="3">
        <v>0</v>
      </c>
      <c r="O573" s="12">
        <v>0</v>
      </c>
    </row>
    <row r="574" spans="1:15" hidden="1" x14ac:dyDescent="0.25">
      <c r="A574" s="5">
        <v>46156</v>
      </c>
      <c r="B574" s="6" t="s">
        <v>40</v>
      </c>
      <c r="C574" s="1" t="s">
        <v>32</v>
      </c>
      <c r="D574" s="3">
        <v>30</v>
      </c>
      <c r="E574" s="3">
        <v>29</v>
      </c>
      <c r="F574" s="3">
        <v>17.03</v>
      </c>
      <c r="G574" s="3">
        <v>0</v>
      </c>
      <c r="H574" s="3">
        <v>0</v>
      </c>
      <c r="I574" s="3">
        <f>E574+G574+H574</f>
        <v>29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1</v>
      </c>
      <c r="L574" s="3" t="str">
        <f>IF(K574&lt;-5,"CRÍTICO",IF(K574&lt;0,"ATENÇÃO",IF(K574&lt;=5,"OPORTUNO","MUITO BOM")))</f>
        <v>OPORTUNO</v>
      </c>
      <c r="M574" s="3">
        <v>28</v>
      </c>
      <c r="N574" s="3">
        <v>96.84</v>
      </c>
      <c r="O574" s="12">
        <v>16.338028169014081</v>
      </c>
    </row>
    <row r="575" spans="1:15" hidden="1" x14ac:dyDescent="0.25">
      <c r="A575" s="5">
        <v>46156</v>
      </c>
      <c r="B575" s="6" t="s">
        <v>41</v>
      </c>
      <c r="C575" s="1" t="s">
        <v>32</v>
      </c>
      <c r="D575" s="3">
        <v>30</v>
      </c>
      <c r="E575" s="3">
        <v>27</v>
      </c>
      <c r="F575" s="3">
        <v>19.05</v>
      </c>
      <c r="G575" s="3">
        <v>0</v>
      </c>
      <c r="H575" s="3">
        <v>0</v>
      </c>
      <c r="I575" s="3">
        <f>E575+G575+H575</f>
        <v>27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-1</v>
      </c>
      <c r="L575" s="3" t="str">
        <f>IF(K575&lt;-5,"CRÍTICO",IF(K575&lt;0,"ATENÇÃO",IF(K575&lt;=5,"OPORTUNO","MUITO BOM")))</f>
        <v>ATENÇÃO</v>
      </c>
      <c r="M575" s="3">
        <v>23</v>
      </c>
      <c r="N575" s="3">
        <v>100</v>
      </c>
      <c r="O575" s="12">
        <v>18.244803695150122</v>
      </c>
    </row>
    <row r="576" spans="1:15" hidden="1" x14ac:dyDescent="0.25">
      <c r="A576" s="5">
        <v>46156</v>
      </c>
      <c r="B576" s="6" t="s">
        <v>42</v>
      </c>
      <c r="C576" s="1" t="s">
        <v>32</v>
      </c>
      <c r="D576" s="3">
        <v>0</v>
      </c>
      <c r="E576" s="3">
        <v>0</v>
      </c>
      <c r="F576" s="3">
        <v>0</v>
      </c>
      <c r="G576" s="3">
        <v>0</v>
      </c>
      <c r="H576" s="3">
        <v>0</v>
      </c>
      <c r="I576" s="3">
        <f>E576+G576+H576</f>
        <v>0</v>
      </c>
      <c r="J576" s="3">
        <v>0</v>
      </c>
      <c r="K576" s="3">
        <f>I576-J576</f>
        <v>0</v>
      </c>
      <c r="L576" s="3" t="str">
        <f>IF(K576&lt;-5,"CRÍTICO",IF(K576&lt;0,"ATENÇÃO",IF(K576&lt;=5,"OPORTUNO","MUITO BOM")))</f>
        <v>OPORTUNO</v>
      </c>
      <c r="M576" s="3">
        <v>0</v>
      </c>
      <c r="N576" s="3">
        <v>100</v>
      </c>
      <c r="O576" s="12">
        <v>15.789473684210529</v>
      </c>
    </row>
    <row r="577" spans="1:15" hidden="1" x14ac:dyDescent="0.25">
      <c r="A577" s="5">
        <v>46156</v>
      </c>
      <c r="B577" s="6" t="s">
        <v>44</v>
      </c>
      <c r="C577" s="1" t="s">
        <v>32</v>
      </c>
      <c r="D577" s="3">
        <v>39</v>
      </c>
      <c r="E577" s="3">
        <v>32</v>
      </c>
      <c r="F577" s="3">
        <v>9</v>
      </c>
      <c r="G577" s="3">
        <v>3</v>
      </c>
      <c r="H577" s="3">
        <v>0</v>
      </c>
      <c r="I577" s="3">
        <f>E577+G577+H577</f>
        <v>35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28</v>
      </c>
      <c r="K577" s="3">
        <f>I577-J577</f>
        <v>7</v>
      </c>
      <c r="L577" s="3" t="str">
        <f>IF(K577&lt;-5,"CRÍTICO",IF(K577&lt;0,"ATENÇÃO",IF(K577&lt;=5,"OPORTUNO","MUITO BOM")))</f>
        <v>MUITO BOM</v>
      </c>
      <c r="M577" s="3">
        <v>29</v>
      </c>
      <c r="N577" s="3">
        <v>96.38</v>
      </c>
      <c r="O577" s="12">
        <v>23.198198198198199</v>
      </c>
    </row>
    <row r="578" spans="1:15" hidden="1" x14ac:dyDescent="0.25">
      <c r="A578" s="5">
        <v>46156</v>
      </c>
      <c r="B578" s="6" t="s">
        <v>45</v>
      </c>
      <c r="C578" s="1" t="s">
        <v>32</v>
      </c>
      <c r="D578" s="3">
        <v>38</v>
      </c>
      <c r="E578" s="3">
        <v>37</v>
      </c>
      <c r="F578" s="3">
        <v>13.51</v>
      </c>
      <c r="G578" s="3">
        <v>0</v>
      </c>
      <c r="H578" s="3">
        <v>0</v>
      </c>
      <c r="I578" s="3">
        <f>E578+G578+H578</f>
        <v>37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9</v>
      </c>
      <c r="L578" s="3" t="str">
        <f>IF(K578&lt;-5,"CRÍTICO",IF(K578&lt;0,"ATENÇÃO",IF(K578&lt;=5,"OPORTUNO","MUITO BOM")))</f>
        <v>MUITO BOM</v>
      </c>
      <c r="M578" s="3">
        <v>40</v>
      </c>
      <c r="N578" s="3">
        <v>99.39</v>
      </c>
      <c r="O578" s="12">
        <v>25.203252032520329</v>
      </c>
    </row>
    <row r="579" spans="1:15" hidden="1" x14ac:dyDescent="0.25">
      <c r="A579" s="5">
        <v>46156</v>
      </c>
      <c r="B579" s="6" t="s">
        <v>46</v>
      </c>
      <c r="C579" s="1" t="s">
        <v>32</v>
      </c>
      <c r="D579" s="3">
        <v>22</v>
      </c>
      <c r="E579" s="3">
        <v>22</v>
      </c>
      <c r="F579" s="3">
        <v>13.43</v>
      </c>
      <c r="G579" s="3">
        <v>5</v>
      </c>
      <c r="H579" s="3">
        <v>0</v>
      </c>
      <c r="I579" s="3">
        <f>E579+G579+H579</f>
        <v>27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28</v>
      </c>
      <c r="K579" s="3">
        <f>I579-J579</f>
        <v>-1</v>
      </c>
      <c r="L579" s="3" t="str">
        <f>IF(K579&lt;-5,"CRÍTICO",IF(K579&lt;0,"ATENÇÃO",IF(K579&lt;=5,"OPORTUNO","MUITO BOM")))</f>
        <v>ATENÇÃO</v>
      </c>
      <c r="M579" s="3">
        <v>21</v>
      </c>
      <c r="N579" s="3">
        <v>97</v>
      </c>
      <c r="O579" s="12">
        <v>20.325203252032519</v>
      </c>
    </row>
    <row r="580" spans="1:15" hidden="1" x14ac:dyDescent="0.25">
      <c r="A580" s="5">
        <v>46156</v>
      </c>
      <c r="B580" s="6" t="s">
        <v>47</v>
      </c>
      <c r="C580" s="1" t="s">
        <v>48</v>
      </c>
      <c r="D580" s="3">
        <v>33</v>
      </c>
      <c r="E580" s="3">
        <v>28</v>
      </c>
      <c r="F580" s="3">
        <v>10.58</v>
      </c>
      <c r="G580" s="3">
        <v>6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23</v>
      </c>
      <c r="K580" s="3">
        <f>I580-J580</f>
        <v>11</v>
      </c>
      <c r="L580" s="3" t="str">
        <f>IF(K580&lt;-5,"CRÍTICO",IF(K580&lt;0,"ATENÇÃO",IF(K580&lt;=5,"OPORTUNO","MUITO BOM")))</f>
        <v>MUITO BOM</v>
      </c>
      <c r="M580" s="3">
        <v>23</v>
      </c>
      <c r="N580" s="3">
        <v>99.18</v>
      </c>
      <c r="O580" s="12">
        <v>24.501424501424498</v>
      </c>
    </row>
    <row r="581" spans="1:15" hidden="1" x14ac:dyDescent="0.25">
      <c r="A581" s="5">
        <v>46156</v>
      </c>
      <c r="B581" s="6" t="s">
        <v>49</v>
      </c>
      <c r="C581" s="1" t="s">
        <v>48</v>
      </c>
      <c r="D581" s="3">
        <v>29</v>
      </c>
      <c r="E581" s="3">
        <v>29</v>
      </c>
      <c r="F581" s="3">
        <v>12.28</v>
      </c>
      <c r="G581" s="3">
        <v>4</v>
      </c>
      <c r="H581" s="3">
        <v>0</v>
      </c>
      <c r="I581" s="3">
        <f>E581+G581+H581</f>
        <v>33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23</v>
      </c>
      <c r="K581" s="3">
        <f>I581-J581</f>
        <v>10</v>
      </c>
      <c r="L581" s="3" t="str">
        <f>IF(K581&lt;-5,"CRÍTICO",IF(K581&lt;0,"ATENÇÃO",IF(K581&lt;=5,"OPORTUNO","MUITO BOM")))</f>
        <v>MUITO BOM</v>
      </c>
      <c r="M581" s="3">
        <v>33</v>
      </c>
      <c r="N581" s="3">
        <v>99.35</v>
      </c>
      <c r="O581" s="12">
        <v>19.852941176470591</v>
      </c>
    </row>
    <row r="582" spans="1:15" hidden="1" x14ac:dyDescent="0.25">
      <c r="A582" s="5">
        <v>46156</v>
      </c>
      <c r="B582" s="6" t="s">
        <v>50</v>
      </c>
      <c r="C582" s="1" t="s">
        <v>48</v>
      </c>
      <c r="D582" s="3">
        <v>25</v>
      </c>
      <c r="E582" s="3">
        <v>23</v>
      </c>
      <c r="F582" s="3">
        <v>20.56</v>
      </c>
      <c r="G582" s="3">
        <v>4</v>
      </c>
      <c r="H582" s="3">
        <v>0</v>
      </c>
      <c r="I582" s="3">
        <f>E582+G582+H582</f>
        <v>27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23</v>
      </c>
      <c r="K582" s="3">
        <f>I582-J582</f>
        <v>4</v>
      </c>
      <c r="L582" s="3" t="str">
        <f>IF(K582&lt;-5,"CRÍTICO",IF(K582&lt;0,"ATENÇÃO",IF(K582&lt;=5,"OPORTUNO","MUITO BOM")))</f>
        <v>OPORTUNO</v>
      </c>
      <c r="M582" s="3">
        <v>25</v>
      </c>
      <c r="N582" s="3">
        <v>99.07</v>
      </c>
      <c r="O582" s="12">
        <v>20.098039215686271</v>
      </c>
    </row>
    <row r="583" spans="1:15" hidden="1" x14ac:dyDescent="0.25">
      <c r="A583" s="5">
        <v>46156</v>
      </c>
      <c r="B583" s="6" t="s">
        <v>51</v>
      </c>
      <c r="C583" s="1" t="s">
        <v>48</v>
      </c>
      <c r="D583" s="3">
        <v>22</v>
      </c>
      <c r="E583" s="3">
        <v>18</v>
      </c>
      <c r="F583" s="3">
        <v>25.02</v>
      </c>
      <c r="G583" s="3">
        <v>0</v>
      </c>
      <c r="H583" s="3">
        <v>0</v>
      </c>
      <c r="I583" s="3">
        <f>E583+G583+H583</f>
        <v>18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23</v>
      </c>
      <c r="K583" s="3">
        <f>I583-J583</f>
        <v>-5</v>
      </c>
      <c r="L583" s="3" t="str">
        <f>IF(K583&lt;-5,"CRÍTICO",IF(K583&lt;0,"ATENÇÃO",IF(K583&lt;=5,"OPORTUNO","MUITO BOM")))</f>
        <v>ATENÇÃO</v>
      </c>
      <c r="M583" s="3">
        <v>17</v>
      </c>
      <c r="N583" s="3">
        <v>98.81</v>
      </c>
      <c r="O583" s="12">
        <v>22.767857142857139</v>
      </c>
    </row>
    <row r="584" spans="1:15" hidden="1" x14ac:dyDescent="0.25">
      <c r="A584" s="5">
        <v>46156</v>
      </c>
      <c r="B584" s="6" t="s">
        <v>52</v>
      </c>
      <c r="C584" s="1" t="s">
        <v>48</v>
      </c>
      <c r="D584" s="3">
        <v>14</v>
      </c>
      <c r="E584" s="3">
        <v>13</v>
      </c>
      <c r="F584" s="3">
        <v>19.05</v>
      </c>
      <c r="G584" s="3">
        <v>0</v>
      </c>
      <c r="H584" s="3">
        <v>0</v>
      </c>
      <c r="I584" s="3">
        <f>E584+G584+H584</f>
        <v>13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23</v>
      </c>
      <c r="K584" s="3">
        <f>I584-J584</f>
        <v>-10</v>
      </c>
      <c r="L584" s="3" t="str">
        <f>IF(K584&lt;-5,"CRÍTICO",IF(K584&lt;0,"ATENÇÃO",IF(K584&lt;=5,"OPORTUNO","MUITO BOM")))</f>
        <v>CRÍTICO</v>
      </c>
      <c r="M584" s="3">
        <v>18</v>
      </c>
      <c r="N584" s="3">
        <v>99.01</v>
      </c>
      <c r="O584" s="12">
        <v>17.766497461928939</v>
      </c>
    </row>
    <row r="585" spans="1:15" hidden="1" x14ac:dyDescent="0.25">
      <c r="A585" s="5">
        <v>46156</v>
      </c>
      <c r="B585" s="6" t="s">
        <v>53</v>
      </c>
      <c r="C585" s="1" t="s">
        <v>48</v>
      </c>
      <c r="D585" s="3">
        <v>0</v>
      </c>
      <c r="E585" s="3">
        <v>0</v>
      </c>
      <c r="F585" s="3">
        <v>0</v>
      </c>
      <c r="G585" s="3">
        <v>0</v>
      </c>
      <c r="H585" s="3">
        <v>0</v>
      </c>
      <c r="I585" s="3">
        <f>E585+G585+H585</f>
        <v>0</v>
      </c>
      <c r="J585" s="3">
        <v>0</v>
      </c>
      <c r="K585" s="3">
        <f>I585-J585</f>
        <v>0</v>
      </c>
      <c r="L585" s="3" t="str">
        <f>IF(K585&lt;-5,"CRÍTICO",IF(K585&lt;0,"ATENÇÃO",IF(K585&lt;=5,"OPORTUNO","MUITO BOM")))</f>
        <v>OPORTUNO</v>
      </c>
      <c r="M585" s="3">
        <v>0</v>
      </c>
      <c r="N585" s="3">
        <v>100</v>
      </c>
      <c r="O585" s="12">
        <v>17.241379310344829</v>
      </c>
    </row>
    <row r="586" spans="1:15" hidden="1" x14ac:dyDescent="0.25">
      <c r="A586" s="5">
        <v>46156</v>
      </c>
      <c r="B586" s="6" t="s">
        <v>54</v>
      </c>
      <c r="C586" s="1" t="s">
        <v>48</v>
      </c>
      <c r="D586" s="3">
        <v>17</v>
      </c>
      <c r="E586" s="3">
        <v>17</v>
      </c>
      <c r="F586" s="3">
        <v>28.35</v>
      </c>
      <c r="G586" s="3">
        <v>0</v>
      </c>
      <c r="H586" s="3">
        <v>0</v>
      </c>
      <c r="I586" s="3">
        <f>E586+G586+H586</f>
        <v>17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23</v>
      </c>
      <c r="K586" s="3">
        <f>I586-J586</f>
        <v>-6</v>
      </c>
      <c r="L586" s="3" t="str">
        <f>IF(K586&lt;-5,"CRÍTICO",IF(K586&lt;0,"ATENÇÃO",IF(K586&lt;=5,"OPORTUNO","MUITO BOM")))</f>
        <v>CRÍTICO</v>
      </c>
      <c r="M586" s="3">
        <v>13</v>
      </c>
      <c r="N586" s="3">
        <v>98.98</v>
      </c>
      <c r="O586" s="12">
        <v>19.35483870967742</v>
      </c>
    </row>
    <row r="587" spans="1:15" hidden="1" x14ac:dyDescent="0.25">
      <c r="A587" s="5">
        <v>46156</v>
      </c>
      <c r="B587" s="6" t="s">
        <v>55</v>
      </c>
      <c r="C587" s="1" t="s">
        <v>48</v>
      </c>
      <c r="D587" s="3">
        <v>9</v>
      </c>
      <c r="E587" s="3">
        <v>9</v>
      </c>
      <c r="F587" s="3">
        <v>25.25</v>
      </c>
      <c r="G587" s="3">
        <v>1</v>
      </c>
      <c r="H587" s="3">
        <v>0</v>
      </c>
      <c r="I587" s="3">
        <f>E587+G587+H587</f>
        <v>10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23</v>
      </c>
      <c r="K587" s="3">
        <f>I587-J587</f>
        <v>-13</v>
      </c>
      <c r="L587" s="3" t="str">
        <f>IF(K587&lt;-5,"CRÍTICO",IF(K587&lt;0,"ATENÇÃO",IF(K587&lt;=5,"OPORTUNO","MUITO BOM")))</f>
        <v>CRÍTICO</v>
      </c>
      <c r="M587" s="3">
        <v>9</v>
      </c>
      <c r="N587" s="3">
        <v>98.94</v>
      </c>
      <c r="O587" s="12">
        <v>21.270718232044199</v>
      </c>
    </row>
    <row r="588" spans="1:15" hidden="1" x14ac:dyDescent="0.25">
      <c r="A588" s="5">
        <v>46156</v>
      </c>
      <c r="B588" s="6" t="s">
        <v>56</v>
      </c>
      <c r="C588" s="1" t="s">
        <v>48</v>
      </c>
      <c r="D588" s="3">
        <v>26</v>
      </c>
      <c r="E588" s="3">
        <v>24</v>
      </c>
      <c r="F588" s="3">
        <v>18.579999999999998</v>
      </c>
      <c r="G588" s="3">
        <v>0</v>
      </c>
      <c r="H588" s="3">
        <v>0</v>
      </c>
      <c r="I588" s="3">
        <f>E588+G588+H588</f>
        <v>24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23</v>
      </c>
      <c r="K588" s="3">
        <f>I588-J588</f>
        <v>1</v>
      </c>
      <c r="L588" s="3" t="str">
        <f>IF(K588&lt;-5,"CRÍTICO",IF(K588&lt;0,"ATENÇÃO",IF(K588&lt;=5,"OPORTUNO","MUITO BOM")))</f>
        <v>OPORTUNO</v>
      </c>
      <c r="M588" s="3">
        <v>12</v>
      </c>
      <c r="N588" s="3">
        <v>99</v>
      </c>
      <c r="O588" s="12">
        <v>22.010869565217391</v>
      </c>
    </row>
    <row r="589" spans="1:15" hidden="1" x14ac:dyDescent="0.25">
      <c r="A589" s="5">
        <v>46156</v>
      </c>
      <c r="B589" s="6" t="s">
        <v>57</v>
      </c>
      <c r="C589" s="1" t="s">
        <v>48</v>
      </c>
      <c r="D589" s="3">
        <v>22</v>
      </c>
      <c r="E589" s="3">
        <v>18</v>
      </c>
      <c r="F589" s="3">
        <v>23.52</v>
      </c>
      <c r="G589" s="3">
        <v>0</v>
      </c>
      <c r="H589" s="3">
        <v>0</v>
      </c>
      <c r="I589" s="3">
        <f>E589+G589+H589</f>
        <v>18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23</v>
      </c>
      <c r="K589" s="3">
        <f>I589-J589</f>
        <v>-5</v>
      </c>
      <c r="L589" s="3" t="str">
        <f>IF(K589&lt;-5,"CRÍTICO",IF(K589&lt;0,"ATENÇÃO",IF(K589&lt;=5,"OPORTUNO","MUITO BOM")))</f>
        <v>ATENÇÃO</v>
      </c>
      <c r="M589" s="3">
        <v>17</v>
      </c>
      <c r="N589" s="3">
        <v>100</v>
      </c>
      <c r="O589" s="12">
        <v>25</v>
      </c>
    </row>
    <row r="590" spans="1:15" hidden="1" x14ac:dyDescent="0.25">
      <c r="A590" s="10">
        <v>46097</v>
      </c>
      <c r="B590" t="s">
        <v>43</v>
      </c>
      <c r="C590" s="1" t="s">
        <v>32</v>
      </c>
      <c r="D590" s="3">
        <v>31</v>
      </c>
      <c r="E590" s="3">
        <v>29</v>
      </c>
      <c r="F590" s="3">
        <v>17.25</v>
      </c>
      <c r="G590" s="3">
        <v>0</v>
      </c>
      <c r="H590" s="3">
        <v>0</v>
      </c>
      <c r="I590" s="3">
        <f>E590+G590+H590</f>
        <v>29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6</v>
      </c>
      <c r="L590" s="3" t="str">
        <f>IF(K590&lt;-5,"CRÍTICO",IF(K590&lt;0,"ATENÇÃO",IF(K590&lt;=5,"OPORTUNO","MUITO BOM")))</f>
        <v>MUITO BOM</v>
      </c>
      <c r="M590" s="3">
        <v>31</v>
      </c>
      <c r="N590" s="3">
        <v>98.86</v>
      </c>
      <c r="O590" s="12">
        <v>28.959276018099551</v>
      </c>
    </row>
    <row r="591" spans="1:15" hidden="1" x14ac:dyDescent="0.25">
      <c r="A591" s="5">
        <v>46156</v>
      </c>
      <c r="B591" s="6" t="s">
        <v>58</v>
      </c>
      <c r="C591" s="1" t="s">
        <v>48</v>
      </c>
      <c r="D591" s="3">
        <v>29</v>
      </c>
      <c r="E591" s="3">
        <v>26</v>
      </c>
      <c r="F591" s="3">
        <v>20.36</v>
      </c>
      <c r="G591" s="3">
        <v>0</v>
      </c>
      <c r="H591" s="3">
        <v>0</v>
      </c>
      <c r="I591" s="3">
        <f>E591+G591+H591</f>
        <v>26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3</v>
      </c>
      <c r="L591" s="3" t="str">
        <f>IF(K591&lt;-5,"CRÍTICO",IF(K591&lt;0,"ATENÇÃO",IF(K591&lt;=5,"OPORTUNO","MUITO BOM")))</f>
        <v>OPORTUNO</v>
      </c>
      <c r="M591" s="3">
        <v>23</v>
      </c>
      <c r="N591" s="3">
        <v>100</v>
      </c>
      <c r="O591" s="12">
        <v>20.183486238532112</v>
      </c>
    </row>
    <row r="592" spans="1:15" hidden="1" x14ac:dyDescent="0.25">
      <c r="A592" s="10">
        <v>46050</v>
      </c>
      <c r="B592" t="s">
        <v>22</v>
      </c>
      <c r="C592" s="1" t="s">
        <v>23</v>
      </c>
      <c r="D592" s="3">
        <v>26</v>
      </c>
      <c r="E592" s="3">
        <v>25</v>
      </c>
      <c r="F592" s="3">
        <v>23.42</v>
      </c>
      <c r="G592" s="3">
        <v>0</v>
      </c>
      <c r="H592" s="3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 s="3">
        <v>21</v>
      </c>
      <c r="N592" s="3">
        <v>98.91</v>
      </c>
      <c r="O592" s="12">
        <v>31.367292225201069</v>
      </c>
    </row>
    <row r="593" spans="1:15" hidden="1" x14ac:dyDescent="0.25">
      <c r="A593" s="10">
        <v>46051</v>
      </c>
      <c r="B593" t="s">
        <v>22</v>
      </c>
      <c r="C593" s="1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 s="3">
        <v>0</v>
      </c>
      <c r="N593" s="3">
        <v>98.91</v>
      </c>
      <c r="O593" s="12">
        <v>31.367292225201069</v>
      </c>
    </row>
    <row r="594" spans="1:15" hidden="1" x14ac:dyDescent="0.25">
      <c r="A594" s="5">
        <v>46156</v>
      </c>
      <c r="B594" s="6" t="s">
        <v>59</v>
      </c>
      <c r="C594" s="1" t="s">
        <v>23</v>
      </c>
      <c r="D594" s="3">
        <v>27</v>
      </c>
      <c r="E594" s="3">
        <v>25</v>
      </c>
      <c r="F594" s="3">
        <v>18.510000000000002</v>
      </c>
      <c r="G594" s="3">
        <v>1</v>
      </c>
      <c r="H594" s="3">
        <v>0</v>
      </c>
      <c r="I594" s="3">
        <f>E594+G594+H594</f>
        <v>26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19</v>
      </c>
      <c r="K594" s="3">
        <f>I594-J594</f>
        <v>7</v>
      </c>
      <c r="L594" s="3" t="str">
        <f>IF(K594&lt;-5,"CRÍTICO",IF(K594&lt;0,"ATENÇÃO",IF(K594&lt;=5,"OPORTUNO","MUITO BOM")))</f>
        <v>MUITO BOM</v>
      </c>
      <c r="M594" s="3">
        <v>23</v>
      </c>
      <c r="N594" s="3">
        <v>96.25</v>
      </c>
      <c r="O594" s="12">
        <v>25.586353944562902</v>
      </c>
    </row>
    <row r="595" spans="1:15" hidden="1" x14ac:dyDescent="0.25">
      <c r="A595" s="5">
        <v>46156</v>
      </c>
      <c r="B595" s="6" t="s">
        <v>60</v>
      </c>
      <c r="C595" s="1" t="s">
        <v>23</v>
      </c>
      <c r="D595" s="3">
        <v>33</v>
      </c>
      <c r="E595" s="3">
        <v>29</v>
      </c>
      <c r="F595" s="3">
        <v>11.54</v>
      </c>
      <c r="G595" s="3">
        <v>7</v>
      </c>
      <c r="H595" s="3">
        <v>0</v>
      </c>
      <c r="I595" s="3">
        <f>E595+G595+H595</f>
        <v>36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19</v>
      </c>
      <c r="K595" s="3">
        <f>I595-J595</f>
        <v>17</v>
      </c>
      <c r="L595" s="3" t="str">
        <f>IF(K595&lt;-5,"CRÍTICO",IF(K595&lt;0,"ATENÇÃO",IF(K595&lt;=5,"OPORTUNO","MUITO BOM")))</f>
        <v>MUITO BOM</v>
      </c>
      <c r="M595" s="3">
        <v>30</v>
      </c>
      <c r="N595" s="3">
        <v>97.48</v>
      </c>
      <c r="O595" s="12">
        <v>22.99465240641711</v>
      </c>
    </row>
    <row r="596" spans="1:15" hidden="1" x14ac:dyDescent="0.25">
      <c r="A596" s="5">
        <v>46156</v>
      </c>
      <c r="B596" s="6" t="s">
        <v>61</v>
      </c>
      <c r="C596" s="1" t="s">
        <v>23</v>
      </c>
      <c r="D596" s="3">
        <v>30</v>
      </c>
      <c r="E596" s="3">
        <v>28</v>
      </c>
      <c r="F596" s="3">
        <v>18.25</v>
      </c>
      <c r="G596" s="3">
        <v>1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19</v>
      </c>
      <c r="K596" s="3">
        <f>I596-J596</f>
        <v>10</v>
      </c>
      <c r="L596" s="3" t="str">
        <f>IF(K596&lt;-5,"CRÍTICO",IF(K596&lt;0,"ATENÇÃO",IF(K596&lt;=5,"OPORTUNO","MUITO BOM")))</f>
        <v>MUITO BOM</v>
      </c>
      <c r="M596" s="3">
        <v>20</v>
      </c>
      <c r="N596" s="3">
        <v>100</v>
      </c>
      <c r="O596" s="12">
        <v>20.788530465949819</v>
      </c>
    </row>
    <row r="597" spans="1:15" hidden="1" x14ac:dyDescent="0.25">
      <c r="A597" s="5">
        <v>46156</v>
      </c>
      <c r="B597" s="6" t="s">
        <v>62</v>
      </c>
      <c r="C597" s="1" t="s">
        <v>23</v>
      </c>
      <c r="D597" s="3">
        <v>11</v>
      </c>
      <c r="E597" s="3">
        <v>11</v>
      </c>
      <c r="F597" s="3">
        <v>33.21</v>
      </c>
      <c r="G597" s="3">
        <v>4</v>
      </c>
      <c r="H597" s="3">
        <v>0</v>
      </c>
      <c r="I597" s="3">
        <f>E597+G597+H597</f>
        <v>15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19</v>
      </c>
      <c r="K597" s="3">
        <f>I597-J597</f>
        <v>-4</v>
      </c>
      <c r="L597" s="3" t="str">
        <f>IF(K597&lt;-5,"CRÍTICO",IF(K597&lt;0,"ATENÇÃO",IF(K597&lt;=5,"OPORTUNO","MUITO BOM")))</f>
        <v>ATENÇÃO</v>
      </c>
      <c r="M597" s="3">
        <v>16</v>
      </c>
      <c r="N597" s="3">
        <v>94.55</v>
      </c>
      <c r="O597" s="12">
        <v>23.450134770889491</v>
      </c>
    </row>
    <row r="598" spans="1:15" hidden="1" x14ac:dyDescent="0.25">
      <c r="A598" s="5">
        <v>46156</v>
      </c>
      <c r="B598" s="6" t="s">
        <v>63</v>
      </c>
      <c r="C598" s="1" t="s">
        <v>23</v>
      </c>
      <c r="D598" s="3">
        <v>26</v>
      </c>
      <c r="E598" s="3">
        <v>25</v>
      </c>
      <c r="F598" s="3">
        <v>15.24</v>
      </c>
      <c r="G598" s="3">
        <v>1</v>
      </c>
      <c r="H598" s="3">
        <v>0</v>
      </c>
      <c r="I598" s="3">
        <f>E598+G598+H598</f>
        <v>26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19</v>
      </c>
      <c r="K598" s="3">
        <f>I598-J598</f>
        <v>7</v>
      </c>
      <c r="L598" s="3" t="str">
        <f>IF(K598&lt;-5,"CRÍTICO",IF(K598&lt;0,"ATENÇÃO",IF(K598&lt;=5,"OPORTUNO","MUITO BOM")))</f>
        <v>MUITO BOM</v>
      </c>
      <c r="M598" s="3">
        <v>24</v>
      </c>
      <c r="N598" s="3">
        <v>98</v>
      </c>
      <c r="O598" s="12">
        <v>20.73490813648294</v>
      </c>
    </row>
    <row r="599" spans="1:15" hidden="1" x14ac:dyDescent="0.25">
      <c r="A599" s="5">
        <v>46156</v>
      </c>
      <c r="B599" s="6" t="s">
        <v>64</v>
      </c>
      <c r="C599" s="1" t="s">
        <v>23</v>
      </c>
      <c r="D599" s="3">
        <v>20</v>
      </c>
      <c r="E599" s="3">
        <v>19</v>
      </c>
      <c r="F599" s="3">
        <v>20.29</v>
      </c>
      <c r="G599" s="3">
        <v>0</v>
      </c>
      <c r="H599" s="3">
        <v>0</v>
      </c>
      <c r="I599" s="3">
        <f>E599+G599+H599</f>
        <v>19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19</v>
      </c>
      <c r="K599" s="3">
        <f>I599-J599</f>
        <v>0</v>
      </c>
      <c r="L599" s="3" t="str">
        <f>IF(K599&lt;-5,"CRÍTICO",IF(K599&lt;0,"ATENÇÃO",IF(K599&lt;=5,"OPORTUNO","MUITO BOM")))</f>
        <v>OPORTUNO</v>
      </c>
      <c r="M599" s="3">
        <v>17</v>
      </c>
      <c r="N599" s="3">
        <v>100</v>
      </c>
      <c r="O599" s="12">
        <v>18</v>
      </c>
    </row>
    <row r="600" spans="1:15" hidden="1" x14ac:dyDescent="0.25">
      <c r="A600" s="5">
        <v>46156</v>
      </c>
      <c r="B600" s="6" t="s">
        <v>22</v>
      </c>
      <c r="C600" s="1" t="s">
        <v>23</v>
      </c>
      <c r="D600" s="3">
        <v>19</v>
      </c>
      <c r="E600" s="3">
        <v>18</v>
      </c>
      <c r="F600" s="3">
        <v>22.29</v>
      </c>
      <c r="G600" s="3">
        <v>0</v>
      </c>
      <c r="H600" s="3">
        <v>5</v>
      </c>
      <c r="I600" s="3">
        <f>E600+G600+H600</f>
        <v>23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19</v>
      </c>
      <c r="K600" s="3">
        <f>I600-J600</f>
        <v>4</v>
      </c>
      <c r="L600" s="3" t="str">
        <f>IF(K600&lt;-5,"CRÍTICO",IF(K600&lt;0,"ATENÇÃO",IF(K600&lt;=5,"OPORTUNO","MUITO BOM")))</f>
        <v>OPORTUNO</v>
      </c>
      <c r="M600" s="3">
        <v>23</v>
      </c>
      <c r="N600" s="3">
        <v>99.06</v>
      </c>
      <c r="O600" s="12">
        <v>19.417475728155338</v>
      </c>
    </row>
    <row r="601" spans="1:15" x14ac:dyDescent="0.25">
      <c r="A601" s="7">
        <v>46162</v>
      </c>
      <c r="B601" s="8" t="s">
        <v>27</v>
      </c>
      <c r="C601" s="1" t="s">
        <v>26</v>
      </c>
      <c r="D601" s="3">
        <v>11</v>
      </c>
      <c r="E601" s="3">
        <v>10</v>
      </c>
      <c r="F601" s="3">
        <v>28.22</v>
      </c>
      <c r="G601" s="3">
        <v>2</v>
      </c>
      <c r="H601" s="3">
        <v>0</v>
      </c>
      <c r="I601" s="3">
        <f>E601+G601+H601</f>
        <v>12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15</v>
      </c>
      <c r="K601" s="3">
        <f>I601-J601</f>
        <v>-3</v>
      </c>
      <c r="L601" s="3" t="str">
        <f>IF(K601&lt;-5,"CRÍTICO",IF(K601&lt;0,"ATENÇÃO",IF(K601&lt;=5,"OPORTUNO","MUITO BOM")))</f>
        <v>ATENÇÃO</v>
      </c>
      <c r="M601" s="3">
        <v>12</v>
      </c>
      <c r="N601" s="3">
        <v>100</v>
      </c>
      <c r="O601" s="12">
        <v>19.072164948453612</v>
      </c>
    </row>
    <row r="602" spans="1:15" x14ac:dyDescent="0.25">
      <c r="A602" s="5">
        <v>46163</v>
      </c>
      <c r="B602" s="6" t="s">
        <v>27</v>
      </c>
      <c r="C602" s="1" t="s">
        <v>26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>E602+G602+H602</f>
        <v>12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13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10</v>
      </c>
      <c r="N602" s="3">
        <v>100</v>
      </c>
      <c r="O602" s="12">
        <v>19.072164948453612</v>
      </c>
    </row>
    <row r="603" spans="1:15" hidden="1" x14ac:dyDescent="0.25">
      <c r="A603" s="5">
        <v>46156</v>
      </c>
      <c r="B603" s="6" t="s">
        <v>43</v>
      </c>
      <c r="C603" s="1" t="s">
        <v>32</v>
      </c>
      <c r="D603" s="3">
        <v>0</v>
      </c>
      <c r="E603" s="3">
        <v>0</v>
      </c>
      <c r="F603" s="3">
        <v>0</v>
      </c>
      <c r="G603" s="3">
        <v>0</v>
      </c>
      <c r="H603" s="3">
        <v>52</v>
      </c>
      <c r="I603" s="3">
        <f>E603+G603+H603</f>
        <v>52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28</v>
      </c>
      <c r="K603" s="3">
        <f>I603-J603</f>
        <v>24</v>
      </c>
      <c r="L603" s="3" t="str">
        <f>IF(K603&lt;-5,"CRÍTICO",IF(K603&lt;0,"ATENÇÃO",IF(K603&lt;=5,"OPORTUNO","MUITO BOM")))</f>
        <v>MUITO BOM</v>
      </c>
      <c r="M603" s="3">
        <v>30</v>
      </c>
      <c r="N603" s="3">
        <v>98.39</v>
      </c>
      <c r="O603" s="12">
        <v>8.7999999999999989</v>
      </c>
    </row>
    <row r="604" spans="1:15" x14ac:dyDescent="0.25">
      <c r="A604" s="9">
        <v>46164</v>
      </c>
      <c r="B604" s="6" t="s">
        <v>27</v>
      </c>
      <c r="C604" s="1" t="s">
        <v>26</v>
      </c>
      <c r="D604" s="3">
        <v>10</v>
      </c>
      <c r="E604" s="3">
        <v>10</v>
      </c>
      <c r="F604" s="3">
        <v>27.18</v>
      </c>
      <c r="G604" s="3">
        <v>2</v>
      </c>
      <c r="H604" s="3">
        <v>0</v>
      </c>
      <c r="I604" s="3">
        <f>E604+G604+H604</f>
        <v>12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11</v>
      </c>
      <c r="K604" s="3">
        <f>I604-J604</f>
        <v>1</v>
      </c>
      <c r="L604" s="3" t="str">
        <f>IF(K604&lt;-5,"CRÍTICO",IF(K604&lt;0,"ATENÇÃO",IF(K604&lt;=5,"OPORTUNO","MUITO BOM")))</f>
        <v>OPORTUNO</v>
      </c>
      <c r="M604" s="3">
        <v>8</v>
      </c>
      <c r="N604" s="3">
        <v>100</v>
      </c>
      <c r="O604" s="12">
        <v>19.072164948453612</v>
      </c>
    </row>
    <row r="605" spans="1:15" x14ac:dyDescent="0.25">
      <c r="A605" s="10">
        <v>46167</v>
      </c>
      <c r="B605" t="s">
        <v>27</v>
      </c>
      <c r="C605" s="1" t="s">
        <v>26</v>
      </c>
      <c r="D605" s="3">
        <v>16</v>
      </c>
      <c r="E605" s="3">
        <v>16</v>
      </c>
      <c r="F605" s="3">
        <v>25.06</v>
      </c>
      <c r="G605" s="3">
        <v>0</v>
      </c>
      <c r="H605" s="3">
        <v>0</v>
      </c>
      <c r="I605" s="3">
        <f>E605+G605+H605</f>
        <v>16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13</v>
      </c>
      <c r="K605" s="3">
        <f>I605-J605</f>
        <v>3</v>
      </c>
      <c r="L605" s="3" t="str">
        <f>IF(K605&lt;-5,"CRÍTICO",IF(K605&lt;0,"ATENÇÃO",IF(K605&lt;=5,"OPORTUNO","MUITO BOM")))</f>
        <v>OPORTUNO</v>
      </c>
      <c r="M605" s="3">
        <v>13</v>
      </c>
      <c r="N605" s="3">
        <v>100</v>
      </c>
      <c r="O605" s="12">
        <v>19.072164948453612</v>
      </c>
    </row>
    <row r="606" spans="1:15" x14ac:dyDescent="0.25">
      <c r="A606" s="10">
        <v>46168</v>
      </c>
      <c r="B606" t="s">
        <v>27</v>
      </c>
      <c r="C606" s="1" t="s">
        <v>26</v>
      </c>
      <c r="D606" s="3">
        <v>14</v>
      </c>
      <c r="E606" s="3">
        <v>13</v>
      </c>
      <c r="F606" s="3">
        <v>26.51</v>
      </c>
      <c r="G606" s="3">
        <v>3</v>
      </c>
      <c r="H606" s="3">
        <v>0</v>
      </c>
      <c r="I606" s="3">
        <f>E606+G606+H606</f>
        <v>16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16</v>
      </c>
      <c r="K606" s="3">
        <f>I606-J606</f>
        <v>0</v>
      </c>
      <c r="L606" s="3" t="str">
        <f>IF(K606&lt;-5,"CRÍTICO",IF(K606&lt;0,"ATENÇÃO",IF(K606&lt;=5,"OPORTUNO","MUITO BOM")))</f>
        <v>OPORTUNO</v>
      </c>
      <c r="M606" s="3">
        <v>10</v>
      </c>
      <c r="N606" s="3">
        <v>100</v>
      </c>
      <c r="O606" s="12">
        <v>21.134020618556701</v>
      </c>
    </row>
    <row r="607" spans="1:15" x14ac:dyDescent="0.25">
      <c r="A607" s="10">
        <v>46169</v>
      </c>
      <c r="B607" t="s">
        <v>27</v>
      </c>
      <c r="C607" s="1" t="s">
        <v>26</v>
      </c>
      <c r="D607" s="3">
        <v>10</v>
      </c>
      <c r="E607" s="3">
        <v>7</v>
      </c>
      <c r="F607" s="3">
        <v>35.46</v>
      </c>
      <c r="G607" s="3">
        <v>2</v>
      </c>
      <c r="H607" s="3">
        <v>0</v>
      </c>
      <c r="I607" s="3">
        <f>E607+G607+H607</f>
        <v>9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16</v>
      </c>
      <c r="K607" s="3">
        <f>I607-J607</f>
        <v>-7</v>
      </c>
      <c r="L607" s="3" t="str">
        <f>IF(K607&lt;-5,"CRÍTICO",IF(K607&lt;0,"ATENÇÃO",IF(K607&lt;=5,"OPORTUNO","MUITO BOM")))</f>
        <v>CRÍTICO</v>
      </c>
      <c r="M607" s="3">
        <v>6</v>
      </c>
      <c r="N607" s="3">
        <v>100</v>
      </c>
      <c r="O607" s="12">
        <v>20.5</v>
      </c>
    </row>
    <row r="608" spans="1:15" x14ac:dyDescent="0.25">
      <c r="A608" s="10">
        <v>46170</v>
      </c>
      <c r="B608" t="s">
        <v>27</v>
      </c>
      <c r="C608" s="1" t="s">
        <v>26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f>E608+G608+H608</f>
        <v>0</v>
      </c>
      <c r="J608" s="3">
        <v>0</v>
      </c>
      <c r="K608" s="3">
        <f>I608-J608</f>
        <v>0</v>
      </c>
      <c r="L608" s="3" t="str">
        <f>IF(K608&lt;-5,"CRÍTICO",IF(K608&lt;0,"ATENÇÃO",IF(K608&lt;=5,"OPORTUNO","MUITO BOM")))</f>
        <v>OPORTUNO</v>
      </c>
      <c r="M608" s="3">
        <v>0</v>
      </c>
      <c r="N608" s="3">
        <v>100</v>
      </c>
      <c r="O608" s="12">
        <v>22.5</v>
      </c>
    </row>
    <row r="609" spans="1:15" x14ac:dyDescent="0.25">
      <c r="A609" s="10">
        <v>46171</v>
      </c>
      <c r="B609" t="s">
        <v>27</v>
      </c>
      <c r="C609" s="1" t="s">
        <v>26</v>
      </c>
      <c r="D609" s="3">
        <v>0</v>
      </c>
      <c r="E609" s="3">
        <v>0</v>
      </c>
      <c r="F609" s="3">
        <v>0</v>
      </c>
      <c r="G609" s="3">
        <v>0</v>
      </c>
      <c r="H609" s="3">
        <v>0</v>
      </c>
      <c r="I609" s="3">
        <f>E609+G609+H609</f>
        <v>0</v>
      </c>
      <c r="J609" s="3">
        <v>0</v>
      </c>
      <c r="K609" s="3">
        <f>I609-J609</f>
        <v>0</v>
      </c>
      <c r="L609" s="3" t="str">
        <f>IF(K609&lt;-5,"CRÍTICO",IF(K609&lt;0,"ATENÇÃO",IF(K609&lt;=5,"OPORTUNO","MUITO BOM")))</f>
        <v>OPORTUNO</v>
      </c>
      <c r="M609" s="3">
        <v>0</v>
      </c>
      <c r="N609" s="3">
        <v>100</v>
      </c>
      <c r="O609" s="12">
        <v>22.5</v>
      </c>
    </row>
    <row r="610" spans="1:15" x14ac:dyDescent="0.25">
      <c r="A610" s="10">
        <v>46143</v>
      </c>
      <c r="B610" t="s">
        <v>19</v>
      </c>
      <c r="C610" s="1" t="s">
        <v>16</v>
      </c>
      <c r="D610" s="3">
        <v>0</v>
      </c>
      <c r="E610" s="3">
        <v>0</v>
      </c>
      <c r="F610" s="3">
        <v>0</v>
      </c>
      <c r="G610" s="3">
        <v>0</v>
      </c>
      <c r="H610" s="3">
        <v>0</v>
      </c>
      <c r="I610" s="3">
        <f>E610+G610+H610</f>
        <v>0</v>
      </c>
      <c r="J610" s="3">
        <v>0</v>
      </c>
      <c r="K610" s="3">
        <f>I610-J610</f>
        <v>0</v>
      </c>
      <c r="L610" s="3" t="str">
        <f>IF(K610&lt;-5,"CRÍTICO",IF(K610&lt;0,"ATENÇÃO",IF(K610&lt;=5,"OPORTUNO","MUITO BOM")))</f>
        <v>OPORTUNO</v>
      </c>
      <c r="M610" s="3">
        <v>0</v>
      </c>
      <c r="N610" s="3">
        <v>100</v>
      </c>
      <c r="O610" s="12">
        <v>12.941176470588241</v>
      </c>
    </row>
    <row r="611" spans="1:15" x14ac:dyDescent="0.25">
      <c r="A611" s="5">
        <v>46146</v>
      </c>
      <c r="B611" s="6" t="s">
        <v>19</v>
      </c>
      <c r="C611" s="1" t="s">
        <v>16</v>
      </c>
      <c r="D611" s="3">
        <v>47</v>
      </c>
      <c r="E611" s="3">
        <v>25</v>
      </c>
      <c r="F611" s="3">
        <v>3.57</v>
      </c>
      <c r="G611" s="3">
        <v>0</v>
      </c>
      <c r="H611" s="3">
        <v>0</v>
      </c>
      <c r="I611" s="3">
        <f>E611+G611+H611</f>
        <v>25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10</v>
      </c>
      <c r="K611" s="3">
        <f>I611-J611</f>
        <v>15</v>
      </c>
      <c r="L611" s="3" t="str">
        <f>IF(K611&lt;-5,"CRÍTICO",IF(K611&lt;0,"ATENÇÃO",IF(K611&lt;=5,"BOM","EXCELENTE")))</f>
        <v>EXCELENTE</v>
      </c>
      <c r="M611" s="3">
        <v>0</v>
      </c>
      <c r="N611" s="3">
        <v>100</v>
      </c>
      <c r="O611" s="12">
        <v>12.941176470588241</v>
      </c>
    </row>
    <row r="612" spans="1:15" x14ac:dyDescent="0.25">
      <c r="A612" s="5">
        <v>46147</v>
      </c>
      <c r="B612" s="6" t="s">
        <v>19</v>
      </c>
      <c r="C612" s="1" t="s">
        <v>16</v>
      </c>
      <c r="D612" s="3">
        <v>0</v>
      </c>
      <c r="E612" s="3">
        <v>0</v>
      </c>
      <c r="F612" s="3">
        <v>0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>IF(K612&lt;-5,"CRÍTICO",IF(K612&lt;0,"ATENÇÃO",IF(K612&lt;=5,"BOM","EXCELENTE")))</f>
        <v>BOM</v>
      </c>
      <c r="M612" s="3">
        <v>0</v>
      </c>
      <c r="N612" s="3">
        <v>100</v>
      </c>
      <c r="O612" s="12">
        <v>12.941176470588241</v>
      </c>
    </row>
    <row r="613" spans="1:15" x14ac:dyDescent="0.25">
      <c r="A613" s="5">
        <v>46148</v>
      </c>
      <c r="B613" s="6" t="s">
        <v>19</v>
      </c>
      <c r="C613" s="1" t="s">
        <v>16</v>
      </c>
      <c r="D613" s="3">
        <v>66</v>
      </c>
      <c r="E613" s="3">
        <v>38</v>
      </c>
      <c r="F613" s="3">
        <v>7.02</v>
      </c>
      <c r="G613" s="3">
        <v>0</v>
      </c>
      <c r="H613" s="3">
        <v>0</v>
      </c>
      <c r="I613" s="3">
        <f>E613+G613+H613</f>
        <v>38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10</v>
      </c>
      <c r="K613" s="3">
        <f>I613-J613</f>
        <v>28</v>
      </c>
      <c r="L613" s="3" t="str">
        <f>IF(K613&lt;-5,"CRÍTICO",IF(K613&lt;0,"ATENÇÃO",IF(K613&lt;=5,"BOM","EXCELENTE")))</f>
        <v>EXCELENTE</v>
      </c>
      <c r="M613" s="3">
        <v>3</v>
      </c>
      <c r="N613" s="3">
        <v>100</v>
      </c>
      <c r="O613" s="12">
        <v>12.941176470588241</v>
      </c>
    </row>
    <row r="614" spans="1:15" hidden="1" x14ac:dyDescent="0.25">
      <c r="A614" s="5">
        <v>46157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f>E614+G614+H614</f>
        <v>0</v>
      </c>
      <c r="J614" s="3">
        <v>0</v>
      </c>
      <c r="K614" s="3">
        <f>I614-J614</f>
        <v>0</v>
      </c>
      <c r="L614" s="3" t="str">
        <f>IF(K614&lt;-5,"CRÍTICO",IF(K614&lt;0,"ATENÇÃO",IF(K614&lt;=5,"OPORTUNO","MUITO BOM")))</f>
        <v>OPORTUNO</v>
      </c>
      <c r="M614" s="3">
        <v>0</v>
      </c>
      <c r="N614" s="3">
        <v>100</v>
      </c>
      <c r="O614" s="12">
        <v>0</v>
      </c>
    </row>
    <row r="615" spans="1:15" hidden="1" x14ac:dyDescent="0.25">
      <c r="A615" s="5">
        <v>46157</v>
      </c>
      <c r="B615" s="6" t="s">
        <v>33</v>
      </c>
      <c r="C615" s="1" t="s">
        <v>32</v>
      </c>
      <c r="D615" s="3">
        <v>29</v>
      </c>
      <c r="E615" s="3">
        <v>28</v>
      </c>
      <c r="F615" s="3">
        <v>13.59</v>
      </c>
      <c r="G615" s="3">
        <v>3</v>
      </c>
      <c r="H615" s="3">
        <v>0</v>
      </c>
      <c r="I615" s="3">
        <f>E615+G615+H615</f>
        <v>31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29</v>
      </c>
      <c r="K615" s="3">
        <f>I615-J615</f>
        <v>2</v>
      </c>
      <c r="L615" s="3" t="str">
        <f>IF(K615&lt;-5,"CRÍTICO",IF(K615&lt;0,"ATENÇÃO",IF(K615&lt;=5,"OPORTUNO","MUITO BOM")))</f>
        <v>OPORTUNO</v>
      </c>
      <c r="M615" s="3">
        <v>25</v>
      </c>
      <c r="N615" s="3">
        <v>96.94</v>
      </c>
      <c r="O615" s="12">
        <v>19.613259668508292</v>
      </c>
    </row>
    <row r="616" spans="1:15" hidden="1" x14ac:dyDescent="0.25">
      <c r="A616" s="5">
        <v>46157</v>
      </c>
      <c r="B616" s="6" t="s">
        <v>34</v>
      </c>
      <c r="C616" s="1" t="s">
        <v>32</v>
      </c>
      <c r="D616" s="3">
        <v>37</v>
      </c>
      <c r="E616" s="3">
        <v>31</v>
      </c>
      <c r="F616" s="3">
        <v>11.51</v>
      </c>
      <c r="G616" s="3">
        <v>0</v>
      </c>
      <c r="H616" s="3">
        <v>0</v>
      </c>
      <c r="I616" s="3">
        <f>E616+G616+H616</f>
        <v>31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29</v>
      </c>
      <c r="K616" s="3">
        <f>I616-J616</f>
        <v>2</v>
      </c>
      <c r="L616" s="3" t="str">
        <f>IF(K616&lt;-5,"CRÍTICO",IF(K616&lt;0,"ATENÇÃO",IF(K616&lt;=5,"OPORTUNO","MUITO BOM")))</f>
        <v>OPORTUNO</v>
      </c>
      <c r="M616" s="3">
        <v>29</v>
      </c>
      <c r="N616" s="3">
        <v>92.81</v>
      </c>
      <c r="O616" s="12">
        <v>25.477707006369432</v>
      </c>
    </row>
    <row r="617" spans="1:15" hidden="1" x14ac:dyDescent="0.25">
      <c r="A617" s="5">
        <v>46157</v>
      </c>
      <c r="B617" s="6" t="s">
        <v>35</v>
      </c>
      <c r="C617" s="1" t="s">
        <v>32</v>
      </c>
      <c r="D617" s="3">
        <v>20</v>
      </c>
      <c r="E617" s="3">
        <v>20</v>
      </c>
      <c r="F617" s="3">
        <v>20.329999999999998</v>
      </c>
      <c r="G617" s="3">
        <v>0</v>
      </c>
      <c r="H617" s="3">
        <v>0</v>
      </c>
      <c r="I617" s="3">
        <f>E617+G617+H617</f>
        <v>20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29</v>
      </c>
      <c r="K617" s="3">
        <f>I617-J617</f>
        <v>-9</v>
      </c>
      <c r="L617" s="3" t="str">
        <f>IF(K617&lt;-5,"CRÍTICO",IF(K617&lt;0,"ATENÇÃO",IF(K617&lt;=5,"OPORTUNO","MUITO BOM")))</f>
        <v>CRÍTICO</v>
      </c>
      <c r="M617" s="3">
        <v>23</v>
      </c>
      <c r="N617" s="3">
        <v>99.19</v>
      </c>
      <c r="O617" s="12">
        <v>28.404669260700391</v>
      </c>
    </row>
    <row r="618" spans="1:15" hidden="1" x14ac:dyDescent="0.25">
      <c r="A618" s="5">
        <v>46157</v>
      </c>
      <c r="B618" s="6" t="s">
        <v>37</v>
      </c>
      <c r="C618" s="1" t="s">
        <v>32</v>
      </c>
      <c r="D618" s="3">
        <v>44</v>
      </c>
      <c r="E618" s="3">
        <v>38</v>
      </c>
      <c r="F618" s="3">
        <v>12.34</v>
      </c>
      <c r="G618" s="3">
        <v>6</v>
      </c>
      <c r="H618" s="3">
        <v>0</v>
      </c>
      <c r="I618" s="3">
        <f>E618+G618+H618</f>
        <v>44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29</v>
      </c>
      <c r="K618" s="3">
        <f>I618-J618</f>
        <v>15</v>
      </c>
      <c r="L618" s="3" t="str">
        <f>IF(K618&lt;-5,"CRÍTICO",IF(K618&lt;0,"ATENÇÃO",IF(K618&lt;=5,"OPORTUNO","MUITO BOM")))</f>
        <v>MUITO BOM</v>
      </c>
      <c r="M618" s="3">
        <v>39</v>
      </c>
      <c r="N618" s="3">
        <v>99</v>
      </c>
      <c r="O618" s="12">
        <v>22.27414330218069</v>
      </c>
    </row>
    <row r="619" spans="1:15" hidden="1" x14ac:dyDescent="0.25">
      <c r="A619" s="5">
        <v>46157</v>
      </c>
      <c r="B619" s="6" t="s">
        <v>38</v>
      </c>
      <c r="C619" s="1" t="s">
        <v>32</v>
      </c>
      <c r="D619" s="3">
        <v>30</v>
      </c>
      <c r="E619" s="3">
        <v>29</v>
      </c>
      <c r="F619" s="3">
        <v>13.38</v>
      </c>
      <c r="G619" s="3">
        <v>5</v>
      </c>
      <c r="H619" s="3">
        <v>0</v>
      </c>
      <c r="I619" s="3">
        <f>E619+G619+H619</f>
        <v>34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29</v>
      </c>
      <c r="K619" s="3">
        <f>I619-J619</f>
        <v>5</v>
      </c>
      <c r="L619" s="3" t="str">
        <f>IF(K619&lt;-5,"CRÍTICO",IF(K619&lt;0,"ATENÇÃO",IF(K619&lt;=5,"OPORTUNO","MUITO BOM")))</f>
        <v>OPORTUNO</v>
      </c>
      <c r="M619" s="3">
        <v>23</v>
      </c>
      <c r="N619" s="3">
        <v>97.04</v>
      </c>
      <c r="O619" s="12">
        <v>29.828850855745721</v>
      </c>
    </row>
    <row r="620" spans="1:15" hidden="1" x14ac:dyDescent="0.25">
      <c r="A620" s="5">
        <v>46157</v>
      </c>
      <c r="B620" s="6" t="s">
        <v>39</v>
      </c>
      <c r="C620" s="1" t="s">
        <v>32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f>E620+G620+H620</f>
        <v>0</v>
      </c>
      <c r="J620" s="3">
        <v>0</v>
      </c>
      <c r="K620" s="3">
        <f>I620-J620</f>
        <v>0</v>
      </c>
      <c r="L620" s="3" t="str">
        <f>IF(K620&lt;-5,"CRÍTICO",IF(K620&lt;0,"ATENÇÃO",IF(K620&lt;=5,"OPORTUNO","MUITO BOM")))</f>
        <v>OPORTUNO</v>
      </c>
      <c r="M620" s="3">
        <v>0</v>
      </c>
      <c r="N620" s="3">
        <v>0</v>
      </c>
      <c r="O620" s="12">
        <v>0</v>
      </c>
    </row>
    <row r="621" spans="1:15" hidden="1" x14ac:dyDescent="0.25">
      <c r="A621" s="5">
        <v>46157</v>
      </c>
      <c r="B621" s="6" t="s">
        <v>41</v>
      </c>
      <c r="C621" s="1" t="s">
        <v>32</v>
      </c>
      <c r="D621" s="3">
        <v>23</v>
      </c>
      <c r="E621" s="3">
        <v>22</v>
      </c>
      <c r="F621" s="3">
        <v>27.02</v>
      </c>
      <c r="G621" s="3">
        <v>1</v>
      </c>
      <c r="H621" s="3">
        <v>0</v>
      </c>
      <c r="I621" s="3">
        <f>E621+G621+H621</f>
        <v>23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29</v>
      </c>
      <c r="K621" s="3">
        <f>I621-J621</f>
        <v>-6</v>
      </c>
      <c r="L621" s="3" t="str">
        <f>IF(K621&lt;-5,"CRÍTICO",IF(K621&lt;0,"ATENÇÃO",IF(K621&lt;=5,"OPORTUNO","MUITO BOM")))</f>
        <v>CRÍTICO</v>
      </c>
      <c r="M621" s="3">
        <v>19</v>
      </c>
      <c r="N621" s="3">
        <v>100</v>
      </c>
      <c r="O621" s="12">
        <v>18.244803695150122</v>
      </c>
    </row>
    <row r="622" spans="1:15" hidden="1" x14ac:dyDescent="0.25">
      <c r="A622" s="5">
        <v>46157</v>
      </c>
      <c r="B622" s="6" t="s">
        <v>42</v>
      </c>
      <c r="C622" s="1" t="s">
        <v>32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f>E622+G622+H622</f>
        <v>0</v>
      </c>
      <c r="J622" s="3">
        <v>0</v>
      </c>
      <c r="K622" s="3">
        <f>I622-J622</f>
        <v>0</v>
      </c>
      <c r="L622" s="3" t="str">
        <f>IF(K622&lt;-5,"CRÍTICO",IF(K622&lt;0,"ATENÇÃO",IF(K622&lt;=5,"OPORTUNO","MUITO BOM")))</f>
        <v>OPORTUNO</v>
      </c>
      <c r="M622" s="3">
        <v>0</v>
      </c>
      <c r="N622" s="3">
        <v>100</v>
      </c>
      <c r="O622" s="12">
        <v>15.789473684210529</v>
      </c>
    </row>
    <row r="623" spans="1:15" hidden="1" x14ac:dyDescent="0.25">
      <c r="A623" s="5">
        <v>46157</v>
      </c>
      <c r="B623" s="6" t="s">
        <v>44</v>
      </c>
      <c r="C623" s="1" t="s">
        <v>32</v>
      </c>
      <c r="D623" s="3">
        <v>26</v>
      </c>
      <c r="E623" s="3">
        <v>24</v>
      </c>
      <c r="F623" s="3">
        <v>12.18</v>
      </c>
      <c r="G623" s="3">
        <v>2</v>
      </c>
      <c r="H623" s="3">
        <v>0</v>
      </c>
      <c r="I623" s="3">
        <f>E623+G623+H623</f>
        <v>26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29</v>
      </c>
      <c r="K623" s="3">
        <f>I623-J623</f>
        <v>-3</v>
      </c>
      <c r="L623" s="3" t="str">
        <f>IF(K623&lt;-5,"CRÍTICO",IF(K623&lt;0,"ATENÇÃO",IF(K623&lt;=5,"OPORTUNO","MUITO BOM")))</f>
        <v>ATENÇÃO</v>
      </c>
      <c r="M623" s="3">
        <v>22</v>
      </c>
      <c r="N623" s="3">
        <v>96.38</v>
      </c>
      <c r="O623" s="12">
        <v>23.198198198198199</v>
      </c>
    </row>
    <row r="624" spans="1:15" hidden="1" x14ac:dyDescent="0.25">
      <c r="A624" s="5">
        <v>46157</v>
      </c>
      <c r="B624" s="6" t="s">
        <v>45</v>
      </c>
      <c r="C624" s="1" t="s">
        <v>32</v>
      </c>
      <c r="D624" s="3">
        <v>31</v>
      </c>
      <c r="E624" s="3">
        <v>29</v>
      </c>
      <c r="F624" s="3">
        <v>13.49</v>
      </c>
      <c r="G624" s="3">
        <v>2</v>
      </c>
      <c r="H624" s="3">
        <v>0</v>
      </c>
      <c r="I624" s="3">
        <f>E624+G624+H624</f>
        <v>31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29</v>
      </c>
      <c r="K624" s="3">
        <f>I624-J624</f>
        <v>2</v>
      </c>
      <c r="L624" s="3" t="str">
        <f>IF(K624&lt;-5,"CRÍTICO",IF(K624&lt;0,"ATENÇÃO",IF(K624&lt;=5,"OPORTUNO","MUITO BOM")))</f>
        <v>OPORTUNO</v>
      </c>
      <c r="M624" s="3">
        <v>29</v>
      </c>
      <c r="N624" s="3">
        <v>99.39</v>
      </c>
      <c r="O624" s="12">
        <v>25.203252032520329</v>
      </c>
    </row>
    <row r="625" spans="1:15" hidden="1" x14ac:dyDescent="0.25">
      <c r="A625" s="10">
        <v>46098</v>
      </c>
      <c r="B625" t="s">
        <v>43</v>
      </c>
      <c r="C625" s="1" t="s">
        <v>32</v>
      </c>
      <c r="D625" s="3">
        <v>34</v>
      </c>
      <c r="E625" s="3">
        <v>32</v>
      </c>
      <c r="F625" s="3">
        <v>17</v>
      </c>
      <c r="G625" s="3">
        <v>0</v>
      </c>
      <c r="H625" s="3">
        <v>0</v>
      </c>
      <c r="I625" s="3">
        <f>E625+G625+H625</f>
        <v>32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9</v>
      </c>
      <c r="L625" s="3" t="str">
        <f>IF(K625&lt;-5,"CRÍTICO",IF(K625&lt;0,"ATENÇÃO",IF(K625&lt;=5,"OPORTUNO","MUITO BOM")))</f>
        <v>MUITO BOM</v>
      </c>
      <c r="M625" s="3">
        <v>30</v>
      </c>
      <c r="N625" s="3">
        <v>98.86</v>
      </c>
      <c r="O625" s="12">
        <v>28.959276018099551</v>
      </c>
    </row>
    <row r="626" spans="1:15" hidden="1" x14ac:dyDescent="0.25">
      <c r="A626" s="5">
        <v>46157</v>
      </c>
      <c r="B626" s="6" t="s">
        <v>46</v>
      </c>
      <c r="C626" s="1" t="s">
        <v>32</v>
      </c>
      <c r="D626" s="3">
        <v>20</v>
      </c>
      <c r="E626" s="3">
        <v>20</v>
      </c>
      <c r="F626" s="3">
        <v>17.350000000000001</v>
      </c>
      <c r="G626" s="3">
        <v>1</v>
      </c>
      <c r="H626" s="3">
        <v>0</v>
      </c>
      <c r="I626" s="3">
        <f>E626+G626+H626</f>
        <v>21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29</v>
      </c>
      <c r="K626" s="3">
        <f>I626-J626</f>
        <v>-8</v>
      </c>
      <c r="L626" s="3" t="str">
        <f>IF(K626&lt;-5,"CRÍTICO",IF(K626&lt;0,"ATENÇÃO",IF(K626&lt;=5,"OPORTUNO","MUITO BOM")))</f>
        <v>CRÍTICO</v>
      </c>
      <c r="M626" s="3">
        <v>17</v>
      </c>
      <c r="N626" s="3">
        <v>97</v>
      </c>
      <c r="O626" s="12">
        <v>20.325203252032519</v>
      </c>
    </row>
    <row r="627" spans="1:15" hidden="1" x14ac:dyDescent="0.25">
      <c r="A627" s="5">
        <v>46157</v>
      </c>
      <c r="B627" s="6" t="s">
        <v>47</v>
      </c>
      <c r="C627" s="1" t="s">
        <v>48</v>
      </c>
      <c r="D627" s="3">
        <v>20</v>
      </c>
      <c r="E627" s="3">
        <v>19</v>
      </c>
      <c r="F627" s="3">
        <v>13.2</v>
      </c>
      <c r="G627" s="3">
        <v>1</v>
      </c>
      <c r="H627" s="3">
        <v>0</v>
      </c>
      <c r="I627" s="3">
        <f>E627+G627+H627</f>
        <v>20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-3</v>
      </c>
      <c r="L627" s="3" t="str">
        <f>IF(K627&lt;-5,"CRÍTICO",IF(K627&lt;0,"ATENÇÃO",IF(K627&lt;=5,"OPORTUNO","MUITO BOM")))</f>
        <v>ATENÇÃO</v>
      </c>
      <c r="M627" s="3">
        <v>12</v>
      </c>
      <c r="N627" s="3">
        <v>99.18</v>
      </c>
      <c r="O627" s="12">
        <v>24.501424501424498</v>
      </c>
    </row>
    <row r="628" spans="1:15" hidden="1" x14ac:dyDescent="0.25">
      <c r="A628" s="5">
        <v>46157</v>
      </c>
      <c r="B628" s="6" t="s">
        <v>49</v>
      </c>
      <c r="C628" s="1" t="s">
        <v>48</v>
      </c>
      <c r="D628" s="3">
        <v>20</v>
      </c>
      <c r="E628" s="3">
        <v>19</v>
      </c>
      <c r="F628" s="3">
        <v>23.34</v>
      </c>
      <c r="G628" s="3">
        <v>2</v>
      </c>
      <c r="H628" s="3">
        <v>0</v>
      </c>
      <c r="I628" s="3">
        <f>E628+G628+H628</f>
        <v>21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23</v>
      </c>
      <c r="K628" s="3">
        <f>I628-J628</f>
        <v>-2</v>
      </c>
      <c r="L628" s="3" t="str">
        <f>IF(K628&lt;-5,"CRÍTICO",IF(K628&lt;0,"ATENÇÃO",IF(K628&lt;=5,"OPORTUNO","MUITO BOM")))</f>
        <v>ATENÇÃO</v>
      </c>
      <c r="M628" s="3">
        <v>21</v>
      </c>
      <c r="N628" s="3">
        <v>99.35</v>
      </c>
      <c r="O628" s="12">
        <v>19.852941176470591</v>
      </c>
    </row>
    <row r="629" spans="1:15" hidden="1" x14ac:dyDescent="0.25">
      <c r="A629" s="5">
        <v>46157</v>
      </c>
      <c r="B629" s="6" t="s">
        <v>50</v>
      </c>
      <c r="C629" s="1" t="s">
        <v>48</v>
      </c>
      <c r="D629" s="3">
        <v>26</v>
      </c>
      <c r="E629" s="3">
        <v>26</v>
      </c>
      <c r="F629" s="3">
        <v>25.22</v>
      </c>
      <c r="G629" s="3">
        <v>3</v>
      </c>
      <c r="H629" s="3">
        <v>0</v>
      </c>
      <c r="I629" s="3">
        <f>E629+G629+H629</f>
        <v>29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6</v>
      </c>
      <c r="L629" s="3" t="str">
        <f>IF(K629&lt;-5,"CRÍTICO",IF(K629&lt;0,"ATENÇÃO",IF(K629&lt;=5,"OPORTUNO","MUITO BOM")))</f>
        <v>MUITO BOM</v>
      </c>
      <c r="M629" s="3">
        <v>29</v>
      </c>
      <c r="N629" s="3">
        <v>99.07</v>
      </c>
      <c r="O629" s="12">
        <v>20.098039215686271</v>
      </c>
    </row>
    <row r="630" spans="1:15" hidden="1" x14ac:dyDescent="0.25">
      <c r="A630" s="5">
        <v>46157</v>
      </c>
      <c r="B630" s="6" t="s">
        <v>51</v>
      </c>
      <c r="C630" s="1" t="s">
        <v>48</v>
      </c>
      <c r="D630" s="3">
        <v>35</v>
      </c>
      <c r="E630" s="3">
        <v>31</v>
      </c>
      <c r="F630" s="3">
        <v>18.53</v>
      </c>
      <c r="G630" s="3">
        <v>0</v>
      </c>
      <c r="H630" s="3">
        <v>0</v>
      </c>
      <c r="I630" s="3">
        <f>E630+G630+H630</f>
        <v>31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8</v>
      </c>
      <c r="L630" s="3" t="str">
        <f>IF(K630&lt;-5,"CRÍTICO",IF(K630&lt;0,"ATENÇÃO",IF(K630&lt;=5,"OPORTUNO","MUITO BOM")))</f>
        <v>MUITO BOM</v>
      </c>
      <c r="M630" s="3">
        <v>30</v>
      </c>
      <c r="N630" s="3">
        <v>98.81</v>
      </c>
      <c r="O630" s="12">
        <v>22.767857142857139</v>
      </c>
    </row>
    <row r="631" spans="1:15" hidden="1" x14ac:dyDescent="0.25">
      <c r="A631" s="5">
        <v>46157</v>
      </c>
      <c r="B631" s="6" t="s">
        <v>52</v>
      </c>
      <c r="C631" s="1" t="s">
        <v>48</v>
      </c>
      <c r="D631" s="3">
        <v>27</v>
      </c>
      <c r="E631" s="3">
        <v>25</v>
      </c>
      <c r="F631" s="3">
        <v>18.420000000000002</v>
      </c>
      <c r="G631" s="3">
        <v>2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IF(K631&lt;-5,"CRÍTICO",IF(K631&lt;0,"ATENÇÃO",IF(K631&lt;=5,"OPORTUNO","MUITO BOM")))</f>
        <v>OPORTUNO</v>
      </c>
      <c r="M631" s="3">
        <v>23</v>
      </c>
      <c r="N631" s="3">
        <v>99.01</v>
      </c>
      <c r="O631" s="12">
        <v>17.766497461928939</v>
      </c>
    </row>
    <row r="632" spans="1:15" hidden="1" x14ac:dyDescent="0.25">
      <c r="A632" s="5">
        <v>46157</v>
      </c>
      <c r="B632" s="6" t="s">
        <v>53</v>
      </c>
      <c r="C632" s="1" t="s">
        <v>48</v>
      </c>
      <c r="D632" s="3">
        <v>0</v>
      </c>
      <c r="E632" s="3">
        <v>0</v>
      </c>
      <c r="F632" s="3">
        <v>0</v>
      </c>
      <c r="G632" s="3">
        <v>0</v>
      </c>
      <c r="H632" s="3">
        <v>0</v>
      </c>
      <c r="I632" s="3">
        <f>E632+G632+H632</f>
        <v>0</v>
      </c>
      <c r="J632" s="3">
        <v>0</v>
      </c>
      <c r="K632" s="3">
        <f>I632-J632</f>
        <v>0</v>
      </c>
      <c r="L632" s="3" t="str">
        <f>IF(K632&lt;-5,"CRÍTICO",IF(K632&lt;0,"ATENÇÃO",IF(K632&lt;=5,"OPORTUNO","MUITO BOM")))</f>
        <v>OPORTUNO</v>
      </c>
      <c r="M632" s="3">
        <v>0</v>
      </c>
      <c r="N632" s="3">
        <v>100</v>
      </c>
      <c r="O632" s="12">
        <v>17.241379310344829</v>
      </c>
    </row>
    <row r="633" spans="1:15" hidden="1" x14ac:dyDescent="0.25">
      <c r="A633" s="5">
        <v>46157</v>
      </c>
      <c r="B633" s="6" t="s">
        <v>54</v>
      </c>
      <c r="C633" s="1" t="s">
        <v>48</v>
      </c>
      <c r="D633" s="3">
        <v>28</v>
      </c>
      <c r="E633" s="3">
        <v>25</v>
      </c>
      <c r="F633" s="3">
        <v>22.04</v>
      </c>
      <c r="G633" s="3">
        <v>0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>IF(K633&lt;-5,"CRÍTICO",IF(K633&lt;0,"ATENÇÃO",IF(K633&lt;=5,"OPORTUNO","MUITO BOM")))</f>
        <v>OPORTUNO</v>
      </c>
      <c r="M633" s="3">
        <v>23</v>
      </c>
      <c r="N633" s="3">
        <v>98.98</v>
      </c>
      <c r="O633" s="12">
        <v>19.35483870967742</v>
      </c>
    </row>
    <row r="634" spans="1:15" hidden="1" x14ac:dyDescent="0.25">
      <c r="A634" s="5">
        <v>46157</v>
      </c>
      <c r="B634" s="6" t="s">
        <v>55</v>
      </c>
      <c r="C634" s="1" t="s">
        <v>48</v>
      </c>
      <c r="D634" s="3">
        <v>17</v>
      </c>
      <c r="E634" s="3">
        <v>14</v>
      </c>
      <c r="F634" s="3">
        <v>15.05</v>
      </c>
      <c r="G634" s="3">
        <v>1</v>
      </c>
      <c r="H634" s="3">
        <v>0</v>
      </c>
      <c r="I634" s="3">
        <f>E634+G634+H634</f>
        <v>15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-8</v>
      </c>
      <c r="L634" s="3" t="str">
        <f>IF(K634&lt;-5,"CRÍTICO",IF(K634&lt;0,"ATENÇÃO",IF(K634&lt;=5,"OPORTUNO","MUITO BOM")))</f>
        <v>CRÍTICO</v>
      </c>
      <c r="M634" s="3">
        <v>14</v>
      </c>
      <c r="N634" s="3">
        <v>98.94</v>
      </c>
      <c r="O634" s="12">
        <v>21.270718232044199</v>
      </c>
    </row>
    <row r="635" spans="1:15" hidden="1" x14ac:dyDescent="0.25">
      <c r="A635" s="5">
        <v>46157</v>
      </c>
      <c r="B635" s="6" t="s">
        <v>56</v>
      </c>
      <c r="C635" s="1" t="s">
        <v>48</v>
      </c>
      <c r="D635" s="3">
        <v>34</v>
      </c>
      <c r="E635" s="3">
        <v>32</v>
      </c>
      <c r="F635" s="3">
        <v>15.4</v>
      </c>
      <c r="G635" s="3">
        <v>0</v>
      </c>
      <c r="H635" s="3">
        <v>0</v>
      </c>
      <c r="I635" s="3">
        <f>E635+G635+H635</f>
        <v>32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9</v>
      </c>
      <c r="L635" s="3" t="str">
        <f>IF(K635&lt;-5,"CRÍTICO",IF(K635&lt;0,"ATENÇÃO",IF(K635&lt;=5,"OPORTUNO","MUITO BOM")))</f>
        <v>MUITO BOM</v>
      </c>
      <c r="M635" s="3">
        <v>13</v>
      </c>
      <c r="N635" s="3">
        <v>99</v>
      </c>
      <c r="O635" s="12">
        <v>22.010869565217391</v>
      </c>
    </row>
    <row r="636" spans="1:15" hidden="1" x14ac:dyDescent="0.25">
      <c r="A636" s="5">
        <v>46157</v>
      </c>
      <c r="B636" s="6" t="s">
        <v>57</v>
      </c>
      <c r="C636" s="1" t="s">
        <v>48</v>
      </c>
      <c r="D636" s="3">
        <v>28</v>
      </c>
      <c r="E636" s="3">
        <v>25</v>
      </c>
      <c r="F636" s="3">
        <v>25.42</v>
      </c>
      <c r="G636" s="3">
        <v>0</v>
      </c>
      <c r="H636" s="3">
        <v>0</v>
      </c>
      <c r="I636" s="3">
        <f>E636+G636+H636</f>
        <v>25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2</v>
      </c>
      <c r="L636" s="3" t="str">
        <f>IF(K636&lt;-5,"CRÍTICO",IF(K636&lt;0,"ATENÇÃO",IF(K636&lt;=5,"OPORTUNO","MUITO BOM")))</f>
        <v>OPORTUNO</v>
      </c>
      <c r="M636" s="3">
        <v>24</v>
      </c>
      <c r="N636" s="3">
        <v>100</v>
      </c>
      <c r="O636" s="12">
        <v>25</v>
      </c>
    </row>
    <row r="637" spans="1:15" hidden="1" x14ac:dyDescent="0.25">
      <c r="A637" s="10">
        <v>46052</v>
      </c>
      <c r="B637" t="s">
        <v>22</v>
      </c>
      <c r="C637" s="1" t="s">
        <v>23</v>
      </c>
      <c r="D637" s="3">
        <v>32</v>
      </c>
      <c r="E637" s="3">
        <v>31</v>
      </c>
      <c r="F637" s="3">
        <v>20.39</v>
      </c>
      <c r="G637" s="3">
        <v>0</v>
      </c>
      <c r="H637" s="3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 s="3">
        <v>31</v>
      </c>
      <c r="N637" s="3">
        <v>98.91</v>
      </c>
      <c r="O637" s="12">
        <v>31.367292225201069</v>
      </c>
    </row>
    <row r="638" spans="1:15" hidden="1" x14ac:dyDescent="0.25">
      <c r="A638" s="10">
        <v>46055</v>
      </c>
      <c r="B638" t="s">
        <v>22</v>
      </c>
      <c r="C638" s="1" t="s">
        <v>23</v>
      </c>
      <c r="D638" s="3">
        <v>17</v>
      </c>
      <c r="E638" s="3">
        <v>15</v>
      </c>
      <c r="F638" s="3">
        <v>25.08</v>
      </c>
      <c r="G638" s="3">
        <v>0</v>
      </c>
      <c r="H638" s="3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 s="3">
        <v>14</v>
      </c>
      <c r="N638" s="3">
        <v>96.67</v>
      </c>
      <c r="O638" s="12">
        <v>31.451612903225811</v>
      </c>
    </row>
    <row r="639" spans="1:15" hidden="1" x14ac:dyDescent="0.25">
      <c r="A639" s="5">
        <v>46157</v>
      </c>
      <c r="B639" s="6" t="s">
        <v>58</v>
      </c>
      <c r="C639" s="1" t="s">
        <v>48</v>
      </c>
      <c r="D639" s="3">
        <v>13</v>
      </c>
      <c r="E639" s="3">
        <v>13</v>
      </c>
      <c r="F639" s="3">
        <v>33.590000000000003</v>
      </c>
      <c r="G639" s="3">
        <v>0</v>
      </c>
      <c r="H639" s="3">
        <v>0</v>
      </c>
      <c r="I639" s="3">
        <f>E639+G639+H639</f>
        <v>13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-10</v>
      </c>
      <c r="L639" s="3" t="str">
        <f>IF(K639&lt;-5,"CRÍTICO",IF(K639&lt;0,"ATENÇÃO",IF(K639&lt;=5,"OPORTUNO","MUITO BOM")))</f>
        <v>CRÍTICO</v>
      </c>
      <c r="M639" s="3">
        <v>11</v>
      </c>
      <c r="N639" s="3">
        <v>100</v>
      </c>
      <c r="O639" s="12">
        <v>20.183486238532112</v>
      </c>
    </row>
    <row r="640" spans="1:15" hidden="1" x14ac:dyDescent="0.25">
      <c r="A640" s="5">
        <v>46157</v>
      </c>
      <c r="B640" s="6" t="s">
        <v>59</v>
      </c>
      <c r="C640" s="1" t="s">
        <v>23</v>
      </c>
      <c r="D640" s="3">
        <v>40</v>
      </c>
      <c r="E640" s="3">
        <v>38</v>
      </c>
      <c r="F640" s="3">
        <v>15.24</v>
      </c>
      <c r="G640" s="3">
        <v>5</v>
      </c>
      <c r="H640" s="3">
        <v>0</v>
      </c>
      <c r="I640" s="3">
        <f>E640+G640+H640</f>
        <v>43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19</v>
      </c>
      <c r="K640" s="3">
        <f>I640-J640</f>
        <v>24</v>
      </c>
      <c r="L640" s="3" t="str">
        <f>IF(K640&lt;-5,"CRÍTICO",IF(K640&lt;0,"ATENÇÃO",IF(K640&lt;=5,"OPORTUNO","MUITO BOM")))</f>
        <v>MUITO BOM</v>
      </c>
      <c r="M640" s="3">
        <v>36</v>
      </c>
      <c r="N640" s="3">
        <v>96.25</v>
      </c>
      <c r="O640" s="12">
        <v>25.586353944562902</v>
      </c>
    </row>
    <row r="641" spans="1:15" hidden="1" x14ac:dyDescent="0.25">
      <c r="A641" s="5">
        <v>46157</v>
      </c>
      <c r="B641" s="6" t="s">
        <v>60</v>
      </c>
      <c r="C641" s="1" t="s">
        <v>23</v>
      </c>
      <c r="D641" s="3">
        <v>24</v>
      </c>
      <c r="E641" s="3">
        <v>20</v>
      </c>
      <c r="F641" s="3">
        <v>19.190000000000001</v>
      </c>
      <c r="G641" s="3">
        <v>3</v>
      </c>
      <c r="H641" s="3">
        <v>0</v>
      </c>
      <c r="I641" s="3">
        <f>E641+G641+H641</f>
        <v>23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19</v>
      </c>
      <c r="K641" s="3">
        <f>I641-J641</f>
        <v>4</v>
      </c>
      <c r="L641" s="3" t="str">
        <f>IF(K641&lt;-5,"CRÍTICO",IF(K641&lt;0,"ATENÇÃO",IF(K641&lt;=5,"OPORTUNO","MUITO BOM")))</f>
        <v>OPORTUNO</v>
      </c>
      <c r="M641" s="3">
        <v>20</v>
      </c>
      <c r="N641" s="3">
        <v>97.48</v>
      </c>
      <c r="O641" s="12">
        <v>22.99465240641711</v>
      </c>
    </row>
    <row r="642" spans="1:15" hidden="1" x14ac:dyDescent="0.25">
      <c r="A642" s="5">
        <v>46157</v>
      </c>
      <c r="B642" s="6" t="s">
        <v>61</v>
      </c>
      <c r="C642" s="1" t="s">
        <v>23</v>
      </c>
      <c r="D642" s="3">
        <v>18</v>
      </c>
      <c r="E642" s="3">
        <v>18</v>
      </c>
      <c r="F642" s="3">
        <v>25.25</v>
      </c>
      <c r="G642" s="3">
        <v>3</v>
      </c>
      <c r="H642" s="3">
        <v>0</v>
      </c>
      <c r="I642" s="3">
        <f>E642+G642+H642</f>
        <v>21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2</v>
      </c>
      <c r="L642" s="3" t="str">
        <f>IF(K642&lt;-5,"CRÍTICO",IF(K642&lt;0,"ATENÇÃO",IF(K642&lt;=5,"OPORTUNO","MUITO BOM")))</f>
        <v>OPORTUNO</v>
      </c>
      <c r="M642" s="3">
        <v>19</v>
      </c>
      <c r="N642" s="3">
        <v>100</v>
      </c>
      <c r="O642" s="12">
        <v>20.788530465949819</v>
      </c>
    </row>
    <row r="643" spans="1:15" hidden="1" x14ac:dyDescent="0.25">
      <c r="A643" s="5">
        <v>46157</v>
      </c>
      <c r="B643" s="6" t="s">
        <v>62</v>
      </c>
      <c r="C643" s="1" t="s">
        <v>23</v>
      </c>
      <c r="D643" s="3">
        <v>24</v>
      </c>
      <c r="E643" s="3">
        <v>21</v>
      </c>
      <c r="F643" s="3">
        <v>20.350000000000001</v>
      </c>
      <c r="G643" s="3">
        <v>2</v>
      </c>
      <c r="H643" s="3">
        <v>0</v>
      </c>
      <c r="I643" s="3">
        <f>E643+G643+H643</f>
        <v>23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4</v>
      </c>
      <c r="L643" s="3" t="str">
        <f>IF(K643&lt;-5,"CRÍTICO",IF(K643&lt;0,"ATENÇÃO",IF(K643&lt;=5,"OPORTUNO","MUITO BOM")))</f>
        <v>OPORTUNO</v>
      </c>
      <c r="M643" s="3">
        <v>24</v>
      </c>
      <c r="N643" s="3">
        <v>94.55</v>
      </c>
      <c r="O643" s="12">
        <v>23.450134770889491</v>
      </c>
    </row>
    <row r="644" spans="1:15" hidden="1" x14ac:dyDescent="0.25">
      <c r="A644" s="5">
        <v>46157</v>
      </c>
      <c r="B644" s="6" t="s">
        <v>63</v>
      </c>
      <c r="C644" s="1" t="s">
        <v>23</v>
      </c>
      <c r="D644" s="3">
        <v>28</v>
      </c>
      <c r="E644" s="3">
        <v>25</v>
      </c>
      <c r="F644" s="3">
        <v>13.57</v>
      </c>
      <c r="G644" s="3">
        <v>5</v>
      </c>
      <c r="H644" s="3">
        <v>0</v>
      </c>
      <c r="I644" s="3">
        <f>E644+G644+H644</f>
        <v>30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11</v>
      </c>
      <c r="L644" s="3" t="str">
        <f>IF(K644&lt;-5,"CRÍTICO",IF(K644&lt;0,"ATENÇÃO",IF(K644&lt;=5,"OPORTUNO","MUITO BOM")))</f>
        <v>MUITO BOM</v>
      </c>
      <c r="M644" s="3">
        <v>23</v>
      </c>
      <c r="N644" s="3">
        <v>98</v>
      </c>
      <c r="O644" s="12">
        <v>20.73490813648294</v>
      </c>
    </row>
    <row r="645" spans="1:15" hidden="1" x14ac:dyDescent="0.25">
      <c r="A645" s="5">
        <v>46157</v>
      </c>
      <c r="B645" s="6" t="s">
        <v>64</v>
      </c>
      <c r="C645" s="1" t="s">
        <v>23</v>
      </c>
      <c r="D645" s="3">
        <v>18</v>
      </c>
      <c r="E645" s="3">
        <v>17</v>
      </c>
      <c r="F645" s="3">
        <v>35.31</v>
      </c>
      <c r="G645" s="3">
        <v>3</v>
      </c>
      <c r="H645" s="3">
        <v>0</v>
      </c>
      <c r="I645" s="3">
        <f>E645+G645+H645</f>
        <v>20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19</v>
      </c>
      <c r="K645" s="3">
        <f>I645-J645</f>
        <v>1</v>
      </c>
      <c r="L645" s="3" t="str">
        <f>IF(K645&lt;-5,"CRÍTICO",IF(K645&lt;0,"ATENÇÃO",IF(K645&lt;=5,"OPORTUNO","MUITO BOM")))</f>
        <v>OPORTUNO</v>
      </c>
      <c r="M645" s="3">
        <v>14</v>
      </c>
      <c r="N645" s="3">
        <v>100</v>
      </c>
      <c r="O645" s="12">
        <v>18</v>
      </c>
    </row>
    <row r="646" spans="1:15" hidden="1" x14ac:dyDescent="0.25">
      <c r="A646" s="5">
        <v>46157</v>
      </c>
      <c r="B646" s="6" t="s">
        <v>22</v>
      </c>
      <c r="C646" s="1" t="s">
        <v>23</v>
      </c>
      <c r="D646" s="3">
        <v>19</v>
      </c>
      <c r="E646" s="3">
        <v>16</v>
      </c>
      <c r="F646" s="3">
        <v>16.559999999999999</v>
      </c>
      <c r="G646" s="3">
        <v>6</v>
      </c>
      <c r="H646" s="3">
        <v>1</v>
      </c>
      <c r="I646" s="3">
        <f>E646+G646+H646</f>
        <v>23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19</v>
      </c>
      <c r="K646" s="3">
        <f>I646-J646</f>
        <v>4</v>
      </c>
      <c r="L646" s="3" t="str">
        <f>IF(K646&lt;-5,"CRÍTICO",IF(K646&lt;0,"ATENÇÃO",IF(K646&lt;=5,"OPORTUNO","MUITO BOM")))</f>
        <v>OPORTUNO</v>
      </c>
      <c r="M646" s="3">
        <v>15</v>
      </c>
      <c r="N646" s="3">
        <v>99.06</v>
      </c>
      <c r="O646" s="12">
        <v>19.417475728155338</v>
      </c>
    </row>
    <row r="647" spans="1:15" x14ac:dyDescent="0.25">
      <c r="A647" s="5">
        <v>46149</v>
      </c>
      <c r="B647" s="6" t="s">
        <v>19</v>
      </c>
      <c r="C647" s="1" t="s">
        <v>16</v>
      </c>
      <c r="D647" s="3">
        <v>52</v>
      </c>
      <c r="E647" s="3">
        <v>37</v>
      </c>
      <c r="F647" s="3">
        <v>5.49</v>
      </c>
      <c r="G647" s="3">
        <v>0</v>
      </c>
      <c r="H647" s="3">
        <v>0</v>
      </c>
      <c r="I647" s="3">
        <f>E647+G647+H647</f>
        <v>37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9</v>
      </c>
      <c r="K647" s="3">
        <f>I647-J647</f>
        <v>28</v>
      </c>
      <c r="L647" s="3" t="str">
        <f>IF(K647&lt;-5,"CRÍTICO",IF(K647&lt;0,"ATENÇÃO",IF(K647&lt;=5,"BOM","EXCELENTE")))</f>
        <v>EXCELENTE</v>
      </c>
      <c r="M647" s="3">
        <v>4</v>
      </c>
      <c r="N647" s="3">
        <v>100</v>
      </c>
      <c r="O647" s="12">
        <v>12.941176470588241</v>
      </c>
    </row>
    <row r="648" spans="1:15" x14ac:dyDescent="0.25">
      <c r="A648" s="5">
        <v>46150</v>
      </c>
      <c r="B648" s="6" t="s">
        <v>19</v>
      </c>
      <c r="C648" s="1" t="s">
        <v>16</v>
      </c>
      <c r="D648" s="3">
        <v>55</v>
      </c>
      <c r="E648" s="3">
        <v>34</v>
      </c>
      <c r="F648" s="3">
        <v>5.58</v>
      </c>
      <c r="G648" s="3">
        <v>0</v>
      </c>
      <c r="H648" s="3">
        <v>0</v>
      </c>
      <c r="I648" s="3">
        <f>E648+G648+H648</f>
        <v>34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8</v>
      </c>
      <c r="K648" s="3">
        <f>I648-J648</f>
        <v>26</v>
      </c>
      <c r="L648" s="3" t="str">
        <f>IF(K648&lt;-5,"CRÍTICO",IF(K648&lt;0,"ATENÇÃO",IF(K648&lt;=5,"BOM","EXCELENTE")))</f>
        <v>EXCELENTE</v>
      </c>
      <c r="M648" s="3">
        <v>1</v>
      </c>
      <c r="N648" s="3">
        <v>100</v>
      </c>
      <c r="O648" s="12">
        <v>12.941176470588241</v>
      </c>
    </row>
    <row r="649" spans="1:15" hidden="1" x14ac:dyDescent="0.25">
      <c r="A649" s="5">
        <v>46157</v>
      </c>
      <c r="B649" s="6" t="s">
        <v>43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31</v>
      </c>
      <c r="I649" s="3">
        <f>E649+G649+H649</f>
        <v>31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29</v>
      </c>
      <c r="K649" s="3">
        <f>I649-J649</f>
        <v>2</v>
      </c>
      <c r="L649" s="3" t="str">
        <f>IF(K649&lt;-5,"CRÍTICO",IF(K649&lt;0,"ATENÇÃO",IF(K649&lt;=5,"OPORTUNO","MUITO BOM")))</f>
        <v>OPORTUNO</v>
      </c>
      <c r="M649" s="3">
        <v>19</v>
      </c>
      <c r="N649" s="3">
        <v>98.39</v>
      </c>
      <c r="O649" s="12">
        <v>8.7999999999999989</v>
      </c>
    </row>
    <row r="650" spans="1:15" x14ac:dyDescent="0.25">
      <c r="A650" s="5">
        <v>46153</v>
      </c>
      <c r="B650" s="6" t="s">
        <v>19</v>
      </c>
      <c r="C650" s="1" t="s">
        <v>16</v>
      </c>
      <c r="D650" s="3">
        <v>52</v>
      </c>
      <c r="E650" s="3">
        <v>32</v>
      </c>
      <c r="F650" s="3">
        <v>5.18</v>
      </c>
      <c r="G650" s="3">
        <v>0</v>
      </c>
      <c r="H650" s="3">
        <v>0</v>
      </c>
      <c r="I650" s="3">
        <f>E650+G650+H650</f>
        <v>32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9</v>
      </c>
      <c r="K650" s="3">
        <f>I650-J650</f>
        <v>23</v>
      </c>
      <c r="L650" s="3" t="str">
        <f>IF(K650&lt;-5,"CRÍTICO",IF(K650&lt;0,"ATENÇÃO",IF(K650&lt;=5,"BOM","EXCELENTE")))</f>
        <v>EXCELENTE</v>
      </c>
      <c r="M650" s="3">
        <v>4</v>
      </c>
      <c r="N650" s="3">
        <v>100</v>
      </c>
      <c r="O650" s="12">
        <v>12.941176470588241</v>
      </c>
    </row>
    <row r="651" spans="1:15" x14ac:dyDescent="0.25">
      <c r="A651" s="5">
        <v>46154</v>
      </c>
      <c r="B651" s="6" t="s">
        <v>19</v>
      </c>
      <c r="C651" s="1" t="s">
        <v>16</v>
      </c>
      <c r="D651" s="3">
        <v>45</v>
      </c>
      <c r="E651" s="3">
        <v>27</v>
      </c>
      <c r="F651" s="3">
        <v>7.15</v>
      </c>
      <c r="G651" s="3">
        <v>0</v>
      </c>
      <c r="H651" s="3">
        <v>0</v>
      </c>
      <c r="I651" s="3">
        <f>E651+G651+H651</f>
        <v>27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9</v>
      </c>
      <c r="K651" s="3">
        <f>I651-J651</f>
        <v>18</v>
      </c>
      <c r="L651" s="3" t="str">
        <f>IF(K651&lt;-5,"CRÍTICO",IF(K651&lt;0,"ATENÇÃO",IF(K651&lt;=5,"BOM","EXCELENTE")))</f>
        <v>EXCELENTE</v>
      </c>
      <c r="M651" s="3">
        <v>1</v>
      </c>
      <c r="N651" s="3">
        <v>100</v>
      </c>
      <c r="O651" s="12">
        <v>12.941176470588241</v>
      </c>
    </row>
    <row r="652" spans="1:15" x14ac:dyDescent="0.25">
      <c r="A652" s="5">
        <v>46155</v>
      </c>
      <c r="B652" s="6" t="s">
        <v>19</v>
      </c>
      <c r="C652" s="1" t="s">
        <v>16</v>
      </c>
      <c r="D652" s="3">
        <v>37</v>
      </c>
      <c r="E652" s="3">
        <v>23</v>
      </c>
      <c r="F652" s="3">
        <v>6.59</v>
      </c>
      <c r="G652" s="3">
        <v>0</v>
      </c>
      <c r="H652" s="3">
        <v>0</v>
      </c>
      <c r="I652" s="3">
        <f>E652+G652+H652</f>
        <v>23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8</v>
      </c>
      <c r="K652" s="3">
        <f>I652-J652</f>
        <v>15</v>
      </c>
      <c r="L652" s="3" t="str">
        <f>IF(K652&lt;-5,"CRÍTICO",IF(K652&lt;0,"ATENÇÃO",IF(K652&lt;=5,"BOM","EXCELENTE")))</f>
        <v>EXCELENTE</v>
      </c>
      <c r="M652" s="3">
        <v>1</v>
      </c>
      <c r="N652" s="3">
        <v>100</v>
      </c>
      <c r="O652" s="12">
        <v>12.941176470588241</v>
      </c>
    </row>
    <row r="653" spans="1:15" x14ac:dyDescent="0.25">
      <c r="A653" s="5">
        <v>46156</v>
      </c>
      <c r="B653" s="6" t="s">
        <v>19</v>
      </c>
      <c r="C653" s="1" t="s">
        <v>16</v>
      </c>
      <c r="D653" s="3">
        <v>63</v>
      </c>
      <c r="E653" s="3">
        <v>43</v>
      </c>
      <c r="F653" s="3">
        <v>6.57</v>
      </c>
      <c r="G653" s="3">
        <v>0</v>
      </c>
      <c r="H653" s="3">
        <v>0</v>
      </c>
      <c r="I653" s="3">
        <f>E653+G653+H653</f>
        <v>43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8</v>
      </c>
      <c r="K653" s="3">
        <f>I653-J653</f>
        <v>35</v>
      </c>
      <c r="L653" s="3" t="str">
        <f>IF(K653&lt;-5,"CRÍTICO",IF(K653&lt;0,"ATENÇÃO",IF(K653&lt;=5,"BOM","EXCELENTE")))</f>
        <v>EXCELENTE</v>
      </c>
      <c r="M653" s="3">
        <v>2</v>
      </c>
      <c r="N653" s="3">
        <v>100</v>
      </c>
      <c r="O653" s="12">
        <v>12.941176470588241</v>
      </c>
    </row>
    <row r="654" spans="1:15" x14ac:dyDescent="0.25">
      <c r="A654" s="5">
        <v>46157</v>
      </c>
      <c r="B654" s="6" t="s">
        <v>19</v>
      </c>
      <c r="C654" s="1" t="s">
        <v>16</v>
      </c>
      <c r="D654" s="3">
        <v>54</v>
      </c>
      <c r="E654" s="3">
        <v>32</v>
      </c>
      <c r="F654" s="3">
        <v>6.47</v>
      </c>
      <c r="G654" s="3">
        <v>0</v>
      </c>
      <c r="H654" s="3">
        <v>0</v>
      </c>
      <c r="I654" s="3">
        <f>E654+G654+H654</f>
        <v>32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8</v>
      </c>
      <c r="K654" s="3">
        <f>I654-J654</f>
        <v>24</v>
      </c>
      <c r="L654" s="3" t="str">
        <f>IF(K654&lt;-5,"CRÍTICO",IF(K654&lt;0,"ATENÇÃO",IF(K654&lt;=5,"BOM","EXCELENTE")))</f>
        <v>EXCELENTE</v>
      </c>
      <c r="M654" s="3">
        <v>1</v>
      </c>
      <c r="N654" s="3">
        <v>100</v>
      </c>
      <c r="O654" s="12">
        <v>12.941176470588241</v>
      </c>
    </row>
    <row r="655" spans="1:15" x14ac:dyDescent="0.25">
      <c r="A655" s="5">
        <v>46160</v>
      </c>
      <c r="B655" s="6" t="s">
        <v>19</v>
      </c>
      <c r="C655" s="1" t="s">
        <v>16</v>
      </c>
      <c r="D655" s="3">
        <v>72</v>
      </c>
      <c r="E655" s="3">
        <v>45</v>
      </c>
      <c r="F655" s="3">
        <v>8.2100000000000009</v>
      </c>
      <c r="G655" s="3">
        <v>0</v>
      </c>
      <c r="H655" s="3">
        <v>0</v>
      </c>
      <c r="I655" s="3">
        <f>E655+G655+H655</f>
        <v>45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8</v>
      </c>
      <c r="K655" s="3">
        <f>I655-J655</f>
        <v>37</v>
      </c>
      <c r="L655" s="3" t="str">
        <f>IF(K655&lt;-5,"CRÍTICO",IF(K655&lt;0,"ATENÇÃO",IF(K655&lt;=5,"BOM","EXCELENTE")))</f>
        <v>EXCELENTE</v>
      </c>
      <c r="M655" s="3">
        <v>11</v>
      </c>
      <c r="N655" s="3">
        <v>100</v>
      </c>
      <c r="O655" s="12">
        <v>12.941176470588241</v>
      </c>
    </row>
    <row r="656" spans="1:15" x14ac:dyDescent="0.25">
      <c r="A656" s="7">
        <v>46161</v>
      </c>
      <c r="B656" s="8" t="s">
        <v>19</v>
      </c>
      <c r="C656" s="1" t="s">
        <v>16</v>
      </c>
      <c r="D656" s="3">
        <v>36</v>
      </c>
      <c r="E656" s="3">
        <v>24</v>
      </c>
      <c r="F656" s="3">
        <v>13.26</v>
      </c>
      <c r="G656" s="3">
        <v>0</v>
      </c>
      <c r="H656" s="3">
        <v>0</v>
      </c>
      <c r="I656" s="3">
        <f>E656+G656+H656</f>
        <v>24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8</v>
      </c>
      <c r="K656" s="3">
        <f>I656-J656</f>
        <v>16</v>
      </c>
      <c r="L656" s="3" t="str">
        <f>IF(K656&lt;-5,"CRÍTICO",IF(K656&lt;0,"ATENÇÃO",IF(K656&lt;=5,"BOM","EXCELENTE")))</f>
        <v>EXCELENTE</v>
      </c>
      <c r="M656" s="3">
        <v>12</v>
      </c>
      <c r="N656" s="3">
        <v>100</v>
      </c>
      <c r="O656" s="12">
        <v>12.941176470588241</v>
      </c>
    </row>
    <row r="657" spans="1:15" x14ac:dyDescent="0.25">
      <c r="A657" s="7">
        <v>46162</v>
      </c>
      <c r="B657" s="8" t="s">
        <v>19</v>
      </c>
      <c r="C657" s="1" t="s">
        <v>16</v>
      </c>
      <c r="D657" s="3">
        <v>15</v>
      </c>
      <c r="E657" s="3">
        <v>10</v>
      </c>
      <c r="F657" s="3">
        <v>10.49</v>
      </c>
      <c r="G657" s="3">
        <v>0</v>
      </c>
      <c r="H657" s="3">
        <v>0</v>
      </c>
      <c r="I657" s="3">
        <f>E657+G657+H657</f>
        <v>10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7</v>
      </c>
      <c r="K657" s="3">
        <f>I657-J657</f>
        <v>3</v>
      </c>
      <c r="L657" s="3" t="str">
        <f>IF(K657&lt;-5,"CRÍTICO",IF(K657&lt;0,"ATENÇÃO",IF(K657&lt;=5,"OPORTUNO","MUITO BOM")))</f>
        <v>OPORTUNO</v>
      </c>
      <c r="M657" s="3">
        <v>5</v>
      </c>
      <c r="N657" s="3">
        <v>100</v>
      </c>
      <c r="O657" s="12">
        <v>12.941176470588241</v>
      </c>
    </row>
    <row r="658" spans="1:15" hidden="1" x14ac:dyDescent="0.25">
      <c r="A658" s="10">
        <v>46099</v>
      </c>
      <c r="B658" t="s">
        <v>43</v>
      </c>
      <c r="C658" s="1" t="s">
        <v>32</v>
      </c>
      <c r="D658" s="3">
        <v>32</v>
      </c>
      <c r="E658" s="3">
        <v>31</v>
      </c>
      <c r="F658" s="3">
        <v>17.18</v>
      </c>
      <c r="G658" s="3">
        <v>0</v>
      </c>
      <c r="H658" s="3">
        <v>0</v>
      </c>
      <c r="I658" s="3">
        <f>E658+G658+H658</f>
        <v>31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22</v>
      </c>
      <c r="K658" s="3">
        <f>I658-J658</f>
        <v>9</v>
      </c>
      <c r="L658" s="3" t="str">
        <f>IF(K658&lt;-5,"CRÍTICO",IF(K658&lt;0,"ATENÇÃO",IF(K658&lt;=5,"OPORTUNO","MUITO BOM")))</f>
        <v>MUITO BOM</v>
      </c>
      <c r="M658" s="3">
        <v>33</v>
      </c>
      <c r="N658" s="3">
        <v>98.86</v>
      </c>
      <c r="O658" s="12">
        <v>28.959276018099551</v>
      </c>
    </row>
    <row r="659" spans="1:15" x14ac:dyDescent="0.25">
      <c r="A659" s="5">
        <v>46163</v>
      </c>
      <c r="B659" s="6" t="s">
        <v>19</v>
      </c>
      <c r="C659" s="1" t="s">
        <v>16</v>
      </c>
      <c r="D659" s="3">
        <v>12</v>
      </c>
      <c r="E659" s="3">
        <v>12</v>
      </c>
      <c r="F659" s="3">
        <v>21.43</v>
      </c>
      <c r="G659" s="3">
        <v>0</v>
      </c>
      <c r="H659" s="3">
        <v>0</v>
      </c>
      <c r="I659" s="3">
        <f>E659+G659+H659</f>
        <v>12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6</v>
      </c>
      <c r="K659" s="3">
        <f>I659-J659</f>
        <v>6</v>
      </c>
      <c r="L659" s="3" t="str">
        <f>IF(K659&lt;-5,"CRÍTICO",IF(K659&lt;0,"ATENÇÃO",IF(K659&lt;=5,"OPORTUNO","MUITO BOM")))</f>
        <v>MUITO BOM</v>
      </c>
      <c r="M659" s="3">
        <v>8</v>
      </c>
      <c r="N659" s="3">
        <v>100</v>
      </c>
      <c r="O659" s="12">
        <v>12.941176470588241</v>
      </c>
    </row>
    <row r="660" spans="1:15" x14ac:dyDescent="0.25">
      <c r="A660" s="9">
        <v>46164</v>
      </c>
      <c r="B660" s="6" t="s">
        <v>19</v>
      </c>
      <c r="C660" s="1" t="s">
        <v>16</v>
      </c>
      <c r="D660" s="3">
        <v>8</v>
      </c>
      <c r="E660" s="3">
        <v>8</v>
      </c>
      <c r="F660" s="3">
        <v>20.010000000000002</v>
      </c>
      <c r="G660" s="3">
        <v>0</v>
      </c>
      <c r="H660" s="3">
        <v>0</v>
      </c>
      <c r="I660" s="3">
        <f>E660+G660+H660</f>
        <v>8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6</v>
      </c>
      <c r="K660" s="3">
        <f>I660-J660</f>
        <v>2</v>
      </c>
      <c r="L660" s="3" t="str">
        <f>IF(K660&lt;-5,"CRÍTICO",IF(K660&lt;0,"ATENÇÃO",IF(K660&lt;=5,"OPORTUNO","MUITO BOM")))</f>
        <v>OPORTUNO</v>
      </c>
      <c r="M660" s="3">
        <v>6</v>
      </c>
      <c r="N660" s="3">
        <v>100</v>
      </c>
      <c r="O660" s="12">
        <v>12.941176470588241</v>
      </c>
    </row>
    <row r="661" spans="1:15" hidden="1" x14ac:dyDescent="0.25">
      <c r="A661" s="5">
        <v>46160</v>
      </c>
      <c r="B661" s="6" t="s">
        <v>31</v>
      </c>
      <c r="C661" s="1" t="s">
        <v>32</v>
      </c>
      <c r="D661" s="3">
        <v>0</v>
      </c>
      <c r="E661" s="3">
        <v>0</v>
      </c>
      <c r="F661" s="3">
        <v>0</v>
      </c>
      <c r="G661" s="3">
        <v>0</v>
      </c>
      <c r="H661" s="3">
        <v>0</v>
      </c>
      <c r="I661" s="3">
        <f>E661+G661+H661</f>
        <v>0</v>
      </c>
      <c r="J661" s="3">
        <v>0</v>
      </c>
      <c r="K661" s="3">
        <f>I661-J661</f>
        <v>0</v>
      </c>
      <c r="L661" s="3" t="str">
        <f>IF(K661&lt;-5,"CRÍTICO",IF(K661&lt;0,"ATENÇÃO",IF(K661&lt;=5,"OPORTUNO","MUITO BOM")))</f>
        <v>OPORTUNO</v>
      </c>
      <c r="M661" s="3">
        <v>0</v>
      </c>
      <c r="N661" s="3">
        <v>100</v>
      </c>
      <c r="O661" s="12">
        <v>0</v>
      </c>
    </row>
    <row r="662" spans="1:15" hidden="1" x14ac:dyDescent="0.25">
      <c r="A662" s="5">
        <v>46160</v>
      </c>
      <c r="B662" s="6" t="s">
        <v>33</v>
      </c>
      <c r="C662" s="1" t="s">
        <v>32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f>E662+G662+H662</f>
        <v>0</v>
      </c>
      <c r="J662" s="3">
        <v>0</v>
      </c>
      <c r="K662" s="3">
        <f>I662-J662</f>
        <v>0</v>
      </c>
      <c r="L662" s="3" t="str">
        <f>IF(K662&lt;-5,"CRÍTICO",IF(K662&lt;0,"ATENÇÃO",IF(K662&lt;=5,"OPORTUNO","MUITO BOM")))</f>
        <v>OPORTUNO</v>
      </c>
      <c r="M662" s="3">
        <v>0</v>
      </c>
      <c r="N662" s="3">
        <v>96.94</v>
      </c>
      <c r="O662" s="12">
        <v>19.613259668508292</v>
      </c>
    </row>
    <row r="663" spans="1:15" hidden="1" x14ac:dyDescent="0.25">
      <c r="A663" s="5">
        <v>46160</v>
      </c>
      <c r="B663" s="6" t="s">
        <v>34</v>
      </c>
      <c r="C663" s="1" t="s">
        <v>32</v>
      </c>
      <c r="D663" s="3">
        <v>30</v>
      </c>
      <c r="E663" s="3">
        <v>27</v>
      </c>
      <c r="F663" s="3">
        <v>13.29</v>
      </c>
      <c r="G663" s="3">
        <v>0</v>
      </c>
      <c r="H663" s="3">
        <v>0</v>
      </c>
      <c r="I663" s="3">
        <f>E663+G663+H663</f>
        <v>27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27</v>
      </c>
      <c r="K663" s="3">
        <f>I663-J663</f>
        <v>0</v>
      </c>
      <c r="L663" s="3" t="str">
        <f>IF(K663&lt;-5,"CRÍTICO",IF(K663&lt;0,"ATENÇÃO",IF(K663&lt;=5,"OPORTUNO","MUITO BOM")))</f>
        <v>OPORTUNO</v>
      </c>
      <c r="M663" s="3">
        <v>25</v>
      </c>
      <c r="N663" s="3">
        <v>92.81</v>
      </c>
      <c r="O663" s="12">
        <v>25.477707006369432</v>
      </c>
    </row>
    <row r="664" spans="1:15" hidden="1" x14ac:dyDescent="0.25">
      <c r="A664" s="5">
        <v>46160</v>
      </c>
      <c r="B664" s="6" t="s">
        <v>35</v>
      </c>
      <c r="C664" s="1" t="s">
        <v>32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f>E664+G664+H664</f>
        <v>0</v>
      </c>
      <c r="J664" s="3">
        <v>0</v>
      </c>
      <c r="K664" s="3">
        <f>I664-J664</f>
        <v>0</v>
      </c>
      <c r="L664" s="3" t="str">
        <f>IF(K664&lt;-5,"CRÍTICO",IF(K664&lt;0,"ATENÇÃO",IF(K664&lt;=5,"OPORTUNO","MUITO BOM")))</f>
        <v>OPORTUNO</v>
      </c>
      <c r="M664" s="3">
        <v>0</v>
      </c>
      <c r="N664" s="3">
        <v>99.19</v>
      </c>
      <c r="O664" s="12">
        <v>28.404669260700391</v>
      </c>
    </row>
    <row r="665" spans="1:15" hidden="1" x14ac:dyDescent="0.25"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A729" s="5">
        <v>46160</v>
      </c>
      <c r="B729" s="6" t="s">
        <v>37</v>
      </c>
      <c r="C729" s="1" t="s">
        <v>32</v>
      </c>
      <c r="D729" s="3">
        <v>37</v>
      </c>
      <c r="E729" s="3">
        <v>32</v>
      </c>
      <c r="F729" s="3">
        <v>15.11</v>
      </c>
      <c r="G729" s="3">
        <v>5</v>
      </c>
      <c r="H729" s="3">
        <v>0</v>
      </c>
      <c r="I729" s="3">
        <f>E729+G729+H729</f>
        <v>37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27</v>
      </c>
      <c r="K729" s="3">
        <f>I729-J729</f>
        <v>10</v>
      </c>
      <c r="L729" s="3" t="str">
        <f>IF(K729&lt;-5,"CRÍTICO",IF(K729&lt;0,"ATENÇÃO",IF(K729&lt;=5,"OPORTUNO","MUITO BOM")))</f>
        <v>MUITO BOM</v>
      </c>
      <c r="M729" s="3">
        <v>34</v>
      </c>
      <c r="N729" s="3">
        <v>99</v>
      </c>
      <c r="O729" s="12">
        <v>22.27414330218069</v>
      </c>
    </row>
    <row r="730" spans="1:15" hidden="1" x14ac:dyDescent="0.25">
      <c r="A730" s="5">
        <v>46160</v>
      </c>
      <c r="B730" s="6" t="s">
        <v>38</v>
      </c>
      <c r="C730" s="1" t="s">
        <v>32</v>
      </c>
      <c r="D730" s="3">
        <v>26</v>
      </c>
      <c r="E730" s="3">
        <v>25</v>
      </c>
      <c r="F730" s="3">
        <v>13.21</v>
      </c>
      <c r="G730" s="3">
        <v>6</v>
      </c>
      <c r="H730" s="3">
        <v>0</v>
      </c>
      <c r="I730" s="3">
        <f>E730+G730+H730</f>
        <v>31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27</v>
      </c>
      <c r="K730" s="3">
        <f>I730-J730</f>
        <v>4</v>
      </c>
      <c r="L730" s="3" t="str">
        <f>IF(K730&lt;-5,"CRÍTICO",IF(K730&lt;0,"ATENÇÃO",IF(K730&lt;=5,"OPORTUNO","MUITO BOM")))</f>
        <v>OPORTUNO</v>
      </c>
      <c r="M730" s="3">
        <v>23</v>
      </c>
      <c r="N730" s="3">
        <v>97.04</v>
      </c>
      <c r="O730" s="12">
        <v>29.828850855745721</v>
      </c>
    </row>
    <row r="731" spans="1:15" hidden="1" x14ac:dyDescent="0.25">
      <c r="A731" s="5">
        <v>46160</v>
      </c>
      <c r="B731" s="6" t="s">
        <v>39</v>
      </c>
      <c r="C731" s="1" t="s">
        <v>32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f>E731+G731+H731</f>
        <v>0</v>
      </c>
      <c r="J731" s="3">
        <v>0</v>
      </c>
      <c r="K731" s="3">
        <f>I731-J731</f>
        <v>0</v>
      </c>
      <c r="L731" s="3" t="str">
        <f>IF(K731&lt;-5,"CRÍTICO",IF(K731&lt;0,"ATENÇÃO",IF(K731&lt;=5,"OPORTUNO","MUITO BOM")))</f>
        <v>OPORTUNO</v>
      </c>
      <c r="M731" s="3">
        <v>0</v>
      </c>
      <c r="N731" s="3">
        <v>0</v>
      </c>
      <c r="O731" s="12">
        <v>0</v>
      </c>
    </row>
    <row r="732" spans="1:15" hidden="1" x14ac:dyDescent="0.25">
      <c r="A732" s="5">
        <v>46160</v>
      </c>
      <c r="B732" s="6" t="s">
        <v>40</v>
      </c>
      <c r="C732" s="1" t="s">
        <v>32</v>
      </c>
      <c r="D732" s="3">
        <v>25</v>
      </c>
      <c r="E732" s="3">
        <v>24</v>
      </c>
      <c r="F732" s="3">
        <v>23.54</v>
      </c>
      <c r="G732" s="3">
        <v>0</v>
      </c>
      <c r="H732" s="3">
        <v>0</v>
      </c>
      <c r="I732" s="3">
        <f>E732+G732+H732</f>
        <v>24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27</v>
      </c>
      <c r="K732" s="3">
        <f>I732-J732</f>
        <v>-3</v>
      </c>
      <c r="L732" s="3" t="str">
        <f>IF(K732&lt;-5,"CRÍTICO",IF(K732&lt;0,"ATENÇÃO",IF(K732&lt;=5,"OPORTUNO","MUITO BOM")))</f>
        <v>ATENÇÃO</v>
      </c>
      <c r="M732" s="3">
        <v>21</v>
      </c>
      <c r="N732" s="3">
        <v>96.84</v>
      </c>
      <c r="O732" s="12">
        <v>16.338028169014081</v>
      </c>
    </row>
    <row r="733" spans="1:15" hidden="1" x14ac:dyDescent="0.25">
      <c r="A733" s="5">
        <v>46160</v>
      </c>
      <c r="B733" s="6" t="s">
        <v>41</v>
      </c>
      <c r="C733" s="1" t="s">
        <v>32</v>
      </c>
      <c r="D733" s="3">
        <v>28</v>
      </c>
      <c r="E733" s="3">
        <v>25</v>
      </c>
      <c r="F733" s="3">
        <v>15.47</v>
      </c>
      <c r="G733" s="3">
        <v>0</v>
      </c>
      <c r="H733" s="3">
        <v>0</v>
      </c>
      <c r="I733" s="3">
        <f>E733+G733+H733</f>
        <v>25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27</v>
      </c>
      <c r="K733" s="3">
        <f>I733-J733</f>
        <v>-2</v>
      </c>
      <c r="L733" s="3" t="str">
        <f>IF(K733&lt;-5,"CRÍTICO",IF(K733&lt;0,"ATENÇÃO",IF(K733&lt;=5,"OPORTUNO","MUITO BOM")))</f>
        <v>ATENÇÃO</v>
      </c>
      <c r="M733" s="3">
        <v>25</v>
      </c>
      <c r="N733" s="3">
        <v>100</v>
      </c>
      <c r="O733" s="12">
        <v>18.244803695150122</v>
      </c>
    </row>
    <row r="734" spans="1:15" hidden="1" x14ac:dyDescent="0.25">
      <c r="A734" s="5">
        <v>46160</v>
      </c>
      <c r="B734" s="6" t="s">
        <v>42</v>
      </c>
      <c r="C734" s="1" t="s">
        <v>32</v>
      </c>
      <c r="D734" s="3">
        <v>0</v>
      </c>
      <c r="E734" s="3">
        <v>0</v>
      </c>
      <c r="F734" s="3">
        <v>0</v>
      </c>
      <c r="G734" s="3">
        <v>0</v>
      </c>
      <c r="H734" s="3">
        <v>0</v>
      </c>
      <c r="I734" s="3">
        <f>E734+G734+H734</f>
        <v>0</v>
      </c>
      <c r="J734" s="3">
        <v>0</v>
      </c>
      <c r="K734" s="3">
        <f>I734-J734</f>
        <v>0</v>
      </c>
      <c r="L734" s="3" t="str">
        <f>IF(K734&lt;-5,"CRÍTICO",IF(K734&lt;0,"ATENÇÃO",IF(K734&lt;=5,"OPORTUNO","MUITO BOM")))</f>
        <v>OPORTUNO</v>
      </c>
      <c r="M734" s="3">
        <v>0</v>
      </c>
      <c r="N734" s="3">
        <v>100</v>
      </c>
      <c r="O734" s="12">
        <v>15.789473684210529</v>
      </c>
    </row>
    <row r="735" spans="1:15" hidden="1" x14ac:dyDescent="0.25">
      <c r="A735" s="5">
        <v>46160</v>
      </c>
      <c r="B735" s="6" t="s">
        <v>44</v>
      </c>
      <c r="C735" s="1" t="s">
        <v>32</v>
      </c>
      <c r="D735" s="3">
        <v>30</v>
      </c>
      <c r="E735" s="3">
        <v>27</v>
      </c>
      <c r="F735" s="3">
        <v>10.14</v>
      </c>
      <c r="G735" s="3">
        <v>2</v>
      </c>
      <c r="H735" s="3">
        <v>0</v>
      </c>
      <c r="I735" s="3">
        <f>E735+G735+H735</f>
        <v>29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27</v>
      </c>
      <c r="K735" s="3">
        <f>I735-J735</f>
        <v>2</v>
      </c>
      <c r="L735" s="3" t="str">
        <f>IF(K735&lt;-5,"CRÍTICO",IF(K735&lt;0,"ATENÇÃO",IF(K735&lt;=5,"OPORTUNO","MUITO BOM")))</f>
        <v>OPORTUNO</v>
      </c>
      <c r="M735" s="3">
        <v>27</v>
      </c>
      <c r="N735" s="3">
        <v>96.38</v>
      </c>
      <c r="O735" s="12">
        <v>23.198198198198199</v>
      </c>
    </row>
    <row r="736" spans="1:15" hidden="1" x14ac:dyDescent="0.25">
      <c r="A736" s="5">
        <v>46160</v>
      </c>
      <c r="B736" s="6" t="s">
        <v>45</v>
      </c>
      <c r="C736" s="1" t="s">
        <v>32</v>
      </c>
      <c r="D736" s="3">
        <v>34</v>
      </c>
      <c r="E736" s="3">
        <v>28</v>
      </c>
      <c r="F736" s="3">
        <v>13.56</v>
      </c>
      <c r="G736" s="3">
        <v>3</v>
      </c>
      <c r="H736" s="3">
        <v>0</v>
      </c>
      <c r="I736" s="3">
        <f>E736+G736+H736</f>
        <v>31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27</v>
      </c>
      <c r="K736" s="3">
        <f>I736-J736</f>
        <v>4</v>
      </c>
      <c r="L736" s="3" t="str">
        <f>IF(K736&lt;-5,"CRÍTICO",IF(K736&lt;0,"ATENÇÃO",IF(K736&lt;=5,"OPORTUNO","MUITO BOM")))</f>
        <v>OPORTUNO</v>
      </c>
      <c r="M736" s="3">
        <v>26</v>
      </c>
      <c r="N736" s="3">
        <v>99.39</v>
      </c>
      <c r="O736" s="12">
        <v>25.203252032520329</v>
      </c>
    </row>
    <row r="737" spans="1:15" hidden="1" x14ac:dyDescent="0.25">
      <c r="A737" s="5">
        <v>46160</v>
      </c>
      <c r="B737" s="6" t="s">
        <v>46</v>
      </c>
      <c r="C737" s="1" t="s">
        <v>32</v>
      </c>
      <c r="D737" s="3">
        <v>25</v>
      </c>
      <c r="E737" s="3">
        <v>22</v>
      </c>
      <c r="F737" s="3">
        <v>17.29</v>
      </c>
      <c r="G737" s="3">
        <v>4</v>
      </c>
      <c r="H737" s="3">
        <v>0</v>
      </c>
      <c r="I737" s="3">
        <f>E737+G737+H737</f>
        <v>26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27</v>
      </c>
      <c r="K737" s="3">
        <f>I737-J737</f>
        <v>-1</v>
      </c>
      <c r="L737" s="3" t="str">
        <f>IF(K737&lt;-5,"CRÍTICO",IF(K737&lt;0,"ATENÇÃO",IF(K737&lt;=5,"OPORTUNO","MUITO BOM")))</f>
        <v>ATENÇÃO</v>
      </c>
      <c r="M737" s="3">
        <v>21</v>
      </c>
      <c r="N737" s="3">
        <v>97</v>
      </c>
      <c r="O737" s="12">
        <v>20.325203252032519</v>
      </c>
    </row>
    <row r="738" spans="1:15" hidden="1" x14ac:dyDescent="0.25">
      <c r="A738" s="5">
        <v>46160</v>
      </c>
      <c r="B738" s="6" t="s">
        <v>47</v>
      </c>
      <c r="C738" s="1" t="s">
        <v>48</v>
      </c>
      <c r="D738" s="3">
        <v>42</v>
      </c>
      <c r="E738" s="3">
        <v>27</v>
      </c>
      <c r="F738" s="3">
        <v>7.38</v>
      </c>
      <c r="G738" s="3">
        <v>4</v>
      </c>
      <c r="H738" s="3">
        <v>0</v>
      </c>
      <c r="I738" s="3">
        <f>E738+G738+H738</f>
        <v>31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21</v>
      </c>
      <c r="K738" s="3">
        <f>I738-J738</f>
        <v>10</v>
      </c>
      <c r="L738" s="3" t="str">
        <f>IF(K738&lt;-5,"CRÍTICO",IF(K738&lt;0,"ATENÇÃO",IF(K738&lt;=5,"OPORTUNO","MUITO BOM")))</f>
        <v>MUITO BOM</v>
      </c>
      <c r="M738" s="3">
        <v>19</v>
      </c>
      <c r="N738" s="3">
        <v>99.18</v>
      </c>
      <c r="O738" s="12">
        <v>24.501424501424498</v>
      </c>
    </row>
    <row r="739" spans="1:15" hidden="1" x14ac:dyDescent="0.25">
      <c r="A739" s="5">
        <v>46160</v>
      </c>
      <c r="B739" s="6" t="s">
        <v>49</v>
      </c>
      <c r="C739" s="1" t="s">
        <v>48</v>
      </c>
      <c r="D739" s="3">
        <v>46</v>
      </c>
      <c r="E739" s="3">
        <v>39</v>
      </c>
      <c r="F739" s="3">
        <v>11.41</v>
      </c>
      <c r="G739" s="3">
        <v>7</v>
      </c>
      <c r="H739" s="3">
        <v>0</v>
      </c>
      <c r="I739" s="3">
        <f>E739+G739+H739</f>
        <v>46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21</v>
      </c>
      <c r="K739" s="3">
        <f>I739-J739</f>
        <v>25</v>
      </c>
      <c r="L739" s="3" t="str">
        <f>IF(K739&lt;-5,"CRÍTICO",IF(K739&lt;0,"ATENÇÃO",IF(K739&lt;=5,"OPORTUNO","MUITO BOM")))</f>
        <v>MUITO BOM</v>
      </c>
      <c r="M739" s="3">
        <v>42</v>
      </c>
      <c r="N739" s="3">
        <v>99.35</v>
      </c>
      <c r="O739" s="12">
        <v>19.852941176470591</v>
      </c>
    </row>
    <row r="740" spans="1:15" hidden="1" x14ac:dyDescent="0.25">
      <c r="A740" s="5">
        <v>46160</v>
      </c>
      <c r="B740" s="6" t="s">
        <v>50</v>
      </c>
      <c r="C740" s="1" t="s">
        <v>48</v>
      </c>
      <c r="D740" s="3">
        <v>23</v>
      </c>
      <c r="E740" s="3">
        <v>23</v>
      </c>
      <c r="F740" s="3">
        <v>21.44</v>
      </c>
      <c r="G740" s="3">
        <v>3</v>
      </c>
      <c r="H740" s="3">
        <v>0</v>
      </c>
      <c r="I740" s="3">
        <f>E740+G740+H740</f>
        <v>26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21</v>
      </c>
      <c r="K740" s="3">
        <f>I740-J740</f>
        <v>5</v>
      </c>
      <c r="L740" s="3" t="str">
        <f>IF(K740&lt;-5,"CRÍTICO",IF(K740&lt;0,"ATENÇÃO",IF(K740&lt;=5,"OPORTUNO","MUITO BOM")))</f>
        <v>OPORTUNO</v>
      </c>
      <c r="M740" s="3">
        <v>26</v>
      </c>
      <c r="N740" s="3">
        <v>99.07</v>
      </c>
      <c r="O740" s="12">
        <v>20.098039215686271</v>
      </c>
    </row>
    <row r="741" spans="1:15" hidden="1" x14ac:dyDescent="0.25">
      <c r="A741" s="5">
        <v>46160</v>
      </c>
      <c r="B741" s="6" t="s">
        <v>51</v>
      </c>
      <c r="C741" s="1" t="s">
        <v>48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f>E741+G741+H741</f>
        <v>0</v>
      </c>
      <c r="J741" s="3">
        <v>0</v>
      </c>
      <c r="K741" s="3">
        <f>I741-J741</f>
        <v>0</v>
      </c>
      <c r="L741" s="3" t="str">
        <f>IF(K741&lt;-5,"CRÍTICO",IF(K741&lt;0,"ATENÇÃO",IF(K741&lt;=5,"OPORTUNO","MUITO BOM")))</f>
        <v>OPORTUNO</v>
      </c>
      <c r="M741" s="3">
        <v>0</v>
      </c>
      <c r="N741" s="3">
        <v>98.81</v>
      </c>
      <c r="O741" s="12">
        <v>22.767857142857139</v>
      </c>
    </row>
    <row r="742" spans="1:15" hidden="1" x14ac:dyDescent="0.25">
      <c r="A742" s="5">
        <v>46160</v>
      </c>
      <c r="B742" s="6" t="s">
        <v>52</v>
      </c>
      <c r="C742" s="1" t="s">
        <v>48</v>
      </c>
      <c r="D742" s="3">
        <v>29</v>
      </c>
      <c r="E742" s="3">
        <v>27</v>
      </c>
      <c r="F742" s="3">
        <v>12.34</v>
      </c>
      <c r="G742" s="3">
        <v>3</v>
      </c>
      <c r="H742" s="3">
        <v>0</v>
      </c>
      <c r="I742" s="3">
        <f>E742+G742+H742</f>
        <v>30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21</v>
      </c>
      <c r="K742" s="3">
        <f>I742-J742</f>
        <v>9</v>
      </c>
      <c r="L742" s="3" t="str">
        <f>IF(K742&lt;-5,"CRÍTICO",IF(K742&lt;0,"ATENÇÃO",IF(K742&lt;=5,"OPORTUNO","MUITO BOM")))</f>
        <v>MUITO BOM</v>
      </c>
      <c r="M742" s="3">
        <v>25</v>
      </c>
      <c r="N742" s="3">
        <v>99.01</v>
      </c>
      <c r="O742" s="12">
        <v>17.766497461928939</v>
      </c>
    </row>
    <row r="743" spans="1:15" hidden="1" x14ac:dyDescent="0.25">
      <c r="A743" s="5">
        <v>46160</v>
      </c>
      <c r="B743" s="6" t="s">
        <v>53</v>
      </c>
      <c r="C743" s="1" t="s">
        <v>48</v>
      </c>
      <c r="D743" s="3">
        <v>0</v>
      </c>
      <c r="E743" s="3">
        <v>0</v>
      </c>
      <c r="F743" s="3">
        <v>0</v>
      </c>
      <c r="G743" s="3">
        <v>0</v>
      </c>
      <c r="H743" s="3">
        <v>0</v>
      </c>
      <c r="I743" s="3">
        <f>E743+G743+H743</f>
        <v>0</v>
      </c>
      <c r="J743" s="3">
        <v>0</v>
      </c>
      <c r="K743" s="3">
        <f>I743-J743</f>
        <v>0</v>
      </c>
      <c r="L743" s="3" t="str">
        <f>IF(K743&lt;-5,"CRÍTICO",IF(K743&lt;0,"ATENÇÃO",IF(K743&lt;=5,"OPORTUNO","MUITO BOM")))</f>
        <v>OPORTUNO</v>
      </c>
      <c r="M743" s="3">
        <v>0</v>
      </c>
      <c r="N743" s="3">
        <v>100</v>
      </c>
      <c r="O743" s="12">
        <v>17.241379310344829</v>
      </c>
    </row>
    <row r="744" spans="1:15" hidden="1" x14ac:dyDescent="0.25">
      <c r="A744" s="5">
        <v>46160</v>
      </c>
      <c r="B744" s="6" t="s">
        <v>54</v>
      </c>
      <c r="C744" s="1" t="s">
        <v>48</v>
      </c>
      <c r="D744" s="3">
        <v>20</v>
      </c>
      <c r="E744" s="3">
        <v>20</v>
      </c>
      <c r="F744" s="3">
        <v>24.07</v>
      </c>
      <c r="G744" s="3">
        <v>3</v>
      </c>
      <c r="H744" s="3">
        <v>0</v>
      </c>
      <c r="I744" s="3">
        <f>E744+G744+H744</f>
        <v>23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21</v>
      </c>
      <c r="K744" s="3">
        <f>I744-J744</f>
        <v>2</v>
      </c>
      <c r="L744" s="3" t="str">
        <f>IF(K744&lt;-5,"CRÍTICO",IF(K744&lt;0,"ATENÇÃO",IF(K744&lt;=5,"OPORTUNO","MUITO BOM")))</f>
        <v>OPORTUNO</v>
      </c>
      <c r="M744" s="3">
        <v>21</v>
      </c>
      <c r="N744" s="3">
        <v>98.98</v>
      </c>
      <c r="O744" s="12">
        <v>19.35483870967742</v>
      </c>
    </row>
    <row r="745" spans="1:15" hidden="1" x14ac:dyDescent="0.25">
      <c r="A745" s="5">
        <v>46160</v>
      </c>
      <c r="B745" s="6" t="s">
        <v>55</v>
      </c>
      <c r="C745" s="1" t="s">
        <v>48</v>
      </c>
      <c r="D745" s="3">
        <v>28</v>
      </c>
      <c r="E745" s="3">
        <v>22</v>
      </c>
      <c r="F745" s="3">
        <v>17.149999999999999</v>
      </c>
      <c r="G745" s="3">
        <v>0</v>
      </c>
      <c r="H745" s="3">
        <v>0</v>
      </c>
      <c r="I745" s="3">
        <f>E745+G745+H745</f>
        <v>22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21</v>
      </c>
      <c r="K745" s="3">
        <f>I745-J745</f>
        <v>1</v>
      </c>
      <c r="L745" s="3" t="str">
        <f>IF(K745&lt;-5,"CRÍTICO",IF(K745&lt;0,"ATENÇÃO",IF(K745&lt;=5,"OPORTUNO","MUITO BOM")))</f>
        <v>OPORTUNO</v>
      </c>
      <c r="M745" s="3">
        <v>19</v>
      </c>
      <c r="N745" s="3">
        <v>98.94</v>
      </c>
      <c r="O745" s="12">
        <v>21.270718232044199</v>
      </c>
    </row>
    <row r="746" spans="1:15" hidden="1" x14ac:dyDescent="0.25">
      <c r="A746" s="10">
        <v>46056</v>
      </c>
      <c r="B746" t="s">
        <v>22</v>
      </c>
      <c r="C746" s="1" t="s">
        <v>23</v>
      </c>
      <c r="D746" s="3">
        <v>32</v>
      </c>
      <c r="E746" s="3">
        <v>31</v>
      </c>
      <c r="F746" s="3">
        <v>18.29</v>
      </c>
      <c r="G746" s="3">
        <v>0</v>
      </c>
      <c r="H746" s="3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 s="3">
        <v>31</v>
      </c>
      <c r="N746" s="3">
        <v>96.67</v>
      </c>
      <c r="O746" s="12">
        <v>31.451612903225811</v>
      </c>
    </row>
    <row r="747" spans="1:15" hidden="1" x14ac:dyDescent="0.25">
      <c r="A747" s="10">
        <v>46057</v>
      </c>
      <c r="B747" t="s">
        <v>22</v>
      </c>
      <c r="C747" s="1" t="s">
        <v>23</v>
      </c>
      <c r="D747" s="3">
        <v>20</v>
      </c>
      <c r="E747" s="3">
        <v>19</v>
      </c>
      <c r="F747" s="3">
        <v>24.04</v>
      </c>
      <c r="G747" s="3">
        <v>0</v>
      </c>
      <c r="H747" s="3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 s="3">
        <v>18</v>
      </c>
      <c r="N747" s="3">
        <v>96.67</v>
      </c>
      <c r="O747" s="12">
        <v>31.451612903225811</v>
      </c>
    </row>
    <row r="748" spans="1:15" hidden="1" x14ac:dyDescent="0.25">
      <c r="A748" s="5">
        <v>46160</v>
      </c>
      <c r="B748" s="6" t="s">
        <v>56</v>
      </c>
      <c r="C748" s="1" t="s">
        <v>48</v>
      </c>
      <c r="D748" s="3">
        <v>25</v>
      </c>
      <c r="E748" s="3">
        <v>23</v>
      </c>
      <c r="F748" s="3">
        <v>16.55</v>
      </c>
      <c r="G748" s="3">
        <v>2</v>
      </c>
      <c r="H748" s="3">
        <v>0</v>
      </c>
      <c r="I748" s="3">
        <f>E748+G748+H748</f>
        <v>25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21</v>
      </c>
      <c r="K748" s="3">
        <f>I748-J748</f>
        <v>4</v>
      </c>
      <c r="L748" s="3" t="str">
        <f>IF(K748&lt;-5,"CRÍTICO",IF(K748&lt;0,"ATENÇÃO",IF(K748&lt;=5,"OPORTUNO","MUITO BOM")))</f>
        <v>OPORTUNO</v>
      </c>
      <c r="M748" s="3">
        <v>20</v>
      </c>
      <c r="N748" s="3">
        <v>99</v>
      </c>
      <c r="O748" s="12">
        <v>22.010869565217391</v>
      </c>
    </row>
    <row r="749" spans="1:15" hidden="1" x14ac:dyDescent="0.25">
      <c r="A749" s="5">
        <v>46160</v>
      </c>
      <c r="B749" s="6" t="s">
        <v>57</v>
      </c>
      <c r="C749" s="1" t="s">
        <v>48</v>
      </c>
      <c r="D749" s="3">
        <v>28</v>
      </c>
      <c r="E749" s="3">
        <v>26</v>
      </c>
      <c r="F749" s="3">
        <v>13.58</v>
      </c>
      <c r="G749" s="3">
        <v>0</v>
      </c>
      <c r="H749" s="3">
        <v>0</v>
      </c>
      <c r="I749" s="3">
        <f>E749+G749+H749</f>
        <v>26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21</v>
      </c>
      <c r="K749" s="3">
        <f>I749-J749</f>
        <v>5</v>
      </c>
      <c r="L749" s="3" t="str">
        <f>IF(K749&lt;-5,"CRÍTICO",IF(K749&lt;0,"ATENÇÃO",IF(K749&lt;=5,"OPORTUNO","MUITO BOM")))</f>
        <v>OPORTUNO</v>
      </c>
      <c r="M749" s="3">
        <v>23</v>
      </c>
      <c r="N749" s="3">
        <v>100</v>
      </c>
      <c r="O749" s="12">
        <v>25</v>
      </c>
    </row>
    <row r="750" spans="1:15" hidden="1" x14ac:dyDescent="0.25">
      <c r="A750" s="5">
        <v>46160</v>
      </c>
      <c r="B750" s="6" t="s">
        <v>58</v>
      </c>
      <c r="C750" s="1" t="s">
        <v>48</v>
      </c>
      <c r="D750" s="3">
        <v>16</v>
      </c>
      <c r="E750" s="3">
        <v>15</v>
      </c>
      <c r="F750" s="3">
        <v>19.190000000000001</v>
      </c>
      <c r="G750" s="3">
        <v>0</v>
      </c>
      <c r="H750" s="3">
        <v>0</v>
      </c>
      <c r="I750" s="3">
        <f>E750+G750+H750</f>
        <v>15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21</v>
      </c>
      <c r="K750" s="3">
        <f>I750-J750</f>
        <v>-6</v>
      </c>
      <c r="L750" s="3" t="str">
        <f>IF(K750&lt;-5,"CRÍTICO",IF(K750&lt;0,"ATENÇÃO",IF(K750&lt;=5,"OPORTUNO","MUITO BOM")))</f>
        <v>CRÍTICO</v>
      </c>
      <c r="M750" s="3">
        <v>13</v>
      </c>
      <c r="N750" s="3">
        <v>100</v>
      </c>
      <c r="O750" s="12">
        <v>20.183486238532112</v>
      </c>
    </row>
    <row r="751" spans="1:15" hidden="1" x14ac:dyDescent="0.25">
      <c r="A751" s="5">
        <v>46160</v>
      </c>
      <c r="B751" s="6" t="s">
        <v>59</v>
      </c>
      <c r="C751" s="1" t="s">
        <v>23</v>
      </c>
      <c r="D751" s="3">
        <v>18</v>
      </c>
      <c r="E751" s="3">
        <v>17</v>
      </c>
      <c r="F751" s="3">
        <v>20.190000000000001</v>
      </c>
      <c r="G751" s="3">
        <v>2</v>
      </c>
      <c r="H751" s="3">
        <v>0</v>
      </c>
      <c r="I751" s="3">
        <f>E751+G751+H751</f>
        <v>19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18</v>
      </c>
      <c r="K751" s="3">
        <f>I751-J751</f>
        <v>1</v>
      </c>
      <c r="L751" s="3" t="str">
        <f>IF(K751&lt;-5,"CRÍTICO",IF(K751&lt;0,"ATENÇÃO",IF(K751&lt;=5,"OPORTUNO","MUITO BOM")))</f>
        <v>OPORTUNO</v>
      </c>
      <c r="M751" s="3">
        <v>18</v>
      </c>
      <c r="N751" s="3">
        <v>96.25</v>
      </c>
      <c r="O751" s="12">
        <v>25.586353944562902</v>
      </c>
    </row>
    <row r="752" spans="1:15" hidden="1" x14ac:dyDescent="0.25">
      <c r="A752" s="5">
        <v>46160</v>
      </c>
      <c r="B752" s="6" t="s">
        <v>60</v>
      </c>
      <c r="C752" s="1" t="s">
        <v>23</v>
      </c>
      <c r="D752" s="3">
        <v>22</v>
      </c>
      <c r="E752" s="3">
        <v>21</v>
      </c>
      <c r="F752" s="3">
        <v>20.04</v>
      </c>
      <c r="G752" s="3">
        <v>3</v>
      </c>
      <c r="H752" s="3">
        <v>0</v>
      </c>
      <c r="I752" s="3">
        <f>E752+G752+H752</f>
        <v>24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18</v>
      </c>
      <c r="K752" s="3">
        <f>I752-J752</f>
        <v>6</v>
      </c>
      <c r="L752" s="3" t="str">
        <f>IF(K752&lt;-5,"CRÍTICO",IF(K752&lt;0,"ATENÇÃO",IF(K752&lt;=5,"OPORTUNO","MUITO BOM")))</f>
        <v>MUITO BOM</v>
      </c>
      <c r="M752" s="3">
        <v>22</v>
      </c>
      <c r="N752" s="3">
        <v>97.48</v>
      </c>
      <c r="O752" s="12">
        <v>22.99465240641711</v>
      </c>
    </row>
    <row r="753" spans="1:15" hidden="1" x14ac:dyDescent="0.25">
      <c r="A753" s="5">
        <v>46160</v>
      </c>
      <c r="B753" s="6" t="s">
        <v>61</v>
      </c>
      <c r="C753" s="1" t="s">
        <v>23</v>
      </c>
      <c r="D753" s="3">
        <v>20</v>
      </c>
      <c r="E753" s="3">
        <v>19</v>
      </c>
      <c r="F753" s="3">
        <v>18.52</v>
      </c>
      <c r="G753" s="3">
        <v>3</v>
      </c>
      <c r="H753" s="3">
        <v>0</v>
      </c>
      <c r="I753" s="3">
        <f>E753+G753+H753</f>
        <v>22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18</v>
      </c>
      <c r="K753" s="3">
        <f>I753-J753</f>
        <v>4</v>
      </c>
      <c r="L753" s="3" t="str">
        <f>IF(K753&lt;-5,"CRÍTICO",IF(K753&lt;0,"ATENÇÃO",IF(K753&lt;=5,"OPORTUNO","MUITO BOM")))</f>
        <v>OPORTUNO</v>
      </c>
      <c r="M753" s="3">
        <v>18</v>
      </c>
      <c r="N753" s="3">
        <v>100</v>
      </c>
      <c r="O753" s="12">
        <v>20.788530465949819</v>
      </c>
    </row>
    <row r="754" spans="1:15" hidden="1" x14ac:dyDescent="0.25">
      <c r="A754" s="5">
        <v>46160</v>
      </c>
      <c r="B754" s="6" t="s">
        <v>62</v>
      </c>
      <c r="C754" s="1" t="s">
        <v>23</v>
      </c>
      <c r="D754" s="3">
        <v>21</v>
      </c>
      <c r="E754" s="3">
        <v>20</v>
      </c>
      <c r="F754" s="3">
        <v>17.02</v>
      </c>
      <c r="G754" s="3">
        <v>2</v>
      </c>
      <c r="H754" s="3">
        <v>0</v>
      </c>
      <c r="I754" s="3">
        <f>E754+G754+H754</f>
        <v>22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18</v>
      </c>
      <c r="K754" s="3">
        <f>I754-J754</f>
        <v>4</v>
      </c>
      <c r="L754" s="3" t="str">
        <f>IF(K754&lt;-5,"CRÍTICO",IF(K754&lt;0,"ATENÇÃO",IF(K754&lt;=5,"OPORTUNO","MUITO BOM")))</f>
        <v>OPORTUNO</v>
      </c>
      <c r="M754" s="3">
        <v>20</v>
      </c>
      <c r="N754" s="3">
        <v>94.55</v>
      </c>
      <c r="O754" s="12">
        <v>23.450134770889491</v>
      </c>
    </row>
    <row r="755" spans="1:15" hidden="1" x14ac:dyDescent="0.25">
      <c r="A755" s="5">
        <v>46160</v>
      </c>
      <c r="B755" s="6" t="s">
        <v>63</v>
      </c>
      <c r="C755" s="1" t="s">
        <v>23</v>
      </c>
      <c r="D755" s="3">
        <v>28</v>
      </c>
      <c r="E755" s="3">
        <v>25</v>
      </c>
      <c r="F755" s="3">
        <v>14.02</v>
      </c>
      <c r="G755" s="3">
        <v>1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18</v>
      </c>
      <c r="K755" s="3">
        <f>I755-J755</f>
        <v>8</v>
      </c>
      <c r="L755" s="3" t="str">
        <f>IF(K755&lt;-5,"CRÍTICO",IF(K755&lt;0,"ATENÇÃO",IF(K755&lt;=5,"OPORTUNO","MUITO BOM")))</f>
        <v>MUITO BOM</v>
      </c>
      <c r="M755" s="3">
        <v>20</v>
      </c>
      <c r="N755" s="3">
        <v>98</v>
      </c>
      <c r="O755" s="12">
        <v>20.73490813648294</v>
      </c>
    </row>
    <row r="756" spans="1:15" hidden="1" x14ac:dyDescent="0.25">
      <c r="A756" s="10">
        <v>46100</v>
      </c>
      <c r="B756" t="s">
        <v>43</v>
      </c>
      <c r="C756" s="1" t="s">
        <v>32</v>
      </c>
      <c r="D756" s="3">
        <v>34</v>
      </c>
      <c r="E756" s="3">
        <v>30</v>
      </c>
      <c r="F756" s="3">
        <v>20.07</v>
      </c>
      <c r="G756" s="3">
        <v>0</v>
      </c>
      <c r="H756" s="3">
        <v>0</v>
      </c>
      <c r="I756" s="3">
        <f>E756+G756+H756</f>
        <v>30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22</v>
      </c>
      <c r="K756" s="3">
        <f>I756-J756</f>
        <v>8</v>
      </c>
      <c r="L756" s="3" t="str">
        <f>IF(K756&lt;-5,"CRÍTICO",IF(K756&lt;0,"ATENÇÃO",IF(K756&lt;=5,"OPORTUNO","MUITO BOM")))</f>
        <v>MUITO BOM</v>
      </c>
      <c r="M756" s="3">
        <v>28</v>
      </c>
      <c r="N756" s="3">
        <v>98.86</v>
      </c>
      <c r="O756" s="12">
        <v>28.959276018099551</v>
      </c>
    </row>
    <row r="757" spans="1:15" hidden="1" x14ac:dyDescent="0.25">
      <c r="A757" s="5">
        <v>46160</v>
      </c>
      <c r="B757" s="6" t="s">
        <v>64</v>
      </c>
      <c r="C757" s="1" t="s">
        <v>23</v>
      </c>
      <c r="D757" s="3">
        <v>23</v>
      </c>
      <c r="E757" s="3">
        <v>19</v>
      </c>
      <c r="F757" s="3">
        <v>23.58</v>
      </c>
      <c r="G757" s="3">
        <v>3</v>
      </c>
      <c r="H757" s="3">
        <v>0</v>
      </c>
      <c r="I757" s="3">
        <f>E757+G757+H757</f>
        <v>22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18</v>
      </c>
      <c r="K757" s="3">
        <f>I757-J757</f>
        <v>4</v>
      </c>
      <c r="L757" s="3" t="str">
        <f>IF(K757&lt;-5,"CRÍTICO",IF(K757&lt;0,"ATENÇÃO",IF(K757&lt;=5,"OPORTUNO","MUITO BOM")))</f>
        <v>OPORTUNO</v>
      </c>
      <c r="M757" s="3">
        <v>18</v>
      </c>
      <c r="N757" s="3">
        <v>100</v>
      </c>
      <c r="O757" s="12">
        <v>18</v>
      </c>
    </row>
    <row r="758" spans="1:15" hidden="1" x14ac:dyDescent="0.25">
      <c r="A758" s="5">
        <v>46160</v>
      </c>
      <c r="B758" s="6" t="s">
        <v>22</v>
      </c>
      <c r="C758" s="1" t="s">
        <v>23</v>
      </c>
      <c r="D758" s="3">
        <v>21</v>
      </c>
      <c r="E758" s="3">
        <v>18</v>
      </c>
      <c r="F758" s="3">
        <v>20.22</v>
      </c>
      <c r="G758" s="3">
        <v>6</v>
      </c>
      <c r="H758" s="3">
        <v>1</v>
      </c>
      <c r="I758" s="3">
        <f>E758+G758+H758</f>
        <v>25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18</v>
      </c>
      <c r="K758" s="3">
        <f>I758-J758</f>
        <v>7</v>
      </c>
      <c r="L758" s="3" t="str">
        <f>IF(K758&lt;-5,"CRÍTICO",IF(K758&lt;0,"ATENÇÃO",IF(K758&lt;=5,"OPORTUNO","MUITO BOM")))</f>
        <v>MUITO BOM</v>
      </c>
      <c r="M758" s="3">
        <v>18</v>
      </c>
      <c r="N758" s="3">
        <v>99.06</v>
      </c>
      <c r="O758" s="12">
        <v>19.417475728155338</v>
      </c>
    </row>
    <row r="759" spans="1:15" x14ac:dyDescent="0.25">
      <c r="A759" s="10">
        <v>46167</v>
      </c>
      <c r="B759" t="s">
        <v>19</v>
      </c>
      <c r="C759" s="1" t="s">
        <v>16</v>
      </c>
      <c r="D759" s="3">
        <v>9</v>
      </c>
      <c r="E759" s="3">
        <v>9</v>
      </c>
      <c r="F759" s="3">
        <v>20.48</v>
      </c>
      <c r="G759" s="3">
        <v>0</v>
      </c>
      <c r="H759" s="3">
        <v>0</v>
      </c>
      <c r="I759" s="3">
        <f>E759+G759+H759</f>
        <v>9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6</v>
      </c>
      <c r="K759" s="3">
        <f>I759-J759</f>
        <v>3</v>
      </c>
      <c r="L759" s="3" t="str">
        <f>IF(K759&lt;-5,"CRÍTICO",IF(K759&lt;0,"ATENÇÃO",IF(K759&lt;=5,"OPORTUNO","MUITO BOM")))</f>
        <v>OPORTUNO</v>
      </c>
      <c r="M759" s="3">
        <v>6</v>
      </c>
      <c r="N759" s="3">
        <v>100</v>
      </c>
      <c r="O759" s="12">
        <v>12.941176470588241</v>
      </c>
    </row>
    <row r="760" spans="1:15" x14ac:dyDescent="0.25">
      <c r="A760" s="10">
        <v>46168</v>
      </c>
      <c r="B760" t="s">
        <v>19</v>
      </c>
      <c r="C760" s="1" t="s">
        <v>16</v>
      </c>
      <c r="D760" s="3">
        <v>24</v>
      </c>
      <c r="E760" s="3">
        <v>22</v>
      </c>
      <c r="F760" s="3">
        <v>20.59</v>
      </c>
      <c r="G760" s="3">
        <v>0</v>
      </c>
      <c r="H760" s="3">
        <v>0</v>
      </c>
      <c r="I760" s="3">
        <f>E760+G760+H760</f>
        <v>22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8</v>
      </c>
      <c r="K760" s="3">
        <f>I760-J760</f>
        <v>14</v>
      </c>
      <c r="L760" s="3" t="str">
        <f>IF(K760&lt;-5,"CRÍTICO",IF(K760&lt;0,"ATENÇÃO",IF(K760&lt;=5,"OPORTUNO","MUITO BOM")))</f>
        <v>MUITO BOM</v>
      </c>
      <c r="M760" s="3">
        <v>19</v>
      </c>
      <c r="N760" s="3">
        <v>100</v>
      </c>
      <c r="O760" s="12">
        <v>15.294117647058821</v>
      </c>
    </row>
    <row r="761" spans="1:15" hidden="1" x14ac:dyDescent="0.25">
      <c r="A761" s="5">
        <v>46160</v>
      </c>
      <c r="B761" s="6" t="s">
        <v>43</v>
      </c>
      <c r="C761" s="1" t="s">
        <v>32</v>
      </c>
      <c r="D761" s="3">
        <v>0</v>
      </c>
      <c r="E761" s="3">
        <v>0</v>
      </c>
      <c r="F761" s="3">
        <v>0</v>
      </c>
      <c r="G761" s="3">
        <v>0</v>
      </c>
      <c r="H761" s="3">
        <v>32</v>
      </c>
      <c r="I761" s="3">
        <f>E761+G761+H761</f>
        <v>32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27</v>
      </c>
      <c r="K761" s="3">
        <f>I761-J761</f>
        <v>5</v>
      </c>
      <c r="L761" s="3" t="str">
        <f>IF(K761&lt;-5,"CRÍTICO",IF(K761&lt;0,"ATENÇÃO",IF(K761&lt;=5,"OPORTUNO","MUITO BOM")))</f>
        <v>OPORTUNO</v>
      </c>
      <c r="M761" s="3">
        <v>16</v>
      </c>
      <c r="N761" s="3">
        <v>98.39</v>
      </c>
      <c r="O761" s="12">
        <v>8.7999999999999989</v>
      </c>
    </row>
    <row r="762" spans="1:15" x14ac:dyDescent="0.25">
      <c r="A762" s="10">
        <v>46169</v>
      </c>
      <c r="B762" t="s">
        <v>19</v>
      </c>
      <c r="C762" s="1" t="s">
        <v>16</v>
      </c>
      <c r="D762" s="3">
        <v>23</v>
      </c>
      <c r="E762" s="3">
        <v>22</v>
      </c>
      <c r="F762" s="3">
        <v>18.3</v>
      </c>
      <c r="G762" s="3">
        <v>0</v>
      </c>
      <c r="H762" s="3">
        <v>0</v>
      </c>
      <c r="I762" s="3">
        <f>E762+G762+H762</f>
        <v>22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8</v>
      </c>
      <c r="K762" s="3">
        <f>I762-J762</f>
        <v>14</v>
      </c>
      <c r="L762" s="3" t="str">
        <f>IF(K762&lt;-5,"CRÍTICO",IF(K762&lt;0,"ATENÇÃO",IF(K762&lt;=5,"OPORTUNO","MUITO BOM")))</f>
        <v>MUITO BOM</v>
      </c>
      <c r="M762" s="3">
        <v>20</v>
      </c>
      <c r="N762" s="3">
        <v>94.44</v>
      </c>
      <c r="O762" s="12">
        <v>13.46153846153846</v>
      </c>
    </row>
    <row r="763" spans="1:15" x14ac:dyDescent="0.25">
      <c r="A763" s="10">
        <v>46170</v>
      </c>
      <c r="B763" t="s">
        <v>19</v>
      </c>
      <c r="C763" s="1" t="s">
        <v>16</v>
      </c>
      <c r="D763" s="3">
        <v>23</v>
      </c>
      <c r="E763" s="3">
        <v>23</v>
      </c>
      <c r="F763" s="3">
        <v>18.3</v>
      </c>
      <c r="G763" s="3">
        <v>0</v>
      </c>
      <c r="H763" s="3">
        <v>0</v>
      </c>
      <c r="I763" s="3">
        <f>E763+G763+H763</f>
        <v>23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8</v>
      </c>
      <c r="K763" s="3">
        <f>I763-J763</f>
        <v>15</v>
      </c>
      <c r="L763" s="3" t="str">
        <f>IF(K763&lt;-5,"CRÍTICO",IF(K763&lt;0,"ATENÇÃO",IF(K763&lt;=5,"OPORTUNO","MUITO BOM")))</f>
        <v>MUITO BOM</v>
      </c>
      <c r="M763" s="3">
        <v>22</v>
      </c>
      <c r="N763" s="3">
        <v>95.45</v>
      </c>
      <c r="O763" s="12">
        <v>18.399999999999999</v>
      </c>
    </row>
    <row r="764" spans="1:15" x14ac:dyDescent="0.25">
      <c r="A764" s="10">
        <v>46171</v>
      </c>
      <c r="B764" t="s">
        <v>19</v>
      </c>
      <c r="C764" s="1" t="s">
        <v>16</v>
      </c>
      <c r="D764" s="3">
        <v>24</v>
      </c>
      <c r="E764" s="3">
        <v>23</v>
      </c>
      <c r="F764" s="3">
        <v>24.08</v>
      </c>
      <c r="G764" s="3">
        <v>0</v>
      </c>
      <c r="H764" s="3">
        <v>0</v>
      </c>
      <c r="I764" s="3">
        <f>E764+G764+H764</f>
        <v>23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8</v>
      </c>
      <c r="K764" s="3">
        <f>I764-J764</f>
        <v>15</v>
      </c>
      <c r="L764" s="3" t="str">
        <f>IF(K764&lt;-5,"CRÍTICO",IF(K764&lt;0,"ATENÇÃO",IF(K764&lt;=5,"OPORTUNO","MUITO BOM")))</f>
        <v>MUITO BOM</v>
      </c>
      <c r="M764" s="3">
        <v>1</v>
      </c>
      <c r="N764" s="3">
        <v>96.3</v>
      </c>
      <c r="O764" s="12">
        <v>18.25396825396825</v>
      </c>
    </row>
    <row r="765" spans="1:15" x14ac:dyDescent="0.25">
      <c r="A765" s="10">
        <v>46143</v>
      </c>
      <c r="B765" t="s">
        <v>20</v>
      </c>
      <c r="C765" s="1" t="s">
        <v>16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f>E765+G765+H765</f>
        <v>0</v>
      </c>
      <c r="J765" s="3">
        <v>0</v>
      </c>
      <c r="K765" s="3">
        <f>I765-J765</f>
        <v>0</v>
      </c>
      <c r="L765" s="3" t="str">
        <f>IF(K765&lt;-5,"CRÍTICO",IF(K765&lt;0,"ATENÇÃO",IF(K765&lt;=5,"OPORTUNO","MUITO BOM")))</f>
        <v>OPORTUNO</v>
      </c>
      <c r="M765" s="3">
        <v>0</v>
      </c>
      <c r="N765" s="3">
        <v>100</v>
      </c>
      <c r="O765" s="12">
        <v>17.1875</v>
      </c>
    </row>
    <row r="766" spans="1:15" x14ac:dyDescent="0.25">
      <c r="A766" s="5">
        <v>46146</v>
      </c>
      <c r="B766" s="6" t="s">
        <v>20</v>
      </c>
      <c r="C766" s="1" t="s">
        <v>16</v>
      </c>
      <c r="D766" s="3">
        <v>8</v>
      </c>
      <c r="E766" s="3">
        <v>7</v>
      </c>
      <c r="F766" s="3">
        <v>23.3</v>
      </c>
      <c r="G766" s="3">
        <v>0</v>
      </c>
      <c r="H766" s="3">
        <v>0</v>
      </c>
      <c r="I766" s="3">
        <f>E766+G766+H766</f>
        <v>7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10</v>
      </c>
      <c r="K766" s="3">
        <f>I766-J766</f>
        <v>-3</v>
      </c>
      <c r="L766" s="3" t="str">
        <f>IF(K766&lt;-5,"CRÍTICO",IF(K766&lt;0,"ATENÇÃO",IF(K766&lt;=5,"OPORTUNO","MUITO BOM")))</f>
        <v>ATENÇÃO</v>
      </c>
      <c r="M766" s="3">
        <v>4</v>
      </c>
      <c r="N766" s="3">
        <v>100</v>
      </c>
      <c r="O766" s="12">
        <v>17.1875</v>
      </c>
    </row>
    <row r="767" spans="1:15" x14ac:dyDescent="0.25">
      <c r="A767" s="5">
        <v>46147</v>
      </c>
      <c r="B767" s="6" t="s">
        <v>20</v>
      </c>
      <c r="C767" s="1" t="s">
        <v>16</v>
      </c>
      <c r="D767" s="3">
        <v>11</v>
      </c>
      <c r="E767" s="3">
        <v>11</v>
      </c>
      <c r="F767" s="3">
        <v>42.06</v>
      </c>
      <c r="G767" s="3">
        <v>0</v>
      </c>
      <c r="H767" s="3">
        <v>0</v>
      </c>
      <c r="I767" s="3">
        <f>E767+G767+H767</f>
        <v>11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10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10</v>
      </c>
      <c r="N767" s="3">
        <v>100</v>
      </c>
      <c r="O767" s="12">
        <v>17.1875</v>
      </c>
    </row>
    <row r="768" spans="1:15" x14ac:dyDescent="0.25">
      <c r="A768" s="5">
        <v>46148</v>
      </c>
      <c r="B768" s="6" t="s">
        <v>20</v>
      </c>
      <c r="C768" s="1" t="s">
        <v>16</v>
      </c>
      <c r="D768" s="3">
        <v>9</v>
      </c>
      <c r="E768" s="3">
        <v>8</v>
      </c>
      <c r="F768" s="3">
        <v>30.08</v>
      </c>
      <c r="G768" s="3">
        <v>0</v>
      </c>
      <c r="H768" s="3">
        <v>0</v>
      </c>
      <c r="I768" s="3">
        <f>E768+G768+H768</f>
        <v>8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10</v>
      </c>
      <c r="K768" s="3">
        <f>I768-J768</f>
        <v>-2</v>
      </c>
      <c r="L768" s="3" t="str">
        <f>IF(K768&lt;-5,"CRÍTICO",IF(K768&lt;0,"ATENÇÃO",IF(K768&lt;=5,"OPORTUNO","MUITO BOM")))</f>
        <v>ATENÇÃO</v>
      </c>
      <c r="M768" s="3">
        <v>7</v>
      </c>
      <c r="N768" s="3">
        <v>100</v>
      </c>
      <c r="O768" s="12">
        <v>17.1875</v>
      </c>
    </row>
    <row r="769" spans="1:15" x14ac:dyDescent="0.25">
      <c r="A769" s="5">
        <v>46149</v>
      </c>
      <c r="B769" s="6" t="s">
        <v>20</v>
      </c>
      <c r="C769" s="1" t="s">
        <v>16</v>
      </c>
      <c r="D769" s="3">
        <v>16</v>
      </c>
      <c r="E769" s="3">
        <v>15</v>
      </c>
      <c r="F769" s="3">
        <v>27.04</v>
      </c>
      <c r="G769" s="3">
        <v>0</v>
      </c>
      <c r="H769" s="3">
        <v>0</v>
      </c>
      <c r="I769" s="3">
        <f>E769+G769+H769</f>
        <v>15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9</v>
      </c>
      <c r="K769" s="3">
        <f>I769-J769</f>
        <v>6</v>
      </c>
      <c r="L769" s="3" t="str">
        <f>IF(K769&lt;-5,"CRÍTICO",IF(K769&lt;0,"ATENÇÃO",IF(K769&lt;=5,"OPORTUNO","MUITO BOM")))</f>
        <v>MUITO BOM</v>
      </c>
      <c r="M769" s="3">
        <v>13</v>
      </c>
      <c r="N769" s="3">
        <v>100</v>
      </c>
      <c r="O769" s="12">
        <v>17.1875</v>
      </c>
    </row>
    <row r="770" spans="1:15" x14ac:dyDescent="0.25">
      <c r="A770" s="5">
        <v>46150</v>
      </c>
      <c r="B770" s="6" t="s">
        <v>20</v>
      </c>
      <c r="C770" s="1" t="s">
        <v>16</v>
      </c>
      <c r="D770" s="3">
        <v>14</v>
      </c>
      <c r="E770" s="3">
        <v>13</v>
      </c>
      <c r="F770" s="3">
        <v>41.45</v>
      </c>
      <c r="G770" s="3">
        <v>0</v>
      </c>
      <c r="H770" s="3">
        <v>0</v>
      </c>
      <c r="I770" s="3">
        <f>E770+G770+H770</f>
        <v>13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8</v>
      </c>
      <c r="K770" s="3">
        <f>I770-J770</f>
        <v>5</v>
      </c>
      <c r="L770" s="3" t="str">
        <f>IF(K770&lt;-5,"CRÍTICO",IF(K770&lt;0,"ATENÇÃO",IF(K770&lt;=5,"OPORTUNO","MUITO BOM")))</f>
        <v>OPORTUNO</v>
      </c>
      <c r="M770" s="3">
        <v>9</v>
      </c>
      <c r="N770" s="3">
        <v>100</v>
      </c>
      <c r="O770" s="12">
        <v>17.1875</v>
      </c>
    </row>
    <row r="771" spans="1:15" x14ac:dyDescent="0.25">
      <c r="A771" s="5">
        <v>46153</v>
      </c>
      <c r="B771" s="6" t="s">
        <v>20</v>
      </c>
      <c r="C771" s="1" t="s">
        <v>16</v>
      </c>
      <c r="D771" s="3">
        <v>7</v>
      </c>
      <c r="E771" s="3">
        <v>7</v>
      </c>
      <c r="F771" s="3">
        <v>29.17</v>
      </c>
      <c r="G771" s="3">
        <v>0</v>
      </c>
      <c r="H771" s="3">
        <v>0</v>
      </c>
      <c r="I771" s="3">
        <f>E771+G771+H771</f>
        <v>7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9</v>
      </c>
      <c r="K771" s="3">
        <f>I771-J771</f>
        <v>-2</v>
      </c>
      <c r="L771" s="3" t="str">
        <f>IF(K771&lt;-5,"CRÍTICO",IF(K771&lt;0,"ATENÇÃO",IF(K771&lt;=5,"OPORTUNO","MUITO BOM")))</f>
        <v>ATENÇÃO</v>
      </c>
      <c r="M771" s="3">
        <v>4</v>
      </c>
      <c r="N771" s="3">
        <v>100</v>
      </c>
      <c r="O771" s="12">
        <v>17.1875</v>
      </c>
    </row>
    <row r="772" spans="1:15" hidden="1" x14ac:dyDescent="0.25">
      <c r="A772" s="7">
        <v>46161</v>
      </c>
      <c r="B772" s="8" t="s">
        <v>31</v>
      </c>
      <c r="C772" s="1" t="s">
        <v>32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f>E772+G772+H772</f>
        <v>0</v>
      </c>
      <c r="J772" s="3">
        <v>0</v>
      </c>
      <c r="K772" s="3">
        <f>I772-J772</f>
        <v>0</v>
      </c>
      <c r="L772" s="3" t="str">
        <f>IF(K772&lt;-5,"CRÍTICO",IF(K772&lt;0,"ATENÇÃO",IF(K772&lt;=5,"OPORTUNO","MUITO BOM")))</f>
        <v>OPORTUNO</v>
      </c>
      <c r="M772" s="3">
        <v>0</v>
      </c>
      <c r="N772" s="3">
        <v>100</v>
      </c>
      <c r="O772" s="12">
        <v>0</v>
      </c>
    </row>
    <row r="773" spans="1:15" hidden="1" x14ac:dyDescent="0.25">
      <c r="A773" s="7">
        <v>46161</v>
      </c>
      <c r="B773" s="8" t="s">
        <v>33</v>
      </c>
      <c r="C773" s="1" t="s">
        <v>32</v>
      </c>
      <c r="D773" s="3">
        <v>22</v>
      </c>
      <c r="E773" s="3">
        <v>19</v>
      </c>
      <c r="F773" s="3">
        <v>20.440000000000001</v>
      </c>
      <c r="G773" s="3">
        <v>1</v>
      </c>
      <c r="H773" s="3">
        <v>0</v>
      </c>
      <c r="I773" s="3">
        <f>E773+G773+H773</f>
        <v>20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29</v>
      </c>
      <c r="K773" s="3">
        <f>I773-J773</f>
        <v>-9</v>
      </c>
      <c r="L773" s="3" t="str">
        <f>IF(K773&lt;-5,"CRÍTICO",IF(K773&lt;0,"ATENÇÃO",IF(K773&lt;=5,"OPORTUNO","MUITO BOM")))</f>
        <v>CRÍTICO</v>
      </c>
      <c r="M773" s="3">
        <v>16</v>
      </c>
      <c r="N773" s="3">
        <v>96.94</v>
      </c>
      <c r="O773" s="12">
        <v>19.613259668508292</v>
      </c>
    </row>
    <row r="774" spans="1:15" hidden="1" x14ac:dyDescent="0.25">
      <c r="A774" s="10">
        <v>46024</v>
      </c>
      <c r="B774" t="s">
        <v>47</v>
      </c>
      <c r="C774" s="1" t="s">
        <v>48</v>
      </c>
      <c r="D774" s="3">
        <v>21</v>
      </c>
      <c r="E774" s="3">
        <v>17</v>
      </c>
      <c r="F774" s="3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 s="3">
        <v>15</v>
      </c>
      <c r="N774" s="3">
        <v>96.81</v>
      </c>
      <c r="O774" s="12">
        <v>27.980535279805348</v>
      </c>
    </row>
    <row r="775" spans="1:15" hidden="1" x14ac:dyDescent="0.25">
      <c r="A775" s="10">
        <v>46024</v>
      </c>
      <c r="B775" t="s">
        <v>31</v>
      </c>
      <c r="C775" s="1" t="s">
        <v>32</v>
      </c>
      <c r="D775" s="3">
        <v>0</v>
      </c>
      <c r="E775" s="3">
        <v>0</v>
      </c>
      <c r="F775" s="3">
        <v>0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 s="3">
        <v>21</v>
      </c>
      <c r="N775" s="3">
        <v>98.73</v>
      </c>
      <c r="O775" s="12">
        <v>35.756385068762278</v>
      </c>
    </row>
    <row r="776" spans="1:15" hidden="1" x14ac:dyDescent="0.25">
      <c r="A776" s="10">
        <v>46024</v>
      </c>
      <c r="B776" t="s">
        <v>59</v>
      </c>
      <c r="C776" s="1" t="s">
        <v>23</v>
      </c>
      <c r="D776" s="3">
        <v>21</v>
      </c>
      <c r="E776" s="3">
        <v>19</v>
      </c>
      <c r="F776" s="3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 s="3">
        <v>18</v>
      </c>
      <c r="N776" s="3">
        <v>98.32</v>
      </c>
      <c r="O776" s="12">
        <v>26.763485477178421</v>
      </c>
    </row>
    <row r="777" spans="1:15" hidden="1" x14ac:dyDescent="0.25">
      <c r="A777" s="10">
        <v>46024</v>
      </c>
      <c r="B777" t="s">
        <v>33</v>
      </c>
      <c r="C777" s="1" t="s">
        <v>32</v>
      </c>
      <c r="D777" s="3">
        <v>21</v>
      </c>
      <c r="E777" s="3">
        <v>20</v>
      </c>
      <c r="F777" s="3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 s="3">
        <v>17</v>
      </c>
      <c r="N777" s="3">
        <v>99.19</v>
      </c>
      <c r="O777" s="12">
        <v>27.637130801687761</v>
      </c>
    </row>
    <row r="778" spans="1:15" hidden="1" x14ac:dyDescent="0.25">
      <c r="A778" s="10">
        <v>46024</v>
      </c>
      <c r="B778" t="s">
        <v>15</v>
      </c>
      <c r="C778" s="1" t="s">
        <v>16</v>
      </c>
      <c r="D778" s="3">
        <v>0</v>
      </c>
      <c r="E778" s="3">
        <v>0</v>
      </c>
      <c r="F778" s="3">
        <v>0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 s="3">
        <v>0</v>
      </c>
      <c r="N778" s="3">
        <v>100</v>
      </c>
      <c r="O778" s="12">
        <v>39.568345323741013</v>
      </c>
    </row>
    <row r="779" spans="1:15" hidden="1" x14ac:dyDescent="0.25">
      <c r="A779" s="10">
        <v>46024</v>
      </c>
      <c r="B779" t="s">
        <v>49</v>
      </c>
      <c r="C779" s="1" t="s">
        <v>48</v>
      </c>
      <c r="D779" s="3">
        <v>28</v>
      </c>
      <c r="E779" s="3">
        <v>25</v>
      </c>
      <c r="F779" s="3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 s="3">
        <v>23</v>
      </c>
      <c r="N779" s="3">
        <v>98.54</v>
      </c>
      <c r="O779" s="12">
        <v>28.544776119402989</v>
      </c>
    </row>
    <row r="780" spans="1:15" hidden="1" x14ac:dyDescent="0.25">
      <c r="A780" s="10">
        <v>46024</v>
      </c>
      <c r="B780" t="s">
        <v>50</v>
      </c>
      <c r="C780" s="1" t="s">
        <v>48</v>
      </c>
      <c r="D780" s="3">
        <v>22</v>
      </c>
      <c r="E780" s="3">
        <v>19</v>
      </c>
      <c r="F780" s="3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 s="3">
        <v>20</v>
      </c>
      <c r="N780" s="3">
        <v>100</v>
      </c>
      <c r="O780" s="12">
        <v>34.366925064599492</v>
      </c>
    </row>
    <row r="781" spans="1:15" hidden="1" x14ac:dyDescent="0.25">
      <c r="A781" s="10">
        <v>46024</v>
      </c>
      <c r="B781" t="s">
        <v>17</v>
      </c>
      <c r="C781" s="1" t="s">
        <v>16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 s="3">
        <v>0</v>
      </c>
      <c r="N781" s="3">
        <v>0</v>
      </c>
      <c r="O781" s="12">
        <v>0</v>
      </c>
    </row>
    <row r="782" spans="1:15" hidden="1" x14ac:dyDescent="0.25">
      <c r="A782" s="10">
        <v>46024</v>
      </c>
      <c r="B782" t="s">
        <v>60</v>
      </c>
      <c r="C782" s="1" t="s">
        <v>23</v>
      </c>
      <c r="D782" s="3">
        <v>0</v>
      </c>
      <c r="E782" s="3">
        <v>0</v>
      </c>
      <c r="F782" s="3">
        <v>0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 s="3">
        <v>0</v>
      </c>
      <c r="N782" s="3">
        <v>100</v>
      </c>
      <c r="O782" s="12">
        <v>29.518072289156631</v>
      </c>
    </row>
    <row r="783" spans="1:15" hidden="1" x14ac:dyDescent="0.25">
      <c r="A783" s="10">
        <v>46024</v>
      </c>
      <c r="B783" t="s">
        <v>34</v>
      </c>
      <c r="C783" s="1" t="s">
        <v>32</v>
      </c>
      <c r="D783" s="3">
        <v>0</v>
      </c>
      <c r="E783" s="3">
        <v>0</v>
      </c>
      <c r="F783" s="3">
        <v>0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 s="3">
        <v>0</v>
      </c>
      <c r="N783" s="3">
        <v>97.45</v>
      </c>
      <c r="O783" s="12">
        <v>41.421143847487002</v>
      </c>
    </row>
    <row r="784" spans="1:15" hidden="1" x14ac:dyDescent="0.25">
      <c r="A784" s="10">
        <v>46024</v>
      </c>
      <c r="B784" t="s">
        <v>51</v>
      </c>
      <c r="C784" s="1" t="s">
        <v>48</v>
      </c>
      <c r="D784" s="3">
        <v>25</v>
      </c>
      <c r="E784" s="3">
        <v>16</v>
      </c>
      <c r="F784" s="3">
        <v>8.3699999999999992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 s="3">
        <v>13</v>
      </c>
      <c r="N784" s="3">
        <v>96.58</v>
      </c>
      <c r="O784" s="12">
        <v>30.396475770925111</v>
      </c>
    </row>
    <row r="785" spans="1:15" hidden="1" x14ac:dyDescent="0.25">
      <c r="A785" s="10">
        <v>46024</v>
      </c>
      <c r="B785" t="s">
        <v>61</v>
      </c>
      <c r="C785" s="1" t="s">
        <v>23</v>
      </c>
      <c r="D785" s="3">
        <v>14</v>
      </c>
      <c r="E785" s="3">
        <v>14</v>
      </c>
      <c r="F785" s="3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 s="3">
        <v>14</v>
      </c>
      <c r="N785" s="3">
        <v>100</v>
      </c>
      <c r="O785" s="12">
        <v>27.44282744282744</v>
      </c>
    </row>
    <row r="786" spans="1:15" hidden="1" x14ac:dyDescent="0.25">
      <c r="A786" s="10">
        <v>46024</v>
      </c>
      <c r="B786" t="s">
        <v>35</v>
      </c>
      <c r="C786" s="1" t="s">
        <v>32</v>
      </c>
      <c r="D786" s="3">
        <v>18</v>
      </c>
      <c r="E786" s="3">
        <v>16</v>
      </c>
      <c r="F786" s="3">
        <v>27.31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 s="3">
        <v>16</v>
      </c>
      <c r="N786" s="3">
        <v>99.49</v>
      </c>
      <c r="O786" s="12">
        <v>40.200000000000003</v>
      </c>
    </row>
    <row r="787" spans="1:15" hidden="1" x14ac:dyDescent="0.25">
      <c r="A787" s="10">
        <v>46024</v>
      </c>
      <c r="B787" t="s">
        <v>18</v>
      </c>
      <c r="C787" s="1" t="s">
        <v>16</v>
      </c>
      <c r="D787" s="3">
        <v>0</v>
      </c>
      <c r="E787" s="3">
        <v>0</v>
      </c>
      <c r="F787" s="3">
        <v>0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 s="3">
        <v>0</v>
      </c>
      <c r="N787" s="3">
        <v>100</v>
      </c>
      <c r="O787" s="12">
        <v>25</v>
      </c>
    </row>
    <row r="788" spans="1:15" hidden="1" x14ac:dyDescent="0.25">
      <c r="A788" s="10">
        <v>46024</v>
      </c>
      <c r="B788" t="s">
        <v>52</v>
      </c>
      <c r="C788" s="1" t="s">
        <v>48</v>
      </c>
      <c r="D788" s="3">
        <v>27</v>
      </c>
      <c r="E788" s="3">
        <v>26</v>
      </c>
      <c r="F788" s="3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 s="3">
        <v>24</v>
      </c>
      <c r="N788" s="3">
        <v>100</v>
      </c>
      <c r="O788" s="12">
        <v>34.15094339622641</v>
      </c>
    </row>
    <row r="789" spans="1:15" hidden="1" x14ac:dyDescent="0.25">
      <c r="A789" s="10">
        <v>46024</v>
      </c>
      <c r="B789" t="s">
        <v>36</v>
      </c>
      <c r="C789" s="1" t="s">
        <v>32</v>
      </c>
      <c r="D789" s="3">
        <v>17</v>
      </c>
      <c r="E789" s="3">
        <v>17</v>
      </c>
      <c r="F789" s="3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 s="3">
        <v>15</v>
      </c>
      <c r="N789" s="3">
        <v>100</v>
      </c>
      <c r="O789" s="12">
        <v>32.731376975169297</v>
      </c>
    </row>
    <row r="790" spans="1:15" hidden="1" x14ac:dyDescent="0.25">
      <c r="A790" s="10">
        <v>46024</v>
      </c>
      <c r="B790" t="s">
        <v>53</v>
      </c>
      <c r="C790" s="1" t="s">
        <v>48</v>
      </c>
      <c r="D790" s="3">
        <v>27</v>
      </c>
      <c r="E790" s="3">
        <v>25</v>
      </c>
      <c r="F790" s="3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 s="3">
        <v>21</v>
      </c>
      <c r="N790" s="3">
        <v>99.31</v>
      </c>
      <c r="O790" s="12">
        <v>30.96234309623431</v>
      </c>
    </row>
    <row r="791" spans="1:15" hidden="1" x14ac:dyDescent="0.25">
      <c r="A791" s="10">
        <v>46058</v>
      </c>
      <c r="B791" t="s">
        <v>22</v>
      </c>
      <c r="C791" s="1" t="s">
        <v>23</v>
      </c>
      <c r="D791" s="3">
        <v>27</v>
      </c>
      <c r="E791" s="3">
        <v>26</v>
      </c>
      <c r="F791" s="3">
        <v>20.02</v>
      </c>
      <c r="G791" s="3">
        <v>0</v>
      </c>
      <c r="H791" s="3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 s="3">
        <v>27</v>
      </c>
      <c r="N791" s="3">
        <v>96.67</v>
      </c>
      <c r="O791" s="12">
        <v>31.451612903225811</v>
      </c>
    </row>
    <row r="792" spans="1:15" hidden="1" x14ac:dyDescent="0.25">
      <c r="A792" s="10">
        <v>46024</v>
      </c>
      <c r="B792" t="s">
        <v>54</v>
      </c>
      <c r="C792" s="1" t="s">
        <v>48</v>
      </c>
      <c r="D792" s="3">
        <v>21</v>
      </c>
      <c r="E792" s="3">
        <v>21</v>
      </c>
      <c r="F792" s="3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 s="3">
        <v>20</v>
      </c>
      <c r="N792" s="3">
        <v>100</v>
      </c>
      <c r="O792" s="12">
        <v>27.676767676767678</v>
      </c>
    </row>
    <row r="793" spans="1:15" hidden="1" x14ac:dyDescent="0.25">
      <c r="A793" s="10">
        <v>46024</v>
      </c>
      <c r="B793" t="s">
        <v>37</v>
      </c>
      <c r="C793" s="1" t="s">
        <v>32</v>
      </c>
      <c r="D793" s="3">
        <v>30</v>
      </c>
      <c r="E793" s="3">
        <v>27</v>
      </c>
      <c r="F793" s="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 s="3">
        <v>27</v>
      </c>
      <c r="N793" s="3">
        <v>100</v>
      </c>
      <c r="O793" s="12">
        <v>31.17723156532988</v>
      </c>
    </row>
    <row r="794" spans="1:15" hidden="1" x14ac:dyDescent="0.25">
      <c r="A794" s="10">
        <v>46024</v>
      </c>
      <c r="B794" t="s">
        <v>38</v>
      </c>
      <c r="C794" s="1" t="s">
        <v>32</v>
      </c>
      <c r="D794" s="3">
        <v>14</v>
      </c>
      <c r="E794" s="3">
        <v>9</v>
      </c>
      <c r="F794" s="3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 s="3">
        <v>10</v>
      </c>
      <c r="N794" s="3">
        <v>100</v>
      </c>
      <c r="O794" s="12">
        <v>27.609427609427609</v>
      </c>
    </row>
    <row r="795" spans="1:15" hidden="1" x14ac:dyDescent="0.25">
      <c r="A795" s="10">
        <v>46024</v>
      </c>
      <c r="B795" t="s">
        <v>55</v>
      </c>
      <c r="C795" s="1" t="s">
        <v>48</v>
      </c>
      <c r="D795" s="3">
        <v>28</v>
      </c>
      <c r="E795" s="3">
        <v>24</v>
      </c>
      <c r="F795" s="3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 s="3">
        <v>22</v>
      </c>
      <c r="N795" s="3">
        <v>96.4</v>
      </c>
      <c r="O795" s="12">
        <v>28.764044943820231</v>
      </c>
    </row>
    <row r="796" spans="1:15" hidden="1" x14ac:dyDescent="0.25">
      <c r="A796" s="10">
        <v>46024</v>
      </c>
      <c r="B796" t="s">
        <v>39</v>
      </c>
      <c r="C796" s="1" t="s">
        <v>32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 s="3">
        <v>0</v>
      </c>
      <c r="N796" s="3">
        <v>100</v>
      </c>
      <c r="O796" s="12">
        <v>33.980582524271853</v>
      </c>
    </row>
    <row r="797" spans="1:15" hidden="1" x14ac:dyDescent="0.25">
      <c r="A797" s="10">
        <v>46024</v>
      </c>
      <c r="B797" t="s">
        <v>25</v>
      </c>
      <c r="C797" s="1" t="s">
        <v>26</v>
      </c>
      <c r="D797" s="3">
        <v>7</v>
      </c>
      <c r="E797" s="3">
        <v>7</v>
      </c>
      <c r="F797" s="3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 s="3">
        <v>6</v>
      </c>
      <c r="N797" s="3">
        <v>97.56</v>
      </c>
      <c r="O797" s="12">
        <v>32.515337423312893</v>
      </c>
    </row>
    <row r="798" spans="1:15" hidden="1" x14ac:dyDescent="0.25">
      <c r="A798" s="10">
        <v>46024</v>
      </c>
      <c r="B798" t="s">
        <v>40</v>
      </c>
      <c r="C798" s="1" t="s">
        <v>32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 s="3">
        <v>12</v>
      </c>
      <c r="N798" s="3">
        <v>97.11</v>
      </c>
      <c r="O798" s="12">
        <v>37.408312958435211</v>
      </c>
    </row>
    <row r="799" spans="1:15" hidden="1" x14ac:dyDescent="0.25">
      <c r="A799" s="10">
        <v>46024</v>
      </c>
      <c r="B799" t="s">
        <v>27</v>
      </c>
      <c r="C799" s="1" t="s">
        <v>26</v>
      </c>
      <c r="D799" s="3">
        <v>0</v>
      </c>
      <c r="E799" s="3">
        <v>0</v>
      </c>
      <c r="F799" s="3">
        <v>0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 s="3">
        <v>0</v>
      </c>
      <c r="N799" s="3">
        <v>0</v>
      </c>
      <c r="O799" s="12">
        <v>0</v>
      </c>
    </row>
    <row r="800" spans="1:15" hidden="1" x14ac:dyDescent="0.25">
      <c r="A800" s="10">
        <v>46024</v>
      </c>
      <c r="B800" t="s">
        <v>41</v>
      </c>
      <c r="C800" s="1" t="s">
        <v>32</v>
      </c>
      <c r="D800" s="3">
        <v>0</v>
      </c>
      <c r="E800" s="3">
        <v>0</v>
      </c>
      <c r="F800" s="3">
        <v>0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 s="3">
        <v>0</v>
      </c>
      <c r="N800" s="3">
        <v>100</v>
      </c>
      <c r="O800" s="12">
        <v>30.470347648261761</v>
      </c>
    </row>
    <row r="801" spans="1:15" hidden="1" x14ac:dyDescent="0.25">
      <c r="A801" s="10">
        <v>46024</v>
      </c>
      <c r="B801" t="s">
        <v>56</v>
      </c>
      <c r="C801" s="1" t="s">
        <v>48</v>
      </c>
      <c r="D801" s="3">
        <v>18</v>
      </c>
      <c r="E801" s="3">
        <v>17</v>
      </c>
      <c r="F801" s="3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 s="3">
        <v>16</v>
      </c>
      <c r="N801" s="3">
        <v>100</v>
      </c>
      <c r="O801" s="12">
        <v>32.371134020618562</v>
      </c>
    </row>
    <row r="802" spans="1:15" hidden="1" x14ac:dyDescent="0.25">
      <c r="A802" s="10">
        <v>46024</v>
      </c>
      <c r="B802" t="s">
        <v>57</v>
      </c>
      <c r="C802" s="1" t="s">
        <v>48</v>
      </c>
      <c r="D802" s="3">
        <v>12</v>
      </c>
      <c r="E802" s="3">
        <v>12</v>
      </c>
      <c r="F802" s="3">
        <v>29.09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 s="3">
        <v>10</v>
      </c>
      <c r="N802" s="3">
        <v>98.32</v>
      </c>
      <c r="O802" s="12">
        <v>32.318501170960189</v>
      </c>
    </row>
    <row r="803" spans="1:15" hidden="1" x14ac:dyDescent="0.25">
      <c r="A803" s="10">
        <v>46024</v>
      </c>
      <c r="B803" t="s">
        <v>42</v>
      </c>
      <c r="C803" s="1" t="s">
        <v>32</v>
      </c>
      <c r="D803" s="3">
        <v>32</v>
      </c>
      <c r="E803" s="3">
        <v>21</v>
      </c>
      <c r="F803" s="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 s="3">
        <v>20</v>
      </c>
      <c r="N803" s="3">
        <v>96.43</v>
      </c>
      <c r="O803" s="12">
        <v>27.015250544662312</v>
      </c>
    </row>
    <row r="804" spans="1:15" hidden="1" x14ac:dyDescent="0.25">
      <c r="A804" s="10">
        <v>46024</v>
      </c>
      <c r="B804" t="s">
        <v>62</v>
      </c>
      <c r="C804" s="1" t="s">
        <v>23</v>
      </c>
      <c r="D804" s="3">
        <v>22</v>
      </c>
      <c r="E804" s="3">
        <v>20</v>
      </c>
      <c r="F804" s="3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 s="3">
        <v>20</v>
      </c>
      <c r="N804" s="3">
        <v>98.89</v>
      </c>
      <c r="O804" s="12">
        <v>28.021978021978018</v>
      </c>
    </row>
    <row r="805" spans="1:15" hidden="1" x14ac:dyDescent="0.25">
      <c r="A805" s="10">
        <v>46024</v>
      </c>
      <c r="B805" t="s">
        <v>19</v>
      </c>
      <c r="C805" s="1" t="s">
        <v>16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 s="3">
        <v>0</v>
      </c>
      <c r="N805" s="3">
        <v>100</v>
      </c>
      <c r="O805" s="12">
        <v>33.333333333333329</v>
      </c>
    </row>
    <row r="806" spans="1:15" hidden="1" x14ac:dyDescent="0.25">
      <c r="A806" s="10">
        <v>46024</v>
      </c>
      <c r="B806" t="s">
        <v>43</v>
      </c>
      <c r="C806" s="1" t="s">
        <v>32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 s="3">
        <v>0</v>
      </c>
      <c r="N806" s="3">
        <v>100</v>
      </c>
      <c r="O806" s="12">
        <v>27.43362831858407</v>
      </c>
    </row>
    <row r="807" spans="1:15" hidden="1" x14ac:dyDescent="0.25">
      <c r="A807" s="10">
        <v>46024</v>
      </c>
      <c r="B807" t="s">
        <v>44</v>
      </c>
      <c r="C807" s="1" t="s">
        <v>32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 s="3">
        <v>0</v>
      </c>
      <c r="N807" s="3">
        <v>98.65</v>
      </c>
      <c r="O807" s="12">
        <v>30.978260869565219</v>
      </c>
    </row>
    <row r="808" spans="1:15" hidden="1" x14ac:dyDescent="0.25">
      <c r="A808" s="10">
        <v>46024</v>
      </c>
      <c r="B808" t="s">
        <v>20</v>
      </c>
      <c r="C808" s="1" t="s">
        <v>16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 s="3">
        <v>0</v>
      </c>
      <c r="N808" s="3">
        <v>100</v>
      </c>
      <c r="O808" s="12">
        <v>12</v>
      </c>
    </row>
    <row r="809" spans="1:15" hidden="1" x14ac:dyDescent="0.25">
      <c r="A809" s="10">
        <v>46024</v>
      </c>
      <c r="B809" t="s">
        <v>28</v>
      </c>
      <c r="C809" s="1" t="s">
        <v>26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 s="3">
        <v>0</v>
      </c>
      <c r="N809" s="3">
        <v>0</v>
      </c>
      <c r="O809" s="12">
        <v>0</v>
      </c>
    </row>
    <row r="810" spans="1:15" hidden="1" x14ac:dyDescent="0.25">
      <c r="A810" s="10">
        <v>46024</v>
      </c>
      <c r="B810" t="s">
        <v>58</v>
      </c>
      <c r="C810" s="1" t="s">
        <v>48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 s="3">
        <v>0</v>
      </c>
      <c r="N810" s="3">
        <v>97.56</v>
      </c>
      <c r="O810" s="12">
        <v>31.067961165048541</v>
      </c>
    </row>
    <row r="811" spans="1:15" hidden="1" x14ac:dyDescent="0.25">
      <c r="A811" s="10">
        <v>46024</v>
      </c>
      <c r="B811" t="s">
        <v>29</v>
      </c>
      <c r="C811" s="1" t="s">
        <v>26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 s="3">
        <v>0</v>
      </c>
      <c r="N811" s="3">
        <v>0</v>
      </c>
      <c r="O811" s="12">
        <v>0</v>
      </c>
    </row>
    <row r="812" spans="1:15" hidden="1" x14ac:dyDescent="0.25">
      <c r="A812" s="10">
        <v>46024</v>
      </c>
      <c r="B812" t="s">
        <v>30</v>
      </c>
      <c r="C812" s="1" t="s">
        <v>26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 s="3">
        <v>0</v>
      </c>
      <c r="N812" s="3">
        <v>0</v>
      </c>
      <c r="O812" s="12">
        <v>0</v>
      </c>
    </row>
    <row r="813" spans="1:15" hidden="1" x14ac:dyDescent="0.25">
      <c r="A813" s="10">
        <v>46024</v>
      </c>
      <c r="B813" t="s">
        <v>21</v>
      </c>
      <c r="C813" s="1" t="s">
        <v>16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 s="3">
        <v>0</v>
      </c>
      <c r="N813" s="3">
        <v>0</v>
      </c>
      <c r="O813" s="12">
        <v>0</v>
      </c>
    </row>
    <row r="814" spans="1:15" hidden="1" x14ac:dyDescent="0.25">
      <c r="A814" s="10">
        <v>46024</v>
      </c>
      <c r="B814" t="s">
        <v>63</v>
      </c>
      <c r="C814" s="1" t="s">
        <v>23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 s="3">
        <v>0</v>
      </c>
      <c r="N814" s="3">
        <v>100</v>
      </c>
      <c r="O814" s="12">
        <v>53.846153846153847</v>
      </c>
    </row>
    <row r="815" spans="1:15" hidden="1" x14ac:dyDescent="0.25">
      <c r="A815" s="10">
        <v>46024</v>
      </c>
      <c r="B815" t="s">
        <v>45</v>
      </c>
      <c r="C815" s="1" t="s">
        <v>32</v>
      </c>
      <c r="D815" s="3">
        <v>0</v>
      </c>
      <c r="E815" s="3">
        <v>0</v>
      </c>
      <c r="F815" s="3">
        <v>0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 s="3">
        <v>0</v>
      </c>
      <c r="N815" s="3">
        <v>100</v>
      </c>
      <c r="O815" s="12">
        <v>44.05594405594406</v>
      </c>
    </row>
    <row r="816" spans="1:15" hidden="1" x14ac:dyDescent="0.25">
      <c r="A816" s="10">
        <v>46024</v>
      </c>
      <c r="B816" t="s">
        <v>64</v>
      </c>
      <c r="C816" s="1" t="s">
        <v>23</v>
      </c>
      <c r="D816" s="3">
        <v>0</v>
      </c>
      <c r="E816" s="3">
        <v>0</v>
      </c>
      <c r="F816" s="3">
        <v>0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 s="3">
        <v>0</v>
      </c>
      <c r="N816" s="3">
        <v>100</v>
      </c>
      <c r="O816" s="12">
        <v>31.872509960159359</v>
      </c>
    </row>
    <row r="817" spans="1:15" hidden="1" x14ac:dyDescent="0.25">
      <c r="A817" s="10">
        <v>46024</v>
      </c>
      <c r="B817" t="s">
        <v>46</v>
      </c>
      <c r="C817" s="1" t="s">
        <v>32</v>
      </c>
      <c r="D817" s="3">
        <v>25</v>
      </c>
      <c r="E817" s="3">
        <v>24</v>
      </c>
      <c r="F817" s="3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 s="3">
        <v>22</v>
      </c>
      <c r="N817" s="3">
        <v>98.41</v>
      </c>
      <c r="O817" s="12">
        <v>29.22465208747515</v>
      </c>
    </row>
    <row r="818" spans="1:15" hidden="1" x14ac:dyDescent="0.25">
      <c r="A818" s="10">
        <v>46027</v>
      </c>
      <c r="B818" t="s">
        <v>47</v>
      </c>
      <c r="C818" s="1" t="s">
        <v>48</v>
      </c>
      <c r="D818" s="3">
        <v>36</v>
      </c>
      <c r="E818" s="3">
        <v>25</v>
      </c>
      <c r="F818" s="3">
        <v>11.48</v>
      </c>
      <c r="G818" s="3">
        <v>0</v>
      </c>
      <c r="H818" s="3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 s="3">
        <v>24</v>
      </c>
      <c r="N818" s="3">
        <v>96.81</v>
      </c>
      <c r="O818" s="12">
        <v>27.980535279805348</v>
      </c>
    </row>
    <row r="819" spans="1:15" hidden="1" x14ac:dyDescent="0.25">
      <c r="A819" s="10">
        <v>46027</v>
      </c>
      <c r="B819" t="s">
        <v>31</v>
      </c>
      <c r="C819" s="1" t="s">
        <v>32</v>
      </c>
      <c r="D819" s="3">
        <v>0</v>
      </c>
      <c r="E819" s="3">
        <v>0</v>
      </c>
      <c r="F819" s="3">
        <v>0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 s="3">
        <v>25</v>
      </c>
      <c r="N819" s="3">
        <v>98.73</v>
      </c>
      <c r="O819" s="12">
        <v>35.756385068762278</v>
      </c>
    </row>
    <row r="820" spans="1:15" hidden="1" x14ac:dyDescent="0.25">
      <c r="A820" s="10">
        <v>46027</v>
      </c>
      <c r="B820" t="s">
        <v>59</v>
      </c>
      <c r="C820" s="1" t="s">
        <v>23</v>
      </c>
      <c r="D820" s="3">
        <v>36</v>
      </c>
      <c r="E820" s="3">
        <v>32</v>
      </c>
      <c r="F820" s="3">
        <v>18.559999999999999</v>
      </c>
      <c r="G820" s="3">
        <v>0</v>
      </c>
      <c r="H820" s="3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 s="3">
        <v>29</v>
      </c>
      <c r="N820" s="3">
        <v>98.32</v>
      </c>
      <c r="O820" s="12">
        <v>26.763485477178421</v>
      </c>
    </row>
    <row r="821" spans="1:15" hidden="1" x14ac:dyDescent="0.25">
      <c r="A821" s="10">
        <v>46027</v>
      </c>
      <c r="B821" t="s">
        <v>33</v>
      </c>
      <c r="C821" s="1" t="s">
        <v>32</v>
      </c>
      <c r="D821" s="3">
        <v>32</v>
      </c>
      <c r="E821" s="3">
        <v>32</v>
      </c>
      <c r="F821" s="3">
        <v>15.4</v>
      </c>
      <c r="G821" s="3">
        <v>0</v>
      </c>
      <c r="H821" s="3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 s="3">
        <v>27</v>
      </c>
      <c r="N821" s="3">
        <v>99.19</v>
      </c>
      <c r="O821" s="12">
        <v>27.637130801687761</v>
      </c>
    </row>
    <row r="822" spans="1:15" hidden="1" x14ac:dyDescent="0.25">
      <c r="A822" s="10">
        <v>46027</v>
      </c>
      <c r="B822" t="s">
        <v>15</v>
      </c>
      <c r="C822" s="1" t="s">
        <v>16</v>
      </c>
      <c r="D822" s="3">
        <v>9</v>
      </c>
      <c r="E822" s="3">
        <v>9</v>
      </c>
      <c r="F822" s="3">
        <v>20.23</v>
      </c>
      <c r="G822" s="3">
        <v>0</v>
      </c>
      <c r="H822" s="3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 s="3">
        <v>9</v>
      </c>
      <c r="N822" s="3">
        <v>100</v>
      </c>
      <c r="O822" s="12">
        <v>39.568345323741013</v>
      </c>
    </row>
    <row r="823" spans="1:15" hidden="1" x14ac:dyDescent="0.25">
      <c r="A823" s="10">
        <v>46027</v>
      </c>
      <c r="B823" t="s">
        <v>49</v>
      </c>
      <c r="C823" s="1" t="s">
        <v>48</v>
      </c>
      <c r="D823" s="3">
        <v>28</v>
      </c>
      <c r="E823" s="3">
        <v>26</v>
      </c>
      <c r="F823" s="3">
        <v>18.22</v>
      </c>
      <c r="G823" s="3">
        <v>0</v>
      </c>
      <c r="H823" s="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 s="3">
        <v>26</v>
      </c>
      <c r="N823" s="3">
        <v>98.54</v>
      </c>
      <c r="O823" s="12">
        <v>28.544776119402989</v>
      </c>
    </row>
    <row r="824" spans="1:15" hidden="1" x14ac:dyDescent="0.25">
      <c r="A824" s="10">
        <v>46027</v>
      </c>
      <c r="B824" t="s">
        <v>50</v>
      </c>
      <c r="C824" s="1" t="s">
        <v>48</v>
      </c>
      <c r="D824" s="3">
        <v>33</v>
      </c>
      <c r="E824" s="3">
        <v>31</v>
      </c>
      <c r="F824" s="3">
        <v>15.32</v>
      </c>
      <c r="G824" s="3">
        <v>0</v>
      </c>
      <c r="H824" s="3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 s="3">
        <v>27</v>
      </c>
      <c r="N824" s="3">
        <v>100</v>
      </c>
      <c r="O824" s="12">
        <v>34.366925064599492</v>
      </c>
    </row>
    <row r="825" spans="1:15" hidden="1" x14ac:dyDescent="0.25">
      <c r="A825" s="10">
        <v>46027</v>
      </c>
      <c r="B825" t="s">
        <v>17</v>
      </c>
      <c r="C825" s="1" t="s">
        <v>16</v>
      </c>
      <c r="D825" s="3">
        <v>0</v>
      </c>
      <c r="E825" s="3">
        <v>0</v>
      </c>
      <c r="F825" s="3">
        <v>0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 s="3">
        <v>0</v>
      </c>
      <c r="N825" s="3">
        <v>0</v>
      </c>
      <c r="O825" s="12">
        <v>0</v>
      </c>
    </row>
    <row r="826" spans="1:15" hidden="1" x14ac:dyDescent="0.25">
      <c r="A826" s="10">
        <v>46027</v>
      </c>
      <c r="B826" t="s">
        <v>60</v>
      </c>
      <c r="C826" s="1" t="s">
        <v>23</v>
      </c>
      <c r="D826" s="3">
        <v>22</v>
      </c>
      <c r="E826" s="3">
        <v>20</v>
      </c>
      <c r="F826" s="3">
        <v>18.23</v>
      </c>
      <c r="G826" s="3">
        <v>0</v>
      </c>
      <c r="H826" s="3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 s="3">
        <v>17</v>
      </c>
      <c r="N826" s="3">
        <v>100</v>
      </c>
      <c r="O826" s="12">
        <v>29.518072289156631</v>
      </c>
    </row>
    <row r="827" spans="1:15" hidden="1" x14ac:dyDescent="0.25">
      <c r="A827" s="10">
        <v>46027</v>
      </c>
      <c r="B827" t="s">
        <v>34</v>
      </c>
      <c r="C827" s="1" t="s">
        <v>32</v>
      </c>
      <c r="D827" s="3">
        <v>42</v>
      </c>
      <c r="E827" s="3">
        <v>40</v>
      </c>
      <c r="F827" s="3">
        <v>12.27</v>
      </c>
      <c r="G827" s="3">
        <v>0</v>
      </c>
      <c r="H827" s="3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 s="3">
        <v>38</v>
      </c>
      <c r="N827" s="3">
        <v>97.45</v>
      </c>
      <c r="O827" s="12">
        <v>41.421143847487002</v>
      </c>
    </row>
    <row r="828" spans="1:15" hidden="1" x14ac:dyDescent="0.25">
      <c r="A828" s="10">
        <v>46027</v>
      </c>
      <c r="B828" t="s">
        <v>51</v>
      </c>
      <c r="C828" s="1" t="s">
        <v>48</v>
      </c>
      <c r="D828" s="3">
        <v>33</v>
      </c>
      <c r="E828" s="3">
        <v>23</v>
      </c>
      <c r="F828" s="3">
        <v>13.36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 s="3">
        <v>25</v>
      </c>
      <c r="N828" s="3">
        <v>96.58</v>
      </c>
      <c r="O828" s="12">
        <v>30.396475770925111</v>
      </c>
    </row>
    <row r="829" spans="1:15" hidden="1" x14ac:dyDescent="0.25">
      <c r="A829" s="10">
        <v>46027</v>
      </c>
      <c r="B829" t="s">
        <v>61</v>
      </c>
      <c r="C829" s="1" t="s">
        <v>23</v>
      </c>
      <c r="D829" s="3">
        <v>26</v>
      </c>
      <c r="E829" s="3">
        <v>22</v>
      </c>
      <c r="F829" s="3">
        <v>19.13</v>
      </c>
      <c r="G829" s="3">
        <v>0</v>
      </c>
      <c r="H829" s="3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 s="3">
        <v>25</v>
      </c>
      <c r="N829" s="3">
        <v>100</v>
      </c>
      <c r="O829" s="12">
        <v>27.44282744282744</v>
      </c>
    </row>
    <row r="830" spans="1:15" hidden="1" x14ac:dyDescent="0.25">
      <c r="A830" s="10">
        <v>46027</v>
      </c>
      <c r="B830" t="s">
        <v>35</v>
      </c>
      <c r="C830" s="1" t="s">
        <v>32</v>
      </c>
      <c r="D830" s="3">
        <v>22</v>
      </c>
      <c r="E830" s="3">
        <v>22</v>
      </c>
      <c r="F830" s="3">
        <v>23.55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 s="3">
        <v>24</v>
      </c>
      <c r="N830" s="3">
        <v>99.49</v>
      </c>
      <c r="O830" s="12">
        <v>40.200000000000003</v>
      </c>
    </row>
    <row r="831" spans="1:15" hidden="1" x14ac:dyDescent="0.25">
      <c r="A831" s="10">
        <v>46027</v>
      </c>
      <c r="B831" t="s">
        <v>18</v>
      </c>
      <c r="C831" s="1" t="s">
        <v>16</v>
      </c>
      <c r="D831" s="3">
        <v>0</v>
      </c>
      <c r="E831" s="3">
        <v>0</v>
      </c>
      <c r="F831" s="3">
        <v>0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 s="3">
        <v>0</v>
      </c>
      <c r="N831" s="3">
        <v>100</v>
      </c>
      <c r="O831" s="12">
        <v>25</v>
      </c>
    </row>
    <row r="832" spans="1:15" hidden="1" x14ac:dyDescent="0.25">
      <c r="A832" s="10">
        <v>46027</v>
      </c>
      <c r="B832" t="s">
        <v>52</v>
      </c>
      <c r="C832" s="1" t="s">
        <v>48</v>
      </c>
      <c r="D832" s="3">
        <v>39</v>
      </c>
      <c r="E832" s="3">
        <v>38</v>
      </c>
      <c r="F832" s="3">
        <v>12.19</v>
      </c>
      <c r="G832" s="3">
        <v>0</v>
      </c>
      <c r="H832" s="3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 s="3">
        <v>34</v>
      </c>
      <c r="N832" s="3">
        <v>100</v>
      </c>
      <c r="O832" s="12">
        <v>34.15094339622641</v>
      </c>
    </row>
    <row r="833" spans="1:15" hidden="1" x14ac:dyDescent="0.25">
      <c r="A833" s="10">
        <v>46027</v>
      </c>
      <c r="B833" t="s">
        <v>36</v>
      </c>
      <c r="C833" s="1" t="s">
        <v>32</v>
      </c>
      <c r="D833" s="3">
        <v>32</v>
      </c>
      <c r="E833" s="3">
        <v>29</v>
      </c>
      <c r="F833" s="3">
        <v>11.53</v>
      </c>
      <c r="G833" s="3">
        <v>0</v>
      </c>
      <c r="H833" s="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 s="3">
        <v>30</v>
      </c>
      <c r="N833" s="3">
        <v>100</v>
      </c>
      <c r="O833" s="12">
        <v>32.731376975169297</v>
      </c>
    </row>
    <row r="834" spans="1:15" hidden="1" x14ac:dyDescent="0.25">
      <c r="A834" s="10">
        <v>46027</v>
      </c>
      <c r="B834" t="s">
        <v>53</v>
      </c>
      <c r="C834" s="1" t="s">
        <v>48</v>
      </c>
      <c r="D834" s="3">
        <v>32</v>
      </c>
      <c r="E834" s="3">
        <v>27</v>
      </c>
      <c r="F834" s="3">
        <v>20.36</v>
      </c>
      <c r="G834" s="3">
        <v>0</v>
      </c>
      <c r="H834" s="3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 s="3">
        <v>27</v>
      </c>
      <c r="N834" s="3">
        <v>99.31</v>
      </c>
      <c r="O834" s="12">
        <v>30.96234309623431</v>
      </c>
    </row>
    <row r="835" spans="1:15" hidden="1" x14ac:dyDescent="0.25">
      <c r="A835" s="10">
        <v>46059</v>
      </c>
      <c r="B835" t="s">
        <v>22</v>
      </c>
      <c r="C835" s="1" t="s">
        <v>23</v>
      </c>
      <c r="D835" s="3">
        <v>18</v>
      </c>
      <c r="E835" s="3">
        <v>16</v>
      </c>
      <c r="F835" s="3">
        <v>27.15</v>
      </c>
      <c r="G835" s="3">
        <v>0</v>
      </c>
      <c r="H835" s="3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 s="3">
        <v>28</v>
      </c>
      <c r="N835" s="3">
        <v>96.67</v>
      </c>
      <c r="O835" s="12">
        <v>31.451612903225811</v>
      </c>
    </row>
    <row r="836" spans="1:15" hidden="1" x14ac:dyDescent="0.25">
      <c r="A836" s="10">
        <v>46027</v>
      </c>
      <c r="B836" t="s">
        <v>54</v>
      </c>
      <c r="C836" s="1" t="s">
        <v>48</v>
      </c>
      <c r="D836" s="3">
        <v>27</v>
      </c>
      <c r="E836" s="3">
        <v>24</v>
      </c>
      <c r="F836" s="3">
        <v>22.12</v>
      </c>
      <c r="G836" s="3">
        <v>0</v>
      </c>
      <c r="H836" s="3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 s="3">
        <v>25</v>
      </c>
      <c r="N836" s="3">
        <v>100</v>
      </c>
      <c r="O836" s="12">
        <v>27.676767676767678</v>
      </c>
    </row>
    <row r="837" spans="1:15" hidden="1" x14ac:dyDescent="0.25">
      <c r="A837" s="10">
        <v>46027</v>
      </c>
      <c r="B837" t="s">
        <v>37</v>
      </c>
      <c r="C837" s="1" t="s">
        <v>32</v>
      </c>
      <c r="D837" s="3">
        <v>53</v>
      </c>
      <c r="E837" s="3">
        <v>44</v>
      </c>
      <c r="F837" s="3">
        <v>12.26</v>
      </c>
      <c r="G837" s="3">
        <v>0</v>
      </c>
      <c r="H837" s="3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 s="3">
        <v>46</v>
      </c>
      <c r="N837" s="3">
        <v>100</v>
      </c>
      <c r="O837" s="12">
        <v>31.17723156532988</v>
      </c>
    </row>
    <row r="838" spans="1:15" hidden="1" x14ac:dyDescent="0.25">
      <c r="A838" s="10">
        <v>46027</v>
      </c>
      <c r="B838" t="s">
        <v>38</v>
      </c>
      <c r="C838" s="1" t="s">
        <v>32</v>
      </c>
      <c r="D838" s="3">
        <v>14</v>
      </c>
      <c r="E838" s="3">
        <v>12</v>
      </c>
      <c r="F838" s="3">
        <v>15.15</v>
      </c>
      <c r="G838" s="3">
        <v>0</v>
      </c>
      <c r="H838" s="3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 s="3">
        <v>11</v>
      </c>
      <c r="N838" s="3">
        <v>100</v>
      </c>
      <c r="O838" s="12">
        <v>27.609427609427609</v>
      </c>
    </row>
    <row r="839" spans="1:15" hidden="1" x14ac:dyDescent="0.25">
      <c r="A839" s="10">
        <v>46027</v>
      </c>
      <c r="B839" t="s">
        <v>55</v>
      </c>
      <c r="C839" s="1" t="s">
        <v>48</v>
      </c>
      <c r="D839" s="3">
        <v>40</v>
      </c>
      <c r="E839" s="3">
        <v>30</v>
      </c>
      <c r="F839" s="3">
        <v>11.52</v>
      </c>
      <c r="G839" s="3">
        <v>0</v>
      </c>
      <c r="H839" s="3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 s="3">
        <v>29</v>
      </c>
      <c r="N839" s="3">
        <v>96.4</v>
      </c>
      <c r="O839" s="12">
        <v>28.764044943820231</v>
      </c>
    </row>
    <row r="840" spans="1:15" hidden="1" x14ac:dyDescent="0.25">
      <c r="A840" s="10">
        <v>46027</v>
      </c>
      <c r="B840" t="s">
        <v>39</v>
      </c>
      <c r="C840" s="1" t="s">
        <v>32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 s="3">
        <v>21</v>
      </c>
      <c r="N840" s="3">
        <v>100</v>
      </c>
      <c r="O840" s="12">
        <v>33.980582524271853</v>
      </c>
    </row>
    <row r="841" spans="1:15" hidden="1" x14ac:dyDescent="0.25">
      <c r="A841" s="10">
        <v>46027</v>
      </c>
      <c r="B841" t="s">
        <v>25</v>
      </c>
      <c r="C841" s="1" t="s">
        <v>26</v>
      </c>
      <c r="D841" s="3">
        <v>7</v>
      </c>
      <c r="E841" s="3">
        <v>6</v>
      </c>
      <c r="F841" s="3">
        <v>29.13</v>
      </c>
      <c r="G841" s="3">
        <v>0</v>
      </c>
      <c r="H841" s="3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 s="3">
        <v>6</v>
      </c>
      <c r="N841" s="3">
        <v>97.56</v>
      </c>
      <c r="O841" s="12">
        <v>32.515337423312893</v>
      </c>
    </row>
    <row r="842" spans="1:15" hidden="1" x14ac:dyDescent="0.25">
      <c r="A842" s="10">
        <v>46027</v>
      </c>
      <c r="B842" t="s">
        <v>40</v>
      </c>
      <c r="C842" s="1" t="s">
        <v>32</v>
      </c>
      <c r="D842" s="3">
        <v>0</v>
      </c>
      <c r="E842" s="3">
        <v>0</v>
      </c>
      <c r="F842" s="3">
        <v>0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 s="3">
        <v>15</v>
      </c>
      <c r="N842" s="3">
        <v>97.11</v>
      </c>
      <c r="O842" s="12">
        <v>37.408312958435211</v>
      </c>
    </row>
    <row r="843" spans="1:15" hidden="1" x14ac:dyDescent="0.25">
      <c r="A843" s="10">
        <v>46027</v>
      </c>
      <c r="B843" t="s">
        <v>27</v>
      </c>
      <c r="C843" s="1" t="s">
        <v>26</v>
      </c>
      <c r="D843" s="3">
        <v>0</v>
      </c>
      <c r="E843" s="3">
        <v>0</v>
      </c>
      <c r="F843" s="3">
        <v>0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 s="3">
        <v>0</v>
      </c>
      <c r="N843" s="3">
        <v>0</v>
      </c>
      <c r="O843" s="12">
        <v>0</v>
      </c>
    </row>
    <row r="844" spans="1:15" hidden="1" x14ac:dyDescent="0.25">
      <c r="A844" s="10">
        <v>46027</v>
      </c>
      <c r="B844" t="s">
        <v>41</v>
      </c>
      <c r="C844" s="1" t="s">
        <v>32</v>
      </c>
      <c r="D844" s="3">
        <v>31</v>
      </c>
      <c r="E844" s="3">
        <v>29</v>
      </c>
      <c r="F844" s="3">
        <v>15.57</v>
      </c>
      <c r="G844" s="3">
        <v>0</v>
      </c>
      <c r="H844" s="3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 s="3">
        <v>25</v>
      </c>
      <c r="N844" s="3">
        <v>100</v>
      </c>
      <c r="O844" s="12">
        <v>30.470347648261761</v>
      </c>
    </row>
    <row r="845" spans="1:15" hidden="1" x14ac:dyDescent="0.25">
      <c r="A845" s="10">
        <v>46027</v>
      </c>
      <c r="B845" t="s">
        <v>56</v>
      </c>
      <c r="C845" s="1" t="s">
        <v>48</v>
      </c>
      <c r="D845" s="3">
        <v>32</v>
      </c>
      <c r="E845" s="3">
        <v>28</v>
      </c>
      <c r="F845" s="3">
        <v>17.100000000000001</v>
      </c>
      <c r="G845" s="3">
        <v>0</v>
      </c>
      <c r="H845" s="3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 s="3">
        <v>28</v>
      </c>
      <c r="N845" s="3">
        <v>100</v>
      </c>
      <c r="O845" s="12">
        <v>32.371134020618562</v>
      </c>
    </row>
    <row r="846" spans="1:15" hidden="1" x14ac:dyDescent="0.25">
      <c r="A846" s="10">
        <v>46027</v>
      </c>
      <c r="B846" t="s">
        <v>57</v>
      </c>
      <c r="C846" s="1" t="s">
        <v>48</v>
      </c>
      <c r="D846" s="3">
        <v>28</v>
      </c>
      <c r="E846" s="3">
        <v>26</v>
      </c>
      <c r="F846" s="3">
        <v>17.28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 s="3">
        <v>26</v>
      </c>
      <c r="N846" s="3">
        <v>98.32</v>
      </c>
      <c r="O846" s="12">
        <v>32.318501170960189</v>
      </c>
    </row>
    <row r="847" spans="1:15" hidden="1" x14ac:dyDescent="0.25">
      <c r="A847" s="10">
        <v>46027</v>
      </c>
      <c r="B847" t="s">
        <v>42</v>
      </c>
      <c r="C847" s="1" t="s">
        <v>32</v>
      </c>
      <c r="D847" s="3">
        <v>47</v>
      </c>
      <c r="E847" s="3">
        <v>40</v>
      </c>
      <c r="F847" s="3">
        <v>9</v>
      </c>
      <c r="G847" s="3">
        <v>0</v>
      </c>
      <c r="H847" s="3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 s="3">
        <v>37</v>
      </c>
      <c r="N847" s="3">
        <v>96.43</v>
      </c>
      <c r="O847" s="12">
        <v>27.015250544662312</v>
      </c>
    </row>
    <row r="848" spans="1:15" hidden="1" x14ac:dyDescent="0.25">
      <c r="A848" s="10">
        <v>46027</v>
      </c>
      <c r="B848" t="s">
        <v>62</v>
      </c>
      <c r="C848" s="1" t="s">
        <v>23</v>
      </c>
      <c r="D848" s="3">
        <v>29</v>
      </c>
      <c r="E848" s="3">
        <v>28</v>
      </c>
      <c r="F848" s="3">
        <v>16.5</v>
      </c>
      <c r="G848" s="3">
        <v>0</v>
      </c>
      <c r="H848" s="3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 s="3">
        <v>25</v>
      </c>
      <c r="N848" s="3">
        <v>98.89</v>
      </c>
      <c r="O848" s="12">
        <v>28.021978021978018</v>
      </c>
    </row>
    <row r="849" spans="1:15" hidden="1" x14ac:dyDescent="0.25">
      <c r="A849" s="10">
        <v>46027</v>
      </c>
      <c r="B849" t="s">
        <v>19</v>
      </c>
      <c r="C849" s="1" t="s">
        <v>16</v>
      </c>
      <c r="D849" s="3">
        <v>10</v>
      </c>
      <c r="E849" s="3">
        <v>9</v>
      </c>
      <c r="F849" s="3">
        <v>34.119999999999997</v>
      </c>
      <c r="G849" s="3">
        <v>0</v>
      </c>
      <c r="H849" s="3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 s="3">
        <v>9</v>
      </c>
      <c r="N849" s="3">
        <v>100</v>
      </c>
      <c r="O849" s="12">
        <v>33.333333333333329</v>
      </c>
    </row>
    <row r="850" spans="1:15" hidden="1" x14ac:dyDescent="0.25">
      <c r="A850" s="10">
        <v>46027</v>
      </c>
      <c r="B850" t="s">
        <v>43</v>
      </c>
      <c r="C850" s="1" t="s">
        <v>32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 s="3">
        <v>0</v>
      </c>
      <c r="N850" s="3">
        <v>100</v>
      </c>
      <c r="O850" s="12">
        <v>27.43362831858407</v>
      </c>
    </row>
    <row r="851" spans="1:15" hidden="1" x14ac:dyDescent="0.25">
      <c r="A851" s="10">
        <v>46027</v>
      </c>
      <c r="B851" t="s">
        <v>44</v>
      </c>
      <c r="C851" s="1" t="s">
        <v>32</v>
      </c>
      <c r="D851" s="3">
        <v>44</v>
      </c>
      <c r="E851" s="3">
        <v>32</v>
      </c>
      <c r="F851" s="3">
        <v>10.58</v>
      </c>
      <c r="G851" s="3">
        <v>0</v>
      </c>
      <c r="H851" s="3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 s="3">
        <v>32</v>
      </c>
      <c r="N851" s="3">
        <v>98.65</v>
      </c>
      <c r="O851" s="12">
        <v>30.978260869565219</v>
      </c>
    </row>
    <row r="852" spans="1:15" hidden="1" x14ac:dyDescent="0.25">
      <c r="A852" s="10">
        <v>46027</v>
      </c>
      <c r="B852" t="s">
        <v>20</v>
      </c>
      <c r="C852" s="1" t="s">
        <v>16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 s="3">
        <v>0</v>
      </c>
      <c r="N852" s="3">
        <v>100</v>
      </c>
      <c r="O852" s="12">
        <v>12</v>
      </c>
    </row>
    <row r="853" spans="1:15" hidden="1" x14ac:dyDescent="0.25">
      <c r="A853" s="10">
        <v>46027</v>
      </c>
      <c r="B853" t="s">
        <v>28</v>
      </c>
      <c r="C853" s="1" t="s">
        <v>26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 s="3">
        <v>0</v>
      </c>
      <c r="N853" s="3">
        <v>0</v>
      </c>
      <c r="O853" s="12">
        <v>0</v>
      </c>
    </row>
    <row r="854" spans="1:15" hidden="1" x14ac:dyDescent="0.25">
      <c r="A854" s="10">
        <v>46027</v>
      </c>
      <c r="B854" t="s">
        <v>58</v>
      </c>
      <c r="C854" s="1" t="s">
        <v>48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 s="3">
        <v>0</v>
      </c>
      <c r="N854" s="3">
        <v>97.56</v>
      </c>
      <c r="O854" s="12">
        <v>31.067961165048541</v>
      </c>
    </row>
    <row r="855" spans="1:15" hidden="1" x14ac:dyDescent="0.25">
      <c r="A855" s="10">
        <v>46027</v>
      </c>
      <c r="B855" t="s">
        <v>29</v>
      </c>
      <c r="C855" s="1" t="s">
        <v>26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 s="3">
        <v>0</v>
      </c>
      <c r="N855" s="3">
        <v>0</v>
      </c>
      <c r="O855" s="12">
        <v>0</v>
      </c>
    </row>
    <row r="856" spans="1:15" hidden="1" x14ac:dyDescent="0.25">
      <c r="A856" s="10">
        <v>46027</v>
      </c>
      <c r="B856" t="s">
        <v>30</v>
      </c>
      <c r="C856" s="1" t="s">
        <v>26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 s="3">
        <v>0</v>
      </c>
      <c r="N856" s="3">
        <v>0</v>
      </c>
      <c r="O856" s="12">
        <v>0</v>
      </c>
    </row>
    <row r="857" spans="1:15" hidden="1" x14ac:dyDescent="0.25">
      <c r="A857" s="10">
        <v>46027</v>
      </c>
      <c r="B857" t="s">
        <v>21</v>
      </c>
      <c r="C857" s="1" t="s">
        <v>16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 s="3">
        <v>0</v>
      </c>
      <c r="N857" s="3">
        <v>0</v>
      </c>
      <c r="O857" s="12">
        <v>0</v>
      </c>
    </row>
    <row r="858" spans="1:15" hidden="1" x14ac:dyDescent="0.25">
      <c r="A858" s="10">
        <v>46027</v>
      </c>
      <c r="B858" t="s">
        <v>63</v>
      </c>
      <c r="C858" s="1" t="s">
        <v>23</v>
      </c>
      <c r="D858" s="3">
        <v>0</v>
      </c>
      <c r="E858" s="3">
        <v>0</v>
      </c>
      <c r="F858" s="3">
        <v>0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 s="3">
        <v>0</v>
      </c>
      <c r="N858" s="3">
        <v>100</v>
      </c>
      <c r="O858" s="12">
        <v>53.846153846153847</v>
      </c>
    </row>
    <row r="859" spans="1:15" hidden="1" x14ac:dyDescent="0.25">
      <c r="A859" s="10">
        <v>46027</v>
      </c>
      <c r="B859" t="s">
        <v>45</v>
      </c>
      <c r="C859" s="1" t="s">
        <v>32</v>
      </c>
      <c r="D859" s="3">
        <v>0</v>
      </c>
      <c r="E859" s="3">
        <v>0</v>
      </c>
      <c r="F859" s="3">
        <v>0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 s="3">
        <v>0</v>
      </c>
      <c r="N859" s="3">
        <v>100</v>
      </c>
      <c r="O859" s="12">
        <v>44.05594405594406</v>
      </c>
    </row>
    <row r="860" spans="1:15" hidden="1" x14ac:dyDescent="0.25">
      <c r="A860" s="10">
        <v>46027</v>
      </c>
      <c r="B860" t="s">
        <v>64</v>
      </c>
      <c r="C860" s="1" t="s">
        <v>23</v>
      </c>
      <c r="D860" s="3">
        <v>22</v>
      </c>
      <c r="E860" s="3">
        <v>19</v>
      </c>
      <c r="F860" s="3">
        <v>26.57</v>
      </c>
      <c r="G860" s="3">
        <v>0</v>
      </c>
      <c r="H860" s="3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 s="3">
        <v>18</v>
      </c>
      <c r="N860" s="3">
        <v>100</v>
      </c>
      <c r="O860" s="12">
        <v>31.872509960159359</v>
      </c>
    </row>
    <row r="861" spans="1:15" hidden="1" x14ac:dyDescent="0.25">
      <c r="A861" s="10">
        <v>46027</v>
      </c>
      <c r="B861" t="s">
        <v>46</v>
      </c>
      <c r="C861" s="1" t="s">
        <v>32</v>
      </c>
      <c r="D861" s="3">
        <v>30</v>
      </c>
      <c r="E861" s="3">
        <v>28</v>
      </c>
      <c r="F861" s="3">
        <v>18.21</v>
      </c>
      <c r="G861" s="3">
        <v>0</v>
      </c>
      <c r="H861" s="3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 s="3">
        <v>27</v>
      </c>
      <c r="N861" s="3">
        <v>98.41</v>
      </c>
      <c r="O861" s="12">
        <v>29.22465208747515</v>
      </c>
    </row>
    <row r="862" spans="1:15" hidden="1" x14ac:dyDescent="0.25">
      <c r="A862" s="10">
        <v>46028</v>
      </c>
      <c r="B862" t="s">
        <v>47</v>
      </c>
      <c r="C862" s="1" t="s">
        <v>48</v>
      </c>
      <c r="D862" s="3">
        <v>28</v>
      </c>
      <c r="E862" s="3">
        <v>25</v>
      </c>
      <c r="F862" s="3">
        <v>20.2</v>
      </c>
      <c r="G862" s="3">
        <v>0</v>
      </c>
      <c r="H862" s="3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 s="3">
        <v>17</v>
      </c>
      <c r="N862" s="3">
        <v>96.81</v>
      </c>
      <c r="O862" s="12">
        <v>27.980535279805348</v>
      </c>
    </row>
    <row r="863" spans="1:15" hidden="1" x14ac:dyDescent="0.25">
      <c r="A863" s="10">
        <v>46028</v>
      </c>
      <c r="B863" t="s">
        <v>31</v>
      </c>
      <c r="C863" s="1" t="s">
        <v>32</v>
      </c>
      <c r="D863" s="3">
        <v>0</v>
      </c>
      <c r="E863" s="3">
        <v>0</v>
      </c>
      <c r="F863" s="3">
        <v>0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 s="3">
        <v>30</v>
      </c>
      <c r="N863" s="3">
        <v>98.73</v>
      </c>
      <c r="O863" s="12">
        <v>35.756385068762278</v>
      </c>
    </row>
    <row r="864" spans="1:15" hidden="1" x14ac:dyDescent="0.25">
      <c r="A864" s="10">
        <v>46028</v>
      </c>
      <c r="B864" t="s">
        <v>59</v>
      </c>
      <c r="C864" s="1" t="s">
        <v>23</v>
      </c>
      <c r="D864" s="3">
        <v>33</v>
      </c>
      <c r="E864" s="3">
        <v>30</v>
      </c>
      <c r="F864" s="3">
        <v>22.04</v>
      </c>
      <c r="G864" s="3">
        <v>0</v>
      </c>
      <c r="H864" s="3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 s="3">
        <v>33</v>
      </c>
      <c r="N864" s="3">
        <v>98.32</v>
      </c>
      <c r="O864" s="12">
        <v>26.763485477178421</v>
      </c>
    </row>
    <row r="865" spans="1:15" hidden="1" x14ac:dyDescent="0.25">
      <c r="A865" s="10">
        <v>46028</v>
      </c>
      <c r="B865" t="s">
        <v>33</v>
      </c>
      <c r="C865" s="1" t="s">
        <v>32</v>
      </c>
      <c r="D865" s="3">
        <v>40</v>
      </c>
      <c r="E865" s="3">
        <v>36</v>
      </c>
      <c r="F865" s="3">
        <v>15.18</v>
      </c>
      <c r="G865" s="3">
        <v>0</v>
      </c>
      <c r="H865" s="3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 s="3">
        <v>34</v>
      </c>
      <c r="N865" s="3">
        <v>99.19</v>
      </c>
      <c r="O865" s="12">
        <v>27.637130801687761</v>
      </c>
    </row>
    <row r="866" spans="1:15" hidden="1" x14ac:dyDescent="0.25">
      <c r="A866" s="10">
        <v>46028</v>
      </c>
      <c r="B866" t="s">
        <v>15</v>
      </c>
      <c r="C866" s="1" t="s">
        <v>16</v>
      </c>
      <c r="D866" s="3">
        <v>9</v>
      </c>
      <c r="E866" s="3">
        <v>9</v>
      </c>
      <c r="F866" s="3">
        <v>38.24</v>
      </c>
      <c r="G866" s="3">
        <v>0</v>
      </c>
      <c r="H866" s="3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 s="3">
        <v>8</v>
      </c>
      <c r="N866" s="3">
        <v>100</v>
      </c>
      <c r="O866" s="12">
        <v>39.568345323741013</v>
      </c>
    </row>
    <row r="867" spans="1:15" hidden="1" x14ac:dyDescent="0.25">
      <c r="A867" s="10">
        <v>46028</v>
      </c>
      <c r="B867" t="s">
        <v>49</v>
      </c>
      <c r="C867" s="1" t="s">
        <v>48</v>
      </c>
      <c r="D867" s="3">
        <v>27</v>
      </c>
      <c r="E867" s="3">
        <v>25</v>
      </c>
      <c r="F867" s="3">
        <v>23.35</v>
      </c>
      <c r="G867" s="3">
        <v>0</v>
      </c>
      <c r="H867" s="3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 s="3">
        <v>26</v>
      </c>
      <c r="N867" s="3">
        <v>98.54</v>
      </c>
      <c r="O867" s="12">
        <v>28.544776119402989</v>
      </c>
    </row>
    <row r="868" spans="1:15" hidden="1" x14ac:dyDescent="0.25">
      <c r="A868" s="10">
        <v>46028</v>
      </c>
      <c r="B868" t="s">
        <v>50</v>
      </c>
      <c r="C868" s="1" t="s">
        <v>48</v>
      </c>
      <c r="D868" s="3">
        <v>6</v>
      </c>
      <c r="E868" s="3">
        <v>6</v>
      </c>
      <c r="F868" s="3">
        <v>50.57</v>
      </c>
      <c r="G868" s="3">
        <v>0</v>
      </c>
      <c r="H868" s="3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 s="3">
        <v>6</v>
      </c>
      <c r="N868" s="3">
        <v>100</v>
      </c>
      <c r="O868" s="12">
        <v>34.366925064599492</v>
      </c>
    </row>
    <row r="869" spans="1:15" hidden="1" x14ac:dyDescent="0.25">
      <c r="A869" s="10">
        <v>46028</v>
      </c>
      <c r="B869" t="s">
        <v>17</v>
      </c>
      <c r="C869" s="1" t="s">
        <v>16</v>
      </c>
      <c r="D869" s="3">
        <v>0</v>
      </c>
      <c r="E869" s="3">
        <v>0</v>
      </c>
      <c r="F869" s="3">
        <v>0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 s="3">
        <v>0</v>
      </c>
      <c r="N869" s="3">
        <v>0</v>
      </c>
      <c r="O869" s="12">
        <v>0</v>
      </c>
    </row>
    <row r="870" spans="1:15" hidden="1" x14ac:dyDescent="0.25">
      <c r="A870" s="10">
        <v>46028</v>
      </c>
      <c r="B870" t="s">
        <v>60</v>
      </c>
      <c r="C870" s="1" t="s">
        <v>23</v>
      </c>
      <c r="D870" s="3">
        <v>21</v>
      </c>
      <c r="E870" s="3">
        <v>21</v>
      </c>
      <c r="F870" s="3">
        <v>30.15</v>
      </c>
      <c r="G870" s="3">
        <v>0</v>
      </c>
      <c r="H870" s="3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 s="3">
        <v>20</v>
      </c>
      <c r="N870" s="3">
        <v>100</v>
      </c>
      <c r="O870" s="12">
        <v>29.518072289156631</v>
      </c>
    </row>
    <row r="871" spans="1:15" hidden="1" x14ac:dyDescent="0.25">
      <c r="A871" s="10">
        <v>46028</v>
      </c>
      <c r="B871" t="s">
        <v>34</v>
      </c>
      <c r="C871" s="1" t="s">
        <v>32</v>
      </c>
      <c r="D871" s="3">
        <v>44</v>
      </c>
      <c r="E871" s="3">
        <v>41</v>
      </c>
      <c r="F871" s="3">
        <v>13.2</v>
      </c>
      <c r="G871" s="3">
        <v>0</v>
      </c>
      <c r="H871" s="3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 s="3">
        <v>38</v>
      </c>
      <c r="N871" s="3">
        <v>97.45</v>
      </c>
      <c r="O871" s="12">
        <v>41.421143847487002</v>
      </c>
    </row>
    <row r="872" spans="1:15" hidden="1" x14ac:dyDescent="0.25">
      <c r="A872" s="10">
        <v>46028</v>
      </c>
      <c r="B872" t="s">
        <v>51</v>
      </c>
      <c r="C872" s="1" t="s">
        <v>48</v>
      </c>
      <c r="D872" s="3">
        <v>29</v>
      </c>
      <c r="E872" s="3">
        <v>25</v>
      </c>
      <c r="F872" s="3">
        <v>19.059999999999999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 s="3">
        <v>27</v>
      </c>
      <c r="N872" s="3">
        <v>96.58</v>
      </c>
      <c r="O872" s="12">
        <v>30.396475770925111</v>
      </c>
    </row>
    <row r="873" spans="1:15" hidden="1" x14ac:dyDescent="0.25">
      <c r="A873" s="10">
        <v>46028</v>
      </c>
      <c r="B873" t="s">
        <v>61</v>
      </c>
      <c r="C873" s="1" t="s">
        <v>23</v>
      </c>
      <c r="D873" s="3">
        <v>23</v>
      </c>
      <c r="E873" s="3">
        <v>23</v>
      </c>
      <c r="F873" s="3">
        <v>23.51</v>
      </c>
      <c r="G873" s="3">
        <v>0</v>
      </c>
      <c r="H873" s="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 s="3">
        <v>24</v>
      </c>
      <c r="N873" s="3">
        <v>100</v>
      </c>
      <c r="O873" s="12">
        <v>27.44282744282744</v>
      </c>
    </row>
    <row r="874" spans="1:15" hidden="1" x14ac:dyDescent="0.25">
      <c r="A874" s="10">
        <v>46028</v>
      </c>
      <c r="B874" t="s">
        <v>35</v>
      </c>
      <c r="C874" s="1" t="s">
        <v>32</v>
      </c>
      <c r="D874" s="3">
        <v>27</v>
      </c>
      <c r="E874" s="3">
        <v>26</v>
      </c>
      <c r="F874" s="3">
        <v>26.51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 s="3">
        <v>27</v>
      </c>
      <c r="N874" s="3">
        <v>99.49</v>
      </c>
      <c r="O874" s="12">
        <v>40.200000000000003</v>
      </c>
    </row>
    <row r="875" spans="1:15" hidden="1" x14ac:dyDescent="0.25">
      <c r="A875" s="10">
        <v>46028</v>
      </c>
      <c r="B875" t="s">
        <v>18</v>
      </c>
      <c r="C875" s="1" t="s">
        <v>16</v>
      </c>
      <c r="D875" s="3">
        <v>0</v>
      </c>
      <c r="E875" s="3">
        <v>0</v>
      </c>
      <c r="F875" s="3">
        <v>0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 s="3">
        <v>0</v>
      </c>
      <c r="N875" s="3">
        <v>100</v>
      </c>
      <c r="O875" s="12">
        <v>25</v>
      </c>
    </row>
    <row r="876" spans="1:15" hidden="1" x14ac:dyDescent="0.25">
      <c r="A876" s="10">
        <v>46028</v>
      </c>
      <c r="B876" t="s">
        <v>52</v>
      </c>
      <c r="C876" s="1" t="s">
        <v>48</v>
      </c>
      <c r="D876" s="3">
        <v>30</v>
      </c>
      <c r="E876" s="3">
        <v>27</v>
      </c>
      <c r="F876" s="3">
        <v>15.04</v>
      </c>
      <c r="G876" s="3">
        <v>0</v>
      </c>
      <c r="H876" s="3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 s="3">
        <v>27</v>
      </c>
      <c r="N876" s="3">
        <v>100</v>
      </c>
      <c r="O876" s="12">
        <v>34.15094339622641</v>
      </c>
    </row>
    <row r="877" spans="1:15" hidden="1" x14ac:dyDescent="0.25">
      <c r="A877" s="10">
        <v>46028</v>
      </c>
      <c r="B877" t="s">
        <v>36</v>
      </c>
      <c r="C877" s="1" t="s">
        <v>32</v>
      </c>
      <c r="D877" s="3">
        <v>22</v>
      </c>
      <c r="E877" s="3">
        <v>17</v>
      </c>
      <c r="F877" s="3">
        <v>13.56</v>
      </c>
      <c r="G877" s="3">
        <v>0</v>
      </c>
      <c r="H877" s="3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 s="3">
        <v>15</v>
      </c>
      <c r="N877" s="3">
        <v>100</v>
      </c>
      <c r="O877" s="12">
        <v>32.731376975169297</v>
      </c>
    </row>
    <row r="878" spans="1:15" hidden="1" x14ac:dyDescent="0.25">
      <c r="A878" s="10">
        <v>46028</v>
      </c>
      <c r="B878" t="s">
        <v>53</v>
      </c>
      <c r="C878" s="1" t="s">
        <v>48</v>
      </c>
      <c r="D878" s="3">
        <v>46</v>
      </c>
      <c r="E878" s="3">
        <v>45</v>
      </c>
      <c r="F878" s="3">
        <v>18.350000000000001</v>
      </c>
      <c r="G878" s="3">
        <v>0</v>
      </c>
      <c r="H878" s="3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 s="3">
        <v>38</v>
      </c>
      <c r="N878" s="3">
        <v>99.31</v>
      </c>
      <c r="O878" s="12">
        <v>30.96234309623431</v>
      </c>
    </row>
    <row r="879" spans="1:15" hidden="1" x14ac:dyDescent="0.25">
      <c r="A879" s="10">
        <v>46062</v>
      </c>
      <c r="B879" t="s">
        <v>22</v>
      </c>
      <c r="C879" s="1" t="s">
        <v>23</v>
      </c>
      <c r="D879" s="3">
        <v>14</v>
      </c>
      <c r="E879" s="3">
        <v>13</v>
      </c>
      <c r="F879" s="3">
        <v>29.08</v>
      </c>
      <c r="G879" s="3">
        <v>0</v>
      </c>
      <c r="H879" s="3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 s="3">
        <v>25</v>
      </c>
      <c r="N879" s="3">
        <v>96.67</v>
      </c>
      <c r="O879" s="12">
        <v>31.451612903225811</v>
      </c>
    </row>
    <row r="880" spans="1:15" hidden="1" x14ac:dyDescent="0.25">
      <c r="A880" s="10">
        <v>46028</v>
      </c>
      <c r="B880" t="s">
        <v>54</v>
      </c>
      <c r="C880" s="1" t="s">
        <v>48</v>
      </c>
      <c r="D880" s="3">
        <v>24</v>
      </c>
      <c r="E880" s="3">
        <v>21</v>
      </c>
      <c r="F880" s="3">
        <v>13.58</v>
      </c>
      <c r="G880" s="3">
        <v>0</v>
      </c>
      <c r="H880" s="3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 s="3">
        <v>20</v>
      </c>
      <c r="N880" s="3">
        <v>100</v>
      </c>
      <c r="O880" s="12">
        <v>27.676767676767678</v>
      </c>
    </row>
    <row r="881" spans="1:15" hidden="1" x14ac:dyDescent="0.25">
      <c r="A881" s="10">
        <v>46028</v>
      </c>
      <c r="B881" t="s">
        <v>37</v>
      </c>
      <c r="C881" s="1" t="s">
        <v>32</v>
      </c>
      <c r="D881" s="3">
        <v>53</v>
      </c>
      <c r="E881" s="3">
        <v>46</v>
      </c>
      <c r="F881" s="3">
        <v>12.3</v>
      </c>
      <c r="G881" s="3">
        <v>0</v>
      </c>
      <c r="H881" s="3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 s="3">
        <v>49</v>
      </c>
      <c r="N881" s="3">
        <v>100</v>
      </c>
      <c r="O881" s="12">
        <v>31.17723156532988</v>
      </c>
    </row>
    <row r="882" spans="1:15" hidden="1" x14ac:dyDescent="0.25">
      <c r="A882" s="10">
        <v>46028</v>
      </c>
      <c r="B882" t="s">
        <v>38</v>
      </c>
      <c r="C882" s="1" t="s">
        <v>32</v>
      </c>
      <c r="D882" s="3">
        <v>41</v>
      </c>
      <c r="E882" s="3">
        <v>41</v>
      </c>
      <c r="F882" s="3">
        <v>13.35</v>
      </c>
      <c r="G882" s="3">
        <v>0</v>
      </c>
      <c r="H882" s="3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 s="3">
        <v>38</v>
      </c>
      <c r="N882" s="3">
        <v>100</v>
      </c>
      <c r="O882" s="12">
        <v>27.609427609427609</v>
      </c>
    </row>
    <row r="883" spans="1:15" hidden="1" x14ac:dyDescent="0.25">
      <c r="A883" s="10">
        <v>46028</v>
      </c>
      <c r="B883" t="s">
        <v>55</v>
      </c>
      <c r="C883" s="1" t="s">
        <v>48</v>
      </c>
      <c r="D883" s="3">
        <v>38</v>
      </c>
      <c r="E883" s="3">
        <v>30</v>
      </c>
      <c r="F883" s="3">
        <v>13.52</v>
      </c>
      <c r="G883" s="3">
        <v>0</v>
      </c>
      <c r="H883" s="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 s="3">
        <v>28</v>
      </c>
      <c r="N883" s="3">
        <v>96.4</v>
      </c>
      <c r="O883" s="12">
        <v>28.764044943820231</v>
      </c>
    </row>
    <row r="884" spans="1:15" hidden="1" x14ac:dyDescent="0.25">
      <c r="A884" s="10">
        <v>46028</v>
      </c>
      <c r="B884" t="s">
        <v>39</v>
      </c>
      <c r="C884" s="1" t="s">
        <v>32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 s="3">
        <v>26</v>
      </c>
      <c r="N884" s="3">
        <v>100</v>
      </c>
      <c r="O884" s="12">
        <v>33.980582524271853</v>
      </c>
    </row>
    <row r="885" spans="1:15" hidden="1" x14ac:dyDescent="0.25">
      <c r="A885" s="10">
        <v>46028</v>
      </c>
      <c r="B885" t="s">
        <v>25</v>
      </c>
      <c r="C885" s="1" t="s">
        <v>26</v>
      </c>
      <c r="D885" s="3">
        <v>3</v>
      </c>
      <c r="E885" s="3">
        <v>3</v>
      </c>
      <c r="F885" s="3">
        <v>57.08</v>
      </c>
      <c r="G885" s="3">
        <v>0</v>
      </c>
      <c r="H885" s="3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 s="3">
        <v>3</v>
      </c>
      <c r="N885" s="3">
        <v>97.56</v>
      </c>
      <c r="O885" s="12">
        <v>32.515337423312893</v>
      </c>
    </row>
    <row r="886" spans="1:15" hidden="1" x14ac:dyDescent="0.25">
      <c r="A886" s="10">
        <v>46028</v>
      </c>
      <c r="B886" t="s">
        <v>40</v>
      </c>
      <c r="C886" s="1" t="s">
        <v>32</v>
      </c>
      <c r="D886" s="3">
        <v>0</v>
      </c>
      <c r="E886" s="3">
        <v>0</v>
      </c>
      <c r="F886" s="3">
        <v>0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 s="3">
        <v>46</v>
      </c>
      <c r="N886" s="3">
        <v>97.11</v>
      </c>
      <c r="O886" s="12">
        <v>37.408312958435211</v>
      </c>
    </row>
    <row r="887" spans="1:15" hidden="1" x14ac:dyDescent="0.25">
      <c r="A887" s="10">
        <v>46028</v>
      </c>
      <c r="B887" t="s">
        <v>27</v>
      </c>
      <c r="C887" s="1" t="s">
        <v>26</v>
      </c>
      <c r="D887" s="3">
        <v>0</v>
      </c>
      <c r="E887" s="3">
        <v>0</v>
      </c>
      <c r="F887" s="3">
        <v>0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 s="3">
        <v>0</v>
      </c>
      <c r="N887" s="3">
        <v>0</v>
      </c>
      <c r="O887" s="12">
        <v>0</v>
      </c>
    </row>
    <row r="888" spans="1:15" hidden="1" x14ac:dyDescent="0.25">
      <c r="A888" s="10">
        <v>46028</v>
      </c>
      <c r="B888" t="s">
        <v>41</v>
      </c>
      <c r="C888" s="1" t="s">
        <v>32</v>
      </c>
      <c r="D888" s="3">
        <v>45</v>
      </c>
      <c r="E888" s="3">
        <v>41</v>
      </c>
      <c r="F888" s="3">
        <v>15.19</v>
      </c>
      <c r="G888" s="3">
        <v>0</v>
      </c>
      <c r="H888" s="3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 s="3">
        <v>37</v>
      </c>
      <c r="N888" s="3">
        <v>100</v>
      </c>
      <c r="O888" s="12">
        <v>30.470347648261761</v>
      </c>
    </row>
    <row r="889" spans="1:15" hidden="1" x14ac:dyDescent="0.25">
      <c r="A889" s="10">
        <v>46028</v>
      </c>
      <c r="B889" t="s">
        <v>56</v>
      </c>
      <c r="C889" s="1" t="s">
        <v>48</v>
      </c>
      <c r="D889" s="3">
        <v>31</v>
      </c>
      <c r="E889" s="3">
        <v>29</v>
      </c>
      <c r="F889" s="3">
        <v>16.57</v>
      </c>
      <c r="G889" s="3">
        <v>0</v>
      </c>
      <c r="H889" s="3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 s="3">
        <v>28</v>
      </c>
      <c r="N889" s="3">
        <v>100</v>
      </c>
      <c r="O889" s="12">
        <v>32.371134020618562</v>
      </c>
    </row>
    <row r="890" spans="1:15" hidden="1" x14ac:dyDescent="0.25">
      <c r="A890" s="10">
        <v>46028</v>
      </c>
      <c r="B890" t="s">
        <v>57</v>
      </c>
      <c r="C890" s="1" t="s">
        <v>48</v>
      </c>
      <c r="D890" s="3">
        <v>33</v>
      </c>
      <c r="E890" s="3">
        <v>32</v>
      </c>
      <c r="F890" s="3">
        <v>17.16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 s="3">
        <v>26</v>
      </c>
      <c r="N890" s="3">
        <v>98.32</v>
      </c>
      <c r="O890" s="12">
        <v>32.318501170960189</v>
      </c>
    </row>
    <row r="891" spans="1:15" hidden="1" x14ac:dyDescent="0.25">
      <c r="A891" s="10">
        <v>46028</v>
      </c>
      <c r="B891" t="s">
        <v>42</v>
      </c>
      <c r="C891" s="1" t="s">
        <v>32</v>
      </c>
      <c r="D891" s="3">
        <v>21</v>
      </c>
      <c r="E891" s="3">
        <v>16</v>
      </c>
      <c r="F891" s="3">
        <v>15.06</v>
      </c>
      <c r="G891" s="3">
        <v>0</v>
      </c>
      <c r="H891" s="3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 s="3">
        <v>13</v>
      </c>
      <c r="N891" s="3">
        <v>96.43</v>
      </c>
      <c r="O891" s="12">
        <v>27.015250544662312</v>
      </c>
    </row>
    <row r="892" spans="1:15" hidden="1" x14ac:dyDescent="0.25">
      <c r="A892" s="10">
        <v>46028</v>
      </c>
      <c r="B892" t="s">
        <v>62</v>
      </c>
      <c r="C892" s="1" t="s">
        <v>23</v>
      </c>
      <c r="D892" s="3">
        <v>21</v>
      </c>
      <c r="E892" s="3">
        <v>21</v>
      </c>
      <c r="F892" s="3">
        <v>29.07</v>
      </c>
      <c r="G892" s="3">
        <v>0</v>
      </c>
      <c r="H892" s="3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 s="3">
        <v>19</v>
      </c>
      <c r="N892" s="3">
        <v>98.89</v>
      </c>
      <c r="O892" s="12">
        <v>28.021978021978018</v>
      </c>
    </row>
    <row r="893" spans="1:15" hidden="1" x14ac:dyDescent="0.25">
      <c r="A893" s="10">
        <v>46028</v>
      </c>
      <c r="B893" t="s">
        <v>19</v>
      </c>
      <c r="C893" s="1" t="s">
        <v>16</v>
      </c>
      <c r="D893" s="3">
        <v>11</v>
      </c>
      <c r="E893" s="3">
        <v>10</v>
      </c>
      <c r="F893" s="3">
        <v>37.26</v>
      </c>
      <c r="G893" s="3">
        <v>0</v>
      </c>
      <c r="H893" s="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 s="3">
        <v>8</v>
      </c>
      <c r="N893" s="3">
        <v>100</v>
      </c>
      <c r="O893" s="12">
        <v>33.333333333333329</v>
      </c>
    </row>
    <row r="894" spans="1:15" hidden="1" x14ac:dyDescent="0.25">
      <c r="A894" s="10">
        <v>46028</v>
      </c>
      <c r="B894" t="s">
        <v>43</v>
      </c>
      <c r="C894" s="1" t="s">
        <v>32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 s="3">
        <v>0</v>
      </c>
      <c r="N894" s="3">
        <v>100</v>
      </c>
      <c r="O894" s="12">
        <v>27.43362831858407</v>
      </c>
    </row>
    <row r="895" spans="1:15" hidden="1" x14ac:dyDescent="0.25">
      <c r="A895" s="10">
        <v>46028</v>
      </c>
      <c r="B895" t="s">
        <v>44</v>
      </c>
      <c r="C895" s="1" t="s">
        <v>32</v>
      </c>
      <c r="D895" s="3">
        <v>49</v>
      </c>
      <c r="E895" s="3">
        <v>42</v>
      </c>
      <c r="F895" s="3">
        <v>10.4</v>
      </c>
      <c r="G895" s="3">
        <v>0</v>
      </c>
      <c r="H895" s="3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 s="3">
        <v>45</v>
      </c>
      <c r="N895" s="3">
        <v>98.65</v>
      </c>
      <c r="O895" s="12">
        <v>30.978260869565219</v>
      </c>
    </row>
    <row r="896" spans="1:15" hidden="1" x14ac:dyDescent="0.25">
      <c r="A896" s="10">
        <v>46028</v>
      </c>
      <c r="B896" t="s">
        <v>20</v>
      </c>
      <c r="C896" s="1" t="s">
        <v>16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 s="3">
        <v>0</v>
      </c>
      <c r="N896" s="3">
        <v>100</v>
      </c>
      <c r="O896" s="12">
        <v>12</v>
      </c>
    </row>
    <row r="897" spans="1:15" hidden="1" x14ac:dyDescent="0.25">
      <c r="A897" s="10">
        <v>46028</v>
      </c>
      <c r="B897" t="s">
        <v>28</v>
      </c>
      <c r="C897" s="1" t="s">
        <v>26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 s="3">
        <v>0</v>
      </c>
      <c r="N897" s="3">
        <v>0</v>
      </c>
      <c r="O897" s="12">
        <v>0</v>
      </c>
    </row>
    <row r="898" spans="1:15" hidden="1" x14ac:dyDescent="0.25">
      <c r="A898" s="10">
        <v>46028</v>
      </c>
      <c r="B898" t="s">
        <v>58</v>
      </c>
      <c r="C898" s="1" t="s">
        <v>48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 s="3">
        <v>0</v>
      </c>
      <c r="N898" s="3">
        <v>97.56</v>
      </c>
      <c r="O898" s="12">
        <v>31.067961165048541</v>
      </c>
    </row>
    <row r="899" spans="1:15" hidden="1" x14ac:dyDescent="0.25">
      <c r="A899" s="10">
        <v>46028</v>
      </c>
      <c r="B899" t="s">
        <v>29</v>
      </c>
      <c r="C899" s="1" t="s">
        <v>26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 s="3">
        <v>0</v>
      </c>
      <c r="N899" s="3">
        <v>0</v>
      </c>
      <c r="O899" s="12">
        <v>0</v>
      </c>
    </row>
    <row r="900" spans="1:15" hidden="1" x14ac:dyDescent="0.25">
      <c r="A900" s="10">
        <v>46028</v>
      </c>
      <c r="B900" t="s">
        <v>30</v>
      </c>
      <c r="C900" s="1" t="s">
        <v>26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 s="3">
        <v>0</v>
      </c>
      <c r="N900" s="3">
        <v>0</v>
      </c>
      <c r="O900" s="12">
        <v>0</v>
      </c>
    </row>
    <row r="901" spans="1:15" hidden="1" x14ac:dyDescent="0.25">
      <c r="A901" s="10">
        <v>46028</v>
      </c>
      <c r="B901" t="s">
        <v>21</v>
      </c>
      <c r="C901" s="1" t="s">
        <v>16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 s="3">
        <v>0</v>
      </c>
      <c r="N901" s="3">
        <v>0</v>
      </c>
      <c r="O901" s="12">
        <v>0</v>
      </c>
    </row>
    <row r="902" spans="1:15" hidden="1" x14ac:dyDescent="0.25">
      <c r="A902" s="10">
        <v>46028</v>
      </c>
      <c r="B902" t="s">
        <v>63</v>
      </c>
      <c r="C902" s="1" t="s">
        <v>23</v>
      </c>
      <c r="D902" s="3">
        <v>0</v>
      </c>
      <c r="E902" s="3">
        <v>0</v>
      </c>
      <c r="F902" s="3">
        <v>0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 s="3">
        <v>0</v>
      </c>
      <c r="N902" s="3">
        <v>100</v>
      </c>
      <c r="O902" s="12">
        <v>53.846153846153847</v>
      </c>
    </row>
    <row r="903" spans="1:15" hidden="1" x14ac:dyDescent="0.25">
      <c r="A903" s="10">
        <v>46028</v>
      </c>
      <c r="B903" t="s">
        <v>45</v>
      </c>
      <c r="C903" s="1" t="s">
        <v>32</v>
      </c>
      <c r="D903" s="3">
        <v>0</v>
      </c>
      <c r="E903" s="3">
        <v>0</v>
      </c>
      <c r="F903" s="3">
        <v>0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 s="3">
        <v>0</v>
      </c>
      <c r="N903" s="3">
        <v>100</v>
      </c>
      <c r="O903" s="12">
        <v>44.05594405594406</v>
      </c>
    </row>
    <row r="904" spans="1:15" hidden="1" x14ac:dyDescent="0.25">
      <c r="A904" s="10">
        <v>46028</v>
      </c>
      <c r="B904" t="s">
        <v>64</v>
      </c>
      <c r="C904" s="1" t="s">
        <v>23</v>
      </c>
      <c r="D904" s="3">
        <v>15</v>
      </c>
      <c r="E904" s="3">
        <v>11</v>
      </c>
      <c r="F904" s="3">
        <v>27.36</v>
      </c>
      <c r="G904" s="3">
        <v>0</v>
      </c>
      <c r="H904" s="3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 s="3">
        <v>12</v>
      </c>
      <c r="N904" s="3">
        <v>100</v>
      </c>
      <c r="O904" s="12">
        <v>31.872509960159359</v>
      </c>
    </row>
    <row r="905" spans="1:15" hidden="1" x14ac:dyDescent="0.25">
      <c r="A905" s="10">
        <v>46028</v>
      </c>
      <c r="B905" t="s">
        <v>46</v>
      </c>
      <c r="C905" s="1" t="s">
        <v>32</v>
      </c>
      <c r="D905" s="3">
        <v>29</v>
      </c>
      <c r="E905" s="3">
        <v>27</v>
      </c>
      <c r="F905" s="3">
        <v>18.399999999999999</v>
      </c>
      <c r="G905" s="3">
        <v>0</v>
      </c>
      <c r="H905" s="3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 s="3">
        <v>25</v>
      </c>
      <c r="N905" s="3">
        <v>98.41</v>
      </c>
      <c r="O905" s="12">
        <v>29.22465208747515</v>
      </c>
    </row>
    <row r="906" spans="1:15" hidden="1" x14ac:dyDescent="0.25">
      <c r="A906" s="10">
        <v>46029</v>
      </c>
      <c r="B906" t="s">
        <v>47</v>
      </c>
      <c r="C906" s="1" t="s">
        <v>48</v>
      </c>
      <c r="D906" s="3">
        <v>26</v>
      </c>
      <c r="E906" s="3">
        <v>23</v>
      </c>
      <c r="F906" s="3">
        <v>20.57</v>
      </c>
      <c r="G906" s="3">
        <v>0</v>
      </c>
      <c r="H906" s="3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 s="3">
        <v>19</v>
      </c>
      <c r="N906" s="3">
        <v>96.81</v>
      </c>
      <c r="O906" s="12">
        <v>27.980535279805348</v>
      </c>
    </row>
    <row r="907" spans="1:15" hidden="1" x14ac:dyDescent="0.25">
      <c r="A907" s="10">
        <v>46029</v>
      </c>
      <c r="B907" t="s">
        <v>31</v>
      </c>
      <c r="C907" s="1" t="s">
        <v>32</v>
      </c>
      <c r="D907" s="3">
        <v>0</v>
      </c>
      <c r="E907" s="3">
        <v>0</v>
      </c>
      <c r="F907" s="3">
        <v>0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 s="3">
        <v>26</v>
      </c>
      <c r="N907" s="3">
        <v>98.73</v>
      </c>
      <c r="O907" s="12">
        <v>35.756385068762278</v>
      </c>
    </row>
    <row r="908" spans="1:15" hidden="1" x14ac:dyDescent="0.25">
      <c r="A908" s="10">
        <v>46029</v>
      </c>
      <c r="B908" t="s">
        <v>59</v>
      </c>
      <c r="C908" s="1" t="s">
        <v>23</v>
      </c>
      <c r="D908" s="3">
        <v>30</v>
      </c>
      <c r="E908" s="3">
        <v>25</v>
      </c>
      <c r="F908" s="3">
        <v>15.14</v>
      </c>
      <c r="G908" s="3">
        <v>0</v>
      </c>
      <c r="H908" s="3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 s="3">
        <v>24</v>
      </c>
      <c r="N908" s="3">
        <v>98.32</v>
      </c>
      <c r="O908" s="12">
        <v>26.763485477178421</v>
      </c>
    </row>
    <row r="909" spans="1:15" hidden="1" x14ac:dyDescent="0.25">
      <c r="A909" s="10">
        <v>46029</v>
      </c>
      <c r="B909" t="s">
        <v>33</v>
      </c>
      <c r="C909" s="1" t="s">
        <v>32</v>
      </c>
      <c r="D909" s="3">
        <v>31</v>
      </c>
      <c r="E909" s="3">
        <v>30</v>
      </c>
      <c r="F909" s="3">
        <v>20.059999999999999</v>
      </c>
      <c r="G909" s="3">
        <v>0</v>
      </c>
      <c r="H909" s="3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 s="3">
        <v>28</v>
      </c>
      <c r="N909" s="3">
        <v>99.19</v>
      </c>
      <c r="O909" s="12">
        <v>27.637130801687761</v>
      </c>
    </row>
    <row r="910" spans="1:15" hidden="1" x14ac:dyDescent="0.25">
      <c r="A910" s="10">
        <v>46029</v>
      </c>
      <c r="B910" t="s">
        <v>15</v>
      </c>
      <c r="C910" s="1" t="s">
        <v>16</v>
      </c>
      <c r="D910" s="3">
        <v>15</v>
      </c>
      <c r="E910" s="3">
        <v>14</v>
      </c>
      <c r="F910" s="3">
        <v>32.35</v>
      </c>
      <c r="G910" s="3">
        <v>0</v>
      </c>
      <c r="H910" s="3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 s="3">
        <v>13</v>
      </c>
      <c r="N910" s="3">
        <v>100</v>
      </c>
      <c r="O910" s="12">
        <v>39.568345323741013</v>
      </c>
    </row>
    <row r="911" spans="1:15" hidden="1" x14ac:dyDescent="0.25">
      <c r="A911" s="10">
        <v>46029</v>
      </c>
      <c r="B911" t="s">
        <v>49</v>
      </c>
      <c r="C911" s="1" t="s">
        <v>48</v>
      </c>
      <c r="D911" s="3">
        <v>31</v>
      </c>
      <c r="E911" s="3">
        <v>28</v>
      </c>
      <c r="F911" s="3">
        <v>20.12</v>
      </c>
      <c r="G911" s="3">
        <v>0</v>
      </c>
      <c r="H911" s="3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 s="3">
        <v>26</v>
      </c>
      <c r="N911" s="3">
        <v>98.54</v>
      </c>
      <c r="O911" s="12">
        <v>28.544776119402989</v>
      </c>
    </row>
    <row r="912" spans="1:15" hidden="1" x14ac:dyDescent="0.25">
      <c r="A912" s="10">
        <v>46029</v>
      </c>
      <c r="B912" t="s">
        <v>50</v>
      </c>
      <c r="C912" s="1" t="s">
        <v>48</v>
      </c>
      <c r="D912" s="3">
        <v>28</v>
      </c>
      <c r="E912" s="3">
        <v>23</v>
      </c>
      <c r="F912" s="3">
        <v>19.14</v>
      </c>
      <c r="G912" s="3">
        <v>0</v>
      </c>
      <c r="H912" s="3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 s="3">
        <v>20</v>
      </c>
      <c r="N912" s="3">
        <v>100</v>
      </c>
      <c r="O912" s="12">
        <v>34.366925064599492</v>
      </c>
    </row>
    <row r="913" spans="1:15" hidden="1" x14ac:dyDescent="0.25">
      <c r="A913" s="10">
        <v>46029</v>
      </c>
      <c r="B913" t="s">
        <v>17</v>
      </c>
      <c r="C913" s="1" t="s">
        <v>16</v>
      </c>
      <c r="D913" s="3">
        <v>0</v>
      </c>
      <c r="E913" s="3">
        <v>0</v>
      </c>
      <c r="F913" s="3">
        <v>0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 s="3">
        <v>0</v>
      </c>
      <c r="N913" s="3">
        <v>0</v>
      </c>
      <c r="O913" s="12">
        <v>0</v>
      </c>
    </row>
    <row r="914" spans="1:15" hidden="1" x14ac:dyDescent="0.25">
      <c r="A914" s="10">
        <v>46029</v>
      </c>
      <c r="B914" t="s">
        <v>60</v>
      </c>
      <c r="C914" s="1" t="s">
        <v>23</v>
      </c>
      <c r="D914" s="3">
        <v>17</v>
      </c>
      <c r="E914" s="3">
        <v>17</v>
      </c>
      <c r="F914" s="3">
        <v>30.57</v>
      </c>
      <c r="G914" s="3">
        <v>0</v>
      </c>
      <c r="H914" s="3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 s="3">
        <v>14</v>
      </c>
      <c r="N914" s="3">
        <v>100</v>
      </c>
      <c r="O914" s="12">
        <v>29.518072289156631</v>
      </c>
    </row>
    <row r="915" spans="1:15" hidden="1" x14ac:dyDescent="0.25">
      <c r="A915" s="10">
        <v>46029</v>
      </c>
      <c r="B915" t="s">
        <v>34</v>
      </c>
      <c r="C915" s="1" t="s">
        <v>32</v>
      </c>
      <c r="D915" s="3">
        <v>55</v>
      </c>
      <c r="E915" s="3">
        <v>45</v>
      </c>
      <c r="F915" s="3">
        <v>9.11</v>
      </c>
      <c r="G915" s="3">
        <v>0</v>
      </c>
      <c r="H915" s="3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 s="3">
        <v>42</v>
      </c>
      <c r="N915" s="3">
        <v>97.45</v>
      </c>
      <c r="O915" s="12">
        <v>41.421143847487002</v>
      </c>
    </row>
    <row r="916" spans="1:15" hidden="1" x14ac:dyDescent="0.25">
      <c r="A916" s="10">
        <v>46029</v>
      </c>
      <c r="B916" t="s">
        <v>51</v>
      </c>
      <c r="C916" s="1" t="s">
        <v>48</v>
      </c>
      <c r="D916" s="3">
        <v>37</v>
      </c>
      <c r="E916" s="3">
        <v>33</v>
      </c>
      <c r="F916" s="3">
        <v>15.37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 s="3">
        <v>26</v>
      </c>
      <c r="N916" s="3">
        <v>96.58</v>
      </c>
      <c r="O916" s="12">
        <v>30.396475770925111</v>
      </c>
    </row>
    <row r="917" spans="1:15" hidden="1" x14ac:dyDescent="0.25">
      <c r="A917" s="10">
        <v>46029</v>
      </c>
      <c r="B917" t="s">
        <v>61</v>
      </c>
      <c r="C917" s="1" t="s">
        <v>23</v>
      </c>
      <c r="D917" s="3">
        <v>27</v>
      </c>
      <c r="E917" s="3">
        <v>27</v>
      </c>
      <c r="F917" s="3">
        <v>21.4</v>
      </c>
      <c r="G917" s="3">
        <v>0</v>
      </c>
      <c r="H917" s="3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 s="3">
        <v>25</v>
      </c>
      <c r="N917" s="3">
        <v>100</v>
      </c>
      <c r="O917" s="12">
        <v>27.44282744282744</v>
      </c>
    </row>
    <row r="918" spans="1:15" hidden="1" x14ac:dyDescent="0.25">
      <c r="A918" s="10">
        <v>46029</v>
      </c>
      <c r="B918" t="s">
        <v>35</v>
      </c>
      <c r="C918" s="1" t="s">
        <v>32</v>
      </c>
      <c r="D918" s="3">
        <v>34</v>
      </c>
      <c r="E918" s="3">
        <v>33</v>
      </c>
      <c r="F918" s="3">
        <v>21.41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 s="3">
        <v>33</v>
      </c>
      <c r="N918" s="3">
        <v>99.49</v>
      </c>
      <c r="O918" s="12">
        <v>40.200000000000003</v>
      </c>
    </row>
    <row r="919" spans="1:15" hidden="1" x14ac:dyDescent="0.25">
      <c r="A919" s="10">
        <v>46029</v>
      </c>
      <c r="B919" t="s">
        <v>18</v>
      </c>
      <c r="C919" s="1" t="s">
        <v>16</v>
      </c>
      <c r="D919" s="3">
        <v>0</v>
      </c>
      <c r="E919" s="3">
        <v>0</v>
      </c>
      <c r="F919" s="3">
        <v>0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 s="3">
        <v>0</v>
      </c>
      <c r="N919" s="3">
        <v>100</v>
      </c>
      <c r="O919" s="12">
        <v>25</v>
      </c>
    </row>
    <row r="920" spans="1:15" hidden="1" x14ac:dyDescent="0.25">
      <c r="A920" s="10">
        <v>46029</v>
      </c>
      <c r="B920" t="s">
        <v>52</v>
      </c>
      <c r="C920" s="1" t="s">
        <v>48</v>
      </c>
      <c r="D920" s="3">
        <v>34</v>
      </c>
      <c r="E920" s="3">
        <v>33</v>
      </c>
      <c r="F920" s="3">
        <v>16.43</v>
      </c>
      <c r="G920" s="3">
        <v>0</v>
      </c>
      <c r="H920" s="3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 s="3">
        <v>27</v>
      </c>
      <c r="N920" s="3">
        <v>100</v>
      </c>
      <c r="O920" s="12">
        <v>34.15094339622641</v>
      </c>
    </row>
    <row r="921" spans="1:15" hidden="1" x14ac:dyDescent="0.25">
      <c r="A921" s="10">
        <v>46029</v>
      </c>
      <c r="B921" t="s">
        <v>36</v>
      </c>
      <c r="C921" s="1" t="s">
        <v>32</v>
      </c>
      <c r="D921" s="3">
        <v>34</v>
      </c>
      <c r="E921" s="3">
        <v>31</v>
      </c>
      <c r="F921" s="3">
        <v>12.38</v>
      </c>
      <c r="G921" s="3">
        <v>0</v>
      </c>
      <c r="H921" s="3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 s="3">
        <v>32</v>
      </c>
      <c r="N921" s="3">
        <v>100</v>
      </c>
      <c r="O921" s="12">
        <v>32.731376975169297</v>
      </c>
    </row>
    <row r="922" spans="1:15" hidden="1" x14ac:dyDescent="0.25">
      <c r="A922" s="10">
        <v>46029</v>
      </c>
      <c r="B922" t="s">
        <v>53</v>
      </c>
      <c r="C922" s="1" t="s">
        <v>48</v>
      </c>
      <c r="D922" s="3">
        <v>33</v>
      </c>
      <c r="E922" s="3">
        <v>31</v>
      </c>
      <c r="F922" s="3">
        <v>25.16</v>
      </c>
      <c r="G922" s="3">
        <v>0</v>
      </c>
      <c r="H922" s="3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 s="3">
        <v>29</v>
      </c>
      <c r="N922" s="3">
        <v>99.31</v>
      </c>
      <c r="O922" s="12">
        <v>30.96234309623431</v>
      </c>
    </row>
    <row r="923" spans="1:15" hidden="1" x14ac:dyDescent="0.25">
      <c r="A923" s="10">
        <v>46063</v>
      </c>
      <c r="B923" t="s">
        <v>22</v>
      </c>
      <c r="C923" s="1" t="s">
        <v>23</v>
      </c>
      <c r="D923" s="3">
        <v>6</v>
      </c>
      <c r="E923" s="3">
        <v>6</v>
      </c>
      <c r="F923" s="3">
        <v>20.39</v>
      </c>
      <c r="G923" s="3">
        <v>0</v>
      </c>
      <c r="H923" s="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 s="3">
        <v>28</v>
      </c>
      <c r="N923" s="3">
        <v>96.67</v>
      </c>
      <c r="O923" s="12">
        <v>31.451612903225811</v>
      </c>
    </row>
    <row r="924" spans="1:15" hidden="1" x14ac:dyDescent="0.25">
      <c r="A924" s="10">
        <v>46029</v>
      </c>
      <c r="B924" t="s">
        <v>54</v>
      </c>
      <c r="C924" s="1" t="s">
        <v>48</v>
      </c>
      <c r="D924" s="3">
        <v>28</v>
      </c>
      <c r="E924" s="3">
        <v>25</v>
      </c>
      <c r="F924" s="3">
        <v>15.12</v>
      </c>
      <c r="G924" s="3">
        <v>0</v>
      </c>
      <c r="H924" s="3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 s="3">
        <v>27</v>
      </c>
      <c r="N924" s="3">
        <v>100</v>
      </c>
      <c r="O924" s="12">
        <v>27.676767676767678</v>
      </c>
    </row>
    <row r="925" spans="1:15" hidden="1" x14ac:dyDescent="0.25">
      <c r="A925" s="10">
        <v>46029</v>
      </c>
      <c r="B925" t="s">
        <v>37</v>
      </c>
      <c r="C925" s="1" t="s">
        <v>32</v>
      </c>
      <c r="D925" s="3">
        <v>59</v>
      </c>
      <c r="E925" s="3">
        <v>53</v>
      </c>
      <c r="F925" s="3">
        <v>10.35</v>
      </c>
      <c r="G925" s="3">
        <v>0</v>
      </c>
      <c r="H925" s="3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 s="3">
        <v>51</v>
      </c>
      <c r="N925" s="3">
        <v>100</v>
      </c>
      <c r="O925" s="12">
        <v>31.17723156532988</v>
      </c>
    </row>
    <row r="926" spans="1:15" hidden="1" x14ac:dyDescent="0.25">
      <c r="A926" s="10">
        <v>46029</v>
      </c>
      <c r="B926" t="s">
        <v>38</v>
      </c>
      <c r="C926" s="1" t="s">
        <v>32</v>
      </c>
      <c r="D926" s="3">
        <v>30</v>
      </c>
      <c r="E926" s="3">
        <v>27</v>
      </c>
      <c r="F926" s="3">
        <v>12.23</v>
      </c>
      <c r="G926" s="3">
        <v>0</v>
      </c>
      <c r="H926" s="3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 s="3">
        <v>24</v>
      </c>
      <c r="N926" s="3">
        <v>100</v>
      </c>
      <c r="O926" s="12">
        <v>27.609427609427609</v>
      </c>
    </row>
    <row r="927" spans="1:15" hidden="1" x14ac:dyDescent="0.25">
      <c r="A927" s="10">
        <v>46029</v>
      </c>
      <c r="B927" t="s">
        <v>55</v>
      </c>
      <c r="C927" s="1" t="s">
        <v>48</v>
      </c>
      <c r="D927" s="3">
        <v>33</v>
      </c>
      <c r="E927" s="3">
        <v>27</v>
      </c>
      <c r="F927" s="3">
        <v>11.54</v>
      </c>
      <c r="G927" s="3">
        <v>0</v>
      </c>
      <c r="H927" s="3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 s="3">
        <v>26</v>
      </c>
      <c r="N927" s="3">
        <v>96.4</v>
      </c>
      <c r="O927" s="12">
        <v>28.764044943820231</v>
      </c>
    </row>
    <row r="928" spans="1:15" hidden="1" x14ac:dyDescent="0.25">
      <c r="A928" s="10">
        <v>46029</v>
      </c>
      <c r="B928" t="s">
        <v>39</v>
      </c>
      <c r="C928" s="1" t="s">
        <v>32</v>
      </c>
      <c r="D928" s="3">
        <v>0</v>
      </c>
      <c r="E928" s="3">
        <v>0</v>
      </c>
      <c r="F928" s="3">
        <v>0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 s="3">
        <v>28</v>
      </c>
      <c r="N928" s="3">
        <v>100</v>
      </c>
      <c r="O928" s="12">
        <v>33.980582524271853</v>
      </c>
    </row>
    <row r="929" spans="1:15" hidden="1" x14ac:dyDescent="0.25">
      <c r="A929" s="10">
        <v>46029</v>
      </c>
      <c r="B929" t="s">
        <v>25</v>
      </c>
      <c r="C929" s="1" t="s">
        <v>26</v>
      </c>
      <c r="D929" s="3">
        <v>8</v>
      </c>
      <c r="E929" s="3">
        <v>8</v>
      </c>
      <c r="F929" s="3">
        <v>33.340000000000003</v>
      </c>
      <c r="G929" s="3">
        <v>0</v>
      </c>
      <c r="H929" s="3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 s="3">
        <v>7</v>
      </c>
      <c r="N929" s="3">
        <v>97.56</v>
      </c>
      <c r="O929" s="12">
        <v>32.515337423312893</v>
      </c>
    </row>
    <row r="930" spans="1:15" hidden="1" x14ac:dyDescent="0.25">
      <c r="A930" s="10">
        <v>46029</v>
      </c>
      <c r="B930" t="s">
        <v>40</v>
      </c>
      <c r="C930" s="1" t="s">
        <v>32</v>
      </c>
      <c r="D930" s="3">
        <v>15</v>
      </c>
      <c r="E930" s="3">
        <v>15</v>
      </c>
      <c r="F930" s="3">
        <v>34.14</v>
      </c>
      <c r="G930" s="3">
        <v>0</v>
      </c>
      <c r="H930" s="3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 s="3">
        <v>15</v>
      </c>
      <c r="N930" s="3">
        <v>97.11</v>
      </c>
      <c r="O930" s="12">
        <v>37.408312958435211</v>
      </c>
    </row>
    <row r="931" spans="1:15" hidden="1" x14ac:dyDescent="0.25">
      <c r="A931" s="10">
        <v>46029</v>
      </c>
      <c r="B931" t="s">
        <v>27</v>
      </c>
      <c r="C931" s="1" t="s">
        <v>26</v>
      </c>
      <c r="D931" s="3">
        <v>0</v>
      </c>
      <c r="E931" s="3">
        <v>0</v>
      </c>
      <c r="F931" s="3">
        <v>0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 s="3">
        <v>0</v>
      </c>
      <c r="N931" s="3">
        <v>0</v>
      </c>
      <c r="O931" s="12">
        <v>0</v>
      </c>
    </row>
    <row r="932" spans="1:15" hidden="1" x14ac:dyDescent="0.25">
      <c r="A932" s="10">
        <v>46029</v>
      </c>
      <c r="B932" t="s">
        <v>41</v>
      </c>
      <c r="C932" s="1" t="s">
        <v>32</v>
      </c>
      <c r="D932" s="3">
        <v>33</v>
      </c>
      <c r="E932" s="3">
        <v>30</v>
      </c>
      <c r="F932" s="3">
        <v>17.100000000000001</v>
      </c>
      <c r="G932" s="3">
        <v>0</v>
      </c>
      <c r="H932" s="3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 s="3">
        <v>33</v>
      </c>
      <c r="N932" s="3">
        <v>100</v>
      </c>
      <c r="O932" s="12">
        <v>30.470347648261761</v>
      </c>
    </row>
    <row r="933" spans="1:15" hidden="1" x14ac:dyDescent="0.25">
      <c r="A933" s="10">
        <v>46029</v>
      </c>
      <c r="B933" t="s">
        <v>56</v>
      </c>
      <c r="C933" s="1" t="s">
        <v>48</v>
      </c>
      <c r="D933" s="3">
        <v>29</v>
      </c>
      <c r="E933" s="3">
        <v>26</v>
      </c>
      <c r="F933" s="3">
        <v>20.34</v>
      </c>
      <c r="G933" s="3">
        <v>0</v>
      </c>
      <c r="H933" s="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 s="3">
        <v>23</v>
      </c>
      <c r="N933" s="3">
        <v>100</v>
      </c>
      <c r="O933" s="12">
        <v>32.371134020618562</v>
      </c>
    </row>
    <row r="934" spans="1:15" hidden="1" x14ac:dyDescent="0.25">
      <c r="A934" s="10">
        <v>46029</v>
      </c>
      <c r="B934" t="s">
        <v>57</v>
      </c>
      <c r="C934" s="1" t="s">
        <v>48</v>
      </c>
      <c r="D934" s="3">
        <v>21</v>
      </c>
      <c r="E934" s="3">
        <v>21</v>
      </c>
      <c r="F934" s="3">
        <v>20.100000000000001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 s="3">
        <v>18</v>
      </c>
      <c r="N934" s="3">
        <v>98.32</v>
      </c>
      <c r="O934" s="12">
        <v>32.318501170960189</v>
      </c>
    </row>
    <row r="935" spans="1:15" hidden="1" x14ac:dyDescent="0.25">
      <c r="A935" s="10">
        <v>46029</v>
      </c>
      <c r="B935" t="s">
        <v>42</v>
      </c>
      <c r="C935" s="1" t="s">
        <v>32</v>
      </c>
      <c r="D935" s="3">
        <v>48</v>
      </c>
      <c r="E935" s="3">
        <v>43</v>
      </c>
      <c r="F935" s="3">
        <v>17.34</v>
      </c>
      <c r="G935" s="3">
        <v>0</v>
      </c>
      <c r="H935" s="3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 s="3">
        <v>39</v>
      </c>
      <c r="N935" s="3">
        <v>96.43</v>
      </c>
      <c r="O935" s="12">
        <v>27.015250544662312</v>
      </c>
    </row>
    <row r="936" spans="1:15" hidden="1" x14ac:dyDescent="0.25">
      <c r="A936" s="10">
        <v>46029</v>
      </c>
      <c r="B936" t="s">
        <v>62</v>
      </c>
      <c r="C936" s="1" t="s">
        <v>23</v>
      </c>
      <c r="D936" s="3">
        <v>26</v>
      </c>
      <c r="E936" s="3">
        <v>26</v>
      </c>
      <c r="F936" s="3">
        <v>20.059999999999999</v>
      </c>
      <c r="G936" s="3">
        <v>0</v>
      </c>
      <c r="H936" s="3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 s="3">
        <v>22</v>
      </c>
      <c r="N936" s="3">
        <v>98.89</v>
      </c>
      <c r="O936" s="12">
        <v>28.021978021978018</v>
      </c>
    </row>
    <row r="937" spans="1:15" hidden="1" x14ac:dyDescent="0.25">
      <c r="A937" s="10">
        <v>46029</v>
      </c>
      <c r="B937" t="s">
        <v>19</v>
      </c>
      <c r="C937" s="1" t="s">
        <v>16</v>
      </c>
      <c r="D937" s="3">
        <v>18</v>
      </c>
      <c r="E937" s="3">
        <v>17</v>
      </c>
      <c r="F937" s="3">
        <v>37.01</v>
      </c>
      <c r="G937" s="3">
        <v>0</v>
      </c>
      <c r="H937" s="3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 s="3">
        <v>14</v>
      </c>
      <c r="N937" s="3">
        <v>100</v>
      </c>
      <c r="O937" s="12">
        <v>33.333333333333329</v>
      </c>
    </row>
    <row r="938" spans="1:15" hidden="1" x14ac:dyDescent="0.25">
      <c r="A938" s="10">
        <v>46029</v>
      </c>
      <c r="B938" t="s">
        <v>43</v>
      </c>
      <c r="C938" s="1" t="s">
        <v>32</v>
      </c>
      <c r="D938" s="3">
        <v>0</v>
      </c>
      <c r="E938" s="3">
        <v>0</v>
      </c>
      <c r="F938" s="3">
        <v>0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 s="3">
        <v>0</v>
      </c>
      <c r="N938" s="3">
        <v>100</v>
      </c>
      <c r="O938" s="12">
        <v>27.43362831858407</v>
      </c>
    </row>
    <row r="939" spans="1:15" hidden="1" x14ac:dyDescent="0.25">
      <c r="A939" s="10">
        <v>46029</v>
      </c>
      <c r="B939" t="s">
        <v>44</v>
      </c>
      <c r="C939" s="1" t="s">
        <v>32</v>
      </c>
      <c r="D939" s="3">
        <v>32</v>
      </c>
      <c r="E939" s="3">
        <v>30</v>
      </c>
      <c r="F939" s="3">
        <v>20.05</v>
      </c>
      <c r="G939" s="3">
        <v>0</v>
      </c>
      <c r="H939" s="3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 s="3">
        <v>27</v>
      </c>
      <c r="N939" s="3">
        <v>98.65</v>
      </c>
      <c r="O939" s="12">
        <v>30.978260869565219</v>
      </c>
    </row>
    <row r="940" spans="1:15" hidden="1" x14ac:dyDescent="0.25">
      <c r="A940" s="10">
        <v>46029</v>
      </c>
      <c r="B940" t="s">
        <v>20</v>
      </c>
      <c r="C940" s="1" t="s">
        <v>16</v>
      </c>
      <c r="D940" s="3">
        <v>0</v>
      </c>
      <c r="E940" s="3">
        <v>0</v>
      </c>
      <c r="F940" s="3">
        <v>0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 s="3">
        <v>0</v>
      </c>
      <c r="N940" s="3">
        <v>100</v>
      </c>
      <c r="O940" s="12">
        <v>12</v>
      </c>
    </row>
    <row r="941" spans="1:15" hidden="1" x14ac:dyDescent="0.25">
      <c r="A941" s="10">
        <v>46029</v>
      </c>
      <c r="B941" t="s">
        <v>28</v>
      </c>
      <c r="C941" s="1" t="s">
        <v>26</v>
      </c>
      <c r="D941" s="3">
        <v>0</v>
      </c>
      <c r="E941" s="3">
        <v>0</v>
      </c>
      <c r="F941" s="3">
        <v>0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 s="3">
        <v>0</v>
      </c>
      <c r="N941" s="3">
        <v>0</v>
      </c>
      <c r="O941" s="12">
        <v>0</v>
      </c>
    </row>
    <row r="942" spans="1:15" hidden="1" x14ac:dyDescent="0.25">
      <c r="A942" s="10">
        <v>46029</v>
      </c>
      <c r="B942" t="s">
        <v>58</v>
      </c>
      <c r="C942" s="1" t="s">
        <v>48</v>
      </c>
      <c r="D942" s="3">
        <v>0</v>
      </c>
      <c r="E942" s="3">
        <v>0</v>
      </c>
      <c r="F942" s="3">
        <v>0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 s="3">
        <v>0</v>
      </c>
      <c r="N942" s="3">
        <v>97.56</v>
      </c>
      <c r="O942" s="12">
        <v>31.067961165048541</v>
      </c>
    </row>
    <row r="943" spans="1:15" hidden="1" x14ac:dyDescent="0.25">
      <c r="A943" s="10">
        <v>46029</v>
      </c>
      <c r="B943" t="s">
        <v>29</v>
      </c>
      <c r="C943" s="1" t="s">
        <v>26</v>
      </c>
      <c r="D943" s="3">
        <v>0</v>
      </c>
      <c r="E943" s="3">
        <v>0</v>
      </c>
      <c r="F943" s="3">
        <v>0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 s="3">
        <v>0</v>
      </c>
      <c r="N943" s="3">
        <v>0</v>
      </c>
      <c r="O943" s="12">
        <v>0</v>
      </c>
    </row>
    <row r="944" spans="1:15" hidden="1" x14ac:dyDescent="0.25">
      <c r="A944" s="10">
        <v>46029</v>
      </c>
      <c r="B944" t="s">
        <v>30</v>
      </c>
      <c r="C944" s="1" t="s">
        <v>26</v>
      </c>
      <c r="D944" s="3">
        <v>0</v>
      </c>
      <c r="E944" s="3">
        <v>0</v>
      </c>
      <c r="F944" s="3">
        <v>0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 s="3">
        <v>0</v>
      </c>
      <c r="N944" s="3">
        <v>0</v>
      </c>
      <c r="O944" s="12">
        <v>0</v>
      </c>
    </row>
    <row r="945" spans="1:15" hidden="1" x14ac:dyDescent="0.25">
      <c r="A945" s="10">
        <v>46029</v>
      </c>
      <c r="B945" t="s">
        <v>21</v>
      </c>
      <c r="C945" s="1" t="s">
        <v>16</v>
      </c>
      <c r="D945" s="3">
        <v>0</v>
      </c>
      <c r="E945" s="3">
        <v>0</v>
      </c>
      <c r="F945" s="3">
        <v>0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 s="3">
        <v>0</v>
      </c>
      <c r="N945" s="3">
        <v>0</v>
      </c>
      <c r="O945" s="12">
        <v>0</v>
      </c>
    </row>
    <row r="946" spans="1:15" hidden="1" x14ac:dyDescent="0.25">
      <c r="A946" s="10">
        <v>46029</v>
      </c>
      <c r="B946" t="s">
        <v>63</v>
      </c>
      <c r="C946" s="1" t="s">
        <v>23</v>
      </c>
      <c r="D946" s="3">
        <v>0</v>
      </c>
      <c r="E946" s="3">
        <v>0</v>
      </c>
      <c r="F946" s="3">
        <v>0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 s="3">
        <v>0</v>
      </c>
      <c r="N946" s="3">
        <v>100</v>
      </c>
      <c r="O946" s="12">
        <v>53.846153846153847</v>
      </c>
    </row>
    <row r="947" spans="1:15" hidden="1" x14ac:dyDescent="0.25">
      <c r="A947" s="10">
        <v>46029</v>
      </c>
      <c r="B947" t="s">
        <v>45</v>
      </c>
      <c r="C947" s="1" t="s">
        <v>32</v>
      </c>
      <c r="D947" s="3">
        <v>0</v>
      </c>
      <c r="E947" s="3">
        <v>0</v>
      </c>
      <c r="F947" s="3">
        <v>0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 s="3">
        <v>0</v>
      </c>
      <c r="N947" s="3">
        <v>100</v>
      </c>
      <c r="O947" s="12">
        <v>44.05594405594406</v>
      </c>
    </row>
    <row r="948" spans="1:15" hidden="1" x14ac:dyDescent="0.25">
      <c r="A948" s="10">
        <v>46029</v>
      </c>
      <c r="B948" t="s">
        <v>64</v>
      </c>
      <c r="C948" s="1" t="s">
        <v>23</v>
      </c>
      <c r="D948" s="3">
        <v>18</v>
      </c>
      <c r="E948" s="3">
        <v>17</v>
      </c>
      <c r="F948" s="3">
        <v>30.15</v>
      </c>
      <c r="G948" s="3">
        <v>0</v>
      </c>
      <c r="H948" s="3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 s="3">
        <v>16</v>
      </c>
      <c r="N948" s="3">
        <v>100</v>
      </c>
      <c r="O948" s="12">
        <v>31.872509960159359</v>
      </c>
    </row>
    <row r="949" spans="1:15" hidden="1" x14ac:dyDescent="0.25">
      <c r="A949" s="10">
        <v>46029</v>
      </c>
      <c r="B949" t="s">
        <v>46</v>
      </c>
      <c r="C949" s="1" t="s">
        <v>32</v>
      </c>
      <c r="D949" s="3">
        <v>30</v>
      </c>
      <c r="E949" s="3">
        <v>26</v>
      </c>
      <c r="F949" s="3">
        <v>18.53</v>
      </c>
      <c r="G949" s="3">
        <v>0</v>
      </c>
      <c r="H949" s="3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 s="3">
        <v>23</v>
      </c>
      <c r="N949" s="3">
        <v>98.41</v>
      </c>
      <c r="O949" s="12">
        <v>29.22465208747515</v>
      </c>
    </row>
    <row r="950" spans="1:15" hidden="1" x14ac:dyDescent="0.25">
      <c r="A950" s="10">
        <v>46030</v>
      </c>
      <c r="B950" t="s">
        <v>47</v>
      </c>
      <c r="C950" s="1" t="s">
        <v>48</v>
      </c>
      <c r="D950" s="3">
        <v>33</v>
      </c>
      <c r="E950" s="3">
        <v>27</v>
      </c>
      <c r="F950" s="3">
        <v>9.06</v>
      </c>
      <c r="G950" s="3">
        <v>0</v>
      </c>
      <c r="H950" s="3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 s="3">
        <v>21</v>
      </c>
      <c r="N950" s="3">
        <v>96.81</v>
      </c>
      <c r="O950" s="12">
        <v>27.980535279805348</v>
      </c>
    </row>
    <row r="951" spans="1:15" hidden="1" x14ac:dyDescent="0.25">
      <c r="A951" s="10">
        <v>46030</v>
      </c>
      <c r="B951" t="s">
        <v>31</v>
      </c>
      <c r="C951" s="1" t="s">
        <v>32</v>
      </c>
      <c r="D951" s="3">
        <v>0</v>
      </c>
      <c r="E951" s="3">
        <v>0</v>
      </c>
      <c r="F951" s="3">
        <v>0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 s="3">
        <v>23</v>
      </c>
      <c r="N951" s="3">
        <v>98.73</v>
      </c>
      <c r="O951" s="12">
        <v>35.756385068762278</v>
      </c>
    </row>
    <row r="952" spans="1:15" hidden="1" x14ac:dyDescent="0.25">
      <c r="A952" s="10">
        <v>46030</v>
      </c>
      <c r="B952" t="s">
        <v>59</v>
      </c>
      <c r="C952" s="1" t="s">
        <v>23</v>
      </c>
      <c r="D952" s="3">
        <v>21</v>
      </c>
      <c r="E952" s="3">
        <v>17</v>
      </c>
      <c r="F952" s="3">
        <v>22.09</v>
      </c>
      <c r="G952" s="3">
        <v>0</v>
      </c>
      <c r="H952" s="3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 s="3">
        <v>17</v>
      </c>
      <c r="N952" s="3">
        <v>98.32</v>
      </c>
      <c r="O952" s="12">
        <v>26.763485477178421</v>
      </c>
    </row>
    <row r="953" spans="1:15" hidden="1" x14ac:dyDescent="0.25">
      <c r="A953" s="10">
        <v>46030</v>
      </c>
      <c r="B953" t="s">
        <v>33</v>
      </c>
      <c r="C953" s="1" t="s">
        <v>32</v>
      </c>
      <c r="D953" s="3">
        <v>45</v>
      </c>
      <c r="E953" s="3">
        <v>41</v>
      </c>
      <c r="F953" s="3">
        <v>13.52</v>
      </c>
      <c r="G953" s="3">
        <v>0</v>
      </c>
      <c r="H953" s="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 s="3">
        <v>36</v>
      </c>
      <c r="N953" s="3">
        <v>99.19</v>
      </c>
      <c r="O953" s="12">
        <v>27.637130801687761</v>
      </c>
    </row>
    <row r="954" spans="1:15" hidden="1" x14ac:dyDescent="0.25">
      <c r="A954" s="10">
        <v>46030</v>
      </c>
      <c r="B954" t="s">
        <v>15</v>
      </c>
      <c r="C954" s="1" t="s">
        <v>16</v>
      </c>
      <c r="D954" s="3">
        <v>9</v>
      </c>
      <c r="E954" s="3">
        <v>9</v>
      </c>
      <c r="F954" s="3">
        <v>38.53</v>
      </c>
      <c r="G954" s="3">
        <v>0</v>
      </c>
      <c r="H954" s="3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 s="3">
        <v>7</v>
      </c>
      <c r="N954" s="3">
        <v>100</v>
      </c>
      <c r="O954" s="12">
        <v>39.568345323741013</v>
      </c>
    </row>
    <row r="955" spans="1:15" hidden="1" x14ac:dyDescent="0.25">
      <c r="A955" s="10">
        <v>46030</v>
      </c>
      <c r="B955" t="s">
        <v>49</v>
      </c>
      <c r="C955" s="1" t="s">
        <v>48</v>
      </c>
      <c r="D955" s="3">
        <v>34</v>
      </c>
      <c r="E955" s="3">
        <v>31</v>
      </c>
      <c r="F955" s="3">
        <v>16.59</v>
      </c>
      <c r="G955" s="3">
        <v>0</v>
      </c>
      <c r="H955" s="3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 s="3">
        <v>31</v>
      </c>
      <c r="N955" s="3">
        <v>98.54</v>
      </c>
      <c r="O955" s="12">
        <v>28.544776119402989</v>
      </c>
    </row>
    <row r="956" spans="1:15" hidden="1" x14ac:dyDescent="0.25">
      <c r="A956" s="10">
        <v>46030</v>
      </c>
      <c r="B956" t="s">
        <v>50</v>
      </c>
      <c r="C956" s="1" t="s">
        <v>48</v>
      </c>
      <c r="D956" s="3">
        <v>16</v>
      </c>
      <c r="E956" s="3">
        <v>16</v>
      </c>
      <c r="F956" s="3">
        <v>24.05</v>
      </c>
      <c r="G956" s="3">
        <v>0</v>
      </c>
      <c r="H956" s="3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 s="3">
        <v>16</v>
      </c>
      <c r="N956" s="3">
        <v>100</v>
      </c>
      <c r="O956" s="12">
        <v>34.366925064599492</v>
      </c>
    </row>
    <row r="957" spans="1:15" hidden="1" x14ac:dyDescent="0.25">
      <c r="A957" s="10">
        <v>46030</v>
      </c>
      <c r="B957" t="s">
        <v>17</v>
      </c>
      <c r="C957" s="1" t="s">
        <v>16</v>
      </c>
      <c r="D957" s="3">
        <v>0</v>
      </c>
      <c r="E957" s="3">
        <v>0</v>
      </c>
      <c r="F957" s="3">
        <v>0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 s="3">
        <v>0</v>
      </c>
      <c r="N957" s="3">
        <v>0</v>
      </c>
      <c r="O957" s="12">
        <v>0</v>
      </c>
    </row>
    <row r="958" spans="1:15" hidden="1" x14ac:dyDescent="0.25">
      <c r="A958" s="10">
        <v>46030</v>
      </c>
      <c r="B958" t="s">
        <v>60</v>
      </c>
      <c r="C958" s="1" t="s">
        <v>23</v>
      </c>
      <c r="D958" s="3">
        <v>30</v>
      </c>
      <c r="E958" s="3">
        <v>29</v>
      </c>
      <c r="F958" s="3">
        <v>18.399999999999999</v>
      </c>
      <c r="G958" s="3">
        <v>0</v>
      </c>
      <c r="H958" s="3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 s="3">
        <v>22</v>
      </c>
      <c r="N958" s="3">
        <v>100</v>
      </c>
      <c r="O958" s="12">
        <v>29.518072289156631</v>
      </c>
    </row>
    <row r="959" spans="1:15" hidden="1" x14ac:dyDescent="0.25">
      <c r="A959" s="10">
        <v>46030</v>
      </c>
      <c r="B959" t="s">
        <v>34</v>
      </c>
      <c r="C959" s="1" t="s">
        <v>32</v>
      </c>
      <c r="D959" s="3">
        <v>32</v>
      </c>
      <c r="E959" s="3">
        <v>29</v>
      </c>
      <c r="F959" s="3">
        <v>17.010000000000002</v>
      </c>
      <c r="G959" s="3">
        <v>0</v>
      </c>
      <c r="H959" s="3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 s="3">
        <v>29</v>
      </c>
      <c r="N959" s="3">
        <v>97.45</v>
      </c>
      <c r="O959" s="12">
        <v>41.421143847487002</v>
      </c>
    </row>
    <row r="960" spans="1:15" hidden="1" x14ac:dyDescent="0.25">
      <c r="A960" s="10">
        <v>46030</v>
      </c>
      <c r="B960" t="s">
        <v>51</v>
      </c>
      <c r="C960" s="1" t="s">
        <v>48</v>
      </c>
      <c r="D960" s="3">
        <v>33</v>
      </c>
      <c r="E960" s="3">
        <v>28</v>
      </c>
      <c r="F960" s="3">
        <v>17.260000000000002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 s="3">
        <v>23</v>
      </c>
      <c r="N960" s="3">
        <v>96.58</v>
      </c>
      <c r="O960" s="12">
        <v>30.396475770925111</v>
      </c>
    </row>
    <row r="961" spans="1:15" hidden="1" x14ac:dyDescent="0.25">
      <c r="A961" s="10">
        <v>46030</v>
      </c>
      <c r="B961" t="s">
        <v>61</v>
      </c>
      <c r="C961" s="1" t="s">
        <v>23</v>
      </c>
      <c r="D961" s="3">
        <v>24</v>
      </c>
      <c r="E961" s="3">
        <v>24</v>
      </c>
      <c r="F961" s="3">
        <v>22.02</v>
      </c>
      <c r="G961" s="3">
        <v>0</v>
      </c>
      <c r="H961" s="3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 s="3">
        <v>22</v>
      </c>
      <c r="N961" s="3">
        <v>100</v>
      </c>
      <c r="O961" s="12">
        <v>27.44282744282744</v>
      </c>
    </row>
    <row r="962" spans="1:15" hidden="1" x14ac:dyDescent="0.25">
      <c r="A962" s="10">
        <v>46030</v>
      </c>
      <c r="B962" t="s">
        <v>35</v>
      </c>
      <c r="C962" s="1" t="s">
        <v>32</v>
      </c>
      <c r="D962" s="3">
        <v>29</v>
      </c>
      <c r="E962" s="3">
        <v>28</v>
      </c>
      <c r="F962" s="3">
        <v>26.59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 s="3">
        <v>28</v>
      </c>
      <c r="N962" s="3">
        <v>99.49</v>
      </c>
      <c r="O962" s="12">
        <v>40.200000000000003</v>
      </c>
    </row>
    <row r="963" spans="1:15" hidden="1" x14ac:dyDescent="0.25">
      <c r="A963" s="10">
        <v>46030</v>
      </c>
      <c r="B963" t="s">
        <v>18</v>
      </c>
      <c r="C963" s="1" t="s">
        <v>16</v>
      </c>
      <c r="D963" s="3">
        <v>0</v>
      </c>
      <c r="E963" s="3">
        <v>0</v>
      </c>
      <c r="F963" s="3">
        <v>0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 s="3">
        <v>0</v>
      </c>
      <c r="N963" s="3">
        <v>100</v>
      </c>
      <c r="O963" s="12">
        <v>25</v>
      </c>
    </row>
    <row r="964" spans="1:15" hidden="1" x14ac:dyDescent="0.25">
      <c r="A964" s="10">
        <v>46030</v>
      </c>
      <c r="B964" t="s">
        <v>52</v>
      </c>
      <c r="C964" s="1" t="s">
        <v>48</v>
      </c>
      <c r="D964" s="3">
        <v>28</v>
      </c>
      <c r="E964" s="3">
        <v>26</v>
      </c>
      <c r="F964" s="3">
        <v>14.1</v>
      </c>
      <c r="G964" s="3">
        <v>0</v>
      </c>
      <c r="H964" s="3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 s="3">
        <v>26</v>
      </c>
      <c r="N964" s="3">
        <v>100</v>
      </c>
      <c r="O964" s="12">
        <v>34.15094339622641</v>
      </c>
    </row>
    <row r="965" spans="1:15" hidden="1" x14ac:dyDescent="0.25">
      <c r="A965" s="10">
        <v>46030</v>
      </c>
      <c r="B965" t="s">
        <v>36</v>
      </c>
      <c r="C965" s="1" t="s">
        <v>32</v>
      </c>
      <c r="D965" s="3">
        <v>18</v>
      </c>
      <c r="E965" s="3">
        <v>15</v>
      </c>
      <c r="F965" s="3">
        <v>15</v>
      </c>
      <c r="G965" s="3">
        <v>0</v>
      </c>
      <c r="H965" s="3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 s="3">
        <v>17</v>
      </c>
      <c r="N965" s="3">
        <v>100</v>
      </c>
      <c r="O965" s="12">
        <v>32.731376975169297</v>
      </c>
    </row>
    <row r="966" spans="1:15" hidden="1" x14ac:dyDescent="0.25">
      <c r="A966" s="10">
        <v>46030</v>
      </c>
      <c r="B966" t="s">
        <v>53</v>
      </c>
      <c r="C966" s="1" t="s">
        <v>48</v>
      </c>
      <c r="D966" s="3">
        <v>38</v>
      </c>
      <c r="E966" s="3">
        <v>33</v>
      </c>
      <c r="F966" s="3">
        <v>15.26</v>
      </c>
      <c r="G966" s="3">
        <v>0</v>
      </c>
      <c r="H966" s="3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 s="3">
        <v>32</v>
      </c>
      <c r="N966" s="3">
        <v>99.31</v>
      </c>
      <c r="O966" s="12">
        <v>30.96234309623431</v>
      </c>
    </row>
    <row r="967" spans="1:15" hidden="1" x14ac:dyDescent="0.25">
      <c r="A967" s="10">
        <v>46064</v>
      </c>
      <c r="B967" t="s">
        <v>22</v>
      </c>
      <c r="C967" s="1" t="s">
        <v>23</v>
      </c>
      <c r="D967" s="3">
        <v>2</v>
      </c>
      <c r="E967" s="3">
        <v>2</v>
      </c>
      <c r="F967" s="3">
        <v>37.04</v>
      </c>
      <c r="G967" s="3">
        <v>0</v>
      </c>
      <c r="H967" s="3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 s="3">
        <v>28</v>
      </c>
      <c r="N967" s="3">
        <v>96.67</v>
      </c>
      <c r="O967" s="12">
        <v>31.451612903225811</v>
      </c>
    </row>
    <row r="968" spans="1:15" hidden="1" x14ac:dyDescent="0.25">
      <c r="A968" s="10">
        <v>46030</v>
      </c>
      <c r="B968" t="s">
        <v>54</v>
      </c>
      <c r="C968" s="1" t="s">
        <v>48</v>
      </c>
      <c r="D968" s="3">
        <v>37</v>
      </c>
      <c r="E968" s="3">
        <v>36</v>
      </c>
      <c r="F968" s="3">
        <v>15.06</v>
      </c>
      <c r="G968" s="3">
        <v>0</v>
      </c>
      <c r="H968" s="3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 s="3">
        <v>28</v>
      </c>
      <c r="N968" s="3">
        <v>100</v>
      </c>
      <c r="O968" s="12">
        <v>27.676767676767678</v>
      </c>
    </row>
    <row r="969" spans="1:15" hidden="1" x14ac:dyDescent="0.25">
      <c r="A969" s="10">
        <v>46030</v>
      </c>
      <c r="B969" t="s">
        <v>37</v>
      </c>
      <c r="C969" s="1" t="s">
        <v>32</v>
      </c>
      <c r="D969" s="3">
        <v>51</v>
      </c>
      <c r="E969" s="3">
        <v>44</v>
      </c>
      <c r="F969" s="3">
        <v>11.53</v>
      </c>
      <c r="G969" s="3">
        <v>0</v>
      </c>
      <c r="H969" s="3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 s="3">
        <v>42</v>
      </c>
      <c r="N969" s="3">
        <v>100</v>
      </c>
      <c r="O969" s="12">
        <v>31.17723156532988</v>
      </c>
    </row>
    <row r="970" spans="1:15" hidden="1" x14ac:dyDescent="0.25">
      <c r="A970" s="10">
        <v>46030</v>
      </c>
      <c r="B970" t="s">
        <v>38</v>
      </c>
      <c r="C970" s="1" t="s">
        <v>32</v>
      </c>
      <c r="D970" s="3">
        <v>22</v>
      </c>
      <c r="E970" s="3">
        <v>21</v>
      </c>
      <c r="F970" s="3">
        <v>15.46</v>
      </c>
      <c r="G970" s="3">
        <v>0</v>
      </c>
      <c r="H970" s="3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 s="3">
        <v>16</v>
      </c>
      <c r="N970" s="3">
        <v>100</v>
      </c>
      <c r="O970" s="12">
        <v>27.609427609427609</v>
      </c>
    </row>
    <row r="971" spans="1:15" hidden="1" x14ac:dyDescent="0.25">
      <c r="A971" s="10">
        <v>46030</v>
      </c>
      <c r="B971" t="s">
        <v>55</v>
      </c>
      <c r="C971" s="1" t="s">
        <v>48</v>
      </c>
      <c r="D971" s="3">
        <v>24</v>
      </c>
      <c r="E971" s="3">
        <v>22</v>
      </c>
      <c r="F971" s="3">
        <v>23.45</v>
      </c>
      <c r="G971" s="3">
        <v>0</v>
      </c>
      <c r="H971" s="3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 s="3">
        <v>22</v>
      </c>
      <c r="N971" s="3">
        <v>96.4</v>
      </c>
      <c r="O971" s="12">
        <v>28.764044943820231</v>
      </c>
    </row>
    <row r="972" spans="1:15" hidden="1" x14ac:dyDescent="0.25">
      <c r="A972" s="10">
        <v>46030</v>
      </c>
      <c r="B972" t="s">
        <v>39</v>
      </c>
      <c r="C972" s="1" t="s">
        <v>32</v>
      </c>
      <c r="D972" s="3">
        <v>0</v>
      </c>
      <c r="E972" s="3">
        <v>0</v>
      </c>
      <c r="F972" s="3">
        <v>0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 s="3">
        <v>25</v>
      </c>
      <c r="N972" s="3">
        <v>100</v>
      </c>
      <c r="O972" s="12">
        <v>33.980582524271853</v>
      </c>
    </row>
    <row r="973" spans="1:15" hidden="1" x14ac:dyDescent="0.25">
      <c r="A973" s="10">
        <v>46030</v>
      </c>
      <c r="B973" t="s">
        <v>25</v>
      </c>
      <c r="C973" s="1" t="s">
        <v>26</v>
      </c>
      <c r="D973" s="3">
        <v>8</v>
      </c>
      <c r="E973" s="3">
        <v>8</v>
      </c>
      <c r="F973" s="3">
        <v>16.420000000000002</v>
      </c>
      <c r="G973" s="3">
        <v>0</v>
      </c>
      <c r="H973" s="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 s="3">
        <v>8</v>
      </c>
      <c r="N973" s="3">
        <v>97.56</v>
      </c>
      <c r="O973" s="12">
        <v>32.515337423312893</v>
      </c>
    </row>
    <row r="974" spans="1:15" hidden="1" x14ac:dyDescent="0.25">
      <c r="A974" s="10">
        <v>46030</v>
      </c>
      <c r="B974" t="s">
        <v>40</v>
      </c>
      <c r="C974" s="1" t="s">
        <v>32</v>
      </c>
      <c r="D974" s="3">
        <v>24</v>
      </c>
      <c r="E974" s="3">
        <v>22</v>
      </c>
      <c r="F974" s="3">
        <v>17.37</v>
      </c>
      <c r="G974" s="3">
        <v>0</v>
      </c>
      <c r="H974" s="3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 s="3">
        <v>21</v>
      </c>
      <c r="N974" s="3">
        <v>97.11</v>
      </c>
      <c r="O974" s="12">
        <v>37.408312958435211</v>
      </c>
    </row>
    <row r="975" spans="1:15" hidden="1" x14ac:dyDescent="0.25">
      <c r="A975" s="10">
        <v>46030</v>
      </c>
      <c r="B975" t="s">
        <v>27</v>
      </c>
      <c r="C975" s="1" t="s">
        <v>26</v>
      </c>
      <c r="D975" s="3">
        <v>0</v>
      </c>
      <c r="E975" s="3">
        <v>0</v>
      </c>
      <c r="F975" s="3">
        <v>0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 s="3">
        <v>0</v>
      </c>
      <c r="N975" s="3">
        <v>0</v>
      </c>
      <c r="O975" s="12">
        <v>0</v>
      </c>
    </row>
    <row r="976" spans="1:15" hidden="1" x14ac:dyDescent="0.25">
      <c r="A976" s="10">
        <v>46030</v>
      </c>
      <c r="B976" t="s">
        <v>41</v>
      </c>
      <c r="C976" s="1" t="s">
        <v>32</v>
      </c>
      <c r="D976" s="3">
        <v>34</v>
      </c>
      <c r="E976" s="3">
        <v>29</v>
      </c>
      <c r="F976" s="3">
        <v>14.16</v>
      </c>
      <c r="G976" s="3">
        <v>0</v>
      </c>
      <c r="H976" s="3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 s="3">
        <v>31</v>
      </c>
      <c r="N976" s="3">
        <v>100</v>
      </c>
      <c r="O976" s="12">
        <v>30.470347648261761</v>
      </c>
    </row>
    <row r="977" spans="1:15" hidden="1" x14ac:dyDescent="0.25">
      <c r="A977" s="10">
        <v>46030</v>
      </c>
      <c r="B977" t="s">
        <v>56</v>
      </c>
      <c r="C977" s="1" t="s">
        <v>48</v>
      </c>
      <c r="D977" s="3">
        <v>32</v>
      </c>
      <c r="E977" s="3">
        <v>31</v>
      </c>
      <c r="F977" s="3">
        <v>19.149999999999999</v>
      </c>
      <c r="G977" s="3">
        <v>0</v>
      </c>
      <c r="H977" s="3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 s="3">
        <v>18</v>
      </c>
      <c r="N977" s="3">
        <v>100</v>
      </c>
      <c r="O977" s="12">
        <v>32.371134020618562</v>
      </c>
    </row>
    <row r="978" spans="1:15" hidden="1" x14ac:dyDescent="0.25">
      <c r="A978" s="10">
        <v>46030</v>
      </c>
      <c r="B978" t="s">
        <v>57</v>
      </c>
      <c r="C978" s="1" t="s">
        <v>48</v>
      </c>
      <c r="D978" s="3">
        <v>28</v>
      </c>
      <c r="E978" s="3">
        <v>27</v>
      </c>
      <c r="F978" s="3">
        <v>20.25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 s="3">
        <v>20</v>
      </c>
      <c r="N978" s="3">
        <v>98.32</v>
      </c>
      <c r="O978" s="12">
        <v>32.318501170960189</v>
      </c>
    </row>
    <row r="979" spans="1:15" hidden="1" x14ac:dyDescent="0.25">
      <c r="A979" s="10">
        <v>46030</v>
      </c>
      <c r="B979" t="s">
        <v>42</v>
      </c>
      <c r="C979" s="1" t="s">
        <v>32</v>
      </c>
      <c r="D979" s="3">
        <v>46</v>
      </c>
      <c r="E979" s="3">
        <v>31</v>
      </c>
      <c r="F979" s="3">
        <v>8.48</v>
      </c>
      <c r="G979" s="3">
        <v>0</v>
      </c>
      <c r="H979" s="3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 s="3">
        <v>29</v>
      </c>
      <c r="N979" s="3">
        <v>96.43</v>
      </c>
      <c r="O979" s="12">
        <v>27.015250544662312</v>
      </c>
    </row>
    <row r="980" spans="1:15" hidden="1" x14ac:dyDescent="0.25">
      <c r="A980" s="10">
        <v>46030</v>
      </c>
      <c r="B980" t="s">
        <v>62</v>
      </c>
      <c r="C980" s="1" t="s">
        <v>23</v>
      </c>
      <c r="D980" s="3">
        <v>15</v>
      </c>
      <c r="E980" s="3">
        <v>14</v>
      </c>
      <c r="F980" s="3">
        <v>34</v>
      </c>
      <c r="G980" s="3">
        <v>0</v>
      </c>
      <c r="H980" s="3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 s="3">
        <v>16</v>
      </c>
      <c r="N980" s="3">
        <v>98.89</v>
      </c>
      <c r="O980" s="12">
        <v>28.021978021978018</v>
      </c>
    </row>
    <row r="981" spans="1:15" hidden="1" x14ac:dyDescent="0.25">
      <c r="A981" s="10">
        <v>46030</v>
      </c>
      <c r="B981" t="s">
        <v>19</v>
      </c>
      <c r="C981" s="1" t="s">
        <v>16</v>
      </c>
      <c r="D981" s="3">
        <v>12</v>
      </c>
      <c r="E981" s="3">
        <v>12</v>
      </c>
      <c r="F981" s="3">
        <v>51.49</v>
      </c>
      <c r="G981" s="3">
        <v>0</v>
      </c>
      <c r="H981" s="3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 s="3">
        <v>10</v>
      </c>
      <c r="N981" s="3">
        <v>100</v>
      </c>
      <c r="O981" s="12">
        <v>33.333333333333329</v>
      </c>
    </row>
    <row r="982" spans="1:15" hidden="1" x14ac:dyDescent="0.25">
      <c r="A982" s="10">
        <v>46030</v>
      </c>
      <c r="B982" t="s">
        <v>43</v>
      </c>
      <c r="C982" s="1" t="s">
        <v>32</v>
      </c>
      <c r="D982" s="3">
        <v>0</v>
      </c>
      <c r="E982" s="3">
        <v>0</v>
      </c>
      <c r="F982" s="3">
        <v>0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 s="3">
        <v>0</v>
      </c>
      <c r="N982" s="3">
        <v>100</v>
      </c>
      <c r="O982" s="12">
        <v>27.43362831858407</v>
      </c>
    </row>
    <row r="983" spans="1:15" hidden="1" x14ac:dyDescent="0.25">
      <c r="A983" s="10">
        <v>46030</v>
      </c>
      <c r="B983" t="s">
        <v>44</v>
      </c>
      <c r="C983" s="1" t="s">
        <v>32</v>
      </c>
      <c r="D983" s="3">
        <v>35</v>
      </c>
      <c r="E983" s="3">
        <v>32</v>
      </c>
      <c r="F983" s="3">
        <v>16.46</v>
      </c>
      <c r="G983" s="3">
        <v>0</v>
      </c>
      <c r="H983" s="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 s="3">
        <v>24</v>
      </c>
      <c r="N983" s="3">
        <v>98.65</v>
      </c>
      <c r="O983" s="12">
        <v>30.978260869565219</v>
      </c>
    </row>
    <row r="984" spans="1:15" hidden="1" x14ac:dyDescent="0.25">
      <c r="A984" s="10">
        <v>46030</v>
      </c>
      <c r="B984" t="s">
        <v>20</v>
      </c>
      <c r="C984" s="1" t="s">
        <v>16</v>
      </c>
      <c r="D984" s="3">
        <v>0</v>
      </c>
      <c r="E984" s="3">
        <v>0</v>
      </c>
      <c r="F984" s="3">
        <v>0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 s="3">
        <v>0</v>
      </c>
      <c r="N984" s="3">
        <v>100</v>
      </c>
      <c r="O984" s="12">
        <v>12</v>
      </c>
    </row>
    <row r="985" spans="1:15" hidden="1" x14ac:dyDescent="0.25">
      <c r="A985" s="10">
        <v>46030</v>
      </c>
      <c r="B985" t="s">
        <v>28</v>
      </c>
      <c r="C985" s="1" t="s">
        <v>26</v>
      </c>
      <c r="D985" s="3">
        <v>0</v>
      </c>
      <c r="E985" s="3">
        <v>0</v>
      </c>
      <c r="F985" s="3">
        <v>0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 s="3">
        <v>0</v>
      </c>
      <c r="N985" s="3">
        <v>0</v>
      </c>
      <c r="O985" s="12">
        <v>0</v>
      </c>
    </row>
    <row r="986" spans="1:15" hidden="1" x14ac:dyDescent="0.25">
      <c r="A986" s="10">
        <v>46030</v>
      </c>
      <c r="B986" t="s">
        <v>58</v>
      </c>
      <c r="C986" s="1" t="s">
        <v>48</v>
      </c>
      <c r="D986" s="3">
        <v>0</v>
      </c>
      <c r="E986" s="3">
        <v>0</v>
      </c>
      <c r="F986" s="3">
        <v>0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 s="3">
        <v>0</v>
      </c>
      <c r="N986" s="3">
        <v>97.56</v>
      </c>
      <c r="O986" s="12">
        <v>31.067961165048541</v>
      </c>
    </row>
    <row r="987" spans="1:15" hidden="1" x14ac:dyDescent="0.25">
      <c r="A987" s="10">
        <v>46030</v>
      </c>
      <c r="B987" t="s">
        <v>29</v>
      </c>
      <c r="C987" s="1" t="s">
        <v>26</v>
      </c>
      <c r="D987" s="3">
        <v>0</v>
      </c>
      <c r="E987" s="3">
        <v>0</v>
      </c>
      <c r="F987" s="3">
        <v>0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 s="3">
        <v>0</v>
      </c>
      <c r="N987" s="3">
        <v>0</v>
      </c>
      <c r="O987" s="12">
        <v>0</v>
      </c>
    </row>
    <row r="988" spans="1:15" hidden="1" x14ac:dyDescent="0.25">
      <c r="A988" s="10">
        <v>46030</v>
      </c>
      <c r="B988" t="s">
        <v>30</v>
      </c>
      <c r="C988" s="1" t="s">
        <v>26</v>
      </c>
      <c r="D988" s="3">
        <v>0</v>
      </c>
      <c r="E988" s="3">
        <v>0</v>
      </c>
      <c r="F988" s="3">
        <v>0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 s="3">
        <v>0</v>
      </c>
      <c r="N988" s="3">
        <v>0</v>
      </c>
      <c r="O988" s="12">
        <v>0</v>
      </c>
    </row>
    <row r="989" spans="1:15" hidden="1" x14ac:dyDescent="0.25">
      <c r="A989" s="10">
        <v>46030</v>
      </c>
      <c r="B989" t="s">
        <v>21</v>
      </c>
      <c r="C989" s="1" t="s">
        <v>16</v>
      </c>
      <c r="D989" s="3">
        <v>0</v>
      </c>
      <c r="E989" s="3">
        <v>0</v>
      </c>
      <c r="F989" s="3">
        <v>0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 s="3">
        <v>0</v>
      </c>
      <c r="N989" s="3">
        <v>0</v>
      </c>
      <c r="O989" s="12">
        <v>0</v>
      </c>
    </row>
    <row r="990" spans="1:15" hidden="1" x14ac:dyDescent="0.25">
      <c r="A990" s="10">
        <v>46030</v>
      </c>
      <c r="B990" t="s">
        <v>63</v>
      </c>
      <c r="C990" s="1" t="s">
        <v>23</v>
      </c>
      <c r="D990" s="3">
        <v>0</v>
      </c>
      <c r="E990" s="3">
        <v>0</v>
      </c>
      <c r="F990" s="3">
        <v>0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 s="3">
        <v>0</v>
      </c>
      <c r="N990" s="3">
        <v>100</v>
      </c>
      <c r="O990" s="12">
        <v>53.846153846153847</v>
      </c>
    </row>
    <row r="991" spans="1:15" hidden="1" x14ac:dyDescent="0.25">
      <c r="A991" s="10">
        <v>46030</v>
      </c>
      <c r="B991" t="s">
        <v>45</v>
      </c>
      <c r="C991" s="1" t="s">
        <v>32</v>
      </c>
      <c r="D991" s="3">
        <v>0</v>
      </c>
      <c r="E991" s="3">
        <v>0</v>
      </c>
      <c r="F991" s="3">
        <v>0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 s="3">
        <v>0</v>
      </c>
      <c r="N991" s="3">
        <v>100</v>
      </c>
      <c r="O991" s="12">
        <v>44.05594405594406</v>
      </c>
    </row>
    <row r="992" spans="1:15" hidden="1" x14ac:dyDescent="0.25">
      <c r="A992" s="10">
        <v>46030</v>
      </c>
      <c r="B992" t="s">
        <v>64</v>
      </c>
      <c r="C992" s="1" t="s">
        <v>23</v>
      </c>
      <c r="D992" s="3">
        <v>10</v>
      </c>
      <c r="E992" s="3">
        <v>10</v>
      </c>
      <c r="F992" s="3">
        <v>42.21</v>
      </c>
      <c r="G992" s="3">
        <v>0</v>
      </c>
      <c r="H992" s="3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 s="3">
        <v>8</v>
      </c>
      <c r="N992" s="3">
        <v>100</v>
      </c>
      <c r="O992" s="12">
        <v>31.872509960159359</v>
      </c>
    </row>
    <row r="993" spans="1:15" hidden="1" x14ac:dyDescent="0.25">
      <c r="A993" s="10">
        <v>46030</v>
      </c>
      <c r="B993" t="s">
        <v>46</v>
      </c>
      <c r="C993" s="1" t="s">
        <v>32</v>
      </c>
      <c r="D993" s="3">
        <v>27</v>
      </c>
      <c r="E993" s="3">
        <v>26</v>
      </c>
      <c r="F993" s="3">
        <v>18.43</v>
      </c>
      <c r="G993" s="3">
        <v>0</v>
      </c>
      <c r="H993" s="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 s="3">
        <v>24</v>
      </c>
      <c r="N993" s="3">
        <v>98.41</v>
      </c>
      <c r="O993" s="12">
        <v>29.22465208747515</v>
      </c>
    </row>
    <row r="994" spans="1:15" hidden="1" x14ac:dyDescent="0.25">
      <c r="A994" s="10">
        <v>46031</v>
      </c>
      <c r="B994" t="s">
        <v>47</v>
      </c>
      <c r="C994" s="1" t="s">
        <v>48</v>
      </c>
      <c r="D994" s="3">
        <v>22</v>
      </c>
      <c r="E994" s="3">
        <v>19</v>
      </c>
      <c r="F994" s="3">
        <v>22.01</v>
      </c>
      <c r="G994" s="3">
        <v>0</v>
      </c>
      <c r="H994" s="3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 s="3">
        <v>10</v>
      </c>
      <c r="N994" s="3">
        <v>96.81</v>
      </c>
      <c r="O994" s="12">
        <v>27.980535279805348</v>
      </c>
    </row>
    <row r="995" spans="1:15" hidden="1" x14ac:dyDescent="0.25">
      <c r="A995" s="10">
        <v>46031</v>
      </c>
      <c r="B995" t="s">
        <v>31</v>
      </c>
      <c r="C995" s="1" t="s">
        <v>32</v>
      </c>
      <c r="D995" s="3">
        <v>0</v>
      </c>
      <c r="E995" s="3">
        <v>0</v>
      </c>
      <c r="F995" s="3">
        <v>0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 s="3">
        <v>28</v>
      </c>
      <c r="N995" s="3">
        <v>98.73</v>
      </c>
      <c r="O995" s="12">
        <v>35.756385068762278</v>
      </c>
    </row>
    <row r="996" spans="1:15" hidden="1" x14ac:dyDescent="0.25">
      <c r="A996" s="10">
        <v>46031</v>
      </c>
      <c r="B996" t="s">
        <v>59</v>
      </c>
      <c r="C996" s="1" t="s">
        <v>23</v>
      </c>
      <c r="D996" s="3">
        <v>27</v>
      </c>
      <c r="E996" s="3">
        <v>23</v>
      </c>
      <c r="F996" s="3">
        <v>15.41</v>
      </c>
      <c r="G996" s="3">
        <v>0</v>
      </c>
      <c r="H996" s="3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 s="3">
        <v>25</v>
      </c>
      <c r="N996" s="3">
        <v>98.32</v>
      </c>
      <c r="O996" s="12">
        <v>26.763485477178421</v>
      </c>
    </row>
    <row r="997" spans="1:15" hidden="1" x14ac:dyDescent="0.25">
      <c r="A997" s="10">
        <v>46031</v>
      </c>
      <c r="B997" t="s">
        <v>33</v>
      </c>
      <c r="C997" s="1" t="s">
        <v>32</v>
      </c>
      <c r="D997" s="3">
        <v>27</v>
      </c>
      <c r="E997" s="3">
        <v>24</v>
      </c>
      <c r="F997" s="3">
        <v>15.19</v>
      </c>
      <c r="G997" s="3">
        <v>0</v>
      </c>
      <c r="H997" s="3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 s="3">
        <v>22</v>
      </c>
      <c r="N997" s="3">
        <v>99.19</v>
      </c>
      <c r="O997" s="12">
        <v>27.637130801687761</v>
      </c>
    </row>
    <row r="998" spans="1:15" hidden="1" x14ac:dyDescent="0.25">
      <c r="A998" s="10">
        <v>46031</v>
      </c>
      <c r="B998" t="s">
        <v>15</v>
      </c>
      <c r="C998" s="1" t="s">
        <v>16</v>
      </c>
      <c r="D998" s="3">
        <v>12</v>
      </c>
      <c r="E998" s="3">
        <v>11</v>
      </c>
      <c r="F998" s="3">
        <v>30.49</v>
      </c>
      <c r="G998" s="3">
        <v>0</v>
      </c>
      <c r="H998" s="3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 s="3">
        <v>9</v>
      </c>
      <c r="N998" s="3">
        <v>100</v>
      </c>
      <c r="O998" s="12">
        <v>39.568345323741013</v>
      </c>
    </row>
    <row r="999" spans="1:15" hidden="1" x14ac:dyDescent="0.25">
      <c r="A999" s="10">
        <v>46031</v>
      </c>
      <c r="B999" t="s">
        <v>49</v>
      </c>
      <c r="C999" s="1" t="s">
        <v>48</v>
      </c>
      <c r="D999" s="3">
        <v>17</v>
      </c>
      <c r="E999" s="3">
        <v>16</v>
      </c>
      <c r="F999" s="3">
        <v>18.34</v>
      </c>
      <c r="G999" s="3">
        <v>0</v>
      </c>
      <c r="H999" s="3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 s="3">
        <v>16</v>
      </c>
      <c r="N999" s="3">
        <v>98.54</v>
      </c>
      <c r="O999" s="12">
        <v>28.544776119402989</v>
      </c>
    </row>
    <row r="1000" spans="1:15" hidden="1" x14ac:dyDescent="0.25">
      <c r="A1000" s="10">
        <v>46031</v>
      </c>
      <c r="B1000" t="s">
        <v>50</v>
      </c>
      <c r="C1000" s="1" t="s">
        <v>48</v>
      </c>
      <c r="D1000" s="3">
        <v>18</v>
      </c>
      <c r="E1000" s="3">
        <v>16</v>
      </c>
      <c r="F1000" s="3">
        <v>30.06</v>
      </c>
      <c r="G1000" s="3">
        <v>0</v>
      </c>
      <c r="H1000" s="3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 s="3">
        <v>16</v>
      </c>
      <c r="N1000" s="3">
        <v>100</v>
      </c>
      <c r="O1000" s="12">
        <v>34.366925064599492</v>
      </c>
    </row>
    <row r="1001" spans="1:15" hidden="1" x14ac:dyDescent="0.25">
      <c r="A1001" s="10">
        <v>46031</v>
      </c>
      <c r="B1001" t="s">
        <v>17</v>
      </c>
      <c r="C1001" s="1" t="s">
        <v>16</v>
      </c>
      <c r="D1001" s="3">
        <v>0</v>
      </c>
      <c r="E1001" s="3">
        <v>0</v>
      </c>
      <c r="F1001" s="3">
        <v>0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 s="3">
        <v>0</v>
      </c>
      <c r="N1001" s="3">
        <v>0</v>
      </c>
      <c r="O1001" s="12">
        <v>0</v>
      </c>
    </row>
    <row r="1002" spans="1:15" hidden="1" x14ac:dyDescent="0.25">
      <c r="A1002" s="10">
        <v>46031</v>
      </c>
      <c r="B1002" t="s">
        <v>60</v>
      </c>
      <c r="C1002" s="1" t="s">
        <v>23</v>
      </c>
      <c r="D1002" s="3">
        <v>15</v>
      </c>
      <c r="E1002" s="3">
        <v>15</v>
      </c>
      <c r="F1002" s="3">
        <v>37.020000000000003</v>
      </c>
      <c r="G1002" s="3">
        <v>0</v>
      </c>
      <c r="H1002" s="3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 s="3">
        <v>14</v>
      </c>
      <c r="N1002" s="3">
        <v>100</v>
      </c>
      <c r="O1002" s="12">
        <v>29.518072289156631</v>
      </c>
    </row>
    <row r="1003" spans="1:15" hidden="1" x14ac:dyDescent="0.25">
      <c r="A1003" s="10">
        <v>46031</v>
      </c>
      <c r="B1003" t="s">
        <v>34</v>
      </c>
      <c r="C1003" s="1" t="s">
        <v>32</v>
      </c>
      <c r="D1003" s="3">
        <v>31</v>
      </c>
      <c r="E1003" s="3">
        <v>27</v>
      </c>
      <c r="F1003" s="3">
        <v>11.49</v>
      </c>
      <c r="G1003" s="3">
        <v>0</v>
      </c>
      <c r="H1003" s="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 s="3">
        <v>27</v>
      </c>
      <c r="N1003" s="3">
        <v>97.45</v>
      </c>
      <c r="O1003" s="12">
        <v>41.421143847487002</v>
      </c>
    </row>
    <row r="1004" spans="1:15" hidden="1" x14ac:dyDescent="0.25">
      <c r="A1004" s="10">
        <v>46031</v>
      </c>
      <c r="B1004" t="s">
        <v>51</v>
      </c>
      <c r="C1004" s="1" t="s">
        <v>48</v>
      </c>
      <c r="D1004" s="3">
        <v>26</v>
      </c>
      <c r="E1004" s="3">
        <v>18</v>
      </c>
      <c r="F1004" s="3">
        <v>15.06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 s="3">
        <v>15</v>
      </c>
      <c r="N1004" s="3">
        <v>96.58</v>
      </c>
      <c r="O1004" s="12">
        <v>30.396475770925111</v>
      </c>
    </row>
    <row r="1005" spans="1:15" hidden="1" x14ac:dyDescent="0.25">
      <c r="A1005" s="10">
        <v>46031</v>
      </c>
      <c r="B1005" t="s">
        <v>61</v>
      </c>
      <c r="C1005" s="1" t="s">
        <v>23</v>
      </c>
      <c r="D1005" s="3">
        <v>20</v>
      </c>
      <c r="E1005" s="3">
        <v>20</v>
      </c>
      <c r="F1005" s="3">
        <v>25.59</v>
      </c>
      <c r="G1005" s="3">
        <v>0</v>
      </c>
      <c r="H1005" s="3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 s="3">
        <v>22</v>
      </c>
      <c r="N1005" s="3">
        <v>100</v>
      </c>
      <c r="O1005" s="12">
        <v>27.44282744282744</v>
      </c>
    </row>
    <row r="1006" spans="1:15" hidden="1" x14ac:dyDescent="0.25">
      <c r="A1006" s="10">
        <v>46031</v>
      </c>
      <c r="B1006" t="s">
        <v>35</v>
      </c>
      <c r="C1006" s="1" t="s">
        <v>32</v>
      </c>
      <c r="D1006" s="3">
        <v>19</v>
      </c>
      <c r="E1006" s="3">
        <v>18</v>
      </c>
      <c r="F1006" s="3">
        <v>25.36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 s="3">
        <v>18</v>
      </c>
      <c r="N1006" s="3">
        <v>99.49</v>
      </c>
      <c r="O1006" s="12">
        <v>40.200000000000003</v>
      </c>
    </row>
    <row r="1007" spans="1:15" hidden="1" x14ac:dyDescent="0.25">
      <c r="A1007" s="10">
        <v>46031</v>
      </c>
      <c r="B1007" t="s">
        <v>18</v>
      </c>
      <c r="C1007" s="1" t="s">
        <v>16</v>
      </c>
      <c r="D1007" s="3">
        <v>0</v>
      </c>
      <c r="E1007" s="3">
        <v>0</v>
      </c>
      <c r="F1007" s="3">
        <v>0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 s="3">
        <v>0</v>
      </c>
      <c r="N1007" s="3">
        <v>100</v>
      </c>
      <c r="O1007" s="12">
        <v>25</v>
      </c>
    </row>
    <row r="1008" spans="1:15" hidden="1" x14ac:dyDescent="0.25">
      <c r="A1008" s="10">
        <v>46031</v>
      </c>
      <c r="B1008" t="s">
        <v>52</v>
      </c>
      <c r="C1008" s="1" t="s">
        <v>48</v>
      </c>
      <c r="D1008" s="3">
        <v>27</v>
      </c>
      <c r="E1008" s="3">
        <v>24</v>
      </c>
      <c r="F1008" s="3">
        <v>22.01</v>
      </c>
      <c r="G1008" s="3">
        <v>0</v>
      </c>
      <c r="H1008" s="3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 s="3">
        <v>17</v>
      </c>
      <c r="N1008" s="3">
        <v>100</v>
      </c>
      <c r="O1008" s="12">
        <v>34.15094339622641</v>
      </c>
    </row>
    <row r="1009" spans="1:15" hidden="1" x14ac:dyDescent="0.25">
      <c r="A1009" s="10">
        <v>46031</v>
      </c>
      <c r="B1009" t="s">
        <v>36</v>
      </c>
      <c r="C1009" s="1" t="s">
        <v>32</v>
      </c>
      <c r="D1009" s="3">
        <v>21</v>
      </c>
      <c r="E1009" s="3">
        <v>19</v>
      </c>
      <c r="F1009" s="3">
        <v>16.53</v>
      </c>
      <c r="G1009" s="3">
        <v>0</v>
      </c>
      <c r="H1009" s="3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 s="3">
        <v>18</v>
      </c>
      <c r="N1009" s="3">
        <v>100</v>
      </c>
      <c r="O1009" s="12">
        <v>32.731376975169297</v>
      </c>
    </row>
    <row r="1010" spans="1:15" hidden="1" x14ac:dyDescent="0.25">
      <c r="A1010" s="10">
        <v>46031</v>
      </c>
      <c r="B1010" t="s">
        <v>53</v>
      </c>
      <c r="C1010" s="1" t="s">
        <v>48</v>
      </c>
      <c r="D1010" s="3">
        <v>30</v>
      </c>
      <c r="E1010" s="3">
        <v>25</v>
      </c>
      <c r="F1010" s="3">
        <v>15.23</v>
      </c>
      <c r="G1010" s="3">
        <v>0</v>
      </c>
      <c r="H1010" s="3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 s="3">
        <v>24</v>
      </c>
      <c r="N1010" s="3">
        <v>99.31</v>
      </c>
      <c r="O1010" s="12">
        <v>30.96234309623431</v>
      </c>
    </row>
    <row r="1011" spans="1:15" hidden="1" x14ac:dyDescent="0.25">
      <c r="A1011" s="10">
        <v>46065</v>
      </c>
      <c r="B1011" t="s">
        <v>22</v>
      </c>
      <c r="C1011" s="1" t="s">
        <v>23</v>
      </c>
      <c r="D1011" s="3">
        <v>5</v>
      </c>
      <c r="E1011" s="3">
        <v>5</v>
      </c>
      <c r="F1011" s="3">
        <v>30.56</v>
      </c>
      <c r="G1011" s="3">
        <v>0</v>
      </c>
      <c r="H1011" s="3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 s="3">
        <v>22</v>
      </c>
      <c r="N1011" s="3">
        <v>96.67</v>
      </c>
      <c r="O1011" s="12">
        <v>31.451612903225811</v>
      </c>
    </row>
    <row r="1012" spans="1:15" hidden="1" x14ac:dyDescent="0.25">
      <c r="A1012" s="10">
        <v>46031</v>
      </c>
      <c r="B1012" t="s">
        <v>54</v>
      </c>
      <c r="C1012" s="1" t="s">
        <v>48</v>
      </c>
      <c r="D1012" s="3">
        <v>29</v>
      </c>
      <c r="E1012" s="3">
        <v>26</v>
      </c>
      <c r="F1012" s="3">
        <v>15.04</v>
      </c>
      <c r="G1012" s="3">
        <v>0</v>
      </c>
      <c r="H1012" s="3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 s="3">
        <v>23</v>
      </c>
      <c r="N1012" s="3">
        <v>100</v>
      </c>
      <c r="O1012" s="12">
        <v>27.676767676767678</v>
      </c>
    </row>
    <row r="1013" spans="1:15" hidden="1" x14ac:dyDescent="0.25">
      <c r="A1013" s="10">
        <v>46031</v>
      </c>
      <c r="B1013" t="s">
        <v>37</v>
      </c>
      <c r="C1013" s="1" t="s">
        <v>32</v>
      </c>
      <c r="D1013" s="3">
        <v>29</v>
      </c>
      <c r="E1013" s="3">
        <v>27</v>
      </c>
      <c r="F1013" s="3">
        <v>17.239999999999998</v>
      </c>
      <c r="G1013" s="3">
        <v>0</v>
      </c>
      <c r="H1013" s="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 s="3">
        <v>28</v>
      </c>
      <c r="N1013" s="3">
        <v>100</v>
      </c>
      <c r="O1013" s="12">
        <v>31.17723156532988</v>
      </c>
    </row>
    <row r="1014" spans="1:15" hidden="1" x14ac:dyDescent="0.25">
      <c r="A1014" s="10">
        <v>46031</v>
      </c>
      <c r="B1014" t="s">
        <v>38</v>
      </c>
      <c r="C1014" s="1" t="s">
        <v>32</v>
      </c>
      <c r="D1014" s="3">
        <v>22</v>
      </c>
      <c r="E1014" s="3">
        <v>21</v>
      </c>
      <c r="F1014" s="3">
        <v>12.38</v>
      </c>
      <c r="G1014" s="3">
        <v>0</v>
      </c>
      <c r="H1014" s="3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 s="3">
        <v>21</v>
      </c>
      <c r="N1014" s="3">
        <v>100</v>
      </c>
      <c r="O1014" s="12">
        <v>27.609427609427609</v>
      </c>
    </row>
    <row r="1015" spans="1:15" hidden="1" x14ac:dyDescent="0.25">
      <c r="A1015" s="10">
        <v>46031</v>
      </c>
      <c r="B1015" t="s">
        <v>55</v>
      </c>
      <c r="C1015" s="1" t="s">
        <v>48</v>
      </c>
      <c r="D1015" s="3">
        <v>25</v>
      </c>
      <c r="E1015" s="3">
        <v>19</v>
      </c>
      <c r="F1015" s="3">
        <v>17.03</v>
      </c>
      <c r="G1015" s="3">
        <v>0</v>
      </c>
      <c r="H1015" s="3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 s="3">
        <v>19</v>
      </c>
      <c r="N1015" s="3">
        <v>96.4</v>
      </c>
      <c r="O1015" s="12">
        <v>28.764044943820231</v>
      </c>
    </row>
    <row r="1016" spans="1:15" hidden="1" x14ac:dyDescent="0.25">
      <c r="A1016" s="10">
        <v>46031</v>
      </c>
      <c r="B1016" t="s">
        <v>39</v>
      </c>
      <c r="C1016" s="1" t="s">
        <v>32</v>
      </c>
      <c r="D1016" s="3">
        <v>0</v>
      </c>
      <c r="E1016" s="3">
        <v>0</v>
      </c>
      <c r="F1016" s="3">
        <v>0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 s="3">
        <v>15</v>
      </c>
      <c r="N1016" s="3">
        <v>100</v>
      </c>
      <c r="O1016" s="12">
        <v>33.980582524271853</v>
      </c>
    </row>
    <row r="1017" spans="1:15" hidden="1" x14ac:dyDescent="0.25">
      <c r="A1017" s="10">
        <v>46031</v>
      </c>
      <c r="B1017" t="s">
        <v>25</v>
      </c>
      <c r="C1017" s="1" t="s">
        <v>26</v>
      </c>
      <c r="D1017" s="3">
        <v>8</v>
      </c>
      <c r="E1017" s="3">
        <v>8</v>
      </c>
      <c r="F1017" s="3">
        <v>26.49</v>
      </c>
      <c r="G1017" s="3">
        <v>0</v>
      </c>
      <c r="H1017" s="3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 s="3">
        <v>8</v>
      </c>
      <c r="N1017" s="3">
        <v>97.56</v>
      </c>
      <c r="O1017" s="12">
        <v>32.515337423312893</v>
      </c>
    </row>
    <row r="1018" spans="1:15" hidden="1" x14ac:dyDescent="0.25">
      <c r="A1018" s="10">
        <v>46031</v>
      </c>
      <c r="B1018" t="s">
        <v>40</v>
      </c>
      <c r="C1018" s="1" t="s">
        <v>32</v>
      </c>
      <c r="D1018" s="3">
        <v>21</v>
      </c>
      <c r="E1018" s="3">
        <v>19</v>
      </c>
      <c r="F1018" s="3">
        <v>15.59</v>
      </c>
      <c r="G1018" s="3">
        <v>0</v>
      </c>
      <c r="H1018" s="3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 s="3">
        <v>18</v>
      </c>
      <c r="N1018" s="3">
        <v>97.11</v>
      </c>
      <c r="O1018" s="12">
        <v>37.408312958435211</v>
      </c>
    </row>
    <row r="1019" spans="1:15" hidden="1" x14ac:dyDescent="0.25">
      <c r="A1019" s="10">
        <v>46031</v>
      </c>
      <c r="B1019" t="s">
        <v>27</v>
      </c>
      <c r="C1019" s="1" t="s">
        <v>26</v>
      </c>
      <c r="D1019" s="3">
        <v>0</v>
      </c>
      <c r="E1019" s="3">
        <v>0</v>
      </c>
      <c r="F1019" s="3">
        <v>0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 s="3">
        <v>0</v>
      </c>
      <c r="N1019" s="3">
        <v>0</v>
      </c>
      <c r="O1019" s="12">
        <v>0</v>
      </c>
    </row>
    <row r="1020" spans="1:15" hidden="1" x14ac:dyDescent="0.25">
      <c r="A1020" s="10">
        <v>46031</v>
      </c>
      <c r="B1020" t="s">
        <v>41</v>
      </c>
      <c r="C1020" s="1" t="s">
        <v>32</v>
      </c>
      <c r="D1020" s="3">
        <v>28</v>
      </c>
      <c r="E1020" s="3">
        <v>24</v>
      </c>
      <c r="F1020" s="3">
        <v>15.43</v>
      </c>
      <c r="G1020" s="3">
        <v>0</v>
      </c>
      <c r="H1020" s="3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 s="3">
        <v>26</v>
      </c>
      <c r="N1020" s="3">
        <v>100</v>
      </c>
      <c r="O1020" s="12">
        <v>30.470347648261761</v>
      </c>
    </row>
    <row r="1021" spans="1:15" hidden="1" x14ac:dyDescent="0.25">
      <c r="A1021" s="10">
        <v>46031</v>
      </c>
      <c r="B1021" t="s">
        <v>56</v>
      </c>
      <c r="C1021" s="1" t="s">
        <v>48</v>
      </c>
      <c r="D1021" s="3">
        <v>30</v>
      </c>
      <c r="E1021" s="3">
        <v>28</v>
      </c>
      <c r="F1021" s="3">
        <v>18.45</v>
      </c>
      <c r="G1021" s="3">
        <v>0</v>
      </c>
      <c r="H1021" s="3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 s="3">
        <v>24</v>
      </c>
      <c r="N1021" s="3">
        <v>100</v>
      </c>
      <c r="O1021" s="12">
        <v>32.371134020618562</v>
      </c>
    </row>
    <row r="1022" spans="1:15" hidden="1" x14ac:dyDescent="0.25">
      <c r="A1022" s="10">
        <v>46031</v>
      </c>
      <c r="B1022" t="s">
        <v>57</v>
      </c>
      <c r="C1022" s="1" t="s">
        <v>48</v>
      </c>
      <c r="D1022" s="3">
        <v>21</v>
      </c>
      <c r="E1022" s="3">
        <v>17</v>
      </c>
      <c r="F1022" s="3">
        <v>17.12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 s="3">
        <v>16</v>
      </c>
      <c r="N1022" s="3">
        <v>98.32</v>
      </c>
      <c r="O1022" s="12">
        <v>32.318501170960189</v>
      </c>
    </row>
    <row r="1023" spans="1:15" hidden="1" x14ac:dyDescent="0.25">
      <c r="A1023" s="10">
        <v>46031</v>
      </c>
      <c r="B1023" t="s">
        <v>42</v>
      </c>
      <c r="C1023" s="1" t="s">
        <v>32</v>
      </c>
      <c r="D1023" s="3">
        <v>44</v>
      </c>
      <c r="E1023" s="3">
        <v>34</v>
      </c>
      <c r="F1023" s="3">
        <v>12.04</v>
      </c>
      <c r="G1023" s="3">
        <v>0</v>
      </c>
      <c r="H1023" s="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 s="3">
        <v>29</v>
      </c>
      <c r="N1023" s="3">
        <v>96.43</v>
      </c>
      <c r="O1023" s="12">
        <v>27.015250544662312</v>
      </c>
    </row>
    <row r="1024" spans="1:15" hidden="1" x14ac:dyDescent="0.25">
      <c r="A1024" s="10">
        <v>46031</v>
      </c>
      <c r="B1024" t="s">
        <v>62</v>
      </c>
      <c r="C1024" s="1" t="s">
        <v>23</v>
      </c>
      <c r="D1024" s="3">
        <v>14</v>
      </c>
      <c r="E1024" s="3">
        <v>14</v>
      </c>
      <c r="F1024" s="3">
        <v>30.13</v>
      </c>
      <c r="G1024" s="3">
        <v>0</v>
      </c>
      <c r="H1024" s="3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 s="3">
        <v>12</v>
      </c>
      <c r="N1024" s="3">
        <v>98.89</v>
      </c>
      <c r="O1024" s="12">
        <v>28.021978021978018</v>
      </c>
    </row>
    <row r="1025" spans="1:15" hidden="1" x14ac:dyDescent="0.25">
      <c r="A1025" s="10">
        <v>46031</v>
      </c>
      <c r="B1025" t="s">
        <v>19</v>
      </c>
      <c r="C1025" s="1" t="s">
        <v>16</v>
      </c>
      <c r="D1025" s="3">
        <v>12</v>
      </c>
      <c r="E1025" s="3">
        <v>10</v>
      </c>
      <c r="F1025" s="3">
        <v>21.46</v>
      </c>
      <c r="G1025" s="3">
        <v>0</v>
      </c>
      <c r="H1025" s="3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 s="3">
        <v>8</v>
      </c>
      <c r="N1025" s="3">
        <v>100</v>
      </c>
      <c r="O1025" s="12">
        <v>33.333333333333329</v>
      </c>
    </row>
    <row r="1026" spans="1:15" hidden="1" x14ac:dyDescent="0.25">
      <c r="A1026" s="10">
        <v>46031</v>
      </c>
      <c r="B1026" t="s">
        <v>43</v>
      </c>
      <c r="C1026" s="1" t="s">
        <v>32</v>
      </c>
      <c r="D1026" s="3">
        <v>0</v>
      </c>
      <c r="E1026" s="3">
        <v>0</v>
      </c>
      <c r="F1026" s="3">
        <v>0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 s="3">
        <v>0</v>
      </c>
      <c r="N1026" s="3">
        <v>100</v>
      </c>
      <c r="O1026" s="12">
        <v>27.43362831858407</v>
      </c>
    </row>
    <row r="1027" spans="1:15" hidden="1" x14ac:dyDescent="0.25">
      <c r="A1027" s="10">
        <v>46031</v>
      </c>
      <c r="B1027" t="s">
        <v>44</v>
      </c>
      <c r="C1027" s="1" t="s">
        <v>32</v>
      </c>
      <c r="D1027" s="3">
        <v>37</v>
      </c>
      <c r="E1027" s="3">
        <v>29</v>
      </c>
      <c r="F1027" s="3">
        <v>8.36</v>
      </c>
      <c r="G1027" s="3">
        <v>0</v>
      </c>
      <c r="H1027" s="3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 s="3">
        <v>24</v>
      </c>
      <c r="N1027" s="3">
        <v>98.65</v>
      </c>
      <c r="O1027" s="12">
        <v>30.978260869565219</v>
      </c>
    </row>
    <row r="1028" spans="1:15" hidden="1" x14ac:dyDescent="0.25">
      <c r="A1028" s="10">
        <v>46031</v>
      </c>
      <c r="B1028" t="s">
        <v>20</v>
      </c>
      <c r="C1028" s="1" t="s">
        <v>16</v>
      </c>
      <c r="D1028" s="3">
        <v>0</v>
      </c>
      <c r="E1028" s="3">
        <v>0</v>
      </c>
      <c r="F1028" s="3">
        <v>0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 s="3">
        <v>0</v>
      </c>
      <c r="N1028" s="3">
        <v>100</v>
      </c>
      <c r="O1028" s="12">
        <v>12</v>
      </c>
    </row>
    <row r="1029" spans="1:15" hidden="1" x14ac:dyDescent="0.25">
      <c r="A1029" s="10">
        <v>46031</v>
      </c>
      <c r="B1029" t="s">
        <v>28</v>
      </c>
      <c r="C1029" s="1" t="s">
        <v>26</v>
      </c>
      <c r="D1029" s="3">
        <v>0</v>
      </c>
      <c r="E1029" s="3">
        <v>0</v>
      </c>
      <c r="F1029" s="3">
        <v>0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 s="3">
        <v>0</v>
      </c>
      <c r="N1029" s="3">
        <v>0</v>
      </c>
      <c r="O1029" s="12">
        <v>0</v>
      </c>
    </row>
    <row r="1030" spans="1:15" hidden="1" x14ac:dyDescent="0.25">
      <c r="A1030" s="10">
        <v>46031</v>
      </c>
      <c r="B1030" t="s">
        <v>58</v>
      </c>
      <c r="C1030" s="1" t="s">
        <v>48</v>
      </c>
      <c r="D1030" s="3">
        <v>24</v>
      </c>
      <c r="E1030" s="3">
        <v>20</v>
      </c>
      <c r="F1030" s="3">
        <v>12.24</v>
      </c>
      <c r="G1030" s="3">
        <v>0</v>
      </c>
      <c r="H1030" s="3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 s="3">
        <v>15</v>
      </c>
      <c r="N1030" s="3">
        <v>97.56</v>
      </c>
      <c r="O1030" s="12">
        <v>31.067961165048541</v>
      </c>
    </row>
    <row r="1031" spans="1:15" hidden="1" x14ac:dyDescent="0.25">
      <c r="A1031" s="10">
        <v>46031</v>
      </c>
      <c r="B1031" t="s">
        <v>29</v>
      </c>
      <c r="C1031" s="1" t="s">
        <v>26</v>
      </c>
      <c r="D1031" s="3">
        <v>0</v>
      </c>
      <c r="E1031" s="3">
        <v>0</v>
      </c>
      <c r="F1031" s="3">
        <v>0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 s="3">
        <v>0</v>
      </c>
      <c r="N1031" s="3">
        <v>0</v>
      </c>
      <c r="O1031" s="12">
        <v>0</v>
      </c>
    </row>
    <row r="1032" spans="1:15" hidden="1" x14ac:dyDescent="0.25">
      <c r="A1032" s="10">
        <v>46031</v>
      </c>
      <c r="B1032" t="s">
        <v>30</v>
      </c>
      <c r="C1032" s="1" t="s">
        <v>26</v>
      </c>
      <c r="D1032" s="3">
        <v>0</v>
      </c>
      <c r="E1032" s="3">
        <v>0</v>
      </c>
      <c r="F1032" s="3">
        <v>0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 s="3">
        <v>0</v>
      </c>
      <c r="N1032" s="3">
        <v>0</v>
      </c>
      <c r="O1032" s="12">
        <v>0</v>
      </c>
    </row>
    <row r="1033" spans="1:15" hidden="1" x14ac:dyDescent="0.25">
      <c r="A1033" s="10">
        <v>46031</v>
      </c>
      <c r="B1033" t="s">
        <v>21</v>
      </c>
      <c r="C1033" s="1" t="s">
        <v>16</v>
      </c>
      <c r="D1033" s="3">
        <v>0</v>
      </c>
      <c r="E1033" s="3">
        <v>0</v>
      </c>
      <c r="F1033" s="3">
        <v>0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 s="3">
        <v>0</v>
      </c>
      <c r="N1033" s="3">
        <v>0</v>
      </c>
      <c r="O1033" s="12">
        <v>0</v>
      </c>
    </row>
    <row r="1034" spans="1:15" hidden="1" x14ac:dyDescent="0.25">
      <c r="A1034" s="10">
        <v>46031</v>
      </c>
      <c r="B1034" t="s">
        <v>63</v>
      </c>
      <c r="C1034" s="1" t="s">
        <v>23</v>
      </c>
      <c r="D1034" s="3">
        <v>0</v>
      </c>
      <c r="E1034" s="3">
        <v>0</v>
      </c>
      <c r="F1034" s="3">
        <v>0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 s="3">
        <v>0</v>
      </c>
      <c r="N1034" s="3">
        <v>100</v>
      </c>
      <c r="O1034" s="12">
        <v>53.846153846153847</v>
      </c>
    </row>
    <row r="1035" spans="1:15" hidden="1" x14ac:dyDescent="0.25">
      <c r="A1035" s="10">
        <v>46031</v>
      </c>
      <c r="B1035" t="s">
        <v>45</v>
      </c>
      <c r="C1035" s="1" t="s">
        <v>32</v>
      </c>
      <c r="D1035" s="3">
        <v>0</v>
      </c>
      <c r="E1035" s="3">
        <v>0</v>
      </c>
      <c r="F1035" s="3">
        <v>0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 s="3">
        <v>0</v>
      </c>
      <c r="N1035" s="3">
        <v>100</v>
      </c>
      <c r="O1035" s="12">
        <v>44.05594405594406</v>
      </c>
    </row>
    <row r="1036" spans="1:15" hidden="1" x14ac:dyDescent="0.25">
      <c r="A1036" s="10">
        <v>46031</v>
      </c>
      <c r="B1036" t="s">
        <v>64</v>
      </c>
      <c r="C1036" s="1" t="s">
        <v>23</v>
      </c>
      <c r="D1036" s="3">
        <v>17</v>
      </c>
      <c r="E1036" s="3">
        <v>16</v>
      </c>
      <c r="F1036" s="3">
        <v>24.06</v>
      </c>
      <c r="G1036" s="3">
        <v>0</v>
      </c>
      <c r="H1036" s="3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 s="3">
        <v>16</v>
      </c>
      <c r="N1036" s="3">
        <v>100</v>
      </c>
      <c r="O1036" s="12">
        <v>31.872509960159359</v>
      </c>
    </row>
    <row r="1037" spans="1:15" hidden="1" x14ac:dyDescent="0.25">
      <c r="A1037" s="10">
        <v>46031</v>
      </c>
      <c r="B1037" t="s">
        <v>46</v>
      </c>
      <c r="C1037" s="1" t="s">
        <v>32</v>
      </c>
      <c r="D1037" s="3">
        <v>27</v>
      </c>
      <c r="E1037" s="3">
        <v>27</v>
      </c>
      <c r="F1037" s="3">
        <v>16.420000000000002</v>
      </c>
      <c r="G1037" s="3">
        <v>0</v>
      </c>
      <c r="H1037" s="3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 s="3">
        <v>24</v>
      </c>
      <c r="N1037" s="3">
        <v>98.41</v>
      </c>
      <c r="O1037" s="12">
        <v>29.22465208747515</v>
      </c>
    </row>
    <row r="1038" spans="1:15" hidden="1" x14ac:dyDescent="0.25">
      <c r="A1038" s="10">
        <v>46034</v>
      </c>
      <c r="B1038" t="s">
        <v>47</v>
      </c>
      <c r="C1038" s="1" t="s">
        <v>48</v>
      </c>
      <c r="D1038" s="3">
        <v>23</v>
      </c>
      <c r="E1038" s="3">
        <v>19</v>
      </c>
      <c r="F1038" s="3">
        <v>19.11</v>
      </c>
      <c r="G1038" s="3">
        <v>0</v>
      </c>
      <c r="H1038" s="3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 s="3">
        <v>16</v>
      </c>
      <c r="N1038" s="3">
        <v>96.81</v>
      </c>
      <c r="O1038" s="12">
        <v>27.980535279805348</v>
      </c>
    </row>
    <row r="1039" spans="1:15" hidden="1" x14ac:dyDescent="0.25">
      <c r="A1039" s="10">
        <v>46034</v>
      </c>
      <c r="B1039" t="s">
        <v>31</v>
      </c>
      <c r="C1039" s="1" t="s">
        <v>32</v>
      </c>
      <c r="D1039" s="3">
        <v>0</v>
      </c>
      <c r="E1039" s="3">
        <v>0</v>
      </c>
      <c r="F1039" s="3">
        <v>0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 s="3">
        <v>23</v>
      </c>
      <c r="N1039" s="3">
        <v>98.73</v>
      </c>
      <c r="O1039" s="12">
        <v>35.756385068762278</v>
      </c>
    </row>
    <row r="1040" spans="1:15" hidden="1" x14ac:dyDescent="0.25">
      <c r="A1040" s="10">
        <v>46034</v>
      </c>
      <c r="B1040" t="s">
        <v>59</v>
      </c>
      <c r="C1040" s="1" t="s">
        <v>23</v>
      </c>
      <c r="D1040" s="3">
        <v>29</v>
      </c>
      <c r="E1040" s="3">
        <v>28</v>
      </c>
      <c r="F1040" s="3">
        <v>22.38</v>
      </c>
      <c r="G1040" s="3">
        <v>0</v>
      </c>
      <c r="H1040" s="3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 s="3">
        <v>20</v>
      </c>
      <c r="N1040" s="3">
        <v>98.32</v>
      </c>
      <c r="O1040" s="12">
        <v>26.763485477178421</v>
      </c>
    </row>
    <row r="1041" spans="1:15" hidden="1" x14ac:dyDescent="0.25">
      <c r="A1041" s="10">
        <v>46034</v>
      </c>
      <c r="B1041" t="s">
        <v>33</v>
      </c>
      <c r="C1041" s="1" t="s">
        <v>32</v>
      </c>
      <c r="D1041" s="3">
        <v>33</v>
      </c>
      <c r="E1041" s="3">
        <v>30</v>
      </c>
      <c r="F1041" s="3">
        <v>16.41</v>
      </c>
      <c r="G1041" s="3">
        <v>0</v>
      </c>
      <c r="H1041" s="3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 s="3">
        <v>24</v>
      </c>
      <c r="N1041" s="3">
        <v>99.19</v>
      </c>
      <c r="O1041" s="12">
        <v>27.637130801687761</v>
      </c>
    </row>
    <row r="1042" spans="1:15" hidden="1" x14ac:dyDescent="0.25">
      <c r="A1042" s="10">
        <v>46034</v>
      </c>
      <c r="B1042" t="s">
        <v>15</v>
      </c>
      <c r="C1042" s="1" t="s">
        <v>16</v>
      </c>
      <c r="D1042" s="3">
        <v>7</v>
      </c>
      <c r="E1042" s="3">
        <v>7</v>
      </c>
      <c r="F1042" s="3">
        <v>41.4</v>
      </c>
      <c r="G1042" s="3">
        <v>0</v>
      </c>
      <c r="H1042" s="3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 s="3">
        <v>5</v>
      </c>
      <c r="N1042" s="3">
        <v>100</v>
      </c>
      <c r="O1042" s="12">
        <v>39.568345323741013</v>
      </c>
    </row>
    <row r="1043" spans="1:15" hidden="1" x14ac:dyDescent="0.25">
      <c r="A1043" s="10">
        <v>46034</v>
      </c>
      <c r="B1043" t="s">
        <v>49</v>
      </c>
      <c r="C1043" s="1" t="s">
        <v>48</v>
      </c>
      <c r="D1043" s="3">
        <v>38</v>
      </c>
      <c r="E1043" s="3">
        <v>30</v>
      </c>
      <c r="F1043" s="3">
        <v>15.37</v>
      </c>
      <c r="G1043" s="3">
        <v>0</v>
      </c>
      <c r="H1043" s="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 s="3">
        <v>32</v>
      </c>
      <c r="N1043" s="3">
        <v>98.54</v>
      </c>
      <c r="O1043" s="12">
        <v>28.544776119402989</v>
      </c>
    </row>
    <row r="1044" spans="1:15" hidden="1" x14ac:dyDescent="0.25">
      <c r="A1044" s="10">
        <v>46034</v>
      </c>
      <c r="B1044" t="s">
        <v>50</v>
      </c>
      <c r="C1044" s="1" t="s">
        <v>48</v>
      </c>
      <c r="D1044" s="3">
        <v>11</v>
      </c>
      <c r="E1044" s="3">
        <v>11</v>
      </c>
      <c r="F1044" s="3">
        <v>58.32</v>
      </c>
      <c r="G1044" s="3">
        <v>0</v>
      </c>
      <c r="H1044" s="3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 s="3">
        <v>12</v>
      </c>
      <c r="N1044" s="3">
        <v>100</v>
      </c>
      <c r="O1044" s="12">
        <v>34.366925064599492</v>
      </c>
    </row>
    <row r="1045" spans="1:15" hidden="1" x14ac:dyDescent="0.25">
      <c r="A1045" s="10">
        <v>46034</v>
      </c>
      <c r="B1045" t="s">
        <v>17</v>
      </c>
      <c r="C1045" s="1" t="s">
        <v>16</v>
      </c>
      <c r="D1045" s="3">
        <v>0</v>
      </c>
      <c r="E1045" s="3">
        <v>0</v>
      </c>
      <c r="F1045" s="3">
        <v>0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 s="3">
        <v>0</v>
      </c>
      <c r="N1045" s="3">
        <v>0</v>
      </c>
      <c r="O1045" s="12">
        <v>0</v>
      </c>
    </row>
    <row r="1046" spans="1:15" hidden="1" x14ac:dyDescent="0.25">
      <c r="A1046" s="10">
        <v>46034</v>
      </c>
      <c r="B1046" t="s">
        <v>60</v>
      </c>
      <c r="C1046" s="1" t="s">
        <v>23</v>
      </c>
      <c r="D1046" s="3">
        <v>21</v>
      </c>
      <c r="E1046" s="3">
        <v>19</v>
      </c>
      <c r="F1046" s="3">
        <v>30.21</v>
      </c>
      <c r="G1046" s="3">
        <v>0</v>
      </c>
      <c r="H1046" s="3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 s="3">
        <v>15</v>
      </c>
      <c r="N1046" s="3">
        <v>100</v>
      </c>
      <c r="O1046" s="12">
        <v>29.518072289156631</v>
      </c>
    </row>
    <row r="1047" spans="1:15" hidden="1" x14ac:dyDescent="0.25">
      <c r="A1047" s="10">
        <v>46034</v>
      </c>
      <c r="B1047" t="s">
        <v>34</v>
      </c>
      <c r="C1047" s="1" t="s">
        <v>32</v>
      </c>
      <c r="D1047" s="3">
        <v>35</v>
      </c>
      <c r="E1047" s="3">
        <v>28</v>
      </c>
      <c r="F1047" s="3">
        <v>10.58</v>
      </c>
      <c r="G1047" s="3">
        <v>0</v>
      </c>
      <c r="H1047" s="3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 s="3">
        <v>27</v>
      </c>
      <c r="N1047" s="3">
        <v>97.45</v>
      </c>
      <c r="O1047" s="12">
        <v>41.421143847487002</v>
      </c>
    </row>
    <row r="1048" spans="1:15" hidden="1" x14ac:dyDescent="0.25">
      <c r="A1048" s="10">
        <v>46034</v>
      </c>
      <c r="B1048" t="s">
        <v>51</v>
      </c>
      <c r="C1048" s="1" t="s">
        <v>48</v>
      </c>
      <c r="D1048" s="3">
        <v>31</v>
      </c>
      <c r="E1048" s="3">
        <v>20</v>
      </c>
      <c r="F1048" s="3">
        <v>15.46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 s="3">
        <v>21</v>
      </c>
      <c r="N1048" s="3">
        <v>96.58</v>
      </c>
      <c r="O1048" s="12">
        <v>30.396475770925111</v>
      </c>
    </row>
    <row r="1049" spans="1:15" hidden="1" x14ac:dyDescent="0.25">
      <c r="A1049" s="10">
        <v>46034</v>
      </c>
      <c r="B1049" t="s">
        <v>61</v>
      </c>
      <c r="C1049" s="1" t="s">
        <v>23</v>
      </c>
      <c r="D1049" s="3">
        <v>32</v>
      </c>
      <c r="E1049" s="3">
        <v>32</v>
      </c>
      <c r="F1049" s="3">
        <v>16.510000000000002</v>
      </c>
      <c r="G1049" s="3">
        <v>0</v>
      </c>
      <c r="H1049" s="3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 s="3">
        <v>38</v>
      </c>
      <c r="N1049" s="3">
        <v>100</v>
      </c>
      <c r="O1049" s="12">
        <v>27.44282744282744</v>
      </c>
    </row>
    <row r="1050" spans="1:15" hidden="1" x14ac:dyDescent="0.25">
      <c r="A1050" s="10">
        <v>46034</v>
      </c>
      <c r="B1050" t="s">
        <v>35</v>
      </c>
      <c r="C1050" s="1" t="s">
        <v>32</v>
      </c>
      <c r="D1050" s="3">
        <v>19</v>
      </c>
      <c r="E1050" s="3">
        <v>17</v>
      </c>
      <c r="F1050" s="3">
        <v>30.09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 s="3">
        <v>18</v>
      </c>
      <c r="N1050" s="3">
        <v>99.49</v>
      </c>
      <c r="O1050" s="12">
        <v>40.200000000000003</v>
      </c>
    </row>
    <row r="1051" spans="1:15" hidden="1" x14ac:dyDescent="0.25">
      <c r="A1051" s="10">
        <v>46034</v>
      </c>
      <c r="B1051" t="s">
        <v>18</v>
      </c>
      <c r="C1051" s="1" t="s">
        <v>16</v>
      </c>
      <c r="D1051" s="3">
        <v>0</v>
      </c>
      <c r="E1051" s="3">
        <v>0</v>
      </c>
      <c r="F1051" s="3">
        <v>0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 s="3">
        <v>0</v>
      </c>
      <c r="N1051" s="3">
        <v>100</v>
      </c>
      <c r="O1051" s="12">
        <v>25</v>
      </c>
    </row>
    <row r="1052" spans="1:15" hidden="1" x14ac:dyDescent="0.25">
      <c r="A1052" s="10">
        <v>46034</v>
      </c>
      <c r="B1052" t="s">
        <v>52</v>
      </c>
      <c r="C1052" s="1" t="s">
        <v>48</v>
      </c>
      <c r="D1052" s="3">
        <v>28</v>
      </c>
      <c r="E1052" s="3">
        <v>28</v>
      </c>
      <c r="F1052" s="3">
        <v>17.05</v>
      </c>
      <c r="G1052" s="3">
        <v>0</v>
      </c>
      <c r="H1052" s="3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 s="3">
        <v>25</v>
      </c>
      <c r="N1052" s="3">
        <v>100</v>
      </c>
      <c r="O1052" s="12">
        <v>34.15094339622641</v>
      </c>
    </row>
    <row r="1053" spans="1:15" hidden="1" x14ac:dyDescent="0.25">
      <c r="A1053" s="10">
        <v>46034</v>
      </c>
      <c r="B1053" t="s">
        <v>36</v>
      </c>
      <c r="C1053" s="1" t="s">
        <v>32</v>
      </c>
      <c r="D1053" s="3">
        <v>19</v>
      </c>
      <c r="E1053" s="3">
        <v>16</v>
      </c>
      <c r="F1053" s="3">
        <v>15.49</v>
      </c>
      <c r="G1053" s="3">
        <v>0</v>
      </c>
      <c r="H1053" s="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 s="3">
        <v>17</v>
      </c>
      <c r="N1053" s="3">
        <v>100</v>
      </c>
      <c r="O1053" s="12">
        <v>32.731376975169297</v>
      </c>
    </row>
    <row r="1054" spans="1:15" hidden="1" x14ac:dyDescent="0.25">
      <c r="A1054" s="10">
        <v>46034</v>
      </c>
      <c r="B1054" t="s">
        <v>53</v>
      </c>
      <c r="C1054" s="1" t="s">
        <v>48</v>
      </c>
      <c r="D1054" s="3">
        <v>21</v>
      </c>
      <c r="E1054" s="3">
        <v>21</v>
      </c>
      <c r="F1054" s="3">
        <v>33.549999999999997</v>
      </c>
      <c r="G1054" s="3">
        <v>0</v>
      </c>
      <c r="H1054" s="3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 s="3">
        <v>16</v>
      </c>
      <c r="N1054" s="3">
        <v>99.31</v>
      </c>
      <c r="O1054" s="12">
        <v>30.96234309623431</v>
      </c>
    </row>
    <row r="1055" spans="1:15" hidden="1" x14ac:dyDescent="0.25">
      <c r="A1055" s="10">
        <v>46066</v>
      </c>
      <c r="B1055" t="s">
        <v>22</v>
      </c>
      <c r="C1055" s="1" t="s">
        <v>23</v>
      </c>
      <c r="D1055" s="3">
        <v>1</v>
      </c>
      <c r="E1055" s="3">
        <v>1</v>
      </c>
      <c r="F1055" s="3">
        <v>40.4</v>
      </c>
      <c r="G1055" s="3">
        <v>0</v>
      </c>
      <c r="H1055" s="3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 s="3">
        <v>14</v>
      </c>
      <c r="N1055" s="3">
        <v>96.67</v>
      </c>
      <c r="O1055" s="12">
        <v>31.451612903225811</v>
      </c>
    </row>
    <row r="1056" spans="1:15" hidden="1" x14ac:dyDescent="0.25">
      <c r="A1056" s="10">
        <v>46034</v>
      </c>
      <c r="B1056" t="s">
        <v>54</v>
      </c>
      <c r="C1056" s="1" t="s">
        <v>48</v>
      </c>
      <c r="D1056" s="3">
        <v>26</v>
      </c>
      <c r="E1056" s="3">
        <v>25</v>
      </c>
      <c r="F1056" s="3">
        <v>17.170000000000002</v>
      </c>
      <c r="G1056" s="3">
        <v>0</v>
      </c>
      <c r="H1056" s="3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 s="3">
        <v>19</v>
      </c>
      <c r="N1056" s="3">
        <v>100</v>
      </c>
      <c r="O1056" s="12">
        <v>27.676767676767678</v>
      </c>
    </row>
    <row r="1057" spans="1:15" hidden="1" x14ac:dyDescent="0.25">
      <c r="A1057" s="10">
        <v>46034</v>
      </c>
      <c r="B1057" t="s">
        <v>37</v>
      </c>
      <c r="C1057" s="1" t="s">
        <v>32</v>
      </c>
      <c r="D1057" s="3">
        <v>37</v>
      </c>
      <c r="E1057" s="3">
        <v>34</v>
      </c>
      <c r="F1057" s="3">
        <v>17.27</v>
      </c>
      <c r="G1057" s="3">
        <v>0</v>
      </c>
      <c r="H1057" s="3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 s="3">
        <v>33</v>
      </c>
      <c r="N1057" s="3">
        <v>100</v>
      </c>
      <c r="O1057" s="12">
        <v>31.17723156532988</v>
      </c>
    </row>
    <row r="1058" spans="1:15" hidden="1" x14ac:dyDescent="0.25">
      <c r="A1058" s="10">
        <v>46034</v>
      </c>
      <c r="B1058" t="s">
        <v>38</v>
      </c>
      <c r="C1058" s="1" t="s">
        <v>32</v>
      </c>
      <c r="D1058" s="3">
        <v>1</v>
      </c>
      <c r="E1058" s="3">
        <v>1</v>
      </c>
      <c r="F1058" s="3">
        <v>31.49</v>
      </c>
      <c r="G1058" s="3">
        <v>0</v>
      </c>
      <c r="H1058" s="3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 s="3">
        <v>1</v>
      </c>
      <c r="N1058" s="3">
        <v>100</v>
      </c>
      <c r="O1058" s="12">
        <v>27.609427609427609</v>
      </c>
    </row>
    <row r="1059" spans="1:15" hidden="1" x14ac:dyDescent="0.25">
      <c r="A1059" s="10">
        <v>46034</v>
      </c>
      <c r="B1059" t="s">
        <v>55</v>
      </c>
      <c r="C1059" s="1" t="s">
        <v>48</v>
      </c>
      <c r="D1059" s="3">
        <v>34</v>
      </c>
      <c r="E1059" s="3">
        <v>24</v>
      </c>
      <c r="F1059" s="3">
        <v>16.5</v>
      </c>
      <c r="G1059" s="3">
        <v>0</v>
      </c>
      <c r="H1059" s="3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 s="3">
        <v>21</v>
      </c>
      <c r="N1059" s="3">
        <v>96.4</v>
      </c>
      <c r="O1059" s="12">
        <v>28.764044943820231</v>
      </c>
    </row>
    <row r="1060" spans="1:15" hidden="1" x14ac:dyDescent="0.25">
      <c r="A1060" s="10">
        <v>46034</v>
      </c>
      <c r="B1060" t="s">
        <v>39</v>
      </c>
      <c r="C1060" s="1" t="s">
        <v>32</v>
      </c>
      <c r="D1060" s="3">
        <v>0</v>
      </c>
      <c r="E1060" s="3">
        <v>0</v>
      </c>
      <c r="F1060" s="3">
        <v>0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 s="3">
        <v>14</v>
      </c>
      <c r="N1060" s="3">
        <v>100</v>
      </c>
      <c r="O1060" s="12">
        <v>33.980582524271853</v>
      </c>
    </row>
    <row r="1061" spans="1:15" hidden="1" x14ac:dyDescent="0.25">
      <c r="A1061" s="10">
        <v>46034</v>
      </c>
      <c r="B1061" t="s">
        <v>25</v>
      </c>
      <c r="C1061" s="1" t="s">
        <v>26</v>
      </c>
      <c r="D1061" s="3">
        <v>11</v>
      </c>
      <c r="E1061" s="3">
        <v>11</v>
      </c>
      <c r="F1061" s="3">
        <v>17.100000000000001</v>
      </c>
      <c r="G1061" s="3">
        <v>0</v>
      </c>
      <c r="H1061" s="3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 s="3">
        <v>11</v>
      </c>
      <c r="N1061" s="3">
        <v>97.56</v>
      </c>
      <c r="O1061" s="12">
        <v>32.515337423312893</v>
      </c>
    </row>
    <row r="1062" spans="1:15" hidden="1" x14ac:dyDescent="0.25">
      <c r="A1062" s="10">
        <v>46034</v>
      </c>
      <c r="B1062" t="s">
        <v>40</v>
      </c>
      <c r="C1062" s="1" t="s">
        <v>32</v>
      </c>
      <c r="D1062" s="3">
        <v>1</v>
      </c>
      <c r="E1062" s="3">
        <v>1</v>
      </c>
      <c r="F1062" s="3">
        <v>15.48</v>
      </c>
      <c r="G1062" s="3">
        <v>0</v>
      </c>
      <c r="H1062" s="3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 s="3">
        <v>29</v>
      </c>
      <c r="N1062" s="3">
        <v>97.11</v>
      </c>
      <c r="O1062" s="12">
        <v>37.408312958435211</v>
      </c>
    </row>
    <row r="1063" spans="1:15" hidden="1" x14ac:dyDescent="0.25">
      <c r="A1063" s="10">
        <v>46034</v>
      </c>
      <c r="B1063" t="s">
        <v>27</v>
      </c>
      <c r="C1063" s="1" t="s">
        <v>26</v>
      </c>
      <c r="D1063" s="3">
        <v>0</v>
      </c>
      <c r="E1063" s="3">
        <v>0</v>
      </c>
      <c r="F1063" s="3">
        <v>0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 s="3">
        <v>0</v>
      </c>
      <c r="N1063" s="3">
        <v>0</v>
      </c>
      <c r="O1063" s="12">
        <v>0</v>
      </c>
    </row>
    <row r="1064" spans="1:15" hidden="1" x14ac:dyDescent="0.25">
      <c r="A1064" s="10">
        <v>46034</v>
      </c>
      <c r="B1064" t="s">
        <v>41</v>
      </c>
      <c r="C1064" s="1" t="s">
        <v>32</v>
      </c>
      <c r="D1064" s="3">
        <v>29</v>
      </c>
      <c r="E1064" s="3">
        <v>26</v>
      </c>
      <c r="F1064" s="3">
        <v>13.35</v>
      </c>
      <c r="G1064" s="3">
        <v>0</v>
      </c>
      <c r="H1064" s="3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 s="3">
        <v>28</v>
      </c>
      <c r="N1064" s="3">
        <v>100</v>
      </c>
      <c r="O1064" s="12">
        <v>30.470347648261761</v>
      </c>
    </row>
    <row r="1065" spans="1:15" hidden="1" x14ac:dyDescent="0.25">
      <c r="A1065" s="10">
        <v>46034</v>
      </c>
      <c r="B1065" t="s">
        <v>56</v>
      </c>
      <c r="C1065" s="1" t="s">
        <v>48</v>
      </c>
      <c r="D1065" s="3">
        <v>26</v>
      </c>
      <c r="E1065" s="3">
        <v>25</v>
      </c>
      <c r="F1065" s="3">
        <v>20.58</v>
      </c>
      <c r="G1065" s="3">
        <v>0</v>
      </c>
      <c r="H1065" s="3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 s="3">
        <v>22</v>
      </c>
      <c r="N1065" s="3">
        <v>100</v>
      </c>
      <c r="O1065" s="12">
        <v>32.371134020618562</v>
      </c>
    </row>
    <row r="1066" spans="1:15" hidden="1" x14ac:dyDescent="0.25">
      <c r="A1066" s="10">
        <v>46034</v>
      </c>
      <c r="B1066" t="s">
        <v>57</v>
      </c>
      <c r="C1066" s="1" t="s">
        <v>48</v>
      </c>
      <c r="D1066" s="3">
        <v>14</v>
      </c>
      <c r="E1066" s="3">
        <v>14</v>
      </c>
      <c r="F1066" s="3">
        <v>25.14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 s="3">
        <v>14</v>
      </c>
      <c r="N1066" s="3">
        <v>98.32</v>
      </c>
      <c r="O1066" s="12">
        <v>32.318501170960189</v>
      </c>
    </row>
    <row r="1067" spans="1:15" hidden="1" x14ac:dyDescent="0.25">
      <c r="A1067" s="10">
        <v>46034</v>
      </c>
      <c r="B1067" t="s">
        <v>42</v>
      </c>
      <c r="C1067" s="1" t="s">
        <v>32</v>
      </c>
      <c r="D1067" s="3">
        <v>37</v>
      </c>
      <c r="E1067" s="3">
        <v>27</v>
      </c>
      <c r="F1067" s="3">
        <v>10.15</v>
      </c>
      <c r="G1067" s="3">
        <v>0</v>
      </c>
      <c r="H1067" s="3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 s="3">
        <v>25</v>
      </c>
      <c r="N1067" s="3">
        <v>96.43</v>
      </c>
      <c r="O1067" s="12">
        <v>27.015250544662312</v>
      </c>
    </row>
    <row r="1068" spans="1:15" hidden="1" x14ac:dyDescent="0.25">
      <c r="A1068" s="10">
        <v>46034</v>
      </c>
      <c r="B1068" t="s">
        <v>62</v>
      </c>
      <c r="C1068" s="1" t="s">
        <v>23</v>
      </c>
      <c r="D1068" s="3">
        <v>20</v>
      </c>
      <c r="E1068" s="3">
        <v>19</v>
      </c>
      <c r="F1068" s="3">
        <v>18.59</v>
      </c>
      <c r="G1068" s="3">
        <v>0</v>
      </c>
      <c r="H1068" s="3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 s="3">
        <v>18</v>
      </c>
      <c r="N1068" s="3">
        <v>98.89</v>
      </c>
      <c r="O1068" s="12">
        <v>28.021978021978018</v>
      </c>
    </row>
    <row r="1069" spans="1:15" hidden="1" x14ac:dyDescent="0.25">
      <c r="A1069" s="10">
        <v>46034</v>
      </c>
      <c r="B1069" t="s">
        <v>19</v>
      </c>
      <c r="C1069" s="1" t="s">
        <v>16</v>
      </c>
      <c r="D1069" s="3">
        <v>4</v>
      </c>
      <c r="E1069" s="3">
        <v>4</v>
      </c>
      <c r="F1069" s="3">
        <v>96.56</v>
      </c>
      <c r="G1069" s="3">
        <v>0</v>
      </c>
      <c r="H1069" s="3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 s="3">
        <v>4</v>
      </c>
      <c r="N1069" s="3">
        <v>100</v>
      </c>
      <c r="O1069" s="12">
        <v>33.333333333333329</v>
      </c>
    </row>
    <row r="1070" spans="1:15" hidden="1" x14ac:dyDescent="0.25">
      <c r="A1070" s="10">
        <v>46034</v>
      </c>
      <c r="B1070" t="s">
        <v>43</v>
      </c>
      <c r="C1070" s="1" t="s">
        <v>32</v>
      </c>
      <c r="D1070" s="3">
        <v>0</v>
      </c>
      <c r="E1070" s="3">
        <v>0</v>
      </c>
      <c r="F1070" s="3">
        <v>0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 s="3">
        <v>0</v>
      </c>
      <c r="N1070" s="3">
        <v>100</v>
      </c>
      <c r="O1070" s="12">
        <v>27.43362831858407</v>
      </c>
    </row>
    <row r="1071" spans="1:15" hidden="1" x14ac:dyDescent="0.25">
      <c r="A1071" s="10">
        <v>46034</v>
      </c>
      <c r="B1071" t="s">
        <v>44</v>
      </c>
      <c r="C1071" s="1" t="s">
        <v>32</v>
      </c>
      <c r="D1071" s="3">
        <v>35</v>
      </c>
      <c r="E1071" s="3">
        <v>30</v>
      </c>
      <c r="F1071" s="3">
        <v>15.19</v>
      </c>
      <c r="G1071" s="3">
        <v>0</v>
      </c>
      <c r="H1071" s="3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 s="3">
        <v>30</v>
      </c>
      <c r="N1071" s="3">
        <v>98.65</v>
      </c>
      <c r="O1071" s="12">
        <v>30.978260869565219</v>
      </c>
    </row>
    <row r="1072" spans="1:15" hidden="1" x14ac:dyDescent="0.25">
      <c r="A1072" s="10">
        <v>46034</v>
      </c>
      <c r="B1072" t="s">
        <v>20</v>
      </c>
      <c r="C1072" s="1" t="s">
        <v>16</v>
      </c>
      <c r="D1072" s="3">
        <v>0</v>
      </c>
      <c r="E1072" s="3">
        <v>0</v>
      </c>
      <c r="F1072" s="3">
        <v>0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 s="3">
        <v>0</v>
      </c>
      <c r="N1072" s="3">
        <v>100</v>
      </c>
      <c r="O1072" s="12">
        <v>12</v>
      </c>
    </row>
    <row r="1073" spans="1:15" hidden="1" x14ac:dyDescent="0.25">
      <c r="A1073" s="10">
        <v>46034</v>
      </c>
      <c r="B1073" t="s">
        <v>28</v>
      </c>
      <c r="C1073" s="1" t="s">
        <v>26</v>
      </c>
      <c r="D1073" s="3">
        <v>0</v>
      </c>
      <c r="E1073" s="3">
        <v>0</v>
      </c>
      <c r="F1073" s="3">
        <v>0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 s="3">
        <v>0</v>
      </c>
      <c r="N1073" s="3">
        <v>0</v>
      </c>
      <c r="O1073" s="12">
        <v>0</v>
      </c>
    </row>
    <row r="1074" spans="1:15" hidden="1" x14ac:dyDescent="0.25">
      <c r="A1074" s="10">
        <v>46034</v>
      </c>
      <c r="B1074" t="s">
        <v>58</v>
      </c>
      <c r="C1074" s="1" t="s">
        <v>48</v>
      </c>
      <c r="D1074" s="3">
        <v>0</v>
      </c>
      <c r="E1074" s="3">
        <v>0</v>
      </c>
      <c r="F1074" s="3">
        <v>0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 s="3">
        <v>0</v>
      </c>
      <c r="N1074" s="3">
        <v>97.56</v>
      </c>
      <c r="O1074" s="12">
        <v>31.067961165048541</v>
      </c>
    </row>
    <row r="1075" spans="1:15" hidden="1" x14ac:dyDescent="0.25">
      <c r="A1075" s="10">
        <v>46034</v>
      </c>
      <c r="B1075" t="s">
        <v>29</v>
      </c>
      <c r="C1075" s="1" t="s">
        <v>26</v>
      </c>
      <c r="D1075" s="3">
        <v>0</v>
      </c>
      <c r="E1075" s="3">
        <v>0</v>
      </c>
      <c r="F1075" s="3">
        <v>0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 s="3">
        <v>0</v>
      </c>
      <c r="N1075" s="3">
        <v>0</v>
      </c>
      <c r="O1075" s="12">
        <v>0</v>
      </c>
    </row>
    <row r="1076" spans="1:15" hidden="1" x14ac:dyDescent="0.25">
      <c r="A1076" s="10">
        <v>46034</v>
      </c>
      <c r="B1076" t="s">
        <v>30</v>
      </c>
      <c r="C1076" s="1" t="s">
        <v>26</v>
      </c>
      <c r="D1076" s="3">
        <v>0</v>
      </c>
      <c r="E1076" s="3">
        <v>0</v>
      </c>
      <c r="F1076" s="3">
        <v>0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 s="3">
        <v>0</v>
      </c>
      <c r="N1076" s="3">
        <v>0</v>
      </c>
      <c r="O1076" s="12">
        <v>0</v>
      </c>
    </row>
    <row r="1077" spans="1:15" hidden="1" x14ac:dyDescent="0.25">
      <c r="A1077" s="10">
        <v>46034</v>
      </c>
      <c r="B1077" t="s">
        <v>21</v>
      </c>
      <c r="C1077" s="1" t="s">
        <v>16</v>
      </c>
      <c r="D1077" s="3">
        <v>0</v>
      </c>
      <c r="E1077" s="3">
        <v>0</v>
      </c>
      <c r="F1077" s="3">
        <v>0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 s="3">
        <v>0</v>
      </c>
      <c r="N1077" s="3">
        <v>0</v>
      </c>
      <c r="O1077" s="12">
        <v>0</v>
      </c>
    </row>
    <row r="1078" spans="1:15" hidden="1" x14ac:dyDescent="0.25">
      <c r="A1078" s="10">
        <v>46034</v>
      </c>
      <c r="B1078" t="s">
        <v>63</v>
      </c>
      <c r="C1078" s="1" t="s">
        <v>23</v>
      </c>
      <c r="D1078" s="3">
        <v>0</v>
      </c>
      <c r="E1078" s="3">
        <v>0</v>
      </c>
      <c r="F1078" s="3">
        <v>0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 s="3">
        <v>0</v>
      </c>
      <c r="N1078" s="3">
        <v>100</v>
      </c>
      <c r="O1078" s="12">
        <v>53.846153846153847</v>
      </c>
    </row>
    <row r="1079" spans="1:15" hidden="1" x14ac:dyDescent="0.25">
      <c r="A1079" s="10">
        <v>46034</v>
      </c>
      <c r="B1079" t="s">
        <v>45</v>
      </c>
      <c r="C1079" s="1" t="s">
        <v>32</v>
      </c>
      <c r="D1079" s="3">
        <v>0</v>
      </c>
      <c r="E1079" s="3">
        <v>0</v>
      </c>
      <c r="F1079" s="3">
        <v>0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 s="3">
        <v>0</v>
      </c>
      <c r="N1079" s="3">
        <v>100</v>
      </c>
      <c r="O1079" s="12">
        <v>44.05594405594406</v>
      </c>
    </row>
    <row r="1080" spans="1:15" hidden="1" x14ac:dyDescent="0.25">
      <c r="A1080" s="10">
        <v>46034</v>
      </c>
      <c r="B1080" t="s">
        <v>64</v>
      </c>
      <c r="C1080" s="1" t="s">
        <v>23</v>
      </c>
      <c r="D1080" s="3">
        <v>17</v>
      </c>
      <c r="E1080" s="3">
        <v>16</v>
      </c>
      <c r="F1080" s="3">
        <v>27.23</v>
      </c>
      <c r="G1080" s="3">
        <v>0</v>
      </c>
      <c r="H1080" s="3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 s="3">
        <v>13</v>
      </c>
      <c r="N1080" s="3">
        <v>100</v>
      </c>
      <c r="O1080" s="12">
        <v>31.872509960159359</v>
      </c>
    </row>
    <row r="1081" spans="1:15" hidden="1" x14ac:dyDescent="0.25">
      <c r="A1081" s="10">
        <v>46034</v>
      </c>
      <c r="B1081" t="s">
        <v>46</v>
      </c>
      <c r="C1081" s="1" t="s">
        <v>32</v>
      </c>
      <c r="D1081" s="3">
        <v>20</v>
      </c>
      <c r="E1081" s="3">
        <v>20</v>
      </c>
      <c r="F1081" s="3">
        <v>23.24</v>
      </c>
      <c r="G1081" s="3">
        <v>0</v>
      </c>
      <c r="H1081" s="3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 s="3">
        <v>20</v>
      </c>
      <c r="N1081" s="3">
        <v>98.41</v>
      </c>
      <c r="O1081" s="12">
        <v>29.22465208747515</v>
      </c>
    </row>
    <row r="1082" spans="1:15" hidden="1" x14ac:dyDescent="0.25">
      <c r="A1082" s="10">
        <v>46035</v>
      </c>
      <c r="B1082" t="s">
        <v>47</v>
      </c>
      <c r="C1082" s="1" t="s">
        <v>48</v>
      </c>
      <c r="D1082" s="3">
        <v>29</v>
      </c>
      <c r="E1082" s="3">
        <v>26</v>
      </c>
      <c r="F1082" s="3">
        <v>23.34</v>
      </c>
      <c r="G1082" s="3">
        <v>0</v>
      </c>
      <c r="H1082" s="3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 s="3">
        <v>20</v>
      </c>
      <c r="N1082" s="3">
        <v>96.81</v>
      </c>
      <c r="O1082" s="12">
        <v>27.980535279805348</v>
      </c>
    </row>
    <row r="1083" spans="1:15" hidden="1" x14ac:dyDescent="0.25">
      <c r="A1083" s="10">
        <v>46035</v>
      </c>
      <c r="B1083" t="s">
        <v>31</v>
      </c>
      <c r="C1083" s="1" t="s">
        <v>32</v>
      </c>
      <c r="D1083" s="3">
        <v>0</v>
      </c>
      <c r="E1083" s="3">
        <v>0</v>
      </c>
      <c r="F1083" s="3">
        <v>0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 s="3">
        <v>15</v>
      </c>
      <c r="N1083" s="3">
        <v>98.73</v>
      </c>
      <c r="O1083" s="12">
        <v>35.756385068762278</v>
      </c>
    </row>
    <row r="1084" spans="1:15" hidden="1" x14ac:dyDescent="0.25">
      <c r="A1084" s="10">
        <v>46035</v>
      </c>
      <c r="B1084" t="s">
        <v>59</v>
      </c>
      <c r="C1084" s="1" t="s">
        <v>23</v>
      </c>
      <c r="D1084" s="3">
        <v>26</v>
      </c>
      <c r="E1084" s="3">
        <v>21</v>
      </c>
      <c r="F1084" s="3">
        <v>19.16</v>
      </c>
      <c r="G1084" s="3">
        <v>0</v>
      </c>
      <c r="H1084" s="3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 s="3">
        <v>22</v>
      </c>
      <c r="N1084" s="3">
        <v>98.32</v>
      </c>
      <c r="O1084" s="12">
        <v>26.763485477178421</v>
      </c>
    </row>
    <row r="1085" spans="1:15" hidden="1" x14ac:dyDescent="0.25">
      <c r="A1085" s="10">
        <v>46035</v>
      </c>
      <c r="B1085" t="s">
        <v>33</v>
      </c>
      <c r="C1085" s="1" t="s">
        <v>32</v>
      </c>
      <c r="D1085" s="3">
        <v>22</v>
      </c>
      <c r="E1085" s="3">
        <v>19</v>
      </c>
      <c r="F1085" s="3">
        <v>22.28</v>
      </c>
      <c r="G1085" s="3">
        <v>0</v>
      </c>
      <c r="H1085" s="3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 s="3">
        <v>16</v>
      </c>
      <c r="N1085" s="3">
        <v>99.19</v>
      </c>
      <c r="O1085" s="12">
        <v>27.637130801687761</v>
      </c>
    </row>
    <row r="1086" spans="1:15" hidden="1" x14ac:dyDescent="0.25">
      <c r="A1086" s="10">
        <v>46035</v>
      </c>
      <c r="B1086" t="s">
        <v>15</v>
      </c>
      <c r="C1086" s="1" t="s">
        <v>16</v>
      </c>
      <c r="D1086" s="3">
        <v>0</v>
      </c>
      <c r="E1086" s="3">
        <v>0</v>
      </c>
      <c r="F1086" s="3">
        <v>0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 s="3">
        <v>0</v>
      </c>
      <c r="N1086" s="3">
        <v>100</v>
      </c>
      <c r="O1086" s="12">
        <v>39.568345323741013</v>
      </c>
    </row>
    <row r="1087" spans="1:15" hidden="1" x14ac:dyDescent="0.25">
      <c r="A1087" s="10">
        <v>46035</v>
      </c>
      <c r="B1087" t="s">
        <v>49</v>
      </c>
      <c r="C1087" s="1" t="s">
        <v>48</v>
      </c>
      <c r="D1087" s="3">
        <v>30</v>
      </c>
      <c r="E1087" s="3">
        <v>26</v>
      </c>
      <c r="F1087" s="3">
        <v>17.39</v>
      </c>
      <c r="G1087" s="3">
        <v>0</v>
      </c>
      <c r="H1087" s="3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 s="3">
        <v>25</v>
      </c>
      <c r="N1087" s="3">
        <v>98.54</v>
      </c>
      <c r="O1087" s="12">
        <v>28.544776119402989</v>
      </c>
    </row>
    <row r="1088" spans="1:15" hidden="1" x14ac:dyDescent="0.25">
      <c r="A1088" s="10">
        <v>46035</v>
      </c>
      <c r="B1088" t="s">
        <v>50</v>
      </c>
      <c r="C1088" s="1" t="s">
        <v>48</v>
      </c>
      <c r="D1088" s="3">
        <v>25</v>
      </c>
      <c r="E1088" s="3">
        <v>24</v>
      </c>
      <c r="F1088" s="3">
        <v>25.12</v>
      </c>
      <c r="G1088" s="3">
        <v>0</v>
      </c>
      <c r="H1088" s="3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 s="3">
        <v>23</v>
      </c>
      <c r="N1088" s="3">
        <v>100</v>
      </c>
      <c r="O1088" s="12">
        <v>34.366925064599492</v>
      </c>
    </row>
    <row r="1089" spans="1:15" hidden="1" x14ac:dyDescent="0.25">
      <c r="A1089" s="10">
        <v>46035</v>
      </c>
      <c r="B1089" t="s">
        <v>17</v>
      </c>
      <c r="C1089" s="1" t="s">
        <v>16</v>
      </c>
      <c r="D1089" s="3">
        <v>0</v>
      </c>
      <c r="E1089" s="3">
        <v>0</v>
      </c>
      <c r="F1089" s="3">
        <v>0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 s="3">
        <v>0</v>
      </c>
      <c r="N1089" s="3">
        <v>0</v>
      </c>
      <c r="O1089" s="12">
        <v>0</v>
      </c>
    </row>
    <row r="1090" spans="1:15" hidden="1" x14ac:dyDescent="0.25">
      <c r="A1090" s="10">
        <v>46035</v>
      </c>
      <c r="B1090" t="s">
        <v>60</v>
      </c>
      <c r="C1090" s="1" t="s">
        <v>23</v>
      </c>
      <c r="D1090" s="3">
        <v>17</v>
      </c>
      <c r="E1090" s="3">
        <v>17</v>
      </c>
      <c r="F1090" s="3">
        <v>27.32</v>
      </c>
      <c r="G1090" s="3">
        <v>0</v>
      </c>
      <c r="H1090" s="3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 s="3">
        <v>13</v>
      </c>
      <c r="N1090" s="3">
        <v>100</v>
      </c>
      <c r="O1090" s="12">
        <v>29.518072289156631</v>
      </c>
    </row>
    <row r="1091" spans="1:15" hidden="1" x14ac:dyDescent="0.25">
      <c r="A1091" s="10">
        <v>46035</v>
      </c>
      <c r="B1091" t="s">
        <v>34</v>
      </c>
      <c r="C1091" s="1" t="s">
        <v>32</v>
      </c>
      <c r="D1091" s="3">
        <v>36</v>
      </c>
      <c r="E1091" s="3">
        <v>35</v>
      </c>
      <c r="F1091" s="3">
        <v>15.3</v>
      </c>
      <c r="G1091" s="3">
        <v>0</v>
      </c>
      <c r="H1091" s="3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 s="3">
        <v>28</v>
      </c>
      <c r="N1091" s="3">
        <v>97.45</v>
      </c>
      <c r="O1091" s="12">
        <v>41.421143847487002</v>
      </c>
    </row>
    <row r="1092" spans="1:15" hidden="1" x14ac:dyDescent="0.25">
      <c r="A1092" s="10">
        <v>46035</v>
      </c>
      <c r="B1092" t="s">
        <v>51</v>
      </c>
      <c r="C1092" s="1" t="s">
        <v>48</v>
      </c>
      <c r="D1092" s="3">
        <v>30</v>
      </c>
      <c r="E1092" s="3">
        <v>24</v>
      </c>
      <c r="F1092" s="3">
        <v>17.149999999999999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 s="3">
        <v>17</v>
      </c>
      <c r="N1092" s="3">
        <v>96.58</v>
      </c>
      <c r="O1092" s="12">
        <v>30.396475770925111</v>
      </c>
    </row>
    <row r="1093" spans="1:15" hidden="1" x14ac:dyDescent="0.25">
      <c r="A1093" s="10">
        <v>46035</v>
      </c>
      <c r="B1093" t="s">
        <v>61</v>
      </c>
      <c r="C1093" s="1" t="s">
        <v>23</v>
      </c>
      <c r="D1093" s="3">
        <v>25</v>
      </c>
      <c r="E1093" s="3">
        <v>25</v>
      </c>
      <c r="F1093" s="3">
        <v>21.5</v>
      </c>
      <c r="G1093" s="3">
        <v>0</v>
      </c>
      <c r="H1093" s="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 s="3">
        <v>26</v>
      </c>
      <c r="N1093" s="3">
        <v>100</v>
      </c>
      <c r="O1093" s="12">
        <v>27.44282744282744</v>
      </c>
    </row>
    <row r="1094" spans="1:15" hidden="1" x14ac:dyDescent="0.25">
      <c r="A1094" s="10">
        <v>46035</v>
      </c>
      <c r="B1094" t="s">
        <v>35</v>
      </c>
      <c r="C1094" s="1" t="s">
        <v>32</v>
      </c>
      <c r="D1094" s="3">
        <v>29</v>
      </c>
      <c r="E1094" s="3">
        <v>29</v>
      </c>
      <c r="F1094" s="3">
        <v>23.57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 s="3">
        <v>29</v>
      </c>
      <c r="N1094" s="3">
        <v>99.49</v>
      </c>
      <c r="O1094" s="12">
        <v>40.200000000000003</v>
      </c>
    </row>
    <row r="1095" spans="1:15" hidden="1" x14ac:dyDescent="0.25">
      <c r="A1095" s="10">
        <v>46035</v>
      </c>
      <c r="B1095" t="s">
        <v>18</v>
      </c>
      <c r="C1095" s="1" t="s">
        <v>16</v>
      </c>
      <c r="D1095" s="3">
        <v>0</v>
      </c>
      <c r="E1095" s="3">
        <v>0</v>
      </c>
      <c r="F1095" s="3">
        <v>0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 s="3">
        <v>0</v>
      </c>
      <c r="N1095" s="3">
        <v>100</v>
      </c>
      <c r="O1095" s="12">
        <v>25</v>
      </c>
    </row>
    <row r="1096" spans="1:15" hidden="1" x14ac:dyDescent="0.25">
      <c r="A1096" s="10">
        <v>46035</v>
      </c>
      <c r="B1096" t="s">
        <v>52</v>
      </c>
      <c r="C1096" s="1" t="s">
        <v>48</v>
      </c>
      <c r="D1096" s="3">
        <v>39</v>
      </c>
      <c r="E1096" s="3">
        <v>35</v>
      </c>
      <c r="F1096" s="3">
        <v>17.18</v>
      </c>
      <c r="G1096" s="3">
        <v>0</v>
      </c>
      <c r="H1096" s="3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 s="3">
        <v>32</v>
      </c>
      <c r="N1096" s="3">
        <v>100</v>
      </c>
      <c r="O1096" s="12">
        <v>34.15094339622641</v>
      </c>
    </row>
    <row r="1097" spans="1:15" hidden="1" x14ac:dyDescent="0.25">
      <c r="A1097" s="10">
        <v>46035</v>
      </c>
      <c r="B1097" t="s">
        <v>36</v>
      </c>
      <c r="C1097" s="1" t="s">
        <v>32</v>
      </c>
      <c r="D1097" s="3">
        <v>22</v>
      </c>
      <c r="E1097" s="3">
        <v>21</v>
      </c>
      <c r="F1097" s="3">
        <v>18.399999999999999</v>
      </c>
      <c r="G1097" s="3">
        <v>0</v>
      </c>
      <c r="H1097" s="3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 s="3">
        <v>19</v>
      </c>
      <c r="N1097" s="3">
        <v>100</v>
      </c>
      <c r="O1097" s="12">
        <v>32.731376975169297</v>
      </c>
    </row>
    <row r="1098" spans="1:15" hidden="1" x14ac:dyDescent="0.25">
      <c r="A1098" s="10">
        <v>46035</v>
      </c>
      <c r="B1098" t="s">
        <v>53</v>
      </c>
      <c r="C1098" s="1" t="s">
        <v>48</v>
      </c>
      <c r="D1098" s="3">
        <v>31</v>
      </c>
      <c r="E1098" s="3">
        <v>30</v>
      </c>
      <c r="F1098" s="3">
        <v>22.04</v>
      </c>
      <c r="G1098" s="3">
        <v>0</v>
      </c>
      <c r="H1098" s="3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 s="3">
        <v>25</v>
      </c>
      <c r="N1098" s="3">
        <v>99.31</v>
      </c>
      <c r="O1098" s="12">
        <v>30.96234309623431</v>
      </c>
    </row>
    <row r="1099" spans="1:15" hidden="1" x14ac:dyDescent="0.25">
      <c r="A1099" s="10">
        <v>46069</v>
      </c>
      <c r="B1099" t="s">
        <v>22</v>
      </c>
      <c r="C1099" s="1" t="s">
        <v>23</v>
      </c>
      <c r="D1099" s="3">
        <v>6</v>
      </c>
      <c r="E1099" s="3">
        <v>5</v>
      </c>
      <c r="F1099" s="3">
        <v>27.03</v>
      </c>
      <c r="G1099" s="3">
        <v>0</v>
      </c>
      <c r="H1099" s="3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 s="3">
        <v>5</v>
      </c>
      <c r="N1099" s="3">
        <v>96.67</v>
      </c>
      <c r="O1099" s="12">
        <v>31.451612903225811</v>
      </c>
    </row>
    <row r="1100" spans="1:15" hidden="1" x14ac:dyDescent="0.25">
      <c r="A1100" s="10">
        <v>46035</v>
      </c>
      <c r="B1100" t="s">
        <v>54</v>
      </c>
      <c r="C1100" s="1" t="s">
        <v>48</v>
      </c>
      <c r="D1100" s="3">
        <v>32</v>
      </c>
      <c r="E1100" s="3">
        <v>32</v>
      </c>
      <c r="F1100" s="3">
        <v>20.41</v>
      </c>
      <c r="G1100" s="3">
        <v>0</v>
      </c>
      <c r="H1100" s="3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 s="3">
        <v>29</v>
      </c>
      <c r="N1100" s="3">
        <v>100</v>
      </c>
      <c r="O1100" s="12">
        <v>27.676767676767678</v>
      </c>
    </row>
    <row r="1101" spans="1:15" hidden="1" x14ac:dyDescent="0.25">
      <c r="A1101" s="10">
        <v>46035</v>
      </c>
      <c r="B1101" t="s">
        <v>37</v>
      </c>
      <c r="C1101" s="1" t="s">
        <v>32</v>
      </c>
      <c r="D1101" s="3">
        <v>47</v>
      </c>
      <c r="E1101" s="3">
        <v>44</v>
      </c>
      <c r="F1101" s="3">
        <v>15.07</v>
      </c>
      <c r="G1101" s="3">
        <v>0</v>
      </c>
      <c r="H1101" s="3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 s="3">
        <v>43</v>
      </c>
      <c r="N1101" s="3">
        <v>100</v>
      </c>
      <c r="O1101" s="12">
        <v>31.17723156532988</v>
      </c>
    </row>
    <row r="1102" spans="1:15" hidden="1" x14ac:dyDescent="0.25">
      <c r="A1102" s="10">
        <v>46035</v>
      </c>
      <c r="B1102" t="s">
        <v>38</v>
      </c>
      <c r="C1102" s="1" t="s">
        <v>32</v>
      </c>
      <c r="D1102" s="3">
        <v>21</v>
      </c>
      <c r="E1102" s="3">
        <v>20</v>
      </c>
      <c r="F1102" s="3">
        <v>13.52</v>
      </c>
      <c r="G1102" s="3">
        <v>0</v>
      </c>
      <c r="H1102" s="3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 s="3">
        <v>18</v>
      </c>
      <c r="N1102" s="3">
        <v>100</v>
      </c>
      <c r="O1102" s="12">
        <v>27.609427609427609</v>
      </c>
    </row>
    <row r="1103" spans="1:15" hidden="1" x14ac:dyDescent="0.25">
      <c r="A1103" s="10">
        <v>46035</v>
      </c>
      <c r="B1103" t="s">
        <v>55</v>
      </c>
      <c r="C1103" s="1" t="s">
        <v>48</v>
      </c>
      <c r="D1103" s="3">
        <v>28</v>
      </c>
      <c r="E1103" s="3">
        <v>21</v>
      </c>
      <c r="F1103" s="3">
        <v>10.59</v>
      </c>
      <c r="G1103" s="3">
        <v>0</v>
      </c>
      <c r="H1103" s="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 s="3">
        <v>21</v>
      </c>
      <c r="N1103" s="3">
        <v>96.4</v>
      </c>
      <c r="O1103" s="12">
        <v>28.764044943820231</v>
      </c>
    </row>
    <row r="1104" spans="1:15" hidden="1" x14ac:dyDescent="0.25">
      <c r="A1104" s="10">
        <v>46035</v>
      </c>
      <c r="B1104" t="s">
        <v>39</v>
      </c>
      <c r="C1104" s="1" t="s">
        <v>32</v>
      </c>
      <c r="D1104" s="3">
        <v>0</v>
      </c>
      <c r="E1104" s="3">
        <v>0</v>
      </c>
      <c r="F1104" s="3">
        <v>0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 s="3">
        <v>13</v>
      </c>
      <c r="N1104" s="3">
        <v>100</v>
      </c>
      <c r="O1104" s="12">
        <v>33.980582524271853</v>
      </c>
    </row>
    <row r="1105" spans="1:15" hidden="1" x14ac:dyDescent="0.25">
      <c r="A1105" s="10">
        <v>46035</v>
      </c>
      <c r="B1105" t="s">
        <v>25</v>
      </c>
      <c r="C1105" s="1" t="s">
        <v>26</v>
      </c>
      <c r="D1105" s="3">
        <v>5</v>
      </c>
      <c r="E1105" s="3">
        <v>5</v>
      </c>
      <c r="F1105" s="3">
        <v>55.15</v>
      </c>
      <c r="G1105" s="3">
        <v>0</v>
      </c>
      <c r="H1105" s="3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 s="3">
        <v>5</v>
      </c>
      <c r="N1105" s="3">
        <v>97.56</v>
      </c>
      <c r="O1105" s="12">
        <v>32.515337423312893</v>
      </c>
    </row>
    <row r="1106" spans="1:15" hidden="1" x14ac:dyDescent="0.25">
      <c r="A1106" s="10">
        <v>46035</v>
      </c>
      <c r="B1106" t="s">
        <v>40</v>
      </c>
      <c r="C1106" s="1" t="s">
        <v>32</v>
      </c>
      <c r="D1106" s="3">
        <v>23</v>
      </c>
      <c r="E1106" s="3">
        <v>23</v>
      </c>
      <c r="F1106" s="3">
        <v>22.39</v>
      </c>
      <c r="G1106" s="3">
        <v>0</v>
      </c>
      <c r="H1106" s="3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 s="3">
        <v>18</v>
      </c>
      <c r="N1106" s="3">
        <v>97.11</v>
      </c>
      <c r="O1106" s="12">
        <v>37.408312958435211</v>
      </c>
    </row>
    <row r="1107" spans="1:15" hidden="1" x14ac:dyDescent="0.25">
      <c r="A1107" s="10">
        <v>46035</v>
      </c>
      <c r="B1107" t="s">
        <v>27</v>
      </c>
      <c r="C1107" s="1" t="s">
        <v>26</v>
      </c>
      <c r="D1107" s="3">
        <v>0</v>
      </c>
      <c r="E1107" s="3">
        <v>0</v>
      </c>
      <c r="F1107" s="3">
        <v>0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 s="3">
        <v>0</v>
      </c>
      <c r="N1107" s="3">
        <v>0</v>
      </c>
      <c r="O1107" s="12">
        <v>0</v>
      </c>
    </row>
    <row r="1108" spans="1:15" hidden="1" x14ac:dyDescent="0.25">
      <c r="A1108" s="10">
        <v>46035</v>
      </c>
      <c r="B1108" t="s">
        <v>41</v>
      </c>
      <c r="C1108" s="1" t="s">
        <v>32</v>
      </c>
      <c r="D1108" s="3">
        <v>26</v>
      </c>
      <c r="E1108" s="3">
        <v>25</v>
      </c>
      <c r="F1108" s="3">
        <v>20.39</v>
      </c>
      <c r="G1108" s="3">
        <v>0</v>
      </c>
      <c r="H1108" s="3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 s="3">
        <v>20</v>
      </c>
      <c r="N1108" s="3">
        <v>100</v>
      </c>
      <c r="O1108" s="12">
        <v>30.470347648261761</v>
      </c>
    </row>
    <row r="1109" spans="1:15" hidden="1" x14ac:dyDescent="0.25">
      <c r="A1109" s="10">
        <v>46035</v>
      </c>
      <c r="B1109" t="s">
        <v>56</v>
      </c>
      <c r="C1109" s="1" t="s">
        <v>48</v>
      </c>
      <c r="D1109" s="3">
        <v>15</v>
      </c>
      <c r="E1109" s="3">
        <v>15</v>
      </c>
      <c r="F1109" s="3">
        <v>18.41</v>
      </c>
      <c r="G1109" s="3">
        <v>0</v>
      </c>
      <c r="H1109" s="3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 s="3">
        <v>10</v>
      </c>
      <c r="N1109" s="3">
        <v>100</v>
      </c>
      <c r="O1109" s="12">
        <v>32.371134020618562</v>
      </c>
    </row>
    <row r="1110" spans="1:15" hidden="1" x14ac:dyDescent="0.25">
      <c r="A1110" s="10">
        <v>46035</v>
      </c>
      <c r="B1110" t="s">
        <v>57</v>
      </c>
      <c r="C1110" s="1" t="s">
        <v>48</v>
      </c>
      <c r="D1110" s="3">
        <v>23</v>
      </c>
      <c r="E1110" s="3">
        <v>20</v>
      </c>
      <c r="F1110" s="3">
        <v>20.239999999999998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 s="3">
        <v>18</v>
      </c>
      <c r="N1110" s="3">
        <v>98.32</v>
      </c>
      <c r="O1110" s="12">
        <v>32.318501170960189</v>
      </c>
    </row>
    <row r="1111" spans="1:15" hidden="1" x14ac:dyDescent="0.25">
      <c r="A1111" s="10">
        <v>46035</v>
      </c>
      <c r="B1111" t="s">
        <v>42</v>
      </c>
      <c r="C1111" s="1" t="s">
        <v>32</v>
      </c>
      <c r="D1111" s="3">
        <v>35</v>
      </c>
      <c r="E1111" s="3">
        <v>29</v>
      </c>
      <c r="F1111" s="3">
        <v>16.43</v>
      </c>
      <c r="G1111" s="3">
        <v>0</v>
      </c>
      <c r="H1111" s="3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 s="3">
        <v>18</v>
      </c>
      <c r="N1111" s="3">
        <v>96.43</v>
      </c>
      <c r="O1111" s="12">
        <v>27.015250544662312</v>
      </c>
    </row>
    <row r="1112" spans="1:15" hidden="1" x14ac:dyDescent="0.25">
      <c r="A1112" s="10">
        <v>46035</v>
      </c>
      <c r="B1112" t="s">
        <v>62</v>
      </c>
      <c r="C1112" s="1" t="s">
        <v>23</v>
      </c>
      <c r="D1112" s="3">
        <v>14</v>
      </c>
      <c r="E1112" s="3">
        <v>13</v>
      </c>
      <c r="F1112" s="3">
        <v>33.42</v>
      </c>
      <c r="G1112" s="3">
        <v>0</v>
      </c>
      <c r="H1112" s="3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 s="3">
        <v>12</v>
      </c>
      <c r="N1112" s="3">
        <v>98.89</v>
      </c>
      <c r="O1112" s="12">
        <v>28.021978021978018</v>
      </c>
    </row>
    <row r="1113" spans="1:15" hidden="1" x14ac:dyDescent="0.25">
      <c r="A1113" s="10">
        <v>46035</v>
      </c>
      <c r="B1113" t="s">
        <v>19</v>
      </c>
      <c r="C1113" s="1" t="s">
        <v>16</v>
      </c>
      <c r="D1113" s="3">
        <v>7</v>
      </c>
      <c r="E1113" s="3">
        <v>6</v>
      </c>
      <c r="F1113" s="3">
        <v>42.32</v>
      </c>
      <c r="G1113" s="3">
        <v>0</v>
      </c>
      <c r="H1113" s="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 s="3">
        <v>3</v>
      </c>
      <c r="N1113" s="3">
        <v>100</v>
      </c>
      <c r="O1113" s="12">
        <v>33.333333333333329</v>
      </c>
    </row>
    <row r="1114" spans="1:15" hidden="1" x14ac:dyDescent="0.25">
      <c r="A1114" s="10">
        <v>46035</v>
      </c>
      <c r="B1114" t="s">
        <v>43</v>
      </c>
      <c r="C1114" s="1" t="s">
        <v>32</v>
      </c>
      <c r="D1114" s="3">
        <v>0</v>
      </c>
      <c r="E1114" s="3">
        <v>0</v>
      </c>
      <c r="F1114" s="3">
        <v>0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 s="3">
        <v>0</v>
      </c>
      <c r="N1114" s="3">
        <v>100</v>
      </c>
      <c r="O1114" s="12">
        <v>27.43362831858407</v>
      </c>
    </row>
    <row r="1115" spans="1:15" hidden="1" x14ac:dyDescent="0.25">
      <c r="A1115" s="10">
        <v>46035</v>
      </c>
      <c r="B1115" t="s">
        <v>44</v>
      </c>
      <c r="C1115" s="1" t="s">
        <v>32</v>
      </c>
      <c r="D1115" s="3">
        <v>35</v>
      </c>
      <c r="E1115" s="3">
        <v>32</v>
      </c>
      <c r="F1115" s="3">
        <v>10.59</v>
      </c>
      <c r="G1115" s="3">
        <v>0</v>
      </c>
      <c r="H1115" s="3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 s="3">
        <v>29</v>
      </c>
      <c r="N1115" s="3">
        <v>98.65</v>
      </c>
      <c r="O1115" s="12">
        <v>30.978260869565219</v>
      </c>
    </row>
    <row r="1116" spans="1:15" hidden="1" x14ac:dyDescent="0.25">
      <c r="A1116" s="10">
        <v>46035</v>
      </c>
      <c r="B1116" t="s">
        <v>20</v>
      </c>
      <c r="C1116" s="1" t="s">
        <v>16</v>
      </c>
      <c r="D1116" s="3">
        <v>0</v>
      </c>
      <c r="E1116" s="3">
        <v>0</v>
      </c>
      <c r="F1116" s="3">
        <v>0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 s="3">
        <v>0</v>
      </c>
      <c r="N1116" s="3">
        <v>100</v>
      </c>
      <c r="O1116" s="12">
        <v>12</v>
      </c>
    </row>
    <row r="1117" spans="1:15" hidden="1" x14ac:dyDescent="0.25">
      <c r="A1117" s="10">
        <v>46035</v>
      </c>
      <c r="B1117" t="s">
        <v>28</v>
      </c>
      <c r="C1117" s="1" t="s">
        <v>26</v>
      </c>
      <c r="D1117" s="3">
        <v>0</v>
      </c>
      <c r="E1117" s="3">
        <v>0</v>
      </c>
      <c r="F1117" s="3">
        <v>0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 s="3">
        <v>0</v>
      </c>
      <c r="N1117" s="3">
        <v>0</v>
      </c>
      <c r="O1117" s="12">
        <v>0</v>
      </c>
    </row>
    <row r="1118" spans="1:15" hidden="1" x14ac:dyDescent="0.25">
      <c r="A1118" s="10">
        <v>46035</v>
      </c>
      <c r="B1118" t="s">
        <v>58</v>
      </c>
      <c r="C1118" s="1" t="s">
        <v>48</v>
      </c>
      <c r="D1118" s="3">
        <v>0</v>
      </c>
      <c r="E1118" s="3">
        <v>0</v>
      </c>
      <c r="F1118" s="3">
        <v>0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 s="3">
        <v>0</v>
      </c>
      <c r="N1118" s="3">
        <v>97.56</v>
      </c>
      <c r="O1118" s="12">
        <v>31.067961165048541</v>
      </c>
    </row>
    <row r="1119" spans="1:15" hidden="1" x14ac:dyDescent="0.25">
      <c r="A1119" s="10">
        <v>46035</v>
      </c>
      <c r="B1119" t="s">
        <v>29</v>
      </c>
      <c r="C1119" s="1" t="s">
        <v>26</v>
      </c>
      <c r="D1119" s="3">
        <v>0</v>
      </c>
      <c r="E1119" s="3">
        <v>0</v>
      </c>
      <c r="F1119" s="3">
        <v>0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 s="3">
        <v>0</v>
      </c>
      <c r="N1119" s="3">
        <v>0</v>
      </c>
      <c r="O1119" s="12">
        <v>0</v>
      </c>
    </row>
    <row r="1120" spans="1:15" hidden="1" x14ac:dyDescent="0.25">
      <c r="A1120" s="10">
        <v>46035</v>
      </c>
      <c r="B1120" t="s">
        <v>30</v>
      </c>
      <c r="C1120" s="1" t="s">
        <v>26</v>
      </c>
      <c r="D1120" s="3">
        <v>0</v>
      </c>
      <c r="E1120" s="3">
        <v>0</v>
      </c>
      <c r="F1120" s="3">
        <v>0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 s="3">
        <v>0</v>
      </c>
      <c r="N1120" s="3">
        <v>0</v>
      </c>
      <c r="O1120" s="12">
        <v>0</v>
      </c>
    </row>
    <row r="1121" spans="1:15" hidden="1" x14ac:dyDescent="0.25">
      <c r="A1121" s="10">
        <v>46035</v>
      </c>
      <c r="B1121" t="s">
        <v>21</v>
      </c>
      <c r="C1121" s="1" t="s">
        <v>16</v>
      </c>
      <c r="D1121" s="3">
        <v>0</v>
      </c>
      <c r="E1121" s="3">
        <v>0</v>
      </c>
      <c r="F1121" s="3">
        <v>0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 s="3">
        <v>0</v>
      </c>
      <c r="N1121" s="3">
        <v>0</v>
      </c>
      <c r="O1121" s="12">
        <v>0</v>
      </c>
    </row>
    <row r="1122" spans="1:15" hidden="1" x14ac:dyDescent="0.25">
      <c r="A1122" s="10">
        <v>46035</v>
      </c>
      <c r="B1122" t="s">
        <v>63</v>
      </c>
      <c r="C1122" s="1" t="s">
        <v>23</v>
      </c>
      <c r="D1122" s="3">
        <v>0</v>
      </c>
      <c r="E1122" s="3">
        <v>0</v>
      </c>
      <c r="F1122" s="3">
        <v>0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 s="3">
        <v>0</v>
      </c>
      <c r="N1122" s="3">
        <v>100</v>
      </c>
      <c r="O1122" s="12">
        <v>53.846153846153847</v>
      </c>
    </row>
    <row r="1123" spans="1:15" hidden="1" x14ac:dyDescent="0.25">
      <c r="A1123" s="10">
        <v>46035</v>
      </c>
      <c r="B1123" t="s">
        <v>45</v>
      </c>
      <c r="C1123" s="1" t="s">
        <v>32</v>
      </c>
      <c r="D1123" s="3">
        <v>0</v>
      </c>
      <c r="E1123" s="3">
        <v>0</v>
      </c>
      <c r="F1123" s="3">
        <v>0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 s="3">
        <v>0</v>
      </c>
      <c r="N1123" s="3">
        <v>100</v>
      </c>
      <c r="O1123" s="12">
        <v>44.05594405594406</v>
      </c>
    </row>
    <row r="1124" spans="1:15" hidden="1" x14ac:dyDescent="0.25">
      <c r="A1124" s="10">
        <v>46035</v>
      </c>
      <c r="B1124" t="s">
        <v>64</v>
      </c>
      <c r="C1124" s="1" t="s">
        <v>23</v>
      </c>
      <c r="D1124" s="3">
        <v>9</v>
      </c>
      <c r="E1124" s="3">
        <v>9</v>
      </c>
      <c r="F1124" s="3">
        <v>69.099999999999994</v>
      </c>
      <c r="G1124" s="3">
        <v>0</v>
      </c>
      <c r="H1124" s="3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 s="3">
        <v>8</v>
      </c>
      <c r="N1124" s="3">
        <v>100</v>
      </c>
      <c r="O1124" s="12">
        <v>31.872509960159359</v>
      </c>
    </row>
    <row r="1125" spans="1:15" hidden="1" x14ac:dyDescent="0.25">
      <c r="A1125" s="10">
        <v>46035</v>
      </c>
      <c r="B1125" t="s">
        <v>46</v>
      </c>
      <c r="C1125" s="1" t="s">
        <v>32</v>
      </c>
      <c r="D1125" s="3">
        <v>28</v>
      </c>
      <c r="E1125" s="3">
        <v>25</v>
      </c>
      <c r="F1125" s="3">
        <v>14.14</v>
      </c>
      <c r="G1125" s="3">
        <v>0</v>
      </c>
      <c r="H1125" s="3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 s="3">
        <v>19</v>
      </c>
      <c r="N1125" s="3">
        <v>98.41</v>
      </c>
      <c r="O1125" s="12">
        <v>29.22465208747515</v>
      </c>
    </row>
    <row r="1126" spans="1:15" hidden="1" x14ac:dyDescent="0.25">
      <c r="A1126" s="10">
        <v>46036</v>
      </c>
      <c r="B1126" t="s">
        <v>47</v>
      </c>
      <c r="C1126" s="1" t="s">
        <v>48</v>
      </c>
      <c r="D1126" s="3">
        <v>18</v>
      </c>
      <c r="E1126" s="3">
        <v>15</v>
      </c>
      <c r="F1126" s="3">
        <v>27.01</v>
      </c>
      <c r="G1126" s="3">
        <v>0</v>
      </c>
      <c r="H1126" s="3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 s="3">
        <v>17</v>
      </c>
      <c r="N1126" s="3">
        <v>96.81</v>
      </c>
      <c r="O1126" s="12">
        <v>27.980535279805348</v>
      </c>
    </row>
    <row r="1127" spans="1:15" hidden="1" x14ac:dyDescent="0.25">
      <c r="A1127" s="10">
        <v>46036</v>
      </c>
      <c r="B1127" t="s">
        <v>31</v>
      </c>
      <c r="C1127" s="1" t="s">
        <v>32</v>
      </c>
      <c r="D1127" s="3">
        <v>0</v>
      </c>
      <c r="E1127" s="3">
        <v>0</v>
      </c>
      <c r="F1127" s="3">
        <v>0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 s="3">
        <v>20</v>
      </c>
      <c r="N1127" s="3">
        <v>98.73</v>
      </c>
      <c r="O1127" s="12">
        <v>35.756385068762278</v>
      </c>
    </row>
    <row r="1128" spans="1:15" hidden="1" x14ac:dyDescent="0.25">
      <c r="A1128" s="10">
        <v>46036</v>
      </c>
      <c r="B1128" t="s">
        <v>59</v>
      </c>
      <c r="C1128" s="1" t="s">
        <v>23</v>
      </c>
      <c r="D1128" s="3">
        <v>21</v>
      </c>
      <c r="E1128" s="3">
        <v>20</v>
      </c>
      <c r="F1128" s="3">
        <v>30.51</v>
      </c>
      <c r="G1128" s="3">
        <v>0</v>
      </c>
      <c r="H1128" s="3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 s="3">
        <v>19</v>
      </c>
      <c r="N1128" s="3">
        <v>98.32</v>
      </c>
      <c r="O1128" s="12">
        <v>26.763485477178421</v>
      </c>
    </row>
    <row r="1129" spans="1:15" hidden="1" x14ac:dyDescent="0.25">
      <c r="A1129" s="10">
        <v>46036</v>
      </c>
      <c r="B1129" t="s">
        <v>33</v>
      </c>
      <c r="C1129" s="1" t="s">
        <v>32</v>
      </c>
      <c r="D1129" s="3">
        <v>6</v>
      </c>
      <c r="E1129" s="3">
        <v>6</v>
      </c>
      <c r="F1129" s="3">
        <v>23.54</v>
      </c>
      <c r="G1129" s="3">
        <v>0</v>
      </c>
      <c r="H1129" s="3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 s="3">
        <v>4</v>
      </c>
      <c r="N1129" s="3">
        <v>99.19</v>
      </c>
      <c r="O1129" s="12">
        <v>27.637130801687761</v>
      </c>
    </row>
    <row r="1130" spans="1:15" hidden="1" x14ac:dyDescent="0.25">
      <c r="A1130" s="10">
        <v>46036</v>
      </c>
      <c r="B1130" t="s">
        <v>15</v>
      </c>
      <c r="C1130" s="1" t="s">
        <v>16</v>
      </c>
      <c r="D1130" s="3">
        <v>9</v>
      </c>
      <c r="E1130" s="3">
        <v>9</v>
      </c>
      <c r="F1130" s="3">
        <v>49.18</v>
      </c>
      <c r="G1130" s="3">
        <v>0</v>
      </c>
      <c r="H1130" s="3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 s="3">
        <v>7</v>
      </c>
      <c r="N1130" s="3">
        <v>100</v>
      </c>
      <c r="O1130" s="12">
        <v>39.568345323741013</v>
      </c>
    </row>
    <row r="1131" spans="1:15" hidden="1" x14ac:dyDescent="0.25">
      <c r="A1131" s="10">
        <v>46036</v>
      </c>
      <c r="B1131" t="s">
        <v>49</v>
      </c>
      <c r="C1131" s="1" t="s">
        <v>48</v>
      </c>
      <c r="D1131" s="3">
        <v>30</v>
      </c>
      <c r="E1131" s="3">
        <v>27</v>
      </c>
      <c r="F1131" s="3">
        <v>20.059999999999999</v>
      </c>
      <c r="G1131" s="3">
        <v>0</v>
      </c>
      <c r="H1131" s="3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 s="3">
        <v>26</v>
      </c>
      <c r="N1131" s="3">
        <v>98.54</v>
      </c>
      <c r="O1131" s="12">
        <v>28.544776119402989</v>
      </c>
    </row>
    <row r="1132" spans="1:15" hidden="1" x14ac:dyDescent="0.25">
      <c r="A1132" s="10">
        <v>46036</v>
      </c>
      <c r="B1132" t="s">
        <v>50</v>
      </c>
      <c r="C1132" s="1" t="s">
        <v>48</v>
      </c>
      <c r="D1132" s="3">
        <v>25</v>
      </c>
      <c r="E1132" s="3">
        <v>23</v>
      </c>
      <c r="F1132" s="3">
        <v>22.36</v>
      </c>
      <c r="G1132" s="3">
        <v>0</v>
      </c>
      <c r="H1132" s="3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 s="3">
        <v>24</v>
      </c>
      <c r="N1132" s="3">
        <v>100</v>
      </c>
      <c r="O1132" s="12">
        <v>34.366925064599492</v>
      </c>
    </row>
    <row r="1133" spans="1:15" hidden="1" x14ac:dyDescent="0.25">
      <c r="A1133" s="10">
        <v>46036</v>
      </c>
      <c r="B1133" t="s">
        <v>17</v>
      </c>
      <c r="C1133" s="1" t="s">
        <v>16</v>
      </c>
      <c r="D1133" s="3">
        <v>0</v>
      </c>
      <c r="E1133" s="3">
        <v>0</v>
      </c>
      <c r="F1133" s="3">
        <v>0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 s="3">
        <v>0</v>
      </c>
      <c r="N1133" s="3">
        <v>0</v>
      </c>
      <c r="O1133" s="12">
        <v>0</v>
      </c>
    </row>
    <row r="1134" spans="1:15" hidden="1" x14ac:dyDescent="0.25">
      <c r="A1134" s="10">
        <v>46036</v>
      </c>
      <c r="B1134" t="s">
        <v>60</v>
      </c>
      <c r="C1134" s="1" t="s">
        <v>23</v>
      </c>
      <c r="D1134" s="3">
        <v>16</v>
      </c>
      <c r="E1134" s="3">
        <v>16</v>
      </c>
      <c r="F1134" s="3">
        <v>29.13</v>
      </c>
      <c r="G1134" s="3">
        <v>0</v>
      </c>
      <c r="H1134" s="3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 s="3">
        <v>14</v>
      </c>
      <c r="N1134" s="3">
        <v>100</v>
      </c>
      <c r="O1134" s="12">
        <v>29.518072289156631</v>
      </c>
    </row>
    <row r="1135" spans="1:15" hidden="1" x14ac:dyDescent="0.25">
      <c r="A1135" s="10">
        <v>46036</v>
      </c>
      <c r="B1135" t="s">
        <v>34</v>
      </c>
      <c r="C1135" s="1" t="s">
        <v>32</v>
      </c>
      <c r="D1135" s="3">
        <v>35</v>
      </c>
      <c r="E1135" s="3">
        <v>32</v>
      </c>
      <c r="F1135" s="3">
        <v>15.37</v>
      </c>
      <c r="G1135" s="3">
        <v>0</v>
      </c>
      <c r="H1135" s="3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 s="3">
        <v>28</v>
      </c>
      <c r="N1135" s="3">
        <v>97.45</v>
      </c>
      <c r="O1135" s="12">
        <v>41.421143847487002</v>
      </c>
    </row>
    <row r="1136" spans="1:15" hidden="1" x14ac:dyDescent="0.25">
      <c r="A1136" s="10">
        <v>46036</v>
      </c>
      <c r="B1136" t="s">
        <v>51</v>
      </c>
      <c r="C1136" s="1" t="s">
        <v>48</v>
      </c>
      <c r="D1136" s="3">
        <v>20</v>
      </c>
      <c r="E1136" s="3">
        <v>13</v>
      </c>
      <c r="F1136" s="3">
        <v>27.1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 s="3">
        <v>12</v>
      </c>
      <c r="N1136" s="3">
        <v>96.58</v>
      </c>
      <c r="O1136" s="12">
        <v>30.396475770925111</v>
      </c>
    </row>
    <row r="1137" spans="1:15" hidden="1" x14ac:dyDescent="0.25">
      <c r="A1137" s="10">
        <v>46036</v>
      </c>
      <c r="B1137" t="s">
        <v>61</v>
      </c>
      <c r="C1137" s="1" t="s">
        <v>23</v>
      </c>
      <c r="D1137" s="3">
        <v>22</v>
      </c>
      <c r="E1137" s="3">
        <v>22</v>
      </c>
      <c r="F1137" s="3">
        <v>18.22</v>
      </c>
      <c r="G1137" s="3">
        <v>0</v>
      </c>
      <c r="H1137" s="3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 s="3">
        <v>28</v>
      </c>
      <c r="N1137" s="3">
        <v>100</v>
      </c>
      <c r="O1137" s="12">
        <v>27.44282744282744</v>
      </c>
    </row>
    <row r="1138" spans="1:15" hidden="1" x14ac:dyDescent="0.25">
      <c r="A1138" s="10">
        <v>46036</v>
      </c>
      <c r="B1138" t="s">
        <v>35</v>
      </c>
      <c r="C1138" s="1" t="s">
        <v>32</v>
      </c>
      <c r="D1138" s="3">
        <v>28</v>
      </c>
      <c r="E1138" s="3">
        <v>28</v>
      </c>
      <c r="F1138" s="3">
        <v>22.34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 s="3">
        <v>27</v>
      </c>
      <c r="N1138" s="3">
        <v>99.49</v>
      </c>
      <c r="O1138" s="12">
        <v>40.200000000000003</v>
      </c>
    </row>
    <row r="1139" spans="1:15" hidden="1" x14ac:dyDescent="0.25">
      <c r="A1139" s="10">
        <v>46036</v>
      </c>
      <c r="B1139" t="s">
        <v>18</v>
      </c>
      <c r="C1139" s="1" t="s">
        <v>16</v>
      </c>
      <c r="D1139" s="3">
        <v>0</v>
      </c>
      <c r="E1139" s="3">
        <v>0</v>
      </c>
      <c r="F1139" s="3">
        <v>0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 s="3">
        <v>0</v>
      </c>
      <c r="N1139" s="3">
        <v>100</v>
      </c>
      <c r="O1139" s="12">
        <v>25</v>
      </c>
    </row>
    <row r="1140" spans="1:15" hidden="1" x14ac:dyDescent="0.25">
      <c r="A1140" s="10">
        <v>46036</v>
      </c>
      <c r="B1140" t="s">
        <v>52</v>
      </c>
      <c r="C1140" s="1" t="s">
        <v>48</v>
      </c>
      <c r="D1140" s="3">
        <v>24</v>
      </c>
      <c r="E1140" s="3">
        <v>21</v>
      </c>
      <c r="F1140" s="3">
        <v>20.02</v>
      </c>
      <c r="G1140" s="3">
        <v>0</v>
      </c>
      <c r="H1140" s="3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 s="3">
        <v>22</v>
      </c>
      <c r="N1140" s="3">
        <v>100</v>
      </c>
      <c r="O1140" s="12">
        <v>34.15094339622641</v>
      </c>
    </row>
    <row r="1141" spans="1:15" hidden="1" x14ac:dyDescent="0.25">
      <c r="A1141" s="10">
        <v>46036</v>
      </c>
      <c r="B1141" t="s">
        <v>36</v>
      </c>
      <c r="C1141" s="1" t="s">
        <v>32</v>
      </c>
      <c r="D1141" s="3">
        <v>15</v>
      </c>
      <c r="E1141" s="3">
        <v>13</v>
      </c>
      <c r="F1141" s="3">
        <v>18.46</v>
      </c>
      <c r="G1141" s="3">
        <v>0</v>
      </c>
      <c r="H1141" s="3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 s="3">
        <v>10</v>
      </c>
      <c r="N1141" s="3">
        <v>100</v>
      </c>
      <c r="O1141" s="12">
        <v>32.731376975169297</v>
      </c>
    </row>
    <row r="1142" spans="1:15" hidden="1" x14ac:dyDescent="0.25">
      <c r="A1142" s="10">
        <v>46036</v>
      </c>
      <c r="B1142" t="s">
        <v>53</v>
      </c>
      <c r="C1142" s="1" t="s">
        <v>48</v>
      </c>
      <c r="D1142" s="3">
        <v>18</v>
      </c>
      <c r="E1142" s="3">
        <v>18</v>
      </c>
      <c r="F1142" s="3">
        <v>25.05</v>
      </c>
      <c r="G1142" s="3">
        <v>0</v>
      </c>
      <c r="H1142" s="3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 s="3">
        <v>16</v>
      </c>
      <c r="N1142" s="3">
        <v>99.31</v>
      </c>
      <c r="O1142" s="12">
        <v>30.96234309623431</v>
      </c>
    </row>
    <row r="1143" spans="1:15" hidden="1" x14ac:dyDescent="0.25">
      <c r="A1143" s="10">
        <v>46070</v>
      </c>
      <c r="B1143" t="s">
        <v>22</v>
      </c>
      <c r="C1143" s="1" t="s">
        <v>23</v>
      </c>
      <c r="D1143" s="3">
        <v>0</v>
      </c>
      <c r="E1143" s="3">
        <v>0</v>
      </c>
      <c r="F1143" s="3">
        <v>0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 s="3">
        <v>0</v>
      </c>
      <c r="N1143" s="3">
        <v>96.67</v>
      </c>
      <c r="O1143" s="12">
        <v>31.451612903225811</v>
      </c>
    </row>
    <row r="1144" spans="1:15" hidden="1" x14ac:dyDescent="0.25">
      <c r="A1144" s="10">
        <v>46036</v>
      </c>
      <c r="B1144" t="s">
        <v>54</v>
      </c>
      <c r="C1144" s="1" t="s">
        <v>48</v>
      </c>
      <c r="D1144" s="3">
        <v>31</v>
      </c>
      <c r="E1144" s="3">
        <v>29</v>
      </c>
      <c r="F1144" s="3">
        <v>20.329999999999998</v>
      </c>
      <c r="G1144" s="3">
        <v>0</v>
      </c>
      <c r="H1144" s="3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 s="3">
        <v>22</v>
      </c>
      <c r="N1144" s="3">
        <v>100</v>
      </c>
      <c r="O1144" s="12">
        <v>27.676767676767678</v>
      </c>
    </row>
    <row r="1145" spans="1:15" hidden="1" x14ac:dyDescent="0.25">
      <c r="A1145" s="10">
        <v>46036</v>
      </c>
      <c r="B1145" t="s">
        <v>37</v>
      </c>
      <c r="C1145" s="1" t="s">
        <v>32</v>
      </c>
      <c r="D1145" s="3">
        <v>37</v>
      </c>
      <c r="E1145" s="3">
        <v>33</v>
      </c>
      <c r="F1145" s="3">
        <v>18.260000000000002</v>
      </c>
      <c r="G1145" s="3">
        <v>0</v>
      </c>
      <c r="H1145" s="3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 s="3">
        <v>32</v>
      </c>
      <c r="N1145" s="3">
        <v>100</v>
      </c>
      <c r="O1145" s="12">
        <v>31.17723156532988</v>
      </c>
    </row>
    <row r="1146" spans="1:15" hidden="1" x14ac:dyDescent="0.25">
      <c r="A1146" s="10">
        <v>46036</v>
      </c>
      <c r="B1146" t="s">
        <v>38</v>
      </c>
      <c r="C1146" s="1" t="s">
        <v>32</v>
      </c>
      <c r="D1146" s="3">
        <v>21</v>
      </c>
      <c r="E1146" s="3">
        <v>17</v>
      </c>
      <c r="F1146" s="3">
        <v>8.35</v>
      </c>
      <c r="G1146" s="3">
        <v>0</v>
      </c>
      <c r="H1146" s="3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 s="3">
        <v>16</v>
      </c>
      <c r="N1146" s="3">
        <v>100</v>
      </c>
      <c r="O1146" s="12">
        <v>27.609427609427609</v>
      </c>
    </row>
    <row r="1147" spans="1:15" hidden="1" x14ac:dyDescent="0.25">
      <c r="A1147" s="10">
        <v>46036</v>
      </c>
      <c r="B1147" t="s">
        <v>55</v>
      </c>
      <c r="C1147" s="1" t="s">
        <v>48</v>
      </c>
      <c r="D1147" s="3">
        <v>30</v>
      </c>
      <c r="E1147" s="3">
        <v>24</v>
      </c>
      <c r="F1147" s="3">
        <v>13.22</v>
      </c>
      <c r="G1147" s="3">
        <v>0</v>
      </c>
      <c r="H1147" s="3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 s="3">
        <v>23</v>
      </c>
      <c r="N1147" s="3">
        <v>96.4</v>
      </c>
      <c r="O1147" s="12">
        <v>28.764044943820231</v>
      </c>
    </row>
    <row r="1148" spans="1:15" hidden="1" x14ac:dyDescent="0.25">
      <c r="A1148" s="10">
        <v>46036</v>
      </c>
      <c r="B1148" t="s">
        <v>39</v>
      </c>
      <c r="C1148" s="1" t="s">
        <v>32</v>
      </c>
      <c r="D1148" s="3">
        <v>0</v>
      </c>
      <c r="E1148" s="3">
        <v>0</v>
      </c>
      <c r="F1148" s="3">
        <v>0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 s="3">
        <v>20</v>
      </c>
      <c r="N1148" s="3">
        <v>100</v>
      </c>
      <c r="O1148" s="12">
        <v>33.980582524271853</v>
      </c>
    </row>
    <row r="1149" spans="1:15" hidden="1" x14ac:dyDescent="0.25">
      <c r="A1149" s="10">
        <v>46036</v>
      </c>
      <c r="B1149" t="s">
        <v>25</v>
      </c>
      <c r="C1149" s="1" t="s">
        <v>26</v>
      </c>
      <c r="D1149" s="3">
        <v>4</v>
      </c>
      <c r="E1149" s="3">
        <v>4</v>
      </c>
      <c r="F1149" s="3">
        <v>87.34</v>
      </c>
      <c r="G1149" s="3">
        <v>0</v>
      </c>
      <c r="H1149" s="3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 s="3">
        <v>3</v>
      </c>
      <c r="N1149" s="3">
        <v>97.56</v>
      </c>
      <c r="O1149" s="12">
        <v>32.515337423312893</v>
      </c>
    </row>
    <row r="1150" spans="1:15" hidden="1" x14ac:dyDescent="0.25">
      <c r="A1150" s="10">
        <v>46036</v>
      </c>
      <c r="B1150" t="s">
        <v>40</v>
      </c>
      <c r="C1150" s="1" t="s">
        <v>32</v>
      </c>
      <c r="D1150" s="3">
        <v>18</v>
      </c>
      <c r="E1150" s="3">
        <v>17</v>
      </c>
      <c r="F1150" s="3">
        <v>27.03</v>
      </c>
      <c r="G1150" s="3">
        <v>0</v>
      </c>
      <c r="H1150" s="3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 s="3">
        <v>24</v>
      </c>
      <c r="N1150" s="3">
        <v>97.11</v>
      </c>
      <c r="O1150" s="12">
        <v>37.408312958435211</v>
      </c>
    </row>
    <row r="1151" spans="1:15" hidden="1" x14ac:dyDescent="0.25">
      <c r="A1151" s="10">
        <v>46036</v>
      </c>
      <c r="B1151" t="s">
        <v>27</v>
      </c>
      <c r="C1151" s="1" t="s">
        <v>26</v>
      </c>
      <c r="D1151" s="3">
        <v>0</v>
      </c>
      <c r="E1151" s="3">
        <v>0</v>
      </c>
      <c r="F1151" s="3">
        <v>0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 s="3">
        <v>0</v>
      </c>
      <c r="N1151" s="3">
        <v>0</v>
      </c>
      <c r="O1151" s="12">
        <v>0</v>
      </c>
    </row>
    <row r="1152" spans="1:15" hidden="1" x14ac:dyDescent="0.25">
      <c r="A1152" s="10">
        <v>46036</v>
      </c>
      <c r="B1152" t="s">
        <v>41</v>
      </c>
      <c r="C1152" s="1" t="s">
        <v>32</v>
      </c>
      <c r="D1152" s="3">
        <v>35</v>
      </c>
      <c r="E1152" s="3">
        <v>30</v>
      </c>
      <c r="F1152" s="3">
        <v>15.4</v>
      </c>
      <c r="G1152" s="3">
        <v>0</v>
      </c>
      <c r="H1152" s="3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 s="3">
        <v>28</v>
      </c>
      <c r="N1152" s="3">
        <v>100</v>
      </c>
      <c r="O1152" s="12">
        <v>30.470347648261761</v>
      </c>
    </row>
    <row r="1153" spans="1:15" hidden="1" x14ac:dyDescent="0.25">
      <c r="A1153" s="10">
        <v>46036</v>
      </c>
      <c r="B1153" t="s">
        <v>56</v>
      </c>
      <c r="C1153" s="1" t="s">
        <v>48</v>
      </c>
      <c r="D1153" s="3">
        <v>41</v>
      </c>
      <c r="E1153" s="3">
        <v>35</v>
      </c>
      <c r="F1153" s="3">
        <v>12.39</v>
      </c>
      <c r="G1153" s="3">
        <v>0</v>
      </c>
      <c r="H1153" s="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 s="3">
        <v>35</v>
      </c>
      <c r="N1153" s="3">
        <v>100</v>
      </c>
      <c r="O1153" s="12">
        <v>32.371134020618562</v>
      </c>
    </row>
    <row r="1154" spans="1:15" hidden="1" x14ac:dyDescent="0.25">
      <c r="A1154" s="10">
        <v>46036</v>
      </c>
      <c r="B1154" t="s">
        <v>57</v>
      </c>
      <c r="C1154" s="1" t="s">
        <v>48</v>
      </c>
      <c r="D1154" s="3">
        <v>36</v>
      </c>
      <c r="E1154" s="3">
        <v>33</v>
      </c>
      <c r="F1154" s="3">
        <v>13.28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 s="3">
        <v>31</v>
      </c>
      <c r="N1154" s="3">
        <v>98.32</v>
      </c>
      <c r="O1154" s="12">
        <v>32.318501170960189</v>
      </c>
    </row>
    <row r="1155" spans="1:15" hidden="1" x14ac:dyDescent="0.25">
      <c r="A1155" s="10">
        <v>46036</v>
      </c>
      <c r="B1155" t="s">
        <v>42</v>
      </c>
      <c r="C1155" s="1" t="s">
        <v>32</v>
      </c>
      <c r="D1155" s="3">
        <v>51</v>
      </c>
      <c r="E1155" s="3">
        <v>42</v>
      </c>
      <c r="F1155" s="3">
        <v>8.33</v>
      </c>
      <c r="G1155" s="3">
        <v>0</v>
      </c>
      <c r="H1155" s="3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 s="3">
        <v>37</v>
      </c>
      <c r="N1155" s="3">
        <v>96.43</v>
      </c>
      <c r="O1155" s="12">
        <v>27.015250544662312</v>
      </c>
    </row>
    <row r="1156" spans="1:15" hidden="1" x14ac:dyDescent="0.25">
      <c r="A1156" s="10">
        <v>46036</v>
      </c>
      <c r="B1156" t="s">
        <v>62</v>
      </c>
      <c r="C1156" s="1" t="s">
        <v>23</v>
      </c>
      <c r="D1156" s="3">
        <v>17</v>
      </c>
      <c r="E1156" s="3">
        <v>16</v>
      </c>
      <c r="F1156" s="3">
        <v>23.32</v>
      </c>
      <c r="G1156" s="3">
        <v>0</v>
      </c>
      <c r="H1156" s="3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 s="3">
        <v>14</v>
      </c>
      <c r="N1156" s="3">
        <v>98.89</v>
      </c>
      <c r="O1156" s="12">
        <v>28.021978021978018</v>
      </c>
    </row>
    <row r="1157" spans="1:15" hidden="1" x14ac:dyDescent="0.25">
      <c r="A1157" s="10">
        <v>46036</v>
      </c>
      <c r="B1157" t="s">
        <v>19</v>
      </c>
      <c r="C1157" s="1" t="s">
        <v>16</v>
      </c>
      <c r="D1157" s="3">
        <v>2</v>
      </c>
      <c r="E1157" s="3">
        <v>2</v>
      </c>
      <c r="F1157" s="3">
        <v>249.04</v>
      </c>
      <c r="G1157" s="3">
        <v>0</v>
      </c>
      <c r="H1157" s="3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 s="3">
        <v>1</v>
      </c>
      <c r="N1157" s="3">
        <v>100</v>
      </c>
      <c r="O1157" s="12">
        <v>33.333333333333329</v>
      </c>
    </row>
    <row r="1158" spans="1:15" hidden="1" x14ac:dyDescent="0.25">
      <c r="A1158" s="10">
        <v>46036</v>
      </c>
      <c r="B1158" t="s">
        <v>43</v>
      </c>
      <c r="C1158" s="1" t="s">
        <v>32</v>
      </c>
      <c r="D1158" s="3">
        <v>0</v>
      </c>
      <c r="E1158" s="3">
        <v>0</v>
      </c>
      <c r="F1158" s="3">
        <v>0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 s="3">
        <v>0</v>
      </c>
      <c r="N1158" s="3">
        <v>100</v>
      </c>
      <c r="O1158" s="12">
        <v>27.43362831858407</v>
      </c>
    </row>
    <row r="1159" spans="1:15" hidden="1" x14ac:dyDescent="0.25">
      <c r="A1159" s="10">
        <v>46036</v>
      </c>
      <c r="B1159" t="s">
        <v>44</v>
      </c>
      <c r="C1159" s="1" t="s">
        <v>32</v>
      </c>
      <c r="D1159" s="3">
        <v>37</v>
      </c>
      <c r="E1159" s="3">
        <v>31</v>
      </c>
      <c r="F1159" s="3">
        <v>14.18</v>
      </c>
      <c r="G1159" s="3">
        <v>0</v>
      </c>
      <c r="H1159" s="3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 s="3">
        <v>28</v>
      </c>
      <c r="N1159" s="3">
        <v>98.65</v>
      </c>
      <c r="O1159" s="12">
        <v>30.978260869565219</v>
      </c>
    </row>
    <row r="1160" spans="1:15" hidden="1" x14ac:dyDescent="0.25">
      <c r="A1160" s="10">
        <v>46036</v>
      </c>
      <c r="B1160" t="s">
        <v>20</v>
      </c>
      <c r="C1160" s="1" t="s">
        <v>16</v>
      </c>
      <c r="D1160" s="3">
        <v>0</v>
      </c>
      <c r="E1160" s="3">
        <v>0</v>
      </c>
      <c r="F1160" s="3">
        <v>0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 s="3">
        <v>0</v>
      </c>
      <c r="N1160" s="3">
        <v>100</v>
      </c>
      <c r="O1160" s="12">
        <v>12</v>
      </c>
    </row>
    <row r="1161" spans="1:15" hidden="1" x14ac:dyDescent="0.25">
      <c r="A1161" s="10">
        <v>46036</v>
      </c>
      <c r="B1161" t="s">
        <v>28</v>
      </c>
      <c r="C1161" s="1" t="s">
        <v>26</v>
      </c>
      <c r="D1161" s="3">
        <v>0</v>
      </c>
      <c r="E1161" s="3">
        <v>0</v>
      </c>
      <c r="F1161" s="3">
        <v>0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 s="3">
        <v>0</v>
      </c>
      <c r="N1161" s="3">
        <v>0</v>
      </c>
      <c r="O1161" s="12">
        <v>0</v>
      </c>
    </row>
    <row r="1162" spans="1:15" hidden="1" x14ac:dyDescent="0.25">
      <c r="A1162" s="10">
        <v>46036</v>
      </c>
      <c r="B1162" t="s">
        <v>58</v>
      </c>
      <c r="C1162" s="1" t="s">
        <v>48</v>
      </c>
      <c r="D1162" s="3">
        <v>26</v>
      </c>
      <c r="E1162" s="3">
        <v>25</v>
      </c>
      <c r="F1162" s="3">
        <v>20.51</v>
      </c>
      <c r="G1162" s="3">
        <v>0</v>
      </c>
      <c r="H1162" s="3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 s="3">
        <v>21</v>
      </c>
      <c r="N1162" s="3">
        <v>97.56</v>
      </c>
      <c r="O1162" s="12">
        <v>31.067961165048541</v>
      </c>
    </row>
    <row r="1163" spans="1:15" hidden="1" x14ac:dyDescent="0.25">
      <c r="A1163" s="10">
        <v>46036</v>
      </c>
      <c r="B1163" t="s">
        <v>29</v>
      </c>
      <c r="C1163" s="1" t="s">
        <v>26</v>
      </c>
      <c r="D1163" s="3">
        <v>0</v>
      </c>
      <c r="E1163" s="3">
        <v>0</v>
      </c>
      <c r="F1163" s="3">
        <v>0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 s="3">
        <v>0</v>
      </c>
      <c r="N1163" s="3">
        <v>0</v>
      </c>
      <c r="O1163" s="12">
        <v>0</v>
      </c>
    </row>
    <row r="1164" spans="1:15" hidden="1" x14ac:dyDescent="0.25">
      <c r="A1164" s="10">
        <v>46036</v>
      </c>
      <c r="B1164" t="s">
        <v>30</v>
      </c>
      <c r="C1164" s="1" t="s">
        <v>26</v>
      </c>
      <c r="D1164" s="3">
        <v>0</v>
      </c>
      <c r="E1164" s="3">
        <v>0</v>
      </c>
      <c r="F1164" s="3">
        <v>0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 s="3">
        <v>0</v>
      </c>
      <c r="N1164" s="3">
        <v>0</v>
      </c>
      <c r="O1164" s="12">
        <v>0</v>
      </c>
    </row>
    <row r="1165" spans="1:15" hidden="1" x14ac:dyDescent="0.25">
      <c r="A1165" s="10">
        <v>46036</v>
      </c>
      <c r="B1165" t="s">
        <v>21</v>
      </c>
      <c r="C1165" s="1" t="s">
        <v>16</v>
      </c>
      <c r="D1165" s="3">
        <v>0</v>
      </c>
      <c r="E1165" s="3">
        <v>0</v>
      </c>
      <c r="F1165" s="3">
        <v>0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 s="3">
        <v>0</v>
      </c>
      <c r="N1165" s="3">
        <v>0</v>
      </c>
      <c r="O1165" s="12">
        <v>0</v>
      </c>
    </row>
    <row r="1166" spans="1:15" hidden="1" x14ac:dyDescent="0.25">
      <c r="A1166" s="10">
        <v>46036</v>
      </c>
      <c r="B1166" t="s">
        <v>63</v>
      </c>
      <c r="C1166" s="1" t="s">
        <v>23</v>
      </c>
      <c r="D1166" s="3">
        <v>0</v>
      </c>
      <c r="E1166" s="3">
        <v>0</v>
      </c>
      <c r="F1166" s="3">
        <v>0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 s="3">
        <v>0</v>
      </c>
      <c r="N1166" s="3">
        <v>100</v>
      </c>
      <c r="O1166" s="12">
        <v>53.846153846153847</v>
      </c>
    </row>
    <row r="1167" spans="1:15" hidden="1" x14ac:dyDescent="0.25">
      <c r="A1167" s="10">
        <v>46036</v>
      </c>
      <c r="B1167" t="s">
        <v>45</v>
      </c>
      <c r="C1167" s="1" t="s">
        <v>32</v>
      </c>
      <c r="D1167" s="3">
        <v>0</v>
      </c>
      <c r="E1167" s="3">
        <v>0</v>
      </c>
      <c r="F1167" s="3">
        <v>0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 s="3">
        <v>0</v>
      </c>
      <c r="N1167" s="3">
        <v>100</v>
      </c>
      <c r="O1167" s="12">
        <v>44.05594405594406</v>
      </c>
    </row>
    <row r="1168" spans="1:15" hidden="1" x14ac:dyDescent="0.25">
      <c r="A1168" s="10">
        <v>46036</v>
      </c>
      <c r="B1168" t="s">
        <v>64</v>
      </c>
      <c r="C1168" s="1" t="s">
        <v>23</v>
      </c>
      <c r="D1168" s="3">
        <v>17</v>
      </c>
      <c r="E1168" s="3">
        <v>17</v>
      </c>
      <c r="F1168" s="3">
        <v>25.5</v>
      </c>
      <c r="G1168" s="3">
        <v>0</v>
      </c>
      <c r="H1168" s="3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 s="3">
        <v>15</v>
      </c>
      <c r="N1168" s="3">
        <v>100</v>
      </c>
      <c r="O1168" s="12">
        <v>31.872509960159359</v>
      </c>
    </row>
    <row r="1169" spans="1:15" hidden="1" x14ac:dyDescent="0.25">
      <c r="A1169" s="10">
        <v>46036</v>
      </c>
      <c r="B1169" t="s">
        <v>46</v>
      </c>
      <c r="C1169" s="1" t="s">
        <v>32</v>
      </c>
      <c r="D1169" s="3">
        <v>31</v>
      </c>
      <c r="E1169" s="3">
        <v>31</v>
      </c>
      <c r="F1169" s="3">
        <v>18.52</v>
      </c>
      <c r="G1169" s="3">
        <v>0</v>
      </c>
      <c r="H1169" s="3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 s="3">
        <v>26</v>
      </c>
      <c r="N1169" s="3">
        <v>98.41</v>
      </c>
      <c r="O1169" s="12">
        <v>29.22465208747515</v>
      </c>
    </row>
    <row r="1170" spans="1:15" hidden="1" x14ac:dyDescent="0.25">
      <c r="A1170" s="10">
        <v>46037</v>
      </c>
      <c r="B1170" t="s">
        <v>47</v>
      </c>
      <c r="C1170" s="1" t="s">
        <v>48</v>
      </c>
      <c r="D1170" s="3">
        <v>26</v>
      </c>
      <c r="E1170" s="3">
        <v>26</v>
      </c>
      <c r="F1170" s="3">
        <v>23.28</v>
      </c>
      <c r="G1170" s="3">
        <v>0</v>
      </c>
      <c r="H1170" s="3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 s="3">
        <v>22</v>
      </c>
      <c r="N1170" s="3">
        <v>96.81</v>
      </c>
      <c r="O1170" s="12">
        <v>27.980535279805348</v>
      </c>
    </row>
    <row r="1171" spans="1:15" hidden="1" x14ac:dyDescent="0.25">
      <c r="A1171" s="10">
        <v>46037</v>
      </c>
      <c r="B1171" t="s">
        <v>31</v>
      </c>
      <c r="C1171" s="1" t="s">
        <v>32</v>
      </c>
      <c r="D1171" s="3">
        <v>0</v>
      </c>
      <c r="E1171" s="3">
        <v>0</v>
      </c>
      <c r="F1171" s="3">
        <v>0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 s="3">
        <v>21</v>
      </c>
      <c r="N1171" s="3">
        <v>98.73</v>
      </c>
      <c r="O1171" s="12">
        <v>35.756385068762278</v>
      </c>
    </row>
    <row r="1172" spans="1:15" hidden="1" x14ac:dyDescent="0.25">
      <c r="A1172" s="10">
        <v>46037</v>
      </c>
      <c r="B1172" t="s">
        <v>59</v>
      </c>
      <c r="C1172" s="1" t="s">
        <v>23</v>
      </c>
      <c r="D1172" s="3">
        <v>34</v>
      </c>
      <c r="E1172" s="3">
        <v>30</v>
      </c>
      <c r="F1172" s="3">
        <v>18.510000000000002</v>
      </c>
      <c r="G1172" s="3">
        <v>0</v>
      </c>
      <c r="H1172" s="3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 s="3">
        <v>29</v>
      </c>
      <c r="N1172" s="3">
        <v>98.32</v>
      </c>
      <c r="O1172" s="12">
        <v>26.763485477178421</v>
      </c>
    </row>
    <row r="1173" spans="1:15" hidden="1" x14ac:dyDescent="0.25">
      <c r="A1173" s="10">
        <v>46037</v>
      </c>
      <c r="B1173" t="s">
        <v>33</v>
      </c>
      <c r="C1173" s="1" t="s">
        <v>32</v>
      </c>
      <c r="D1173" s="3">
        <v>13</v>
      </c>
      <c r="E1173" s="3">
        <v>13</v>
      </c>
      <c r="F1173" s="3">
        <v>20.14</v>
      </c>
      <c r="G1173" s="3">
        <v>0</v>
      </c>
      <c r="H1173" s="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 s="3">
        <v>13</v>
      </c>
      <c r="N1173" s="3">
        <v>99.19</v>
      </c>
      <c r="O1173" s="12">
        <v>27.637130801687761</v>
      </c>
    </row>
    <row r="1174" spans="1:15" hidden="1" x14ac:dyDescent="0.25">
      <c r="A1174" s="10">
        <v>46037</v>
      </c>
      <c r="B1174" t="s">
        <v>15</v>
      </c>
      <c r="C1174" s="1" t="s">
        <v>16</v>
      </c>
      <c r="D1174" s="3">
        <v>8</v>
      </c>
      <c r="E1174" s="3">
        <v>8</v>
      </c>
      <c r="F1174" s="3">
        <v>27.33</v>
      </c>
      <c r="G1174" s="3">
        <v>0</v>
      </c>
      <c r="H1174" s="3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 s="3">
        <v>7</v>
      </c>
      <c r="N1174" s="3">
        <v>100</v>
      </c>
      <c r="O1174" s="12">
        <v>39.568345323741013</v>
      </c>
    </row>
    <row r="1175" spans="1:15" hidden="1" x14ac:dyDescent="0.25">
      <c r="A1175" s="10">
        <v>46037</v>
      </c>
      <c r="B1175" t="s">
        <v>49</v>
      </c>
      <c r="C1175" s="1" t="s">
        <v>48</v>
      </c>
      <c r="D1175" s="3">
        <v>24</v>
      </c>
      <c r="E1175" s="3">
        <v>21</v>
      </c>
      <c r="F1175" s="3">
        <v>27.13</v>
      </c>
      <c r="G1175" s="3">
        <v>0</v>
      </c>
      <c r="H1175" s="3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 s="3">
        <v>22</v>
      </c>
      <c r="N1175" s="3">
        <v>98.54</v>
      </c>
      <c r="O1175" s="12">
        <v>28.544776119402989</v>
      </c>
    </row>
    <row r="1176" spans="1:15" hidden="1" x14ac:dyDescent="0.25">
      <c r="A1176" s="10">
        <v>46037</v>
      </c>
      <c r="B1176" t="s">
        <v>50</v>
      </c>
      <c r="C1176" s="1" t="s">
        <v>48</v>
      </c>
      <c r="D1176" s="3">
        <v>21</v>
      </c>
      <c r="E1176" s="3">
        <v>21</v>
      </c>
      <c r="F1176" s="3">
        <v>34.01</v>
      </c>
      <c r="G1176" s="3">
        <v>0</v>
      </c>
      <c r="H1176" s="3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 s="3">
        <v>19</v>
      </c>
      <c r="N1176" s="3">
        <v>100</v>
      </c>
      <c r="O1176" s="12">
        <v>34.366925064599492</v>
      </c>
    </row>
    <row r="1177" spans="1:15" hidden="1" x14ac:dyDescent="0.25">
      <c r="A1177" s="10">
        <v>46037</v>
      </c>
      <c r="B1177" t="s">
        <v>17</v>
      </c>
      <c r="C1177" s="1" t="s">
        <v>16</v>
      </c>
      <c r="D1177" s="3">
        <v>0</v>
      </c>
      <c r="E1177" s="3">
        <v>0</v>
      </c>
      <c r="F1177" s="3">
        <v>0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 s="3">
        <v>0</v>
      </c>
      <c r="N1177" s="3">
        <v>0</v>
      </c>
      <c r="O1177" s="12">
        <v>0</v>
      </c>
    </row>
    <row r="1178" spans="1:15" hidden="1" x14ac:dyDescent="0.25">
      <c r="A1178" s="10">
        <v>46037</v>
      </c>
      <c r="B1178" t="s">
        <v>60</v>
      </c>
      <c r="C1178" s="1" t="s">
        <v>23</v>
      </c>
      <c r="D1178" s="3">
        <v>9</v>
      </c>
      <c r="E1178" s="3">
        <v>9</v>
      </c>
      <c r="F1178" s="3">
        <v>69.19</v>
      </c>
      <c r="G1178" s="3">
        <v>0</v>
      </c>
      <c r="H1178" s="3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 s="3">
        <v>8</v>
      </c>
      <c r="N1178" s="3">
        <v>100</v>
      </c>
      <c r="O1178" s="12">
        <v>29.518072289156631</v>
      </c>
    </row>
    <row r="1179" spans="1:15" hidden="1" x14ac:dyDescent="0.25">
      <c r="A1179" s="10">
        <v>46037</v>
      </c>
      <c r="B1179" t="s">
        <v>34</v>
      </c>
      <c r="C1179" s="1" t="s">
        <v>32</v>
      </c>
      <c r="D1179" s="3">
        <v>46</v>
      </c>
      <c r="E1179" s="3">
        <v>43</v>
      </c>
      <c r="F1179" s="3">
        <v>10.02</v>
      </c>
      <c r="G1179" s="3">
        <v>0</v>
      </c>
      <c r="H1179" s="3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 s="3">
        <v>39</v>
      </c>
      <c r="N1179" s="3">
        <v>97.45</v>
      </c>
      <c r="O1179" s="12">
        <v>41.421143847487002</v>
      </c>
    </row>
    <row r="1180" spans="1:15" hidden="1" x14ac:dyDescent="0.25">
      <c r="A1180" s="10">
        <v>46037</v>
      </c>
      <c r="B1180" t="s">
        <v>51</v>
      </c>
      <c r="C1180" s="1" t="s">
        <v>48</v>
      </c>
      <c r="D1180" s="3">
        <v>35</v>
      </c>
      <c r="E1180" s="3">
        <v>27</v>
      </c>
      <c r="F1180" s="3">
        <v>17.010000000000002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 s="3">
        <v>29</v>
      </c>
      <c r="N1180" s="3">
        <v>96.58</v>
      </c>
      <c r="O1180" s="12">
        <v>30.396475770925111</v>
      </c>
    </row>
    <row r="1181" spans="1:15" hidden="1" x14ac:dyDescent="0.25">
      <c r="A1181" s="10">
        <v>46037</v>
      </c>
      <c r="B1181" t="s">
        <v>61</v>
      </c>
      <c r="C1181" s="1" t="s">
        <v>23</v>
      </c>
      <c r="D1181" s="3">
        <v>18</v>
      </c>
      <c r="E1181" s="3">
        <v>16</v>
      </c>
      <c r="F1181" s="3">
        <v>33.21</v>
      </c>
      <c r="G1181" s="3">
        <v>0</v>
      </c>
      <c r="H1181" s="3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 s="3">
        <v>20</v>
      </c>
      <c r="N1181" s="3">
        <v>100</v>
      </c>
      <c r="O1181" s="12">
        <v>27.44282744282744</v>
      </c>
    </row>
    <row r="1182" spans="1:15" hidden="1" x14ac:dyDescent="0.25">
      <c r="A1182" s="10">
        <v>46037</v>
      </c>
      <c r="B1182" t="s">
        <v>35</v>
      </c>
      <c r="C1182" s="1" t="s">
        <v>32</v>
      </c>
      <c r="D1182" s="3">
        <v>20</v>
      </c>
      <c r="E1182" s="3">
        <v>20</v>
      </c>
      <c r="F1182" s="3">
        <v>25.03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 s="3">
        <v>20</v>
      </c>
      <c r="N1182" s="3">
        <v>99.49</v>
      </c>
      <c r="O1182" s="12">
        <v>40.200000000000003</v>
      </c>
    </row>
    <row r="1183" spans="1:15" hidden="1" x14ac:dyDescent="0.25">
      <c r="A1183" s="10">
        <v>46037</v>
      </c>
      <c r="B1183" t="s">
        <v>18</v>
      </c>
      <c r="C1183" s="1" t="s">
        <v>16</v>
      </c>
      <c r="D1183" s="3">
        <v>0</v>
      </c>
      <c r="E1183" s="3">
        <v>0</v>
      </c>
      <c r="F1183" s="3">
        <v>0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 s="3">
        <v>0</v>
      </c>
      <c r="N1183" s="3">
        <v>100</v>
      </c>
      <c r="O1183" s="12">
        <v>25</v>
      </c>
    </row>
    <row r="1184" spans="1:15" hidden="1" x14ac:dyDescent="0.25">
      <c r="A1184" s="10">
        <v>46037</v>
      </c>
      <c r="B1184" t="s">
        <v>52</v>
      </c>
      <c r="C1184" s="1" t="s">
        <v>48</v>
      </c>
      <c r="D1184" s="3">
        <v>27</v>
      </c>
      <c r="E1184" s="3">
        <v>25</v>
      </c>
      <c r="F1184" s="3">
        <v>22.21</v>
      </c>
      <c r="G1184" s="3">
        <v>0</v>
      </c>
      <c r="H1184" s="3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 s="3">
        <v>22</v>
      </c>
      <c r="N1184" s="3">
        <v>100</v>
      </c>
      <c r="O1184" s="12">
        <v>34.15094339622641</v>
      </c>
    </row>
    <row r="1185" spans="1:15" hidden="1" x14ac:dyDescent="0.25">
      <c r="A1185" s="10">
        <v>46037</v>
      </c>
      <c r="B1185" t="s">
        <v>36</v>
      </c>
      <c r="C1185" s="1" t="s">
        <v>32</v>
      </c>
      <c r="D1185" s="3">
        <v>33</v>
      </c>
      <c r="E1185" s="3">
        <v>32</v>
      </c>
      <c r="F1185" s="3">
        <v>20.059999999999999</v>
      </c>
      <c r="G1185" s="3">
        <v>0</v>
      </c>
      <c r="H1185" s="3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 s="3">
        <v>28</v>
      </c>
      <c r="N1185" s="3">
        <v>100</v>
      </c>
      <c r="O1185" s="12">
        <v>32.731376975169297</v>
      </c>
    </row>
    <row r="1186" spans="1:15" hidden="1" x14ac:dyDescent="0.25">
      <c r="A1186" s="10">
        <v>46037</v>
      </c>
      <c r="B1186" t="s">
        <v>53</v>
      </c>
      <c r="C1186" s="1" t="s">
        <v>48</v>
      </c>
      <c r="D1186" s="3">
        <v>0</v>
      </c>
      <c r="E1186" s="3">
        <v>0</v>
      </c>
      <c r="F1186" s="3">
        <v>0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 s="3">
        <v>1</v>
      </c>
      <c r="N1186" s="3">
        <v>99.31</v>
      </c>
      <c r="O1186" s="12">
        <v>30.96234309623431</v>
      </c>
    </row>
    <row r="1187" spans="1:15" hidden="1" x14ac:dyDescent="0.25">
      <c r="A1187" s="10">
        <v>46071</v>
      </c>
      <c r="B1187" t="s">
        <v>22</v>
      </c>
      <c r="C1187" s="1" t="s">
        <v>23</v>
      </c>
      <c r="D1187" s="3">
        <v>18</v>
      </c>
      <c r="E1187" s="3">
        <v>18</v>
      </c>
      <c r="F1187" s="3">
        <v>24.18</v>
      </c>
      <c r="G1187" s="3">
        <v>0</v>
      </c>
      <c r="H1187" s="3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 s="3">
        <v>18</v>
      </c>
      <c r="N1187" s="3">
        <v>96.67</v>
      </c>
      <c r="O1187" s="12">
        <v>31.451612903225811</v>
      </c>
    </row>
    <row r="1188" spans="1:15" hidden="1" x14ac:dyDescent="0.25">
      <c r="A1188" s="10">
        <v>46037</v>
      </c>
      <c r="B1188" t="s">
        <v>54</v>
      </c>
      <c r="C1188" s="1" t="s">
        <v>48</v>
      </c>
      <c r="D1188" s="3">
        <v>31</v>
      </c>
      <c r="E1188" s="3">
        <v>30</v>
      </c>
      <c r="F1188" s="3">
        <v>19.09</v>
      </c>
      <c r="G1188" s="3">
        <v>0</v>
      </c>
      <c r="H1188" s="3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 s="3">
        <v>29</v>
      </c>
      <c r="N1188" s="3">
        <v>100</v>
      </c>
      <c r="O1188" s="12">
        <v>27.676767676767678</v>
      </c>
    </row>
    <row r="1189" spans="1:15" hidden="1" x14ac:dyDescent="0.25">
      <c r="A1189" s="10">
        <v>46037</v>
      </c>
      <c r="B1189" t="s">
        <v>37</v>
      </c>
      <c r="C1189" s="1" t="s">
        <v>32</v>
      </c>
      <c r="D1189" s="3">
        <v>53</v>
      </c>
      <c r="E1189" s="3">
        <v>50</v>
      </c>
      <c r="F1189" s="3">
        <v>12.03</v>
      </c>
      <c r="G1189" s="3">
        <v>0</v>
      </c>
      <c r="H1189" s="3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 s="3">
        <v>48</v>
      </c>
      <c r="N1189" s="3">
        <v>100</v>
      </c>
      <c r="O1189" s="12">
        <v>31.17723156532988</v>
      </c>
    </row>
    <row r="1190" spans="1:15" hidden="1" x14ac:dyDescent="0.25">
      <c r="A1190" s="10">
        <v>46037</v>
      </c>
      <c r="B1190" t="s">
        <v>38</v>
      </c>
      <c r="C1190" s="1" t="s">
        <v>32</v>
      </c>
      <c r="D1190" s="3">
        <v>0</v>
      </c>
      <c r="E1190" s="3">
        <v>0</v>
      </c>
      <c r="F1190" s="3">
        <v>0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 s="3">
        <v>0</v>
      </c>
      <c r="N1190" s="3">
        <v>100</v>
      </c>
      <c r="O1190" s="12">
        <v>27.609427609427609</v>
      </c>
    </row>
    <row r="1191" spans="1:15" hidden="1" x14ac:dyDescent="0.25">
      <c r="A1191" s="10">
        <v>46037</v>
      </c>
      <c r="B1191" t="s">
        <v>55</v>
      </c>
      <c r="C1191" s="1" t="s">
        <v>48</v>
      </c>
      <c r="D1191" s="3">
        <v>31</v>
      </c>
      <c r="E1191" s="3">
        <v>24</v>
      </c>
      <c r="F1191" s="3">
        <v>22.26</v>
      </c>
      <c r="G1191" s="3">
        <v>0</v>
      </c>
      <c r="H1191" s="3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 s="3">
        <v>22</v>
      </c>
      <c r="N1191" s="3">
        <v>96.4</v>
      </c>
      <c r="O1191" s="12">
        <v>28.764044943820231</v>
      </c>
    </row>
    <row r="1192" spans="1:15" hidden="1" x14ac:dyDescent="0.25">
      <c r="A1192" s="10">
        <v>46037</v>
      </c>
      <c r="B1192" t="s">
        <v>39</v>
      </c>
      <c r="C1192" s="1" t="s">
        <v>32</v>
      </c>
      <c r="D1192" s="3">
        <v>0</v>
      </c>
      <c r="E1192" s="3">
        <v>0</v>
      </c>
      <c r="F1192" s="3">
        <v>0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 s="3">
        <v>19</v>
      </c>
      <c r="N1192" s="3">
        <v>100</v>
      </c>
      <c r="O1192" s="12">
        <v>33.980582524271853</v>
      </c>
    </row>
    <row r="1193" spans="1:15" hidden="1" x14ac:dyDescent="0.25">
      <c r="A1193" s="10">
        <v>46037</v>
      </c>
      <c r="B1193" t="s">
        <v>25</v>
      </c>
      <c r="C1193" s="1" t="s">
        <v>26</v>
      </c>
      <c r="D1193" s="3">
        <v>10</v>
      </c>
      <c r="E1193" s="3">
        <v>7</v>
      </c>
      <c r="F1193" s="3">
        <v>19</v>
      </c>
      <c r="G1193" s="3">
        <v>0</v>
      </c>
      <c r="H1193" s="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 s="3">
        <v>7</v>
      </c>
      <c r="N1193" s="3">
        <v>97.56</v>
      </c>
      <c r="O1193" s="12">
        <v>32.515337423312893</v>
      </c>
    </row>
    <row r="1194" spans="1:15" hidden="1" x14ac:dyDescent="0.25">
      <c r="A1194" s="10">
        <v>46037</v>
      </c>
      <c r="B1194" t="s">
        <v>40</v>
      </c>
      <c r="C1194" s="1" t="s">
        <v>32</v>
      </c>
      <c r="D1194" s="3">
        <v>22</v>
      </c>
      <c r="E1194" s="3">
        <v>21</v>
      </c>
      <c r="F1194" s="3">
        <v>28.57</v>
      </c>
      <c r="G1194" s="3">
        <v>0</v>
      </c>
      <c r="H1194" s="3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 s="3">
        <v>21</v>
      </c>
      <c r="N1194" s="3">
        <v>97.11</v>
      </c>
      <c r="O1194" s="12">
        <v>37.408312958435211</v>
      </c>
    </row>
    <row r="1195" spans="1:15" hidden="1" x14ac:dyDescent="0.25">
      <c r="A1195" s="10">
        <v>46037</v>
      </c>
      <c r="B1195" t="s">
        <v>27</v>
      </c>
      <c r="C1195" s="1" t="s">
        <v>26</v>
      </c>
      <c r="D1195" s="3">
        <v>0</v>
      </c>
      <c r="E1195" s="3">
        <v>0</v>
      </c>
      <c r="F1195" s="3">
        <v>0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 s="3">
        <v>0</v>
      </c>
      <c r="N1195" s="3">
        <v>0</v>
      </c>
      <c r="O1195" s="12">
        <v>0</v>
      </c>
    </row>
    <row r="1196" spans="1:15" hidden="1" x14ac:dyDescent="0.25">
      <c r="A1196" s="10">
        <v>46037</v>
      </c>
      <c r="B1196" t="s">
        <v>41</v>
      </c>
      <c r="C1196" s="1" t="s">
        <v>32</v>
      </c>
      <c r="D1196" s="3">
        <v>39</v>
      </c>
      <c r="E1196" s="3">
        <v>32</v>
      </c>
      <c r="F1196" s="3">
        <v>20.5</v>
      </c>
      <c r="G1196" s="3">
        <v>0</v>
      </c>
      <c r="H1196" s="3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 s="3">
        <v>27</v>
      </c>
      <c r="N1196" s="3">
        <v>100</v>
      </c>
      <c r="O1196" s="12">
        <v>30.470347648261761</v>
      </c>
    </row>
    <row r="1197" spans="1:15" hidden="1" x14ac:dyDescent="0.25">
      <c r="A1197" s="10">
        <v>46037</v>
      </c>
      <c r="B1197" t="s">
        <v>56</v>
      </c>
      <c r="C1197" s="1" t="s">
        <v>48</v>
      </c>
      <c r="D1197" s="3">
        <v>32</v>
      </c>
      <c r="E1197" s="3">
        <v>31</v>
      </c>
      <c r="F1197" s="3">
        <v>23.47</v>
      </c>
      <c r="G1197" s="3">
        <v>0</v>
      </c>
      <c r="H1197" s="3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 s="3">
        <v>29</v>
      </c>
      <c r="N1197" s="3">
        <v>100</v>
      </c>
      <c r="O1197" s="12">
        <v>32.371134020618562</v>
      </c>
    </row>
    <row r="1198" spans="1:15" hidden="1" x14ac:dyDescent="0.25">
      <c r="A1198" s="10">
        <v>46037</v>
      </c>
      <c r="B1198" t="s">
        <v>57</v>
      </c>
      <c r="C1198" s="1" t="s">
        <v>48</v>
      </c>
      <c r="D1198" s="3">
        <v>28</v>
      </c>
      <c r="E1198" s="3">
        <v>26</v>
      </c>
      <c r="F1198" s="3">
        <v>19.04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 s="3">
        <v>25</v>
      </c>
      <c r="N1198" s="3">
        <v>98.32</v>
      </c>
      <c r="O1198" s="12">
        <v>32.318501170960189</v>
      </c>
    </row>
    <row r="1199" spans="1:15" hidden="1" x14ac:dyDescent="0.25">
      <c r="A1199" s="10">
        <v>46037</v>
      </c>
      <c r="B1199" t="s">
        <v>42</v>
      </c>
      <c r="C1199" s="1" t="s">
        <v>32</v>
      </c>
      <c r="D1199" s="3">
        <v>71</v>
      </c>
      <c r="E1199" s="3">
        <v>51</v>
      </c>
      <c r="F1199" s="3">
        <v>10.42</v>
      </c>
      <c r="G1199" s="3">
        <v>0</v>
      </c>
      <c r="H1199" s="3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 s="3">
        <v>38</v>
      </c>
      <c r="N1199" s="3">
        <v>96.43</v>
      </c>
      <c r="O1199" s="12">
        <v>27.015250544662312</v>
      </c>
    </row>
    <row r="1200" spans="1:15" hidden="1" x14ac:dyDescent="0.25">
      <c r="A1200" s="10">
        <v>46037</v>
      </c>
      <c r="B1200" t="s">
        <v>62</v>
      </c>
      <c r="C1200" s="1" t="s">
        <v>23</v>
      </c>
      <c r="D1200" s="3">
        <v>19</v>
      </c>
      <c r="E1200" s="3">
        <v>17</v>
      </c>
      <c r="F1200" s="3">
        <v>21.58</v>
      </c>
      <c r="G1200" s="3">
        <v>0</v>
      </c>
      <c r="H1200" s="3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 s="3">
        <v>15</v>
      </c>
      <c r="N1200" s="3">
        <v>98.89</v>
      </c>
      <c r="O1200" s="12">
        <v>28.021978021978018</v>
      </c>
    </row>
    <row r="1201" spans="1:15" hidden="1" x14ac:dyDescent="0.25">
      <c r="A1201" s="10">
        <v>46037</v>
      </c>
      <c r="B1201" t="s">
        <v>19</v>
      </c>
      <c r="C1201" s="1" t="s">
        <v>16</v>
      </c>
      <c r="D1201" s="3">
        <v>0</v>
      </c>
      <c r="E1201" s="3">
        <v>0</v>
      </c>
      <c r="F1201" s="3">
        <v>0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 s="3">
        <v>0</v>
      </c>
      <c r="N1201" s="3">
        <v>100</v>
      </c>
      <c r="O1201" s="12">
        <v>33.333333333333329</v>
      </c>
    </row>
    <row r="1202" spans="1:15" hidden="1" x14ac:dyDescent="0.25">
      <c r="A1202" s="10">
        <v>46037</v>
      </c>
      <c r="B1202" t="s">
        <v>43</v>
      </c>
      <c r="C1202" s="1" t="s">
        <v>32</v>
      </c>
      <c r="D1202" s="3">
        <v>0</v>
      </c>
      <c r="E1202" s="3">
        <v>0</v>
      </c>
      <c r="F1202" s="3">
        <v>0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 s="3">
        <v>0</v>
      </c>
      <c r="N1202" s="3">
        <v>100</v>
      </c>
      <c r="O1202" s="12">
        <v>27.43362831858407</v>
      </c>
    </row>
    <row r="1203" spans="1:15" hidden="1" x14ac:dyDescent="0.25">
      <c r="A1203" s="10">
        <v>46037</v>
      </c>
      <c r="B1203" t="s">
        <v>44</v>
      </c>
      <c r="C1203" s="1" t="s">
        <v>32</v>
      </c>
      <c r="D1203" s="3">
        <v>53</v>
      </c>
      <c r="E1203" s="3">
        <v>48</v>
      </c>
      <c r="F1203" s="3">
        <v>9.18</v>
      </c>
      <c r="G1203" s="3">
        <v>0</v>
      </c>
      <c r="H1203" s="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 s="3">
        <v>40</v>
      </c>
      <c r="N1203" s="3">
        <v>98.65</v>
      </c>
      <c r="O1203" s="12">
        <v>30.978260869565219</v>
      </c>
    </row>
    <row r="1204" spans="1:15" hidden="1" x14ac:dyDescent="0.25">
      <c r="A1204" s="10">
        <v>46037</v>
      </c>
      <c r="B1204" t="s">
        <v>20</v>
      </c>
      <c r="C1204" s="1" t="s">
        <v>16</v>
      </c>
      <c r="D1204" s="3">
        <v>1</v>
      </c>
      <c r="E1204" s="3">
        <v>1</v>
      </c>
      <c r="F1204" s="3">
        <v>12.38</v>
      </c>
      <c r="G1204" s="3">
        <v>0</v>
      </c>
      <c r="H1204" s="3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 s="3">
        <v>0</v>
      </c>
      <c r="N1204" s="3">
        <v>100</v>
      </c>
      <c r="O1204" s="12">
        <v>12</v>
      </c>
    </row>
    <row r="1205" spans="1:15" hidden="1" x14ac:dyDescent="0.25">
      <c r="A1205" s="10">
        <v>46037</v>
      </c>
      <c r="B1205" t="s">
        <v>28</v>
      </c>
      <c r="C1205" s="1" t="s">
        <v>26</v>
      </c>
      <c r="D1205" s="3">
        <v>0</v>
      </c>
      <c r="E1205" s="3">
        <v>0</v>
      </c>
      <c r="F1205" s="3">
        <v>0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 s="3">
        <v>0</v>
      </c>
      <c r="N1205" s="3">
        <v>0</v>
      </c>
      <c r="O1205" s="12">
        <v>0</v>
      </c>
    </row>
    <row r="1206" spans="1:15" hidden="1" x14ac:dyDescent="0.25">
      <c r="A1206" s="10">
        <v>46037</v>
      </c>
      <c r="B1206" t="s">
        <v>58</v>
      </c>
      <c r="C1206" s="1" t="s">
        <v>48</v>
      </c>
      <c r="D1206" s="3">
        <v>0</v>
      </c>
      <c r="E1206" s="3">
        <v>0</v>
      </c>
      <c r="F1206" s="3">
        <v>0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 s="3">
        <v>0</v>
      </c>
      <c r="N1206" s="3">
        <v>97.56</v>
      </c>
      <c r="O1206" s="12">
        <v>31.067961165048541</v>
      </c>
    </row>
    <row r="1207" spans="1:15" hidden="1" x14ac:dyDescent="0.25">
      <c r="A1207" s="10">
        <v>46037</v>
      </c>
      <c r="B1207" t="s">
        <v>29</v>
      </c>
      <c r="C1207" s="1" t="s">
        <v>26</v>
      </c>
      <c r="D1207" s="3">
        <v>0</v>
      </c>
      <c r="E1207" s="3">
        <v>0</v>
      </c>
      <c r="F1207" s="3">
        <v>0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 s="3">
        <v>0</v>
      </c>
      <c r="N1207" s="3">
        <v>0</v>
      </c>
      <c r="O1207" s="12">
        <v>0</v>
      </c>
    </row>
    <row r="1208" spans="1:15" hidden="1" x14ac:dyDescent="0.25">
      <c r="A1208" s="10">
        <v>46037</v>
      </c>
      <c r="B1208" t="s">
        <v>30</v>
      </c>
      <c r="C1208" s="1" t="s">
        <v>26</v>
      </c>
      <c r="D1208" s="3">
        <v>0</v>
      </c>
      <c r="E1208" s="3">
        <v>0</v>
      </c>
      <c r="F1208" s="3">
        <v>0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 s="3">
        <v>0</v>
      </c>
      <c r="N1208" s="3">
        <v>0</v>
      </c>
      <c r="O1208" s="12">
        <v>0</v>
      </c>
    </row>
    <row r="1209" spans="1:15" hidden="1" x14ac:dyDescent="0.25">
      <c r="A1209" s="10">
        <v>46037</v>
      </c>
      <c r="B1209" t="s">
        <v>21</v>
      </c>
      <c r="C1209" s="1" t="s">
        <v>16</v>
      </c>
      <c r="D1209" s="3">
        <v>0</v>
      </c>
      <c r="E1209" s="3">
        <v>0</v>
      </c>
      <c r="F1209" s="3">
        <v>0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 s="3">
        <v>0</v>
      </c>
      <c r="N1209" s="3">
        <v>0</v>
      </c>
      <c r="O1209" s="12">
        <v>0</v>
      </c>
    </row>
    <row r="1210" spans="1:15" hidden="1" x14ac:dyDescent="0.25">
      <c r="A1210" s="10">
        <v>46037</v>
      </c>
      <c r="B1210" t="s">
        <v>63</v>
      </c>
      <c r="C1210" s="1" t="s">
        <v>23</v>
      </c>
      <c r="D1210" s="3">
        <v>0</v>
      </c>
      <c r="E1210" s="3">
        <v>0</v>
      </c>
      <c r="F1210" s="3">
        <v>0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 s="3">
        <v>0</v>
      </c>
      <c r="N1210" s="3">
        <v>100</v>
      </c>
      <c r="O1210" s="12">
        <v>53.846153846153847</v>
      </c>
    </row>
    <row r="1211" spans="1:15" hidden="1" x14ac:dyDescent="0.25">
      <c r="A1211" s="10">
        <v>46037</v>
      </c>
      <c r="B1211" t="s">
        <v>45</v>
      </c>
      <c r="C1211" s="1" t="s">
        <v>32</v>
      </c>
      <c r="D1211" s="3">
        <v>0</v>
      </c>
      <c r="E1211" s="3">
        <v>0</v>
      </c>
      <c r="F1211" s="3">
        <v>0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 s="3">
        <v>0</v>
      </c>
      <c r="N1211" s="3">
        <v>100</v>
      </c>
      <c r="O1211" s="12">
        <v>44.05594405594406</v>
      </c>
    </row>
    <row r="1212" spans="1:15" hidden="1" x14ac:dyDescent="0.25">
      <c r="A1212" s="10">
        <v>46037</v>
      </c>
      <c r="B1212" t="s">
        <v>64</v>
      </c>
      <c r="C1212" s="1" t="s">
        <v>23</v>
      </c>
      <c r="D1212" s="3">
        <v>15</v>
      </c>
      <c r="E1212" s="3">
        <v>14</v>
      </c>
      <c r="F1212" s="3">
        <v>28.44</v>
      </c>
      <c r="G1212" s="3">
        <v>0</v>
      </c>
      <c r="H1212" s="3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 s="3">
        <v>15</v>
      </c>
      <c r="N1212" s="3">
        <v>100</v>
      </c>
      <c r="O1212" s="12">
        <v>31.872509960159359</v>
      </c>
    </row>
    <row r="1213" spans="1:15" hidden="1" x14ac:dyDescent="0.25">
      <c r="A1213" s="10">
        <v>46037</v>
      </c>
      <c r="B1213" t="s">
        <v>46</v>
      </c>
      <c r="C1213" s="1" t="s">
        <v>32</v>
      </c>
      <c r="D1213" s="3">
        <v>37</v>
      </c>
      <c r="E1213" s="3">
        <v>35</v>
      </c>
      <c r="F1213" s="3">
        <v>14.08</v>
      </c>
      <c r="G1213" s="3">
        <v>0</v>
      </c>
      <c r="H1213" s="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 s="3">
        <v>31</v>
      </c>
      <c r="N1213" s="3">
        <v>98.41</v>
      </c>
      <c r="O1213" s="12">
        <v>29.22465208747515</v>
      </c>
    </row>
    <row r="1214" spans="1:15" hidden="1" x14ac:dyDescent="0.25">
      <c r="A1214" s="10">
        <v>46038</v>
      </c>
      <c r="B1214" t="s">
        <v>47</v>
      </c>
      <c r="C1214" s="1" t="s">
        <v>48</v>
      </c>
      <c r="D1214" s="3">
        <v>26</v>
      </c>
      <c r="E1214" s="3">
        <v>26</v>
      </c>
      <c r="F1214" s="3">
        <v>15.33</v>
      </c>
      <c r="G1214" s="3">
        <v>0</v>
      </c>
      <c r="H1214" s="3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 s="3">
        <v>22</v>
      </c>
      <c r="N1214" s="3">
        <v>96.81</v>
      </c>
      <c r="O1214" s="12">
        <v>27.980535279805348</v>
      </c>
    </row>
    <row r="1215" spans="1:15" hidden="1" x14ac:dyDescent="0.25">
      <c r="A1215" s="10">
        <v>46038</v>
      </c>
      <c r="B1215" t="s">
        <v>31</v>
      </c>
      <c r="C1215" s="1" t="s">
        <v>32</v>
      </c>
      <c r="D1215" s="3">
        <v>0</v>
      </c>
      <c r="E1215" s="3">
        <v>0</v>
      </c>
      <c r="F1215" s="3">
        <v>0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 s="3">
        <v>17</v>
      </c>
      <c r="N1215" s="3">
        <v>98.73</v>
      </c>
      <c r="O1215" s="12">
        <v>35.756385068762278</v>
      </c>
    </row>
    <row r="1216" spans="1:15" hidden="1" x14ac:dyDescent="0.25">
      <c r="A1216" s="10">
        <v>46038</v>
      </c>
      <c r="B1216" t="s">
        <v>59</v>
      </c>
      <c r="C1216" s="1" t="s">
        <v>23</v>
      </c>
      <c r="D1216" s="3">
        <v>26</v>
      </c>
      <c r="E1216" s="3">
        <v>25</v>
      </c>
      <c r="F1216" s="3">
        <v>20.239999999999998</v>
      </c>
      <c r="G1216" s="3">
        <v>0</v>
      </c>
      <c r="H1216" s="3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 s="3">
        <v>22</v>
      </c>
      <c r="N1216" s="3">
        <v>98.32</v>
      </c>
      <c r="O1216" s="12">
        <v>26.763485477178421</v>
      </c>
    </row>
    <row r="1217" spans="1:15" hidden="1" x14ac:dyDescent="0.25">
      <c r="A1217" s="10">
        <v>46038</v>
      </c>
      <c r="B1217" t="s">
        <v>33</v>
      </c>
      <c r="C1217" s="1" t="s">
        <v>32</v>
      </c>
      <c r="D1217" s="3">
        <v>35</v>
      </c>
      <c r="E1217" s="3">
        <v>32</v>
      </c>
      <c r="F1217" s="3">
        <v>11.43</v>
      </c>
      <c r="G1217" s="3">
        <v>0</v>
      </c>
      <c r="H1217" s="3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 s="3">
        <v>28</v>
      </c>
      <c r="N1217" s="3">
        <v>99.19</v>
      </c>
      <c r="O1217" s="12">
        <v>27.637130801687761</v>
      </c>
    </row>
    <row r="1218" spans="1:15" hidden="1" x14ac:dyDescent="0.25">
      <c r="A1218" s="10">
        <v>46038</v>
      </c>
      <c r="B1218" t="s">
        <v>15</v>
      </c>
      <c r="C1218" s="1" t="s">
        <v>16</v>
      </c>
      <c r="D1218" s="3">
        <v>1</v>
      </c>
      <c r="E1218" s="3">
        <v>1</v>
      </c>
      <c r="F1218" s="3">
        <v>432.1</v>
      </c>
      <c r="G1218" s="3">
        <v>0</v>
      </c>
      <c r="H1218" s="3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 s="3">
        <v>1</v>
      </c>
      <c r="N1218" s="3">
        <v>100</v>
      </c>
      <c r="O1218" s="12">
        <v>39.568345323741013</v>
      </c>
    </row>
    <row r="1219" spans="1:15" hidden="1" x14ac:dyDescent="0.25">
      <c r="A1219" s="10">
        <v>46038</v>
      </c>
      <c r="B1219" t="s">
        <v>49</v>
      </c>
      <c r="C1219" s="1" t="s">
        <v>48</v>
      </c>
      <c r="D1219" s="3">
        <v>30</v>
      </c>
      <c r="E1219" s="3">
        <v>27</v>
      </c>
      <c r="F1219" s="3">
        <v>17.059999999999999</v>
      </c>
      <c r="G1219" s="3">
        <v>0</v>
      </c>
      <c r="H1219" s="3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 s="3">
        <v>24</v>
      </c>
      <c r="N1219" s="3">
        <v>98.54</v>
      </c>
      <c r="O1219" s="12">
        <v>28.544776119402989</v>
      </c>
    </row>
    <row r="1220" spans="1:15" hidden="1" x14ac:dyDescent="0.25">
      <c r="A1220" s="10">
        <v>46038</v>
      </c>
      <c r="B1220" t="s">
        <v>50</v>
      </c>
      <c r="C1220" s="1" t="s">
        <v>48</v>
      </c>
      <c r="D1220" s="3">
        <v>13</v>
      </c>
      <c r="E1220" s="3">
        <v>13</v>
      </c>
      <c r="F1220" s="3">
        <v>47.07</v>
      </c>
      <c r="G1220" s="3">
        <v>0</v>
      </c>
      <c r="H1220" s="3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 s="3">
        <v>13</v>
      </c>
      <c r="N1220" s="3">
        <v>100</v>
      </c>
      <c r="O1220" s="12">
        <v>34.366925064599492</v>
      </c>
    </row>
    <row r="1221" spans="1:15" hidden="1" x14ac:dyDescent="0.25">
      <c r="A1221" s="10">
        <v>46038</v>
      </c>
      <c r="B1221" t="s">
        <v>17</v>
      </c>
      <c r="C1221" s="1" t="s">
        <v>16</v>
      </c>
      <c r="D1221" s="3">
        <v>0</v>
      </c>
      <c r="E1221" s="3">
        <v>0</v>
      </c>
      <c r="F1221" s="3">
        <v>0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 s="3">
        <v>0</v>
      </c>
      <c r="N1221" s="3">
        <v>0</v>
      </c>
      <c r="O1221" s="12">
        <v>0</v>
      </c>
    </row>
    <row r="1222" spans="1:15" hidden="1" x14ac:dyDescent="0.25">
      <c r="A1222" s="10">
        <v>46038</v>
      </c>
      <c r="B1222" t="s">
        <v>60</v>
      </c>
      <c r="C1222" s="1" t="s">
        <v>23</v>
      </c>
      <c r="D1222" s="3">
        <v>14</v>
      </c>
      <c r="E1222" s="3">
        <v>11</v>
      </c>
      <c r="F1222" s="3">
        <v>35.35</v>
      </c>
      <c r="G1222" s="3">
        <v>0</v>
      </c>
      <c r="H1222" s="3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 s="3">
        <v>13</v>
      </c>
      <c r="N1222" s="3">
        <v>100</v>
      </c>
      <c r="O1222" s="12">
        <v>29.518072289156631</v>
      </c>
    </row>
    <row r="1223" spans="1:15" hidden="1" x14ac:dyDescent="0.25">
      <c r="A1223" s="10">
        <v>46038</v>
      </c>
      <c r="B1223" t="s">
        <v>34</v>
      </c>
      <c r="C1223" s="1" t="s">
        <v>32</v>
      </c>
      <c r="D1223" s="3">
        <v>29</v>
      </c>
      <c r="E1223" s="3">
        <v>26</v>
      </c>
      <c r="F1223" s="3">
        <v>13.22</v>
      </c>
      <c r="G1223" s="3">
        <v>0</v>
      </c>
      <c r="H1223" s="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 s="3">
        <v>25</v>
      </c>
      <c r="N1223" s="3">
        <v>97.45</v>
      </c>
      <c r="O1223" s="12">
        <v>41.421143847487002</v>
      </c>
    </row>
    <row r="1224" spans="1:15" hidden="1" x14ac:dyDescent="0.25">
      <c r="A1224" s="10">
        <v>46038</v>
      </c>
      <c r="B1224" t="s">
        <v>51</v>
      </c>
      <c r="C1224" s="1" t="s">
        <v>48</v>
      </c>
      <c r="D1224" s="3">
        <v>36</v>
      </c>
      <c r="E1224" s="3">
        <v>22</v>
      </c>
      <c r="F1224" s="3">
        <v>9.0399999999999991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 s="3">
        <v>23</v>
      </c>
      <c r="N1224" s="3">
        <v>96.58</v>
      </c>
      <c r="O1224" s="12">
        <v>30.396475770925111</v>
      </c>
    </row>
    <row r="1225" spans="1:15" hidden="1" x14ac:dyDescent="0.25">
      <c r="A1225" s="10">
        <v>46038</v>
      </c>
      <c r="B1225" t="s">
        <v>61</v>
      </c>
      <c r="C1225" s="1" t="s">
        <v>23</v>
      </c>
      <c r="D1225" s="3">
        <v>9</v>
      </c>
      <c r="E1225" s="3">
        <v>9</v>
      </c>
      <c r="F1225" s="3">
        <v>38.24</v>
      </c>
      <c r="G1225" s="3">
        <v>0</v>
      </c>
      <c r="H1225" s="3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 s="3">
        <v>14</v>
      </c>
      <c r="N1225" s="3">
        <v>100</v>
      </c>
      <c r="O1225" s="12">
        <v>27.44282744282744</v>
      </c>
    </row>
    <row r="1226" spans="1:15" hidden="1" x14ac:dyDescent="0.25">
      <c r="A1226" s="10">
        <v>46038</v>
      </c>
      <c r="B1226" t="s">
        <v>35</v>
      </c>
      <c r="C1226" s="1" t="s">
        <v>32</v>
      </c>
      <c r="D1226" s="3">
        <v>20</v>
      </c>
      <c r="E1226" s="3">
        <v>19</v>
      </c>
      <c r="F1226" s="3">
        <v>26.42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 s="3">
        <v>19</v>
      </c>
      <c r="N1226" s="3">
        <v>99.49</v>
      </c>
      <c r="O1226" s="12">
        <v>40.200000000000003</v>
      </c>
    </row>
    <row r="1227" spans="1:15" hidden="1" x14ac:dyDescent="0.25">
      <c r="A1227" s="10">
        <v>46038</v>
      </c>
      <c r="B1227" t="s">
        <v>18</v>
      </c>
      <c r="C1227" s="1" t="s">
        <v>16</v>
      </c>
      <c r="D1227" s="3">
        <v>0</v>
      </c>
      <c r="E1227" s="3">
        <v>0</v>
      </c>
      <c r="F1227" s="3">
        <v>0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 s="3">
        <v>0</v>
      </c>
      <c r="N1227" s="3">
        <v>100</v>
      </c>
      <c r="O1227" s="12">
        <v>25</v>
      </c>
    </row>
    <row r="1228" spans="1:15" hidden="1" x14ac:dyDescent="0.25">
      <c r="A1228" s="10">
        <v>46038</v>
      </c>
      <c r="B1228" t="s">
        <v>52</v>
      </c>
      <c r="C1228" s="1" t="s">
        <v>48</v>
      </c>
      <c r="D1228" s="3">
        <v>26</v>
      </c>
      <c r="E1228" s="3">
        <v>25</v>
      </c>
      <c r="F1228" s="3">
        <v>18.39</v>
      </c>
      <c r="G1228" s="3">
        <v>0</v>
      </c>
      <c r="H1228" s="3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 s="3">
        <v>25</v>
      </c>
      <c r="N1228" s="3">
        <v>100</v>
      </c>
      <c r="O1228" s="12">
        <v>34.15094339622641</v>
      </c>
    </row>
    <row r="1229" spans="1:15" hidden="1" x14ac:dyDescent="0.25">
      <c r="A1229" s="10">
        <v>46038</v>
      </c>
      <c r="B1229" t="s">
        <v>36</v>
      </c>
      <c r="C1229" s="1" t="s">
        <v>32</v>
      </c>
      <c r="D1229" s="3">
        <v>20</v>
      </c>
      <c r="E1229" s="3">
        <v>18</v>
      </c>
      <c r="F1229" s="3">
        <v>15.56</v>
      </c>
      <c r="G1229" s="3">
        <v>0</v>
      </c>
      <c r="H1229" s="3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 s="3">
        <v>17</v>
      </c>
      <c r="N1229" s="3">
        <v>100</v>
      </c>
      <c r="O1229" s="12">
        <v>32.731376975169297</v>
      </c>
    </row>
    <row r="1230" spans="1:15" hidden="1" x14ac:dyDescent="0.25">
      <c r="A1230" s="10">
        <v>46038</v>
      </c>
      <c r="B1230" t="s">
        <v>53</v>
      </c>
      <c r="C1230" s="1" t="s">
        <v>48</v>
      </c>
      <c r="D1230" s="3">
        <v>30</v>
      </c>
      <c r="E1230" s="3">
        <v>26</v>
      </c>
      <c r="F1230" s="3">
        <v>13.38</v>
      </c>
      <c r="G1230" s="3">
        <v>0</v>
      </c>
      <c r="H1230" s="3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 s="3">
        <v>23</v>
      </c>
      <c r="N1230" s="3">
        <v>99.31</v>
      </c>
      <c r="O1230" s="12">
        <v>30.96234309623431</v>
      </c>
    </row>
    <row r="1231" spans="1:15" hidden="1" x14ac:dyDescent="0.25">
      <c r="A1231" s="10">
        <v>46072</v>
      </c>
      <c r="B1231" t="s">
        <v>22</v>
      </c>
      <c r="C1231" s="1" t="s">
        <v>23</v>
      </c>
      <c r="D1231" s="3">
        <v>21</v>
      </c>
      <c r="E1231" s="3">
        <v>20</v>
      </c>
      <c r="F1231" s="3">
        <v>28.42</v>
      </c>
      <c r="G1231" s="3">
        <v>0</v>
      </c>
      <c r="H1231" s="3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 s="3">
        <v>19</v>
      </c>
      <c r="N1231" s="3">
        <v>96.67</v>
      </c>
      <c r="O1231" s="12">
        <v>31.451612903225811</v>
      </c>
    </row>
    <row r="1232" spans="1:15" hidden="1" x14ac:dyDescent="0.25">
      <c r="A1232" s="10">
        <v>46038</v>
      </c>
      <c r="B1232" t="s">
        <v>54</v>
      </c>
      <c r="C1232" s="1" t="s">
        <v>48</v>
      </c>
      <c r="D1232" s="3">
        <v>21</v>
      </c>
      <c r="E1232" s="3">
        <v>21</v>
      </c>
      <c r="F1232" s="3">
        <v>24.02</v>
      </c>
      <c r="G1232" s="3">
        <v>0</v>
      </c>
      <c r="H1232" s="3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 s="3">
        <v>19</v>
      </c>
      <c r="N1232" s="3">
        <v>100</v>
      </c>
      <c r="O1232" s="12">
        <v>27.676767676767678</v>
      </c>
    </row>
    <row r="1233" spans="1:15" hidden="1" x14ac:dyDescent="0.25">
      <c r="A1233" s="10">
        <v>46038</v>
      </c>
      <c r="B1233" t="s">
        <v>37</v>
      </c>
      <c r="C1233" s="1" t="s">
        <v>32</v>
      </c>
      <c r="D1233" s="3">
        <v>38</v>
      </c>
      <c r="E1233" s="3">
        <v>32</v>
      </c>
      <c r="F1233" s="3">
        <v>10.25</v>
      </c>
      <c r="G1233" s="3">
        <v>0</v>
      </c>
      <c r="H1233" s="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 s="3">
        <v>32</v>
      </c>
      <c r="N1233" s="3">
        <v>100</v>
      </c>
      <c r="O1233" s="12">
        <v>31.17723156532988</v>
      </c>
    </row>
    <row r="1234" spans="1:15" hidden="1" x14ac:dyDescent="0.25">
      <c r="A1234" s="10">
        <v>46038</v>
      </c>
      <c r="B1234" t="s">
        <v>38</v>
      </c>
      <c r="C1234" s="1" t="s">
        <v>32</v>
      </c>
      <c r="D1234" s="3">
        <v>21</v>
      </c>
      <c r="E1234" s="3">
        <v>19</v>
      </c>
      <c r="F1234" s="3">
        <v>11.5</v>
      </c>
      <c r="G1234" s="3">
        <v>0</v>
      </c>
      <c r="H1234" s="3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 s="3">
        <v>17</v>
      </c>
      <c r="N1234" s="3">
        <v>100</v>
      </c>
      <c r="O1234" s="12">
        <v>27.609427609427609</v>
      </c>
    </row>
    <row r="1235" spans="1:15" hidden="1" x14ac:dyDescent="0.25">
      <c r="A1235" s="10">
        <v>46038</v>
      </c>
      <c r="B1235" t="s">
        <v>55</v>
      </c>
      <c r="C1235" s="1" t="s">
        <v>48</v>
      </c>
      <c r="D1235" s="3">
        <v>25</v>
      </c>
      <c r="E1235" s="3">
        <v>20</v>
      </c>
      <c r="F1235" s="3">
        <v>16.440000000000001</v>
      </c>
      <c r="G1235" s="3">
        <v>0</v>
      </c>
      <c r="H1235" s="3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 s="3">
        <v>19</v>
      </c>
      <c r="N1235" s="3">
        <v>96.4</v>
      </c>
      <c r="O1235" s="12">
        <v>28.764044943820231</v>
      </c>
    </row>
    <row r="1236" spans="1:15" hidden="1" x14ac:dyDescent="0.25">
      <c r="A1236" s="10">
        <v>46038</v>
      </c>
      <c r="B1236" t="s">
        <v>39</v>
      </c>
      <c r="C1236" s="1" t="s">
        <v>32</v>
      </c>
      <c r="D1236" s="3">
        <v>0</v>
      </c>
      <c r="E1236" s="3">
        <v>0</v>
      </c>
      <c r="F1236" s="3">
        <v>0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 s="3">
        <v>19</v>
      </c>
      <c r="N1236" s="3">
        <v>100</v>
      </c>
      <c r="O1236" s="12">
        <v>33.980582524271853</v>
      </c>
    </row>
    <row r="1237" spans="1:15" hidden="1" x14ac:dyDescent="0.25">
      <c r="A1237" s="10">
        <v>46038</v>
      </c>
      <c r="B1237" t="s">
        <v>25</v>
      </c>
      <c r="C1237" s="1" t="s">
        <v>26</v>
      </c>
      <c r="D1237" s="3">
        <v>16</v>
      </c>
      <c r="E1237" s="3">
        <v>15</v>
      </c>
      <c r="F1237" s="3">
        <v>35.159999999999997</v>
      </c>
      <c r="G1237" s="3">
        <v>0</v>
      </c>
      <c r="H1237" s="3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 s="3">
        <v>15</v>
      </c>
      <c r="N1237" s="3">
        <v>97.56</v>
      </c>
      <c r="O1237" s="12">
        <v>32.515337423312893</v>
      </c>
    </row>
    <row r="1238" spans="1:15" hidden="1" x14ac:dyDescent="0.25">
      <c r="A1238" s="10">
        <v>46038</v>
      </c>
      <c r="B1238" t="s">
        <v>40</v>
      </c>
      <c r="C1238" s="1" t="s">
        <v>32</v>
      </c>
      <c r="D1238" s="3">
        <v>23</v>
      </c>
      <c r="E1238" s="3">
        <v>22</v>
      </c>
      <c r="F1238" s="3">
        <v>28.22</v>
      </c>
      <c r="G1238" s="3">
        <v>0</v>
      </c>
      <c r="H1238" s="3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 s="3">
        <v>21</v>
      </c>
      <c r="N1238" s="3">
        <v>97.11</v>
      </c>
      <c r="O1238" s="12">
        <v>37.408312958435211</v>
      </c>
    </row>
    <row r="1239" spans="1:15" hidden="1" x14ac:dyDescent="0.25">
      <c r="A1239" s="10">
        <v>46038</v>
      </c>
      <c r="B1239" t="s">
        <v>27</v>
      </c>
      <c r="C1239" s="1" t="s">
        <v>26</v>
      </c>
      <c r="D1239" s="3">
        <v>0</v>
      </c>
      <c r="E1239" s="3">
        <v>0</v>
      </c>
      <c r="F1239" s="3">
        <v>0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 s="3">
        <v>0</v>
      </c>
      <c r="N1239" s="3">
        <v>0</v>
      </c>
      <c r="O1239" s="12">
        <v>0</v>
      </c>
    </row>
    <row r="1240" spans="1:15" hidden="1" x14ac:dyDescent="0.25">
      <c r="A1240" s="10">
        <v>46038</v>
      </c>
      <c r="B1240" t="s">
        <v>41</v>
      </c>
      <c r="C1240" s="1" t="s">
        <v>32</v>
      </c>
      <c r="D1240" s="3">
        <v>30</v>
      </c>
      <c r="E1240" s="3">
        <v>27</v>
      </c>
      <c r="F1240" s="3">
        <v>13.24</v>
      </c>
      <c r="G1240" s="3">
        <v>0</v>
      </c>
      <c r="H1240" s="3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 s="3">
        <v>23</v>
      </c>
      <c r="N1240" s="3">
        <v>100</v>
      </c>
      <c r="O1240" s="12">
        <v>30.470347648261761</v>
      </c>
    </row>
    <row r="1241" spans="1:15" hidden="1" x14ac:dyDescent="0.25">
      <c r="A1241" s="10">
        <v>46038</v>
      </c>
      <c r="B1241" t="s">
        <v>56</v>
      </c>
      <c r="C1241" s="1" t="s">
        <v>48</v>
      </c>
      <c r="D1241" s="3">
        <v>30</v>
      </c>
      <c r="E1241" s="3">
        <v>28</v>
      </c>
      <c r="F1241" s="3">
        <v>16.510000000000002</v>
      </c>
      <c r="G1241" s="3">
        <v>0</v>
      </c>
      <c r="H1241" s="3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 s="3">
        <v>23</v>
      </c>
      <c r="N1241" s="3">
        <v>100</v>
      </c>
      <c r="O1241" s="12">
        <v>32.371134020618562</v>
      </c>
    </row>
    <row r="1242" spans="1:15" hidden="1" x14ac:dyDescent="0.25">
      <c r="A1242" s="10">
        <v>46038</v>
      </c>
      <c r="B1242" t="s">
        <v>57</v>
      </c>
      <c r="C1242" s="1" t="s">
        <v>48</v>
      </c>
      <c r="D1242" s="3">
        <v>22</v>
      </c>
      <c r="E1242" s="3">
        <v>21</v>
      </c>
      <c r="F1242" s="3">
        <v>18.579999999999998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 s="3">
        <v>20</v>
      </c>
      <c r="N1242" s="3">
        <v>98.32</v>
      </c>
      <c r="O1242" s="12">
        <v>32.318501170960189</v>
      </c>
    </row>
    <row r="1243" spans="1:15" hidden="1" x14ac:dyDescent="0.25">
      <c r="A1243" s="10">
        <v>46038</v>
      </c>
      <c r="B1243" t="s">
        <v>42</v>
      </c>
      <c r="C1243" s="1" t="s">
        <v>32</v>
      </c>
      <c r="D1243" s="3">
        <v>44</v>
      </c>
      <c r="E1243" s="3">
        <v>29</v>
      </c>
      <c r="F1243" s="3">
        <v>7.23</v>
      </c>
      <c r="G1243" s="3">
        <v>0</v>
      </c>
      <c r="H1243" s="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 s="3">
        <v>26</v>
      </c>
      <c r="N1243" s="3">
        <v>96.43</v>
      </c>
      <c r="O1243" s="12">
        <v>27.015250544662312</v>
      </c>
    </row>
    <row r="1244" spans="1:15" hidden="1" x14ac:dyDescent="0.25">
      <c r="A1244" s="10">
        <v>46038</v>
      </c>
      <c r="B1244" t="s">
        <v>62</v>
      </c>
      <c r="C1244" s="1" t="s">
        <v>23</v>
      </c>
      <c r="D1244" s="3">
        <v>23</v>
      </c>
      <c r="E1244" s="3">
        <v>19</v>
      </c>
      <c r="F1244" s="3">
        <v>13.39</v>
      </c>
      <c r="G1244" s="3">
        <v>0</v>
      </c>
      <c r="H1244" s="3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 s="3">
        <v>20</v>
      </c>
      <c r="N1244" s="3">
        <v>98.89</v>
      </c>
      <c r="O1244" s="12">
        <v>28.021978021978018</v>
      </c>
    </row>
    <row r="1245" spans="1:15" hidden="1" x14ac:dyDescent="0.25">
      <c r="A1245" s="10">
        <v>46038</v>
      </c>
      <c r="B1245" t="s">
        <v>19</v>
      </c>
      <c r="C1245" s="1" t="s">
        <v>16</v>
      </c>
      <c r="D1245" s="3">
        <v>4</v>
      </c>
      <c r="E1245" s="3">
        <v>4</v>
      </c>
      <c r="F1245" s="3">
        <v>52.18</v>
      </c>
      <c r="G1245" s="3">
        <v>0</v>
      </c>
      <c r="H1245" s="3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 s="3">
        <v>2</v>
      </c>
      <c r="N1245" s="3">
        <v>100</v>
      </c>
      <c r="O1245" s="12">
        <v>33.333333333333329</v>
      </c>
    </row>
    <row r="1246" spans="1:15" hidden="1" x14ac:dyDescent="0.25">
      <c r="A1246" s="10">
        <v>46038</v>
      </c>
      <c r="B1246" t="s">
        <v>43</v>
      </c>
      <c r="C1246" s="1" t="s">
        <v>32</v>
      </c>
      <c r="D1246" s="3">
        <v>0</v>
      </c>
      <c r="E1246" s="3">
        <v>0</v>
      </c>
      <c r="F1246" s="3">
        <v>0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 s="3">
        <v>0</v>
      </c>
      <c r="N1246" s="3">
        <v>100</v>
      </c>
      <c r="O1246" s="12">
        <v>27.43362831858407</v>
      </c>
    </row>
    <row r="1247" spans="1:15" hidden="1" x14ac:dyDescent="0.25">
      <c r="A1247" s="10">
        <v>46038</v>
      </c>
      <c r="B1247" t="s">
        <v>44</v>
      </c>
      <c r="C1247" s="1" t="s">
        <v>32</v>
      </c>
      <c r="D1247" s="3">
        <v>33</v>
      </c>
      <c r="E1247" s="3">
        <v>25</v>
      </c>
      <c r="F1247" s="3">
        <v>12.14</v>
      </c>
      <c r="G1247" s="3">
        <v>0</v>
      </c>
      <c r="H1247" s="3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 s="3">
        <v>24</v>
      </c>
      <c r="N1247" s="3">
        <v>98.65</v>
      </c>
      <c r="O1247" s="12">
        <v>30.978260869565219</v>
      </c>
    </row>
    <row r="1248" spans="1:15" hidden="1" x14ac:dyDescent="0.25">
      <c r="A1248" s="10">
        <v>46038</v>
      </c>
      <c r="B1248" t="s">
        <v>20</v>
      </c>
      <c r="C1248" s="1" t="s">
        <v>16</v>
      </c>
      <c r="D1248" s="3">
        <v>1</v>
      </c>
      <c r="E1248" s="3">
        <v>1</v>
      </c>
      <c r="F1248" s="3">
        <v>28.33</v>
      </c>
      <c r="G1248" s="3">
        <v>0</v>
      </c>
      <c r="H1248" s="3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 s="3">
        <v>1</v>
      </c>
      <c r="N1248" s="3">
        <v>100</v>
      </c>
      <c r="O1248" s="12">
        <v>12</v>
      </c>
    </row>
    <row r="1249" spans="1:15" hidden="1" x14ac:dyDescent="0.25">
      <c r="A1249" s="10">
        <v>46038</v>
      </c>
      <c r="B1249" t="s">
        <v>28</v>
      </c>
      <c r="C1249" s="1" t="s">
        <v>26</v>
      </c>
      <c r="D1249" s="3">
        <v>0</v>
      </c>
      <c r="E1249" s="3">
        <v>0</v>
      </c>
      <c r="F1249" s="3">
        <v>0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 s="3">
        <v>0</v>
      </c>
      <c r="N1249" s="3">
        <v>0</v>
      </c>
      <c r="O1249" s="12">
        <v>0</v>
      </c>
    </row>
    <row r="1250" spans="1:15" hidden="1" x14ac:dyDescent="0.25">
      <c r="A1250" s="10">
        <v>46038</v>
      </c>
      <c r="B1250" t="s">
        <v>58</v>
      </c>
      <c r="C1250" s="1" t="s">
        <v>48</v>
      </c>
      <c r="D1250" s="3">
        <v>0</v>
      </c>
      <c r="E1250" s="3">
        <v>0</v>
      </c>
      <c r="F1250" s="3">
        <v>0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 s="3">
        <v>0</v>
      </c>
      <c r="N1250" s="3">
        <v>97.56</v>
      </c>
      <c r="O1250" s="12">
        <v>31.067961165048541</v>
      </c>
    </row>
    <row r="1251" spans="1:15" hidden="1" x14ac:dyDescent="0.25">
      <c r="A1251" s="10">
        <v>46038</v>
      </c>
      <c r="B1251" t="s">
        <v>29</v>
      </c>
      <c r="C1251" s="1" t="s">
        <v>26</v>
      </c>
      <c r="D1251" s="3">
        <v>0</v>
      </c>
      <c r="E1251" s="3">
        <v>0</v>
      </c>
      <c r="F1251" s="3">
        <v>0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 s="3">
        <v>0</v>
      </c>
      <c r="N1251" s="3">
        <v>0</v>
      </c>
      <c r="O1251" s="12">
        <v>0</v>
      </c>
    </row>
    <row r="1252" spans="1:15" hidden="1" x14ac:dyDescent="0.25">
      <c r="A1252" s="10">
        <v>46038</v>
      </c>
      <c r="B1252" t="s">
        <v>30</v>
      </c>
      <c r="C1252" s="1" t="s">
        <v>26</v>
      </c>
      <c r="D1252" s="3">
        <v>0</v>
      </c>
      <c r="E1252" s="3">
        <v>0</v>
      </c>
      <c r="F1252" s="3">
        <v>0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 s="3">
        <v>0</v>
      </c>
      <c r="N1252" s="3">
        <v>0</v>
      </c>
      <c r="O1252" s="12">
        <v>0</v>
      </c>
    </row>
    <row r="1253" spans="1:15" hidden="1" x14ac:dyDescent="0.25">
      <c r="A1253" s="10">
        <v>46038</v>
      </c>
      <c r="B1253" t="s">
        <v>21</v>
      </c>
      <c r="C1253" s="1" t="s">
        <v>16</v>
      </c>
      <c r="D1253" s="3">
        <v>0</v>
      </c>
      <c r="E1253" s="3">
        <v>0</v>
      </c>
      <c r="F1253" s="3">
        <v>0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 s="3">
        <v>0</v>
      </c>
      <c r="N1253" s="3">
        <v>0</v>
      </c>
      <c r="O1253" s="12">
        <v>0</v>
      </c>
    </row>
    <row r="1254" spans="1:15" hidden="1" x14ac:dyDescent="0.25">
      <c r="A1254" s="10">
        <v>46038</v>
      </c>
      <c r="B1254" t="s">
        <v>63</v>
      </c>
      <c r="C1254" s="1" t="s">
        <v>23</v>
      </c>
      <c r="D1254" s="3">
        <v>0</v>
      </c>
      <c r="E1254" s="3">
        <v>0</v>
      </c>
      <c r="F1254" s="3">
        <v>0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 s="3">
        <v>0</v>
      </c>
      <c r="N1254" s="3">
        <v>100</v>
      </c>
      <c r="O1254" s="12">
        <v>53.846153846153847</v>
      </c>
    </row>
    <row r="1255" spans="1:15" hidden="1" x14ac:dyDescent="0.25">
      <c r="A1255" s="10">
        <v>46038</v>
      </c>
      <c r="B1255" t="s">
        <v>45</v>
      </c>
      <c r="C1255" s="1" t="s">
        <v>32</v>
      </c>
      <c r="D1255" s="3">
        <v>31</v>
      </c>
      <c r="E1255" s="3">
        <v>27</v>
      </c>
      <c r="F1255" s="3">
        <v>17.2</v>
      </c>
      <c r="G1255" s="3">
        <v>0</v>
      </c>
      <c r="H1255" s="3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 s="3">
        <v>27</v>
      </c>
      <c r="N1255" s="3">
        <v>100</v>
      </c>
      <c r="O1255" s="12">
        <v>44.05594405594406</v>
      </c>
    </row>
    <row r="1256" spans="1:15" hidden="1" x14ac:dyDescent="0.25">
      <c r="A1256" s="10">
        <v>46038</v>
      </c>
      <c r="B1256" t="s">
        <v>64</v>
      </c>
      <c r="C1256" s="1" t="s">
        <v>23</v>
      </c>
      <c r="D1256" s="3">
        <v>17</v>
      </c>
      <c r="E1256" s="3">
        <v>15</v>
      </c>
      <c r="F1256" s="3">
        <v>27.12</v>
      </c>
      <c r="G1256" s="3">
        <v>0</v>
      </c>
      <c r="H1256" s="3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 s="3">
        <v>11</v>
      </c>
      <c r="N1256" s="3">
        <v>100</v>
      </c>
      <c r="O1256" s="12">
        <v>31.872509960159359</v>
      </c>
    </row>
    <row r="1257" spans="1:15" hidden="1" x14ac:dyDescent="0.25">
      <c r="A1257" s="10">
        <v>46038</v>
      </c>
      <c r="B1257" t="s">
        <v>46</v>
      </c>
      <c r="C1257" s="1" t="s">
        <v>32</v>
      </c>
      <c r="D1257" s="3">
        <v>23</v>
      </c>
      <c r="E1257" s="3">
        <v>22</v>
      </c>
      <c r="F1257" s="3">
        <v>17.329999999999998</v>
      </c>
      <c r="G1257" s="3">
        <v>0</v>
      </c>
      <c r="H1257" s="3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 s="3">
        <v>21</v>
      </c>
      <c r="N1257" s="3">
        <v>98.41</v>
      </c>
      <c r="O1257" s="12">
        <v>29.22465208747515</v>
      </c>
    </row>
    <row r="1258" spans="1:15" hidden="1" x14ac:dyDescent="0.25">
      <c r="A1258" s="10">
        <v>46041</v>
      </c>
      <c r="B1258" t="s">
        <v>47</v>
      </c>
      <c r="C1258" s="1" t="s">
        <v>48</v>
      </c>
      <c r="D1258" s="3">
        <v>30</v>
      </c>
      <c r="E1258" s="3">
        <v>23</v>
      </c>
      <c r="F1258" s="3">
        <v>12.16</v>
      </c>
      <c r="G1258" s="3">
        <v>0</v>
      </c>
      <c r="H1258" s="3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 s="3">
        <v>17</v>
      </c>
      <c r="N1258" s="3">
        <v>96.81</v>
      </c>
      <c r="O1258" s="12">
        <v>27.980535279805348</v>
      </c>
    </row>
    <row r="1259" spans="1:15" hidden="1" x14ac:dyDescent="0.25">
      <c r="A1259" s="10">
        <v>46041</v>
      </c>
      <c r="B1259" t="s">
        <v>31</v>
      </c>
      <c r="C1259" s="1" t="s">
        <v>32</v>
      </c>
      <c r="D1259" s="3">
        <v>0</v>
      </c>
      <c r="E1259" s="3">
        <v>0</v>
      </c>
      <c r="F1259" s="3">
        <v>0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 s="3">
        <v>22</v>
      </c>
      <c r="N1259" s="3">
        <v>98.73</v>
      </c>
      <c r="O1259" s="12">
        <v>35.756385068762278</v>
      </c>
    </row>
    <row r="1260" spans="1:15" hidden="1" x14ac:dyDescent="0.25">
      <c r="A1260" s="10">
        <v>46041</v>
      </c>
      <c r="B1260" t="s">
        <v>59</v>
      </c>
      <c r="C1260" s="1" t="s">
        <v>23</v>
      </c>
      <c r="D1260" s="3">
        <v>17</v>
      </c>
      <c r="E1260" s="3">
        <v>15</v>
      </c>
      <c r="F1260" s="3">
        <v>27.27</v>
      </c>
      <c r="G1260" s="3">
        <v>0</v>
      </c>
      <c r="H1260" s="3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 s="3">
        <v>15</v>
      </c>
      <c r="N1260" s="3">
        <v>98.32</v>
      </c>
      <c r="O1260" s="12">
        <v>26.763485477178421</v>
      </c>
    </row>
    <row r="1261" spans="1:15" hidden="1" x14ac:dyDescent="0.25">
      <c r="A1261" s="10">
        <v>46041</v>
      </c>
      <c r="B1261" t="s">
        <v>33</v>
      </c>
      <c r="C1261" s="1" t="s">
        <v>32</v>
      </c>
      <c r="D1261" s="3">
        <v>36</v>
      </c>
      <c r="E1261" s="3">
        <v>31</v>
      </c>
      <c r="F1261" s="3">
        <v>11.43</v>
      </c>
      <c r="G1261" s="3">
        <v>0</v>
      </c>
      <c r="H1261" s="3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 s="3">
        <v>29</v>
      </c>
      <c r="N1261" s="3">
        <v>99.19</v>
      </c>
      <c r="O1261" s="12">
        <v>27.637130801687761</v>
      </c>
    </row>
    <row r="1262" spans="1:15" hidden="1" x14ac:dyDescent="0.25">
      <c r="A1262" s="10">
        <v>46041</v>
      </c>
      <c r="B1262" t="s">
        <v>15</v>
      </c>
      <c r="C1262" s="1" t="s">
        <v>16</v>
      </c>
      <c r="D1262" s="3">
        <v>7</v>
      </c>
      <c r="E1262" s="3">
        <v>7</v>
      </c>
      <c r="F1262" s="3">
        <v>46.46</v>
      </c>
      <c r="G1262" s="3">
        <v>0</v>
      </c>
      <c r="H1262" s="3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 s="3">
        <v>5</v>
      </c>
      <c r="N1262" s="3">
        <v>100</v>
      </c>
      <c r="O1262" s="12">
        <v>39.568345323741013</v>
      </c>
    </row>
    <row r="1263" spans="1:15" hidden="1" x14ac:dyDescent="0.25">
      <c r="A1263" s="10">
        <v>46041</v>
      </c>
      <c r="B1263" t="s">
        <v>49</v>
      </c>
      <c r="C1263" s="1" t="s">
        <v>48</v>
      </c>
      <c r="D1263" s="3">
        <v>25</v>
      </c>
      <c r="E1263" s="3">
        <v>24</v>
      </c>
      <c r="F1263" s="3">
        <v>18.239999999999998</v>
      </c>
      <c r="G1263" s="3">
        <v>0</v>
      </c>
      <c r="H1263" s="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 s="3">
        <v>22</v>
      </c>
      <c r="N1263" s="3">
        <v>98.54</v>
      </c>
      <c r="O1263" s="12">
        <v>28.544776119402989</v>
      </c>
    </row>
    <row r="1264" spans="1:15" hidden="1" x14ac:dyDescent="0.25">
      <c r="A1264" s="10">
        <v>46041</v>
      </c>
      <c r="B1264" t="s">
        <v>50</v>
      </c>
      <c r="C1264" s="1" t="s">
        <v>48</v>
      </c>
      <c r="D1264" s="3">
        <v>21</v>
      </c>
      <c r="E1264" s="3">
        <v>19</v>
      </c>
      <c r="F1264" s="3">
        <v>27.19</v>
      </c>
      <c r="G1264" s="3">
        <v>0</v>
      </c>
      <c r="H1264" s="3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 s="3">
        <v>19</v>
      </c>
      <c r="N1264" s="3">
        <v>100</v>
      </c>
      <c r="O1264" s="12">
        <v>34.366925064599492</v>
      </c>
    </row>
    <row r="1265" spans="1:15" hidden="1" x14ac:dyDescent="0.25">
      <c r="A1265" s="10">
        <v>46041</v>
      </c>
      <c r="B1265" t="s">
        <v>17</v>
      </c>
      <c r="C1265" s="1" t="s">
        <v>16</v>
      </c>
      <c r="D1265" s="3">
        <v>0</v>
      </c>
      <c r="E1265" s="3">
        <v>0</v>
      </c>
      <c r="F1265" s="3">
        <v>0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 s="3">
        <v>0</v>
      </c>
      <c r="N1265" s="3">
        <v>0</v>
      </c>
      <c r="O1265" s="12">
        <v>0</v>
      </c>
    </row>
    <row r="1266" spans="1:15" hidden="1" x14ac:dyDescent="0.25">
      <c r="A1266" s="10">
        <v>46041</v>
      </c>
      <c r="B1266" t="s">
        <v>60</v>
      </c>
      <c r="C1266" s="1" t="s">
        <v>23</v>
      </c>
      <c r="D1266" s="3">
        <v>13</v>
      </c>
      <c r="E1266" s="3">
        <v>12</v>
      </c>
      <c r="F1266" s="3">
        <v>25.23</v>
      </c>
      <c r="G1266" s="3">
        <v>0</v>
      </c>
      <c r="H1266" s="3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 s="3">
        <v>12</v>
      </c>
      <c r="N1266" s="3">
        <v>100</v>
      </c>
      <c r="O1266" s="12">
        <v>29.518072289156631</v>
      </c>
    </row>
    <row r="1267" spans="1:15" hidden="1" x14ac:dyDescent="0.25">
      <c r="A1267" s="10">
        <v>46041</v>
      </c>
      <c r="B1267" t="s">
        <v>34</v>
      </c>
      <c r="C1267" s="1" t="s">
        <v>32</v>
      </c>
      <c r="D1267" s="3">
        <v>14</v>
      </c>
      <c r="E1267" s="3">
        <v>11</v>
      </c>
      <c r="F1267" s="3">
        <v>12.37</v>
      </c>
      <c r="G1267" s="3">
        <v>0</v>
      </c>
      <c r="H1267" s="3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 s="3">
        <v>9</v>
      </c>
      <c r="N1267" s="3">
        <v>97.45</v>
      </c>
      <c r="O1267" s="12">
        <v>41.421143847487002</v>
      </c>
    </row>
    <row r="1268" spans="1:15" hidden="1" x14ac:dyDescent="0.25">
      <c r="A1268" s="10">
        <v>46041</v>
      </c>
      <c r="B1268" t="s">
        <v>51</v>
      </c>
      <c r="C1268" s="1" t="s">
        <v>48</v>
      </c>
      <c r="D1268" s="3">
        <v>37</v>
      </c>
      <c r="E1268" s="3">
        <v>26</v>
      </c>
      <c r="F1268" s="3">
        <v>7.1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 s="3">
        <v>23</v>
      </c>
      <c r="N1268" s="3">
        <v>96.58</v>
      </c>
      <c r="O1268" s="12">
        <v>30.396475770925111</v>
      </c>
    </row>
    <row r="1269" spans="1:15" hidden="1" x14ac:dyDescent="0.25">
      <c r="A1269" s="10">
        <v>46041</v>
      </c>
      <c r="B1269" t="s">
        <v>61</v>
      </c>
      <c r="C1269" s="1" t="s">
        <v>23</v>
      </c>
      <c r="D1269" s="3">
        <v>20</v>
      </c>
      <c r="E1269" s="3">
        <v>20</v>
      </c>
      <c r="F1269" s="3">
        <v>18.239999999999998</v>
      </c>
      <c r="G1269" s="3">
        <v>0</v>
      </c>
      <c r="H1269" s="3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 s="3">
        <v>23</v>
      </c>
      <c r="N1269" s="3">
        <v>100</v>
      </c>
      <c r="O1269" s="12">
        <v>27.44282744282744</v>
      </c>
    </row>
    <row r="1270" spans="1:15" hidden="1" x14ac:dyDescent="0.25">
      <c r="A1270" s="10">
        <v>46041</v>
      </c>
      <c r="B1270" t="s">
        <v>35</v>
      </c>
      <c r="C1270" s="1" t="s">
        <v>32</v>
      </c>
      <c r="D1270" s="3">
        <v>26</v>
      </c>
      <c r="E1270" s="3">
        <v>25</v>
      </c>
      <c r="F1270" s="3">
        <v>18.260000000000002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 s="3">
        <v>25</v>
      </c>
      <c r="N1270" s="3">
        <v>99.49</v>
      </c>
      <c r="O1270" s="12">
        <v>40.200000000000003</v>
      </c>
    </row>
    <row r="1271" spans="1:15" hidden="1" x14ac:dyDescent="0.25">
      <c r="A1271" s="10">
        <v>46041</v>
      </c>
      <c r="B1271" t="s">
        <v>18</v>
      </c>
      <c r="C1271" s="1" t="s">
        <v>16</v>
      </c>
      <c r="D1271" s="3">
        <v>0</v>
      </c>
      <c r="E1271" s="3">
        <v>0</v>
      </c>
      <c r="F1271" s="3">
        <v>0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 s="3">
        <v>0</v>
      </c>
      <c r="N1271" s="3">
        <v>100</v>
      </c>
      <c r="O1271" s="12">
        <v>25</v>
      </c>
    </row>
    <row r="1272" spans="1:15" hidden="1" x14ac:dyDescent="0.25">
      <c r="A1272" s="10">
        <v>46041</v>
      </c>
      <c r="B1272" t="s">
        <v>52</v>
      </c>
      <c r="C1272" s="1" t="s">
        <v>48</v>
      </c>
      <c r="D1272" s="3">
        <v>28</v>
      </c>
      <c r="E1272" s="3">
        <v>26</v>
      </c>
      <c r="F1272" s="3">
        <v>19.18</v>
      </c>
      <c r="G1272" s="3">
        <v>0</v>
      </c>
      <c r="H1272" s="3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 s="3">
        <v>22</v>
      </c>
      <c r="N1272" s="3">
        <v>100</v>
      </c>
      <c r="O1272" s="12">
        <v>34.15094339622641</v>
      </c>
    </row>
    <row r="1273" spans="1:15" hidden="1" x14ac:dyDescent="0.25">
      <c r="A1273" s="10">
        <v>46041</v>
      </c>
      <c r="B1273" t="s">
        <v>36</v>
      </c>
      <c r="C1273" s="1" t="s">
        <v>32</v>
      </c>
      <c r="D1273" s="3">
        <v>20</v>
      </c>
      <c r="E1273" s="3">
        <v>18</v>
      </c>
      <c r="F1273" s="3">
        <v>20.23</v>
      </c>
      <c r="G1273" s="3">
        <v>0</v>
      </c>
      <c r="H1273" s="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 s="3">
        <v>18</v>
      </c>
      <c r="N1273" s="3">
        <v>100</v>
      </c>
      <c r="O1273" s="12">
        <v>32.731376975169297</v>
      </c>
    </row>
    <row r="1274" spans="1:15" hidden="1" x14ac:dyDescent="0.25">
      <c r="A1274" s="10">
        <v>46041</v>
      </c>
      <c r="B1274" t="s">
        <v>53</v>
      </c>
      <c r="C1274" s="1" t="s">
        <v>48</v>
      </c>
      <c r="D1274" s="3">
        <v>20</v>
      </c>
      <c r="E1274" s="3">
        <v>18</v>
      </c>
      <c r="F1274" s="3">
        <v>30</v>
      </c>
      <c r="G1274" s="3">
        <v>0</v>
      </c>
      <c r="H1274" s="3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 s="3">
        <v>15</v>
      </c>
      <c r="N1274" s="3">
        <v>99.31</v>
      </c>
      <c r="O1274" s="12">
        <v>30.96234309623431</v>
      </c>
    </row>
    <row r="1275" spans="1:15" hidden="1" x14ac:dyDescent="0.25">
      <c r="A1275" s="10">
        <v>46073</v>
      </c>
      <c r="B1275" t="s">
        <v>22</v>
      </c>
      <c r="C1275" s="1" t="s">
        <v>23</v>
      </c>
      <c r="D1275" s="3">
        <v>18</v>
      </c>
      <c r="E1275" s="3">
        <v>16</v>
      </c>
      <c r="F1275" s="3">
        <v>24.08</v>
      </c>
      <c r="G1275" s="3">
        <v>0</v>
      </c>
      <c r="H1275" s="3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 s="3">
        <v>16</v>
      </c>
      <c r="N1275" s="3">
        <v>96.67</v>
      </c>
      <c r="O1275" s="12">
        <v>31.451612903225811</v>
      </c>
    </row>
    <row r="1276" spans="1:15" hidden="1" x14ac:dyDescent="0.25">
      <c r="A1276" s="10">
        <v>46041</v>
      </c>
      <c r="B1276" t="s">
        <v>54</v>
      </c>
      <c r="C1276" s="1" t="s">
        <v>48</v>
      </c>
      <c r="D1276" s="3">
        <v>20</v>
      </c>
      <c r="E1276" s="3">
        <v>20</v>
      </c>
      <c r="F1276" s="3">
        <v>29.11</v>
      </c>
      <c r="G1276" s="3">
        <v>0</v>
      </c>
      <c r="H1276" s="3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 s="3">
        <v>18</v>
      </c>
      <c r="N1276" s="3">
        <v>100</v>
      </c>
      <c r="O1276" s="12">
        <v>27.676767676767678</v>
      </c>
    </row>
    <row r="1277" spans="1:15" hidden="1" x14ac:dyDescent="0.25">
      <c r="A1277" s="10">
        <v>46041</v>
      </c>
      <c r="B1277" t="s">
        <v>37</v>
      </c>
      <c r="C1277" s="1" t="s">
        <v>32</v>
      </c>
      <c r="D1277" s="3">
        <v>32</v>
      </c>
      <c r="E1277" s="3">
        <v>26</v>
      </c>
      <c r="F1277" s="3">
        <v>12.26</v>
      </c>
      <c r="G1277" s="3">
        <v>0</v>
      </c>
      <c r="H1277" s="3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 s="3">
        <v>30</v>
      </c>
      <c r="N1277" s="3">
        <v>100</v>
      </c>
      <c r="O1277" s="12">
        <v>31.17723156532988</v>
      </c>
    </row>
    <row r="1278" spans="1:15" hidden="1" x14ac:dyDescent="0.25">
      <c r="A1278" s="10">
        <v>46041</v>
      </c>
      <c r="B1278" t="s">
        <v>38</v>
      </c>
      <c r="C1278" s="1" t="s">
        <v>32</v>
      </c>
      <c r="D1278" s="3">
        <v>19</v>
      </c>
      <c r="E1278" s="3">
        <v>17</v>
      </c>
      <c r="F1278" s="3">
        <v>8.36</v>
      </c>
      <c r="G1278" s="3">
        <v>0</v>
      </c>
      <c r="H1278" s="3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 s="3">
        <v>16</v>
      </c>
      <c r="N1278" s="3">
        <v>100</v>
      </c>
      <c r="O1278" s="12">
        <v>27.609427609427609</v>
      </c>
    </row>
    <row r="1279" spans="1:15" hidden="1" x14ac:dyDescent="0.25">
      <c r="A1279" s="10">
        <v>46041</v>
      </c>
      <c r="B1279" t="s">
        <v>55</v>
      </c>
      <c r="C1279" s="1" t="s">
        <v>48</v>
      </c>
      <c r="D1279" s="3">
        <v>29</v>
      </c>
      <c r="E1279" s="3">
        <v>23</v>
      </c>
      <c r="F1279" s="3">
        <v>16.440000000000001</v>
      </c>
      <c r="G1279" s="3">
        <v>0</v>
      </c>
      <c r="H1279" s="3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 s="3">
        <v>18</v>
      </c>
      <c r="N1279" s="3">
        <v>96.4</v>
      </c>
      <c r="O1279" s="12">
        <v>28.764044943820231</v>
      </c>
    </row>
    <row r="1280" spans="1:15" hidden="1" x14ac:dyDescent="0.25">
      <c r="A1280" s="10">
        <v>46041</v>
      </c>
      <c r="B1280" t="s">
        <v>39</v>
      </c>
      <c r="C1280" s="1" t="s">
        <v>32</v>
      </c>
      <c r="D1280" s="3">
        <v>0</v>
      </c>
      <c r="E1280" s="3">
        <v>0</v>
      </c>
      <c r="F1280" s="3">
        <v>0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 s="3">
        <v>7</v>
      </c>
      <c r="N1280" s="3">
        <v>100</v>
      </c>
      <c r="O1280" s="12">
        <v>33.980582524271853</v>
      </c>
    </row>
    <row r="1281" spans="1:15" hidden="1" x14ac:dyDescent="0.25">
      <c r="A1281" s="10">
        <v>46041</v>
      </c>
      <c r="B1281" t="s">
        <v>25</v>
      </c>
      <c r="C1281" s="1" t="s">
        <v>26</v>
      </c>
      <c r="D1281" s="3">
        <v>16</v>
      </c>
      <c r="E1281" s="3">
        <v>15</v>
      </c>
      <c r="F1281" s="3">
        <v>35.01</v>
      </c>
      <c r="G1281" s="3">
        <v>0</v>
      </c>
      <c r="H1281" s="3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 s="3">
        <v>12</v>
      </c>
      <c r="N1281" s="3">
        <v>97.56</v>
      </c>
      <c r="O1281" s="12">
        <v>32.515337423312893</v>
      </c>
    </row>
    <row r="1282" spans="1:15" hidden="1" x14ac:dyDescent="0.25">
      <c r="A1282" s="10">
        <v>46041</v>
      </c>
      <c r="B1282" t="s">
        <v>40</v>
      </c>
      <c r="C1282" s="1" t="s">
        <v>32</v>
      </c>
      <c r="D1282" s="3">
        <v>18</v>
      </c>
      <c r="E1282" s="3">
        <v>15</v>
      </c>
      <c r="F1282" s="3">
        <v>20.38</v>
      </c>
      <c r="G1282" s="3">
        <v>0</v>
      </c>
      <c r="H1282" s="3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 s="3">
        <v>18</v>
      </c>
      <c r="N1282" s="3">
        <v>97.11</v>
      </c>
      <c r="O1282" s="12">
        <v>37.408312958435211</v>
      </c>
    </row>
    <row r="1283" spans="1:15" hidden="1" x14ac:dyDescent="0.25">
      <c r="A1283" s="10">
        <v>46041</v>
      </c>
      <c r="B1283" t="s">
        <v>27</v>
      </c>
      <c r="C1283" s="1" t="s">
        <v>26</v>
      </c>
      <c r="D1283" s="3">
        <v>0</v>
      </c>
      <c r="E1283" s="3">
        <v>0</v>
      </c>
      <c r="F1283" s="3">
        <v>0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 s="3">
        <v>0</v>
      </c>
      <c r="N1283" s="3">
        <v>0</v>
      </c>
      <c r="O1283" s="12">
        <v>0</v>
      </c>
    </row>
    <row r="1284" spans="1:15" hidden="1" x14ac:dyDescent="0.25">
      <c r="A1284" s="10">
        <v>46041</v>
      </c>
      <c r="B1284" t="s">
        <v>41</v>
      </c>
      <c r="C1284" s="1" t="s">
        <v>32</v>
      </c>
      <c r="D1284" s="3">
        <v>27</v>
      </c>
      <c r="E1284" s="3">
        <v>23</v>
      </c>
      <c r="F1284" s="3">
        <v>15.25</v>
      </c>
      <c r="G1284" s="3">
        <v>0</v>
      </c>
      <c r="H1284" s="3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 s="3">
        <v>22</v>
      </c>
      <c r="N1284" s="3">
        <v>100</v>
      </c>
      <c r="O1284" s="12">
        <v>30.470347648261761</v>
      </c>
    </row>
    <row r="1285" spans="1:15" hidden="1" x14ac:dyDescent="0.25">
      <c r="A1285" s="10">
        <v>46041</v>
      </c>
      <c r="B1285" t="s">
        <v>56</v>
      </c>
      <c r="C1285" s="1" t="s">
        <v>48</v>
      </c>
      <c r="D1285" s="3">
        <v>27</v>
      </c>
      <c r="E1285" s="3">
        <v>24</v>
      </c>
      <c r="F1285" s="3">
        <v>17.32</v>
      </c>
      <c r="G1285" s="3">
        <v>0</v>
      </c>
      <c r="H1285" s="3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 s="3">
        <v>23</v>
      </c>
      <c r="N1285" s="3">
        <v>100</v>
      </c>
      <c r="O1285" s="12">
        <v>32.371134020618562</v>
      </c>
    </row>
    <row r="1286" spans="1:15" hidden="1" x14ac:dyDescent="0.25">
      <c r="A1286" s="10">
        <v>46041</v>
      </c>
      <c r="B1286" t="s">
        <v>57</v>
      </c>
      <c r="C1286" s="1" t="s">
        <v>48</v>
      </c>
      <c r="D1286" s="3">
        <v>15</v>
      </c>
      <c r="E1286" s="3">
        <v>13</v>
      </c>
      <c r="F1286" s="3">
        <v>12.11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 s="3">
        <v>11</v>
      </c>
      <c r="N1286" s="3">
        <v>98.32</v>
      </c>
      <c r="O1286" s="12">
        <v>32.318501170960189</v>
      </c>
    </row>
    <row r="1287" spans="1:15" hidden="1" x14ac:dyDescent="0.25">
      <c r="A1287" s="10">
        <v>46041</v>
      </c>
      <c r="B1287" t="s">
        <v>42</v>
      </c>
      <c r="C1287" s="1" t="s">
        <v>32</v>
      </c>
      <c r="D1287" s="3">
        <v>37</v>
      </c>
      <c r="E1287" s="3">
        <v>27</v>
      </c>
      <c r="F1287" s="3">
        <v>9</v>
      </c>
      <c r="G1287" s="3">
        <v>0</v>
      </c>
      <c r="H1287" s="3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 s="3">
        <v>17</v>
      </c>
      <c r="N1287" s="3">
        <v>96.43</v>
      </c>
      <c r="O1287" s="12">
        <v>27.015250544662312</v>
      </c>
    </row>
    <row r="1288" spans="1:15" hidden="1" x14ac:dyDescent="0.25">
      <c r="A1288" s="10">
        <v>46041</v>
      </c>
      <c r="B1288" t="s">
        <v>62</v>
      </c>
      <c r="C1288" s="1" t="s">
        <v>23</v>
      </c>
      <c r="D1288" s="3">
        <v>20</v>
      </c>
      <c r="E1288" s="3">
        <v>19</v>
      </c>
      <c r="F1288" s="3">
        <v>16.54</v>
      </c>
      <c r="G1288" s="3">
        <v>0</v>
      </c>
      <c r="H1288" s="3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 s="3">
        <v>15</v>
      </c>
      <c r="N1288" s="3">
        <v>98.89</v>
      </c>
      <c r="O1288" s="12">
        <v>28.021978021978018</v>
      </c>
    </row>
    <row r="1289" spans="1:15" hidden="1" x14ac:dyDescent="0.25">
      <c r="A1289" s="10">
        <v>46041</v>
      </c>
      <c r="B1289" t="s">
        <v>19</v>
      </c>
      <c r="C1289" s="1" t="s">
        <v>16</v>
      </c>
      <c r="D1289" s="3">
        <v>14</v>
      </c>
      <c r="E1289" s="3">
        <v>13</v>
      </c>
      <c r="F1289" s="3">
        <v>25.05</v>
      </c>
      <c r="G1289" s="3">
        <v>0</v>
      </c>
      <c r="H1289" s="3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 s="3">
        <v>9</v>
      </c>
      <c r="N1289" s="3">
        <v>100</v>
      </c>
      <c r="O1289" s="12">
        <v>33.333333333333329</v>
      </c>
    </row>
    <row r="1290" spans="1:15" hidden="1" x14ac:dyDescent="0.25">
      <c r="A1290" s="10">
        <v>46041</v>
      </c>
      <c r="B1290" t="s">
        <v>43</v>
      </c>
      <c r="C1290" s="1" t="s">
        <v>32</v>
      </c>
      <c r="D1290" s="3">
        <v>27</v>
      </c>
      <c r="E1290" s="3">
        <v>26</v>
      </c>
      <c r="F1290" s="3">
        <v>17</v>
      </c>
      <c r="G1290" s="3">
        <v>0</v>
      </c>
      <c r="H1290" s="3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 s="3">
        <v>25</v>
      </c>
      <c r="N1290" s="3">
        <v>100</v>
      </c>
      <c r="O1290" s="12">
        <v>27.43362831858407</v>
      </c>
    </row>
    <row r="1291" spans="1:15" hidden="1" x14ac:dyDescent="0.25">
      <c r="A1291" s="10">
        <v>46041</v>
      </c>
      <c r="B1291" t="s">
        <v>44</v>
      </c>
      <c r="C1291" s="1" t="s">
        <v>32</v>
      </c>
      <c r="D1291" s="3">
        <v>30</v>
      </c>
      <c r="E1291" s="3">
        <v>25</v>
      </c>
      <c r="F1291" s="3">
        <v>12.32</v>
      </c>
      <c r="G1291" s="3">
        <v>0</v>
      </c>
      <c r="H1291" s="3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 s="3">
        <v>24</v>
      </c>
      <c r="N1291" s="3">
        <v>98.65</v>
      </c>
      <c r="O1291" s="12">
        <v>30.978260869565219</v>
      </c>
    </row>
    <row r="1292" spans="1:15" hidden="1" x14ac:dyDescent="0.25">
      <c r="A1292" s="10">
        <v>46041</v>
      </c>
      <c r="B1292" t="s">
        <v>20</v>
      </c>
      <c r="C1292" s="1" t="s">
        <v>16</v>
      </c>
      <c r="D1292" s="3">
        <v>1</v>
      </c>
      <c r="E1292" s="3">
        <v>1</v>
      </c>
      <c r="F1292" s="3">
        <v>7.39</v>
      </c>
      <c r="G1292" s="3">
        <v>0</v>
      </c>
      <c r="H1292" s="3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 s="3">
        <v>1</v>
      </c>
      <c r="N1292" s="3">
        <v>100</v>
      </c>
      <c r="O1292" s="12">
        <v>12</v>
      </c>
    </row>
    <row r="1293" spans="1:15" hidden="1" x14ac:dyDescent="0.25">
      <c r="A1293" s="10">
        <v>46041</v>
      </c>
      <c r="B1293" t="s">
        <v>28</v>
      </c>
      <c r="C1293" s="1" t="s">
        <v>26</v>
      </c>
      <c r="D1293" s="3">
        <v>0</v>
      </c>
      <c r="E1293" s="3">
        <v>0</v>
      </c>
      <c r="F1293" s="3">
        <v>0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 s="3">
        <v>0</v>
      </c>
      <c r="N1293" s="3">
        <v>0</v>
      </c>
      <c r="O1293" s="12">
        <v>0</v>
      </c>
    </row>
    <row r="1294" spans="1:15" hidden="1" x14ac:dyDescent="0.25">
      <c r="A1294" s="10">
        <v>46041</v>
      </c>
      <c r="B1294" t="s">
        <v>58</v>
      </c>
      <c r="C1294" s="1" t="s">
        <v>48</v>
      </c>
      <c r="D1294" s="3">
        <v>27</v>
      </c>
      <c r="E1294" s="3">
        <v>25</v>
      </c>
      <c r="F1294" s="3">
        <v>14.14</v>
      </c>
      <c r="G1294" s="3">
        <v>0</v>
      </c>
      <c r="H1294" s="3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 s="3">
        <v>19</v>
      </c>
      <c r="N1294" s="3">
        <v>97.56</v>
      </c>
      <c r="O1294" s="12">
        <v>31.067961165048541</v>
      </c>
    </row>
    <row r="1295" spans="1:15" hidden="1" x14ac:dyDescent="0.25">
      <c r="A1295" s="10">
        <v>46041</v>
      </c>
      <c r="B1295" t="s">
        <v>29</v>
      </c>
      <c r="C1295" s="1" t="s">
        <v>26</v>
      </c>
      <c r="D1295" s="3">
        <v>0</v>
      </c>
      <c r="E1295" s="3">
        <v>0</v>
      </c>
      <c r="F1295" s="3">
        <v>0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 s="3">
        <v>0</v>
      </c>
      <c r="N1295" s="3">
        <v>0</v>
      </c>
      <c r="O1295" s="12">
        <v>0</v>
      </c>
    </row>
    <row r="1296" spans="1:15" hidden="1" x14ac:dyDescent="0.25">
      <c r="A1296" s="10">
        <v>46041</v>
      </c>
      <c r="B1296" t="s">
        <v>30</v>
      </c>
      <c r="C1296" s="1" t="s">
        <v>26</v>
      </c>
      <c r="D1296" s="3">
        <v>0</v>
      </c>
      <c r="E1296" s="3">
        <v>0</v>
      </c>
      <c r="F1296" s="3">
        <v>0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 s="3">
        <v>0</v>
      </c>
      <c r="N1296" s="3">
        <v>0</v>
      </c>
      <c r="O1296" s="12">
        <v>0</v>
      </c>
    </row>
    <row r="1297" spans="1:15" hidden="1" x14ac:dyDescent="0.25">
      <c r="A1297" s="10">
        <v>46041</v>
      </c>
      <c r="B1297" t="s">
        <v>21</v>
      </c>
      <c r="C1297" s="1" t="s">
        <v>16</v>
      </c>
      <c r="D1297" s="3">
        <v>0</v>
      </c>
      <c r="E1297" s="3">
        <v>0</v>
      </c>
      <c r="F1297" s="3">
        <v>0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 s="3">
        <v>0</v>
      </c>
      <c r="N1297" s="3">
        <v>0</v>
      </c>
      <c r="O1297" s="12">
        <v>0</v>
      </c>
    </row>
    <row r="1298" spans="1:15" hidden="1" x14ac:dyDescent="0.25">
      <c r="A1298" s="10">
        <v>46041</v>
      </c>
      <c r="B1298" t="s">
        <v>63</v>
      </c>
      <c r="C1298" s="1" t="s">
        <v>23</v>
      </c>
      <c r="D1298" s="3">
        <v>0</v>
      </c>
      <c r="E1298" s="3">
        <v>0</v>
      </c>
      <c r="F1298" s="3">
        <v>0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 s="3">
        <v>0</v>
      </c>
      <c r="N1298" s="3">
        <v>100</v>
      </c>
      <c r="O1298" s="12">
        <v>53.846153846153847</v>
      </c>
    </row>
    <row r="1299" spans="1:15" hidden="1" x14ac:dyDescent="0.25">
      <c r="A1299" s="10">
        <v>46041</v>
      </c>
      <c r="B1299" t="s">
        <v>45</v>
      </c>
      <c r="C1299" s="1" t="s">
        <v>32</v>
      </c>
      <c r="D1299" s="3">
        <v>0</v>
      </c>
      <c r="E1299" s="3">
        <v>0</v>
      </c>
      <c r="F1299" s="3">
        <v>0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 s="3">
        <v>0</v>
      </c>
      <c r="N1299" s="3">
        <v>100</v>
      </c>
      <c r="O1299" s="12">
        <v>44.05594405594406</v>
      </c>
    </row>
    <row r="1300" spans="1:15" hidden="1" x14ac:dyDescent="0.25">
      <c r="A1300" s="10">
        <v>46041</v>
      </c>
      <c r="B1300" t="s">
        <v>64</v>
      </c>
      <c r="C1300" s="1" t="s">
        <v>23</v>
      </c>
      <c r="D1300" s="3">
        <v>10</v>
      </c>
      <c r="E1300" s="3">
        <v>9</v>
      </c>
      <c r="F1300" s="3">
        <v>52.36</v>
      </c>
      <c r="G1300" s="3">
        <v>0</v>
      </c>
      <c r="H1300" s="3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 s="3">
        <v>8</v>
      </c>
      <c r="N1300" s="3">
        <v>100</v>
      </c>
      <c r="O1300" s="12">
        <v>31.872509960159359</v>
      </c>
    </row>
    <row r="1301" spans="1:15" hidden="1" x14ac:dyDescent="0.25">
      <c r="A1301" s="10">
        <v>46041</v>
      </c>
      <c r="B1301" t="s">
        <v>46</v>
      </c>
      <c r="C1301" s="1" t="s">
        <v>32</v>
      </c>
      <c r="D1301" s="3">
        <v>23</v>
      </c>
      <c r="E1301" s="3">
        <v>21</v>
      </c>
      <c r="F1301" s="3">
        <v>15</v>
      </c>
      <c r="G1301" s="3">
        <v>0</v>
      </c>
      <c r="H1301" s="3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 s="3">
        <v>20</v>
      </c>
      <c r="N1301" s="3">
        <v>98.41</v>
      </c>
      <c r="O1301" s="12">
        <v>29.22465208747515</v>
      </c>
    </row>
    <row r="1302" spans="1:15" hidden="1" x14ac:dyDescent="0.25">
      <c r="A1302" s="10">
        <v>46042</v>
      </c>
      <c r="B1302" t="s">
        <v>47</v>
      </c>
      <c r="C1302" s="1" t="s">
        <v>48</v>
      </c>
      <c r="D1302" s="3">
        <v>28</v>
      </c>
      <c r="E1302" s="3">
        <v>23</v>
      </c>
      <c r="F1302" s="3">
        <v>10.55</v>
      </c>
      <c r="G1302" s="3">
        <v>0</v>
      </c>
      <c r="H1302" s="3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 s="3">
        <v>17</v>
      </c>
      <c r="N1302" s="3">
        <v>96.81</v>
      </c>
      <c r="O1302" s="12">
        <v>27.980535279805348</v>
      </c>
    </row>
    <row r="1303" spans="1:15" hidden="1" x14ac:dyDescent="0.25">
      <c r="A1303" s="10">
        <v>46042</v>
      </c>
      <c r="B1303" t="s">
        <v>31</v>
      </c>
      <c r="C1303" s="1" t="s">
        <v>32</v>
      </c>
      <c r="D1303" s="3">
        <v>0</v>
      </c>
      <c r="E1303" s="3">
        <v>0</v>
      </c>
      <c r="F1303" s="3">
        <v>0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 s="3">
        <v>19</v>
      </c>
      <c r="N1303" s="3">
        <v>98.73</v>
      </c>
      <c r="O1303" s="12">
        <v>35.756385068762278</v>
      </c>
    </row>
    <row r="1304" spans="1:15" hidden="1" x14ac:dyDescent="0.25">
      <c r="A1304" s="10">
        <v>46042</v>
      </c>
      <c r="B1304" t="s">
        <v>59</v>
      </c>
      <c r="C1304" s="1" t="s">
        <v>23</v>
      </c>
      <c r="D1304" s="3">
        <v>25</v>
      </c>
      <c r="E1304" s="3">
        <v>21</v>
      </c>
      <c r="F1304" s="3">
        <v>15.4</v>
      </c>
      <c r="G1304" s="3">
        <v>0</v>
      </c>
      <c r="H1304" s="3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 s="3">
        <v>21</v>
      </c>
      <c r="N1304" s="3">
        <v>98.32</v>
      </c>
      <c r="O1304" s="12">
        <v>26.763485477178421</v>
      </c>
    </row>
    <row r="1305" spans="1:15" hidden="1" x14ac:dyDescent="0.25">
      <c r="A1305" s="10">
        <v>46042</v>
      </c>
      <c r="B1305" t="s">
        <v>33</v>
      </c>
      <c r="C1305" s="1" t="s">
        <v>32</v>
      </c>
      <c r="D1305" s="3">
        <v>19</v>
      </c>
      <c r="E1305" s="3">
        <v>18</v>
      </c>
      <c r="F1305" s="3">
        <v>25.55</v>
      </c>
      <c r="G1305" s="3">
        <v>0</v>
      </c>
      <c r="H1305" s="3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 s="3">
        <v>15</v>
      </c>
      <c r="N1305" s="3">
        <v>99.19</v>
      </c>
      <c r="O1305" s="12">
        <v>27.637130801687761</v>
      </c>
    </row>
    <row r="1306" spans="1:15" hidden="1" x14ac:dyDescent="0.25">
      <c r="A1306" s="10">
        <v>46042</v>
      </c>
      <c r="B1306" t="s">
        <v>15</v>
      </c>
      <c r="C1306" s="1" t="s">
        <v>16</v>
      </c>
      <c r="D1306" s="3">
        <v>8</v>
      </c>
      <c r="E1306" s="3">
        <v>8</v>
      </c>
      <c r="F1306" s="3">
        <v>27.13</v>
      </c>
      <c r="G1306" s="3">
        <v>0</v>
      </c>
      <c r="H1306" s="3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 s="3">
        <v>8</v>
      </c>
      <c r="N1306" s="3">
        <v>100</v>
      </c>
      <c r="O1306" s="12">
        <v>39.568345323741013</v>
      </c>
    </row>
    <row r="1307" spans="1:15" hidden="1" x14ac:dyDescent="0.25">
      <c r="A1307" s="10">
        <v>46042</v>
      </c>
      <c r="B1307" t="s">
        <v>49</v>
      </c>
      <c r="C1307" s="1" t="s">
        <v>48</v>
      </c>
      <c r="D1307" s="3">
        <v>19</v>
      </c>
      <c r="E1307" s="3">
        <v>18</v>
      </c>
      <c r="F1307" s="3">
        <v>14.02</v>
      </c>
      <c r="G1307" s="3">
        <v>0</v>
      </c>
      <c r="H1307" s="3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 s="3">
        <v>20</v>
      </c>
      <c r="N1307" s="3">
        <v>98.54</v>
      </c>
      <c r="O1307" s="12">
        <v>28.544776119402989</v>
      </c>
    </row>
    <row r="1308" spans="1:15" hidden="1" x14ac:dyDescent="0.25">
      <c r="A1308" s="10">
        <v>46042</v>
      </c>
      <c r="B1308" t="s">
        <v>50</v>
      </c>
      <c r="C1308" s="1" t="s">
        <v>48</v>
      </c>
      <c r="D1308" s="3">
        <v>19</v>
      </c>
      <c r="E1308" s="3">
        <v>17</v>
      </c>
      <c r="F1308" s="3">
        <v>21.53</v>
      </c>
      <c r="G1308" s="3">
        <v>0</v>
      </c>
      <c r="H1308" s="3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 s="3">
        <v>19</v>
      </c>
      <c r="N1308" s="3">
        <v>100</v>
      </c>
      <c r="O1308" s="12">
        <v>34.366925064599492</v>
      </c>
    </row>
    <row r="1309" spans="1:15" hidden="1" x14ac:dyDescent="0.25">
      <c r="A1309" s="10">
        <v>46042</v>
      </c>
      <c r="B1309" t="s">
        <v>17</v>
      </c>
      <c r="C1309" s="1" t="s">
        <v>16</v>
      </c>
      <c r="D1309" s="3">
        <v>0</v>
      </c>
      <c r="E1309" s="3">
        <v>0</v>
      </c>
      <c r="F1309" s="3">
        <v>0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 s="3">
        <v>0</v>
      </c>
      <c r="N1309" s="3">
        <v>0</v>
      </c>
      <c r="O1309" s="12">
        <v>0</v>
      </c>
    </row>
    <row r="1310" spans="1:15" hidden="1" x14ac:dyDescent="0.25">
      <c r="A1310" s="10">
        <v>46042</v>
      </c>
      <c r="B1310" t="s">
        <v>60</v>
      </c>
      <c r="C1310" s="1" t="s">
        <v>23</v>
      </c>
      <c r="D1310" s="3">
        <v>16</v>
      </c>
      <c r="E1310" s="3">
        <v>16</v>
      </c>
      <c r="F1310" s="3">
        <v>32.04</v>
      </c>
      <c r="G1310" s="3">
        <v>0</v>
      </c>
      <c r="H1310" s="3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 s="3">
        <v>13</v>
      </c>
      <c r="N1310" s="3">
        <v>100</v>
      </c>
      <c r="O1310" s="12">
        <v>29.518072289156631</v>
      </c>
    </row>
    <row r="1311" spans="1:15" hidden="1" x14ac:dyDescent="0.25">
      <c r="A1311" s="10">
        <v>46042</v>
      </c>
      <c r="B1311" t="s">
        <v>34</v>
      </c>
      <c r="C1311" s="1" t="s">
        <v>32</v>
      </c>
      <c r="D1311" s="3">
        <v>25</v>
      </c>
      <c r="E1311" s="3">
        <v>24</v>
      </c>
      <c r="F1311" s="3">
        <v>14.12</v>
      </c>
      <c r="G1311" s="3">
        <v>0</v>
      </c>
      <c r="H1311" s="3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 s="3">
        <v>22</v>
      </c>
      <c r="N1311" s="3">
        <v>97.45</v>
      </c>
      <c r="O1311" s="12">
        <v>41.421143847487002</v>
      </c>
    </row>
    <row r="1312" spans="1:15" hidden="1" x14ac:dyDescent="0.25">
      <c r="A1312" s="10">
        <v>46042</v>
      </c>
      <c r="B1312" t="s">
        <v>51</v>
      </c>
      <c r="C1312" s="1" t="s">
        <v>48</v>
      </c>
      <c r="D1312" s="3">
        <v>29</v>
      </c>
      <c r="E1312" s="3">
        <v>20</v>
      </c>
      <c r="F1312" s="3">
        <v>8.26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 s="3">
        <v>21</v>
      </c>
      <c r="N1312" s="3">
        <v>96.58</v>
      </c>
      <c r="O1312" s="12">
        <v>30.396475770925111</v>
      </c>
    </row>
    <row r="1313" spans="1:15" hidden="1" x14ac:dyDescent="0.25">
      <c r="A1313" s="10">
        <v>46042</v>
      </c>
      <c r="B1313" t="s">
        <v>61</v>
      </c>
      <c r="C1313" s="1" t="s">
        <v>23</v>
      </c>
      <c r="D1313" s="3">
        <v>20</v>
      </c>
      <c r="E1313" s="3">
        <v>17</v>
      </c>
      <c r="F1313" s="3">
        <v>22.01</v>
      </c>
      <c r="G1313" s="3">
        <v>0</v>
      </c>
      <c r="H1313" s="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 s="3">
        <v>18</v>
      </c>
      <c r="N1313" s="3">
        <v>100</v>
      </c>
      <c r="O1313" s="12">
        <v>27.44282744282744</v>
      </c>
    </row>
    <row r="1314" spans="1:15" hidden="1" x14ac:dyDescent="0.25">
      <c r="A1314" s="10">
        <v>46042</v>
      </c>
      <c r="B1314" t="s">
        <v>35</v>
      </c>
      <c r="C1314" s="1" t="s">
        <v>32</v>
      </c>
      <c r="D1314" s="3">
        <v>17</v>
      </c>
      <c r="E1314" s="3">
        <v>17</v>
      </c>
      <c r="F1314" s="3">
        <v>30.1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 s="3">
        <v>19</v>
      </c>
      <c r="N1314" s="3">
        <v>99.49</v>
      </c>
      <c r="O1314" s="12">
        <v>40.200000000000003</v>
      </c>
    </row>
    <row r="1315" spans="1:15" hidden="1" x14ac:dyDescent="0.25">
      <c r="A1315" s="10">
        <v>46042</v>
      </c>
      <c r="B1315" t="s">
        <v>18</v>
      </c>
      <c r="C1315" s="1" t="s">
        <v>16</v>
      </c>
      <c r="D1315" s="3">
        <v>0</v>
      </c>
      <c r="E1315" s="3">
        <v>0</v>
      </c>
      <c r="F1315" s="3">
        <v>0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 s="3">
        <v>0</v>
      </c>
      <c r="N1315" s="3">
        <v>100</v>
      </c>
      <c r="O1315" s="12">
        <v>25</v>
      </c>
    </row>
    <row r="1316" spans="1:15" hidden="1" x14ac:dyDescent="0.25">
      <c r="A1316" s="10">
        <v>46042</v>
      </c>
      <c r="B1316" t="s">
        <v>52</v>
      </c>
      <c r="C1316" s="1" t="s">
        <v>48</v>
      </c>
      <c r="D1316" s="3">
        <v>22</v>
      </c>
      <c r="E1316" s="3">
        <v>20</v>
      </c>
      <c r="F1316" s="3">
        <v>20.53</v>
      </c>
      <c r="G1316" s="3">
        <v>0</v>
      </c>
      <c r="H1316" s="3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 s="3">
        <v>21</v>
      </c>
      <c r="N1316" s="3">
        <v>100</v>
      </c>
      <c r="O1316" s="12">
        <v>34.15094339622641</v>
      </c>
    </row>
    <row r="1317" spans="1:15" hidden="1" x14ac:dyDescent="0.25">
      <c r="A1317" s="10">
        <v>46042</v>
      </c>
      <c r="B1317" t="s">
        <v>36</v>
      </c>
      <c r="C1317" s="1" t="s">
        <v>32</v>
      </c>
      <c r="D1317" s="3">
        <v>16</v>
      </c>
      <c r="E1317" s="3">
        <v>12</v>
      </c>
      <c r="F1317" s="3">
        <v>12.35</v>
      </c>
      <c r="G1317" s="3">
        <v>0</v>
      </c>
      <c r="H1317" s="3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 s="3">
        <v>16</v>
      </c>
      <c r="N1317" s="3">
        <v>100</v>
      </c>
      <c r="O1317" s="12">
        <v>32.731376975169297</v>
      </c>
    </row>
    <row r="1318" spans="1:15" hidden="1" x14ac:dyDescent="0.25">
      <c r="A1318" s="10">
        <v>46042</v>
      </c>
      <c r="B1318" t="s">
        <v>53</v>
      </c>
      <c r="C1318" s="1" t="s">
        <v>48</v>
      </c>
      <c r="D1318" s="3">
        <v>21</v>
      </c>
      <c r="E1318" s="3">
        <v>21</v>
      </c>
      <c r="F1318" s="3">
        <v>20.39</v>
      </c>
      <c r="G1318" s="3">
        <v>0</v>
      </c>
      <c r="H1318" s="3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 s="3">
        <v>19</v>
      </c>
      <c r="N1318" s="3">
        <v>99.31</v>
      </c>
      <c r="O1318" s="12">
        <v>30.96234309623431</v>
      </c>
    </row>
    <row r="1319" spans="1:15" hidden="1" x14ac:dyDescent="0.25">
      <c r="A1319" s="10">
        <v>46076</v>
      </c>
      <c r="B1319" t="s">
        <v>22</v>
      </c>
      <c r="C1319" s="1" t="s">
        <v>23</v>
      </c>
      <c r="D1319" s="3">
        <v>18</v>
      </c>
      <c r="E1319" s="3">
        <v>16</v>
      </c>
      <c r="F1319" s="3">
        <v>30.38</v>
      </c>
      <c r="G1319" s="3">
        <v>0</v>
      </c>
      <c r="H1319" s="3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 s="3">
        <v>16</v>
      </c>
      <c r="N1319" s="3">
        <v>96.67</v>
      </c>
      <c r="O1319" s="12">
        <v>31.451612903225811</v>
      </c>
    </row>
    <row r="1320" spans="1:15" hidden="1" x14ac:dyDescent="0.25">
      <c r="A1320" s="10">
        <v>46042</v>
      </c>
      <c r="B1320" t="s">
        <v>54</v>
      </c>
      <c r="C1320" s="1" t="s">
        <v>48</v>
      </c>
      <c r="D1320" s="3">
        <v>18</v>
      </c>
      <c r="E1320" s="3">
        <v>18</v>
      </c>
      <c r="F1320" s="3">
        <v>28.43</v>
      </c>
      <c r="G1320" s="3">
        <v>0</v>
      </c>
      <c r="H1320" s="3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 s="3">
        <v>18</v>
      </c>
      <c r="N1320" s="3">
        <v>100</v>
      </c>
      <c r="O1320" s="12">
        <v>27.676767676767678</v>
      </c>
    </row>
    <row r="1321" spans="1:15" hidden="1" x14ac:dyDescent="0.25">
      <c r="A1321" s="10">
        <v>46042</v>
      </c>
      <c r="B1321" t="s">
        <v>37</v>
      </c>
      <c r="C1321" s="1" t="s">
        <v>32</v>
      </c>
      <c r="D1321" s="3">
        <v>32</v>
      </c>
      <c r="E1321" s="3">
        <v>29</v>
      </c>
      <c r="F1321" s="3">
        <v>12.31</v>
      </c>
      <c r="G1321" s="3">
        <v>0</v>
      </c>
      <c r="H1321" s="3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 s="3">
        <v>29</v>
      </c>
      <c r="N1321" s="3">
        <v>100</v>
      </c>
      <c r="O1321" s="12">
        <v>31.17723156532988</v>
      </c>
    </row>
    <row r="1322" spans="1:15" hidden="1" x14ac:dyDescent="0.25">
      <c r="A1322" s="10">
        <v>46042</v>
      </c>
      <c r="B1322" t="s">
        <v>38</v>
      </c>
      <c r="C1322" s="1" t="s">
        <v>32</v>
      </c>
      <c r="D1322" s="3">
        <v>11</v>
      </c>
      <c r="E1322" s="3">
        <v>11</v>
      </c>
      <c r="F1322" s="3">
        <v>22.13</v>
      </c>
      <c r="G1322" s="3">
        <v>0</v>
      </c>
      <c r="H1322" s="3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 s="3">
        <v>8</v>
      </c>
      <c r="N1322" s="3">
        <v>100</v>
      </c>
      <c r="O1322" s="12">
        <v>27.609427609427609</v>
      </c>
    </row>
    <row r="1323" spans="1:15" hidden="1" x14ac:dyDescent="0.25">
      <c r="A1323" s="10">
        <v>46042</v>
      </c>
      <c r="B1323" t="s">
        <v>55</v>
      </c>
      <c r="C1323" s="1" t="s">
        <v>48</v>
      </c>
      <c r="D1323" s="3">
        <v>28</v>
      </c>
      <c r="E1323" s="3">
        <v>22</v>
      </c>
      <c r="F1323" s="3">
        <v>10.45</v>
      </c>
      <c r="G1323" s="3">
        <v>0</v>
      </c>
      <c r="H1323" s="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 s="3">
        <v>20</v>
      </c>
      <c r="N1323" s="3">
        <v>96.4</v>
      </c>
      <c r="O1323" s="12">
        <v>28.764044943820231</v>
      </c>
    </row>
    <row r="1324" spans="1:15" hidden="1" x14ac:dyDescent="0.25">
      <c r="A1324" s="10">
        <v>46042</v>
      </c>
      <c r="B1324" t="s">
        <v>39</v>
      </c>
      <c r="C1324" s="1" t="s">
        <v>32</v>
      </c>
      <c r="D1324" s="3">
        <v>0</v>
      </c>
      <c r="E1324" s="3">
        <v>0</v>
      </c>
      <c r="F1324" s="3">
        <v>0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 s="3">
        <v>0</v>
      </c>
      <c r="N1324" s="3">
        <v>100</v>
      </c>
      <c r="O1324" s="12">
        <v>33.980582524271853</v>
      </c>
    </row>
    <row r="1325" spans="1:15" hidden="1" x14ac:dyDescent="0.25">
      <c r="A1325" s="10">
        <v>46042</v>
      </c>
      <c r="B1325" t="s">
        <v>25</v>
      </c>
      <c r="C1325" s="1" t="s">
        <v>26</v>
      </c>
      <c r="D1325" s="3">
        <v>11</v>
      </c>
      <c r="E1325" s="3">
        <v>10</v>
      </c>
      <c r="F1325" s="3">
        <v>32.28</v>
      </c>
      <c r="G1325" s="3">
        <v>0</v>
      </c>
      <c r="H1325" s="3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 s="3">
        <v>8</v>
      </c>
      <c r="N1325" s="3">
        <v>97.56</v>
      </c>
      <c r="O1325" s="12">
        <v>32.515337423312893</v>
      </c>
    </row>
    <row r="1326" spans="1:15" hidden="1" x14ac:dyDescent="0.25">
      <c r="A1326" s="10">
        <v>46042</v>
      </c>
      <c r="B1326" t="s">
        <v>40</v>
      </c>
      <c r="C1326" s="1" t="s">
        <v>32</v>
      </c>
      <c r="D1326" s="3">
        <v>15</v>
      </c>
      <c r="E1326" s="3">
        <v>15</v>
      </c>
      <c r="F1326" s="3">
        <v>25.47</v>
      </c>
      <c r="G1326" s="3">
        <v>0</v>
      </c>
      <c r="H1326" s="3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 s="3">
        <v>12</v>
      </c>
      <c r="N1326" s="3">
        <v>97.11</v>
      </c>
      <c r="O1326" s="12">
        <v>37.408312958435211</v>
      </c>
    </row>
    <row r="1327" spans="1:15" hidden="1" x14ac:dyDescent="0.25">
      <c r="A1327" s="10">
        <v>46042</v>
      </c>
      <c r="B1327" t="s">
        <v>27</v>
      </c>
      <c r="C1327" s="1" t="s">
        <v>26</v>
      </c>
      <c r="D1327" s="3">
        <v>0</v>
      </c>
      <c r="E1327" s="3">
        <v>0</v>
      </c>
      <c r="F1327" s="3">
        <v>0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 s="3">
        <v>0</v>
      </c>
      <c r="N1327" s="3">
        <v>0</v>
      </c>
      <c r="O1327" s="12">
        <v>0</v>
      </c>
    </row>
    <row r="1328" spans="1:15" hidden="1" x14ac:dyDescent="0.25">
      <c r="A1328" s="10">
        <v>46042</v>
      </c>
      <c r="B1328" t="s">
        <v>41</v>
      </c>
      <c r="C1328" s="1" t="s">
        <v>32</v>
      </c>
      <c r="D1328" s="3">
        <v>25</v>
      </c>
      <c r="E1328" s="3">
        <v>23</v>
      </c>
      <c r="F1328" s="3">
        <v>12.31</v>
      </c>
      <c r="G1328" s="3">
        <v>0</v>
      </c>
      <c r="H1328" s="3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 s="3">
        <v>19</v>
      </c>
      <c r="N1328" s="3">
        <v>100</v>
      </c>
      <c r="O1328" s="12">
        <v>30.470347648261761</v>
      </c>
    </row>
    <row r="1329" spans="1:15" hidden="1" x14ac:dyDescent="0.25">
      <c r="A1329" s="10">
        <v>46042</v>
      </c>
      <c r="B1329" t="s">
        <v>56</v>
      </c>
      <c r="C1329" s="1" t="s">
        <v>48</v>
      </c>
      <c r="D1329" s="3">
        <v>17</v>
      </c>
      <c r="E1329" s="3">
        <v>17</v>
      </c>
      <c r="F1329" s="3">
        <v>27.18</v>
      </c>
      <c r="G1329" s="3">
        <v>0</v>
      </c>
      <c r="H1329" s="3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 s="3">
        <v>15</v>
      </c>
      <c r="N1329" s="3">
        <v>100</v>
      </c>
      <c r="O1329" s="12">
        <v>32.371134020618562</v>
      </c>
    </row>
    <row r="1330" spans="1:15" hidden="1" x14ac:dyDescent="0.25">
      <c r="A1330" s="10">
        <v>46042</v>
      </c>
      <c r="B1330" t="s">
        <v>57</v>
      </c>
      <c r="C1330" s="1" t="s">
        <v>48</v>
      </c>
      <c r="D1330" s="3">
        <v>25</v>
      </c>
      <c r="E1330" s="3">
        <v>24</v>
      </c>
      <c r="F1330" s="3">
        <v>19.16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 s="3">
        <v>17</v>
      </c>
      <c r="N1330" s="3">
        <v>98.32</v>
      </c>
      <c r="O1330" s="12">
        <v>32.318501170960189</v>
      </c>
    </row>
    <row r="1331" spans="1:15" hidden="1" x14ac:dyDescent="0.25">
      <c r="A1331" s="10">
        <v>46042</v>
      </c>
      <c r="B1331" t="s">
        <v>42</v>
      </c>
      <c r="C1331" s="1" t="s">
        <v>32</v>
      </c>
      <c r="D1331" s="3">
        <v>16</v>
      </c>
      <c r="E1331" s="3">
        <v>10</v>
      </c>
      <c r="F1331" s="3">
        <v>5.29</v>
      </c>
      <c r="G1331" s="3">
        <v>0</v>
      </c>
      <c r="H1331" s="3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 s="3">
        <v>7</v>
      </c>
      <c r="N1331" s="3">
        <v>96.43</v>
      </c>
      <c r="O1331" s="12">
        <v>27.015250544662312</v>
      </c>
    </row>
    <row r="1332" spans="1:15" hidden="1" x14ac:dyDescent="0.25">
      <c r="A1332" s="10">
        <v>46042</v>
      </c>
      <c r="B1332" t="s">
        <v>62</v>
      </c>
      <c r="C1332" s="1" t="s">
        <v>23</v>
      </c>
      <c r="D1332" s="3">
        <v>17</v>
      </c>
      <c r="E1332" s="3">
        <v>17</v>
      </c>
      <c r="F1332" s="3">
        <v>28.35</v>
      </c>
      <c r="G1332" s="3">
        <v>0</v>
      </c>
      <c r="H1332" s="3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 s="3">
        <v>15</v>
      </c>
      <c r="N1332" s="3">
        <v>98.89</v>
      </c>
      <c r="O1332" s="12">
        <v>28.021978021978018</v>
      </c>
    </row>
    <row r="1333" spans="1:15" hidden="1" x14ac:dyDescent="0.25">
      <c r="A1333" s="10">
        <v>46042</v>
      </c>
      <c r="B1333" t="s">
        <v>19</v>
      </c>
      <c r="C1333" s="1" t="s">
        <v>16</v>
      </c>
      <c r="D1333" s="3">
        <v>4</v>
      </c>
      <c r="E1333" s="3">
        <v>4</v>
      </c>
      <c r="F1333" s="3">
        <v>190.33</v>
      </c>
      <c r="G1333" s="3">
        <v>0</v>
      </c>
      <c r="H1333" s="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 s="3">
        <v>3</v>
      </c>
      <c r="N1333" s="3">
        <v>100</v>
      </c>
      <c r="O1333" s="12">
        <v>33.333333333333329</v>
      </c>
    </row>
    <row r="1334" spans="1:15" hidden="1" x14ac:dyDescent="0.25">
      <c r="A1334" s="10">
        <v>46042</v>
      </c>
      <c r="B1334" t="s">
        <v>43</v>
      </c>
      <c r="C1334" s="1" t="s">
        <v>32</v>
      </c>
      <c r="D1334" s="3">
        <v>25</v>
      </c>
      <c r="E1334" s="3">
        <v>24</v>
      </c>
      <c r="F1334" s="3">
        <v>15.43</v>
      </c>
      <c r="G1334" s="3">
        <v>0</v>
      </c>
      <c r="H1334" s="3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 s="3">
        <v>22</v>
      </c>
      <c r="N1334" s="3">
        <v>100</v>
      </c>
      <c r="O1334" s="12">
        <v>27.43362831858407</v>
      </c>
    </row>
    <row r="1335" spans="1:15" hidden="1" x14ac:dyDescent="0.25">
      <c r="A1335" s="10">
        <v>46042</v>
      </c>
      <c r="B1335" t="s">
        <v>44</v>
      </c>
      <c r="C1335" s="1" t="s">
        <v>32</v>
      </c>
      <c r="D1335" s="3">
        <v>32</v>
      </c>
      <c r="E1335" s="3">
        <v>24</v>
      </c>
      <c r="F1335" s="3">
        <v>10.57</v>
      </c>
      <c r="G1335" s="3">
        <v>0</v>
      </c>
      <c r="H1335" s="3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 s="3">
        <v>24</v>
      </c>
      <c r="N1335" s="3">
        <v>98.65</v>
      </c>
      <c r="O1335" s="12">
        <v>30.978260869565219</v>
      </c>
    </row>
    <row r="1336" spans="1:15" hidden="1" x14ac:dyDescent="0.25">
      <c r="A1336" s="10">
        <v>46042</v>
      </c>
      <c r="B1336" t="s">
        <v>20</v>
      </c>
      <c r="C1336" s="1" t="s">
        <v>16</v>
      </c>
      <c r="D1336" s="3">
        <v>0</v>
      </c>
      <c r="E1336" s="3">
        <v>0</v>
      </c>
      <c r="F1336" s="3">
        <v>0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 s="3">
        <v>0</v>
      </c>
      <c r="N1336" s="3">
        <v>100</v>
      </c>
      <c r="O1336" s="12">
        <v>12</v>
      </c>
    </row>
    <row r="1337" spans="1:15" hidden="1" x14ac:dyDescent="0.25">
      <c r="A1337" s="10">
        <v>46042</v>
      </c>
      <c r="B1337" t="s">
        <v>28</v>
      </c>
      <c r="C1337" s="1" t="s">
        <v>26</v>
      </c>
      <c r="D1337" s="3">
        <v>0</v>
      </c>
      <c r="E1337" s="3">
        <v>0</v>
      </c>
      <c r="F1337" s="3">
        <v>0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 s="3">
        <v>0</v>
      </c>
      <c r="N1337" s="3">
        <v>0</v>
      </c>
      <c r="O1337" s="12">
        <v>0</v>
      </c>
    </row>
    <row r="1338" spans="1:15" hidden="1" x14ac:dyDescent="0.25">
      <c r="A1338" s="10">
        <v>46042</v>
      </c>
      <c r="B1338" t="s">
        <v>58</v>
      </c>
      <c r="C1338" s="1" t="s">
        <v>48</v>
      </c>
      <c r="D1338" s="3">
        <v>18</v>
      </c>
      <c r="E1338" s="3">
        <v>16</v>
      </c>
      <c r="F1338" s="3">
        <v>26.44</v>
      </c>
      <c r="G1338" s="3">
        <v>0</v>
      </c>
      <c r="H1338" s="3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 s="3">
        <v>14</v>
      </c>
      <c r="N1338" s="3">
        <v>97.56</v>
      </c>
      <c r="O1338" s="12">
        <v>31.067961165048541</v>
      </c>
    </row>
    <row r="1339" spans="1:15" hidden="1" x14ac:dyDescent="0.25">
      <c r="A1339" s="10">
        <v>46042</v>
      </c>
      <c r="B1339" t="s">
        <v>29</v>
      </c>
      <c r="C1339" s="1" t="s">
        <v>26</v>
      </c>
      <c r="D1339" s="3">
        <v>0</v>
      </c>
      <c r="E1339" s="3">
        <v>0</v>
      </c>
      <c r="F1339" s="3">
        <v>0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 s="3">
        <v>0</v>
      </c>
      <c r="N1339" s="3">
        <v>0</v>
      </c>
      <c r="O1339" s="12">
        <v>0</v>
      </c>
    </row>
    <row r="1340" spans="1:15" hidden="1" x14ac:dyDescent="0.25">
      <c r="A1340" s="10">
        <v>46042</v>
      </c>
      <c r="B1340" t="s">
        <v>30</v>
      </c>
      <c r="C1340" s="1" t="s">
        <v>26</v>
      </c>
      <c r="D1340" s="3">
        <v>0</v>
      </c>
      <c r="E1340" s="3">
        <v>0</v>
      </c>
      <c r="F1340" s="3">
        <v>0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 s="3">
        <v>0</v>
      </c>
      <c r="N1340" s="3">
        <v>0</v>
      </c>
      <c r="O1340" s="12">
        <v>0</v>
      </c>
    </row>
    <row r="1341" spans="1:15" hidden="1" x14ac:dyDescent="0.25">
      <c r="A1341" s="10">
        <v>46042</v>
      </c>
      <c r="B1341" t="s">
        <v>21</v>
      </c>
      <c r="C1341" s="1" t="s">
        <v>16</v>
      </c>
      <c r="D1341" s="3">
        <v>0</v>
      </c>
      <c r="E1341" s="3">
        <v>0</v>
      </c>
      <c r="F1341" s="3">
        <v>0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 s="3">
        <v>0</v>
      </c>
      <c r="N1341" s="3">
        <v>0</v>
      </c>
      <c r="O1341" s="12">
        <v>0</v>
      </c>
    </row>
    <row r="1342" spans="1:15" hidden="1" x14ac:dyDescent="0.25">
      <c r="A1342" s="10">
        <v>46042</v>
      </c>
      <c r="B1342" t="s">
        <v>63</v>
      </c>
      <c r="C1342" s="1" t="s">
        <v>23</v>
      </c>
      <c r="D1342" s="3">
        <v>0</v>
      </c>
      <c r="E1342" s="3">
        <v>0</v>
      </c>
      <c r="F1342" s="3">
        <v>0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 s="3">
        <v>0</v>
      </c>
      <c r="N1342" s="3">
        <v>100</v>
      </c>
      <c r="O1342" s="12">
        <v>53.846153846153847</v>
      </c>
    </row>
    <row r="1343" spans="1:15" hidden="1" x14ac:dyDescent="0.25">
      <c r="A1343" s="10">
        <v>46042</v>
      </c>
      <c r="B1343" t="s">
        <v>45</v>
      </c>
      <c r="C1343" s="1" t="s">
        <v>32</v>
      </c>
      <c r="D1343" s="3">
        <v>28</v>
      </c>
      <c r="E1343" s="3">
        <v>25</v>
      </c>
      <c r="F1343" s="3">
        <v>12.1</v>
      </c>
      <c r="G1343" s="3">
        <v>0</v>
      </c>
      <c r="H1343" s="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 s="3">
        <v>27</v>
      </c>
      <c r="N1343" s="3">
        <v>100</v>
      </c>
      <c r="O1343" s="12">
        <v>44.05594405594406</v>
      </c>
    </row>
    <row r="1344" spans="1:15" hidden="1" x14ac:dyDescent="0.25">
      <c r="A1344" s="10">
        <v>46042</v>
      </c>
      <c r="B1344" t="s">
        <v>64</v>
      </c>
      <c r="C1344" s="1" t="s">
        <v>23</v>
      </c>
      <c r="D1344" s="3">
        <v>11</v>
      </c>
      <c r="E1344" s="3">
        <v>11</v>
      </c>
      <c r="F1344" s="3">
        <v>35.130000000000003</v>
      </c>
      <c r="G1344" s="3">
        <v>0</v>
      </c>
      <c r="H1344" s="3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 s="3">
        <v>11</v>
      </c>
      <c r="N1344" s="3">
        <v>100</v>
      </c>
      <c r="O1344" s="12">
        <v>31.872509960159359</v>
      </c>
    </row>
    <row r="1345" spans="1:15" hidden="1" x14ac:dyDescent="0.25">
      <c r="A1345" s="10">
        <v>46042</v>
      </c>
      <c r="B1345" t="s">
        <v>46</v>
      </c>
      <c r="C1345" s="1" t="s">
        <v>32</v>
      </c>
      <c r="D1345" s="3">
        <v>29</v>
      </c>
      <c r="E1345" s="3">
        <v>26</v>
      </c>
      <c r="F1345" s="3">
        <v>14.06</v>
      </c>
      <c r="G1345" s="3">
        <v>0</v>
      </c>
      <c r="H1345" s="3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 s="3">
        <v>23</v>
      </c>
      <c r="N1345" s="3">
        <v>98.41</v>
      </c>
      <c r="O1345" s="12">
        <v>29.22465208747515</v>
      </c>
    </row>
    <row r="1346" spans="1:15" hidden="1" x14ac:dyDescent="0.25">
      <c r="A1346" s="10">
        <v>46043</v>
      </c>
      <c r="B1346" t="s">
        <v>47</v>
      </c>
      <c r="C1346" s="1" t="s">
        <v>48</v>
      </c>
      <c r="D1346" s="3">
        <v>27</v>
      </c>
      <c r="E1346" s="3">
        <v>23</v>
      </c>
      <c r="F1346" s="3">
        <v>10.01</v>
      </c>
      <c r="G1346" s="3">
        <v>0</v>
      </c>
      <c r="H1346" s="3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 s="3">
        <v>19</v>
      </c>
      <c r="N1346" s="3">
        <v>96.81</v>
      </c>
      <c r="O1346" s="12">
        <v>27.980535279805348</v>
      </c>
    </row>
    <row r="1347" spans="1:15" hidden="1" x14ac:dyDescent="0.25">
      <c r="A1347" s="10">
        <v>46043</v>
      </c>
      <c r="B1347" t="s">
        <v>31</v>
      </c>
      <c r="C1347" s="1" t="s">
        <v>32</v>
      </c>
      <c r="D1347" s="3">
        <v>0</v>
      </c>
      <c r="E1347" s="3">
        <v>0</v>
      </c>
      <c r="F1347" s="3">
        <v>0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 s="3">
        <v>28</v>
      </c>
      <c r="N1347" s="3">
        <v>98.73</v>
      </c>
      <c r="O1347" s="12">
        <v>35.756385068762278</v>
      </c>
    </row>
    <row r="1348" spans="1:15" hidden="1" x14ac:dyDescent="0.25">
      <c r="A1348" s="10">
        <v>46043</v>
      </c>
      <c r="B1348" t="s">
        <v>59</v>
      </c>
      <c r="C1348" s="1" t="s">
        <v>23</v>
      </c>
      <c r="D1348" s="3">
        <v>21</v>
      </c>
      <c r="E1348" s="3">
        <v>21</v>
      </c>
      <c r="F1348" s="3">
        <v>15.18</v>
      </c>
      <c r="G1348" s="3">
        <v>0</v>
      </c>
      <c r="H1348" s="3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 s="3">
        <v>18</v>
      </c>
      <c r="N1348" s="3">
        <v>98.32</v>
      </c>
      <c r="O1348" s="12">
        <v>26.763485477178421</v>
      </c>
    </row>
    <row r="1349" spans="1:15" hidden="1" x14ac:dyDescent="0.25">
      <c r="A1349" s="10">
        <v>46043</v>
      </c>
      <c r="B1349" t="s">
        <v>33</v>
      </c>
      <c r="C1349" s="1" t="s">
        <v>32</v>
      </c>
      <c r="D1349" s="3">
        <v>25</v>
      </c>
      <c r="E1349" s="3">
        <v>20</v>
      </c>
      <c r="F1349" s="3">
        <v>15.25</v>
      </c>
      <c r="G1349" s="3">
        <v>0</v>
      </c>
      <c r="H1349" s="3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 s="3">
        <v>20</v>
      </c>
      <c r="N1349" s="3">
        <v>99.19</v>
      </c>
      <c r="O1349" s="12">
        <v>27.637130801687761</v>
      </c>
    </row>
    <row r="1350" spans="1:15" hidden="1" x14ac:dyDescent="0.25">
      <c r="A1350" s="10">
        <v>46043</v>
      </c>
      <c r="B1350" t="s">
        <v>15</v>
      </c>
      <c r="C1350" s="1" t="s">
        <v>16</v>
      </c>
      <c r="D1350" s="3">
        <v>9</v>
      </c>
      <c r="E1350" s="3">
        <v>9</v>
      </c>
      <c r="F1350" s="3">
        <v>18.399999999999999</v>
      </c>
      <c r="G1350" s="3">
        <v>0</v>
      </c>
      <c r="H1350" s="3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 s="3">
        <v>6</v>
      </c>
      <c r="N1350" s="3">
        <v>100</v>
      </c>
      <c r="O1350" s="12">
        <v>39.568345323741013</v>
      </c>
    </row>
    <row r="1351" spans="1:15" hidden="1" x14ac:dyDescent="0.25">
      <c r="A1351" s="10">
        <v>46043</v>
      </c>
      <c r="B1351" t="s">
        <v>49</v>
      </c>
      <c r="C1351" s="1" t="s">
        <v>48</v>
      </c>
      <c r="D1351" s="3">
        <v>29</v>
      </c>
      <c r="E1351" s="3">
        <v>25</v>
      </c>
      <c r="F1351" s="3">
        <v>12.02</v>
      </c>
      <c r="G1351" s="3">
        <v>0</v>
      </c>
      <c r="H1351" s="3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 s="3">
        <v>25</v>
      </c>
      <c r="N1351" s="3">
        <v>98.54</v>
      </c>
      <c r="O1351" s="12">
        <v>28.544776119402989</v>
      </c>
    </row>
    <row r="1352" spans="1:15" hidden="1" x14ac:dyDescent="0.25">
      <c r="A1352" s="10">
        <v>46043</v>
      </c>
      <c r="B1352" t="s">
        <v>50</v>
      </c>
      <c r="C1352" s="1" t="s">
        <v>48</v>
      </c>
      <c r="D1352" s="3">
        <v>13</v>
      </c>
      <c r="E1352" s="3">
        <v>12</v>
      </c>
      <c r="F1352" s="3">
        <v>37.270000000000003</v>
      </c>
      <c r="G1352" s="3">
        <v>0</v>
      </c>
      <c r="H1352" s="3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 s="3">
        <v>12</v>
      </c>
      <c r="N1352" s="3">
        <v>100</v>
      </c>
      <c r="O1352" s="12">
        <v>34.366925064599492</v>
      </c>
    </row>
    <row r="1353" spans="1:15" hidden="1" x14ac:dyDescent="0.25">
      <c r="A1353" s="10">
        <v>46043</v>
      </c>
      <c r="B1353" t="s">
        <v>17</v>
      </c>
      <c r="C1353" s="1" t="s">
        <v>16</v>
      </c>
      <c r="D1353" s="3">
        <v>0</v>
      </c>
      <c r="E1353" s="3">
        <v>0</v>
      </c>
      <c r="F1353" s="3">
        <v>0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 s="3">
        <v>0</v>
      </c>
      <c r="N1353" s="3">
        <v>0</v>
      </c>
      <c r="O1353" s="12">
        <v>0</v>
      </c>
    </row>
    <row r="1354" spans="1:15" hidden="1" x14ac:dyDescent="0.25">
      <c r="A1354" s="10">
        <v>46043</v>
      </c>
      <c r="B1354" t="s">
        <v>60</v>
      </c>
      <c r="C1354" s="1" t="s">
        <v>23</v>
      </c>
      <c r="D1354" s="3">
        <v>26</v>
      </c>
      <c r="E1354" s="3">
        <v>25</v>
      </c>
      <c r="F1354" s="3">
        <v>15.04</v>
      </c>
      <c r="G1354" s="3">
        <v>0</v>
      </c>
      <c r="H1354" s="3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 s="3">
        <v>22</v>
      </c>
      <c r="N1354" s="3">
        <v>100</v>
      </c>
      <c r="O1354" s="12">
        <v>29.518072289156631</v>
      </c>
    </row>
    <row r="1355" spans="1:15" hidden="1" x14ac:dyDescent="0.25">
      <c r="A1355" s="10">
        <v>46043</v>
      </c>
      <c r="B1355" t="s">
        <v>34</v>
      </c>
      <c r="C1355" s="1" t="s">
        <v>32</v>
      </c>
      <c r="D1355" s="3">
        <v>28</v>
      </c>
      <c r="E1355" s="3">
        <v>27</v>
      </c>
      <c r="F1355" s="3">
        <v>15.15</v>
      </c>
      <c r="G1355" s="3">
        <v>0</v>
      </c>
      <c r="H1355" s="3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 s="3">
        <v>24</v>
      </c>
      <c r="N1355" s="3">
        <v>97.45</v>
      </c>
      <c r="O1355" s="12">
        <v>41.421143847487002</v>
      </c>
    </row>
    <row r="1356" spans="1:15" hidden="1" x14ac:dyDescent="0.25">
      <c r="A1356" s="10">
        <v>46043</v>
      </c>
      <c r="B1356" t="s">
        <v>51</v>
      </c>
      <c r="C1356" s="1" t="s">
        <v>48</v>
      </c>
      <c r="D1356" s="3">
        <v>25</v>
      </c>
      <c r="E1356" s="3">
        <v>19</v>
      </c>
      <c r="F1356" s="3">
        <v>10.4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 s="3">
        <v>19</v>
      </c>
      <c r="N1356" s="3">
        <v>96.58</v>
      </c>
      <c r="O1356" s="12">
        <v>30.396475770925111</v>
      </c>
    </row>
    <row r="1357" spans="1:15" hidden="1" x14ac:dyDescent="0.25">
      <c r="A1357" s="10">
        <v>46043</v>
      </c>
      <c r="B1357" t="s">
        <v>61</v>
      </c>
      <c r="C1357" s="1" t="s">
        <v>23</v>
      </c>
      <c r="D1357" s="3">
        <v>20</v>
      </c>
      <c r="E1357" s="3">
        <v>20</v>
      </c>
      <c r="F1357" s="3">
        <v>20.05</v>
      </c>
      <c r="G1357" s="3">
        <v>0</v>
      </c>
      <c r="H1357" s="3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 s="3">
        <v>27</v>
      </c>
      <c r="N1357" s="3">
        <v>100</v>
      </c>
      <c r="O1357" s="12">
        <v>27.44282744282744</v>
      </c>
    </row>
    <row r="1358" spans="1:15" hidden="1" x14ac:dyDescent="0.25">
      <c r="A1358" s="10">
        <v>46043</v>
      </c>
      <c r="B1358" t="s">
        <v>35</v>
      </c>
      <c r="C1358" s="1" t="s">
        <v>32</v>
      </c>
      <c r="D1358" s="3">
        <v>19</v>
      </c>
      <c r="E1358" s="3">
        <v>17</v>
      </c>
      <c r="F1358" s="3">
        <v>25.25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 s="3">
        <v>19</v>
      </c>
      <c r="N1358" s="3">
        <v>99.49</v>
      </c>
      <c r="O1358" s="12">
        <v>40.200000000000003</v>
      </c>
    </row>
    <row r="1359" spans="1:15" hidden="1" x14ac:dyDescent="0.25">
      <c r="A1359" s="10">
        <v>46043</v>
      </c>
      <c r="B1359" t="s">
        <v>18</v>
      </c>
      <c r="C1359" s="1" t="s">
        <v>16</v>
      </c>
      <c r="D1359" s="3">
        <v>0</v>
      </c>
      <c r="E1359" s="3">
        <v>0</v>
      </c>
      <c r="F1359" s="3">
        <v>0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 s="3">
        <v>0</v>
      </c>
      <c r="N1359" s="3">
        <v>100</v>
      </c>
      <c r="O1359" s="12">
        <v>25</v>
      </c>
    </row>
    <row r="1360" spans="1:15" hidden="1" x14ac:dyDescent="0.25">
      <c r="A1360" s="10">
        <v>46043</v>
      </c>
      <c r="B1360" t="s">
        <v>52</v>
      </c>
      <c r="C1360" s="1" t="s">
        <v>48</v>
      </c>
      <c r="D1360" s="3">
        <v>30</v>
      </c>
      <c r="E1360" s="3">
        <v>30</v>
      </c>
      <c r="F1360" s="3">
        <v>12.2</v>
      </c>
      <c r="G1360" s="3">
        <v>0</v>
      </c>
      <c r="H1360" s="3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 s="3">
        <v>25</v>
      </c>
      <c r="N1360" s="3">
        <v>100</v>
      </c>
      <c r="O1360" s="12">
        <v>34.15094339622641</v>
      </c>
    </row>
    <row r="1361" spans="1:15" hidden="1" x14ac:dyDescent="0.25">
      <c r="A1361" s="10">
        <v>46043</v>
      </c>
      <c r="B1361" t="s">
        <v>36</v>
      </c>
      <c r="C1361" s="1" t="s">
        <v>32</v>
      </c>
      <c r="D1361" s="3">
        <v>23</v>
      </c>
      <c r="E1361" s="3">
        <v>22</v>
      </c>
      <c r="F1361" s="3">
        <v>17.27</v>
      </c>
      <c r="G1361" s="3">
        <v>0</v>
      </c>
      <c r="H1361" s="3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 s="3">
        <v>21</v>
      </c>
      <c r="N1361" s="3">
        <v>100</v>
      </c>
      <c r="O1361" s="12">
        <v>32.731376975169297</v>
      </c>
    </row>
    <row r="1362" spans="1:15" hidden="1" x14ac:dyDescent="0.25">
      <c r="A1362" s="10">
        <v>46043</v>
      </c>
      <c r="B1362" t="s">
        <v>53</v>
      </c>
      <c r="C1362" s="1" t="s">
        <v>48</v>
      </c>
      <c r="D1362" s="3">
        <v>10</v>
      </c>
      <c r="E1362" s="3">
        <v>8</v>
      </c>
      <c r="F1362" s="3">
        <v>27.24</v>
      </c>
      <c r="G1362" s="3">
        <v>0</v>
      </c>
      <c r="H1362" s="3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 s="3">
        <v>8</v>
      </c>
      <c r="N1362" s="3">
        <v>99.31</v>
      </c>
      <c r="O1362" s="12">
        <v>30.96234309623431</v>
      </c>
    </row>
    <row r="1363" spans="1:15" hidden="1" x14ac:dyDescent="0.25">
      <c r="A1363" s="10">
        <v>46077</v>
      </c>
      <c r="B1363" t="s">
        <v>22</v>
      </c>
      <c r="C1363" s="1" t="s">
        <v>23</v>
      </c>
      <c r="D1363" s="3">
        <v>25</v>
      </c>
      <c r="E1363" s="3">
        <v>25</v>
      </c>
      <c r="F1363" s="3">
        <v>22.17</v>
      </c>
      <c r="G1363" s="3">
        <v>0</v>
      </c>
      <c r="H1363" s="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 s="3">
        <v>24</v>
      </c>
      <c r="N1363" s="3">
        <v>96.67</v>
      </c>
      <c r="O1363" s="12">
        <v>31.451612903225811</v>
      </c>
    </row>
    <row r="1364" spans="1:15" hidden="1" x14ac:dyDescent="0.25">
      <c r="A1364" s="10">
        <v>46043</v>
      </c>
      <c r="B1364" t="s">
        <v>54</v>
      </c>
      <c r="C1364" s="1" t="s">
        <v>48</v>
      </c>
      <c r="D1364" s="3">
        <v>24</v>
      </c>
      <c r="E1364" s="3">
        <v>22</v>
      </c>
      <c r="F1364" s="3">
        <v>18.46</v>
      </c>
      <c r="G1364" s="3">
        <v>0</v>
      </c>
      <c r="H1364" s="3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 s="3">
        <v>21</v>
      </c>
      <c r="N1364" s="3">
        <v>100</v>
      </c>
      <c r="O1364" s="12">
        <v>27.676767676767678</v>
      </c>
    </row>
    <row r="1365" spans="1:15" hidden="1" x14ac:dyDescent="0.25">
      <c r="A1365" s="10">
        <v>46043</v>
      </c>
      <c r="B1365" t="s">
        <v>37</v>
      </c>
      <c r="C1365" s="1" t="s">
        <v>32</v>
      </c>
      <c r="D1365" s="3">
        <v>30</v>
      </c>
      <c r="E1365" s="3">
        <v>29</v>
      </c>
      <c r="F1365" s="3">
        <v>11.51</v>
      </c>
      <c r="G1365" s="3">
        <v>0</v>
      </c>
      <c r="H1365" s="3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 s="3">
        <v>26</v>
      </c>
      <c r="N1365" s="3">
        <v>100</v>
      </c>
      <c r="O1365" s="12">
        <v>31.17723156532988</v>
      </c>
    </row>
    <row r="1366" spans="1:15" hidden="1" x14ac:dyDescent="0.25">
      <c r="A1366" s="10">
        <v>46043</v>
      </c>
      <c r="B1366" t="s">
        <v>38</v>
      </c>
      <c r="C1366" s="1" t="s">
        <v>32</v>
      </c>
      <c r="D1366" s="3">
        <v>13</v>
      </c>
      <c r="E1366" s="3">
        <v>12</v>
      </c>
      <c r="F1366" s="3">
        <v>10.57</v>
      </c>
      <c r="G1366" s="3">
        <v>0</v>
      </c>
      <c r="H1366" s="3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 s="3">
        <v>11</v>
      </c>
      <c r="N1366" s="3">
        <v>100</v>
      </c>
      <c r="O1366" s="12">
        <v>27.609427609427609</v>
      </c>
    </row>
    <row r="1367" spans="1:15" hidden="1" x14ac:dyDescent="0.25">
      <c r="A1367" s="10">
        <v>46043</v>
      </c>
      <c r="B1367" t="s">
        <v>55</v>
      </c>
      <c r="C1367" s="1" t="s">
        <v>48</v>
      </c>
      <c r="D1367" s="3">
        <v>0</v>
      </c>
      <c r="E1367" s="3">
        <v>0</v>
      </c>
      <c r="F1367" s="3">
        <v>0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 s="3">
        <v>0</v>
      </c>
      <c r="N1367" s="3">
        <v>96.4</v>
      </c>
      <c r="O1367" s="12">
        <v>28.764044943820231</v>
      </c>
    </row>
    <row r="1368" spans="1:15" hidden="1" x14ac:dyDescent="0.25">
      <c r="A1368" s="10">
        <v>46043</v>
      </c>
      <c r="B1368" t="s">
        <v>39</v>
      </c>
      <c r="C1368" s="1" t="s">
        <v>32</v>
      </c>
      <c r="D1368" s="3">
        <v>0</v>
      </c>
      <c r="E1368" s="3">
        <v>0</v>
      </c>
      <c r="F1368" s="3">
        <v>0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 s="3">
        <v>0</v>
      </c>
      <c r="N1368" s="3">
        <v>100</v>
      </c>
      <c r="O1368" s="12">
        <v>33.980582524271853</v>
      </c>
    </row>
    <row r="1369" spans="1:15" hidden="1" x14ac:dyDescent="0.25">
      <c r="A1369" s="10">
        <v>46043</v>
      </c>
      <c r="B1369" t="s">
        <v>25</v>
      </c>
      <c r="C1369" s="1" t="s">
        <v>26</v>
      </c>
      <c r="D1369" s="3">
        <v>6</v>
      </c>
      <c r="E1369" s="3">
        <v>6</v>
      </c>
      <c r="F1369" s="3">
        <v>39.06</v>
      </c>
      <c r="G1369" s="3">
        <v>0</v>
      </c>
      <c r="H1369" s="3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 s="3">
        <v>9</v>
      </c>
      <c r="N1369" s="3">
        <v>97.56</v>
      </c>
      <c r="O1369" s="12">
        <v>32.515337423312893</v>
      </c>
    </row>
    <row r="1370" spans="1:15" hidden="1" x14ac:dyDescent="0.25">
      <c r="A1370" s="10">
        <v>46043</v>
      </c>
      <c r="B1370" t="s">
        <v>40</v>
      </c>
      <c r="C1370" s="1" t="s">
        <v>32</v>
      </c>
      <c r="D1370" s="3">
        <v>25</v>
      </c>
      <c r="E1370" s="3">
        <v>24</v>
      </c>
      <c r="F1370" s="3">
        <v>15.49</v>
      </c>
      <c r="G1370" s="3">
        <v>0</v>
      </c>
      <c r="H1370" s="3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 s="3">
        <v>21</v>
      </c>
      <c r="N1370" s="3">
        <v>97.11</v>
      </c>
      <c r="O1370" s="12">
        <v>37.408312958435211</v>
      </c>
    </row>
    <row r="1371" spans="1:15" hidden="1" x14ac:dyDescent="0.25">
      <c r="A1371" s="10">
        <v>46043</v>
      </c>
      <c r="B1371" t="s">
        <v>27</v>
      </c>
      <c r="C1371" s="1" t="s">
        <v>26</v>
      </c>
      <c r="D1371" s="3">
        <v>0</v>
      </c>
      <c r="E1371" s="3">
        <v>0</v>
      </c>
      <c r="F1371" s="3">
        <v>0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 s="3">
        <v>0</v>
      </c>
      <c r="N1371" s="3">
        <v>0</v>
      </c>
      <c r="O1371" s="12">
        <v>0</v>
      </c>
    </row>
    <row r="1372" spans="1:15" hidden="1" x14ac:dyDescent="0.25">
      <c r="A1372" s="10">
        <v>46043</v>
      </c>
      <c r="B1372" t="s">
        <v>41</v>
      </c>
      <c r="C1372" s="1" t="s">
        <v>32</v>
      </c>
      <c r="D1372" s="3">
        <v>24</v>
      </c>
      <c r="E1372" s="3">
        <v>19</v>
      </c>
      <c r="F1372" s="3">
        <v>15.4</v>
      </c>
      <c r="G1372" s="3">
        <v>0</v>
      </c>
      <c r="H1372" s="3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 s="3">
        <v>21</v>
      </c>
      <c r="N1372" s="3">
        <v>100</v>
      </c>
      <c r="O1372" s="12">
        <v>30.470347648261761</v>
      </c>
    </row>
    <row r="1373" spans="1:15" hidden="1" x14ac:dyDescent="0.25">
      <c r="A1373" s="10">
        <v>46043</v>
      </c>
      <c r="B1373" t="s">
        <v>56</v>
      </c>
      <c r="C1373" s="1" t="s">
        <v>48</v>
      </c>
      <c r="D1373" s="3">
        <v>28</v>
      </c>
      <c r="E1373" s="3">
        <v>27</v>
      </c>
      <c r="F1373" s="3">
        <v>14.17</v>
      </c>
      <c r="G1373" s="3">
        <v>0</v>
      </c>
      <c r="H1373" s="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 s="3">
        <v>24</v>
      </c>
      <c r="N1373" s="3">
        <v>100</v>
      </c>
      <c r="O1373" s="12">
        <v>32.371134020618562</v>
      </c>
    </row>
    <row r="1374" spans="1:15" hidden="1" x14ac:dyDescent="0.25">
      <c r="A1374" s="10">
        <v>46043</v>
      </c>
      <c r="B1374" t="s">
        <v>57</v>
      </c>
      <c r="C1374" s="1" t="s">
        <v>48</v>
      </c>
      <c r="D1374" s="3">
        <v>26</v>
      </c>
      <c r="E1374" s="3">
        <v>23</v>
      </c>
      <c r="F1374" s="3">
        <v>13.38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 s="3">
        <v>19</v>
      </c>
      <c r="N1374" s="3">
        <v>98.32</v>
      </c>
      <c r="O1374" s="12">
        <v>32.318501170960189</v>
      </c>
    </row>
    <row r="1375" spans="1:15" hidden="1" x14ac:dyDescent="0.25">
      <c r="A1375" s="10">
        <v>46043</v>
      </c>
      <c r="B1375" t="s">
        <v>42</v>
      </c>
      <c r="C1375" s="1" t="s">
        <v>32</v>
      </c>
      <c r="D1375" s="3">
        <v>35</v>
      </c>
      <c r="E1375" s="3">
        <v>19</v>
      </c>
      <c r="F1375" s="3">
        <v>8.25</v>
      </c>
      <c r="G1375" s="3">
        <v>0</v>
      </c>
      <c r="H1375" s="3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 s="3">
        <v>13</v>
      </c>
      <c r="N1375" s="3">
        <v>96.43</v>
      </c>
      <c r="O1375" s="12">
        <v>27.015250544662312</v>
      </c>
    </row>
    <row r="1376" spans="1:15" hidden="1" x14ac:dyDescent="0.25">
      <c r="A1376" s="10">
        <v>46043</v>
      </c>
      <c r="B1376" t="s">
        <v>62</v>
      </c>
      <c r="C1376" s="1" t="s">
        <v>23</v>
      </c>
      <c r="D1376" s="3">
        <v>17</v>
      </c>
      <c r="E1376" s="3">
        <v>17</v>
      </c>
      <c r="F1376" s="3">
        <v>22.17</v>
      </c>
      <c r="G1376" s="3">
        <v>0</v>
      </c>
      <c r="H1376" s="3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 s="3">
        <v>20</v>
      </c>
      <c r="N1376" s="3">
        <v>98.89</v>
      </c>
      <c r="O1376" s="12">
        <v>28.021978021978018</v>
      </c>
    </row>
    <row r="1377" spans="1:15" hidden="1" x14ac:dyDescent="0.25">
      <c r="A1377" s="10">
        <v>46043</v>
      </c>
      <c r="B1377" t="s">
        <v>19</v>
      </c>
      <c r="C1377" s="1" t="s">
        <v>16</v>
      </c>
      <c r="D1377" s="3">
        <v>8</v>
      </c>
      <c r="E1377" s="3">
        <v>8</v>
      </c>
      <c r="F1377" s="3">
        <v>30.44</v>
      </c>
      <c r="G1377" s="3">
        <v>0</v>
      </c>
      <c r="H1377" s="3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 s="3">
        <v>4</v>
      </c>
      <c r="N1377" s="3">
        <v>100</v>
      </c>
      <c r="O1377" s="12">
        <v>33.333333333333329</v>
      </c>
    </row>
    <row r="1378" spans="1:15" hidden="1" x14ac:dyDescent="0.25">
      <c r="A1378" s="10">
        <v>46043</v>
      </c>
      <c r="B1378" t="s">
        <v>43</v>
      </c>
      <c r="C1378" s="1" t="s">
        <v>32</v>
      </c>
      <c r="D1378" s="3">
        <v>28</v>
      </c>
      <c r="E1378" s="3">
        <v>27</v>
      </c>
      <c r="F1378" s="3">
        <v>11.44</v>
      </c>
      <c r="G1378" s="3">
        <v>0</v>
      </c>
      <c r="H1378" s="3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 s="3">
        <v>25</v>
      </c>
      <c r="N1378" s="3">
        <v>100</v>
      </c>
      <c r="O1378" s="12">
        <v>27.43362831858407</v>
      </c>
    </row>
    <row r="1379" spans="1:15" hidden="1" x14ac:dyDescent="0.25">
      <c r="A1379" s="10">
        <v>46043</v>
      </c>
      <c r="B1379" t="s">
        <v>44</v>
      </c>
      <c r="C1379" s="1" t="s">
        <v>32</v>
      </c>
      <c r="D1379" s="3">
        <v>32</v>
      </c>
      <c r="E1379" s="3">
        <v>27</v>
      </c>
      <c r="F1379" s="3">
        <v>9.14</v>
      </c>
      <c r="G1379" s="3">
        <v>0</v>
      </c>
      <c r="H1379" s="3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 s="3">
        <v>25</v>
      </c>
      <c r="N1379" s="3">
        <v>98.65</v>
      </c>
      <c r="O1379" s="12">
        <v>30.978260869565219</v>
      </c>
    </row>
    <row r="1380" spans="1:15" hidden="1" x14ac:dyDescent="0.25">
      <c r="A1380" s="10">
        <v>46043</v>
      </c>
      <c r="B1380" t="s">
        <v>20</v>
      </c>
      <c r="C1380" s="1" t="s">
        <v>16</v>
      </c>
      <c r="D1380" s="3">
        <v>6</v>
      </c>
      <c r="E1380" s="3">
        <v>5</v>
      </c>
      <c r="F1380" s="3">
        <v>27.01</v>
      </c>
      <c r="G1380" s="3">
        <v>0</v>
      </c>
      <c r="H1380" s="3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 s="3">
        <v>2</v>
      </c>
      <c r="N1380" s="3">
        <v>100</v>
      </c>
      <c r="O1380" s="12">
        <v>12</v>
      </c>
    </row>
    <row r="1381" spans="1:15" hidden="1" x14ac:dyDescent="0.25">
      <c r="A1381" s="10">
        <v>46043</v>
      </c>
      <c r="B1381" t="s">
        <v>28</v>
      </c>
      <c r="C1381" s="1" t="s">
        <v>26</v>
      </c>
      <c r="D1381" s="3">
        <v>0</v>
      </c>
      <c r="E1381" s="3">
        <v>0</v>
      </c>
      <c r="F1381" s="3">
        <v>0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 s="3">
        <v>0</v>
      </c>
      <c r="N1381" s="3">
        <v>0</v>
      </c>
      <c r="O1381" s="12">
        <v>0</v>
      </c>
    </row>
    <row r="1382" spans="1:15" hidden="1" x14ac:dyDescent="0.25">
      <c r="A1382" s="10">
        <v>46043</v>
      </c>
      <c r="B1382" t="s">
        <v>58</v>
      </c>
      <c r="C1382" s="1" t="s">
        <v>48</v>
      </c>
      <c r="D1382" s="3">
        <v>18</v>
      </c>
      <c r="E1382" s="3">
        <v>18</v>
      </c>
      <c r="F1382" s="3">
        <v>23.34</v>
      </c>
      <c r="G1382" s="3">
        <v>0</v>
      </c>
      <c r="H1382" s="3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 s="3">
        <v>16</v>
      </c>
      <c r="N1382" s="3">
        <v>97.56</v>
      </c>
      <c r="O1382" s="12">
        <v>31.067961165048541</v>
      </c>
    </row>
    <row r="1383" spans="1:15" hidden="1" x14ac:dyDescent="0.25">
      <c r="A1383" s="10">
        <v>46043</v>
      </c>
      <c r="B1383" t="s">
        <v>29</v>
      </c>
      <c r="C1383" s="1" t="s">
        <v>26</v>
      </c>
      <c r="D1383" s="3">
        <v>0</v>
      </c>
      <c r="E1383" s="3">
        <v>0</v>
      </c>
      <c r="F1383" s="3">
        <v>0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 s="3">
        <v>0</v>
      </c>
      <c r="N1383" s="3">
        <v>0</v>
      </c>
      <c r="O1383" s="12">
        <v>0</v>
      </c>
    </row>
    <row r="1384" spans="1:15" hidden="1" x14ac:dyDescent="0.25">
      <c r="A1384" s="10">
        <v>46043</v>
      </c>
      <c r="B1384" t="s">
        <v>30</v>
      </c>
      <c r="C1384" s="1" t="s">
        <v>26</v>
      </c>
      <c r="D1384" s="3">
        <v>0</v>
      </c>
      <c r="E1384" s="3">
        <v>0</v>
      </c>
      <c r="F1384" s="3">
        <v>0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 s="3">
        <v>0</v>
      </c>
      <c r="N1384" s="3">
        <v>0</v>
      </c>
      <c r="O1384" s="12">
        <v>0</v>
      </c>
    </row>
    <row r="1385" spans="1:15" hidden="1" x14ac:dyDescent="0.25">
      <c r="A1385" s="10">
        <v>46043</v>
      </c>
      <c r="B1385" t="s">
        <v>21</v>
      </c>
      <c r="C1385" s="1" t="s">
        <v>16</v>
      </c>
      <c r="D1385" s="3">
        <v>0</v>
      </c>
      <c r="E1385" s="3">
        <v>0</v>
      </c>
      <c r="F1385" s="3">
        <v>0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 s="3">
        <v>0</v>
      </c>
      <c r="N1385" s="3">
        <v>0</v>
      </c>
      <c r="O1385" s="12">
        <v>0</v>
      </c>
    </row>
    <row r="1386" spans="1:15" hidden="1" x14ac:dyDescent="0.25">
      <c r="A1386" s="10">
        <v>46043</v>
      </c>
      <c r="B1386" t="s">
        <v>63</v>
      </c>
      <c r="C1386" s="1" t="s">
        <v>23</v>
      </c>
      <c r="D1386" s="3">
        <v>0</v>
      </c>
      <c r="E1386" s="3">
        <v>0</v>
      </c>
      <c r="F1386" s="3">
        <v>0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 s="3">
        <v>0</v>
      </c>
      <c r="N1386" s="3">
        <v>100</v>
      </c>
      <c r="O1386" s="12">
        <v>53.846153846153847</v>
      </c>
    </row>
    <row r="1387" spans="1:15" hidden="1" x14ac:dyDescent="0.25">
      <c r="A1387" s="10">
        <v>46043</v>
      </c>
      <c r="B1387" t="s">
        <v>45</v>
      </c>
      <c r="C1387" s="1" t="s">
        <v>32</v>
      </c>
      <c r="D1387" s="3">
        <v>24</v>
      </c>
      <c r="E1387" s="3">
        <v>20</v>
      </c>
      <c r="F1387" s="3">
        <v>14.06</v>
      </c>
      <c r="G1387" s="3">
        <v>0</v>
      </c>
      <c r="H1387" s="3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 s="3">
        <v>19</v>
      </c>
      <c r="N1387" s="3">
        <v>100</v>
      </c>
      <c r="O1387" s="12">
        <v>44.05594405594406</v>
      </c>
    </row>
    <row r="1388" spans="1:15" hidden="1" x14ac:dyDescent="0.25">
      <c r="A1388" s="10">
        <v>46043</v>
      </c>
      <c r="B1388" t="s">
        <v>64</v>
      </c>
      <c r="C1388" s="1" t="s">
        <v>23</v>
      </c>
      <c r="D1388" s="3">
        <v>14</v>
      </c>
      <c r="E1388" s="3">
        <v>14</v>
      </c>
      <c r="F1388" s="3">
        <v>31.53</v>
      </c>
      <c r="G1388" s="3">
        <v>0</v>
      </c>
      <c r="H1388" s="3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 s="3">
        <v>15</v>
      </c>
      <c r="N1388" s="3">
        <v>100</v>
      </c>
      <c r="O1388" s="12">
        <v>31.872509960159359</v>
      </c>
    </row>
    <row r="1389" spans="1:15" hidden="1" x14ac:dyDescent="0.25">
      <c r="A1389" s="10">
        <v>46043</v>
      </c>
      <c r="B1389" t="s">
        <v>46</v>
      </c>
      <c r="C1389" s="1" t="s">
        <v>32</v>
      </c>
      <c r="D1389" s="3">
        <v>19</v>
      </c>
      <c r="E1389" s="3">
        <v>18</v>
      </c>
      <c r="F1389" s="3">
        <v>18.45</v>
      </c>
      <c r="G1389" s="3">
        <v>0</v>
      </c>
      <c r="H1389" s="3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 s="3">
        <v>17</v>
      </c>
      <c r="N1389" s="3">
        <v>98.41</v>
      </c>
      <c r="O1389" s="12">
        <v>29.22465208747515</v>
      </c>
    </row>
    <row r="1390" spans="1:15" hidden="1" x14ac:dyDescent="0.25">
      <c r="A1390" s="10">
        <v>46044</v>
      </c>
      <c r="B1390" t="s">
        <v>47</v>
      </c>
      <c r="C1390" s="1" t="s">
        <v>48</v>
      </c>
      <c r="D1390" s="3">
        <v>33</v>
      </c>
      <c r="E1390" s="3">
        <v>23</v>
      </c>
      <c r="F1390" s="3">
        <v>8.2100000000000009</v>
      </c>
      <c r="G1390" s="3">
        <v>0</v>
      </c>
      <c r="H1390" s="3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 s="3">
        <v>15</v>
      </c>
      <c r="N1390" s="3">
        <v>96.81</v>
      </c>
      <c r="O1390" s="12">
        <v>27.980535279805348</v>
      </c>
    </row>
    <row r="1391" spans="1:15" hidden="1" x14ac:dyDescent="0.25">
      <c r="A1391" s="10">
        <v>46044</v>
      </c>
      <c r="B1391" t="s">
        <v>31</v>
      </c>
      <c r="C1391" s="1" t="s">
        <v>32</v>
      </c>
      <c r="D1391" s="3">
        <v>0</v>
      </c>
      <c r="E1391" s="3">
        <v>0</v>
      </c>
      <c r="F1391" s="3">
        <v>0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 s="3">
        <v>27</v>
      </c>
      <c r="N1391" s="3">
        <v>98.73</v>
      </c>
      <c r="O1391" s="12">
        <v>35.756385068762278</v>
      </c>
    </row>
    <row r="1392" spans="1:15" hidden="1" x14ac:dyDescent="0.25">
      <c r="A1392" s="10">
        <v>46044</v>
      </c>
      <c r="B1392" t="s">
        <v>59</v>
      </c>
      <c r="C1392" s="1" t="s">
        <v>23</v>
      </c>
      <c r="D1392" s="3">
        <v>22</v>
      </c>
      <c r="E1392" s="3">
        <v>18</v>
      </c>
      <c r="F1392" s="3">
        <v>24.07</v>
      </c>
      <c r="G1392" s="3">
        <v>0</v>
      </c>
      <c r="H1392" s="3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 s="3">
        <v>20</v>
      </c>
      <c r="N1392" s="3">
        <v>98.32</v>
      </c>
      <c r="O1392" s="12">
        <v>26.763485477178421</v>
      </c>
    </row>
    <row r="1393" spans="1:15" hidden="1" x14ac:dyDescent="0.25">
      <c r="A1393" s="10">
        <v>46044</v>
      </c>
      <c r="B1393" t="s">
        <v>33</v>
      </c>
      <c r="C1393" s="1" t="s">
        <v>32</v>
      </c>
      <c r="D1393" s="3">
        <v>35</v>
      </c>
      <c r="E1393" s="3">
        <v>29</v>
      </c>
      <c r="F1393" s="3">
        <v>12.22</v>
      </c>
      <c r="G1393" s="3">
        <v>0</v>
      </c>
      <c r="H1393" s="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 s="3">
        <v>29</v>
      </c>
      <c r="N1393" s="3">
        <v>99.19</v>
      </c>
      <c r="O1393" s="12">
        <v>27.637130801687761</v>
      </c>
    </row>
    <row r="1394" spans="1:15" hidden="1" x14ac:dyDescent="0.25">
      <c r="A1394" s="10">
        <v>46044</v>
      </c>
      <c r="B1394" t="s">
        <v>15</v>
      </c>
      <c r="C1394" s="1" t="s">
        <v>16</v>
      </c>
      <c r="D1394" s="3">
        <v>9</v>
      </c>
      <c r="E1394" s="3">
        <v>9</v>
      </c>
      <c r="F1394" s="3">
        <v>26.48</v>
      </c>
      <c r="G1394" s="3">
        <v>0</v>
      </c>
      <c r="H1394" s="3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 s="3">
        <v>9</v>
      </c>
      <c r="N1394" s="3">
        <v>100</v>
      </c>
      <c r="O1394" s="12">
        <v>39.568345323741013</v>
      </c>
    </row>
    <row r="1395" spans="1:15" hidden="1" x14ac:dyDescent="0.25">
      <c r="A1395" s="10">
        <v>46044</v>
      </c>
      <c r="B1395" t="s">
        <v>49</v>
      </c>
      <c r="C1395" s="1" t="s">
        <v>48</v>
      </c>
      <c r="D1395" s="3">
        <v>32</v>
      </c>
      <c r="E1395" s="3">
        <v>26</v>
      </c>
      <c r="F1395" s="3">
        <v>11.5</v>
      </c>
      <c r="G1395" s="3">
        <v>0</v>
      </c>
      <c r="H1395" s="3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 s="3">
        <v>25</v>
      </c>
      <c r="N1395" s="3">
        <v>98.54</v>
      </c>
      <c r="O1395" s="12">
        <v>28.544776119402989</v>
      </c>
    </row>
    <row r="1396" spans="1:15" hidden="1" x14ac:dyDescent="0.25">
      <c r="A1396" s="10">
        <v>46044</v>
      </c>
      <c r="B1396" t="s">
        <v>50</v>
      </c>
      <c r="C1396" s="1" t="s">
        <v>48</v>
      </c>
      <c r="D1396" s="3">
        <v>15</v>
      </c>
      <c r="E1396" s="3">
        <v>15</v>
      </c>
      <c r="F1396" s="3">
        <v>25.08</v>
      </c>
      <c r="G1396" s="3">
        <v>0</v>
      </c>
      <c r="H1396" s="3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 s="3">
        <v>14</v>
      </c>
      <c r="N1396" s="3">
        <v>100</v>
      </c>
      <c r="O1396" s="12">
        <v>34.366925064599492</v>
      </c>
    </row>
    <row r="1397" spans="1:15" hidden="1" x14ac:dyDescent="0.25">
      <c r="A1397" s="10">
        <v>46044</v>
      </c>
      <c r="B1397" t="s">
        <v>17</v>
      </c>
      <c r="C1397" s="1" t="s">
        <v>16</v>
      </c>
      <c r="D1397" s="3">
        <v>0</v>
      </c>
      <c r="E1397" s="3">
        <v>0</v>
      </c>
      <c r="F1397" s="3">
        <v>0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 s="3">
        <v>0</v>
      </c>
      <c r="N1397" s="3">
        <v>0</v>
      </c>
      <c r="O1397" s="12">
        <v>0</v>
      </c>
    </row>
    <row r="1398" spans="1:15" hidden="1" x14ac:dyDescent="0.25">
      <c r="A1398" s="10">
        <v>46044</v>
      </c>
      <c r="B1398" t="s">
        <v>60</v>
      </c>
      <c r="C1398" s="1" t="s">
        <v>23</v>
      </c>
      <c r="D1398" s="3">
        <v>23</v>
      </c>
      <c r="E1398" s="3">
        <v>22</v>
      </c>
      <c r="F1398" s="3">
        <v>20.43</v>
      </c>
      <c r="G1398" s="3">
        <v>0</v>
      </c>
      <c r="H1398" s="3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 s="3">
        <v>21</v>
      </c>
      <c r="N1398" s="3">
        <v>100</v>
      </c>
      <c r="O1398" s="12">
        <v>29.518072289156631</v>
      </c>
    </row>
    <row r="1399" spans="1:15" hidden="1" x14ac:dyDescent="0.25">
      <c r="A1399" s="10">
        <v>46044</v>
      </c>
      <c r="B1399" t="s">
        <v>34</v>
      </c>
      <c r="C1399" s="1" t="s">
        <v>32</v>
      </c>
      <c r="D1399" s="3">
        <v>34</v>
      </c>
      <c r="E1399" s="3">
        <v>29</v>
      </c>
      <c r="F1399" s="3">
        <v>10.210000000000001</v>
      </c>
      <c r="G1399" s="3">
        <v>0</v>
      </c>
      <c r="H1399" s="3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 s="3">
        <v>24</v>
      </c>
      <c r="N1399" s="3">
        <v>97.45</v>
      </c>
      <c r="O1399" s="12">
        <v>41.421143847487002</v>
      </c>
    </row>
    <row r="1400" spans="1:15" hidden="1" x14ac:dyDescent="0.25">
      <c r="A1400" s="10">
        <v>46044</v>
      </c>
      <c r="B1400" t="s">
        <v>51</v>
      </c>
      <c r="C1400" s="1" t="s">
        <v>48</v>
      </c>
      <c r="D1400" s="3">
        <v>29</v>
      </c>
      <c r="E1400" s="3">
        <v>24</v>
      </c>
      <c r="F1400" s="3">
        <v>12.11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 s="3">
        <v>22</v>
      </c>
      <c r="N1400" s="3">
        <v>96.58</v>
      </c>
      <c r="O1400" s="12">
        <v>30.396475770925111</v>
      </c>
    </row>
    <row r="1401" spans="1:15" hidden="1" x14ac:dyDescent="0.25">
      <c r="A1401" s="10">
        <v>46044</v>
      </c>
      <c r="B1401" t="s">
        <v>61</v>
      </c>
      <c r="C1401" s="1" t="s">
        <v>23</v>
      </c>
      <c r="D1401" s="3">
        <v>5</v>
      </c>
      <c r="E1401" s="3">
        <v>5</v>
      </c>
      <c r="F1401" s="3">
        <v>32.39</v>
      </c>
      <c r="G1401" s="3">
        <v>0</v>
      </c>
      <c r="H1401" s="3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 s="3">
        <v>7</v>
      </c>
      <c r="N1401" s="3">
        <v>100</v>
      </c>
      <c r="O1401" s="12">
        <v>27.44282744282744</v>
      </c>
    </row>
    <row r="1402" spans="1:15" hidden="1" x14ac:dyDescent="0.25">
      <c r="A1402" s="10">
        <v>46044</v>
      </c>
      <c r="B1402" t="s">
        <v>35</v>
      </c>
      <c r="C1402" s="1" t="s">
        <v>32</v>
      </c>
      <c r="D1402" s="3">
        <v>23</v>
      </c>
      <c r="E1402" s="3">
        <v>23</v>
      </c>
      <c r="F1402" s="3">
        <v>22.17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 s="3">
        <v>23</v>
      </c>
      <c r="N1402" s="3">
        <v>99.49</v>
      </c>
      <c r="O1402" s="12">
        <v>40.200000000000003</v>
      </c>
    </row>
    <row r="1403" spans="1:15" hidden="1" x14ac:dyDescent="0.25">
      <c r="A1403" s="10">
        <v>46044</v>
      </c>
      <c r="B1403" t="s">
        <v>18</v>
      </c>
      <c r="C1403" s="1" t="s">
        <v>16</v>
      </c>
      <c r="D1403" s="3">
        <v>0</v>
      </c>
      <c r="E1403" s="3">
        <v>0</v>
      </c>
      <c r="F1403" s="3">
        <v>0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 s="3">
        <v>0</v>
      </c>
      <c r="N1403" s="3">
        <v>100</v>
      </c>
      <c r="O1403" s="12">
        <v>25</v>
      </c>
    </row>
    <row r="1404" spans="1:15" hidden="1" x14ac:dyDescent="0.25">
      <c r="A1404" s="10">
        <v>46044</v>
      </c>
      <c r="B1404" t="s">
        <v>52</v>
      </c>
      <c r="C1404" s="1" t="s">
        <v>48</v>
      </c>
      <c r="D1404" s="3">
        <v>29</v>
      </c>
      <c r="E1404" s="3">
        <v>26</v>
      </c>
      <c r="F1404" s="3">
        <v>14.08</v>
      </c>
      <c r="G1404" s="3">
        <v>0</v>
      </c>
      <c r="H1404" s="3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 s="3">
        <v>24</v>
      </c>
      <c r="N1404" s="3">
        <v>100</v>
      </c>
      <c r="O1404" s="12">
        <v>34.15094339622641</v>
      </c>
    </row>
    <row r="1405" spans="1:15" hidden="1" x14ac:dyDescent="0.25">
      <c r="A1405" s="10">
        <v>46044</v>
      </c>
      <c r="B1405" t="s">
        <v>36</v>
      </c>
      <c r="C1405" s="1" t="s">
        <v>32</v>
      </c>
      <c r="D1405" s="3">
        <v>19</v>
      </c>
      <c r="E1405" s="3">
        <v>17</v>
      </c>
      <c r="F1405" s="3">
        <v>13.4</v>
      </c>
      <c r="G1405" s="3">
        <v>0</v>
      </c>
      <c r="H1405" s="3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 s="3">
        <v>17</v>
      </c>
      <c r="N1405" s="3">
        <v>100</v>
      </c>
      <c r="O1405" s="12">
        <v>32.731376975169297</v>
      </c>
    </row>
    <row r="1406" spans="1:15" hidden="1" x14ac:dyDescent="0.25">
      <c r="A1406" s="10">
        <v>46044</v>
      </c>
      <c r="B1406" t="s">
        <v>53</v>
      </c>
      <c r="C1406" s="1" t="s">
        <v>48</v>
      </c>
      <c r="D1406" s="3">
        <v>22</v>
      </c>
      <c r="E1406" s="3">
        <v>20</v>
      </c>
      <c r="F1406" s="3">
        <v>18.25</v>
      </c>
      <c r="G1406" s="3">
        <v>0</v>
      </c>
      <c r="H1406" s="3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 s="3">
        <v>19</v>
      </c>
      <c r="N1406" s="3">
        <v>99.31</v>
      </c>
      <c r="O1406" s="12">
        <v>30.96234309623431</v>
      </c>
    </row>
    <row r="1407" spans="1:15" hidden="1" x14ac:dyDescent="0.25">
      <c r="A1407" s="10">
        <v>46078</v>
      </c>
      <c r="B1407" t="s">
        <v>22</v>
      </c>
      <c r="C1407" s="1" t="s">
        <v>23</v>
      </c>
      <c r="D1407" s="3">
        <v>17</v>
      </c>
      <c r="E1407" s="3">
        <v>15</v>
      </c>
      <c r="F1407" s="3">
        <v>22.11</v>
      </c>
      <c r="G1407" s="3">
        <v>0</v>
      </c>
      <c r="H1407" s="3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 s="3">
        <v>14</v>
      </c>
      <c r="N1407" s="3">
        <v>96.67</v>
      </c>
      <c r="O1407" s="12">
        <v>31.451612903225811</v>
      </c>
    </row>
    <row r="1408" spans="1:15" hidden="1" x14ac:dyDescent="0.25">
      <c r="A1408" s="10">
        <v>46044</v>
      </c>
      <c r="B1408" t="s">
        <v>54</v>
      </c>
      <c r="C1408" s="1" t="s">
        <v>48</v>
      </c>
      <c r="D1408" s="3">
        <v>22</v>
      </c>
      <c r="E1408" s="3">
        <v>20</v>
      </c>
      <c r="F1408" s="3">
        <v>19.13</v>
      </c>
      <c r="G1408" s="3">
        <v>0</v>
      </c>
      <c r="H1408" s="3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 s="3">
        <v>17</v>
      </c>
      <c r="N1408" s="3">
        <v>100</v>
      </c>
      <c r="O1408" s="12">
        <v>27.676767676767678</v>
      </c>
    </row>
    <row r="1409" spans="1:15" hidden="1" x14ac:dyDescent="0.25">
      <c r="A1409" s="10">
        <v>46044</v>
      </c>
      <c r="B1409" t="s">
        <v>37</v>
      </c>
      <c r="C1409" s="1" t="s">
        <v>32</v>
      </c>
      <c r="D1409" s="3">
        <v>27</v>
      </c>
      <c r="E1409" s="3">
        <v>25</v>
      </c>
      <c r="F1409" s="3">
        <v>14.02</v>
      </c>
      <c r="G1409" s="3">
        <v>0</v>
      </c>
      <c r="H1409" s="3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 s="3">
        <v>23</v>
      </c>
      <c r="N1409" s="3">
        <v>100</v>
      </c>
      <c r="O1409" s="12">
        <v>31.17723156532988</v>
      </c>
    </row>
    <row r="1410" spans="1:15" hidden="1" x14ac:dyDescent="0.25">
      <c r="A1410" s="10">
        <v>46044</v>
      </c>
      <c r="B1410" t="s">
        <v>38</v>
      </c>
      <c r="C1410" s="1" t="s">
        <v>32</v>
      </c>
      <c r="D1410" s="3">
        <v>10</v>
      </c>
      <c r="E1410" s="3">
        <v>8</v>
      </c>
      <c r="F1410" s="3">
        <v>13.39</v>
      </c>
      <c r="G1410" s="3">
        <v>0</v>
      </c>
      <c r="H1410" s="3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 s="3">
        <v>5</v>
      </c>
      <c r="N1410" s="3">
        <v>100</v>
      </c>
      <c r="O1410" s="12">
        <v>27.609427609427609</v>
      </c>
    </row>
    <row r="1411" spans="1:15" hidden="1" x14ac:dyDescent="0.25">
      <c r="A1411" s="10">
        <v>46044</v>
      </c>
      <c r="B1411" t="s">
        <v>55</v>
      </c>
      <c r="C1411" s="1" t="s">
        <v>48</v>
      </c>
      <c r="D1411" s="3">
        <v>27</v>
      </c>
      <c r="E1411" s="3">
        <v>20</v>
      </c>
      <c r="F1411" s="3">
        <v>16.45</v>
      </c>
      <c r="G1411" s="3">
        <v>0</v>
      </c>
      <c r="H1411" s="3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 s="3">
        <v>19</v>
      </c>
      <c r="N1411" s="3">
        <v>96.4</v>
      </c>
      <c r="O1411" s="12">
        <v>28.764044943820231</v>
      </c>
    </row>
    <row r="1412" spans="1:15" hidden="1" x14ac:dyDescent="0.25">
      <c r="A1412" s="10">
        <v>46044</v>
      </c>
      <c r="B1412" t="s">
        <v>39</v>
      </c>
      <c r="C1412" s="1" t="s">
        <v>32</v>
      </c>
      <c r="D1412" s="3">
        <v>0</v>
      </c>
      <c r="E1412" s="3">
        <v>0</v>
      </c>
      <c r="F1412" s="3">
        <v>0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 s="3">
        <v>0</v>
      </c>
      <c r="N1412" s="3">
        <v>100</v>
      </c>
      <c r="O1412" s="12">
        <v>33.980582524271853</v>
      </c>
    </row>
    <row r="1413" spans="1:15" hidden="1" x14ac:dyDescent="0.25">
      <c r="A1413" s="10">
        <v>46044</v>
      </c>
      <c r="B1413" t="s">
        <v>25</v>
      </c>
      <c r="C1413" s="1" t="s">
        <v>26</v>
      </c>
      <c r="D1413" s="3">
        <v>5</v>
      </c>
      <c r="E1413" s="3">
        <v>4</v>
      </c>
      <c r="F1413" s="3">
        <v>46.55</v>
      </c>
      <c r="G1413" s="3">
        <v>0</v>
      </c>
      <c r="H1413" s="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 s="3">
        <v>4</v>
      </c>
      <c r="N1413" s="3">
        <v>97.56</v>
      </c>
      <c r="O1413" s="12">
        <v>32.515337423312893</v>
      </c>
    </row>
    <row r="1414" spans="1:15" hidden="1" x14ac:dyDescent="0.25">
      <c r="A1414" s="10">
        <v>46044</v>
      </c>
      <c r="B1414" t="s">
        <v>40</v>
      </c>
      <c r="C1414" s="1" t="s">
        <v>32</v>
      </c>
      <c r="D1414" s="3">
        <v>19</v>
      </c>
      <c r="E1414" s="3">
        <v>18</v>
      </c>
      <c r="F1414" s="3">
        <v>22.19</v>
      </c>
      <c r="G1414" s="3">
        <v>0</v>
      </c>
      <c r="H1414" s="3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 s="3">
        <v>18</v>
      </c>
      <c r="N1414" s="3">
        <v>97.11</v>
      </c>
      <c r="O1414" s="12">
        <v>37.408312958435211</v>
      </c>
    </row>
    <row r="1415" spans="1:15" hidden="1" x14ac:dyDescent="0.25">
      <c r="A1415" s="10">
        <v>46044</v>
      </c>
      <c r="B1415" t="s">
        <v>27</v>
      </c>
      <c r="C1415" s="1" t="s">
        <v>26</v>
      </c>
      <c r="D1415" s="3">
        <v>0</v>
      </c>
      <c r="E1415" s="3">
        <v>0</v>
      </c>
      <c r="F1415" s="3">
        <v>0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 s="3">
        <v>0</v>
      </c>
      <c r="N1415" s="3">
        <v>0</v>
      </c>
      <c r="O1415" s="12">
        <v>0</v>
      </c>
    </row>
    <row r="1416" spans="1:15" hidden="1" x14ac:dyDescent="0.25">
      <c r="A1416" s="10">
        <v>46044</v>
      </c>
      <c r="B1416" t="s">
        <v>41</v>
      </c>
      <c r="C1416" s="1" t="s">
        <v>32</v>
      </c>
      <c r="D1416" s="3">
        <v>25</v>
      </c>
      <c r="E1416" s="3">
        <v>21</v>
      </c>
      <c r="F1416" s="3">
        <v>19.100000000000001</v>
      </c>
      <c r="G1416" s="3">
        <v>0</v>
      </c>
      <c r="H1416" s="3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 s="3">
        <v>21</v>
      </c>
      <c r="N1416" s="3">
        <v>100</v>
      </c>
      <c r="O1416" s="12">
        <v>30.470347648261761</v>
      </c>
    </row>
    <row r="1417" spans="1:15" hidden="1" x14ac:dyDescent="0.25">
      <c r="A1417" s="10">
        <v>46044</v>
      </c>
      <c r="B1417" t="s">
        <v>56</v>
      </c>
      <c r="C1417" s="1" t="s">
        <v>48</v>
      </c>
      <c r="D1417" s="3">
        <v>25</v>
      </c>
      <c r="E1417" s="3">
        <v>23</v>
      </c>
      <c r="F1417" s="3">
        <v>18.32</v>
      </c>
      <c r="G1417" s="3">
        <v>0</v>
      </c>
      <c r="H1417" s="3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 s="3">
        <v>17</v>
      </c>
      <c r="N1417" s="3">
        <v>100</v>
      </c>
      <c r="O1417" s="12">
        <v>32.371134020618562</v>
      </c>
    </row>
    <row r="1418" spans="1:15" hidden="1" x14ac:dyDescent="0.25">
      <c r="A1418" s="10">
        <v>46044</v>
      </c>
      <c r="B1418" t="s">
        <v>57</v>
      </c>
      <c r="C1418" s="1" t="s">
        <v>48</v>
      </c>
      <c r="D1418" s="3">
        <v>28</v>
      </c>
      <c r="E1418" s="3">
        <v>27</v>
      </c>
      <c r="F1418" s="3">
        <v>17.059999999999999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 s="3">
        <v>21</v>
      </c>
      <c r="N1418" s="3">
        <v>98.32</v>
      </c>
      <c r="O1418" s="12">
        <v>32.318501170960189</v>
      </c>
    </row>
    <row r="1419" spans="1:15" hidden="1" x14ac:dyDescent="0.25">
      <c r="A1419" s="10">
        <v>46044</v>
      </c>
      <c r="B1419" t="s">
        <v>42</v>
      </c>
      <c r="C1419" s="1" t="s">
        <v>32</v>
      </c>
      <c r="D1419" s="3">
        <v>47</v>
      </c>
      <c r="E1419" s="3">
        <v>29</v>
      </c>
      <c r="F1419" s="3">
        <v>5.45</v>
      </c>
      <c r="G1419" s="3">
        <v>0</v>
      </c>
      <c r="H1419" s="3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 s="3">
        <v>22</v>
      </c>
      <c r="N1419" s="3">
        <v>96.43</v>
      </c>
      <c r="O1419" s="12">
        <v>27.015250544662312</v>
      </c>
    </row>
    <row r="1420" spans="1:15" hidden="1" x14ac:dyDescent="0.25">
      <c r="A1420" s="10">
        <v>46044</v>
      </c>
      <c r="B1420" t="s">
        <v>62</v>
      </c>
      <c r="C1420" s="1" t="s">
        <v>23</v>
      </c>
      <c r="D1420" s="3">
        <v>25</v>
      </c>
      <c r="E1420" s="3">
        <v>23</v>
      </c>
      <c r="F1420" s="3">
        <v>15.11</v>
      </c>
      <c r="G1420" s="3">
        <v>0</v>
      </c>
      <c r="H1420" s="3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 s="3">
        <v>23</v>
      </c>
      <c r="N1420" s="3">
        <v>98.89</v>
      </c>
      <c r="O1420" s="12">
        <v>28.021978021978018</v>
      </c>
    </row>
    <row r="1421" spans="1:15" hidden="1" x14ac:dyDescent="0.25">
      <c r="A1421" s="10">
        <v>46044</v>
      </c>
      <c r="B1421" t="s">
        <v>19</v>
      </c>
      <c r="C1421" s="1" t="s">
        <v>16</v>
      </c>
      <c r="D1421" s="3">
        <v>8</v>
      </c>
      <c r="E1421" s="3">
        <v>8</v>
      </c>
      <c r="F1421" s="3">
        <v>42.33</v>
      </c>
      <c r="G1421" s="3">
        <v>0</v>
      </c>
      <c r="H1421" s="3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 s="3">
        <v>6</v>
      </c>
      <c r="N1421" s="3">
        <v>100</v>
      </c>
      <c r="O1421" s="12">
        <v>33.333333333333329</v>
      </c>
    </row>
    <row r="1422" spans="1:15" hidden="1" x14ac:dyDescent="0.25">
      <c r="A1422" s="10">
        <v>46044</v>
      </c>
      <c r="B1422" t="s">
        <v>43</v>
      </c>
      <c r="C1422" s="1" t="s">
        <v>32</v>
      </c>
      <c r="D1422" s="3">
        <v>24</v>
      </c>
      <c r="E1422" s="3">
        <v>22</v>
      </c>
      <c r="F1422" s="3">
        <v>13.4</v>
      </c>
      <c r="G1422" s="3">
        <v>0</v>
      </c>
      <c r="H1422" s="3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 s="3">
        <v>19</v>
      </c>
      <c r="N1422" s="3">
        <v>100</v>
      </c>
      <c r="O1422" s="12">
        <v>27.43362831858407</v>
      </c>
    </row>
    <row r="1423" spans="1:15" hidden="1" x14ac:dyDescent="0.25">
      <c r="A1423" s="10">
        <v>46044</v>
      </c>
      <c r="B1423" t="s">
        <v>44</v>
      </c>
      <c r="C1423" s="1" t="s">
        <v>32</v>
      </c>
      <c r="D1423" s="3">
        <v>27</v>
      </c>
      <c r="E1423" s="3">
        <v>23</v>
      </c>
      <c r="F1423" s="3">
        <v>17.309999999999999</v>
      </c>
      <c r="G1423" s="3">
        <v>0</v>
      </c>
      <c r="H1423" s="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 s="3">
        <v>17</v>
      </c>
      <c r="N1423" s="3">
        <v>98.65</v>
      </c>
      <c r="O1423" s="12">
        <v>30.978260869565219</v>
      </c>
    </row>
    <row r="1424" spans="1:15" hidden="1" x14ac:dyDescent="0.25">
      <c r="A1424" s="10">
        <v>46044</v>
      </c>
      <c r="B1424" t="s">
        <v>20</v>
      </c>
      <c r="C1424" s="1" t="s">
        <v>16</v>
      </c>
      <c r="D1424" s="3">
        <v>9</v>
      </c>
      <c r="E1424" s="3">
        <v>9</v>
      </c>
      <c r="F1424" s="3">
        <v>22.37</v>
      </c>
      <c r="G1424" s="3">
        <v>0</v>
      </c>
      <c r="H1424" s="3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 s="3">
        <v>2</v>
      </c>
      <c r="N1424" s="3">
        <v>100</v>
      </c>
      <c r="O1424" s="12">
        <v>12</v>
      </c>
    </row>
    <row r="1425" spans="1:15" hidden="1" x14ac:dyDescent="0.25">
      <c r="A1425" s="10">
        <v>46044</v>
      </c>
      <c r="B1425" t="s">
        <v>28</v>
      </c>
      <c r="C1425" s="1" t="s">
        <v>26</v>
      </c>
      <c r="D1425" s="3">
        <v>0</v>
      </c>
      <c r="E1425" s="3">
        <v>0</v>
      </c>
      <c r="F1425" s="3">
        <v>0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 s="3">
        <v>0</v>
      </c>
      <c r="N1425" s="3">
        <v>0</v>
      </c>
      <c r="O1425" s="12">
        <v>0</v>
      </c>
    </row>
    <row r="1426" spans="1:15" hidden="1" x14ac:dyDescent="0.25">
      <c r="A1426" s="10">
        <v>46044</v>
      </c>
      <c r="B1426" t="s">
        <v>58</v>
      </c>
      <c r="C1426" s="1" t="s">
        <v>48</v>
      </c>
      <c r="D1426" s="3">
        <v>20</v>
      </c>
      <c r="E1426" s="3">
        <v>18</v>
      </c>
      <c r="F1426" s="3">
        <v>22.17</v>
      </c>
      <c r="G1426" s="3">
        <v>0</v>
      </c>
      <c r="H1426" s="3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 s="3">
        <v>20</v>
      </c>
      <c r="N1426" s="3">
        <v>97.56</v>
      </c>
      <c r="O1426" s="12">
        <v>31.067961165048541</v>
      </c>
    </row>
    <row r="1427" spans="1:15" hidden="1" x14ac:dyDescent="0.25">
      <c r="A1427" s="10">
        <v>46044</v>
      </c>
      <c r="B1427" t="s">
        <v>29</v>
      </c>
      <c r="C1427" s="1" t="s">
        <v>26</v>
      </c>
      <c r="D1427" s="3">
        <v>0</v>
      </c>
      <c r="E1427" s="3">
        <v>0</v>
      </c>
      <c r="F1427" s="3">
        <v>0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 s="3">
        <v>0</v>
      </c>
      <c r="N1427" s="3">
        <v>0</v>
      </c>
      <c r="O1427" s="12">
        <v>0</v>
      </c>
    </row>
    <row r="1428" spans="1:15" hidden="1" x14ac:dyDescent="0.25">
      <c r="A1428" s="10">
        <v>46044</v>
      </c>
      <c r="B1428" t="s">
        <v>30</v>
      </c>
      <c r="C1428" s="1" t="s">
        <v>26</v>
      </c>
      <c r="D1428" s="3">
        <v>0</v>
      </c>
      <c r="E1428" s="3">
        <v>0</v>
      </c>
      <c r="F1428" s="3">
        <v>0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 s="3">
        <v>0</v>
      </c>
      <c r="N1428" s="3">
        <v>0</v>
      </c>
      <c r="O1428" s="12">
        <v>0</v>
      </c>
    </row>
    <row r="1429" spans="1:15" hidden="1" x14ac:dyDescent="0.25">
      <c r="A1429" s="10">
        <v>46044</v>
      </c>
      <c r="B1429" t="s">
        <v>21</v>
      </c>
      <c r="C1429" s="1" t="s">
        <v>16</v>
      </c>
      <c r="D1429" s="3">
        <v>0</v>
      </c>
      <c r="E1429" s="3">
        <v>0</v>
      </c>
      <c r="F1429" s="3">
        <v>0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 s="3">
        <v>0</v>
      </c>
      <c r="N1429" s="3">
        <v>0</v>
      </c>
      <c r="O1429" s="12">
        <v>0</v>
      </c>
    </row>
    <row r="1430" spans="1:15" hidden="1" x14ac:dyDescent="0.25">
      <c r="A1430" s="10">
        <v>46044</v>
      </c>
      <c r="B1430" t="s">
        <v>63</v>
      </c>
      <c r="C1430" s="1" t="s">
        <v>23</v>
      </c>
      <c r="D1430" s="3">
        <v>0</v>
      </c>
      <c r="E1430" s="3">
        <v>0</v>
      </c>
      <c r="F1430" s="3">
        <v>0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 s="3">
        <v>0</v>
      </c>
      <c r="N1430" s="3">
        <v>100</v>
      </c>
      <c r="O1430" s="12">
        <v>53.846153846153847</v>
      </c>
    </row>
    <row r="1431" spans="1:15" hidden="1" x14ac:dyDescent="0.25">
      <c r="A1431" s="10">
        <v>46044</v>
      </c>
      <c r="B1431" t="s">
        <v>45</v>
      </c>
      <c r="C1431" s="1" t="s">
        <v>32</v>
      </c>
      <c r="D1431" s="3">
        <v>25</v>
      </c>
      <c r="E1431" s="3">
        <v>24</v>
      </c>
      <c r="F1431" s="3">
        <v>18.309999999999999</v>
      </c>
      <c r="G1431" s="3">
        <v>0</v>
      </c>
      <c r="H1431" s="3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 s="3">
        <v>24</v>
      </c>
      <c r="N1431" s="3">
        <v>100</v>
      </c>
      <c r="O1431" s="12">
        <v>44.05594405594406</v>
      </c>
    </row>
    <row r="1432" spans="1:15" hidden="1" x14ac:dyDescent="0.25">
      <c r="A1432" s="10">
        <v>46044</v>
      </c>
      <c r="B1432" t="s">
        <v>64</v>
      </c>
      <c r="C1432" s="1" t="s">
        <v>23</v>
      </c>
      <c r="D1432" s="3">
        <v>13</v>
      </c>
      <c r="E1432" s="3">
        <v>13</v>
      </c>
      <c r="F1432" s="3">
        <v>35.58</v>
      </c>
      <c r="G1432" s="3">
        <v>0</v>
      </c>
      <c r="H1432" s="3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 s="3">
        <v>10</v>
      </c>
      <c r="N1432" s="3">
        <v>100</v>
      </c>
      <c r="O1432" s="12">
        <v>31.872509960159359</v>
      </c>
    </row>
    <row r="1433" spans="1:15" hidden="1" x14ac:dyDescent="0.25">
      <c r="A1433" s="10">
        <v>46044</v>
      </c>
      <c r="B1433" t="s">
        <v>46</v>
      </c>
      <c r="C1433" s="1" t="s">
        <v>32</v>
      </c>
      <c r="D1433" s="3">
        <v>29</v>
      </c>
      <c r="E1433" s="3">
        <v>27</v>
      </c>
      <c r="F1433" s="3">
        <v>13.32</v>
      </c>
      <c r="G1433" s="3">
        <v>0</v>
      </c>
      <c r="H1433" s="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 s="3">
        <v>22</v>
      </c>
      <c r="N1433" s="3">
        <v>98.41</v>
      </c>
      <c r="O1433" s="12">
        <v>29.22465208747515</v>
      </c>
    </row>
    <row r="1434" spans="1:15" hidden="1" x14ac:dyDescent="0.25">
      <c r="A1434" s="10">
        <v>46045</v>
      </c>
      <c r="B1434" t="s">
        <v>47</v>
      </c>
      <c r="C1434" s="1" t="s">
        <v>48</v>
      </c>
      <c r="D1434" s="3">
        <v>25</v>
      </c>
      <c r="E1434" s="3">
        <v>22</v>
      </c>
      <c r="F1434" s="3">
        <v>13.3</v>
      </c>
      <c r="G1434" s="3">
        <v>0</v>
      </c>
      <c r="H1434" s="3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 s="3">
        <v>17</v>
      </c>
      <c r="N1434" s="3">
        <v>96.81</v>
      </c>
      <c r="O1434" s="12">
        <v>27.980535279805348</v>
      </c>
    </row>
    <row r="1435" spans="1:15" hidden="1" x14ac:dyDescent="0.25">
      <c r="A1435" s="10">
        <v>46045</v>
      </c>
      <c r="B1435" t="s">
        <v>31</v>
      </c>
      <c r="C1435" s="1" t="s">
        <v>32</v>
      </c>
      <c r="D1435" s="3">
        <v>0</v>
      </c>
      <c r="E1435" s="3">
        <v>0</v>
      </c>
      <c r="F1435" s="3">
        <v>0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 s="3">
        <v>22</v>
      </c>
      <c r="N1435" s="3">
        <v>98.73</v>
      </c>
      <c r="O1435" s="12">
        <v>35.756385068762278</v>
      </c>
    </row>
    <row r="1436" spans="1:15" hidden="1" x14ac:dyDescent="0.25">
      <c r="A1436" s="10">
        <v>46045</v>
      </c>
      <c r="B1436" t="s">
        <v>59</v>
      </c>
      <c r="C1436" s="1" t="s">
        <v>23</v>
      </c>
      <c r="D1436" s="3">
        <v>30</v>
      </c>
      <c r="E1436" s="3">
        <v>29</v>
      </c>
      <c r="F1436" s="3">
        <v>19.04</v>
      </c>
      <c r="G1436" s="3">
        <v>0</v>
      </c>
      <c r="H1436" s="3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 s="3">
        <v>25</v>
      </c>
      <c r="N1436" s="3">
        <v>98.32</v>
      </c>
      <c r="O1436" s="12">
        <v>26.763485477178421</v>
      </c>
    </row>
    <row r="1437" spans="1:15" hidden="1" x14ac:dyDescent="0.25">
      <c r="A1437" s="10">
        <v>46045</v>
      </c>
      <c r="B1437" t="s">
        <v>33</v>
      </c>
      <c r="C1437" s="1" t="s">
        <v>32</v>
      </c>
      <c r="D1437" s="3">
        <v>24</v>
      </c>
      <c r="E1437" s="3">
        <v>22</v>
      </c>
      <c r="F1437" s="3">
        <v>20.23</v>
      </c>
      <c r="G1437" s="3">
        <v>0</v>
      </c>
      <c r="H1437" s="3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 s="3">
        <v>21</v>
      </c>
      <c r="N1437" s="3">
        <v>99.19</v>
      </c>
      <c r="O1437" s="12">
        <v>27.637130801687761</v>
      </c>
    </row>
    <row r="1438" spans="1:15" hidden="1" x14ac:dyDescent="0.25">
      <c r="A1438" s="10">
        <v>46045</v>
      </c>
      <c r="B1438" t="s">
        <v>15</v>
      </c>
      <c r="C1438" s="1" t="s">
        <v>16</v>
      </c>
      <c r="D1438" s="3">
        <v>8</v>
      </c>
      <c r="E1438" s="3">
        <v>8</v>
      </c>
      <c r="F1438" s="3">
        <v>33.450000000000003</v>
      </c>
      <c r="G1438" s="3">
        <v>0</v>
      </c>
      <c r="H1438" s="3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 s="3">
        <v>7</v>
      </c>
      <c r="N1438" s="3">
        <v>100</v>
      </c>
      <c r="O1438" s="12">
        <v>39.568345323741013</v>
      </c>
    </row>
    <row r="1439" spans="1:15" hidden="1" x14ac:dyDescent="0.25">
      <c r="A1439" s="10">
        <v>46045</v>
      </c>
      <c r="B1439" t="s">
        <v>49</v>
      </c>
      <c r="C1439" s="1" t="s">
        <v>48</v>
      </c>
      <c r="D1439" s="3">
        <v>24</v>
      </c>
      <c r="E1439" s="3">
        <v>21</v>
      </c>
      <c r="F1439" s="3">
        <v>18.23</v>
      </c>
      <c r="G1439" s="3">
        <v>0</v>
      </c>
      <c r="H1439" s="3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 s="3">
        <v>21</v>
      </c>
      <c r="N1439" s="3">
        <v>98.54</v>
      </c>
      <c r="O1439" s="12">
        <v>28.544776119402989</v>
      </c>
    </row>
    <row r="1440" spans="1:15" hidden="1" x14ac:dyDescent="0.25">
      <c r="A1440" s="10">
        <v>46045</v>
      </c>
      <c r="B1440" t="s">
        <v>50</v>
      </c>
      <c r="C1440" s="1" t="s">
        <v>48</v>
      </c>
      <c r="D1440" s="3">
        <v>24</v>
      </c>
      <c r="E1440" s="3">
        <v>23</v>
      </c>
      <c r="F1440" s="3">
        <v>20.34</v>
      </c>
      <c r="G1440" s="3">
        <v>0</v>
      </c>
      <c r="H1440" s="3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 s="3">
        <v>21</v>
      </c>
      <c r="N1440" s="3">
        <v>100</v>
      </c>
      <c r="O1440" s="12">
        <v>34.366925064599492</v>
      </c>
    </row>
    <row r="1441" spans="1:15" hidden="1" x14ac:dyDescent="0.25">
      <c r="A1441" s="10">
        <v>46045</v>
      </c>
      <c r="B1441" t="s">
        <v>17</v>
      </c>
      <c r="C1441" s="1" t="s">
        <v>16</v>
      </c>
      <c r="D1441" s="3">
        <v>0</v>
      </c>
      <c r="E1441" s="3">
        <v>0</v>
      </c>
      <c r="F1441" s="3">
        <v>0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 s="3">
        <v>0</v>
      </c>
      <c r="N1441" s="3">
        <v>0</v>
      </c>
      <c r="O1441" s="12">
        <v>0</v>
      </c>
    </row>
    <row r="1442" spans="1:15" hidden="1" x14ac:dyDescent="0.25">
      <c r="A1442" s="10">
        <v>46045</v>
      </c>
      <c r="B1442" t="s">
        <v>60</v>
      </c>
      <c r="C1442" s="1" t="s">
        <v>23</v>
      </c>
      <c r="D1442" s="3">
        <v>16</v>
      </c>
      <c r="E1442" s="3">
        <v>15</v>
      </c>
      <c r="F1442" s="3">
        <v>19</v>
      </c>
      <c r="G1442" s="3">
        <v>0</v>
      </c>
      <c r="H1442" s="3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 s="3">
        <v>15</v>
      </c>
      <c r="N1442" s="3">
        <v>100</v>
      </c>
      <c r="O1442" s="12">
        <v>29.518072289156631</v>
      </c>
    </row>
    <row r="1443" spans="1:15" hidden="1" x14ac:dyDescent="0.25">
      <c r="A1443" s="10">
        <v>46045</v>
      </c>
      <c r="B1443" t="s">
        <v>34</v>
      </c>
      <c r="C1443" s="1" t="s">
        <v>32</v>
      </c>
      <c r="D1443" s="3">
        <v>28</v>
      </c>
      <c r="E1443" s="3">
        <v>27</v>
      </c>
      <c r="F1443" s="3">
        <v>15.1</v>
      </c>
      <c r="G1443" s="3">
        <v>0</v>
      </c>
      <c r="H1443" s="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 s="3">
        <v>20</v>
      </c>
      <c r="N1443" s="3">
        <v>97.45</v>
      </c>
      <c r="O1443" s="12">
        <v>41.421143847487002</v>
      </c>
    </row>
    <row r="1444" spans="1:15" hidden="1" x14ac:dyDescent="0.25">
      <c r="A1444" s="10">
        <v>46045</v>
      </c>
      <c r="B1444" t="s">
        <v>51</v>
      </c>
      <c r="C1444" s="1" t="s">
        <v>48</v>
      </c>
      <c r="D1444" s="3">
        <v>31</v>
      </c>
      <c r="E1444" s="3">
        <v>20</v>
      </c>
      <c r="F1444" s="3">
        <v>11.42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 s="3">
        <v>16</v>
      </c>
      <c r="N1444" s="3">
        <v>96.58</v>
      </c>
      <c r="O1444" s="12">
        <v>30.396475770925111</v>
      </c>
    </row>
    <row r="1445" spans="1:15" hidden="1" x14ac:dyDescent="0.25">
      <c r="A1445" s="10">
        <v>46045</v>
      </c>
      <c r="B1445" t="s">
        <v>61</v>
      </c>
      <c r="C1445" s="1" t="s">
        <v>23</v>
      </c>
      <c r="D1445" s="3">
        <v>29</v>
      </c>
      <c r="E1445" s="3">
        <v>27</v>
      </c>
      <c r="F1445" s="3">
        <v>14.13</v>
      </c>
      <c r="G1445" s="3">
        <v>0</v>
      </c>
      <c r="H1445" s="3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 s="3">
        <v>31</v>
      </c>
      <c r="N1445" s="3">
        <v>100</v>
      </c>
      <c r="O1445" s="12">
        <v>27.44282744282744</v>
      </c>
    </row>
    <row r="1446" spans="1:15" hidden="1" x14ac:dyDescent="0.25">
      <c r="A1446" s="10">
        <v>46045</v>
      </c>
      <c r="B1446" t="s">
        <v>35</v>
      </c>
      <c r="C1446" s="1" t="s">
        <v>32</v>
      </c>
      <c r="D1446" s="3">
        <v>25</v>
      </c>
      <c r="E1446" s="3">
        <v>24</v>
      </c>
      <c r="F1446" s="3">
        <v>23.24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 s="3">
        <v>24</v>
      </c>
      <c r="N1446" s="3">
        <v>99.49</v>
      </c>
      <c r="O1446" s="12">
        <v>40.200000000000003</v>
      </c>
    </row>
    <row r="1447" spans="1:15" hidden="1" x14ac:dyDescent="0.25">
      <c r="A1447" s="10">
        <v>46045</v>
      </c>
      <c r="B1447" t="s">
        <v>18</v>
      </c>
      <c r="C1447" s="1" t="s">
        <v>16</v>
      </c>
      <c r="D1447" s="3">
        <v>0</v>
      </c>
      <c r="E1447" s="3">
        <v>0</v>
      </c>
      <c r="F1447" s="3">
        <v>0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 s="3">
        <v>0</v>
      </c>
      <c r="N1447" s="3">
        <v>100</v>
      </c>
      <c r="O1447" s="12">
        <v>25</v>
      </c>
    </row>
    <row r="1448" spans="1:15" hidden="1" x14ac:dyDescent="0.25">
      <c r="A1448" s="10">
        <v>46045</v>
      </c>
      <c r="B1448" t="s">
        <v>52</v>
      </c>
      <c r="C1448" s="1" t="s">
        <v>48</v>
      </c>
      <c r="D1448" s="3">
        <v>21</v>
      </c>
      <c r="E1448" s="3">
        <v>20</v>
      </c>
      <c r="F1448" s="3">
        <v>23.41</v>
      </c>
      <c r="G1448" s="3">
        <v>0</v>
      </c>
      <c r="H1448" s="3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 s="3">
        <v>20</v>
      </c>
      <c r="N1448" s="3">
        <v>100</v>
      </c>
      <c r="O1448" s="12">
        <v>34.15094339622641</v>
      </c>
    </row>
    <row r="1449" spans="1:15" hidden="1" x14ac:dyDescent="0.25">
      <c r="A1449" s="10">
        <v>46045</v>
      </c>
      <c r="B1449" t="s">
        <v>36</v>
      </c>
      <c r="C1449" s="1" t="s">
        <v>32</v>
      </c>
      <c r="D1449" s="3">
        <v>15</v>
      </c>
      <c r="E1449" s="3">
        <v>13</v>
      </c>
      <c r="F1449" s="3">
        <v>21.45</v>
      </c>
      <c r="G1449" s="3">
        <v>0</v>
      </c>
      <c r="H1449" s="3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 s="3">
        <v>15</v>
      </c>
      <c r="N1449" s="3">
        <v>100</v>
      </c>
      <c r="O1449" s="12">
        <v>32.731376975169297</v>
      </c>
    </row>
    <row r="1450" spans="1:15" hidden="1" x14ac:dyDescent="0.25">
      <c r="A1450" s="10">
        <v>46045</v>
      </c>
      <c r="B1450" t="s">
        <v>53</v>
      </c>
      <c r="C1450" s="1" t="s">
        <v>48</v>
      </c>
      <c r="D1450" s="3">
        <v>20</v>
      </c>
      <c r="E1450" s="3">
        <v>17</v>
      </c>
      <c r="F1450" s="3">
        <v>23.49</v>
      </c>
      <c r="G1450" s="3">
        <v>0</v>
      </c>
      <c r="H1450" s="3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 s="3">
        <v>18</v>
      </c>
      <c r="N1450" s="3">
        <v>99.31</v>
      </c>
      <c r="O1450" s="12">
        <v>30.96234309623431</v>
      </c>
    </row>
    <row r="1451" spans="1:15" hidden="1" x14ac:dyDescent="0.25">
      <c r="A1451" s="10">
        <v>46079</v>
      </c>
      <c r="B1451" t="s">
        <v>22</v>
      </c>
      <c r="C1451" s="1" t="s">
        <v>23</v>
      </c>
      <c r="D1451" s="3">
        <v>13</v>
      </c>
      <c r="E1451" s="3">
        <v>13</v>
      </c>
      <c r="F1451" s="3">
        <v>28.57</v>
      </c>
      <c r="G1451" s="3">
        <v>0</v>
      </c>
      <c r="H1451" s="3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 s="3">
        <v>13</v>
      </c>
      <c r="N1451" s="3">
        <v>96.67</v>
      </c>
      <c r="O1451" s="12">
        <v>31.451612903225811</v>
      </c>
    </row>
    <row r="1452" spans="1:15" hidden="1" x14ac:dyDescent="0.25">
      <c r="A1452" s="10">
        <v>46045</v>
      </c>
      <c r="B1452" t="s">
        <v>54</v>
      </c>
      <c r="C1452" s="1" t="s">
        <v>48</v>
      </c>
      <c r="D1452" s="3">
        <v>24</v>
      </c>
      <c r="E1452" s="3">
        <v>23</v>
      </c>
      <c r="F1452" s="3">
        <v>23.28</v>
      </c>
      <c r="G1452" s="3">
        <v>0</v>
      </c>
      <c r="H1452" s="3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 s="3">
        <v>22</v>
      </c>
      <c r="N1452" s="3">
        <v>100</v>
      </c>
      <c r="O1452" s="12">
        <v>27.676767676767678</v>
      </c>
    </row>
    <row r="1453" spans="1:15" hidden="1" x14ac:dyDescent="0.25">
      <c r="A1453" s="10">
        <v>46045</v>
      </c>
      <c r="B1453" t="s">
        <v>37</v>
      </c>
      <c r="C1453" s="1" t="s">
        <v>32</v>
      </c>
      <c r="D1453" s="3">
        <v>36</v>
      </c>
      <c r="E1453" s="3">
        <v>34</v>
      </c>
      <c r="F1453" s="3">
        <v>18.5</v>
      </c>
      <c r="G1453" s="3">
        <v>0</v>
      </c>
      <c r="H1453" s="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 s="3">
        <v>29</v>
      </c>
      <c r="N1453" s="3">
        <v>100</v>
      </c>
      <c r="O1453" s="12">
        <v>31.17723156532988</v>
      </c>
    </row>
    <row r="1454" spans="1:15" hidden="1" x14ac:dyDescent="0.25">
      <c r="A1454" s="10">
        <v>46045</v>
      </c>
      <c r="B1454" t="s">
        <v>38</v>
      </c>
      <c r="C1454" s="1" t="s">
        <v>32</v>
      </c>
      <c r="D1454" s="3">
        <v>9</v>
      </c>
      <c r="E1454" s="3">
        <v>6</v>
      </c>
      <c r="F1454" s="3">
        <v>10.51</v>
      </c>
      <c r="G1454" s="3">
        <v>0</v>
      </c>
      <c r="H1454" s="3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 s="3">
        <v>8</v>
      </c>
      <c r="N1454" s="3">
        <v>100</v>
      </c>
      <c r="O1454" s="12">
        <v>27.609427609427609</v>
      </c>
    </row>
    <row r="1455" spans="1:15" hidden="1" x14ac:dyDescent="0.25">
      <c r="A1455" s="10">
        <v>46045</v>
      </c>
      <c r="B1455" t="s">
        <v>55</v>
      </c>
      <c r="C1455" s="1" t="s">
        <v>48</v>
      </c>
      <c r="D1455" s="3">
        <v>23</v>
      </c>
      <c r="E1455" s="3">
        <v>17</v>
      </c>
      <c r="F1455" s="3">
        <v>15.43</v>
      </c>
      <c r="G1455" s="3">
        <v>0</v>
      </c>
      <c r="H1455" s="3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 s="3">
        <v>18</v>
      </c>
      <c r="N1455" s="3">
        <v>96.4</v>
      </c>
      <c r="O1455" s="12">
        <v>28.764044943820231</v>
      </c>
    </row>
    <row r="1456" spans="1:15" hidden="1" x14ac:dyDescent="0.25">
      <c r="A1456" s="10">
        <v>46045</v>
      </c>
      <c r="B1456" t="s">
        <v>39</v>
      </c>
      <c r="C1456" s="1" t="s">
        <v>32</v>
      </c>
      <c r="D1456" s="3">
        <v>0</v>
      </c>
      <c r="E1456" s="3">
        <v>0</v>
      </c>
      <c r="F1456" s="3">
        <v>0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 s="3">
        <v>0</v>
      </c>
      <c r="N1456" s="3">
        <v>100</v>
      </c>
      <c r="O1456" s="12">
        <v>33.980582524271853</v>
      </c>
    </row>
    <row r="1457" spans="1:15" hidden="1" x14ac:dyDescent="0.25">
      <c r="A1457" s="10">
        <v>46045</v>
      </c>
      <c r="B1457" t="s">
        <v>25</v>
      </c>
      <c r="C1457" s="1" t="s">
        <v>26</v>
      </c>
      <c r="D1457" s="3">
        <v>5</v>
      </c>
      <c r="E1457" s="3">
        <v>5</v>
      </c>
      <c r="F1457" s="3">
        <v>45.31</v>
      </c>
      <c r="G1457" s="3">
        <v>0</v>
      </c>
      <c r="H1457" s="3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 s="3">
        <v>5</v>
      </c>
      <c r="N1457" s="3">
        <v>97.56</v>
      </c>
      <c r="O1457" s="12">
        <v>32.515337423312893</v>
      </c>
    </row>
    <row r="1458" spans="1:15" hidden="1" x14ac:dyDescent="0.25">
      <c r="A1458" s="10">
        <v>46045</v>
      </c>
      <c r="B1458" t="s">
        <v>40</v>
      </c>
      <c r="C1458" s="1" t="s">
        <v>32</v>
      </c>
      <c r="D1458" s="3">
        <v>24</v>
      </c>
      <c r="E1458" s="3">
        <v>22</v>
      </c>
      <c r="F1458" s="3">
        <v>19.05</v>
      </c>
      <c r="G1458" s="3">
        <v>0</v>
      </c>
      <c r="H1458" s="3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 s="3">
        <v>23</v>
      </c>
      <c r="N1458" s="3">
        <v>97.11</v>
      </c>
      <c r="O1458" s="12">
        <v>37.408312958435211</v>
      </c>
    </row>
    <row r="1459" spans="1:15" hidden="1" x14ac:dyDescent="0.25">
      <c r="A1459" s="10">
        <v>46045</v>
      </c>
      <c r="B1459" t="s">
        <v>27</v>
      </c>
      <c r="C1459" s="1" t="s">
        <v>26</v>
      </c>
      <c r="D1459" s="3">
        <v>0</v>
      </c>
      <c r="E1459" s="3">
        <v>0</v>
      </c>
      <c r="F1459" s="3">
        <v>0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 s="3">
        <v>0</v>
      </c>
      <c r="N1459" s="3">
        <v>0</v>
      </c>
      <c r="O1459" s="12">
        <v>0</v>
      </c>
    </row>
    <row r="1460" spans="1:15" hidden="1" x14ac:dyDescent="0.25">
      <c r="A1460" s="10">
        <v>46045</v>
      </c>
      <c r="B1460" t="s">
        <v>41</v>
      </c>
      <c r="C1460" s="1" t="s">
        <v>32</v>
      </c>
      <c r="D1460" s="3">
        <v>12</v>
      </c>
      <c r="E1460" s="3">
        <v>11</v>
      </c>
      <c r="F1460" s="3">
        <v>32.119999999999997</v>
      </c>
      <c r="G1460" s="3">
        <v>0</v>
      </c>
      <c r="H1460" s="3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 s="3">
        <v>9</v>
      </c>
      <c r="N1460" s="3">
        <v>100</v>
      </c>
      <c r="O1460" s="12">
        <v>30.470347648261761</v>
      </c>
    </row>
    <row r="1461" spans="1:15" hidden="1" x14ac:dyDescent="0.25">
      <c r="A1461" s="10">
        <v>46045</v>
      </c>
      <c r="B1461" t="s">
        <v>56</v>
      </c>
      <c r="C1461" s="1" t="s">
        <v>48</v>
      </c>
      <c r="D1461" s="3">
        <v>27</v>
      </c>
      <c r="E1461" s="3">
        <v>23</v>
      </c>
      <c r="F1461" s="3">
        <v>17.29</v>
      </c>
      <c r="G1461" s="3">
        <v>0</v>
      </c>
      <c r="H1461" s="3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 s="3">
        <v>21</v>
      </c>
      <c r="N1461" s="3">
        <v>100</v>
      </c>
      <c r="O1461" s="12">
        <v>32.371134020618562</v>
      </c>
    </row>
    <row r="1462" spans="1:15" hidden="1" x14ac:dyDescent="0.25">
      <c r="A1462" s="10">
        <v>46045</v>
      </c>
      <c r="B1462" t="s">
        <v>57</v>
      </c>
      <c r="C1462" s="1" t="s">
        <v>48</v>
      </c>
      <c r="D1462" s="3">
        <v>11</v>
      </c>
      <c r="E1462" s="3">
        <v>11</v>
      </c>
      <c r="F1462" s="3">
        <v>18.28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 s="3">
        <v>10</v>
      </c>
      <c r="N1462" s="3">
        <v>98.32</v>
      </c>
      <c r="O1462" s="12">
        <v>32.318501170960189</v>
      </c>
    </row>
    <row r="1463" spans="1:15" hidden="1" x14ac:dyDescent="0.25">
      <c r="A1463" s="10">
        <v>46045</v>
      </c>
      <c r="B1463" t="s">
        <v>42</v>
      </c>
      <c r="C1463" s="1" t="s">
        <v>32</v>
      </c>
      <c r="D1463" s="3">
        <v>23</v>
      </c>
      <c r="E1463" s="3">
        <v>17</v>
      </c>
      <c r="F1463" s="3">
        <v>11.47</v>
      </c>
      <c r="G1463" s="3">
        <v>0</v>
      </c>
      <c r="H1463" s="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 s="3">
        <v>11</v>
      </c>
      <c r="N1463" s="3">
        <v>96.43</v>
      </c>
      <c r="O1463" s="12">
        <v>27.015250544662312</v>
      </c>
    </row>
    <row r="1464" spans="1:15" hidden="1" x14ac:dyDescent="0.25">
      <c r="A1464" s="10">
        <v>46045</v>
      </c>
      <c r="B1464" t="s">
        <v>62</v>
      </c>
      <c r="C1464" s="1" t="s">
        <v>23</v>
      </c>
      <c r="D1464" s="3">
        <v>18</v>
      </c>
      <c r="E1464" s="3">
        <v>18</v>
      </c>
      <c r="F1464" s="3">
        <v>28.28</v>
      </c>
      <c r="G1464" s="3">
        <v>0</v>
      </c>
      <c r="H1464" s="3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 s="3">
        <v>14</v>
      </c>
      <c r="N1464" s="3">
        <v>98.89</v>
      </c>
      <c r="O1464" s="12">
        <v>28.021978021978018</v>
      </c>
    </row>
    <row r="1465" spans="1:15" hidden="1" x14ac:dyDescent="0.25">
      <c r="A1465" s="10">
        <v>46045</v>
      </c>
      <c r="B1465" t="s">
        <v>19</v>
      </c>
      <c r="C1465" s="1" t="s">
        <v>16</v>
      </c>
      <c r="D1465" s="3">
        <v>9</v>
      </c>
      <c r="E1465" s="3">
        <v>9</v>
      </c>
      <c r="F1465" s="3">
        <v>25.29</v>
      </c>
      <c r="G1465" s="3">
        <v>0</v>
      </c>
      <c r="H1465" s="3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 s="3">
        <v>6</v>
      </c>
      <c r="N1465" s="3">
        <v>100</v>
      </c>
      <c r="O1465" s="12">
        <v>33.333333333333329</v>
      </c>
    </row>
    <row r="1466" spans="1:15" hidden="1" x14ac:dyDescent="0.25">
      <c r="A1466" s="10">
        <v>46045</v>
      </c>
      <c r="B1466" t="s">
        <v>43</v>
      </c>
      <c r="C1466" s="1" t="s">
        <v>32</v>
      </c>
      <c r="D1466" s="3">
        <v>26</v>
      </c>
      <c r="E1466" s="3">
        <v>26</v>
      </c>
      <c r="F1466" s="3">
        <v>15.42</v>
      </c>
      <c r="G1466" s="3">
        <v>0</v>
      </c>
      <c r="H1466" s="3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 s="3">
        <v>23</v>
      </c>
      <c r="N1466" s="3">
        <v>100</v>
      </c>
      <c r="O1466" s="12">
        <v>27.43362831858407</v>
      </c>
    </row>
    <row r="1467" spans="1:15" hidden="1" x14ac:dyDescent="0.25">
      <c r="A1467" s="10">
        <v>46045</v>
      </c>
      <c r="B1467" t="s">
        <v>44</v>
      </c>
      <c r="C1467" s="1" t="s">
        <v>32</v>
      </c>
      <c r="D1467" s="3">
        <v>25</v>
      </c>
      <c r="E1467" s="3">
        <v>24</v>
      </c>
      <c r="F1467" s="3">
        <v>15.24</v>
      </c>
      <c r="G1467" s="3">
        <v>0</v>
      </c>
      <c r="H1467" s="3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 s="3">
        <v>20</v>
      </c>
      <c r="N1467" s="3">
        <v>98.65</v>
      </c>
      <c r="O1467" s="12">
        <v>30.978260869565219</v>
      </c>
    </row>
    <row r="1468" spans="1:15" hidden="1" x14ac:dyDescent="0.25">
      <c r="A1468" s="10">
        <v>46045</v>
      </c>
      <c r="B1468" t="s">
        <v>20</v>
      </c>
      <c r="C1468" s="1" t="s">
        <v>16</v>
      </c>
      <c r="D1468" s="3">
        <v>8</v>
      </c>
      <c r="E1468" s="3">
        <v>8</v>
      </c>
      <c r="F1468" s="3">
        <v>32.1</v>
      </c>
      <c r="G1468" s="3">
        <v>0</v>
      </c>
      <c r="H1468" s="3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 s="3">
        <v>4</v>
      </c>
      <c r="N1468" s="3">
        <v>100</v>
      </c>
      <c r="O1468" s="12">
        <v>12</v>
      </c>
    </row>
    <row r="1469" spans="1:15" hidden="1" x14ac:dyDescent="0.25">
      <c r="A1469" s="10">
        <v>46045</v>
      </c>
      <c r="B1469" t="s">
        <v>28</v>
      </c>
      <c r="C1469" s="1" t="s">
        <v>26</v>
      </c>
      <c r="D1469" s="3">
        <v>0</v>
      </c>
      <c r="E1469" s="3">
        <v>0</v>
      </c>
      <c r="F1469" s="3">
        <v>0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 s="3">
        <v>0</v>
      </c>
      <c r="N1469" s="3">
        <v>0</v>
      </c>
      <c r="O1469" s="12">
        <v>0</v>
      </c>
    </row>
    <row r="1470" spans="1:15" hidden="1" x14ac:dyDescent="0.25">
      <c r="A1470" s="10">
        <v>46045</v>
      </c>
      <c r="B1470" t="s">
        <v>58</v>
      </c>
      <c r="C1470" s="1" t="s">
        <v>48</v>
      </c>
      <c r="D1470" s="3">
        <v>21</v>
      </c>
      <c r="E1470" s="3">
        <v>21</v>
      </c>
      <c r="F1470" s="3">
        <v>18.260000000000002</v>
      </c>
      <c r="G1470" s="3">
        <v>0</v>
      </c>
      <c r="H1470" s="3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 s="3">
        <v>16</v>
      </c>
      <c r="N1470" s="3">
        <v>97.56</v>
      </c>
      <c r="O1470" s="12">
        <v>31.067961165048541</v>
      </c>
    </row>
    <row r="1471" spans="1:15" hidden="1" x14ac:dyDescent="0.25">
      <c r="A1471" s="10">
        <v>46045</v>
      </c>
      <c r="B1471" t="s">
        <v>29</v>
      </c>
      <c r="C1471" s="1" t="s">
        <v>26</v>
      </c>
      <c r="D1471" s="3">
        <v>0</v>
      </c>
      <c r="E1471" s="3">
        <v>0</v>
      </c>
      <c r="F1471" s="3">
        <v>0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 s="3">
        <v>0</v>
      </c>
      <c r="N1471" s="3">
        <v>0</v>
      </c>
      <c r="O1471" s="12">
        <v>0</v>
      </c>
    </row>
    <row r="1472" spans="1:15" hidden="1" x14ac:dyDescent="0.25">
      <c r="A1472" s="10">
        <v>46045</v>
      </c>
      <c r="B1472" t="s">
        <v>30</v>
      </c>
      <c r="C1472" s="1" t="s">
        <v>26</v>
      </c>
      <c r="D1472" s="3">
        <v>0</v>
      </c>
      <c r="E1472" s="3">
        <v>0</v>
      </c>
      <c r="F1472" s="3">
        <v>0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 s="3">
        <v>0</v>
      </c>
      <c r="N1472" s="3">
        <v>0</v>
      </c>
      <c r="O1472" s="12">
        <v>0</v>
      </c>
    </row>
    <row r="1473" spans="1:15" hidden="1" x14ac:dyDescent="0.25">
      <c r="A1473" s="10">
        <v>46045</v>
      </c>
      <c r="B1473" t="s">
        <v>21</v>
      </c>
      <c r="C1473" s="1" t="s">
        <v>16</v>
      </c>
      <c r="D1473" s="3">
        <v>0</v>
      </c>
      <c r="E1473" s="3">
        <v>0</v>
      </c>
      <c r="F1473" s="3">
        <v>0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 s="3">
        <v>0</v>
      </c>
      <c r="N1473" s="3">
        <v>0</v>
      </c>
      <c r="O1473" s="12">
        <v>0</v>
      </c>
    </row>
    <row r="1474" spans="1:15" hidden="1" x14ac:dyDescent="0.25">
      <c r="A1474" s="10">
        <v>46045</v>
      </c>
      <c r="B1474" t="s">
        <v>63</v>
      </c>
      <c r="C1474" s="1" t="s">
        <v>23</v>
      </c>
      <c r="D1474" s="3">
        <v>0</v>
      </c>
      <c r="E1474" s="3">
        <v>0</v>
      </c>
      <c r="F1474" s="3">
        <v>0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 s="3">
        <v>0</v>
      </c>
      <c r="N1474" s="3">
        <v>100</v>
      </c>
      <c r="O1474" s="12">
        <v>53.846153846153847</v>
      </c>
    </row>
    <row r="1475" spans="1:15" hidden="1" x14ac:dyDescent="0.25">
      <c r="A1475" s="10">
        <v>46045</v>
      </c>
      <c r="B1475" t="s">
        <v>45</v>
      </c>
      <c r="C1475" s="1" t="s">
        <v>32</v>
      </c>
      <c r="D1475" s="3">
        <v>30</v>
      </c>
      <c r="E1475" s="3">
        <v>28</v>
      </c>
      <c r="F1475" s="3">
        <v>12.09</v>
      </c>
      <c r="G1475" s="3">
        <v>0</v>
      </c>
      <c r="H1475" s="3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 s="3">
        <v>26</v>
      </c>
      <c r="N1475" s="3">
        <v>100</v>
      </c>
      <c r="O1475" s="12">
        <v>44.05594405594406</v>
      </c>
    </row>
    <row r="1476" spans="1:15" hidden="1" x14ac:dyDescent="0.25">
      <c r="A1476" s="10">
        <v>46045</v>
      </c>
      <c r="B1476" t="s">
        <v>64</v>
      </c>
      <c r="C1476" s="1" t="s">
        <v>23</v>
      </c>
      <c r="D1476" s="3">
        <v>15</v>
      </c>
      <c r="E1476" s="3">
        <v>15</v>
      </c>
      <c r="F1476" s="3">
        <v>33.520000000000003</v>
      </c>
      <c r="G1476" s="3">
        <v>0</v>
      </c>
      <c r="H1476" s="3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 s="3">
        <v>14</v>
      </c>
      <c r="N1476" s="3">
        <v>100</v>
      </c>
      <c r="O1476" s="12">
        <v>31.872509960159359</v>
      </c>
    </row>
    <row r="1477" spans="1:15" hidden="1" x14ac:dyDescent="0.25">
      <c r="A1477" s="10">
        <v>46045</v>
      </c>
      <c r="B1477" t="s">
        <v>46</v>
      </c>
      <c r="C1477" s="1" t="s">
        <v>32</v>
      </c>
      <c r="D1477" s="3">
        <v>25</v>
      </c>
      <c r="E1477" s="3">
        <v>25</v>
      </c>
      <c r="F1477" s="3">
        <v>12.34</v>
      </c>
      <c r="G1477" s="3">
        <v>0</v>
      </c>
      <c r="H1477" s="3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 s="3">
        <v>23</v>
      </c>
      <c r="N1477" s="3">
        <v>98.41</v>
      </c>
      <c r="O1477" s="12">
        <v>29.22465208747515</v>
      </c>
    </row>
    <row r="1478" spans="1:15" hidden="1" x14ac:dyDescent="0.25">
      <c r="A1478" s="10">
        <v>46048</v>
      </c>
      <c r="B1478" t="s">
        <v>47</v>
      </c>
      <c r="C1478" s="1" t="s">
        <v>48</v>
      </c>
      <c r="D1478" s="3">
        <v>26</v>
      </c>
      <c r="E1478" s="3">
        <v>25</v>
      </c>
      <c r="F1478" s="3">
        <v>17.2</v>
      </c>
      <c r="G1478" s="3">
        <v>0</v>
      </c>
      <c r="H1478" s="3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 s="3">
        <v>19</v>
      </c>
      <c r="N1478" s="3">
        <v>96.81</v>
      </c>
      <c r="O1478" s="12">
        <v>27.980535279805348</v>
      </c>
    </row>
    <row r="1479" spans="1:15" hidden="1" x14ac:dyDescent="0.25">
      <c r="A1479" s="10">
        <v>46048</v>
      </c>
      <c r="B1479" t="s">
        <v>31</v>
      </c>
      <c r="C1479" s="1" t="s">
        <v>32</v>
      </c>
      <c r="D1479" s="3">
        <v>0</v>
      </c>
      <c r="E1479" s="3">
        <v>0</v>
      </c>
      <c r="F1479" s="3">
        <v>0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 s="3">
        <v>21</v>
      </c>
      <c r="N1479" s="3">
        <v>98.73</v>
      </c>
      <c r="O1479" s="12">
        <v>35.756385068762278</v>
      </c>
    </row>
    <row r="1480" spans="1:15" hidden="1" x14ac:dyDescent="0.25">
      <c r="A1480" s="10">
        <v>46048</v>
      </c>
      <c r="B1480" t="s">
        <v>59</v>
      </c>
      <c r="C1480" s="1" t="s">
        <v>23</v>
      </c>
      <c r="D1480" s="3">
        <v>29</v>
      </c>
      <c r="E1480" s="3">
        <v>26</v>
      </c>
      <c r="F1480" s="3">
        <v>20.56</v>
      </c>
      <c r="G1480" s="3">
        <v>0</v>
      </c>
      <c r="H1480" s="3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 s="3">
        <v>27</v>
      </c>
      <c r="N1480" s="3">
        <v>98.32</v>
      </c>
      <c r="O1480" s="12">
        <v>26.763485477178421</v>
      </c>
    </row>
    <row r="1481" spans="1:15" hidden="1" x14ac:dyDescent="0.25">
      <c r="A1481" s="10">
        <v>46048</v>
      </c>
      <c r="B1481" t="s">
        <v>33</v>
      </c>
      <c r="C1481" s="1" t="s">
        <v>32</v>
      </c>
      <c r="D1481" s="3">
        <v>28</v>
      </c>
      <c r="E1481" s="3">
        <v>24</v>
      </c>
      <c r="F1481" s="3">
        <v>25.26</v>
      </c>
      <c r="G1481" s="3">
        <v>0</v>
      </c>
      <c r="H1481" s="3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 s="3">
        <v>16</v>
      </c>
      <c r="N1481" s="3">
        <v>99.19</v>
      </c>
      <c r="O1481" s="12">
        <v>27.637130801687761</v>
      </c>
    </row>
    <row r="1482" spans="1:15" hidden="1" x14ac:dyDescent="0.25">
      <c r="A1482" s="10">
        <v>46048</v>
      </c>
      <c r="B1482" t="s">
        <v>15</v>
      </c>
      <c r="C1482" s="1" t="s">
        <v>16</v>
      </c>
      <c r="D1482" s="3">
        <v>9</v>
      </c>
      <c r="E1482" s="3">
        <v>9</v>
      </c>
      <c r="F1482" s="3">
        <v>37.020000000000003</v>
      </c>
      <c r="G1482" s="3">
        <v>0</v>
      </c>
      <c r="H1482" s="3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 s="3">
        <v>7</v>
      </c>
      <c r="N1482" s="3">
        <v>100</v>
      </c>
      <c r="O1482" s="12">
        <v>39.568345323741013</v>
      </c>
    </row>
    <row r="1483" spans="1:15" hidden="1" x14ac:dyDescent="0.25">
      <c r="A1483" s="10">
        <v>46048</v>
      </c>
      <c r="B1483" t="s">
        <v>49</v>
      </c>
      <c r="C1483" s="1" t="s">
        <v>48</v>
      </c>
      <c r="D1483" s="3">
        <v>34</v>
      </c>
      <c r="E1483" s="3">
        <v>30</v>
      </c>
      <c r="F1483" s="3">
        <v>14.12</v>
      </c>
      <c r="G1483" s="3">
        <v>0</v>
      </c>
      <c r="H1483" s="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 s="3">
        <v>30</v>
      </c>
      <c r="N1483" s="3">
        <v>98.54</v>
      </c>
      <c r="O1483" s="12">
        <v>28.544776119402989</v>
      </c>
    </row>
    <row r="1484" spans="1:15" hidden="1" x14ac:dyDescent="0.25">
      <c r="A1484" s="10">
        <v>46048</v>
      </c>
      <c r="B1484" t="s">
        <v>50</v>
      </c>
      <c r="C1484" s="1" t="s">
        <v>48</v>
      </c>
      <c r="D1484" s="3">
        <v>23</v>
      </c>
      <c r="E1484" s="3">
        <v>23</v>
      </c>
      <c r="F1484" s="3">
        <v>28.35</v>
      </c>
      <c r="G1484" s="3">
        <v>0</v>
      </c>
      <c r="H1484" s="3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 s="3">
        <v>21</v>
      </c>
      <c r="N1484" s="3">
        <v>100</v>
      </c>
      <c r="O1484" s="12">
        <v>34.366925064599492</v>
      </c>
    </row>
    <row r="1485" spans="1:15" hidden="1" x14ac:dyDescent="0.25">
      <c r="A1485" s="10">
        <v>46048</v>
      </c>
      <c r="B1485" t="s">
        <v>17</v>
      </c>
      <c r="C1485" s="1" t="s">
        <v>16</v>
      </c>
      <c r="D1485" s="3">
        <v>0</v>
      </c>
      <c r="E1485" s="3">
        <v>0</v>
      </c>
      <c r="F1485" s="3">
        <v>0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 s="3">
        <v>0</v>
      </c>
      <c r="N1485" s="3">
        <v>0</v>
      </c>
      <c r="O1485" s="12">
        <v>0</v>
      </c>
    </row>
    <row r="1486" spans="1:15" hidden="1" x14ac:dyDescent="0.25">
      <c r="A1486" s="10">
        <v>46048</v>
      </c>
      <c r="B1486" t="s">
        <v>60</v>
      </c>
      <c r="C1486" s="1" t="s">
        <v>23</v>
      </c>
      <c r="D1486" s="3">
        <v>21</v>
      </c>
      <c r="E1486" s="3">
        <v>20</v>
      </c>
      <c r="F1486" s="3">
        <v>25.2</v>
      </c>
      <c r="G1486" s="3">
        <v>0</v>
      </c>
      <c r="H1486" s="3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 s="3">
        <v>19</v>
      </c>
      <c r="N1486" s="3">
        <v>100</v>
      </c>
      <c r="O1486" s="12">
        <v>29.518072289156631</v>
      </c>
    </row>
    <row r="1487" spans="1:15" hidden="1" x14ac:dyDescent="0.25">
      <c r="A1487" s="10">
        <v>46048</v>
      </c>
      <c r="B1487" t="s">
        <v>34</v>
      </c>
      <c r="C1487" s="1" t="s">
        <v>32</v>
      </c>
      <c r="D1487" s="3">
        <v>34</v>
      </c>
      <c r="E1487" s="3">
        <v>28</v>
      </c>
      <c r="F1487" s="3">
        <v>13.45</v>
      </c>
      <c r="G1487" s="3">
        <v>0</v>
      </c>
      <c r="H1487" s="3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 s="3">
        <v>30</v>
      </c>
      <c r="N1487" s="3">
        <v>97.45</v>
      </c>
      <c r="O1487" s="12">
        <v>41.421143847487002</v>
      </c>
    </row>
    <row r="1488" spans="1:15" hidden="1" x14ac:dyDescent="0.25">
      <c r="A1488" s="10">
        <v>46048</v>
      </c>
      <c r="B1488" t="s">
        <v>51</v>
      </c>
      <c r="C1488" s="1" t="s">
        <v>48</v>
      </c>
      <c r="D1488" s="3">
        <v>30</v>
      </c>
      <c r="E1488" s="3">
        <v>21</v>
      </c>
      <c r="F1488" s="3">
        <v>20.239999999999998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 s="3">
        <v>21</v>
      </c>
      <c r="N1488" s="3">
        <v>96.58</v>
      </c>
      <c r="O1488" s="12">
        <v>30.396475770925111</v>
      </c>
    </row>
    <row r="1489" spans="1:15" hidden="1" x14ac:dyDescent="0.25">
      <c r="A1489" s="10">
        <v>46048</v>
      </c>
      <c r="B1489" t="s">
        <v>61</v>
      </c>
      <c r="C1489" s="1" t="s">
        <v>23</v>
      </c>
      <c r="D1489" s="3">
        <v>11</v>
      </c>
      <c r="E1489" s="3">
        <v>11</v>
      </c>
      <c r="F1489" s="3">
        <v>60.52</v>
      </c>
      <c r="G1489" s="3">
        <v>0</v>
      </c>
      <c r="H1489" s="3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 s="3">
        <v>11</v>
      </c>
      <c r="N1489" s="3">
        <v>100</v>
      </c>
      <c r="O1489" s="12">
        <v>27.44282744282744</v>
      </c>
    </row>
    <row r="1490" spans="1:15" hidden="1" x14ac:dyDescent="0.25">
      <c r="A1490" s="10">
        <v>46048</v>
      </c>
      <c r="B1490" t="s">
        <v>35</v>
      </c>
      <c r="C1490" s="1" t="s">
        <v>32</v>
      </c>
      <c r="D1490" s="3">
        <v>11</v>
      </c>
      <c r="E1490" s="3">
        <v>10</v>
      </c>
      <c r="F1490" s="3">
        <v>18.54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 s="3">
        <v>8</v>
      </c>
      <c r="N1490" s="3">
        <v>99.49</v>
      </c>
      <c r="O1490" s="12">
        <v>40.200000000000003</v>
      </c>
    </row>
    <row r="1491" spans="1:15" hidden="1" x14ac:dyDescent="0.25">
      <c r="A1491" s="10">
        <v>46048</v>
      </c>
      <c r="B1491" t="s">
        <v>18</v>
      </c>
      <c r="C1491" s="1" t="s">
        <v>16</v>
      </c>
      <c r="D1491" s="3">
        <v>0</v>
      </c>
      <c r="E1491" s="3">
        <v>0</v>
      </c>
      <c r="F1491" s="3">
        <v>0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 s="3">
        <v>0</v>
      </c>
      <c r="N1491" s="3">
        <v>100</v>
      </c>
      <c r="O1491" s="12">
        <v>25</v>
      </c>
    </row>
    <row r="1492" spans="1:15" hidden="1" x14ac:dyDescent="0.25">
      <c r="A1492" s="10">
        <v>46048</v>
      </c>
      <c r="B1492" t="s">
        <v>52</v>
      </c>
      <c r="C1492" s="1" t="s">
        <v>48</v>
      </c>
      <c r="D1492" s="3">
        <v>32</v>
      </c>
      <c r="E1492" s="3">
        <v>31</v>
      </c>
      <c r="F1492" s="3">
        <v>18.47</v>
      </c>
      <c r="G1492" s="3">
        <v>0</v>
      </c>
      <c r="H1492" s="3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 s="3">
        <v>28</v>
      </c>
      <c r="N1492" s="3">
        <v>100</v>
      </c>
      <c r="O1492" s="12">
        <v>34.15094339622641</v>
      </c>
    </row>
    <row r="1493" spans="1:15" hidden="1" x14ac:dyDescent="0.25">
      <c r="A1493" s="10">
        <v>46048</v>
      </c>
      <c r="B1493" t="s">
        <v>36</v>
      </c>
      <c r="C1493" s="1" t="s">
        <v>32</v>
      </c>
      <c r="D1493" s="3">
        <v>28</v>
      </c>
      <c r="E1493" s="3">
        <v>25</v>
      </c>
      <c r="F1493" s="3">
        <v>15.56</v>
      </c>
      <c r="G1493" s="3">
        <v>0</v>
      </c>
      <c r="H1493" s="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 s="3">
        <v>26</v>
      </c>
      <c r="N1493" s="3">
        <v>100</v>
      </c>
      <c r="O1493" s="12">
        <v>32.731376975169297</v>
      </c>
    </row>
    <row r="1494" spans="1:15" hidden="1" x14ac:dyDescent="0.25">
      <c r="A1494" s="10">
        <v>46048</v>
      </c>
      <c r="B1494" t="s">
        <v>53</v>
      </c>
      <c r="C1494" s="1" t="s">
        <v>48</v>
      </c>
      <c r="D1494" s="3">
        <v>25</v>
      </c>
      <c r="E1494" s="3">
        <v>24</v>
      </c>
      <c r="F1494" s="3">
        <v>27.03</v>
      </c>
      <c r="G1494" s="3">
        <v>0</v>
      </c>
      <c r="H1494" s="3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 s="3">
        <v>21</v>
      </c>
      <c r="N1494" s="3">
        <v>99.31</v>
      </c>
      <c r="O1494" s="12">
        <v>30.96234309623431</v>
      </c>
    </row>
    <row r="1495" spans="1:15" hidden="1" x14ac:dyDescent="0.25">
      <c r="A1495" s="10">
        <v>46080</v>
      </c>
      <c r="B1495" t="s">
        <v>22</v>
      </c>
      <c r="C1495" s="1" t="s">
        <v>23</v>
      </c>
      <c r="D1495" s="3">
        <v>13</v>
      </c>
      <c r="E1495" s="3">
        <v>13</v>
      </c>
      <c r="F1495" s="3">
        <v>24.18</v>
      </c>
      <c r="G1495" s="3">
        <v>0</v>
      </c>
      <c r="H1495" s="3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 s="3">
        <v>12</v>
      </c>
      <c r="N1495" s="3">
        <v>96.67</v>
      </c>
      <c r="O1495" s="12">
        <v>31.451612903225811</v>
      </c>
    </row>
    <row r="1496" spans="1:15" hidden="1" x14ac:dyDescent="0.25">
      <c r="A1496" s="10">
        <v>46048</v>
      </c>
      <c r="B1496" t="s">
        <v>54</v>
      </c>
      <c r="C1496" s="1" t="s">
        <v>48</v>
      </c>
      <c r="D1496" s="3">
        <v>32</v>
      </c>
      <c r="E1496" s="3">
        <v>26</v>
      </c>
      <c r="F1496" s="3">
        <v>17.29</v>
      </c>
      <c r="G1496" s="3">
        <v>0</v>
      </c>
      <c r="H1496" s="3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 s="3">
        <v>24</v>
      </c>
      <c r="N1496" s="3">
        <v>100</v>
      </c>
      <c r="O1496" s="12">
        <v>27.676767676767678</v>
      </c>
    </row>
    <row r="1497" spans="1:15" hidden="1" x14ac:dyDescent="0.25">
      <c r="A1497" s="10">
        <v>46048</v>
      </c>
      <c r="B1497" t="s">
        <v>37</v>
      </c>
      <c r="C1497" s="1" t="s">
        <v>32</v>
      </c>
      <c r="D1497" s="3">
        <v>42</v>
      </c>
      <c r="E1497" s="3">
        <v>38</v>
      </c>
      <c r="F1497" s="3">
        <v>13.39</v>
      </c>
      <c r="G1497" s="3">
        <v>0</v>
      </c>
      <c r="H1497" s="3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 s="3">
        <v>34</v>
      </c>
      <c r="N1497" s="3">
        <v>100</v>
      </c>
      <c r="O1497" s="12">
        <v>31.17723156532988</v>
      </c>
    </row>
    <row r="1498" spans="1:15" hidden="1" x14ac:dyDescent="0.25">
      <c r="A1498" s="10">
        <v>46048</v>
      </c>
      <c r="B1498" t="s">
        <v>38</v>
      </c>
      <c r="C1498" s="1" t="s">
        <v>32</v>
      </c>
      <c r="D1498" s="3">
        <v>24</v>
      </c>
      <c r="E1498" s="3">
        <v>21</v>
      </c>
      <c r="F1498" s="3">
        <v>11.44</v>
      </c>
      <c r="G1498" s="3">
        <v>0</v>
      </c>
      <c r="H1498" s="3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 s="3">
        <v>18</v>
      </c>
      <c r="N1498" s="3">
        <v>100</v>
      </c>
      <c r="O1498" s="12">
        <v>27.609427609427609</v>
      </c>
    </row>
    <row r="1499" spans="1:15" hidden="1" x14ac:dyDescent="0.25">
      <c r="A1499" s="10">
        <v>46048</v>
      </c>
      <c r="B1499" t="s">
        <v>55</v>
      </c>
      <c r="C1499" s="1" t="s">
        <v>48</v>
      </c>
      <c r="D1499" s="3">
        <v>33</v>
      </c>
      <c r="E1499" s="3">
        <v>28</v>
      </c>
      <c r="F1499" s="3">
        <v>15.02</v>
      </c>
      <c r="G1499" s="3">
        <v>0</v>
      </c>
      <c r="H1499" s="3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 s="3">
        <v>26</v>
      </c>
      <c r="N1499" s="3">
        <v>96.4</v>
      </c>
      <c r="O1499" s="12">
        <v>28.764044943820231</v>
      </c>
    </row>
    <row r="1500" spans="1:15" hidden="1" x14ac:dyDescent="0.25">
      <c r="A1500" s="10">
        <v>46048</v>
      </c>
      <c r="B1500" t="s">
        <v>39</v>
      </c>
      <c r="C1500" s="1" t="s">
        <v>32</v>
      </c>
      <c r="D1500" s="3">
        <v>0</v>
      </c>
      <c r="E1500" s="3">
        <v>0</v>
      </c>
      <c r="F1500" s="3">
        <v>0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 s="3">
        <v>0</v>
      </c>
      <c r="N1500" s="3">
        <v>100</v>
      </c>
      <c r="O1500" s="12">
        <v>33.980582524271853</v>
      </c>
    </row>
    <row r="1501" spans="1:15" hidden="1" x14ac:dyDescent="0.25">
      <c r="A1501" s="10">
        <v>46048</v>
      </c>
      <c r="B1501" t="s">
        <v>25</v>
      </c>
      <c r="C1501" s="1" t="s">
        <v>26</v>
      </c>
      <c r="D1501" s="3">
        <v>8</v>
      </c>
      <c r="E1501" s="3">
        <v>8</v>
      </c>
      <c r="F1501" s="3">
        <v>29.18</v>
      </c>
      <c r="G1501" s="3">
        <v>0</v>
      </c>
      <c r="H1501" s="3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 s="3">
        <v>8</v>
      </c>
      <c r="N1501" s="3">
        <v>97.56</v>
      </c>
      <c r="O1501" s="12">
        <v>32.515337423312893</v>
      </c>
    </row>
    <row r="1502" spans="1:15" hidden="1" x14ac:dyDescent="0.25">
      <c r="A1502" s="10">
        <v>46048</v>
      </c>
      <c r="B1502" t="s">
        <v>40</v>
      </c>
      <c r="C1502" s="1" t="s">
        <v>32</v>
      </c>
      <c r="D1502" s="3">
        <v>17</v>
      </c>
      <c r="E1502" s="3">
        <v>16</v>
      </c>
      <c r="F1502" s="3">
        <v>27.34</v>
      </c>
      <c r="G1502" s="3">
        <v>0</v>
      </c>
      <c r="H1502" s="3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 s="3">
        <v>17</v>
      </c>
      <c r="N1502" s="3">
        <v>97.11</v>
      </c>
      <c r="O1502" s="12">
        <v>37.408312958435211</v>
      </c>
    </row>
    <row r="1503" spans="1:15" hidden="1" x14ac:dyDescent="0.25">
      <c r="A1503" s="10">
        <v>46048</v>
      </c>
      <c r="B1503" t="s">
        <v>27</v>
      </c>
      <c r="C1503" s="1" t="s">
        <v>26</v>
      </c>
      <c r="D1503" s="3">
        <v>0</v>
      </c>
      <c r="E1503" s="3">
        <v>0</v>
      </c>
      <c r="F1503" s="3">
        <v>0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 s="3">
        <v>0</v>
      </c>
      <c r="N1503" s="3">
        <v>0</v>
      </c>
      <c r="O1503" s="12">
        <v>0</v>
      </c>
    </row>
    <row r="1504" spans="1:15" hidden="1" x14ac:dyDescent="0.25">
      <c r="A1504" s="10">
        <v>46048</v>
      </c>
      <c r="B1504" t="s">
        <v>41</v>
      </c>
      <c r="C1504" s="1" t="s">
        <v>32</v>
      </c>
      <c r="D1504" s="3">
        <v>26</v>
      </c>
      <c r="E1504" s="3">
        <v>24</v>
      </c>
      <c r="F1504" s="3">
        <v>17.010000000000002</v>
      </c>
      <c r="G1504" s="3">
        <v>0</v>
      </c>
      <c r="H1504" s="3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 s="3">
        <v>24</v>
      </c>
      <c r="N1504" s="3">
        <v>100</v>
      </c>
      <c r="O1504" s="12">
        <v>30.470347648261761</v>
      </c>
    </row>
    <row r="1505" spans="1:15" hidden="1" x14ac:dyDescent="0.25">
      <c r="A1505" s="10">
        <v>46048</v>
      </c>
      <c r="B1505" t="s">
        <v>56</v>
      </c>
      <c r="C1505" s="1" t="s">
        <v>48</v>
      </c>
      <c r="D1505" s="3">
        <v>32</v>
      </c>
      <c r="E1505" s="3">
        <v>30</v>
      </c>
      <c r="F1505" s="3">
        <v>20.12</v>
      </c>
      <c r="G1505" s="3">
        <v>0</v>
      </c>
      <c r="H1505" s="3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 s="3">
        <v>21</v>
      </c>
      <c r="N1505" s="3">
        <v>100</v>
      </c>
      <c r="O1505" s="12">
        <v>32.371134020618562</v>
      </c>
    </row>
    <row r="1506" spans="1:15" hidden="1" x14ac:dyDescent="0.25">
      <c r="A1506" s="10">
        <v>46048</v>
      </c>
      <c r="B1506" t="s">
        <v>57</v>
      </c>
      <c r="C1506" s="1" t="s">
        <v>48</v>
      </c>
      <c r="D1506" s="3">
        <v>34</v>
      </c>
      <c r="E1506" s="3">
        <v>33</v>
      </c>
      <c r="F1506" s="3">
        <v>17.23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 s="3">
        <v>29</v>
      </c>
      <c r="N1506" s="3">
        <v>98.32</v>
      </c>
      <c r="O1506" s="12">
        <v>32.318501170960189</v>
      </c>
    </row>
    <row r="1507" spans="1:15" hidden="1" x14ac:dyDescent="0.25">
      <c r="A1507" s="10">
        <v>46048</v>
      </c>
      <c r="B1507" t="s">
        <v>42</v>
      </c>
      <c r="C1507" s="1" t="s">
        <v>32</v>
      </c>
      <c r="D1507" s="3">
        <v>46</v>
      </c>
      <c r="E1507" s="3">
        <v>31</v>
      </c>
      <c r="F1507" s="3">
        <v>13.3</v>
      </c>
      <c r="G1507" s="3">
        <v>0</v>
      </c>
      <c r="H1507" s="3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 s="3">
        <v>28</v>
      </c>
      <c r="N1507" s="3">
        <v>96.43</v>
      </c>
      <c r="O1507" s="12">
        <v>27.015250544662312</v>
      </c>
    </row>
    <row r="1508" spans="1:15" hidden="1" x14ac:dyDescent="0.25">
      <c r="A1508" s="10">
        <v>46048</v>
      </c>
      <c r="B1508" t="s">
        <v>62</v>
      </c>
      <c r="C1508" s="1" t="s">
        <v>23</v>
      </c>
      <c r="D1508" s="3">
        <v>25</v>
      </c>
      <c r="E1508" s="3">
        <v>23</v>
      </c>
      <c r="F1508" s="3">
        <v>13.45</v>
      </c>
      <c r="G1508" s="3">
        <v>0</v>
      </c>
      <c r="H1508" s="3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 s="3">
        <v>22</v>
      </c>
      <c r="N1508" s="3">
        <v>98.89</v>
      </c>
      <c r="O1508" s="12">
        <v>28.021978021978018</v>
      </c>
    </row>
    <row r="1509" spans="1:15" hidden="1" x14ac:dyDescent="0.25">
      <c r="A1509" s="10">
        <v>46048</v>
      </c>
      <c r="B1509" t="s">
        <v>19</v>
      </c>
      <c r="C1509" s="1" t="s">
        <v>16</v>
      </c>
      <c r="D1509" s="3">
        <v>0</v>
      </c>
      <c r="E1509" s="3">
        <v>0</v>
      </c>
      <c r="F1509" s="3">
        <v>0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 s="3">
        <v>0</v>
      </c>
      <c r="N1509" s="3">
        <v>100</v>
      </c>
      <c r="O1509" s="12">
        <v>33.333333333333329</v>
      </c>
    </row>
    <row r="1510" spans="1:15" hidden="1" x14ac:dyDescent="0.25">
      <c r="A1510" s="10">
        <v>46048</v>
      </c>
      <c r="B1510" t="s">
        <v>43</v>
      </c>
      <c r="C1510" s="1" t="s">
        <v>32</v>
      </c>
      <c r="D1510" s="3">
        <v>0</v>
      </c>
      <c r="E1510" s="3">
        <v>0</v>
      </c>
      <c r="F1510" s="3">
        <v>0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 s="3">
        <v>0</v>
      </c>
      <c r="N1510" s="3">
        <v>100</v>
      </c>
      <c r="O1510" s="12">
        <v>27.43362831858407</v>
      </c>
    </row>
    <row r="1511" spans="1:15" hidden="1" x14ac:dyDescent="0.25">
      <c r="A1511" s="10">
        <v>46048</v>
      </c>
      <c r="B1511" t="s">
        <v>44</v>
      </c>
      <c r="C1511" s="1" t="s">
        <v>32</v>
      </c>
      <c r="D1511" s="3">
        <v>46</v>
      </c>
      <c r="E1511" s="3">
        <v>33</v>
      </c>
      <c r="F1511" s="3">
        <v>9.14</v>
      </c>
      <c r="G1511" s="3">
        <v>0</v>
      </c>
      <c r="H1511" s="3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 s="3">
        <v>31</v>
      </c>
      <c r="N1511" s="3">
        <v>98.65</v>
      </c>
      <c r="O1511" s="12">
        <v>30.978260869565219</v>
      </c>
    </row>
    <row r="1512" spans="1:15" hidden="1" x14ac:dyDescent="0.25">
      <c r="A1512" s="10">
        <v>46048</v>
      </c>
      <c r="B1512" t="s">
        <v>20</v>
      </c>
      <c r="C1512" s="1" t="s">
        <v>16</v>
      </c>
      <c r="D1512" s="3">
        <v>3</v>
      </c>
      <c r="E1512" s="3">
        <v>3</v>
      </c>
      <c r="F1512" s="3">
        <v>79.17</v>
      </c>
      <c r="G1512" s="3">
        <v>0</v>
      </c>
      <c r="H1512" s="3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 s="3">
        <v>0</v>
      </c>
      <c r="N1512" s="3">
        <v>100</v>
      </c>
      <c r="O1512" s="12">
        <v>12</v>
      </c>
    </row>
    <row r="1513" spans="1:15" hidden="1" x14ac:dyDescent="0.25">
      <c r="A1513" s="10">
        <v>46048</v>
      </c>
      <c r="B1513" t="s">
        <v>28</v>
      </c>
      <c r="C1513" s="1" t="s">
        <v>26</v>
      </c>
      <c r="D1513" s="3">
        <v>0</v>
      </c>
      <c r="E1513" s="3">
        <v>0</v>
      </c>
      <c r="F1513" s="3">
        <v>0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 s="3">
        <v>0</v>
      </c>
      <c r="N1513" s="3">
        <v>0</v>
      </c>
      <c r="O1513" s="12">
        <v>0</v>
      </c>
    </row>
    <row r="1514" spans="1:15" hidden="1" x14ac:dyDescent="0.25">
      <c r="A1514" s="10">
        <v>46048</v>
      </c>
      <c r="B1514" t="s">
        <v>58</v>
      </c>
      <c r="C1514" s="1" t="s">
        <v>48</v>
      </c>
      <c r="D1514" s="3">
        <v>20</v>
      </c>
      <c r="E1514" s="3">
        <v>19</v>
      </c>
      <c r="F1514" s="3">
        <v>15.51</v>
      </c>
      <c r="G1514" s="3">
        <v>0</v>
      </c>
      <c r="H1514" s="3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 s="3">
        <v>17</v>
      </c>
      <c r="N1514" s="3">
        <v>97.56</v>
      </c>
      <c r="O1514" s="12">
        <v>31.067961165048541</v>
      </c>
    </row>
    <row r="1515" spans="1:15" hidden="1" x14ac:dyDescent="0.25">
      <c r="A1515" s="10">
        <v>46048</v>
      </c>
      <c r="B1515" t="s">
        <v>29</v>
      </c>
      <c r="C1515" s="1" t="s">
        <v>26</v>
      </c>
      <c r="D1515" s="3">
        <v>0</v>
      </c>
      <c r="E1515" s="3">
        <v>0</v>
      </c>
      <c r="F1515" s="3">
        <v>0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 s="3">
        <v>0</v>
      </c>
      <c r="N1515" s="3">
        <v>0</v>
      </c>
      <c r="O1515" s="12">
        <v>0</v>
      </c>
    </row>
    <row r="1516" spans="1:15" hidden="1" x14ac:dyDescent="0.25">
      <c r="A1516" s="10">
        <v>46048</v>
      </c>
      <c r="B1516" t="s">
        <v>30</v>
      </c>
      <c r="C1516" s="1" t="s">
        <v>26</v>
      </c>
      <c r="D1516" s="3">
        <v>0</v>
      </c>
      <c r="E1516" s="3">
        <v>0</v>
      </c>
      <c r="F1516" s="3">
        <v>0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 s="3">
        <v>0</v>
      </c>
      <c r="N1516" s="3">
        <v>0</v>
      </c>
      <c r="O1516" s="12">
        <v>0</v>
      </c>
    </row>
    <row r="1517" spans="1:15" hidden="1" x14ac:dyDescent="0.25">
      <c r="A1517" s="10">
        <v>46048</v>
      </c>
      <c r="B1517" t="s">
        <v>21</v>
      </c>
      <c r="C1517" s="1" t="s">
        <v>16</v>
      </c>
      <c r="D1517" s="3">
        <v>0</v>
      </c>
      <c r="E1517" s="3">
        <v>0</v>
      </c>
      <c r="F1517" s="3">
        <v>0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 s="3">
        <v>0</v>
      </c>
      <c r="N1517" s="3">
        <v>0</v>
      </c>
      <c r="O1517" s="12">
        <v>0</v>
      </c>
    </row>
    <row r="1518" spans="1:15" hidden="1" x14ac:dyDescent="0.25">
      <c r="A1518" s="10">
        <v>46048</v>
      </c>
      <c r="B1518" t="s">
        <v>63</v>
      </c>
      <c r="C1518" s="1" t="s">
        <v>23</v>
      </c>
      <c r="D1518" s="3">
        <v>0</v>
      </c>
      <c r="E1518" s="3">
        <v>0</v>
      </c>
      <c r="F1518" s="3">
        <v>0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 s="3">
        <v>0</v>
      </c>
      <c r="N1518" s="3">
        <v>100</v>
      </c>
      <c r="O1518" s="12">
        <v>53.846153846153847</v>
      </c>
    </row>
    <row r="1519" spans="1:15" hidden="1" x14ac:dyDescent="0.25">
      <c r="A1519" s="10">
        <v>46048</v>
      </c>
      <c r="B1519" t="s">
        <v>45</v>
      </c>
      <c r="C1519" s="1" t="s">
        <v>32</v>
      </c>
      <c r="D1519" s="3">
        <v>35</v>
      </c>
      <c r="E1519" s="3">
        <v>33</v>
      </c>
      <c r="F1519" s="3">
        <v>12.1</v>
      </c>
      <c r="G1519" s="3">
        <v>0</v>
      </c>
      <c r="H1519" s="3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 s="3">
        <v>33</v>
      </c>
      <c r="N1519" s="3">
        <v>100</v>
      </c>
      <c r="O1519" s="12">
        <v>44.05594405594406</v>
      </c>
    </row>
    <row r="1520" spans="1:15" hidden="1" x14ac:dyDescent="0.25">
      <c r="A1520" s="10">
        <v>46048</v>
      </c>
      <c r="B1520" t="s">
        <v>64</v>
      </c>
      <c r="C1520" s="1" t="s">
        <v>23</v>
      </c>
      <c r="D1520" s="3">
        <v>13</v>
      </c>
      <c r="E1520" s="3">
        <v>13</v>
      </c>
      <c r="F1520" s="3">
        <v>23.44</v>
      </c>
      <c r="G1520" s="3">
        <v>0</v>
      </c>
      <c r="H1520" s="3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 s="3">
        <v>13</v>
      </c>
      <c r="N1520" s="3">
        <v>100</v>
      </c>
      <c r="O1520" s="12">
        <v>31.872509960159359</v>
      </c>
    </row>
    <row r="1521" spans="1:15" hidden="1" x14ac:dyDescent="0.25">
      <c r="A1521" s="10">
        <v>46048</v>
      </c>
      <c r="B1521" t="s">
        <v>46</v>
      </c>
      <c r="C1521" s="1" t="s">
        <v>32</v>
      </c>
      <c r="D1521" s="3">
        <v>26</v>
      </c>
      <c r="E1521" s="3">
        <v>26</v>
      </c>
      <c r="F1521" s="3">
        <v>17.21</v>
      </c>
      <c r="G1521" s="3">
        <v>0</v>
      </c>
      <c r="H1521" s="3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 s="3">
        <v>24</v>
      </c>
      <c r="N1521" s="3">
        <v>98.41</v>
      </c>
      <c r="O1521" s="12">
        <v>29.22465208747515</v>
      </c>
    </row>
    <row r="1522" spans="1:15" hidden="1" x14ac:dyDescent="0.25">
      <c r="A1522" s="10">
        <v>46049</v>
      </c>
      <c r="B1522" t="s">
        <v>47</v>
      </c>
      <c r="C1522" s="1" t="s">
        <v>48</v>
      </c>
      <c r="D1522" s="3">
        <v>30</v>
      </c>
      <c r="E1522" s="3">
        <v>28</v>
      </c>
      <c r="F1522" s="3">
        <v>22.28</v>
      </c>
      <c r="G1522" s="3">
        <v>0</v>
      </c>
      <c r="H1522" s="3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 s="3">
        <v>21</v>
      </c>
      <c r="N1522" s="3">
        <v>96.81</v>
      </c>
      <c r="O1522" s="12">
        <v>27.980535279805348</v>
      </c>
    </row>
    <row r="1523" spans="1:15" hidden="1" x14ac:dyDescent="0.25">
      <c r="A1523" s="10">
        <v>46049</v>
      </c>
      <c r="B1523" t="s">
        <v>31</v>
      </c>
      <c r="C1523" s="1" t="s">
        <v>32</v>
      </c>
      <c r="D1523" s="3">
        <v>0</v>
      </c>
      <c r="E1523" s="3">
        <v>0</v>
      </c>
      <c r="F1523" s="3">
        <v>0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 s="3">
        <v>29</v>
      </c>
      <c r="N1523" s="3">
        <v>98.73</v>
      </c>
      <c r="O1523" s="12">
        <v>35.756385068762278</v>
      </c>
    </row>
    <row r="1524" spans="1:15" hidden="1" x14ac:dyDescent="0.25">
      <c r="A1524" s="10">
        <v>46049</v>
      </c>
      <c r="B1524" t="s">
        <v>59</v>
      </c>
      <c r="C1524" s="1" t="s">
        <v>23</v>
      </c>
      <c r="D1524" s="3">
        <v>26</v>
      </c>
      <c r="E1524" s="3">
        <v>26</v>
      </c>
      <c r="F1524" s="3">
        <v>27.04</v>
      </c>
      <c r="G1524" s="3">
        <v>0</v>
      </c>
      <c r="H1524" s="3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 s="3">
        <v>24</v>
      </c>
      <c r="N1524" s="3">
        <v>98.32</v>
      </c>
      <c r="O1524" s="12">
        <v>26.763485477178421</v>
      </c>
    </row>
    <row r="1525" spans="1:15" hidden="1" x14ac:dyDescent="0.25">
      <c r="A1525" s="10">
        <v>46049</v>
      </c>
      <c r="B1525" t="s">
        <v>33</v>
      </c>
      <c r="C1525" s="1" t="s">
        <v>32</v>
      </c>
      <c r="D1525" s="3">
        <v>41</v>
      </c>
      <c r="E1525" s="3">
        <v>37</v>
      </c>
      <c r="F1525" s="3">
        <v>15.36</v>
      </c>
      <c r="G1525" s="3">
        <v>0</v>
      </c>
      <c r="H1525" s="3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 s="3">
        <v>31</v>
      </c>
      <c r="N1525" s="3">
        <v>99.19</v>
      </c>
      <c r="O1525" s="12">
        <v>27.637130801687761</v>
      </c>
    </row>
    <row r="1526" spans="1:15" hidden="1" x14ac:dyDescent="0.25">
      <c r="A1526" s="10">
        <v>46049</v>
      </c>
      <c r="B1526" t="s">
        <v>15</v>
      </c>
      <c r="C1526" s="1" t="s">
        <v>16</v>
      </c>
      <c r="D1526" s="3">
        <v>13</v>
      </c>
      <c r="E1526" s="3">
        <v>12</v>
      </c>
      <c r="F1526" s="3">
        <v>17.16</v>
      </c>
      <c r="G1526" s="3">
        <v>0</v>
      </c>
      <c r="H1526" s="3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 s="3">
        <v>10</v>
      </c>
      <c r="N1526" s="3">
        <v>100</v>
      </c>
      <c r="O1526" s="12">
        <v>39.568345323741013</v>
      </c>
    </row>
    <row r="1527" spans="1:15" hidden="1" x14ac:dyDescent="0.25">
      <c r="A1527" s="10">
        <v>46049</v>
      </c>
      <c r="B1527" t="s">
        <v>49</v>
      </c>
      <c r="C1527" s="1" t="s">
        <v>48</v>
      </c>
      <c r="D1527" s="3">
        <v>35</v>
      </c>
      <c r="E1527" s="3">
        <v>30</v>
      </c>
      <c r="F1527" s="3">
        <v>12.37</v>
      </c>
      <c r="G1527" s="3">
        <v>0</v>
      </c>
      <c r="H1527" s="3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 s="3">
        <v>26</v>
      </c>
      <c r="N1527" s="3">
        <v>98.54</v>
      </c>
      <c r="O1527" s="12">
        <v>28.544776119402989</v>
      </c>
    </row>
    <row r="1528" spans="1:15" hidden="1" x14ac:dyDescent="0.25">
      <c r="A1528" s="10">
        <v>46049</v>
      </c>
      <c r="B1528" t="s">
        <v>50</v>
      </c>
      <c r="C1528" s="1" t="s">
        <v>48</v>
      </c>
      <c r="D1528" s="3">
        <v>24</v>
      </c>
      <c r="E1528" s="3">
        <v>24</v>
      </c>
      <c r="F1528" s="3">
        <v>32.26</v>
      </c>
      <c r="G1528" s="3">
        <v>0</v>
      </c>
      <c r="H1528" s="3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 s="3">
        <v>22</v>
      </c>
      <c r="N1528" s="3">
        <v>100</v>
      </c>
      <c r="O1528" s="12">
        <v>34.366925064599492</v>
      </c>
    </row>
    <row r="1529" spans="1:15" hidden="1" x14ac:dyDescent="0.25">
      <c r="A1529" s="10">
        <v>46049</v>
      </c>
      <c r="B1529" t="s">
        <v>17</v>
      </c>
      <c r="C1529" s="1" t="s">
        <v>16</v>
      </c>
      <c r="D1529" s="3">
        <v>0</v>
      </c>
      <c r="E1529" s="3">
        <v>0</v>
      </c>
      <c r="F1529" s="3">
        <v>0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 s="3">
        <v>0</v>
      </c>
      <c r="N1529" s="3">
        <v>0</v>
      </c>
      <c r="O1529" s="12">
        <v>0</v>
      </c>
    </row>
    <row r="1530" spans="1:15" hidden="1" x14ac:dyDescent="0.25">
      <c r="A1530" s="10">
        <v>46049</v>
      </c>
      <c r="B1530" t="s">
        <v>60</v>
      </c>
      <c r="C1530" s="1" t="s">
        <v>23</v>
      </c>
      <c r="D1530" s="3">
        <v>28</v>
      </c>
      <c r="E1530" s="3">
        <v>26</v>
      </c>
      <c r="F1530" s="3">
        <v>17.39</v>
      </c>
      <c r="G1530" s="3">
        <v>0</v>
      </c>
      <c r="H1530" s="3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 s="3">
        <v>22</v>
      </c>
      <c r="N1530" s="3">
        <v>100</v>
      </c>
      <c r="O1530" s="12">
        <v>29.518072289156631</v>
      </c>
    </row>
    <row r="1531" spans="1:15" hidden="1" x14ac:dyDescent="0.25">
      <c r="A1531" s="10">
        <v>46049</v>
      </c>
      <c r="B1531" t="s">
        <v>34</v>
      </c>
      <c r="C1531" s="1" t="s">
        <v>32</v>
      </c>
      <c r="D1531" s="3">
        <v>29</v>
      </c>
      <c r="E1531" s="3">
        <v>28</v>
      </c>
      <c r="F1531" s="3">
        <v>18.440000000000001</v>
      </c>
      <c r="G1531" s="3">
        <v>0</v>
      </c>
      <c r="H1531" s="3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 s="3">
        <v>25</v>
      </c>
      <c r="N1531" s="3">
        <v>97.45</v>
      </c>
      <c r="O1531" s="12">
        <v>41.421143847487002</v>
      </c>
    </row>
    <row r="1532" spans="1:15" hidden="1" x14ac:dyDescent="0.25">
      <c r="A1532" s="10">
        <v>46049</v>
      </c>
      <c r="B1532" t="s">
        <v>51</v>
      </c>
      <c r="C1532" s="1" t="s">
        <v>48</v>
      </c>
      <c r="D1532" s="3">
        <v>35</v>
      </c>
      <c r="E1532" s="3">
        <v>25</v>
      </c>
      <c r="F1532" s="3">
        <v>13.29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 s="3">
        <v>19</v>
      </c>
      <c r="N1532" s="3">
        <v>96.58</v>
      </c>
      <c r="O1532" s="12">
        <v>30.396475770925111</v>
      </c>
    </row>
    <row r="1533" spans="1:15" hidden="1" x14ac:dyDescent="0.25">
      <c r="A1533" s="10">
        <v>46049</v>
      </c>
      <c r="B1533" t="s">
        <v>61</v>
      </c>
      <c r="C1533" s="1" t="s">
        <v>23</v>
      </c>
      <c r="D1533" s="3">
        <v>22</v>
      </c>
      <c r="E1533" s="3">
        <v>22</v>
      </c>
      <c r="F1533" s="3">
        <v>22.29</v>
      </c>
      <c r="G1533" s="3">
        <v>0</v>
      </c>
      <c r="H1533" s="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 s="3">
        <v>27</v>
      </c>
      <c r="N1533" s="3">
        <v>100</v>
      </c>
      <c r="O1533" s="12">
        <v>27.44282744282744</v>
      </c>
    </row>
    <row r="1534" spans="1:15" hidden="1" x14ac:dyDescent="0.25">
      <c r="A1534" s="10">
        <v>46049</v>
      </c>
      <c r="B1534" t="s">
        <v>35</v>
      </c>
      <c r="C1534" s="1" t="s">
        <v>32</v>
      </c>
      <c r="D1534" s="3">
        <v>29</v>
      </c>
      <c r="E1534" s="3">
        <v>28</v>
      </c>
      <c r="F1534" s="3">
        <v>26.43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 s="3">
        <v>26</v>
      </c>
      <c r="N1534" s="3">
        <v>99.49</v>
      </c>
      <c r="O1534" s="12">
        <v>40.200000000000003</v>
      </c>
    </row>
    <row r="1535" spans="1:15" hidden="1" x14ac:dyDescent="0.25">
      <c r="A1535" s="10">
        <v>46049</v>
      </c>
      <c r="B1535" t="s">
        <v>18</v>
      </c>
      <c r="C1535" s="1" t="s">
        <v>16</v>
      </c>
      <c r="D1535" s="3">
        <v>0</v>
      </c>
      <c r="E1535" s="3">
        <v>0</v>
      </c>
      <c r="F1535" s="3">
        <v>0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 s="3">
        <v>0</v>
      </c>
      <c r="N1535" s="3">
        <v>100</v>
      </c>
      <c r="O1535" s="12">
        <v>25</v>
      </c>
    </row>
    <row r="1536" spans="1:15" hidden="1" x14ac:dyDescent="0.25">
      <c r="A1536" s="10">
        <v>46049</v>
      </c>
      <c r="B1536" t="s">
        <v>52</v>
      </c>
      <c r="C1536" s="1" t="s">
        <v>48</v>
      </c>
      <c r="D1536" s="3">
        <v>38</v>
      </c>
      <c r="E1536" s="3">
        <v>34</v>
      </c>
      <c r="F1536" s="3">
        <v>15.32</v>
      </c>
      <c r="G1536" s="3">
        <v>0</v>
      </c>
      <c r="H1536" s="3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 s="3">
        <v>30</v>
      </c>
      <c r="N1536" s="3">
        <v>100</v>
      </c>
      <c r="O1536" s="12">
        <v>34.15094339622641</v>
      </c>
    </row>
    <row r="1537" spans="1:15" hidden="1" x14ac:dyDescent="0.25">
      <c r="A1537" s="10">
        <v>46049</v>
      </c>
      <c r="B1537" t="s">
        <v>36</v>
      </c>
      <c r="C1537" s="1" t="s">
        <v>32</v>
      </c>
      <c r="D1537" s="3">
        <v>25</v>
      </c>
      <c r="E1537" s="3">
        <v>23</v>
      </c>
      <c r="F1537" s="3">
        <v>15.08</v>
      </c>
      <c r="G1537" s="3">
        <v>0</v>
      </c>
      <c r="H1537" s="3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 s="3">
        <v>25</v>
      </c>
      <c r="N1537" s="3">
        <v>100</v>
      </c>
      <c r="O1537" s="12">
        <v>32.731376975169297</v>
      </c>
    </row>
    <row r="1538" spans="1:15" hidden="1" x14ac:dyDescent="0.25">
      <c r="A1538" s="10">
        <v>46049</v>
      </c>
      <c r="B1538" t="s">
        <v>53</v>
      </c>
      <c r="C1538" s="1" t="s">
        <v>48</v>
      </c>
      <c r="D1538" s="3">
        <v>34</v>
      </c>
      <c r="E1538" s="3">
        <v>33</v>
      </c>
      <c r="F1538" s="3">
        <v>21.52</v>
      </c>
      <c r="G1538" s="3">
        <v>0</v>
      </c>
      <c r="H1538" s="3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 s="3">
        <v>25</v>
      </c>
      <c r="N1538" s="3">
        <v>99.31</v>
      </c>
      <c r="O1538" s="12">
        <v>30.96234309623431</v>
      </c>
    </row>
    <row r="1539" spans="1:15" hidden="1" x14ac:dyDescent="0.25">
      <c r="A1539" s="10">
        <v>46083</v>
      </c>
      <c r="B1539" t="s">
        <v>22</v>
      </c>
      <c r="C1539" s="1" t="s">
        <v>23</v>
      </c>
      <c r="D1539" s="3">
        <v>22</v>
      </c>
      <c r="E1539" s="3">
        <v>21</v>
      </c>
      <c r="F1539" s="3">
        <v>20.11</v>
      </c>
      <c r="G1539" s="3">
        <v>0</v>
      </c>
      <c r="H1539" s="3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 s="3">
        <v>20</v>
      </c>
      <c r="N1539" s="3">
        <v>99.05</v>
      </c>
      <c r="O1539" s="12">
        <v>26.621923937360179</v>
      </c>
    </row>
    <row r="1540" spans="1:15" hidden="1" x14ac:dyDescent="0.25">
      <c r="A1540" s="10">
        <v>46049</v>
      </c>
      <c r="B1540" t="s">
        <v>54</v>
      </c>
      <c r="C1540" s="1" t="s">
        <v>48</v>
      </c>
      <c r="D1540" s="3">
        <v>36</v>
      </c>
      <c r="E1540" s="3">
        <v>32</v>
      </c>
      <c r="F1540" s="3">
        <v>17.36</v>
      </c>
      <c r="G1540" s="3">
        <v>0</v>
      </c>
      <c r="H1540" s="3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 s="3">
        <v>28</v>
      </c>
      <c r="N1540" s="3">
        <v>100</v>
      </c>
      <c r="O1540" s="12">
        <v>27.676767676767678</v>
      </c>
    </row>
    <row r="1541" spans="1:15" hidden="1" x14ac:dyDescent="0.25">
      <c r="A1541" s="10">
        <v>46049</v>
      </c>
      <c r="B1541" t="s">
        <v>37</v>
      </c>
      <c r="C1541" s="1" t="s">
        <v>32</v>
      </c>
      <c r="D1541" s="3">
        <v>38</v>
      </c>
      <c r="E1541" s="3">
        <v>36</v>
      </c>
      <c r="F1541" s="3">
        <v>18.37</v>
      </c>
      <c r="G1541" s="3">
        <v>0</v>
      </c>
      <c r="H1541" s="3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 s="3">
        <v>30</v>
      </c>
      <c r="N1541" s="3">
        <v>100</v>
      </c>
      <c r="O1541" s="12">
        <v>31.17723156532988</v>
      </c>
    </row>
    <row r="1542" spans="1:15" hidden="1" x14ac:dyDescent="0.25">
      <c r="A1542" s="10">
        <v>46049</v>
      </c>
      <c r="B1542" t="s">
        <v>38</v>
      </c>
      <c r="C1542" s="1" t="s">
        <v>32</v>
      </c>
      <c r="D1542" s="3">
        <v>17</v>
      </c>
      <c r="E1542" s="3">
        <v>15</v>
      </c>
      <c r="F1542" s="3">
        <v>10.24</v>
      </c>
      <c r="G1542" s="3">
        <v>0</v>
      </c>
      <c r="H1542" s="3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 s="3">
        <v>14</v>
      </c>
      <c r="N1542" s="3">
        <v>100</v>
      </c>
      <c r="O1542" s="12">
        <v>27.609427609427609</v>
      </c>
    </row>
    <row r="1543" spans="1:15" hidden="1" x14ac:dyDescent="0.25">
      <c r="A1543" s="10">
        <v>46049</v>
      </c>
      <c r="B1543" t="s">
        <v>55</v>
      </c>
      <c r="C1543" s="1" t="s">
        <v>48</v>
      </c>
      <c r="D1543" s="3">
        <v>32</v>
      </c>
      <c r="E1543" s="3">
        <v>23</v>
      </c>
      <c r="F1543" s="3">
        <v>15.2</v>
      </c>
      <c r="G1543" s="3">
        <v>0</v>
      </c>
      <c r="H1543" s="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 s="3">
        <v>23</v>
      </c>
      <c r="N1543" s="3">
        <v>96.4</v>
      </c>
      <c r="O1543" s="12">
        <v>28.764044943820231</v>
      </c>
    </row>
    <row r="1544" spans="1:15" hidden="1" x14ac:dyDescent="0.25">
      <c r="A1544" s="10">
        <v>46049</v>
      </c>
      <c r="B1544" t="s">
        <v>39</v>
      </c>
      <c r="C1544" s="1" t="s">
        <v>32</v>
      </c>
      <c r="D1544" s="3">
        <v>0</v>
      </c>
      <c r="E1544" s="3">
        <v>0</v>
      </c>
      <c r="F1544" s="3">
        <v>0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 s="3">
        <v>0</v>
      </c>
      <c r="N1544" s="3">
        <v>100</v>
      </c>
      <c r="O1544" s="12">
        <v>33.980582524271853</v>
      </c>
    </row>
    <row r="1545" spans="1:15" hidden="1" x14ac:dyDescent="0.25">
      <c r="A1545" s="10">
        <v>46049</v>
      </c>
      <c r="B1545" t="s">
        <v>25</v>
      </c>
      <c r="C1545" s="1" t="s">
        <v>26</v>
      </c>
      <c r="D1545" s="3">
        <v>8</v>
      </c>
      <c r="E1545" s="3">
        <v>8</v>
      </c>
      <c r="F1545" s="3">
        <v>32.200000000000003</v>
      </c>
      <c r="G1545" s="3">
        <v>0</v>
      </c>
      <c r="H1545" s="3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 s="3">
        <v>5</v>
      </c>
      <c r="N1545" s="3">
        <v>97.56</v>
      </c>
      <c r="O1545" s="12">
        <v>32.515337423312893</v>
      </c>
    </row>
    <row r="1546" spans="1:15" hidden="1" x14ac:dyDescent="0.25">
      <c r="A1546" s="10">
        <v>46049</v>
      </c>
      <c r="B1546" t="s">
        <v>40</v>
      </c>
      <c r="C1546" s="1" t="s">
        <v>32</v>
      </c>
      <c r="D1546" s="3">
        <v>14</v>
      </c>
      <c r="E1546" s="3">
        <v>14</v>
      </c>
      <c r="F1546" s="3">
        <v>20.52</v>
      </c>
      <c r="G1546" s="3">
        <v>0</v>
      </c>
      <c r="H1546" s="3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 s="3">
        <v>14</v>
      </c>
      <c r="N1546" s="3">
        <v>97.11</v>
      </c>
      <c r="O1546" s="12">
        <v>37.408312958435211</v>
      </c>
    </row>
    <row r="1547" spans="1:15" hidden="1" x14ac:dyDescent="0.25">
      <c r="A1547" s="10">
        <v>46049</v>
      </c>
      <c r="B1547" t="s">
        <v>27</v>
      </c>
      <c r="C1547" s="1" t="s">
        <v>26</v>
      </c>
      <c r="D1547" s="3">
        <v>0</v>
      </c>
      <c r="E1547" s="3">
        <v>0</v>
      </c>
      <c r="F1547" s="3">
        <v>0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 s="3">
        <v>0</v>
      </c>
      <c r="N1547" s="3">
        <v>0</v>
      </c>
      <c r="O1547" s="12">
        <v>0</v>
      </c>
    </row>
    <row r="1548" spans="1:15" hidden="1" x14ac:dyDescent="0.25">
      <c r="A1548" s="10">
        <v>46049</v>
      </c>
      <c r="B1548" t="s">
        <v>41</v>
      </c>
      <c r="C1548" s="1" t="s">
        <v>32</v>
      </c>
      <c r="D1548" s="3">
        <v>25</v>
      </c>
      <c r="E1548" s="3">
        <v>25</v>
      </c>
      <c r="F1548" s="3">
        <v>18.420000000000002</v>
      </c>
      <c r="G1548" s="3">
        <v>0</v>
      </c>
      <c r="H1548" s="3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 s="3">
        <v>18</v>
      </c>
      <c r="N1548" s="3">
        <v>100</v>
      </c>
      <c r="O1548" s="12">
        <v>30.470347648261761</v>
      </c>
    </row>
    <row r="1549" spans="1:15" hidden="1" x14ac:dyDescent="0.25">
      <c r="A1549" s="10">
        <v>46049</v>
      </c>
      <c r="B1549" t="s">
        <v>56</v>
      </c>
      <c r="C1549" s="1" t="s">
        <v>48</v>
      </c>
      <c r="D1549" s="3">
        <v>39</v>
      </c>
      <c r="E1549" s="3">
        <v>37</v>
      </c>
      <c r="F1549" s="3">
        <v>18.309999999999999</v>
      </c>
      <c r="G1549" s="3">
        <v>0</v>
      </c>
      <c r="H1549" s="3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 s="3">
        <v>24</v>
      </c>
      <c r="N1549" s="3">
        <v>100</v>
      </c>
      <c r="O1549" s="12">
        <v>32.371134020618562</v>
      </c>
    </row>
    <row r="1550" spans="1:15" hidden="1" x14ac:dyDescent="0.25">
      <c r="A1550" s="10">
        <v>46049</v>
      </c>
      <c r="B1550" t="s">
        <v>57</v>
      </c>
      <c r="C1550" s="1" t="s">
        <v>48</v>
      </c>
      <c r="D1550" s="3">
        <v>25</v>
      </c>
      <c r="E1550" s="3">
        <v>23</v>
      </c>
      <c r="F1550" s="3">
        <v>20.28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 s="3">
        <v>19</v>
      </c>
      <c r="N1550" s="3">
        <v>98.32</v>
      </c>
      <c r="O1550" s="12">
        <v>32.318501170960189</v>
      </c>
    </row>
    <row r="1551" spans="1:15" hidden="1" x14ac:dyDescent="0.25">
      <c r="A1551" s="10">
        <v>46049</v>
      </c>
      <c r="B1551" t="s">
        <v>42</v>
      </c>
      <c r="C1551" s="1" t="s">
        <v>32</v>
      </c>
      <c r="D1551" s="3">
        <v>169</v>
      </c>
      <c r="E1551" s="3">
        <v>32</v>
      </c>
      <c r="F1551" s="3">
        <v>2</v>
      </c>
      <c r="G1551" s="3">
        <v>0</v>
      </c>
      <c r="H1551" s="3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 s="3">
        <v>13</v>
      </c>
      <c r="N1551" s="3">
        <v>96.43</v>
      </c>
      <c r="O1551" s="12">
        <v>27.015250544662312</v>
      </c>
    </row>
    <row r="1552" spans="1:15" hidden="1" x14ac:dyDescent="0.25">
      <c r="A1552" s="10">
        <v>46049</v>
      </c>
      <c r="B1552" t="s">
        <v>62</v>
      </c>
      <c r="C1552" s="1" t="s">
        <v>23</v>
      </c>
      <c r="D1552" s="3">
        <v>15</v>
      </c>
      <c r="E1552" s="3">
        <v>15</v>
      </c>
      <c r="F1552" s="3">
        <v>32.159999999999997</v>
      </c>
      <c r="G1552" s="3">
        <v>0</v>
      </c>
      <c r="H1552" s="3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 s="3">
        <v>13</v>
      </c>
      <c r="N1552" s="3">
        <v>98.89</v>
      </c>
      <c r="O1552" s="12">
        <v>28.021978021978018</v>
      </c>
    </row>
    <row r="1553" spans="1:15" hidden="1" x14ac:dyDescent="0.25">
      <c r="A1553" s="10">
        <v>46049</v>
      </c>
      <c r="B1553" t="s">
        <v>19</v>
      </c>
      <c r="C1553" s="1" t="s">
        <v>16</v>
      </c>
      <c r="D1553" s="3">
        <v>7</v>
      </c>
      <c r="E1553" s="3">
        <v>5</v>
      </c>
      <c r="F1553" s="3">
        <v>40.53</v>
      </c>
      <c r="G1553" s="3">
        <v>0</v>
      </c>
      <c r="H1553" s="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 s="3">
        <v>4</v>
      </c>
      <c r="N1553" s="3">
        <v>100</v>
      </c>
      <c r="O1553" s="12">
        <v>33.333333333333329</v>
      </c>
    </row>
    <row r="1554" spans="1:15" hidden="1" x14ac:dyDescent="0.25">
      <c r="A1554" s="10">
        <v>46049</v>
      </c>
      <c r="B1554" t="s">
        <v>43</v>
      </c>
      <c r="C1554" s="1" t="s">
        <v>32</v>
      </c>
      <c r="D1554" s="3">
        <v>0</v>
      </c>
      <c r="E1554" s="3">
        <v>0</v>
      </c>
      <c r="F1554" s="3">
        <v>0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 s="3">
        <v>0</v>
      </c>
      <c r="N1554" s="3">
        <v>100</v>
      </c>
      <c r="O1554" s="12">
        <v>27.43362831858407</v>
      </c>
    </row>
    <row r="1555" spans="1:15" hidden="1" x14ac:dyDescent="0.25">
      <c r="A1555" s="10">
        <v>46049</v>
      </c>
      <c r="B1555" t="s">
        <v>44</v>
      </c>
      <c r="C1555" s="1" t="s">
        <v>32</v>
      </c>
      <c r="D1555" s="3">
        <v>24</v>
      </c>
      <c r="E1555" s="3">
        <v>22</v>
      </c>
      <c r="F1555" s="3">
        <v>18.239999999999998</v>
      </c>
      <c r="G1555" s="3">
        <v>0</v>
      </c>
      <c r="H1555" s="3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 s="3">
        <v>18</v>
      </c>
      <c r="N1555" s="3">
        <v>98.65</v>
      </c>
      <c r="O1555" s="12">
        <v>30.978260869565219</v>
      </c>
    </row>
    <row r="1556" spans="1:15" hidden="1" x14ac:dyDescent="0.25">
      <c r="A1556" s="10">
        <v>46049</v>
      </c>
      <c r="B1556" t="s">
        <v>20</v>
      </c>
      <c r="C1556" s="1" t="s">
        <v>16</v>
      </c>
      <c r="D1556" s="3">
        <v>6</v>
      </c>
      <c r="E1556" s="3">
        <v>6</v>
      </c>
      <c r="F1556" s="3">
        <v>45.33</v>
      </c>
      <c r="G1556" s="3">
        <v>0</v>
      </c>
      <c r="H1556" s="3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 s="3">
        <v>5</v>
      </c>
      <c r="N1556" s="3">
        <v>100</v>
      </c>
      <c r="O1556" s="12">
        <v>12</v>
      </c>
    </row>
    <row r="1557" spans="1:15" hidden="1" x14ac:dyDescent="0.25">
      <c r="A1557" s="10">
        <v>46049</v>
      </c>
      <c r="B1557" t="s">
        <v>28</v>
      </c>
      <c r="C1557" s="1" t="s">
        <v>26</v>
      </c>
      <c r="D1557" s="3">
        <v>0</v>
      </c>
      <c r="E1557" s="3">
        <v>0</v>
      </c>
      <c r="F1557" s="3">
        <v>0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 s="3">
        <v>0</v>
      </c>
      <c r="N1557" s="3">
        <v>0</v>
      </c>
      <c r="O1557" s="12">
        <v>0</v>
      </c>
    </row>
    <row r="1558" spans="1:15" hidden="1" x14ac:dyDescent="0.25">
      <c r="A1558" s="10">
        <v>46049</v>
      </c>
      <c r="B1558" t="s">
        <v>58</v>
      </c>
      <c r="C1558" s="1" t="s">
        <v>48</v>
      </c>
      <c r="D1558" s="3">
        <v>11</v>
      </c>
      <c r="E1558" s="3">
        <v>11</v>
      </c>
      <c r="F1558" s="3">
        <v>24.09</v>
      </c>
      <c r="G1558" s="3">
        <v>0</v>
      </c>
      <c r="H1558" s="3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 s="3">
        <v>8</v>
      </c>
      <c r="N1558" s="3">
        <v>97.56</v>
      </c>
      <c r="O1558" s="12">
        <v>31.067961165048541</v>
      </c>
    </row>
    <row r="1559" spans="1:15" hidden="1" x14ac:dyDescent="0.25">
      <c r="A1559" s="10">
        <v>46049</v>
      </c>
      <c r="B1559" t="s">
        <v>29</v>
      </c>
      <c r="C1559" s="1" t="s">
        <v>26</v>
      </c>
      <c r="D1559" s="3">
        <v>0</v>
      </c>
      <c r="E1559" s="3">
        <v>0</v>
      </c>
      <c r="F1559" s="3">
        <v>0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 s="3">
        <v>0</v>
      </c>
      <c r="N1559" s="3">
        <v>0</v>
      </c>
      <c r="O1559" s="12">
        <v>0</v>
      </c>
    </row>
    <row r="1560" spans="1:15" hidden="1" x14ac:dyDescent="0.25">
      <c r="A1560" s="10">
        <v>46049</v>
      </c>
      <c r="B1560" t="s">
        <v>30</v>
      </c>
      <c r="C1560" s="1" t="s">
        <v>26</v>
      </c>
      <c r="D1560" s="3">
        <v>0</v>
      </c>
      <c r="E1560" s="3">
        <v>0</v>
      </c>
      <c r="F1560" s="3">
        <v>0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 s="3">
        <v>0</v>
      </c>
      <c r="N1560" s="3">
        <v>0</v>
      </c>
      <c r="O1560" s="12">
        <v>0</v>
      </c>
    </row>
    <row r="1561" spans="1:15" hidden="1" x14ac:dyDescent="0.25">
      <c r="A1561" s="10">
        <v>46049</v>
      </c>
      <c r="B1561" t="s">
        <v>21</v>
      </c>
      <c r="C1561" s="1" t="s">
        <v>16</v>
      </c>
      <c r="D1561" s="3">
        <v>0</v>
      </c>
      <c r="E1561" s="3">
        <v>0</v>
      </c>
      <c r="F1561" s="3">
        <v>0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 s="3">
        <v>0</v>
      </c>
      <c r="N1561" s="3">
        <v>0</v>
      </c>
      <c r="O1561" s="12">
        <v>0</v>
      </c>
    </row>
    <row r="1562" spans="1:15" hidden="1" x14ac:dyDescent="0.25">
      <c r="A1562" s="10">
        <v>46049</v>
      </c>
      <c r="B1562" t="s">
        <v>63</v>
      </c>
      <c r="C1562" s="1" t="s">
        <v>23</v>
      </c>
      <c r="D1562" s="3">
        <v>0</v>
      </c>
      <c r="E1562" s="3">
        <v>0</v>
      </c>
      <c r="F1562" s="3">
        <v>0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 s="3">
        <v>0</v>
      </c>
      <c r="N1562" s="3">
        <v>100</v>
      </c>
      <c r="O1562" s="12">
        <v>53.846153846153847</v>
      </c>
    </row>
    <row r="1563" spans="1:15" hidden="1" x14ac:dyDescent="0.25">
      <c r="A1563" s="10">
        <v>46049</v>
      </c>
      <c r="B1563" t="s">
        <v>45</v>
      </c>
      <c r="C1563" s="1" t="s">
        <v>32</v>
      </c>
      <c r="D1563" s="3">
        <v>39</v>
      </c>
      <c r="E1563" s="3">
        <v>34</v>
      </c>
      <c r="F1563" s="3">
        <v>13.44</v>
      </c>
      <c r="G1563" s="3">
        <v>0</v>
      </c>
      <c r="H1563" s="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 s="3">
        <v>28</v>
      </c>
      <c r="N1563" s="3">
        <v>100</v>
      </c>
      <c r="O1563" s="12">
        <v>44.05594405594406</v>
      </c>
    </row>
    <row r="1564" spans="1:15" hidden="1" x14ac:dyDescent="0.25">
      <c r="A1564" s="10">
        <v>46049</v>
      </c>
      <c r="B1564" t="s">
        <v>64</v>
      </c>
      <c r="C1564" s="1" t="s">
        <v>23</v>
      </c>
      <c r="D1564" s="3">
        <v>21</v>
      </c>
      <c r="E1564" s="3">
        <v>20</v>
      </c>
      <c r="F1564" s="3">
        <v>21.58</v>
      </c>
      <c r="G1564" s="3">
        <v>0</v>
      </c>
      <c r="H1564" s="3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 s="3">
        <v>17</v>
      </c>
      <c r="N1564" s="3">
        <v>100</v>
      </c>
      <c r="O1564" s="12">
        <v>31.872509960159359</v>
      </c>
    </row>
    <row r="1565" spans="1:15" hidden="1" x14ac:dyDescent="0.25">
      <c r="A1565" s="10">
        <v>46049</v>
      </c>
      <c r="B1565" t="s">
        <v>46</v>
      </c>
      <c r="C1565" s="1" t="s">
        <v>32</v>
      </c>
      <c r="D1565" s="3">
        <v>32</v>
      </c>
      <c r="E1565" s="3">
        <v>31</v>
      </c>
      <c r="F1565" s="3">
        <v>16.489999999999998</v>
      </c>
      <c r="G1565" s="3">
        <v>0</v>
      </c>
      <c r="H1565" s="3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 s="3">
        <v>29</v>
      </c>
      <c r="N1565" s="3">
        <v>98.41</v>
      </c>
      <c r="O1565" s="12">
        <v>29.22465208747515</v>
      </c>
    </row>
    <row r="1566" spans="1:15" hidden="1" x14ac:dyDescent="0.25">
      <c r="A1566" s="10">
        <v>46050</v>
      </c>
      <c r="B1566" t="s">
        <v>47</v>
      </c>
      <c r="C1566" s="1" t="s">
        <v>48</v>
      </c>
      <c r="D1566" s="3">
        <v>45</v>
      </c>
      <c r="E1566" s="3">
        <v>40</v>
      </c>
      <c r="F1566" s="3">
        <v>12.1</v>
      </c>
      <c r="G1566" s="3">
        <v>0</v>
      </c>
      <c r="H1566" s="3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 s="3">
        <v>39</v>
      </c>
      <c r="N1566" s="3">
        <v>96.81</v>
      </c>
      <c r="O1566" s="12">
        <v>27.980535279805348</v>
      </c>
    </row>
    <row r="1567" spans="1:15" hidden="1" x14ac:dyDescent="0.25">
      <c r="A1567" s="10">
        <v>46050</v>
      </c>
      <c r="B1567" t="s">
        <v>31</v>
      </c>
      <c r="C1567" s="1" t="s">
        <v>32</v>
      </c>
      <c r="D1567" s="3">
        <v>0</v>
      </c>
      <c r="E1567" s="3">
        <v>0</v>
      </c>
      <c r="F1567" s="3">
        <v>0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 s="3">
        <v>36</v>
      </c>
      <c r="N1567" s="3">
        <v>98.73</v>
      </c>
      <c r="O1567" s="12">
        <v>35.756385068762278</v>
      </c>
    </row>
    <row r="1568" spans="1:15" hidden="1" x14ac:dyDescent="0.25">
      <c r="A1568" s="10">
        <v>46050</v>
      </c>
      <c r="B1568" t="s">
        <v>59</v>
      </c>
      <c r="C1568" s="1" t="s">
        <v>23</v>
      </c>
      <c r="D1568" s="3">
        <v>28</v>
      </c>
      <c r="E1568" s="3">
        <v>28</v>
      </c>
      <c r="F1568" s="3">
        <v>22.02</v>
      </c>
      <c r="G1568" s="3">
        <v>0</v>
      </c>
      <c r="H1568" s="3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 s="3">
        <v>24</v>
      </c>
      <c r="N1568" s="3">
        <v>98.32</v>
      </c>
      <c r="O1568" s="12">
        <v>26.763485477178421</v>
      </c>
    </row>
    <row r="1569" spans="1:15" hidden="1" x14ac:dyDescent="0.25">
      <c r="A1569" s="10">
        <v>46050</v>
      </c>
      <c r="B1569" t="s">
        <v>33</v>
      </c>
      <c r="C1569" s="1" t="s">
        <v>32</v>
      </c>
      <c r="D1569" s="3">
        <v>26</v>
      </c>
      <c r="E1569" s="3">
        <v>23</v>
      </c>
      <c r="F1569" s="3">
        <v>25.17</v>
      </c>
      <c r="G1569" s="3">
        <v>0</v>
      </c>
      <c r="H1569" s="3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 s="3">
        <v>20</v>
      </c>
      <c r="N1569" s="3">
        <v>99.19</v>
      </c>
      <c r="O1569" s="12">
        <v>27.637130801687761</v>
      </c>
    </row>
    <row r="1570" spans="1:15" hidden="1" x14ac:dyDescent="0.25">
      <c r="A1570" s="10">
        <v>46050</v>
      </c>
      <c r="B1570" t="s">
        <v>15</v>
      </c>
      <c r="C1570" s="1" t="s">
        <v>16</v>
      </c>
      <c r="D1570" s="3">
        <v>13</v>
      </c>
      <c r="E1570" s="3">
        <v>13</v>
      </c>
      <c r="F1570" s="3">
        <v>20.5</v>
      </c>
      <c r="G1570" s="3">
        <v>0</v>
      </c>
      <c r="H1570" s="3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 s="3">
        <v>13</v>
      </c>
      <c r="N1570" s="3">
        <v>100</v>
      </c>
      <c r="O1570" s="12">
        <v>39.568345323741013</v>
      </c>
    </row>
    <row r="1571" spans="1:15" hidden="1" x14ac:dyDescent="0.25">
      <c r="A1571" s="10">
        <v>46050</v>
      </c>
      <c r="B1571" t="s">
        <v>49</v>
      </c>
      <c r="C1571" s="1" t="s">
        <v>48</v>
      </c>
      <c r="D1571" s="3">
        <v>46</v>
      </c>
      <c r="E1571" s="3">
        <v>35</v>
      </c>
      <c r="F1571" s="3">
        <v>13.3</v>
      </c>
      <c r="G1571" s="3">
        <v>0</v>
      </c>
      <c r="H1571" s="3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 s="3">
        <v>38</v>
      </c>
      <c r="N1571" s="3">
        <v>98.54</v>
      </c>
      <c r="O1571" s="12">
        <v>28.544776119402989</v>
      </c>
    </row>
    <row r="1572" spans="1:15" hidden="1" x14ac:dyDescent="0.25">
      <c r="A1572" s="10">
        <v>46050</v>
      </c>
      <c r="B1572" t="s">
        <v>50</v>
      </c>
      <c r="C1572" s="1" t="s">
        <v>48</v>
      </c>
      <c r="D1572" s="3">
        <v>24</v>
      </c>
      <c r="E1572" s="3">
        <v>24</v>
      </c>
      <c r="F1572" s="3">
        <v>25.34</v>
      </c>
      <c r="G1572" s="3">
        <v>0</v>
      </c>
      <c r="H1572" s="3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 s="3">
        <v>20</v>
      </c>
      <c r="N1572" s="3">
        <v>100</v>
      </c>
      <c r="O1572" s="12">
        <v>34.366925064599492</v>
      </c>
    </row>
    <row r="1573" spans="1:15" hidden="1" x14ac:dyDescent="0.25">
      <c r="A1573" s="10">
        <v>46050</v>
      </c>
      <c r="B1573" t="s">
        <v>17</v>
      </c>
      <c r="C1573" s="1" t="s">
        <v>16</v>
      </c>
      <c r="D1573" s="3">
        <v>0</v>
      </c>
      <c r="E1573" s="3">
        <v>0</v>
      </c>
      <c r="F1573" s="3">
        <v>0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 s="3">
        <v>0</v>
      </c>
      <c r="N1573" s="3">
        <v>0</v>
      </c>
      <c r="O1573" s="12">
        <v>0</v>
      </c>
    </row>
    <row r="1574" spans="1:15" hidden="1" x14ac:dyDescent="0.25">
      <c r="A1574" s="10">
        <v>46050</v>
      </c>
      <c r="B1574" t="s">
        <v>60</v>
      </c>
      <c r="C1574" s="1" t="s">
        <v>23</v>
      </c>
      <c r="D1574" s="3">
        <v>28</v>
      </c>
      <c r="E1574" s="3">
        <v>25</v>
      </c>
      <c r="F1574" s="3">
        <v>18.559999999999999</v>
      </c>
      <c r="G1574" s="3">
        <v>0</v>
      </c>
      <c r="H1574" s="3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 s="3">
        <v>26</v>
      </c>
      <c r="N1574" s="3">
        <v>100</v>
      </c>
      <c r="O1574" s="12">
        <v>29.518072289156631</v>
      </c>
    </row>
    <row r="1575" spans="1:15" hidden="1" x14ac:dyDescent="0.25">
      <c r="A1575" s="10">
        <v>46050</v>
      </c>
      <c r="B1575" t="s">
        <v>34</v>
      </c>
      <c r="C1575" s="1" t="s">
        <v>32</v>
      </c>
      <c r="D1575" s="3">
        <v>43</v>
      </c>
      <c r="E1575" s="3">
        <v>37</v>
      </c>
      <c r="F1575" s="3">
        <v>12.12</v>
      </c>
      <c r="G1575" s="3">
        <v>0</v>
      </c>
      <c r="H1575" s="3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 s="3">
        <v>36</v>
      </c>
      <c r="N1575" s="3">
        <v>97.45</v>
      </c>
      <c r="O1575" s="12">
        <v>41.421143847487002</v>
      </c>
    </row>
    <row r="1576" spans="1:15" hidden="1" x14ac:dyDescent="0.25">
      <c r="A1576" s="10">
        <v>46050</v>
      </c>
      <c r="B1576" t="s">
        <v>51</v>
      </c>
      <c r="C1576" s="1" t="s">
        <v>48</v>
      </c>
      <c r="D1576" s="3">
        <v>41</v>
      </c>
      <c r="E1576" s="3">
        <v>32</v>
      </c>
      <c r="F1576" s="3">
        <v>13.51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 s="3">
        <v>30</v>
      </c>
      <c r="N1576" s="3">
        <v>96.58</v>
      </c>
      <c r="O1576" s="12">
        <v>30.396475770925111</v>
      </c>
    </row>
    <row r="1577" spans="1:15" hidden="1" x14ac:dyDescent="0.25">
      <c r="A1577" s="10">
        <v>46050</v>
      </c>
      <c r="B1577" t="s">
        <v>61</v>
      </c>
      <c r="C1577" s="1" t="s">
        <v>23</v>
      </c>
      <c r="D1577" s="3">
        <v>26</v>
      </c>
      <c r="E1577" s="3">
        <v>23</v>
      </c>
      <c r="F1577" s="3">
        <v>24.19</v>
      </c>
      <c r="G1577" s="3">
        <v>0</v>
      </c>
      <c r="H1577" s="3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 s="3">
        <v>28</v>
      </c>
      <c r="N1577" s="3">
        <v>100</v>
      </c>
      <c r="O1577" s="12">
        <v>27.44282744282744</v>
      </c>
    </row>
    <row r="1578" spans="1:15" hidden="1" x14ac:dyDescent="0.25">
      <c r="A1578" s="10">
        <v>46050</v>
      </c>
      <c r="B1578" t="s">
        <v>35</v>
      </c>
      <c r="C1578" s="1" t="s">
        <v>32</v>
      </c>
      <c r="D1578" s="3">
        <v>32</v>
      </c>
      <c r="E1578" s="3">
        <v>32</v>
      </c>
      <c r="F1578" s="3">
        <v>22.01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 s="3">
        <v>31</v>
      </c>
      <c r="N1578" s="3">
        <v>99.49</v>
      </c>
      <c r="O1578" s="12">
        <v>40.200000000000003</v>
      </c>
    </row>
    <row r="1579" spans="1:15" hidden="1" x14ac:dyDescent="0.25">
      <c r="A1579" s="10">
        <v>46050</v>
      </c>
      <c r="B1579" t="s">
        <v>18</v>
      </c>
      <c r="C1579" s="1" t="s">
        <v>16</v>
      </c>
      <c r="D1579" s="3">
        <v>2</v>
      </c>
      <c r="E1579" s="3">
        <v>2</v>
      </c>
      <c r="F1579" s="3">
        <v>55.02</v>
      </c>
      <c r="G1579" s="3">
        <v>0</v>
      </c>
      <c r="H1579" s="3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 s="3">
        <v>0</v>
      </c>
      <c r="N1579" s="3">
        <v>100</v>
      </c>
      <c r="O1579" s="12">
        <v>25</v>
      </c>
    </row>
    <row r="1580" spans="1:15" hidden="1" x14ac:dyDescent="0.25">
      <c r="A1580" s="10">
        <v>46050</v>
      </c>
      <c r="B1580" t="s">
        <v>52</v>
      </c>
      <c r="C1580" s="1" t="s">
        <v>48</v>
      </c>
      <c r="D1580" s="3">
        <v>33</v>
      </c>
      <c r="E1580" s="3">
        <v>31</v>
      </c>
      <c r="F1580" s="3">
        <v>20.149999999999999</v>
      </c>
      <c r="G1580" s="3">
        <v>0</v>
      </c>
      <c r="H1580" s="3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 s="3">
        <v>31</v>
      </c>
      <c r="N1580" s="3">
        <v>100</v>
      </c>
      <c r="O1580" s="12">
        <v>34.15094339622641</v>
      </c>
    </row>
    <row r="1581" spans="1:15" hidden="1" x14ac:dyDescent="0.25">
      <c r="A1581" s="10">
        <v>46050</v>
      </c>
      <c r="B1581" t="s">
        <v>36</v>
      </c>
      <c r="C1581" s="1" t="s">
        <v>32</v>
      </c>
      <c r="D1581" s="3">
        <v>33</v>
      </c>
      <c r="E1581" s="3">
        <v>30</v>
      </c>
      <c r="F1581" s="3">
        <v>15.08</v>
      </c>
      <c r="G1581" s="3">
        <v>0</v>
      </c>
      <c r="H1581" s="3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 s="3">
        <v>32</v>
      </c>
      <c r="N1581" s="3">
        <v>100</v>
      </c>
      <c r="O1581" s="12">
        <v>32.731376975169297</v>
      </c>
    </row>
    <row r="1582" spans="1:15" hidden="1" x14ac:dyDescent="0.25">
      <c r="A1582" s="10">
        <v>46050</v>
      </c>
      <c r="B1582" t="s">
        <v>53</v>
      </c>
      <c r="C1582" s="1" t="s">
        <v>48</v>
      </c>
      <c r="D1582" s="3">
        <v>32</v>
      </c>
      <c r="E1582" s="3">
        <v>30</v>
      </c>
      <c r="F1582" s="3">
        <v>20.37</v>
      </c>
      <c r="G1582" s="3">
        <v>0</v>
      </c>
      <c r="H1582" s="3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 s="3">
        <v>28</v>
      </c>
      <c r="N1582" s="3">
        <v>99.31</v>
      </c>
      <c r="O1582" s="12">
        <v>30.96234309623431</v>
      </c>
    </row>
    <row r="1583" spans="1:15" hidden="1" x14ac:dyDescent="0.25">
      <c r="A1583" s="10">
        <v>46084</v>
      </c>
      <c r="B1583" t="s">
        <v>22</v>
      </c>
      <c r="C1583" s="1" t="s">
        <v>23</v>
      </c>
      <c r="D1583" s="3">
        <v>21</v>
      </c>
      <c r="E1583" s="3">
        <v>21</v>
      </c>
      <c r="F1583" s="3">
        <v>27.26</v>
      </c>
      <c r="G1583" s="3">
        <v>0</v>
      </c>
      <c r="H1583" s="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 s="3">
        <v>21</v>
      </c>
      <c r="N1583" s="3">
        <v>99.05</v>
      </c>
      <c r="O1583" s="12">
        <v>26.621923937360179</v>
      </c>
    </row>
    <row r="1584" spans="1:15" hidden="1" x14ac:dyDescent="0.25">
      <c r="A1584" s="10">
        <v>46050</v>
      </c>
      <c r="B1584" t="s">
        <v>54</v>
      </c>
      <c r="C1584" s="1" t="s">
        <v>48</v>
      </c>
      <c r="D1584" s="3">
        <v>36</v>
      </c>
      <c r="E1584" s="3">
        <v>34</v>
      </c>
      <c r="F1584" s="3">
        <v>18.46</v>
      </c>
      <c r="G1584" s="3">
        <v>0</v>
      </c>
      <c r="H1584" s="3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 s="3">
        <v>30</v>
      </c>
      <c r="N1584" s="3">
        <v>100</v>
      </c>
      <c r="O1584" s="12">
        <v>27.676767676767678</v>
      </c>
    </row>
    <row r="1585" spans="1:15" hidden="1" x14ac:dyDescent="0.25">
      <c r="A1585" s="10">
        <v>46050</v>
      </c>
      <c r="B1585" t="s">
        <v>37</v>
      </c>
      <c r="C1585" s="1" t="s">
        <v>32</v>
      </c>
      <c r="D1585" s="3">
        <v>55</v>
      </c>
      <c r="E1585" s="3">
        <v>50</v>
      </c>
      <c r="F1585" s="3">
        <v>11.53</v>
      </c>
      <c r="G1585" s="3">
        <v>0</v>
      </c>
      <c r="H1585" s="3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 s="3">
        <v>47</v>
      </c>
      <c r="N1585" s="3">
        <v>100</v>
      </c>
      <c r="O1585" s="12">
        <v>31.17723156532988</v>
      </c>
    </row>
    <row r="1586" spans="1:15" hidden="1" x14ac:dyDescent="0.25">
      <c r="A1586" s="10">
        <v>46050</v>
      </c>
      <c r="B1586" t="s">
        <v>38</v>
      </c>
      <c r="C1586" s="1" t="s">
        <v>32</v>
      </c>
      <c r="D1586" s="3">
        <v>18</v>
      </c>
      <c r="E1586" s="3">
        <v>15</v>
      </c>
      <c r="F1586" s="3">
        <v>12.07</v>
      </c>
      <c r="G1586" s="3">
        <v>0</v>
      </c>
      <c r="H1586" s="3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 s="3">
        <v>16</v>
      </c>
      <c r="N1586" s="3">
        <v>100</v>
      </c>
      <c r="O1586" s="12">
        <v>27.609427609427609</v>
      </c>
    </row>
    <row r="1587" spans="1:15" hidden="1" x14ac:dyDescent="0.25">
      <c r="A1587" s="10">
        <v>46050</v>
      </c>
      <c r="B1587" t="s">
        <v>55</v>
      </c>
      <c r="C1587" s="1" t="s">
        <v>48</v>
      </c>
      <c r="D1587" s="3">
        <v>47</v>
      </c>
      <c r="E1587" s="3">
        <v>38</v>
      </c>
      <c r="F1587" s="3">
        <v>12.23</v>
      </c>
      <c r="G1587" s="3">
        <v>0</v>
      </c>
      <c r="H1587" s="3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 s="3">
        <v>37</v>
      </c>
      <c r="N1587" s="3">
        <v>96.4</v>
      </c>
      <c r="O1587" s="12">
        <v>28.764044943820231</v>
      </c>
    </row>
    <row r="1588" spans="1:15" hidden="1" x14ac:dyDescent="0.25">
      <c r="A1588" s="10">
        <v>46050</v>
      </c>
      <c r="B1588" t="s">
        <v>39</v>
      </c>
      <c r="C1588" s="1" t="s">
        <v>32</v>
      </c>
      <c r="D1588" s="3">
        <v>0</v>
      </c>
      <c r="E1588" s="3">
        <v>0</v>
      </c>
      <c r="F1588" s="3">
        <v>0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 s="3">
        <v>0</v>
      </c>
      <c r="N1588" s="3">
        <v>100</v>
      </c>
      <c r="O1588" s="12">
        <v>33.980582524271853</v>
      </c>
    </row>
    <row r="1589" spans="1:15" hidden="1" x14ac:dyDescent="0.25">
      <c r="A1589" s="10">
        <v>46050</v>
      </c>
      <c r="B1589" t="s">
        <v>25</v>
      </c>
      <c r="C1589" s="1" t="s">
        <v>26</v>
      </c>
      <c r="D1589" s="3">
        <v>9</v>
      </c>
      <c r="E1589" s="3">
        <v>9</v>
      </c>
      <c r="F1589" s="3">
        <v>23.36</v>
      </c>
      <c r="G1589" s="3">
        <v>0</v>
      </c>
      <c r="H1589" s="3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 s="3">
        <v>10</v>
      </c>
      <c r="N1589" s="3">
        <v>97.56</v>
      </c>
      <c r="O1589" s="12">
        <v>32.515337423312893</v>
      </c>
    </row>
    <row r="1590" spans="1:15" hidden="1" x14ac:dyDescent="0.25">
      <c r="A1590" s="10">
        <v>46050</v>
      </c>
      <c r="B1590" t="s">
        <v>40</v>
      </c>
      <c r="C1590" s="1" t="s">
        <v>32</v>
      </c>
      <c r="D1590" s="3">
        <v>18</v>
      </c>
      <c r="E1590" s="3">
        <v>18</v>
      </c>
      <c r="F1590" s="3">
        <v>19.170000000000002</v>
      </c>
      <c r="G1590" s="3">
        <v>0</v>
      </c>
      <c r="H1590" s="3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 s="3">
        <v>18</v>
      </c>
      <c r="N1590" s="3">
        <v>97.11</v>
      </c>
      <c r="O1590" s="12">
        <v>37.408312958435211</v>
      </c>
    </row>
    <row r="1591" spans="1:15" hidden="1" x14ac:dyDescent="0.25">
      <c r="A1591" s="10">
        <v>46050</v>
      </c>
      <c r="B1591" t="s">
        <v>27</v>
      </c>
      <c r="C1591" s="1" t="s">
        <v>26</v>
      </c>
      <c r="D1591" s="3">
        <v>0</v>
      </c>
      <c r="E1591" s="3">
        <v>0</v>
      </c>
      <c r="F1591" s="3">
        <v>0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 s="3">
        <v>0</v>
      </c>
      <c r="N1591" s="3">
        <v>0</v>
      </c>
      <c r="O1591" s="12">
        <v>0</v>
      </c>
    </row>
    <row r="1592" spans="1:15" hidden="1" x14ac:dyDescent="0.25">
      <c r="A1592" s="10">
        <v>46050</v>
      </c>
      <c r="B1592" t="s">
        <v>41</v>
      </c>
      <c r="C1592" s="1" t="s">
        <v>32</v>
      </c>
      <c r="D1592" s="3">
        <v>29</v>
      </c>
      <c r="E1592" s="3">
        <v>26</v>
      </c>
      <c r="F1592" s="3">
        <v>17.18</v>
      </c>
      <c r="G1592" s="3">
        <v>0</v>
      </c>
      <c r="H1592" s="3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 s="3">
        <v>28</v>
      </c>
      <c r="N1592" s="3">
        <v>100</v>
      </c>
      <c r="O1592" s="12">
        <v>30.470347648261761</v>
      </c>
    </row>
    <row r="1593" spans="1:15" hidden="1" x14ac:dyDescent="0.25">
      <c r="A1593" s="10">
        <v>46050</v>
      </c>
      <c r="B1593" t="s">
        <v>56</v>
      </c>
      <c r="C1593" s="1" t="s">
        <v>48</v>
      </c>
      <c r="D1593" s="3">
        <v>35</v>
      </c>
      <c r="E1593" s="3">
        <v>30</v>
      </c>
      <c r="F1593" s="3">
        <v>16.510000000000002</v>
      </c>
      <c r="G1593" s="3">
        <v>0</v>
      </c>
      <c r="H1593" s="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 s="3">
        <v>25</v>
      </c>
      <c r="N1593" s="3">
        <v>100</v>
      </c>
      <c r="O1593" s="12">
        <v>32.371134020618562</v>
      </c>
    </row>
    <row r="1594" spans="1:15" hidden="1" x14ac:dyDescent="0.25">
      <c r="A1594" s="10">
        <v>46050</v>
      </c>
      <c r="B1594" t="s">
        <v>57</v>
      </c>
      <c r="C1594" s="1" t="s">
        <v>48</v>
      </c>
      <c r="D1594" s="3">
        <v>42</v>
      </c>
      <c r="E1594" s="3">
        <v>40</v>
      </c>
      <c r="F1594" s="3">
        <v>13.55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 s="3">
        <v>35</v>
      </c>
      <c r="N1594" s="3">
        <v>98.32</v>
      </c>
      <c r="O1594" s="12">
        <v>32.318501170960189</v>
      </c>
    </row>
    <row r="1595" spans="1:15" hidden="1" x14ac:dyDescent="0.25">
      <c r="A1595" s="10">
        <v>46050</v>
      </c>
      <c r="B1595" t="s">
        <v>42</v>
      </c>
      <c r="C1595" s="1" t="s">
        <v>32</v>
      </c>
      <c r="D1595" s="3">
        <v>137</v>
      </c>
      <c r="E1595" s="3">
        <v>28</v>
      </c>
      <c r="F1595" s="3">
        <v>2.36</v>
      </c>
      <c r="G1595" s="3">
        <v>0</v>
      </c>
      <c r="H1595" s="3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 s="3">
        <v>13</v>
      </c>
      <c r="N1595" s="3">
        <v>96.43</v>
      </c>
      <c r="O1595" s="12">
        <v>27.015250544662312</v>
      </c>
    </row>
    <row r="1596" spans="1:15" hidden="1" x14ac:dyDescent="0.25">
      <c r="A1596" s="10">
        <v>46050</v>
      </c>
      <c r="B1596" t="s">
        <v>62</v>
      </c>
      <c r="C1596" s="1" t="s">
        <v>23</v>
      </c>
      <c r="D1596" s="3">
        <v>19</v>
      </c>
      <c r="E1596" s="3">
        <v>19</v>
      </c>
      <c r="F1596" s="3">
        <v>22.33</v>
      </c>
      <c r="G1596" s="3">
        <v>0</v>
      </c>
      <c r="H1596" s="3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 s="3">
        <v>16</v>
      </c>
      <c r="N1596" s="3">
        <v>98.89</v>
      </c>
      <c r="O1596" s="12">
        <v>28.021978021978018</v>
      </c>
    </row>
    <row r="1597" spans="1:15" hidden="1" x14ac:dyDescent="0.25">
      <c r="A1597" s="10">
        <v>46050</v>
      </c>
      <c r="B1597" t="s">
        <v>19</v>
      </c>
      <c r="C1597" s="1" t="s">
        <v>16</v>
      </c>
      <c r="D1597" s="3">
        <v>0</v>
      </c>
      <c r="E1597" s="3">
        <v>0</v>
      </c>
      <c r="F1597" s="3">
        <v>0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 s="3">
        <v>0</v>
      </c>
      <c r="N1597" s="3">
        <v>100</v>
      </c>
      <c r="O1597" s="12">
        <v>33.333333333333329</v>
      </c>
    </row>
    <row r="1598" spans="1:15" hidden="1" x14ac:dyDescent="0.25">
      <c r="A1598" s="10">
        <v>46050</v>
      </c>
      <c r="B1598" t="s">
        <v>43</v>
      </c>
      <c r="C1598" s="1" t="s">
        <v>32</v>
      </c>
      <c r="D1598" s="3">
        <v>0</v>
      </c>
      <c r="E1598" s="3">
        <v>0</v>
      </c>
      <c r="F1598" s="3">
        <v>0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 s="3">
        <v>0</v>
      </c>
      <c r="N1598" s="3">
        <v>100</v>
      </c>
      <c r="O1598" s="12">
        <v>27.43362831858407</v>
      </c>
    </row>
    <row r="1599" spans="1:15" hidden="1" x14ac:dyDescent="0.25">
      <c r="A1599" s="10">
        <v>46050</v>
      </c>
      <c r="B1599" t="s">
        <v>44</v>
      </c>
      <c r="C1599" s="1" t="s">
        <v>32</v>
      </c>
      <c r="D1599" s="3">
        <v>49</v>
      </c>
      <c r="E1599" s="3">
        <v>42</v>
      </c>
      <c r="F1599" s="3">
        <v>10.25</v>
      </c>
      <c r="G1599" s="3">
        <v>0</v>
      </c>
      <c r="H1599" s="3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 s="3">
        <v>31</v>
      </c>
      <c r="N1599" s="3">
        <v>98.65</v>
      </c>
      <c r="O1599" s="12">
        <v>30.978260869565219</v>
      </c>
    </row>
    <row r="1600" spans="1:15" hidden="1" x14ac:dyDescent="0.25">
      <c r="A1600" s="10">
        <v>46050</v>
      </c>
      <c r="B1600" t="s">
        <v>20</v>
      </c>
      <c r="C1600" s="1" t="s">
        <v>16</v>
      </c>
      <c r="D1600" s="3">
        <v>8</v>
      </c>
      <c r="E1600" s="3">
        <v>7</v>
      </c>
      <c r="F1600" s="3">
        <v>37.04</v>
      </c>
      <c r="G1600" s="3">
        <v>0</v>
      </c>
      <c r="H1600" s="3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 s="3">
        <v>3</v>
      </c>
      <c r="N1600" s="3">
        <v>100</v>
      </c>
      <c r="O1600" s="12">
        <v>12</v>
      </c>
    </row>
    <row r="1601" spans="1:15" hidden="1" x14ac:dyDescent="0.25">
      <c r="A1601" s="10">
        <v>46050</v>
      </c>
      <c r="B1601" t="s">
        <v>28</v>
      </c>
      <c r="C1601" s="1" t="s">
        <v>26</v>
      </c>
      <c r="D1601" s="3">
        <v>0</v>
      </c>
      <c r="E1601" s="3">
        <v>0</v>
      </c>
      <c r="F1601" s="3">
        <v>0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 s="3">
        <v>0</v>
      </c>
      <c r="N1601" s="3">
        <v>0</v>
      </c>
      <c r="O1601" s="12">
        <v>0</v>
      </c>
    </row>
    <row r="1602" spans="1:15" hidden="1" x14ac:dyDescent="0.25">
      <c r="A1602" s="10">
        <v>46050</v>
      </c>
      <c r="B1602" t="s">
        <v>58</v>
      </c>
      <c r="C1602" s="1" t="s">
        <v>48</v>
      </c>
      <c r="D1602" s="3">
        <v>30</v>
      </c>
      <c r="E1602" s="3">
        <v>30</v>
      </c>
      <c r="F1602" s="3">
        <v>18.43</v>
      </c>
      <c r="G1602" s="3">
        <v>0</v>
      </c>
      <c r="H1602" s="3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 s="3">
        <v>25</v>
      </c>
      <c r="N1602" s="3">
        <v>97.56</v>
      </c>
      <c r="O1602" s="12">
        <v>31.067961165048541</v>
      </c>
    </row>
    <row r="1603" spans="1:15" hidden="1" x14ac:dyDescent="0.25">
      <c r="A1603" s="10">
        <v>46050</v>
      </c>
      <c r="B1603" t="s">
        <v>29</v>
      </c>
      <c r="C1603" s="1" t="s">
        <v>26</v>
      </c>
      <c r="D1603" s="3">
        <v>0</v>
      </c>
      <c r="E1603" s="3">
        <v>0</v>
      </c>
      <c r="F1603" s="3">
        <v>0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 s="3">
        <v>0</v>
      </c>
      <c r="N1603" s="3">
        <v>0</v>
      </c>
      <c r="O1603" s="12">
        <v>0</v>
      </c>
    </row>
    <row r="1604" spans="1:15" hidden="1" x14ac:dyDescent="0.25">
      <c r="A1604" s="10">
        <v>46050</v>
      </c>
      <c r="B1604" t="s">
        <v>30</v>
      </c>
      <c r="C1604" s="1" t="s">
        <v>26</v>
      </c>
      <c r="D1604" s="3">
        <v>0</v>
      </c>
      <c r="E1604" s="3">
        <v>0</v>
      </c>
      <c r="F1604" s="3">
        <v>0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 s="3">
        <v>0</v>
      </c>
      <c r="N1604" s="3">
        <v>0</v>
      </c>
      <c r="O1604" s="12">
        <v>0</v>
      </c>
    </row>
    <row r="1605" spans="1:15" hidden="1" x14ac:dyDescent="0.25">
      <c r="A1605" s="10">
        <v>46050</v>
      </c>
      <c r="B1605" t="s">
        <v>21</v>
      </c>
      <c r="C1605" s="1" t="s">
        <v>16</v>
      </c>
      <c r="D1605" s="3">
        <v>0</v>
      </c>
      <c r="E1605" s="3">
        <v>0</v>
      </c>
      <c r="F1605" s="3">
        <v>0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 s="3">
        <v>0</v>
      </c>
      <c r="N1605" s="3">
        <v>0</v>
      </c>
      <c r="O1605" s="12">
        <v>0</v>
      </c>
    </row>
    <row r="1606" spans="1:15" hidden="1" x14ac:dyDescent="0.25">
      <c r="A1606" s="10">
        <v>46050</v>
      </c>
      <c r="B1606" t="s">
        <v>63</v>
      </c>
      <c r="C1606" s="1" t="s">
        <v>23</v>
      </c>
      <c r="D1606" s="3">
        <v>2</v>
      </c>
      <c r="E1606" s="3">
        <v>2</v>
      </c>
      <c r="F1606" s="3">
        <v>13.56</v>
      </c>
      <c r="G1606" s="3">
        <v>0</v>
      </c>
      <c r="H1606" s="3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 s="3">
        <v>2</v>
      </c>
      <c r="N1606" s="3">
        <v>100</v>
      </c>
      <c r="O1606" s="12">
        <v>53.846153846153847</v>
      </c>
    </row>
    <row r="1607" spans="1:15" hidden="1" x14ac:dyDescent="0.25">
      <c r="A1607" s="10">
        <v>46050</v>
      </c>
      <c r="B1607" t="s">
        <v>45</v>
      </c>
      <c r="C1607" s="1" t="s">
        <v>32</v>
      </c>
      <c r="D1607" s="3">
        <v>39</v>
      </c>
      <c r="E1607" s="3">
        <v>36</v>
      </c>
      <c r="F1607" s="3">
        <v>14.18</v>
      </c>
      <c r="G1607" s="3">
        <v>0</v>
      </c>
      <c r="H1607" s="3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 s="3">
        <v>40</v>
      </c>
      <c r="N1607" s="3">
        <v>100</v>
      </c>
      <c r="O1607" s="12">
        <v>44.05594405594406</v>
      </c>
    </row>
    <row r="1608" spans="1:15" hidden="1" x14ac:dyDescent="0.25">
      <c r="A1608" s="10">
        <v>46050</v>
      </c>
      <c r="B1608" t="s">
        <v>64</v>
      </c>
      <c r="C1608" s="1" t="s">
        <v>23</v>
      </c>
      <c r="D1608" s="3">
        <v>13</v>
      </c>
      <c r="E1608" s="3">
        <v>13</v>
      </c>
      <c r="F1608" s="3">
        <v>40.5</v>
      </c>
      <c r="G1608" s="3">
        <v>0</v>
      </c>
      <c r="H1608" s="3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 s="3">
        <v>7</v>
      </c>
      <c r="N1608" s="3">
        <v>100</v>
      </c>
      <c r="O1608" s="12">
        <v>31.872509960159359</v>
      </c>
    </row>
    <row r="1609" spans="1:15" hidden="1" x14ac:dyDescent="0.25">
      <c r="A1609" s="10">
        <v>46050</v>
      </c>
      <c r="B1609" t="s">
        <v>46</v>
      </c>
      <c r="C1609" s="1" t="s">
        <v>32</v>
      </c>
      <c r="D1609" s="3">
        <v>30</v>
      </c>
      <c r="E1609" s="3">
        <v>30</v>
      </c>
      <c r="F1609" s="3">
        <v>17.190000000000001</v>
      </c>
      <c r="G1609" s="3">
        <v>0</v>
      </c>
      <c r="H1609" s="3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 s="3">
        <v>27</v>
      </c>
      <c r="N1609" s="3">
        <v>98.41</v>
      </c>
      <c r="O1609" s="12">
        <v>29.22465208747515</v>
      </c>
    </row>
    <row r="1610" spans="1:15" hidden="1" x14ac:dyDescent="0.25">
      <c r="A1610" s="10">
        <v>46051</v>
      </c>
      <c r="B1610" t="s">
        <v>47</v>
      </c>
      <c r="C1610" s="1" t="s">
        <v>48</v>
      </c>
      <c r="D1610" s="3">
        <v>26</v>
      </c>
      <c r="E1610" s="3">
        <v>22</v>
      </c>
      <c r="F1610" s="3">
        <v>15.41</v>
      </c>
      <c r="G1610" s="3">
        <v>0</v>
      </c>
      <c r="H1610" s="3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 s="3">
        <v>21</v>
      </c>
      <c r="N1610" s="3">
        <v>96.81</v>
      </c>
      <c r="O1610" s="12">
        <v>27.980535279805348</v>
      </c>
    </row>
    <row r="1611" spans="1:15" hidden="1" x14ac:dyDescent="0.25">
      <c r="A1611" s="10">
        <v>46051</v>
      </c>
      <c r="B1611" t="s">
        <v>31</v>
      </c>
      <c r="C1611" s="1" t="s">
        <v>32</v>
      </c>
      <c r="D1611" s="3">
        <v>0</v>
      </c>
      <c r="E1611" s="3">
        <v>0</v>
      </c>
      <c r="F1611" s="3">
        <v>0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 s="3">
        <v>28</v>
      </c>
      <c r="N1611" s="3">
        <v>98.73</v>
      </c>
      <c r="O1611" s="12">
        <v>35.756385068762278</v>
      </c>
    </row>
    <row r="1612" spans="1:15" hidden="1" x14ac:dyDescent="0.25">
      <c r="A1612" s="10">
        <v>46051</v>
      </c>
      <c r="B1612" t="s">
        <v>59</v>
      </c>
      <c r="C1612" s="1" t="s">
        <v>23</v>
      </c>
      <c r="D1612" s="3">
        <v>33</v>
      </c>
      <c r="E1612" s="3">
        <v>28</v>
      </c>
      <c r="F1612" s="3">
        <v>15.09</v>
      </c>
      <c r="G1612" s="3">
        <v>0</v>
      </c>
      <c r="H1612" s="3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 s="3">
        <v>29</v>
      </c>
      <c r="N1612" s="3">
        <v>98.32</v>
      </c>
      <c r="O1612" s="12">
        <v>26.763485477178421</v>
      </c>
    </row>
    <row r="1613" spans="1:15" hidden="1" x14ac:dyDescent="0.25">
      <c r="A1613" s="10">
        <v>46051</v>
      </c>
      <c r="B1613" t="s">
        <v>33</v>
      </c>
      <c r="C1613" s="1" t="s">
        <v>32</v>
      </c>
      <c r="D1613" s="3">
        <v>32</v>
      </c>
      <c r="E1613" s="3">
        <v>27</v>
      </c>
      <c r="F1613" s="3">
        <v>17.059999999999999</v>
      </c>
      <c r="G1613" s="3">
        <v>0</v>
      </c>
      <c r="H1613" s="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 s="3">
        <v>21</v>
      </c>
      <c r="N1613" s="3">
        <v>99.19</v>
      </c>
      <c r="O1613" s="12">
        <v>27.637130801687761</v>
      </c>
    </row>
    <row r="1614" spans="1:15" hidden="1" x14ac:dyDescent="0.25">
      <c r="A1614" s="10">
        <v>46051</v>
      </c>
      <c r="B1614" t="s">
        <v>15</v>
      </c>
      <c r="C1614" s="1" t="s">
        <v>16</v>
      </c>
      <c r="D1614" s="3">
        <v>11</v>
      </c>
      <c r="E1614" s="3">
        <v>10</v>
      </c>
      <c r="F1614" s="3">
        <v>29.13</v>
      </c>
      <c r="G1614" s="3">
        <v>0</v>
      </c>
      <c r="H1614" s="3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 s="3">
        <v>8</v>
      </c>
      <c r="N1614" s="3">
        <v>100</v>
      </c>
      <c r="O1614" s="12">
        <v>39.568345323741013</v>
      </c>
    </row>
    <row r="1615" spans="1:15" hidden="1" x14ac:dyDescent="0.25">
      <c r="A1615" s="10">
        <v>46051</v>
      </c>
      <c r="B1615" t="s">
        <v>49</v>
      </c>
      <c r="C1615" s="1" t="s">
        <v>48</v>
      </c>
      <c r="D1615" s="3">
        <v>33</v>
      </c>
      <c r="E1615" s="3">
        <v>28</v>
      </c>
      <c r="F1615" s="3">
        <v>13.55</v>
      </c>
      <c r="G1615" s="3">
        <v>0</v>
      </c>
      <c r="H1615" s="3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 s="3">
        <v>30</v>
      </c>
      <c r="N1615" s="3">
        <v>98.54</v>
      </c>
      <c r="O1615" s="12">
        <v>28.544776119402989</v>
      </c>
    </row>
    <row r="1616" spans="1:15" hidden="1" x14ac:dyDescent="0.25">
      <c r="A1616" s="10">
        <v>46051</v>
      </c>
      <c r="B1616" t="s">
        <v>50</v>
      </c>
      <c r="C1616" s="1" t="s">
        <v>48</v>
      </c>
      <c r="D1616" s="3">
        <v>32</v>
      </c>
      <c r="E1616" s="3">
        <v>29</v>
      </c>
      <c r="F1616" s="3">
        <v>18.489999999999998</v>
      </c>
      <c r="G1616" s="3">
        <v>0</v>
      </c>
      <c r="H1616" s="3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 s="3">
        <v>27</v>
      </c>
      <c r="N1616" s="3">
        <v>100</v>
      </c>
      <c r="O1616" s="12">
        <v>34.366925064599492</v>
      </c>
    </row>
    <row r="1617" spans="1:15" hidden="1" x14ac:dyDescent="0.25">
      <c r="A1617" s="10">
        <v>46051</v>
      </c>
      <c r="B1617" t="s">
        <v>17</v>
      </c>
      <c r="C1617" s="1" t="s">
        <v>16</v>
      </c>
      <c r="D1617" s="3">
        <v>0</v>
      </c>
      <c r="E1617" s="3">
        <v>0</v>
      </c>
      <c r="F1617" s="3">
        <v>0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 s="3">
        <v>0</v>
      </c>
      <c r="N1617" s="3">
        <v>0</v>
      </c>
      <c r="O1617" s="12">
        <v>0</v>
      </c>
    </row>
    <row r="1618" spans="1:15" hidden="1" x14ac:dyDescent="0.25">
      <c r="A1618" s="10">
        <v>46051</v>
      </c>
      <c r="B1618" t="s">
        <v>60</v>
      </c>
      <c r="C1618" s="1" t="s">
        <v>23</v>
      </c>
      <c r="D1618" s="3">
        <v>15</v>
      </c>
      <c r="E1618" s="3">
        <v>14</v>
      </c>
      <c r="F1618" s="3">
        <v>40.43</v>
      </c>
      <c r="G1618" s="3">
        <v>0</v>
      </c>
      <c r="H1618" s="3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 s="3">
        <v>12</v>
      </c>
      <c r="N1618" s="3">
        <v>100</v>
      </c>
      <c r="O1618" s="12">
        <v>29.518072289156631</v>
      </c>
    </row>
    <row r="1619" spans="1:15" hidden="1" x14ac:dyDescent="0.25">
      <c r="A1619" s="10">
        <v>46051</v>
      </c>
      <c r="B1619" t="s">
        <v>34</v>
      </c>
      <c r="C1619" s="1" t="s">
        <v>32</v>
      </c>
      <c r="D1619" s="3">
        <v>38</v>
      </c>
      <c r="E1619" s="3">
        <v>31</v>
      </c>
      <c r="F1619" s="3">
        <v>12.01</v>
      </c>
      <c r="G1619" s="3">
        <v>0</v>
      </c>
      <c r="H1619" s="3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 s="3">
        <v>25</v>
      </c>
      <c r="N1619" s="3">
        <v>97.45</v>
      </c>
      <c r="O1619" s="12">
        <v>41.421143847487002</v>
      </c>
    </row>
    <row r="1620" spans="1:15" hidden="1" x14ac:dyDescent="0.25">
      <c r="A1620" s="10">
        <v>46051</v>
      </c>
      <c r="B1620" t="s">
        <v>51</v>
      </c>
      <c r="C1620" s="1" t="s">
        <v>48</v>
      </c>
      <c r="D1620" s="3">
        <v>40</v>
      </c>
      <c r="E1620" s="3">
        <v>33</v>
      </c>
      <c r="F1620" s="3">
        <v>13.31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 s="3">
        <v>28</v>
      </c>
      <c r="N1620" s="3">
        <v>96.58</v>
      </c>
      <c r="O1620" s="12">
        <v>30.396475770925111</v>
      </c>
    </row>
    <row r="1621" spans="1:15" hidden="1" x14ac:dyDescent="0.25">
      <c r="A1621" s="10">
        <v>46051</v>
      </c>
      <c r="B1621" t="s">
        <v>61</v>
      </c>
      <c r="C1621" s="1" t="s">
        <v>23</v>
      </c>
      <c r="D1621" s="3">
        <v>22</v>
      </c>
      <c r="E1621" s="3">
        <v>21</v>
      </c>
      <c r="F1621" s="3">
        <v>20.190000000000001</v>
      </c>
      <c r="G1621" s="3">
        <v>0</v>
      </c>
      <c r="H1621" s="3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 s="3">
        <v>22</v>
      </c>
      <c r="N1621" s="3">
        <v>100</v>
      </c>
      <c r="O1621" s="12">
        <v>27.44282744282744</v>
      </c>
    </row>
    <row r="1622" spans="1:15" hidden="1" x14ac:dyDescent="0.25">
      <c r="A1622" s="10">
        <v>46051</v>
      </c>
      <c r="B1622" t="s">
        <v>35</v>
      </c>
      <c r="C1622" s="1" t="s">
        <v>32</v>
      </c>
      <c r="D1622" s="3">
        <v>33</v>
      </c>
      <c r="E1622" s="3">
        <v>31</v>
      </c>
      <c r="F1622" s="3">
        <v>20.03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 s="3">
        <v>31</v>
      </c>
      <c r="N1622" s="3">
        <v>99.49</v>
      </c>
      <c r="O1622" s="12">
        <v>40.200000000000003</v>
      </c>
    </row>
    <row r="1623" spans="1:15" hidden="1" x14ac:dyDescent="0.25">
      <c r="A1623" s="10">
        <v>46051</v>
      </c>
      <c r="B1623" t="s">
        <v>18</v>
      </c>
      <c r="C1623" s="1" t="s">
        <v>16</v>
      </c>
      <c r="D1623" s="3">
        <v>5</v>
      </c>
      <c r="E1623" s="3">
        <v>4</v>
      </c>
      <c r="F1623" s="3">
        <v>32.18</v>
      </c>
      <c r="G1623" s="3">
        <v>0</v>
      </c>
      <c r="H1623" s="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 s="3">
        <v>2</v>
      </c>
      <c r="N1623" s="3">
        <v>100</v>
      </c>
      <c r="O1623" s="12">
        <v>25</v>
      </c>
    </row>
    <row r="1624" spans="1:15" hidden="1" x14ac:dyDescent="0.25">
      <c r="A1624" s="10">
        <v>46051</v>
      </c>
      <c r="B1624" t="s">
        <v>52</v>
      </c>
      <c r="C1624" s="1" t="s">
        <v>48</v>
      </c>
      <c r="D1624" s="3">
        <v>26</v>
      </c>
      <c r="E1624" s="3">
        <v>23</v>
      </c>
      <c r="F1624" s="3">
        <v>18.350000000000001</v>
      </c>
      <c r="G1624" s="3">
        <v>0</v>
      </c>
      <c r="H1624" s="3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 s="3">
        <v>18</v>
      </c>
      <c r="N1624" s="3">
        <v>100</v>
      </c>
      <c r="O1624" s="12">
        <v>34.15094339622641</v>
      </c>
    </row>
    <row r="1625" spans="1:15" hidden="1" x14ac:dyDescent="0.25">
      <c r="A1625" s="10">
        <v>46051</v>
      </c>
      <c r="B1625" t="s">
        <v>36</v>
      </c>
      <c r="C1625" s="1" t="s">
        <v>32</v>
      </c>
      <c r="D1625" s="3">
        <v>30</v>
      </c>
      <c r="E1625" s="3">
        <v>28</v>
      </c>
      <c r="F1625" s="3">
        <v>15.56</v>
      </c>
      <c r="G1625" s="3">
        <v>0</v>
      </c>
      <c r="H1625" s="3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 s="3">
        <v>27</v>
      </c>
      <c r="N1625" s="3">
        <v>100</v>
      </c>
      <c r="O1625" s="12">
        <v>32.731376975169297</v>
      </c>
    </row>
    <row r="1626" spans="1:15" hidden="1" x14ac:dyDescent="0.25">
      <c r="A1626" s="10">
        <v>46051</v>
      </c>
      <c r="B1626" t="s">
        <v>53</v>
      </c>
      <c r="C1626" s="1" t="s">
        <v>48</v>
      </c>
      <c r="D1626" s="3">
        <v>50</v>
      </c>
      <c r="E1626" s="3">
        <v>43</v>
      </c>
      <c r="F1626" s="3">
        <v>14.14</v>
      </c>
      <c r="G1626" s="3">
        <v>0</v>
      </c>
      <c r="H1626" s="3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 s="3">
        <v>37</v>
      </c>
      <c r="N1626" s="3">
        <v>99.31</v>
      </c>
      <c r="O1626" s="12">
        <v>30.96234309623431</v>
      </c>
    </row>
    <row r="1627" spans="1:15" hidden="1" x14ac:dyDescent="0.25">
      <c r="A1627" s="10">
        <v>46085</v>
      </c>
      <c r="B1627" t="s">
        <v>22</v>
      </c>
      <c r="C1627" s="1" t="s">
        <v>23</v>
      </c>
      <c r="D1627" s="3">
        <v>21</v>
      </c>
      <c r="E1627" s="3">
        <v>21</v>
      </c>
      <c r="F1627" s="3">
        <v>25.35</v>
      </c>
      <c r="G1627" s="3">
        <v>0</v>
      </c>
      <c r="H1627" s="3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 s="3">
        <v>21</v>
      </c>
      <c r="N1627" s="3">
        <v>99.05</v>
      </c>
      <c r="O1627" s="12">
        <v>26.621923937360179</v>
      </c>
    </row>
    <row r="1628" spans="1:15" hidden="1" x14ac:dyDescent="0.25">
      <c r="A1628" s="10">
        <v>46051</v>
      </c>
      <c r="B1628" t="s">
        <v>54</v>
      </c>
      <c r="C1628" s="1" t="s">
        <v>48</v>
      </c>
      <c r="D1628" s="3">
        <v>35</v>
      </c>
      <c r="E1628" s="3">
        <v>31</v>
      </c>
      <c r="F1628" s="3">
        <v>18.21</v>
      </c>
      <c r="G1628" s="3">
        <v>0</v>
      </c>
      <c r="H1628" s="3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 s="3">
        <v>30</v>
      </c>
      <c r="N1628" s="3">
        <v>100</v>
      </c>
      <c r="O1628" s="12">
        <v>27.676767676767678</v>
      </c>
    </row>
    <row r="1629" spans="1:15" hidden="1" x14ac:dyDescent="0.25">
      <c r="A1629" s="10">
        <v>46051</v>
      </c>
      <c r="B1629" t="s">
        <v>37</v>
      </c>
      <c r="C1629" s="1" t="s">
        <v>32</v>
      </c>
      <c r="D1629" s="3">
        <v>47</v>
      </c>
      <c r="E1629" s="3">
        <v>37</v>
      </c>
      <c r="F1629" s="3">
        <v>11.52</v>
      </c>
      <c r="G1629" s="3">
        <v>0</v>
      </c>
      <c r="H1629" s="3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 s="3">
        <v>38</v>
      </c>
      <c r="N1629" s="3">
        <v>100</v>
      </c>
      <c r="O1629" s="12">
        <v>31.17723156532988</v>
      </c>
    </row>
    <row r="1630" spans="1:15" hidden="1" x14ac:dyDescent="0.25">
      <c r="A1630" s="10">
        <v>46051</v>
      </c>
      <c r="B1630" t="s">
        <v>38</v>
      </c>
      <c r="C1630" s="1" t="s">
        <v>32</v>
      </c>
      <c r="D1630" s="3">
        <v>44</v>
      </c>
      <c r="E1630" s="3">
        <v>18</v>
      </c>
      <c r="F1630" s="3">
        <v>4.09</v>
      </c>
      <c r="G1630" s="3">
        <v>0</v>
      </c>
      <c r="H1630" s="3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 s="3">
        <v>14</v>
      </c>
      <c r="N1630" s="3">
        <v>100</v>
      </c>
      <c r="O1630" s="12">
        <v>27.609427609427609</v>
      </c>
    </row>
    <row r="1631" spans="1:15" hidden="1" x14ac:dyDescent="0.25">
      <c r="A1631" s="10">
        <v>46051</v>
      </c>
      <c r="B1631" t="s">
        <v>55</v>
      </c>
      <c r="C1631" s="1" t="s">
        <v>48</v>
      </c>
      <c r="D1631" s="3">
        <v>39</v>
      </c>
      <c r="E1631" s="3">
        <v>21</v>
      </c>
      <c r="F1631" s="3">
        <v>13.43</v>
      </c>
      <c r="G1631" s="3">
        <v>0</v>
      </c>
      <c r="H1631" s="3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 s="3">
        <v>23</v>
      </c>
      <c r="N1631" s="3">
        <v>96.4</v>
      </c>
      <c r="O1631" s="12">
        <v>28.764044943820231</v>
      </c>
    </row>
    <row r="1632" spans="1:15" hidden="1" x14ac:dyDescent="0.25">
      <c r="A1632" s="10">
        <v>46051</v>
      </c>
      <c r="B1632" t="s">
        <v>39</v>
      </c>
      <c r="C1632" s="1" t="s">
        <v>32</v>
      </c>
      <c r="D1632" s="3">
        <v>0</v>
      </c>
      <c r="E1632" s="3">
        <v>0</v>
      </c>
      <c r="F1632" s="3">
        <v>0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 s="3">
        <v>0</v>
      </c>
      <c r="N1632" s="3">
        <v>100</v>
      </c>
      <c r="O1632" s="12">
        <v>33.980582524271853</v>
      </c>
    </row>
    <row r="1633" spans="1:15" hidden="1" x14ac:dyDescent="0.25">
      <c r="A1633" s="10">
        <v>46051</v>
      </c>
      <c r="B1633" t="s">
        <v>25</v>
      </c>
      <c r="C1633" s="1" t="s">
        <v>26</v>
      </c>
      <c r="D1633" s="3">
        <v>10</v>
      </c>
      <c r="E1633" s="3">
        <v>8</v>
      </c>
      <c r="F1633" s="3">
        <v>24.14</v>
      </c>
      <c r="G1633" s="3">
        <v>0</v>
      </c>
      <c r="H1633" s="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 s="3">
        <v>7</v>
      </c>
      <c r="N1633" s="3">
        <v>97.56</v>
      </c>
      <c r="O1633" s="12">
        <v>32.515337423312893</v>
      </c>
    </row>
    <row r="1634" spans="1:15" hidden="1" x14ac:dyDescent="0.25">
      <c r="A1634" s="10">
        <v>46051</v>
      </c>
      <c r="B1634" t="s">
        <v>40</v>
      </c>
      <c r="C1634" s="1" t="s">
        <v>32</v>
      </c>
      <c r="D1634" s="3">
        <v>14</v>
      </c>
      <c r="E1634" s="3">
        <v>14</v>
      </c>
      <c r="F1634" s="3">
        <v>30.26</v>
      </c>
      <c r="G1634" s="3">
        <v>0</v>
      </c>
      <c r="H1634" s="3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 s="3">
        <v>14</v>
      </c>
      <c r="N1634" s="3">
        <v>97.11</v>
      </c>
      <c r="O1634" s="12">
        <v>37.408312958435211</v>
      </c>
    </row>
    <row r="1635" spans="1:15" hidden="1" x14ac:dyDescent="0.25">
      <c r="A1635" s="10">
        <v>46051</v>
      </c>
      <c r="B1635" t="s">
        <v>27</v>
      </c>
      <c r="C1635" s="1" t="s">
        <v>26</v>
      </c>
      <c r="D1635" s="3">
        <v>0</v>
      </c>
      <c r="E1635" s="3">
        <v>0</v>
      </c>
      <c r="F1635" s="3">
        <v>0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 s="3">
        <v>0</v>
      </c>
      <c r="N1635" s="3">
        <v>0</v>
      </c>
      <c r="O1635" s="12">
        <v>0</v>
      </c>
    </row>
    <row r="1636" spans="1:15" hidden="1" x14ac:dyDescent="0.25">
      <c r="A1636" s="10">
        <v>46051</v>
      </c>
      <c r="B1636" t="s">
        <v>41</v>
      </c>
      <c r="C1636" s="1" t="s">
        <v>32</v>
      </c>
      <c r="D1636" s="3">
        <v>32</v>
      </c>
      <c r="E1636" s="3">
        <v>29</v>
      </c>
      <c r="F1636" s="3">
        <v>15</v>
      </c>
      <c r="G1636" s="3">
        <v>0</v>
      </c>
      <c r="H1636" s="3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 s="3">
        <v>25</v>
      </c>
      <c r="N1636" s="3">
        <v>100</v>
      </c>
      <c r="O1636" s="12">
        <v>30.470347648261761</v>
      </c>
    </row>
    <row r="1637" spans="1:15" hidden="1" x14ac:dyDescent="0.25">
      <c r="A1637" s="10">
        <v>46051</v>
      </c>
      <c r="B1637" t="s">
        <v>56</v>
      </c>
      <c r="C1637" s="1" t="s">
        <v>48</v>
      </c>
      <c r="D1637" s="3">
        <v>28</v>
      </c>
      <c r="E1637" s="3">
        <v>23</v>
      </c>
      <c r="F1637" s="3">
        <v>23.54</v>
      </c>
      <c r="G1637" s="3">
        <v>0</v>
      </c>
      <c r="H1637" s="3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 s="3">
        <v>31</v>
      </c>
      <c r="N1637" s="3">
        <v>100</v>
      </c>
      <c r="O1637" s="12">
        <v>32.371134020618562</v>
      </c>
    </row>
    <row r="1638" spans="1:15" hidden="1" x14ac:dyDescent="0.25">
      <c r="A1638" s="10">
        <v>46051</v>
      </c>
      <c r="B1638" t="s">
        <v>57</v>
      </c>
      <c r="C1638" s="1" t="s">
        <v>48</v>
      </c>
      <c r="D1638" s="3">
        <v>26</v>
      </c>
      <c r="E1638" s="3">
        <v>23</v>
      </c>
      <c r="F1638" s="3">
        <v>15.59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 s="3">
        <v>15</v>
      </c>
      <c r="N1638" s="3">
        <v>98.32</v>
      </c>
      <c r="O1638" s="12">
        <v>32.318501170960189</v>
      </c>
    </row>
    <row r="1639" spans="1:15" hidden="1" x14ac:dyDescent="0.25">
      <c r="A1639" s="10">
        <v>46051</v>
      </c>
      <c r="B1639" t="s">
        <v>42</v>
      </c>
      <c r="C1639" s="1" t="s">
        <v>32</v>
      </c>
      <c r="D1639" s="3">
        <v>96</v>
      </c>
      <c r="E1639" s="3">
        <v>35</v>
      </c>
      <c r="F1639" s="3">
        <v>5.04</v>
      </c>
      <c r="G1639" s="3">
        <v>0</v>
      </c>
      <c r="H1639" s="3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 s="3">
        <v>15</v>
      </c>
      <c r="N1639" s="3">
        <v>96.43</v>
      </c>
      <c r="O1639" s="12">
        <v>27.015250544662312</v>
      </c>
    </row>
    <row r="1640" spans="1:15" hidden="1" x14ac:dyDescent="0.25">
      <c r="A1640" s="10">
        <v>46051</v>
      </c>
      <c r="B1640" t="s">
        <v>62</v>
      </c>
      <c r="C1640" s="1" t="s">
        <v>23</v>
      </c>
      <c r="D1640" s="3">
        <v>20</v>
      </c>
      <c r="E1640" s="3">
        <v>17</v>
      </c>
      <c r="F1640" s="3">
        <v>22.09</v>
      </c>
      <c r="G1640" s="3">
        <v>0</v>
      </c>
      <c r="H1640" s="3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 s="3">
        <v>17</v>
      </c>
      <c r="N1640" s="3">
        <v>98.89</v>
      </c>
      <c r="O1640" s="12">
        <v>28.021978021978018</v>
      </c>
    </row>
    <row r="1641" spans="1:15" hidden="1" x14ac:dyDescent="0.25">
      <c r="A1641" s="10">
        <v>46051</v>
      </c>
      <c r="B1641" t="s">
        <v>19</v>
      </c>
      <c r="C1641" s="1" t="s">
        <v>16</v>
      </c>
      <c r="D1641" s="3">
        <v>8</v>
      </c>
      <c r="E1641" s="3">
        <v>8</v>
      </c>
      <c r="F1641" s="3">
        <v>25.39</v>
      </c>
      <c r="G1641" s="3">
        <v>0</v>
      </c>
      <c r="H1641" s="3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 s="3">
        <v>7</v>
      </c>
      <c r="N1641" s="3">
        <v>100</v>
      </c>
      <c r="O1641" s="12">
        <v>33.333333333333329</v>
      </c>
    </row>
    <row r="1642" spans="1:15" hidden="1" x14ac:dyDescent="0.25">
      <c r="A1642" s="10">
        <v>46051</v>
      </c>
      <c r="B1642" t="s">
        <v>43</v>
      </c>
      <c r="C1642" s="1" t="s">
        <v>32</v>
      </c>
      <c r="D1642" s="3">
        <v>0</v>
      </c>
      <c r="E1642" s="3">
        <v>0</v>
      </c>
      <c r="F1642" s="3">
        <v>0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 s="3">
        <v>0</v>
      </c>
      <c r="N1642" s="3">
        <v>100</v>
      </c>
      <c r="O1642" s="12">
        <v>27.43362831858407</v>
      </c>
    </row>
    <row r="1643" spans="1:15" hidden="1" x14ac:dyDescent="0.25">
      <c r="A1643" s="10">
        <v>46051</v>
      </c>
      <c r="B1643" t="s">
        <v>44</v>
      </c>
      <c r="C1643" s="1" t="s">
        <v>32</v>
      </c>
      <c r="D1643" s="3">
        <v>50</v>
      </c>
      <c r="E1643" s="3">
        <v>31</v>
      </c>
      <c r="F1643" s="3">
        <v>7.17</v>
      </c>
      <c r="G1643" s="3">
        <v>0</v>
      </c>
      <c r="H1643" s="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 s="3">
        <v>28</v>
      </c>
      <c r="N1643" s="3">
        <v>98.65</v>
      </c>
      <c r="O1643" s="12">
        <v>30.978260869565219</v>
      </c>
    </row>
    <row r="1644" spans="1:15" hidden="1" x14ac:dyDescent="0.25">
      <c r="A1644" s="10">
        <v>46051</v>
      </c>
      <c r="B1644" t="s">
        <v>20</v>
      </c>
      <c r="C1644" s="1" t="s">
        <v>16</v>
      </c>
      <c r="D1644" s="3">
        <v>9</v>
      </c>
      <c r="E1644" s="3">
        <v>9</v>
      </c>
      <c r="F1644" s="3">
        <v>32.01</v>
      </c>
      <c r="G1644" s="3">
        <v>0</v>
      </c>
      <c r="H1644" s="3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 s="3">
        <v>5</v>
      </c>
      <c r="N1644" s="3">
        <v>100</v>
      </c>
      <c r="O1644" s="12">
        <v>12</v>
      </c>
    </row>
    <row r="1645" spans="1:15" hidden="1" x14ac:dyDescent="0.25">
      <c r="A1645" s="10">
        <v>46051</v>
      </c>
      <c r="B1645" t="s">
        <v>28</v>
      </c>
      <c r="C1645" s="1" t="s">
        <v>26</v>
      </c>
      <c r="D1645" s="3">
        <v>0</v>
      </c>
      <c r="E1645" s="3">
        <v>0</v>
      </c>
      <c r="F1645" s="3">
        <v>0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 s="3">
        <v>0</v>
      </c>
      <c r="N1645" s="3">
        <v>0</v>
      </c>
      <c r="O1645" s="12">
        <v>0</v>
      </c>
    </row>
    <row r="1646" spans="1:15" hidden="1" x14ac:dyDescent="0.25">
      <c r="A1646" s="10">
        <v>46051</v>
      </c>
      <c r="B1646" t="s">
        <v>58</v>
      </c>
      <c r="C1646" s="1" t="s">
        <v>48</v>
      </c>
      <c r="D1646" s="3">
        <v>21</v>
      </c>
      <c r="E1646" s="3">
        <v>16</v>
      </c>
      <c r="F1646" s="3">
        <v>20.58</v>
      </c>
      <c r="G1646" s="3">
        <v>0</v>
      </c>
      <c r="H1646" s="3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 s="3">
        <v>11</v>
      </c>
      <c r="N1646" s="3">
        <v>97.56</v>
      </c>
      <c r="O1646" s="12">
        <v>31.067961165048541</v>
      </c>
    </row>
    <row r="1647" spans="1:15" hidden="1" x14ac:dyDescent="0.25">
      <c r="A1647" s="10">
        <v>46051</v>
      </c>
      <c r="B1647" t="s">
        <v>29</v>
      </c>
      <c r="C1647" s="1" t="s">
        <v>26</v>
      </c>
      <c r="D1647" s="3">
        <v>0</v>
      </c>
      <c r="E1647" s="3">
        <v>0</v>
      </c>
      <c r="F1647" s="3">
        <v>0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 s="3">
        <v>0</v>
      </c>
      <c r="N1647" s="3">
        <v>0</v>
      </c>
      <c r="O1647" s="12">
        <v>0</v>
      </c>
    </row>
    <row r="1648" spans="1:15" hidden="1" x14ac:dyDescent="0.25">
      <c r="A1648" s="10">
        <v>46051</v>
      </c>
      <c r="B1648" t="s">
        <v>30</v>
      </c>
      <c r="C1648" s="1" t="s">
        <v>26</v>
      </c>
      <c r="D1648" s="3">
        <v>0</v>
      </c>
      <c r="E1648" s="3">
        <v>0</v>
      </c>
      <c r="F1648" s="3">
        <v>0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 s="3">
        <v>0</v>
      </c>
      <c r="N1648" s="3">
        <v>0</v>
      </c>
      <c r="O1648" s="12">
        <v>0</v>
      </c>
    </row>
    <row r="1649" spans="1:15" hidden="1" x14ac:dyDescent="0.25">
      <c r="A1649" s="10">
        <v>46051</v>
      </c>
      <c r="B1649" t="s">
        <v>21</v>
      </c>
      <c r="C1649" s="1" t="s">
        <v>16</v>
      </c>
      <c r="D1649" s="3">
        <v>0</v>
      </c>
      <c r="E1649" s="3">
        <v>0</v>
      </c>
      <c r="F1649" s="3">
        <v>0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 s="3">
        <v>0</v>
      </c>
      <c r="N1649" s="3">
        <v>0</v>
      </c>
      <c r="O1649" s="12">
        <v>0</v>
      </c>
    </row>
    <row r="1650" spans="1:15" hidden="1" x14ac:dyDescent="0.25">
      <c r="A1650" s="10">
        <v>46051</v>
      </c>
      <c r="B1650" t="s">
        <v>63</v>
      </c>
      <c r="C1650" s="1" t="s">
        <v>23</v>
      </c>
      <c r="D1650" s="3">
        <v>8</v>
      </c>
      <c r="E1650" s="3">
        <v>5</v>
      </c>
      <c r="F1650" s="3">
        <v>43.53</v>
      </c>
      <c r="G1650" s="3">
        <v>0</v>
      </c>
      <c r="H1650" s="3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 s="3">
        <v>6</v>
      </c>
      <c r="N1650" s="3">
        <v>100</v>
      </c>
      <c r="O1650" s="12">
        <v>53.846153846153847</v>
      </c>
    </row>
    <row r="1651" spans="1:15" hidden="1" x14ac:dyDescent="0.25">
      <c r="A1651" s="10">
        <v>46051</v>
      </c>
      <c r="B1651" t="s">
        <v>45</v>
      </c>
      <c r="C1651" s="1" t="s">
        <v>32</v>
      </c>
      <c r="D1651" s="3">
        <v>50</v>
      </c>
      <c r="E1651" s="3">
        <v>45</v>
      </c>
      <c r="F1651" s="3">
        <v>10.49</v>
      </c>
      <c r="G1651" s="3">
        <v>0</v>
      </c>
      <c r="H1651" s="3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 s="3">
        <v>34</v>
      </c>
      <c r="N1651" s="3">
        <v>100</v>
      </c>
      <c r="O1651" s="12">
        <v>44.05594405594406</v>
      </c>
    </row>
    <row r="1652" spans="1:15" hidden="1" x14ac:dyDescent="0.25">
      <c r="A1652" s="10">
        <v>46051</v>
      </c>
      <c r="B1652" t="s">
        <v>64</v>
      </c>
      <c r="C1652" s="1" t="s">
        <v>23</v>
      </c>
      <c r="D1652" s="3">
        <v>13</v>
      </c>
      <c r="E1652" s="3">
        <v>10</v>
      </c>
      <c r="F1652" s="3">
        <v>55</v>
      </c>
      <c r="G1652" s="3">
        <v>0</v>
      </c>
      <c r="H1652" s="3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 s="3">
        <v>10</v>
      </c>
      <c r="N1652" s="3">
        <v>100</v>
      </c>
      <c r="O1652" s="12">
        <v>31.872509960159359</v>
      </c>
    </row>
    <row r="1653" spans="1:15" hidden="1" x14ac:dyDescent="0.25">
      <c r="A1653" s="10">
        <v>46051</v>
      </c>
      <c r="B1653" t="s">
        <v>46</v>
      </c>
      <c r="C1653" s="1" t="s">
        <v>32</v>
      </c>
      <c r="D1653" s="3">
        <v>33</v>
      </c>
      <c r="E1653" s="3">
        <v>32</v>
      </c>
      <c r="F1653" s="3">
        <v>15.01</v>
      </c>
      <c r="G1653" s="3">
        <v>0</v>
      </c>
      <c r="H1653" s="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 s="3">
        <v>29</v>
      </c>
      <c r="N1653" s="3">
        <v>98.41</v>
      </c>
      <c r="O1653" s="12">
        <v>29.22465208747515</v>
      </c>
    </row>
    <row r="1654" spans="1:15" hidden="1" x14ac:dyDescent="0.25">
      <c r="A1654" s="10">
        <v>46052</v>
      </c>
      <c r="B1654" t="s">
        <v>47</v>
      </c>
      <c r="C1654" s="1" t="s">
        <v>48</v>
      </c>
      <c r="D1654" s="3">
        <v>39</v>
      </c>
      <c r="E1654" s="3">
        <v>32</v>
      </c>
      <c r="F1654" s="3">
        <v>14</v>
      </c>
      <c r="G1654" s="3">
        <v>0</v>
      </c>
      <c r="H1654" s="3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 s="3">
        <v>23</v>
      </c>
      <c r="N1654" s="3">
        <v>96.81</v>
      </c>
      <c r="O1654" s="12">
        <v>27.980535279805348</v>
      </c>
    </row>
    <row r="1655" spans="1:15" hidden="1" x14ac:dyDescent="0.25">
      <c r="A1655" s="10">
        <v>46052</v>
      </c>
      <c r="B1655" t="s">
        <v>31</v>
      </c>
      <c r="C1655" s="1" t="s">
        <v>32</v>
      </c>
      <c r="D1655" s="3">
        <v>0</v>
      </c>
      <c r="E1655" s="3">
        <v>0</v>
      </c>
      <c r="F1655" s="3">
        <v>0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 s="3">
        <v>29</v>
      </c>
      <c r="N1655" s="3">
        <v>98.73</v>
      </c>
      <c r="O1655" s="12">
        <v>35.756385068762278</v>
      </c>
    </row>
    <row r="1656" spans="1:15" hidden="1" x14ac:dyDescent="0.25">
      <c r="A1656" s="10">
        <v>46052</v>
      </c>
      <c r="B1656" t="s">
        <v>59</v>
      </c>
      <c r="C1656" s="1" t="s">
        <v>23</v>
      </c>
      <c r="D1656" s="3">
        <v>26</v>
      </c>
      <c r="E1656" s="3">
        <v>25</v>
      </c>
      <c r="F1656" s="3">
        <v>25.45</v>
      </c>
      <c r="G1656" s="3">
        <v>0</v>
      </c>
      <c r="H1656" s="3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 s="3">
        <v>21</v>
      </c>
      <c r="N1656" s="3">
        <v>98.32</v>
      </c>
      <c r="O1656" s="12">
        <v>26.763485477178421</v>
      </c>
    </row>
    <row r="1657" spans="1:15" hidden="1" x14ac:dyDescent="0.25">
      <c r="A1657" s="10">
        <v>46052</v>
      </c>
      <c r="B1657" t="s">
        <v>33</v>
      </c>
      <c r="C1657" s="1" t="s">
        <v>32</v>
      </c>
      <c r="D1657" s="3">
        <v>27</v>
      </c>
      <c r="E1657" s="3">
        <v>25</v>
      </c>
      <c r="F1657" s="3">
        <v>20.38</v>
      </c>
      <c r="G1657" s="3">
        <v>0</v>
      </c>
      <c r="H1657" s="3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 s="3">
        <v>23</v>
      </c>
      <c r="N1657" s="3">
        <v>99.19</v>
      </c>
      <c r="O1657" s="12">
        <v>27.637130801687761</v>
      </c>
    </row>
    <row r="1658" spans="1:15" hidden="1" x14ac:dyDescent="0.25">
      <c r="A1658" s="10">
        <v>46052</v>
      </c>
      <c r="B1658" t="s">
        <v>15</v>
      </c>
      <c r="C1658" s="1" t="s">
        <v>16</v>
      </c>
      <c r="D1658" s="3">
        <v>0</v>
      </c>
      <c r="E1658" s="3">
        <v>0</v>
      </c>
      <c r="F1658" s="3">
        <v>0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 s="3">
        <v>0</v>
      </c>
      <c r="N1658" s="3">
        <v>100</v>
      </c>
      <c r="O1658" s="12">
        <v>39.568345323741013</v>
      </c>
    </row>
    <row r="1659" spans="1:15" hidden="1" x14ac:dyDescent="0.25">
      <c r="A1659" s="10">
        <v>46052</v>
      </c>
      <c r="B1659" t="s">
        <v>49</v>
      </c>
      <c r="C1659" s="1" t="s">
        <v>48</v>
      </c>
      <c r="D1659" s="3">
        <v>21</v>
      </c>
      <c r="E1659" s="3">
        <v>18</v>
      </c>
      <c r="F1659" s="3">
        <v>18.55</v>
      </c>
      <c r="G1659" s="3">
        <v>0</v>
      </c>
      <c r="H1659" s="3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 s="3">
        <v>22</v>
      </c>
      <c r="N1659" s="3">
        <v>98.54</v>
      </c>
      <c r="O1659" s="12">
        <v>28.544776119402989</v>
      </c>
    </row>
    <row r="1660" spans="1:15" hidden="1" x14ac:dyDescent="0.25">
      <c r="A1660" s="10">
        <v>46052</v>
      </c>
      <c r="B1660" t="s">
        <v>50</v>
      </c>
      <c r="C1660" s="1" t="s">
        <v>48</v>
      </c>
      <c r="D1660" s="3">
        <v>15</v>
      </c>
      <c r="E1660" s="3">
        <v>14</v>
      </c>
      <c r="F1660" s="3">
        <v>34.130000000000003</v>
      </c>
      <c r="G1660" s="3">
        <v>0</v>
      </c>
      <c r="H1660" s="3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 s="3">
        <v>16</v>
      </c>
      <c r="N1660" s="3">
        <v>100</v>
      </c>
      <c r="O1660" s="12">
        <v>34.366925064599492</v>
      </c>
    </row>
    <row r="1661" spans="1:15" hidden="1" x14ac:dyDescent="0.25">
      <c r="A1661" s="10">
        <v>46052</v>
      </c>
      <c r="B1661" t="s">
        <v>17</v>
      </c>
      <c r="C1661" s="1" t="s">
        <v>16</v>
      </c>
      <c r="D1661" s="3">
        <v>0</v>
      </c>
      <c r="E1661" s="3">
        <v>0</v>
      </c>
      <c r="F1661" s="3">
        <v>0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 s="3">
        <v>0</v>
      </c>
      <c r="N1661" s="3">
        <v>0</v>
      </c>
      <c r="O1661" s="12">
        <v>0</v>
      </c>
    </row>
    <row r="1662" spans="1:15" hidden="1" x14ac:dyDescent="0.25">
      <c r="A1662" s="10">
        <v>46052</v>
      </c>
      <c r="B1662" t="s">
        <v>60</v>
      </c>
      <c r="C1662" s="1" t="s">
        <v>23</v>
      </c>
      <c r="D1662" s="3">
        <v>25</v>
      </c>
      <c r="E1662" s="3">
        <v>23</v>
      </c>
      <c r="F1662" s="3">
        <v>24.1</v>
      </c>
      <c r="G1662" s="3">
        <v>0</v>
      </c>
      <c r="H1662" s="3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 s="3">
        <v>21</v>
      </c>
      <c r="N1662" s="3">
        <v>100</v>
      </c>
      <c r="O1662" s="12">
        <v>29.518072289156631</v>
      </c>
    </row>
    <row r="1663" spans="1:15" hidden="1" x14ac:dyDescent="0.25">
      <c r="A1663" s="10">
        <v>46052</v>
      </c>
      <c r="B1663" t="s">
        <v>34</v>
      </c>
      <c r="C1663" s="1" t="s">
        <v>32</v>
      </c>
      <c r="D1663" s="3">
        <v>51</v>
      </c>
      <c r="E1663" s="3">
        <v>44</v>
      </c>
      <c r="F1663" s="3">
        <v>10.35</v>
      </c>
      <c r="G1663" s="3">
        <v>0</v>
      </c>
      <c r="H1663" s="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 s="3">
        <v>45</v>
      </c>
      <c r="N1663" s="3">
        <v>97.45</v>
      </c>
      <c r="O1663" s="12">
        <v>41.421143847487002</v>
      </c>
    </row>
    <row r="1664" spans="1:15" hidden="1" x14ac:dyDescent="0.25">
      <c r="A1664" s="10">
        <v>46052</v>
      </c>
      <c r="B1664" t="s">
        <v>51</v>
      </c>
      <c r="C1664" s="1" t="s">
        <v>48</v>
      </c>
      <c r="D1664" s="3">
        <v>30</v>
      </c>
      <c r="E1664" s="3">
        <v>28</v>
      </c>
      <c r="F1664" s="3">
        <v>15.34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 s="3">
        <v>24</v>
      </c>
      <c r="N1664" s="3">
        <v>96.58</v>
      </c>
      <c r="O1664" s="12">
        <v>30.396475770925111</v>
      </c>
    </row>
    <row r="1665" spans="1:15" hidden="1" x14ac:dyDescent="0.25">
      <c r="A1665" s="10">
        <v>46052</v>
      </c>
      <c r="B1665" t="s">
        <v>61</v>
      </c>
      <c r="C1665" s="1" t="s">
        <v>23</v>
      </c>
      <c r="D1665" s="3">
        <v>26</v>
      </c>
      <c r="E1665" s="3">
        <v>26</v>
      </c>
      <c r="F1665" s="3">
        <v>18.47</v>
      </c>
      <c r="G1665" s="3">
        <v>0</v>
      </c>
      <c r="H1665" s="3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 s="3">
        <v>29</v>
      </c>
      <c r="N1665" s="3">
        <v>100</v>
      </c>
      <c r="O1665" s="12">
        <v>27.44282744282744</v>
      </c>
    </row>
    <row r="1666" spans="1:15" hidden="1" x14ac:dyDescent="0.25">
      <c r="A1666" s="10">
        <v>46052</v>
      </c>
      <c r="B1666" t="s">
        <v>35</v>
      </c>
      <c r="C1666" s="1" t="s">
        <v>32</v>
      </c>
      <c r="D1666" s="3">
        <v>38</v>
      </c>
      <c r="E1666" s="3">
        <v>38</v>
      </c>
      <c r="F1666" s="3">
        <v>18.43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 s="3">
        <v>38</v>
      </c>
      <c r="N1666" s="3">
        <v>99.49</v>
      </c>
      <c r="O1666" s="12">
        <v>40.200000000000003</v>
      </c>
    </row>
    <row r="1667" spans="1:15" hidden="1" x14ac:dyDescent="0.25">
      <c r="A1667" s="10">
        <v>46052</v>
      </c>
      <c r="B1667" t="s">
        <v>18</v>
      </c>
      <c r="C1667" s="1" t="s">
        <v>16</v>
      </c>
      <c r="D1667" s="3">
        <v>3</v>
      </c>
      <c r="E1667" s="3">
        <v>3</v>
      </c>
      <c r="F1667" s="3">
        <v>65.23</v>
      </c>
      <c r="G1667" s="3">
        <v>0</v>
      </c>
      <c r="H1667" s="3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 s="3">
        <v>2</v>
      </c>
      <c r="N1667" s="3">
        <v>100</v>
      </c>
      <c r="O1667" s="12">
        <v>25</v>
      </c>
    </row>
    <row r="1668" spans="1:15" hidden="1" x14ac:dyDescent="0.25">
      <c r="A1668" s="10">
        <v>46052</v>
      </c>
      <c r="B1668" t="s">
        <v>52</v>
      </c>
      <c r="C1668" s="1" t="s">
        <v>48</v>
      </c>
      <c r="D1668" s="3">
        <v>35</v>
      </c>
      <c r="E1668" s="3">
        <v>32</v>
      </c>
      <c r="F1668" s="3">
        <v>14.19</v>
      </c>
      <c r="G1668" s="3">
        <v>0</v>
      </c>
      <c r="H1668" s="3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 s="3">
        <v>31</v>
      </c>
      <c r="N1668" s="3">
        <v>100</v>
      </c>
      <c r="O1668" s="12">
        <v>34.15094339622641</v>
      </c>
    </row>
    <row r="1669" spans="1:15" hidden="1" x14ac:dyDescent="0.25">
      <c r="A1669" s="10">
        <v>46052</v>
      </c>
      <c r="B1669" t="s">
        <v>36</v>
      </c>
      <c r="C1669" s="1" t="s">
        <v>32</v>
      </c>
      <c r="D1669" s="3">
        <v>30</v>
      </c>
      <c r="E1669" s="3">
        <v>27</v>
      </c>
      <c r="F1669" s="3">
        <v>15.39</v>
      </c>
      <c r="G1669" s="3">
        <v>0</v>
      </c>
      <c r="H1669" s="3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 s="3">
        <v>28</v>
      </c>
      <c r="N1669" s="3">
        <v>100</v>
      </c>
      <c r="O1669" s="12">
        <v>32.731376975169297</v>
      </c>
    </row>
    <row r="1670" spans="1:15" hidden="1" x14ac:dyDescent="0.25">
      <c r="A1670" s="10">
        <v>46052</v>
      </c>
      <c r="B1670" t="s">
        <v>53</v>
      </c>
      <c r="C1670" s="1" t="s">
        <v>48</v>
      </c>
      <c r="D1670" s="3">
        <v>44</v>
      </c>
      <c r="E1670" s="3">
        <v>39</v>
      </c>
      <c r="F1670" s="3">
        <v>17.059999999999999</v>
      </c>
      <c r="G1670" s="3">
        <v>0</v>
      </c>
      <c r="H1670" s="3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 s="3">
        <v>38</v>
      </c>
      <c r="N1670" s="3">
        <v>99.31</v>
      </c>
      <c r="O1670" s="12">
        <v>30.96234309623431</v>
      </c>
    </row>
    <row r="1671" spans="1:15" hidden="1" x14ac:dyDescent="0.25">
      <c r="A1671" s="10">
        <v>46086</v>
      </c>
      <c r="B1671" t="s">
        <v>22</v>
      </c>
      <c r="C1671" s="1" t="s">
        <v>23</v>
      </c>
      <c r="D1671" s="3">
        <v>18</v>
      </c>
      <c r="E1671" s="3">
        <v>16</v>
      </c>
      <c r="F1671" s="3">
        <v>23.34</v>
      </c>
      <c r="G1671" s="3">
        <v>0</v>
      </c>
      <c r="H1671" s="3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 s="3">
        <v>27</v>
      </c>
      <c r="N1671" s="3">
        <v>99.05</v>
      </c>
      <c r="O1671" s="12">
        <v>26.621923937360179</v>
      </c>
    </row>
    <row r="1672" spans="1:15" hidden="1" x14ac:dyDescent="0.25">
      <c r="A1672" s="10">
        <v>46052</v>
      </c>
      <c r="B1672" t="s">
        <v>54</v>
      </c>
      <c r="C1672" s="1" t="s">
        <v>48</v>
      </c>
      <c r="D1672" s="3">
        <v>36</v>
      </c>
      <c r="E1672" s="3">
        <v>35</v>
      </c>
      <c r="F1672" s="3">
        <v>19.03</v>
      </c>
      <c r="G1672" s="3">
        <v>0</v>
      </c>
      <c r="H1672" s="3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 s="3">
        <v>31</v>
      </c>
      <c r="N1672" s="3">
        <v>100</v>
      </c>
      <c r="O1672" s="12">
        <v>27.676767676767678</v>
      </c>
    </row>
    <row r="1673" spans="1:15" hidden="1" x14ac:dyDescent="0.25">
      <c r="A1673" s="10">
        <v>46052</v>
      </c>
      <c r="B1673" t="s">
        <v>37</v>
      </c>
      <c r="C1673" s="1" t="s">
        <v>32</v>
      </c>
      <c r="D1673" s="3">
        <v>65</v>
      </c>
      <c r="E1673" s="3">
        <v>59</v>
      </c>
      <c r="F1673" s="3">
        <v>10.26</v>
      </c>
      <c r="G1673" s="3">
        <v>0</v>
      </c>
      <c r="H1673" s="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 s="3">
        <v>58</v>
      </c>
      <c r="N1673" s="3">
        <v>100</v>
      </c>
      <c r="O1673" s="12">
        <v>31.17723156532988</v>
      </c>
    </row>
    <row r="1674" spans="1:15" hidden="1" x14ac:dyDescent="0.25">
      <c r="A1674" s="10">
        <v>46052</v>
      </c>
      <c r="B1674" t="s">
        <v>38</v>
      </c>
      <c r="C1674" s="1" t="s">
        <v>32</v>
      </c>
      <c r="D1674" s="3">
        <v>22</v>
      </c>
      <c r="E1674" s="3">
        <v>17</v>
      </c>
      <c r="F1674" s="3">
        <v>12.06</v>
      </c>
      <c r="G1674" s="3">
        <v>0</v>
      </c>
      <c r="H1674" s="3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 s="3">
        <v>15</v>
      </c>
      <c r="N1674" s="3">
        <v>100</v>
      </c>
      <c r="O1674" s="12">
        <v>27.609427609427609</v>
      </c>
    </row>
    <row r="1675" spans="1:15" hidden="1" x14ac:dyDescent="0.25">
      <c r="A1675" s="10">
        <v>46052</v>
      </c>
      <c r="B1675" t="s">
        <v>55</v>
      </c>
      <c r="C1675" s="1" t="s">
        <v>48</v>
      </c>
      <c r="D1675" s="3">
        <v>23</v>
      </c>
      <c r="E1675" s="3">
        <v>14</v>
      </c>
      <c r="F1675" s="3">
        <v>20.239999999999998</v>
      </c>
      <c r="G1675" s="3">
        <v>0</v>
      </c>
      <c r="H1675" s="3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 s="3">
        <v>14</v>
      </c>
      <c r="N1675" s="3">
        <v>96.4</v>
      </c>
      <c r="O1675" s="12">
        <v>28.764044943820231</v>
      </c>
    </row>
    <row r="1676" spans="1:15" hidden="1" x14ac:dyDescent="0.25">
      <c r="A1676" s="10">
        <v>46052</v>
      </c>
      <c r="B1676" t="s">
        <v>39</v>
      </c>
      <c r="C1676" s="1" t="s">
        <v>32</v>
      </c>
      <c r="D1676" s="3">
        <v>0</v>
      </c>
      <c r="E1676" s="3">
        <v>0</v>
      </c>
      <c r="F1676" s="3">
        <v>0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 s="3">
        <v>0</v>
      </c>
      <c r="N1676" s="3">
        <v>100</v>
      </c>
      <c r="O1676" s="12">
        <v>33.980582524271853</v>
      </c>
    </row>
    <row r="1677" spans="1:15" hidden="1" x14ac:dyDescent="0.25">
      <c r="A1677" s="10">
        <v>46052</v>
      </c>
      <c r="B1677" t="s">
        <v>25</v>
      </c>
      <c r="C1677" s="1" t="s">
        <v>26</v>
      </c>
      <c r="D1677" s="3">
        <v>19</v>
      </c>
      <c r="E1677" s="3">
        <v>19</v>
      </c>
      <c r="F1677" s="3">
        <v>28.27</v>
      </c>
      <c r="G1677" s="3">
        <v>0</v>
      </c>
      <c r="H1677" s="3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 s="3">
        <v>16</v>
      </c>
      <c r="N1677" s="3">
        <v>97.56</v>
      </c>
      <c r="O1677" s="12">
        <v>32.515337423312893</v>
      </c>
    </row>
    <row r="1678" spans="1:15" hidden="1" x14ac:dyDescent="0.25">
      <c r="A1678" s="10">
        <v>46052</v>
      </c>
      <c r="B1678" t="s">
        <v>40</v>
      </c>
      <c r="C1678" s="1" t="s">
        <v>32</v>
      </c>
      <c r="D1678" s="3">
        <v>18</v>
      </c>
      <c r="E1678" s="3">
        <v>17</v>
      </c>
      <c r="F1678" s="3">
        <v>24.15</v>
      </c>
      <c r="G1678" s="3">
        <v>0</v>
      </c>
      <c r="H1678" s="3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 s="3">
        <v>16</v>
      </c>
      <c r="N1678" s="3">
        <v>97.11</v>
      </c>
      <c r="O1678" s="12">
        <v>37.408312958435211</v>
      </c>
    </row>
    <row r="1679" spans="1:15" hidden="1" x14ac:dyDescent="0.25">
      <c r="A1679" s="10">
        <v>46052</v>
      </c>
      <c r="B1679" t="s">
        <v>27</v>
      </c>
      <c r="C1679" s="1" t="s">
        <v>26</v>
      </c>
      <c r="D1679" s="3">
        <v>0</v>
      </c>
      <c r="E1679" s="3">
        <v>0</v>
      </c>
      <c r="F1679" s="3">
        <v>0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 s="3">
        <v>0</v>
      </c>
      <c r="N1679" s="3">
        <v>0</v>
      </c>
      <c r="O1679" s="12">
        <v>0</v>
      </c>
    </row>
    <row r="1680" spans="1:15" hidden="1" x14ac:dyDescent="0.25">
      <c r="A1680" s="10">
        <v>46052</v>
      </c>
      <c r="B1680" t="s">
        <v>41</v>
      </c>
      <c r="C1680" s="1" t="s">
        <v>32</v>
      </c>
      <c r="D1680" s="3">
        <v>26</v>
      </c>
      <c r="E1680" s="3">
        <v>26</v>
      </c>
      <c r="F1680" s="3">
        <v>17.37</v>
      </c>
      <c r="G1680" s="3">
        <v>0</v>
      </c>
      <c r="H1680" s="3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 s="3">
        <v>28</v>
      </c>
      <c r="N1680" s="3">
        <v>100</v>
      </c>
      <c r="O1680" s="12">
        <v>30.470347648261761</v>
      </c>
    </row>
    <row r="1681" spans="1:15" hidden="1" x14ac:dyDescent="0.25">
      <c r="A1681" s="10">
        <v>46052</v>
      </c>
      <c r="B1681" t="s">
        <v>56</v>
      </c>
      <c r="C1681" s="1" t="s">
        <v>48</v>
      </c>
      <c r="D1681" s="3">
        <v>45</v>
      </c>
      <c r="E1681" s="3">
        <v>41</v>
      </c>
      <c r="F1681" s="3">
        <v>15.44</v>
      </c>
      <c r="G1681" s="3">
        <v>0</v>
      </c>
      <c r="H1681" s="3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 s="3">
        <v>30</v>
      </c>
      <c r="N1681" s="3">
        <v>100</v>
      </c>
      <c r="O1681" s="12">
        <v>32.371134020618562</v>
      </c>
    </row>
    <row r="1682" spans="1:15" hidden="1" x14ac:dyDescent="0.25">
      <c r="A1682" s="10">
        <v>46052</v>
      </c>
      <c r="B1682" t="s">
        <v>57</v>
      </c>
      <c r="C1682" s="1" t="s">
        <v>48</v>
      </c>
      <c r="D1682" s="3">
        <v>37</v>
      </c>
      <c r="E1682" s="3">
        <v>36</v>
      </c>
      <c r="F1682" s="3">
        <v>15.48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 s="3">
        <v>29</v>
      </c>
      <c r="N1682" s="3">
        <v>98.32</v>
      </c>
      <c r="O1682" s="12">
        <v>32.318501170960189</v>
      </c>
    </row>
    <row r="1683" spans="1:15" hidden="1" x14ac:dyDescent="0.25">
      <c r="A1683" s="10">
        <v>46052</v>
      </c>
      <c r="B1683" t="s">
        <v>42</v>
      </c>
      <c r="C1683" s="1" t="s">
        <v>32</v>
      </c>
      <c r="D1683" s="3">
        <v>112</v>
      </c>
      <c r="E1683" s="3">
        <v>24</v>
      </c>
      <c r="F1683" s="3">
        <v>3.32</v>
      </c>
      <c r="G1683" s="3">
        <v>0</v>
      </c>
      <c r="H1683" s="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 s="3">
        <v>9</v>
      </c>
      <c r="N1683" s="3">
        <v>96.43</v>
      </c>
      <c r="O1683" s="12">
        <v>27.015250544662312</v>
      </c>
    </row>
    <row r="1684" spans="1:15" hidden="1" x14ac:dyDescent="0.25">
      <c r="A1684" s="10">
        <v>46052</v>
      </c>
      <c r="B1684" t="s">
        <v>62</v>
      </c>
      <c r="C1684" s="1" t="s">
        <v>23</v>
      </c>
      <c r="D1684" s="3">
        <v>20</v>
      </c>
      <c r="E1684" s="3">
        <v>20</v>
      </c>
      <c r="F1684" s="3">
        <v>26.48</v>
      </c>
      <c r="G1684" s="3">
        <v>0</v>
      </c>
      <c r="H1684" s="3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 s="3">
        <v>17</v>
      </c>
      <c r="N1684" s="3">
        <v>98.89</v>
      </c>
      <c r="O1684" s="12">
        <v>28.021978021978018</v>
      </c>
    </row>
    <row r="1685" spans="1:15" hidden="1" x14ac:dyDescent="0.25">
      <c r="A1685" s="10">
        <v>46052</v>
      </c>
      <c r="B1685" t="s">
        <v>19</v>
      </c>
      <c r="C1685" s="1" t="s">
        <v>16</v>
      </c>
      <c r="D1685" s="3">
        <v>9</v>
      </c>
      <c r="E1685" s="3">
        <v>8</v>
      </c>
      <c r="F1685" s="3">
        <v>43.5</v>
      </c>
      <c r="G1685" s="3">
        <v>0</v>
      </c>
      <c r="H1685" s="3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 s="3">
        <v>7</v>
      </c>
      <c r="N1685" s="3">
        <v>100</v>
      </c>
      <c r="O1685" s="12">
        <v>33.333333333333329</v>
      </c>
    </row>
    <row r="1686" spans="1:15" hidden="1" x14ac:dyDescent="0.25">
      <c r="A1686" s="10">
        <v>46052</v>
      </c>
      <c r="B1686" t="s">
        <v>43</v>
      </c>
      <c r="C1686" s="1" t="s">
        <v>32</v>
      </c>
      <c r="D1686" s="3">
        <v>0</v>
      </c>
      <c r="E1686" s="3">
        <v>0</v>
      </c>
      <c r="F1686" s="3">
        <v>0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 s="3">
        <v>0</v>
      </c>
      <c r="N1686" s="3">
        <v>100</v>
      </c>
      <c r="O1686" s="12">
        <v>27.43362831858407</v>
      </c>
    </row>
    <row r="1687" spans="1:15" hidden="1" x14ac:dyDescent="0.25">
      <c r="A1687" s="10">
        <v>46052</v>
      </c>
      <c r="B1687" t="s">
        <v>44</v>
      </c>
      <c r="C1687" s="1" t="s">
        <v>32</v>
      </c>
      <c r="D1687" s="3">
        <v>39</v>
      </c>
      <c r="E1687" s="3">
        <v>34</v>
      </c>
      <c r="F1687" s="3">
        <v>11.56</v>
      </c>
      <c r="G1687" s="3">
        <v>0</v>
      </c>
      <c r="H1687" s="3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 s="3">
        <v>31</v>
      </c>
      <c r="N1687" s="3">
        <v>98.65</v>
      </c>
      <c r="O1687" s="12">
        <v>30.978260869565219</v>
      </c>
    </row>
    <row r="1688" spans="1:15" hidden="1" x14ac:dyDescent="0.25">
      <c r="A1688" s="10">
        <v>46052</v>
      </c>
      <c r="B1688" t="s">
        <v>20</v>
      </c>
      <c r="C1688" s="1" t="s">
        <v>16</v>
      </c>
      <c r="D1688" s="3">
        <v>3</v>
      </c>
      <c r="E1688" s="3">
        <v>3</v>
      </c>
      <c r="F1688" s="3">
        <v>176.58</v>
      </c>
      <c r="G1688" s="3">
        <v>0</v>
      </c>
      <c r="H1688" s="3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 s="3">
        <v>2</v>
      </c>
      <c r="N1688" s="3">
        <v>100</v>
      </c>
      <c r="O1688" s="12">
        <v>12</v>
      </c>
    </row>
    <row r="1689" spans="1:15" hidden="1" x14ac:dyDescent="0.25">
      <c r="A1689" s="10">
        <v>46052</v>
      </c>
      <c r="B1689" t="s">
        <v>28</v>
      </c>
      <c r="C1689" s="1" t="s">
        <v>26</v>
      </c>
      <c r="D1689" s="3">
        <v>0</v>
      </c>
      <c r="E1689" s="3">
        <v>0</v>
      </c>
      <c r="F1689" s="3">
        <v>0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 s="3">
        <v>0</v>
      </c>
      <c r="N1689" s="3">
        <v>0</v>
      </c>
      <c r="O1689" s="12">
        <v>0</v>
      </c>
    </row>
    <row r="1690" spans="1:15" hidden="1" x14ac:dyDescent="0.25">
      <c r="A1690" s="10">
        <v>46052</v>
      </c>
      <c r="B1690" t="s">
        <v>58</v>
      </c>
      <c r="C1690" s="1" t="s">
        <v>48</v>
      </c>
      <c r="D1690" s="3">
        <v>27</v>
      </c>
      <c r="E1690" s="3">
        <v>25</v>
      </c>
      <c r="F1690" s="3">
        <v>20.23</v>
      </c>
      <c r="G1690" s="3">
        <v>0</v>
      </c>
      <c r="H1690" s="3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 s="3">
        <v>25</v>
      </c>
      <c r="N1690" s="3">
        <v>97.56</v>
      </c>
      <c r="O1690" s="12">
        <v>31.067961165048541</v>
      </c>
    </row>
    <row r="1691" spans="1:15" hidden="1" x14ac:dyDescent="0.25">
      <c r="A1691" s="10">
        <v>46052</v>
      </c>
      <c r="B1691" t="s">
        <v>29</v>
      </c>
      <c r="C1691" s="1" t="s">
        <v>26</v>
      </c>
      <c r="D1691" s="3">
        <v>0</v>
      </c>
      <c r="E1691" s="3">
        <v>0</v>
      </c>
      <c r="F1691" s="3">
        <v>0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 s="3">
        <v>0</v>
      </c>
      <c r="N1691" s="3">
        <v>0</v>
      </c>
      <c r="O1691" s="12">
        <v>0</v>
      </c>
    </row>
    <row r="1692" spans="1:15" hidden="1" x14ac:dyDescent="0.25">
      <c r="A1692" s="10">
        <v>46052</v>
      </c>
      <c r="B1692" t="s">
        <v>30</v>
      </c>
      <c r="C1692" s="1" t="s">
        <v>26</v>
      </c>
      <c r="D1692" s="3">
        <v>0</v>
      </c>
      <c r="E1692" s="3">
        <v>0</v>
      </c>
      <c r="F1692" s="3">
        <v>0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 s="3">
        <v>0</v>
      </c>
      <c r="N1692" s="3">
        <v>0</v>
      </c>
      <c r="O1692" s="12">
        <v>0</v>
      </c>
    </row>
    <row r="1693" spans="1:15" hidden="1" x14ac:dyDescent="0.25">
      <c r="A1693" s="10">
        <v>46052</v>
      </c>
      <c r="B1693" t="s">
        <v>21</v>
      </c>
      <c r="C1693" s="1" t="s">
        <v>16</v>
      </c>
      <c r="D1693" s="3">
        <v>0</v>
      </c>
      <c r="E1693" s="3">
        <v>0</v>
      </c>
      <c r="F1693" s="3">
        <v>0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 s="3">
        <v>0</v>
      </c>
      <c r="N1693" s="3">
        <v>0</v>
      </c>
      <c r="O1693" s="12">
        <v>0</v>
      </c>
    </row>
    <row r="1694" spans="1:15" hidden="1" x14ac:dyDescent="0.25">
      <c r="A1694" s="10">
        <v>46052</v>
      </c>
      <c r="B1694" t="s">
        <v>63</v>
      </c>
      <c r="C1694" s="1" t="s">
        <v>23</v>
      </c>
      <c r="D1694" s="3">
        <v>8</v>
      </c>
      <c r="E1694" s="3">
        <v>8</v>
      </c>
      <c r="F1694" s="3">
        <v>59.11</v>
      </c>
      <c r="G1694" s="3">
        <v>0</v>
      </c>
      <c r="H1694" s="3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 s="3">
        <v>5</v>
      </c>
      <c r="N1694" s="3">
        <v>100</v>
      </c>
      <c r="O1694" s="12">
        <v>53.846153846153847</v>
      </c>
    </row>
    <row r="1695" spans="1:15" hidden="1" x14ac:dyDescent="0.25">
      <c r="A1695" s="10">
        <v>46052</v>
      </c>
      <c r="B1695" t="s">
        <v>45</v>
      </c>
      <c r="C1695" s="1" t="s">
        <v>32</v>
      </c>
      <c r="D1695" s="3">
        <v>28</v>
      </c>
      <c r="E1695" s="3">
        <v>28</v>
      </c>
      <c r="F1695" s="3">
        <v>15.44</v>
      </c>
      <c r="G1695" s="3">
        <v>0</v>
      </c>
      <c r="H1695" s="3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 s="3">
        <v>29</v>
      </c>
      <c r="N1695" s="3">
        <v>100</v>
      </c>
      <c r="O1695" s="12">
        <v>44.05594405594406</v>
      </c>
    </row>
    <row r="1696" spans="1:15" hidden="1" x14ac:dyDescent="0.25">
      <c r="A1696" s="10">
        <v>46052</v>
      </c>
      <c r="B1696" t="s">
        <v>64</v>
      </c>
      <c r="C1696" s="1" t="s">
        <v>23</v>
      </c>
      <c r="D1696" s="3">
        <v>14</v>
      </c>
      <c r="E1696" s="3">
        <v>14</v>
      </c>
      <c r="F1696" s="3">
        <v>29.08</v>
      </c>
      <c r="G1696" s="3">
        <v>0</v>
      </c>
      <c r="H1696" s="3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 s="3">
        <v>15</v>
      </c>
      <c r="N1696" s="3">
        <v>100</v>
      </c>
      <c r="O1696" s="12">
        <v>31.872509960159359</v>
      </c>
    </row>
    <row r="1697" spans="1:15" hidden="1" x14ac:dyDescent="0.25">
      <c r="A1697" s="10">
        <v>46052</v>
      </c>
      <c r="B1697" t="s">
        <v>46</v>
      </c>
      <c r="C1697" s="1" t="s">
        <v>32</v>
      </c>
      <c r="D1697" s="3">
        <v>37</v>
      </c>
      <c r="E1697" s="3">
        <v>36</v>
      </c>
      <c r="F1697" s="3">
        <v>12.14</v>
      </c>
      <c r="G1697" s="3">
        <v>0</v>
      </c>
      <c r="H1697" s="3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 s="3">
        <v>29</v>
      </c>
      <c r="N1697" s="3">
        <v>98.41</v>
      </c>
      <c r="O1697" s="12">
        <v>29.22465208747515</v>
      </c>
    </row>
    <row r="1698" spans="1:15" hidden="1" x14ac:dyDescent="0.25">
      <c r="A1698" s="10">
        <v>46055</v>
      </c>
      <c r="B1698" t="s">
        <v>47</v>
      </c>
      <c r="C1698" s="1" t="s">
        <v>48</v>
      </c>
      <c r="D1698" s="3">
        <v>50</v>
      </c>
      <c r="E1698" s="3">
        <v>43</v>
      </c>
      <c r="F1698" s="3">
        <v>12.21</v>
      </c>
      <c r="G1698" s="3">
        <v>0</v>
      </c>
      <c r="H1698" s="3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 s="3">
        <v>40</v>
      </c>
      <c r="N1698" s="3">
        <v>98.32</v>
      </c>
      <c r="O1698" s="12">
        <v>30.303030303030301</v>
      </c>
    </row>
    <row r="1699" spans="1:15" hidden="1" x14ac:dyDescent="0.25">
      <c r="A1699" s="10">
        <v>46055</v>
      </c>
      <c r="B1699" t="s">
        <v>31</v>
      </c>
      <c r="C1699" s="1" t="s">
        <v>32</v>
      </c>
      <c r="D1699" s="3">
        <v>0</v>
      </c>
      <c r="E1699" s="3">
        <v>0</v>
      </c>
      <c r="F1699" s="3">
        <v>0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 s="3">
        <v>30</v>
      </c>
      <c r="N1699" s="3">
        <v>98.68</v>
      </c>
      <c r="O1699" s="12">
        <v>26.219512195121951</v>
      </c>
    </row>
    <row r="1700" spans="1:15" hidden="1" x14ac:dyDescent="0.25">
      <c r="A1700" s="10">
        <v>46055</v>
      </c>
      <c r="B1700" t="s">
        <v>59</v>
      </c>
      <c r="C1700" s="1" t="s">
        <v>23</v>
      </c>
      <c r="D1700" s="3">
        <v>29</v>
      </c>
      <c r="E1700" s="3">
        <v>27</v>
      </c>
      <c r="F1700" s="3">
        <v>24.08</v>
      </c>
      <c r="G1700" s="3">
        <v>0</v>
      </c>
      <c r="H1700" s="3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 s="3">
        <v>28</v>
      </c>
      <c r="N1700" s="3">
        <v>100</v>
      </c>
      <c r="O1700" s="12">
        <v>31.74224343675418</v>
      </c>
    </row>
    <row r="1701" spans="1:15" hidden="1" x14ac:dyDescent="0.25">
      <c r="A1701" s="10">
        <v>46055</v>
      </c>
      <c r="B1701" t="s">
        <v>33</v>
      </c>
      <c r="C1701" s="1" t="s">
        <v>32</v>
      </c>
      <c r="D1701" s="3">
        <v>25</v>
      </c>
      <c r="E1701" s="3">
        <v>24</v>
      </c>
      <c r="F1701" s="3">
        <v>20.55</v>
      </c>
      <c r="G1701" s="3">
        <v>0</v>
      </c>
      <c r="H1701" s="3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 s="3">
        <v>23</v>
      </c>
      <c r="N1701" s="3">
        <v>98.25</v>
      </c>
      <c r="O1701" s="12">
        <v>25.83518930957684</v>
      </c>
    </row>
    <row r="1702" spans="1:15" hidden="1" x14ac:dyDescent="0.25">
      <c r="A1702" s="10">
        <v>46055</v>
      </c>
      <c r="B1702" t="s">
        <v>15</v>
      </c>
      <c r="C1702" s="1" t="s">
        <v>16</v>
      </c>
      <c r="D1702" s="3">
        <v>0</v>
      </c>
      <c r="E1702" s="3">
        <v>0</v>
      </c>
      <c r="F1702" s="3">
        <v>0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 s="3">
        <v>0</v>
      </c>
      <c r="N1702" s="3">
        <v>97.5</v>
      </c>
      <c r="O1702" s="12">
        <v>30.075187969924809</v>
      </c>
    </row>
    <row r="1703" spans="1:15" hidden="1" x14ac:dyDescent="0.25">
      <c r="A1703" s="10">
        <v>46055</v>
      </c>
      <c r="B1703" t="s">
        <v>49</v>
      </c>
      <c r="C1703" s="1" t="s">
        <v>48</v>
      </c>
      <c r="D1703" s="3">
        <v>32</v>
      </c>
      <c r="E1703" s="3">
        <v>30</v>
      </c>
      <c r="F1703" s="3">
        <v>12.35</v>
      </c>
      <c r="G1703" s="3">
        <v>0</v>
      </c>
      <c r="H1703" s="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 s="3">
        <v>30</v>
      </c>
      <c r="N1703" s="3">
        <v>100</v>
      </c>
      <c r="O1703" s="12">
        <v>29.71311475409836</v>
      </c>
    </row>
    <row r="1704" spans="1:15" hidden="1" x14ac:dyDescent="0.25">
      <c r="A1704" s="10">
        <v>46055</v>
      </c>
      <c r="B1704" t="s">
        <v>50</v>
      </c>
      <c r="C1704" s="1" t="s">
        <v>48</v>
      </c>
      <c r="D1704" s="3">
        <v>21</v>
      </c>
      <c r="E1704" s="3">
        <v>19</v>
      </c>
      <c r="F1704" s="3">
        <v>31.46</v>
      </c>
      <c r="G1704" s="3">
        <v>0</v>
      </c>
      <c r="H1704" s="3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 s="3">
        <v>18</v>
      </c>
      <c r="N1704" s="3">
        <v>99.22</v>
      </c>
      <c r="O1704" s="12">
        <v>35.256410256410263</v>
      </c>
    </row>
    <row r="1705" spans="1:15" hidden="1" x14ac:dyDescent="0.25">
      <c r="A1705" s="10">
        <v>46055</v>
      </c>
      <c r="B1705" t="s">
        <v>17</v>
      </c>
      <c r="C1705" s="1" t="s">
        <v>16</v>
      </c>
      <c r="D1705" s="3">
        <v>0</v>
      </c>
      <c r="E1705" s="3">
        <v>0</v>
      </c>
      <c r="F1705" s="3">
        <v>0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 s="3">
        <v>0</v>
      </c>
      <c r="N1705" s="3">
        <v>0</v>
      </c>
      <c r="O1705" s="12">
        <v>0</v>
      </c>
    </row>
    <row r="1706" spans="1:15" hidden="1" x14ac:dyDescent="0.25">
      <c r="A1706" s="10">
        <v>46055</v>
      </c>
      <c r="B1706" t="s">
        <v>60</v>
      </c>
      <c r="C1706" s="1" t="s">
        <v>23</v>
      </c>
      <c r="D1706" s="3">
        <v>1</v>
      </c>
      <c r="E1706" s="3">
        <v>1</v>
      </c>
      <c r="F1706" s="3">
        <v>22.31</v>
      </c>
      <c r="G1706" s="3">
        <v>0</v>
      </c>
      <c r="H1706" s="3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 s="3">
        <v>23</v>
      </c>
      <c r="N1706" s="3">
        <v>98.75</v>
      </c>
      <c r="O1706" s="12">
        <v>24.32432432432433</v>
      </c>
    </row>
    <row r="1707" spans="1:15" hidden="1" x14ac:dyDescent="0.25">
      <c r="A1707" s="10">
        <v>46055</v>
      </c>
      <c r="B1707" t="s">
        <v>34</v>
      </c>
      <c r="C1707" s="1" t="s">
        <v>32</v>
      </c>
      <c r="D1707" s="3">
        <v>46</v>
      </c>
      <c r="E1707" s="3">
        <v>42</v>
      </c>
      <c r="F1707" s="3">
        <v>10.55</v>
      </c>
      <c r="G1707" s="3">
        <v>0</v>
      </c>
      <c r="H1707" s="3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 s="3">
        <v>35</v>
      </c>
      <c r="N1707" s="3">
        <v>93.48</v>
      </c>
      <c r="O1707" s="12">
        <v>31.52804642166344</v>
      </c>
    </row>
    <row r="1708" spans="1:15" hidden="1" x14ac:dyDescent="0.25">
      <c r="A1708" s="10">
        <v>46055</v>
      </c>
      <c r="B1708" t="s">
        <v>51</v>
      </c>
      <c r="C1708" s="1" t="s">
        <v>48</v>
      </c>
      <c r="D1708" s="3">
        <v>40</v>
      </c>
      <c r="E1708" s="3">
        <v>34</v>
      </c>
      <c r="F1708" s="3">
        <v>15.02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 s="3">
        <v>32</v>
      </c>
      <c r="N1708" s="3">
        <v>99.16</v>
      </c>
      <c r="O1708" s="12">
        <v>26.13908872901678</v>
      </c>
    </row>
    <row r="1709" spans="1:15" hidden="1" x14ac:dyDescent="0.25">
      <c r="A1709" s="10">
        <v>46055</v>
      </c>
      <c r="B1709" t="s">
        <v>61</v>
      </c>
      <c r="C1709" s="1" t="s">
        <v>23</v>
      </c>
      <c r="D1709" s="3">
        <v>9</v>
      </c>
      <c r="E1709" s="3">
        <v>9</v>
      </c>
      <c r="F1709" s="3">
        <v>30.3</v>
      </c>
      <c r="G1709" s="3">
        <v>0</v>
      </c>
      <c r="H1709" s="3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 s="3">
        <v>22</v>
      </c>
      <c r="N1709" s="3">
        <v>100</v>
      </c>
      <c r="O1709" s="12">
        <v>31.089743589743591</v>
      </c>
    </row>
    <row r="1710" spans="1:15" hidden="1" x14ac:dyDescent="0.25">
      <c r="A1710" s="10">
        <v>46055</v>
      </c>
      <c r="B1710" t="s">
        <v>35</v>
      </c>
      <c r="C1710" s="1" t="s">
        <v>32</v>
      </c>
      <c r="D1710" s="3">
        <v>37</v>
      </c>
      <c r="E1710" s="3">
        <v>37</v>
      </c>
      <c r="F1710" s="3">
        <v>18.57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 s="3">
        <v>37</v>
      </c>
      <c r="N1710" s="3">
        <v>98.11</v>
      </c>
      <c r="O1710" s="12">
        <v>33.033707865168537</v>
      </c>
    </row>
    <row r="1711" spans="1:15" hidden="1" x14ac:dyDescent="0.25">
      <c r="A1711" s="10">
        <v>46055</v>
      </c>
      <c r="B1711" t="s">
        <v>18</v>
      </c>
      <c r="C1711" s="1" t="s">
        <v>16</v>
      </c>
      <c r="D1711" s="3">
        <v>0</v>
      </c>
      <c r="E1711" s="3">
        <v>0</v>
      </c>
      <c r="F1711" s="3">
        <v>0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 s="3">
        <v>0</v>
      </c>
      <c r="N1711" s="3">
        <v>78.95</v>
      </c>
      <c r="O1711" s="12">
        <v>38.983050847457633</v>
      </c>
    </row>
    <row r="1712" spans="1:15" hidden="1" x14ac:dyDescent="0.25">
      <c r="A1712" s="10">
        <v>46055</v>
      </c>
      <c r="B1712" t="s">
        <v>52</v>
      </c>
      <c r="C1712" s="1" t="s">
        <v>48</v>
      </c>
      <c r="D1712" s="3">
        <v>32</v>
      </c>
      <c r="E1712" s="3">
        <v>27</v>
      </c>
      <c r="F1712" s="3">
        <v>18.420000000000002</v>
      </c>
      <c r="G1712" s="3">
        <v>0</v>
      </c>
      <c r="H1712" s="3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 s="3">
        <v>22</v>
      </c>
      <c r="N1712" s="3">
        <v>98.45</v>
      </c>
      <c r="O1712" s="12">
        <v>29.281767955801101</v>
      </c>
    </row>
    <row r="1713" spans="1:15" hidden="1" x14ac:dyDescent="0.25">
      <c r="A1713" s="10">
        <v>46055</v>
      </c>
      <c r="B1713" t="s">
        <v>36</v>
      </c>
      <c r="C1713" s="1" t="s">
        <v>32</v>
      </c>
      <c r="D1713" s="3">
        <v>24</v>
      </c>
      <c r="E1713" s="3">
        <v>22</v>
      </c>
      <c r="F1713" s="3">
        <v>26.54</v>
      </c>
      <c r="G1713" s="3">
        <v>0</v>
      </c>
      <c r="H1713" s="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 s="3">
        <v>21</v>
      </c>
      <c r="N1713" s="3">
        <v>97.84</v>
      </c>
      <c r="O1713" s="12">
        <v>26.282051282051281</v>
      </c>
    </row>
    <row r="1714" spans="1:15" hidden="1" x14ac:dyDescent="0.25">
      <c r="A1714" s="10">
        <v>46055</v>
      </c>
      <c r="B1714" t="s">
        <v>53</v>
      </c>
      <c r="C1714" s="1" t="s">
        <v>48</v>
      </c>
      <c r="D1714" s="3">
        <v>30</v>
      </c>
      <c r="E1714" s="3">
        <v>29</v>
      </c>
      <c r="F1714" s="3">
        <v>22.16</v>
      </c>
      <c r="G1714" s="3">
        <v>0</v>
      </c>
      <c r="H1714" s="3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 s="3">
        <v>28</v>
      </c>
      <c r="N1714" s="3">
        <v>98.5</v>
      </c>
      <c r="O1714" s="12">
        <v>23.97769516728625</v>
      </c>
    </row>
    <row r="1715" spans="1:15" hidden="1" x14ac:dyDescent="0.25">
      <c r="A1715" s="10">
        <v>46087</v>
      </c>
      <c r="B1715" t="s">
        <v>22</v>
      </c>
      <c r="C1715" s="1" t="s">
        <v>23</v>
      </c>
      <c r="D1715" s="3">
        <v>0</v>
      </c>
      <c r="E1715" s="3">
        <v>0</v>
      </c>
      <c r="F1715" s="3">
        <v>0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 s="3">
        <v>37</v>
      </c>
      <c r="N1715" s="3">
        <v>99.05</v>
      </c>
      <c r="O1715" s="12">
        <v>26.621923937360179</v>
      </c>
    </row>
    <row r="1716" spans="1:15" hidden="1" x14ac:dyDescent="0.25">
      <c r="A1716" s="10">
        <v>46055</v>
      </c>
      <c r="B1716" t="s">
        <v>54</v>
      </c>
      <c r="C1716" s="1" t="s">
        <v>48</v>
      </c>
      <c r="D1716" s="3">
        <v>38</v>
      </c>
      <c r="E1716" s="3">
        <v>35</v>
      </c>
      <c r="F1716" s="3">
        <v>20.239999999999998</v>
      </c>
      <c r="G1716" s="3">
        <v>0</v>
      </c>
      <c r="H1716" s="3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 s="3">
        <v>31</v>
      </c>
      <c r="N1716" s="3">
        <v>98.53</v>
      </c>
      <c r="O1716" s="12">
        <v>31.578947368421051</v>
      </c>
    </row>
    <row r="1717" spans="1:15" hidden="1" x14ac:dyDescent="0.25">
      <c r="A1717" s="10">
        <v>46055</v>
      </c>
      <c r="B1717" t="s">
        <v>37</v>
      </c>
      <c r="C1717" s="1" t="s">
        <v>32</v>
      </c>
      <c r="D1717" s="3">
        <v>56</v>
      </c>
      <c r="E1717" s="3">
        <v>51</v>
      </c>
      <c r="F1717" s="3">
        <v>12.01</v>
      </c>
      <c r="G1717" s="3">
        <v>0</v>
      </c>
      <c r="H1717" s="3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 s="3">
        <v>54</v>
      </c>
      <c r="N1717" s="3">
        <v>100</v>
      </c>
      <c r="O1717" s="12">
        <v>25.72214580467676</v>
      </c>
    </row>
    <row r="1718" spans="1:15" hidden="1" x14ac:dyDescent="0.25">
      <c r="A1718" s="10">
        <v>46055</v>
      </c>
      <c r="B1718" t="s">
        <v>38</v>
      </c>
      <c r="C1718" s="1" t="s">
        <v>32</v>
      </c>
      <c r="D1718" s="3">
        <v>16</v>
      </c>
      <c r="E1718" s="3">
        <v>16</v>
      </c>
      <c r="F1718" s="3">
        <v>19.09</v>
      </c>
      <c r="G1718" s="3">
        <v>0</v>
      </c>
      <c r="H1718" s="3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 s="3">
        <v>18</v>
      </c>
      <c r="N1718" s="3">
        <v>94.64</v>
      </c>
      <c r="O1718" s="12">
        <v>27.52941176470588</v>
      </c>
    </row>
    <row r="1719" spans="1:15" hidden="1" x14ac:dyDescent="0.25">
      <c r="A1719" s="10">
        <v>46055</v>
      </c>
      <c r="B1719" t="s">
        <v>55</v>
      </c>
      <c r="C1719" s="1" t="s">
        <v>48</v>
      </c>
      <c r="D1719" s="3">
        <v>41</v>
      </c>
      <c r="E1719" s="3">
        <v>36</v>
      </c>
      <c r="F1719" s="3">
        <v>10.32</v>
      </c>
      <c r="G1719" s="3">
        <v>0</v>
      </c>
      <c r="H1719" s="3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 s="3">
        <v>34</v>
      </c>
      <c r="N1719" s="3">
        <v>99.07</v>
      </c>
      <c r="O1719" s="12">
        <v>26.376811594202898</v>
      </c>
    </row>
    <row r="1720" spans="1:15" hidden="1" x14ac:dyDescent="0.25">
      <c r="A1720" s="10">
        <v>46055</v>
      </c>
      <c r="B1720" t="s">
        <v>39</v>
      </c>
      <c r="C1720" s="1" t="s">
        <v>32</v>
      </c>
      <c r="D1720" s="3">
        <v>0</v>
      </c>
      <c r="E1720" s="3">
        <v>0</v>
      </c>
      <c r="F1720" s="3">
        <v>0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 s="3">
        <v>0</v>
      </c>
      <c r="N1720" s="3">
        <v>100</v>
      </c>
      <c r="O1720" s="12">
        <v>0</v>
      </c>
    </row>
    <row r="1721" spans="1:15" hidden="1" x14ac:dyDescent="0.25">
      <c r="A1721" s="10">
        <v>46055</v>
      </c>
      <c r="B1721" t="s">
        <v>25</v>
      </c>
      <c r="C1721" s="1" t="s">
        <v>26</v>
      </c>
      <c r="D1721" s="3">
        <v>17</v>
      </c>
      <c r="E1721" s="3">
        <v>15</v>
      </c>
      <c r="F1721" s="3">
        <v>30.34</v>
      </c>
      <c r="G1721" s="3">
        <v>0</v>
      </c>
      <c r="H1721" s="3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 s="3">
        <v>13</v>
      </c>
      <c r="N1721" s="3">
        <v>98.48</v>
      </c>
      <c r="O1721" s="12">
        <v>27.853881278538811</v>
      </c>
    </row>
    <row r="1722" spans="1:15" hidden="1" x14ac:dyDescent="0.25">
      <c r="A1722" s="10">
        <v>46055</v>
      </c>
      <c r="B1722" t="s">
        <v>40</v>
      </c>
      <c r="C1722" s="1" t="s">
        <v>32</v>
      </c>
      <c r="D1722" s="3">
        <v>30</v>
      </c>
      <c r="E1722" s="3">
        <v>30</v>
      </c>
      <c r="F1722" s="3">
        <v>24.18</v>
      </c>
      <c r="G1722" s="3">
        <v>0</v>
      </c>
      <c r="H1722" s="3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 s="3">
        <v>26</v>
      </c>
      <c r="N1722" s="3">
        <v>95.15</v>
      </c>
      <c r="O1722" s="12">
        <v>34.131736526946113</v>
      </c>
    </row>
    <row r="1723" spans="1:15" hidden="1" x14ac:dyDescent="0.25">
      <c r="A1723" s="10">
        <v>46055</v>
      </c>
      <c r="B1723" t="s">
        <v>27</v>
      </c>
      <c r="C1723" s="1" t="s">
        <v>26</v>
      </c>
      <c r="D1723" s="3">
        <v>0</v>
      </c>
      <c r="E1723" s="3">
        <v>0</v>
      </c>
      <c r="F1723" s="3">
        <v>0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 s="3">
        <v>0</v>
      </c>
      <c r="N1723" s="3">
        <v>0</v>
      </c>
      <c r="O1723" s="12">
        <v>0</v>
      </c>
    </row>
    <row r="1724" spans="1:15" hidden="1" x14ac:dyDescent="0.25">
      <c r="A1724" s="10">
        <v>46055</v>
      </c>
      <c r="B1724" t="s">
        <v>41</v>
      </c>
      <c r="C1724" s="1" t="s">
        <v>32</v>
      </c>
      <c r="D1724" s="3">
        <v>33</v>
      </c>
      <c r="E1724" s="3">
        <v>32</v>
      </c>
      <c r="F1724" s="3">
        <v>17.149999999999999</v>
      </c>
      <c r="G1724" s="3">
        <v>0</v>
      </c>
      <c r="H1724" s="3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 s="3">
        <v>28</v>
      </c>
      <c r="N1724" s="3">
        <v>99.26</v>
      </c>
      <c r="O1724" s="12">
        <v>30.84832904884319</v>
      </c>
    </row>
    <row r="1725" spans="1:15" hidden="1" x14ac:dyDescent="0.25">
      <c r="A1725" s="10">
        <v>46055</v>
      </c>
      <c r="B1725" t="s">
        <v>56</v>
      </c>
      <c r="C1725" s="1" t="s">
        <v>48</v>
      </c>
      <c r="D1725" s="3">
        <v>31</v>
      </c>
      <c r="E1725" s="3">
        <v>27</v>
      </c>
      <c r="F1725" s="3">
        <v>18.2</v>
      </c>
      <c r="G1725" s="3">
        <v>0</v>
      </c>
      <c r="H1725" s="3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 s="3">
        <v>27</v>
      </c>
      <c r="N1725" s="3">
        <v>97.48</v>
      </c>
      <c r="O1725" s="12">
        <v>27.764705882352938</v>
      </c>
    </row>
    <row r="1726" spans="1:15" hidden="1" x14ac:dyDescent="0.25">
      <c r="A1726" s="10">
        <v>46055</v>
      </c>
      <c r="B1726" t="s">
        <v>57</v>
      </c>
      <c r="C1726" s="1" t="s">
        <v>48</v>
      </c>
      <c r="D1726" s="3">
        <v>33</v>
      </c>
      <c r="E1726" s="3">
        <v>32</v>
      </c>
      <c r="F1726" s="3">
        <v>17.010000000000002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 s="3">
        <v>32</v>
      </c>
      <c r="N1726" s="3">
        <v>99.34</v>
      </c>
      <c r="O1726" s="12">
        <v>30.04291845493562</v>
      </c>
    </row>
    <row r="1727" spans="1:15" hidden="1" x14ac:dyDescent="0.25">
      <c r="A1727" s="10">
        <v>46055</v>
      </c>
      <c r="B1727" t="s">
        <v>42</v>
      </c>
      <c r="C1727" s="1" t="s">
        <v>32</v>
      </c>
      <c r="D1727" s="3">
        <v>0</v>
      </c>
      <c r="E1727" s="3">
        <v>0</v>
      </c>
      <c r="F1727" s="3">
        <v>0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 s="3">
        <v>0</v>
      </c>
      <c r="N1727" s="3">
        <v>96.3</v>
      </c>
      <c r="O1727" s="12">
        <v>24.29378531073446</v>
      </c>
    </row>
    <row r="1728" spans="1:15" hidden="1" x14ac:dyDescent="0.25">
      <c r="A1728" s="10">
        <v>46055</v>
      </c>
      <c r="B1728" t="s">
        <v>62</v>
      </c>
      <c r="C1728" s="1" t="s">
        <v>23</v>
      </c>
      <c r="D1728" s="3">
        <v>23</v>
      </c>
      <c r="E1728" s="3">
        <v>23</v>
      </c>
      <c r="F1728" s="3">
        <v>20.09</v>
      </c>
      <c r="G1728" s="3">
        <v>0</v>
      </c>
      <c r="H1728" s="3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 s="3">
        <v>22</v>
      </c>
      <c r="N1728" s="3">
        <v>100</v>
      </c>
      <c r="O1728" s="12">
        <v>26.543209876543209</v>
      </c>
    </row>
    <row r="1729" spans="1:15" hidden="1" x14ac:dyDescent="0.25">
      <c r="A1729" s="10">
        <v>46055</v>
      </c>
      <c r="B1729" t="s">
        <v>19</v>
      </c>
      <c r="C1729" s="1" t="s">
        <v>16</v>
      </c>
      <c r="D1729" s="3">
        <v>9</v>
      </c>
      <c r="E1729" s="3">
        <v>8</v>
      </c>
      <c r="F1729" s="3">
        <v>39.090000000000003</v>
      </c>
      <c r="G1729" s="3">
        <v>0</v>
      </c>
      <c r="H1729" s="3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 s="3">
        <v>7</v>
      </c>
      <c r="N1729" s="3">
        <v>100</v>
      </c>
      <c r="O1729" s="12">
        <v>35.483870967741943</v>
      </c>
    </row>
    <row r="1730" spans="1:15" hidden="1" x14ac:dyDescent="0.25">
      <c r="A1730" s="10">
        <v>46055</v>
      </c>
      <c r="B1730" t="s">
        <v>43</v>
      </c>
      <c r="C1730" s="1" t="s">
        <v>32</v>
      </c>
      <c r="D1730" s="3">
        <v>35</v>
      </c>
      <c r="E1730" s="3">
        <v>35</v>
      </c>
      <c r="F1730" s="3">
        <v>12.06</v>
      </c>
      <c r="G1730" s="3">
        <v>0</v>
      </c>
      <c r="H1730" s="3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 s="3">
        <v>33</v>
      </c>
      <c r="N1730" s="3">
        <v>99.27</v>
      </c>
      <c r="O1730" s="12">
        <v>31.163708086785011</v>
      </c>
    </row>
    <row r="1731" spans="1:15" hidden="1" x14ac:dyDescent="0.25">
      <c r="A1731" s="10">
        <v>46055</v>
      </c>
      <c r="B1731" t="s">
        <v>44</v>
      </c>
      <c r="C1731" s="1" t="s">
        <v>32</v>
      </c>
      <c r="D1731" s="3">
        <v>46</v>
      </c>
      <c r="E1731" s="3">
        <v>37</v>
      </c>
      <c r="F1731" s="3">
        <v>13.29</v>
      </c>
      <c r="G1731" s="3">
        <v>0</v>
      </c>
      <c r="H1731" s="3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 s="3">
        <v>38</v>
      </c>
      <c r="N1731" s="3">
        <v>94.16</v>
      </c>
      <c r="O1731" s="12">
        <v>27.038626609442058</v>
      </c>
    </row>
    <row r="1732" spans="1:15" hidden="1" x14ac:dyDescent="0.25">
      <c r="A1732" s="10">
        <v>46055</v>
      </c>
      <c r="B1732" t="s">
        <v>20</v>
      </c>
      <c r="C1732" s="1" t="s">
        <v>16</v>
      </c>
      <c r="D1732" s="3">
        <v>9</v>
      </c>
      <c r="E1732" s="3">
        <v>9</v>
      </c>
      <c r="F1732" s="3">
        <v>49.04</v>
      </c>
      <c r="G1732" s="3">
        <v>0</v>
      </c>
      <c r="H1732" s="3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 s="3">
        <v>1</v>
      </c>
      <c r="N1732" s="3">
        <v>93.75</v>
      </c>
      <c r="O1732" s="12">
        <v>19.31818181818182</v>
      </c>
    </row>
    <row r="1733" spans="1:15" hidden="1" x14ac:dyDescent="0.25">
      <c r="A1733" s="10">
        <v>46055</v>
      </c>
      <c r="B1733" t="s">
        <v>28</v>
      </c>
      <c r="C1733" s="1" t="s">
        <v>26</v>
      </c>
      <c r="D1733" s="3">
        <v>0</v>
      </c>
      <c r="E1733" s="3">
        <v>0</v>
      </c>
      <c r="F1733" s="3">
        <v>0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 s="3">
        <v>0</v>
      </c>
      <c r="N1733" s="3">
        <v>0</v>
      </c>
      <c r="O1733" s="12">
        <v>0</v>
      </c>
    </row>
    <row r="1734" spans="1:15" hidden="1" x14ac:dyDescent="0.25">
      <c r="A1734" s="10">
        <v>46055</v>
      </c>
      <c r="B1734" t="s">
        <v>58</v>
      </c>
      <c r="C1734" s="1" t="s">
        <v>48</v>
      </c>
      <c r="D1734" s="3">
        <v>33</v>
      </c>
      <c r="E1734" s="3">
        <v>31</v>
      </c>
      <c r="F1734" s="3">
        <v>22.32</v>
      </c>
      <c r="G1734" s="3">
        <v>0</v>
      </c>
      <c r="H1734" s="3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 s="3">
        <v>23</v>
      </c>
      <c r="N1734" s="3">
        <v>97.92</v>
      </c>
      <c r="O1734" s="12">
        <v>32.87671232876712</v>
      </c>
    </row>
    <row r="1735" spans="1:15" hidden="1" x14ac:dyDescent="0.25">
      <c r="A1735" s="10">
        <v>46055</v>
      </c>
      <c r="B1735" t="s">
        <v>29</v>
      </c>
      <c r="C1735" s="1" t="s">
        <v>26</v>
      </c>
      <c r="D1735" s="3">
        <v>0</v>
      </c>
      <c r="E1735" s="3">
        <v>0</v>
      </c>
      <c r="F1735" s="3">
        <v>0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 s="3">
        <v>0</v>
      </c>
      <c r="N1735" s="3">
        <v>0</v>
      </c>
      <c r="O1735" s="12">
        <v>0</v>
      </c>
    </row>
    <row r="1736" spans="1:15" hidden="1" x14ac:dyDescent="0.25">
      <c r="A1736" s="10">
        <v>46055</v>
      </c>
      <c r="B1736" t="s">
        <v>30</v>
      </c>
      <c r="C1736" s="1" t="s">
        <v>26</v>
      </c>
      <c r="D1736" s="3">
        <v>0</v>
      </c>
      <c r="E1736" s="3">
        <v>0</v>
      </c>
      <c r="F1736" s="3">
        <v>0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 s="3">
        <v>0</v>
      </c>
      <c r="N1736" s="3">
        <v>0</v>
      </c>
      <c r="O1736" s="12">
        <v>0</v>
      </c>
    </row>
    <row r="1737" spans="1:15" hidden="1" x14ac:dyDescent="0.25">
      <c r="A1737" s="10">
        <v>46055</v>
      </c>
      <c r="B1737" t="s">
        <v>21</v>
      </c>
      <c r="C1737" s="1" t="s">
        <v>16</v>
      </c>
      <c r="D1737" s="3">
        <v>0</v>
      </c>
      <c r="E1737" s="3">
        <v>0</v>
      </c>
      <c r="F1737" s="3">
        <v>0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 s="3">
        <v>0</v>
      </c>
      <c r="N1737" s="3">
        <v>0</v>
      </c>
      <c r="O1737" s="12">
        <v>0</v>
      </c>
    </row>
    <row r="1738" spans="1:15" hidden="1" x14ac:dyDescent="0.25">
      <c r="A1738" s="10">
        <v>46055</v>
      </c>
      <c r="B1738" t="s">
        <v>63</v>
      </c>
      <c r="C1738" s="1" t="s">
        <v>23</v>
      </c>
      <c r="D1738" s="3">
        <v>14</v>
      </c>
      <c r="E1738" s="3">
        <v>11</v>
      </c>
      <c r="F1738" s="3">
        <v>35.409999999999997</v>
      </c>
      <c r="G1738" s="3">
        <v>0</v>
      </c>
      <c r="H1738" s="3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 s="3">
        <v>11</v>
      </c>
      <c r="N1738" s="3">
        <v>98.51</v>
      </c>
      <c r="O1738" s="12">
        <v>29.710144927536231</v>
      </c>
    </row>
    <row r="1739" spans="1:15" hidden="1" x14ac:dyDescent="0.25">
      <c r="A1739" s="10">
        <v>46055</v>
      </c>
      <c r="B1739" t="s">
        <v>45</v>
      </c>
      <c r="C1739" s="1" t="s">
        <v>32</v>
      </c>
      <c r="D1739" s="3">
        <v>44</v>
      </c>
      <c r="E1739" s="3">
        <v>40</v>
      </c>
      <c r="F1739" s="3">
        <v>15.51</v>
      </c>
      <c r="G1739" s="3">
        <v>0</v>
      </c>
      <c r="H1739" s="3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 s="3">
        <v>40</v>
      </c>
      <c r="N1739" s="3">
        <v>98.81</v>
      </c>
      <c r="O1739" s="12">
        <v>30.712979890310791</v>
      </c>
    </row>
    <row r="1740" spans="1:15" hidden="1" x14ac:dyDescent="0.25">
      <c r="A1740" s="10">
        <v>46055</v>
      </c>
      <c r="B1740" t="s">
        <v>64</v>
      </c>
      <c r="C1740" s="1" t="s">
        <v>23</v>
      </c>
      <c r="D1740" s="3">
        <v>16</v>
      </c>
      <c r="E1740" s="3">
        <v>16</v>
      </c>
      <c r="F1740" s="3">
        <v>30.19</v>
      </c>
      <c r="G1740" s="3">
        <v>0</v>
      </c>
      <c r="H1740" s="3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 s="3">
        <v>16</v>
      </c>
      <c r="N1740" s="3">
        <v>98.48</v>
      </c>
      <c r="O1740" s="12">
        <v>29.35323383084577</v>
      </c>
    </row>
    <row r="1741" spans="1:15" hidden="1" x14ac:dyDescent="0.25">
      <c r="A1741" s="10">
        <v>46055</v>
      </c>
      <c r="B1741" t="s">
        <v>46</v>
      </c>
      <c r="C1741" s="1" t="s">
        <v>32</v>
      </c>
      <c r="D1741" s="3">
        <v>35</v>
      </c>
      <c r="E1741" s="3">
        <v>32</v>
      </c>
      <c r="F1741" s="3">
        <v>19.059999999999999</v>
      </c>
      <c r="G1741" s="3">
        <v>0</v>
      </c>
      <c r="H1741" s="3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 s="3">
        <v>29</v>
      </c>
      <c r="N1741" s="3">
        <v>98.56</v>
      </c>
      <c r="O1741" s="12">
        <v>29.373650107991359</v>
      </c>
    </row>
    <row r="1742" spans="1:15" hidden="1" x14ac:dyDescent="0.25">
      <c r="A1742" s="10">
        <v>46056</v>
      </c>
      <c r="B1742" t="s">
        <v>47</v>
      </c>
      <c r="C1742" s="1" t="s">
        <v>48</v>
      </c>
      <c r="D1742" s="3">
        <v>37</v>
      </c>
      <c r="E1742" s="3">
        <v>35</v>
      </c>
      <c r="F1742" s="3">
        <v>15.35</v>
      </c>
      <c r="G1742" s="3">
        <v>0</v>
      </c>
      <c r="H1742" s="3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 s="3">
        <v>34</v>
      </c>
      <c r="N1742" s="3">
        <v>98.32</v>
      </c>
      <c r="O1742" s="12">
        <v>30.303030303030301</v>
      </c>
    </row>
    <row r="1743" spans="1:15" hidden="1" x14ac:dyDescent="0.25">
      <c r="A1743" s="10">
        <v>46056</v>
      </c>
      <c r="B1743" t="s">
        <v>31</v>
      </c>
      <c r="C1743" s="1" t="s">
        <v>32</v>
      </c>
      <c r="D1743" s="3">
        <v>0</v>
      </c>
      <c r="E1743" s="3">
        <v>0</v>
      </c>
      <c r="F1743" s="3">
        <v>0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 s="3">
        <v>29</v>
      </c>
      <c r="N1743" s="3">
        <v>98.68</v>
      </c>
      <c r="O1743" s="12">
        <v>26.219512195121951</v>
      </c>
    </row>
    <row r="1744" spans="1:15" hidden="1" x14ac:dyDescent="0.25">
      <c r="A1744" s="10">
        <v>46056</v>
      </c>
      <c r="B1744" t="s">
        <v>59</v>
      </c>
      <c r="C1744" s="1" t="s">
        <v>23</v>
      </c>
      <c r="D1744" s="3">
        <v>27</v>
      </c>
      <c r="E1744" s="3">
        <v>27</v>
      </c>
      <c r="F1744" s="3">
        <v>23.49</v>
      </c>
      <c r="G1744" s="3">
        <v>0</v>
      </c>
      <c r="H1744" s="3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 s="3">
        <v>27</v>
      </c>
      <c r="N1744" s="3">
        <v>100</v>
      </c>
      <c r="O1744" s="12">
        <v>31.74224343675418</v>
      </c>
    </row>
    <row r="1745" spans="1:15" hidden="1" x14ac:dyDescent="0.25">
      <c r="A1745" s="10">
        <v>46056</v>
      </c>
      <c r="B1745" t="s">
        <v>33</v>
      </c>
      <c r="C1745" s="1" t="s">
        <v>32</v>
      </c>
      <c r="D1745" s="3">
        <v>41</v>
      </c>
      <c r="E1745" s="3">
        <v>39</v>
      </c>
      <c r="F1745" s="3">
        <v>20.440000000000001</v>
      </c>
      <c r="G1745" s="3">
        <v>0</v>
      </c>
      <c r="H1745" s="3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 s="3">
        <v>37</v>
      </c>
      <c r="N1745" s="3">
        <v>98.25</v>
      </c>
      <c r="O1745" s="12">
        <v>25.83518930957684</v>
      </c>
    </row>
    <row r="1746" spans="1:15" hidden="1" x14ac:dyDescent="0.25">
      <c r="A1746" s="10">
        <v>46056</v>
      </c>
      <c r="B1746" t="s">
        <v>15</v>
      </c>
      <c r="C1746" s="1" t="s">
        <v>16</v>
      </c>
      <c r="D1746" s="3">
        <v>6</v>
      </c>
      <c r="E1746" s="3">
        <v>6</v>
      </c>
      <c r="F1746" s="3">
        <v>28.25</v>
      </c>
      <c r="G1746" s="3">
        <v>0</v>
      </c>
      <c r="H1746" s="3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 s="3">
        <v>6</v>
      </c>
      <c r="N1746" s="3">
        <v>97.5</v>
      </c>
      <c r="O1746" s="12">
        <v>30.075187969924809</v>
      </c>
    </row>
    <row r="1747" spans="1:15" hidden="1" x14ac:dyDescent="0.25">
      <c r="A1747" s="10">
        <v>46056</v>
      </c>
      <c r="B1747" t="s">
        <v>49</v>
      </c>
      <c r="C1747" s="1" t="s">
        <v>48</v>
      </c>
      <c r="D1747" s="3">
        <v>42</v>
      </c>
      <c r="E1747" s="3">
        <v>38</v>
      </c>
      <c r="F1747" s="3">
        <v>10.44</v>
      </c>
      <c r="G1747" s="3">
        <v>0</v>
      </c>
      <c r="H1747" s="3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 s="3">
        <v>36</v>
      </c>
      <c r="N1747" s="3">
        <v>100</v>
      </c>
      <c r="O1747" s="12">
        <v>29.71311475409836</v>
      </c>
    </row>
    <row r="1748" spans="1:15" hidden="1" x14ac:dyDescent="0.25">
      <c r="A1748" s="10">
        <v>46056</v>
      </c>
      <c r="B1748" t="s">
        <v>50</v>
      </c>
      <c r="C1748" s="1" t="s">
        <v>48</v>
      </c>
      <c r="D1748" s="3">
        <v>27</v>
      </c>
      <c r="E1748" s="3">
        <v>25</v>
      </c>
      <c r="F1748" s="3">
        <v>25.32</v>
      </c>
      <c r="G1748" s="3">
        <v>0</v>
      </c>
      <c r="H1748" s="3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 s="3">
        <v>23</v>
      </c>
      <c r="N1748" s="3">
        <v>99.22</v>
      </c>
      <c r="O1748" s="12">
        <v>35.256410256410263</v>
      </c>
    </row>
    <row r="1749" spans="1:15" hidden="1" x14ac:dyDescent="0.25">
      <c r="A1749" s="10">
        <v>46056</v>
      </c>
      <c r="B1749" t="s">
        <v>17</v>
      </c>
      <c r="C1749" s="1" t="s">
        <v>16</v>
      </c>
      <c r="D1749" s="3">
        <v>0</v>
      </c>
      <c r="E1749" s="3">
        <v>0</v>
      </c>
      <c r="F1749" s="3">
        <v>0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 s="3">
        <v>0</v>
      </c>
      <c r="N1749" s="3">
        <v>0</v>
      </c>
      <c r="O1749" s="12">
        <v>0</v>
      </c>
    </row>
    <row r="1750" spans="1:15" hidden="1" x14ac:dyDescent="0.25">
      <c r="A1750" s="10">
        <v>46056</v>
      </c>
      <c r="B1750" t="s">
        <v>60</v>
      </c>
      <c r="C1750" s="1" t="s">
        <v>23</v>
      </c>
      <c r="D1750" s="3">
        <v>21</v>
      </c>
      <c r="E1750" s="3">
        <v>21</v>
      </c>
      <c r="F1750" s="3">
        <v>25.43</v>
      </c>
      <c r="G1750" s="3">
        <v>0</v>
      </c>
      <c r="H1750" s="3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 s="3">
        <v>21</v>
      </c>
      <c r="N1750" s="3">
        <v>98.75</v>
      </c>
      <c r="O1750" s="12">
        <v>24.32432432432433</v>
      </c>
    </row>
    <row r="1751" spans="1:15" hidden="1" x14ac:dyDescent="0.25">
      <c r="A1751" s="10">
        <v>46056</v>
      </c>
      <c r="B1751" t="s">
        <v>34</v>
      </c>
      <c r="C1751" s="1" t="s">
        <v>32</v>
      </c>
      <c r="D1751" s="3">
        <v>36</v>
      </c>
      <c r="E1751" s="3">
        <v>33</v>
      </c>
      <c r="F1751" s="3">
        <v>13.36</v>
      </c>
      <c r="G1751" s="3">
        <v>0</v>
      </c>
      <c r="H1751" s="3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 s="3">
        <v>29</v>
      </c>
      <c r="N1751" s="3">
        <v>93.48</v>
      </c>
      <c r="O1751" s="12">
        <v>31.52804642166344</v>
      </c>
    </row>
    <row r="1752" spans="1:15" hidden="1" x14ac:dyDescent="0.25">
      <c r="A1752" s="10">
        <v>46056</v>
      </c>
      <c r="B1752" t="s">
        <v>51</v>
      </c>
      <c r="C1752" s="1" t="s">
        <v>48</v>
      </c>
      <c r="D1752" s="3">
        <v>38</v>
      </c>
      <c r="E1752" s="3">
        <v>34</v>
      </c>
      <c r="F1752" s="3">
        <v>18.52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 s="3">
        <v>30</v>
      </c>
      <c r="N1752" s="3">
        <v>99.16</v>
      </c>
      <c r="O1752" s="12">
        <v>26.13908872901678</v>
      </c>
    </row>
    <row r="1753" spans="1:15" hidden="1" x14ac:dyDescent="0.25">
      <c r="A1753" s="10">
        <v>46056</v>
      </c>
      <c r="B1753" t="s">
        <v>61</v>
      </c>
      <c r="C1753" s="1" t="s">
        <v>23</v>
      </c>
      <c r="D1753" s="3">
        <v>30</v>
      </c>
      <c r="E1753" s="3">
        <v>30</v>
      </c>
      <c r="F1753" s="3">
        <v>20.3</v>
      </c>
      <c r="G1753" s="3">
        <v>0</v>
      </c>
      <c r="H1753" s="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 s="3">
        <v>32</v>
      </c>
      <c r="N1753" s="3">
        <v>100</v>
      </c>
      <c r="O1753" s="12">
        <v>31.089743589743591</v>
      </c>
    </row>
    <row r="1754" spans="1:15" hidden="1" x14ac:dyDescent="0.25">
      <c r="A1754" s="10">
        <v>46056</v>
      </c>
      <c r="B1754" t="s">
        <v>35</v>
      </c>
      <c r="C1754" s="1" t="s">
        <v>32</v>
      </c>
      <c r="D1754" s="3">
        <v>27</v>
      </c>
      <c r="E1754" s="3">
        <v>27</v>
      </c>
      <c r="F1754" s="3">
        <v>30.21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 s="3">
        <v>30</v>
      </c>
      <c r="N1754" s="3">
        <v>98.11</v>
      </c>
      <c r="O1754" s="12">
        <v>33.033707865168537</v>
      </c>
    </row>
    <row r="1755" spans="1:15" hidden="1" x14ac:dyDescent="0.25">
      <c r="A1755" s="10">
        <v>46056</v>
      </c>
      <c r="B1755" t="s">
        <v>18</v>
      </c>
      <c r="C1755" s="1" t="s">
        <v>16</v>
      </c>
      <c r="D1755" s="3">
        <v>5</v>
      </c>
      <c r="E1755" s="3">
        <v>5</v>
      </c>
      <c r="F1755" s="3">
        <v>32.15</v>
      </c>
      <c r="G1755" s="3">
        <v>0</v>
      </c>
      <c r="H1755" s="3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 s="3">
        <v>6</v>
      </c>
      <c r="N1755" s="3">
        <v>78.95</v>
      </c>
      <c r="O1755" s="12">
        <v>38.983050847457633</v>
      </c>
    </row>
    <row r="1756" spans="1:15" hidden="1" x14ac:dyDescent="0.25">
      <c r="A1756" s="10">
        <v>46056</v>
      </c>
      <c r="B1756" t="s">
        <v>52</v>
      </c>
      <c r="C1756" s="1" t="s">
        <v>48</v>
      </c>
      <c r="D1756" s="3">
        <v>37</v>
      </c>
      <c r="E1756" s="3">
        <v>32</v>
      </c>
      <c r="F1756" s="3">
        <v>14.02</v>
      </c>
      <c r="G1756" s="3">
        <v>0</v>
      </c>
      <c r="H1756" s="3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 s="3">
        <v>31</v>
      </c>
      <c r="N1756" s="3">
        <v>98.45</v>
      </c>
      <c r="O1756" s="12">
        <v>29.281767955801101</v>
      </c>
    </row>
    <row r="1757" spans="1:15" hidden="1" x14ac:dyDescent="0.25">
      <c r="A1757" s="10">
        <v>46056</v>
      </c>
      <c r="B1757" t="s">
        <v>36</v>
      </c>
      <c r="C1757" s="1" t="s">
        <v>32</v>
      </c>
      <c r="D1757" s="3">
        <v>32</v>
      </c>
      <c r="E1757" s="3">
        <v>29</v>
      </c>
      <c r="F1757" s="3">
        <v>13.3</v>
      </c>
      <c r="G1757" s="3">
        <v>0</v>
      </c>
      <c r="H1757" s="3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 s="3">
        <v>30</v>
      </c>
      <c r="N1757" s="3">
        <v>97.84</v>
      </c>
      <c r="O1757" s="12">
        <v>26.282051282051281</v>
      </c>
    </row>
    <row r="1758" spans="1:15" hidden="1" x14ac:dyDescent="0.25">
      <c r="A1758" s="10">
        <v>46056</v>
      </c>
      <c r="B1758" t="s">
        <v>53</v>
      </c>
      <c r="C1758" s="1" t="s">
        <v>48</v>
      </c>
      <c r="D1758" s="3">
        <v>55</v>
      </c>
      <c r="E1758" s="3">
        <v>52</v>
      </c>
      <c r="F1758" s="3">
        <v>12.32</v>
      </c>
      <c r="G1758" s="3">
        <v>0</v>
      </c>
      <c r="H1758" s="3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 s="3">
        <v>49</v>
      </c>
      <c r="N1758" s="3">
        <v>98.5</v>
      </c>
      <c r="O1758" s="12">
        <v>23.97769516728625</v>
      </c>
    </row>
    <row r="1759" spans="1:15" hidden="1" x14ac:dyDescent="0.25">
      <c r="A1759" s="10">
        <v>46090</v>
      </c>
      <c r="B1759" t="s">
        <v>22</v>
      </c>
      <c r="C1759" s="1" t="s">
        <v>23</v>
      </c>
      <c r="D1759" s="3">
        <v>31</v>
      </c>
      <c r="E1759" s="3">
        <v>29</v>
      </c>
      <c r="F1759" s="3">
        <v>18.329999999999998</v>
      </c>
      <c r="G1759" s="3">
        <v>0</v>
      </c>
      <c r="H1759" s="3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 s="3">
        <v>28</v>
      </c>
      <c r="N1759" s="3">
        <v>99.05</v>
      </c>
      <c r="O1759" s="12">
        <v>26.621923937360179</v>
      </c>
    </row>
    <row r="1760" spans="1:15" hidden="1" x14ac:dyDescent="0.25">
      <c r="A1760" s="10">
        <v>46056</v>
      </c>
      <c r="B1760" t="s">
        <v>54</v>
      </c>
      <c r="C1760" s="1" t="s">
        <v>48</v>
      </c>
      <c r="D1760" s="3">
        <v>31</v>
      </c>
      <c r="E1760" s="3">
        <v>30</v>
      </c>
      <c r="F1760" s="3">
        <v>22.33</v>
      </c>
      <c r="G1760" s="3">
        <v>0</v>
      </c>
      <c r="H1760" s="3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 s="3">
        <v>28</v>
      </c>
      <c r="N1760" s="3">
        <v>98.53</v>
      </c>
      <c r="O1760" s="12">
        <v>31.578947368421051</v>
      </c>
    </row>
    <row r="1761" spans="1:15" hidden="1" x14ac:dyDescent="0.25">
      <c r="A1761" s="10">
        <v>46056</v>
      </c>
      <c r="B1761" t="s">
        <v>37</v>
      </c>
      <c r="C1761" s="1" t="s">
        <v>32</v>
      </c>
      <c r="D1761" s="3">
        <v>49</v>
      </c>
      <c r="E1761" s="3">
        <v>45</v>
      </c>
      <c r="F1761" s="3">
        <v>15.21</v>
      </c>
      <c r="G1761" s="3">
        <v>0</v>
      </c>
      <c r="H1761" s="3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 s="3">
        <v>44</v>
      </c>
      <c r="N1761" s="3">
        <v>100</v>
      </c>
      <c r="O1761" s="12">
        <v>25.72214580467676</v>
      </c>
    </row>
    <row r="1762" spans="1:15" hidden="1" x14ac:dyDescent="0.25">
      <c r="A1762" s="10">
        <v>46056</v>
      </c>
      <c r="B1762" t="s">
        <v>38</v>
      </c>
      <c r="C1762" s="1" t="s">
        <v>32</v>
      </c>
      <c r="D1762" s="3">
        <v>49</v>
      </c>
      <c r="E1762" s="3">
        <v>43</v>
      </c>
      <c r="F1762" s="3">
        <v>10.43</v>
      </c>
      <c r="G1762" s="3">
        <v>0</v>
      </c>
      <c r="H1762" s="3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 s="3">
        <v>43</v>
      </c>
      <c r="N1762" s="3">
        <v>94.64</v>
      </c>
      <c r="O1762" s="12">
        <v>27.52941176470588</v>
      </c>
    </row>
    <row r="1763" spans="1:15" hidden="1" x14ac:dyDescent="0.25">
      <c r="A1763" s="10">
        <v>46056</v>
      </c>
      <c r="B1763" t="s">
        <v>55</v>
      </c>
      <c r="C1763" s="1" t="s">
        <v>48</v>
      </c>
      <c r="D1763" s="3">
        <v>34</v>
      </c>
      <c r="E1763" s="3">
        <v>30</v>
      </c>
      <c r="F1763" s="3">
        <v>14.19</v>
      </c>
      <c r="G1763" s="3">
        <v>0</v>
      </c>
      <c r="H1763" s="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 s="3">
        <v>29</v>
      </c>
      <c r="N1763" s="3">
        <v>99.07</v>
      </c>
      <c r="O1763" s="12">
        <v>26.376811594202898</v>
      </c>
    </row>
    <row r="1764" spans="1:15" hidden="1" x14ac:dyDescent="0.25">
      <c r="A1764" s="10">
        <v>46056</v>
      </c>
      <c r="B1764" t="s">
        <v>39</v>
      </c>
      <c r="C1764" s="1" t="s">
        <v>32</v>
      </c>
      <c r="D1764" s="3">
        <v>0</v>
      </c>
      <c r="E1764" s="3">
        <v>0</v>
      </c>
      <c r="F1764" s="3">
        <v>0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 s="3">
        <v>0</v>
      </c>
      <c r="N1764" s="3">
        <v>100</v>
      </c>
      <c r="O1764" s="12">
        <v>0</v>
      </c>
    </row>
    <row r="1765" spans="1:15" hidden="1" x14ac:dyDescent="0.25">
      <c r="A1765" s="10">
        <v>46056</v>
      </c>
      <c r="B1765" t="s">
        <v>25</v>
      </c>
      <c r="C1765" s="1" t="s">
        <v>26</v>
      </c>
      <c r="D1765" s="3">
        <v>14</v>
      </c>
      <c r="E1765" s="3">
        <v>13</v>
      </c>
      <c r="F1765" s="3">
        <v>20.53</v>
      </c>
      <c r="G1765" s="3">
        <v>0</v>
      </c>
      <c r="H1765" s="3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 s="3">
        <v>16</v>
      </c>
      <c r="N1765" s="3">
        <v>98.48</v>
      </c>
      <c r="O1765" s="12">
        <v>27.853881278538811</v>
      </c>
    </row>
    <row r="1766" spans="1:15" hidden="1" x14ac:dyDescent="0.25">
      <c r="A1766" s="10">
        <v>46056</v>
      </c>
      <c r="B1766" t="s">
        <v>40</v>
      </c>
      <c r="C1766" s="1" t="s">
        <v>32</v>
      </c>
      <c r="D1766" s="3">
        <v>13</v>
      </c>
      <c r="E1766" s="3">
        <v>12</v>
      </c>
      <c r="F1766" s="3">
        <v>48.45</v>
      </c>
      <c r="G1766" s="3">
        <v>0</v>
      </c>
      <c r="H1766" s="3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 s="3">
        <v>11</v>
      </c>
      <c r="N1766" s="3">
        <v>95.15</v>
      </c>
      <c r="O1766" s="12">
        <v>34.131736526946113</v>
      </c>
    </row>
    <row r="1767" spans="1:15" hidden="1" x14ac:dyDescent="0.25">
      <c r="A1767" s="10">
        <v>46056</v>
      </c>
      <c r="B1767" t="s">
        <v>27</v>
      </c>
      <c r="C1767" s="1" t="s">
        <v>26</v>
      </c>
      <c r="D1767" s="3">
        <v>0</v>
      </c>
      <c r="E1767" s="3">
        <v>0</v>
      </c>
      <c r="F1767" s="3">
        <v>0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 s="3">
        <v>0</v>
      </c>
      <c r="N1767" s="3">
        <v>0</v>
      </c>
      <c r="O1767" s="12">
        <v>0</v>
      </c>
    </row>
    <row r="1768" spans="1:15" hidden="1" x14ac:dyDescent="0.25">
      <c r="A1768" s="10">
        <v>46056</v>
      </c>
      <c r="B1768" t="s">
        <v>41</v>
      </c>
      <c r="C1768" s="1" t="s">
        <v>32</v>
      </c>
      <c r="D1768" s="3">
        <v>26</v>
      </c>
      <c r="E1768" s="3">
        <v>25</v>
      </c>
      <c r="F1768" s="3">
        <v>22.08</v>
      </c>
      <c r="G1768" s="3">
        <v>0</v>
      </c>
      <c r="H1768" s="3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 s="3">
        <v>24</v>
      </c>
      <c r="N1768" s="3">
        <v>99.26</v>
      </c>
      <c r="O1768" s="12">
        <v>30.84832904884319</v>
      </c>
    </row>
    <row r="1769" spans="1:15" hidden="1" x14ac:dyDescent="0.25">
      <c r="A1769" s="10">
        <v>46056</v>
      </c>
      <c r="B1769" t="s">
        <v>56</v>
      </c>
      <c r="C1769" s="1" t="s">
        <v>48</v>
      </c>
      <c r="D1769" s="3">
        <v>43</v>
      </c>
      <c r="E1769" s="3">
        <v>37</v>
      </c>
      <c r="F1769" s="3">
        <v>17.190000000000001</v>
      </c>
      <c r="G1769" s="3">
        <v>0</v>
      </c>
      <c r="H1769" s="3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 s="3">
        <v>26</v>
      </c>
      <c r="N1769" s="3">
        <v>97.48</v>
      </c>
      <c r="O1769" s="12">
        <v>27.764705882352938</v>
      </c>
    </row>
    <row r="1770" spans="1:15" hidden="1" x14ac:dyDescent="0.25">
      <c r="A1770" s="10">
        <v>46056</v>
      </c>
      <c r="B1770" t="s">
        <v>57</v>
      </c>
      <c r="C1770" s="1" t="s">
        <v>48</v>
      </c>
      <c r="D1770" s="3">
        <v>33</v>
      </c>
      <c r="E1770" s="3">
        <v>32</v>
      </c>
      <c r="F1770" s="3">
        <v>19.14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 s="3">
        <v>33</v>
      </c>
      <c r="N1770" s="3">
        <v>99.34</v>
      </c>
      <c r="O1770" s="12">
        <v>30.04291845493562</v>
      </c>
    </row>
    <row r="1771" spans="1:15" hidden="1" x14ac:dyDescent="0.25">
      <c r="A1771" s="10">
        <v>46056</v>
      </c>
      <c r="B1771" t="s">
        <v>42</v>
      </c>
      <c r="C1771" s="1" t="s">
        <v>32</v>
      </c>
      <c r="D1771" s="3">
        <v>12</v>
      </c>
      <c r="E1771" s="3">
        <v>8</v>
      </c>
      <c r="F1771" s="3">
        <v>12.11</v>
      </c>
      <c r="G1771" s="3">
        <v>0</v>
      </c>
      <c r="H1771" s="3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 s="3">
        <v>8</v>
      </c>
      <c r="N1771" s="3">
        <v>96.3</v>
      </c>
      <c r="O1771" s="12">
        <v>24.29378531073446</v>
      </c>
    </row>
    <row r="1772" spans="1:15" hidden="1" x14ac:dyDescent="0.25">
      <c r="A1772" s="10">
        <v>46056</v>
      </c>
      <c r="B1772" t="s">
        <v>62</v>
      </c>
      <c r="C1772" s="1" t="s">
        <v>23</v>
      </c>
      <c r="D1772" s="3">
        <v>25</v>
      </c>
      <c r="E1772" s="3">
        <v>24</v>
      </c>
      <c r="F1772" s="3">
        <v>27.39</v>
      </c>
      <c r="G1772" s="3">
        <v>0</v>
      </c>
      <c r="H1772" s="3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 s="3">
        <v>24</v>
      </c>
      <c r="N1772" s="3">
        <v>100</v>
      </c>
      <c r="O1772" s="12">
        <v>26.543209876543209</v>
      </c>
    </row>
    <row r="1773" spans="1:15" hidden="1" x14ac:dyDescent="0.25">
      <c r="A1773" s="10">
        <v>46056</v>
      </c>
      <c r="B1773" t="s">
        <v>19</v>
      </c>
      <c r="C1773" s="1" t="s">
        <v>16</v>
      </c>
      <c r="D1773" s="3">
        <v>5</v>
      </c>
      <c r="E1773" s="3">
        <v>4</v>
      </c>
      <c r="F1773" s="3">
        <v>65.099999999999994</v>
      </c>
      <c r="G1773" s="3">
        <v>0</v>
      </c>
      <c r="H1773" s="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 s="3">
        <v>5</v>
      </c>
      <c r="N1773" s="3">
        <v>100</v>
      </c>
      <c r="O1773" s="12">
        <v>35.483870967741943</v>
      </c>
    </row>
    <row r="1774" spans="1:15" hidden="1" x14ac:dyDescent="0.25">
      <c r="A1774" s="10">
        <v>46056</v>
      </c>
      <c r="B1774" t="s">
        <v>43</v>
      </c>
      <c r="C1774" s="1" t="s">
        <v>32</v>
      </c>
      <c r="D1774" s="3">
        <v>30</v>
      </c>
      <c r="E1774" s="3">
        <v>27</v>
      </c>
      <c r="F1774" s="3">
        <v>20.57</v>
      </c>
      <c r="G1774" s="3">
        <v>0</v>
      </c>
      <c r="H1774" s="3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 s="3">
        <v>24</v>
      </c>
      <c r="N1774" s="3">
        <v>99.27</v>
      </c>
      <c r="O1774" s="12">
        <v>31.163708086785011</v>
      </c>
    </row>
    <row r="1775" spans="1:15" hidden="1" x14ac:dyDescent="0.25">
      <c r="A1775" s="10">
        <v>46056</v>
      </c>
      <c r="B1775" t="s">
        <v>44</v>
      </c>
      <c r="C1775" s="1" t="s">
        <v>32</v>
      </c>
      <c r="D1775" s="3">
        <v>46</v>
      </c>
      <c r="E1775" s="3">
        <v>44</v>
      </c>
      <c r="F1775" s="3">
        <v>16.489999999999998</v>
      </c>
      <c r="G1775" s="3">
        <v>0</v>
      </c>
      <c r="H1775" s="3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 s="3">
        <v>38</v>
      </c>
      <c r="N1775" s="3">
        <v>94.16</v>
      </c>
      <c r="O1775" s="12">
        <v>27.038626609442058</v>
      </c>
    </row>
    <row r="1776" spans="1:15" hidden="1" x14ac:dyDescent="0.25">
      <c r="A1776" s="10">
        <v>46056</v>
      </c>
      <c r="B1776" t="s">
        <v>20</v>
      </c>
      <c r="C1776" s="1" t="s">
        <v>16</v>
      </c>
      <c r="D1776" s="3">
        <v>12</v>
      </c>
      <c r="E1776" s="3">
        <v>11</v>
      </c>
      <c r="F1776" s="3">
        <v>56.49</v>
      </c>
      <c r="G1776" s="3">
        <v>0</v>
      </c>
      <c r="H1776" s="3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 s="3">
        <v>5</v>
      </c>
      <c r="N1776" s="3">
        <v>93.75</v>
      </c>
      <c r="O1776" s="12">
        <v>19.31818181818182</v>
      </c>
    </row>
    <row r="1777" spans="1:15" hidden="1" x14ac:dyDescent="0.25">
      <c r="A1777" s="10">
        <v>46056</v>
      </c>
      <c r="B1777" t="s">
        <v>28</v>
      </c>
      <c r="C1777" s="1" t="s">
        <v>26</v>
      </c>
      <c r="D1777" s="3">
        <v>0</v>
      </c>
      <c r="E1777" s="3">
        <v>0</v>
      </c>
      <c r="F1777" s="3">
        <v>0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 s="3">
        <v>0</v>
      </c>
      <c r="N1777" s="3">
        <v>0</v>
      </c>
      <c r="O1777" s="12">
        <v>0</v>
      </c>
    </row>
    <row r="1778" spans="1:15" hidden="1" x14ac:dyDescent="0.25">
      <c r="A1778" s="10">
        <v>46056</v>
      </c>
      <c r="B1778" t="s">
        <v>58</v>
      </c>
      <c r="C1778" s="1" t="s">
        <v>48</v>
      </c>
      <c r="D1778" s="3">
        <v>32</v>
      </c>
      <c r="E1778" s="3">
        <v>32</v>
      </c>
      <c r="F1778" s="3">
        <v>20.25</v>
      </c>
      <c r="G1778" s="3">
        <v>0</v>
      </c>
      <c r="H1778" s="3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 s="3">
        <v>26</v>
      </c>
      <c r="N1778" s="3">
        <v>97.92</v>
      </c>
      <c r="O1778" s="12">
        <v>32.87671232876712</v>
      </c>
    </row>
    <row r="1779" spans="1:15" hidden="1" x14ac:dyDescent="0.25">
      <c r="A1779" s="10">
        <v>46056</v>
      </c>
      <c r="B1779" t="s">
        <v>29</v>
      </c>
      <c r="C1779" s="1" t="s">
        <v>26</v>
      </c>
      <c r="D1779" s="3">
        <v>0</v>
      </c>
      <c r="E1779" s="3">
        <v>0</v>
      </c>
      <c r="F1779" s="3">
        <v>0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 s="3">
        <v>0</v>
      </c>
      <c r="N1779" s="3">
        <v>0</v>
      </c>
      <c r="O1779" s="12">
        <v>0</v>
      </c>
    </row>
    <row r="1780" spans="1:15" hidden="1" x14ac:dyDescent="0.25">
      <c r="A1780" s="10">
        <v>46056</v>
      </c>
      <c r="B1780" t="s">
        <v>30</v>
      </c>
      <c r="C1780" s="1" t="s">
        <v>26</v>
      </c>
      <c r="D1780" s="3">
        <v>0</v>
      </c>
      <c r="E1780" s="3">
        <v>0</v>
      </c>
      <c r="F1780" s="3">
        <v>0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 s="3">
        <v>0</v>
      </c>
      <c r="N1780" s="3">
        <v>0</v>
      </c>
      <c r="O1780" s="12">
        <v>0</v>
      </c>
    </row>
    <row r="1781" spans="1:15" hidden="1" x14ac:dyDescent="0.25">
      <c r="A1781" s="10">
        <v>46056</v>
      </c>
      <c r="B1781" t="s">
        <v>21</v>
      </c>
      <c r="C1781" s="1" t="s">
        <v>16</v>
      </c>
      <c r="D1781" s="3">
        <v>0</v>
      </c>
      <c r="E1781" s="3">
        <v>0</v>
      </c>
      <c r="F1781" s="3">
        <v>0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 s="3">
        <v>0</v>
      </c>
      <c r="N1781" s="3">
        <v>0</v>
      </c>
      <c r="O1781" s="12">
        <v>0</v>
      </c>
    </row>
    <row r="1782" spans="1:15" hidden="1" x14ac:dyDescent="0.25">
      <c r="A1782" s="10">
        <v>46056</v>
      </c>
      <c r="B1782" t="s">
        <v>63</v>
      </c>
      <c r="C1782" s="1" t="s">
        <v>23</v>
      </c>
      <c r="D1782" s="3">
        <v>20</v>
      </c>
      <c r="E1782" s="3">
        <v>17</v>
      </c>
      <c r="F1782" s="3">
        <v>30</v>
      </c>
      <c r="G1782" s="3">
        <v>0</v>
      </c>
      <c r="H1782" s="3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 s="3">
        <v>17</v>
      </c>
      <c r="N1782" s="3">
        <v>98.51</v>
      </c>
      <c r="O1782" s="12">
        <v>29.710144927536231</v>
      </c>
    </row>
    <row r="1783" spans="1:15" hidden="1" x14ac:dyDescent="0.25">
      <c r="A1783" s="10">
        <v>46056</v>
      </c>
      <c r="B1783" t="s">
        <v>45</v>
      </c>
      <c r="C1783" s="1" t="s">
        <v>32</v>
      </c>
      <c r="D1783" s="3">
        <v>36</v>
      </c>
      <c r="E1783" s="3">
        <v>33</v>
      </c>
      <c r="F1783" s="3">
        <v>12.38</v>
      </c>
      <c r="G1783" s="3">
        <v>0</v>
      </c>
      <c r="H1783" s="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 s="3">
        <v>32</v>
      </c>
      <c r="N1783" s="3">
        <v>98.81</v>
      </c>
      <c r="O1783" s="12">
        <v>30.712979890310791</v>
      </c>
    </row>
    <row r="1784" spans="1:15" hidden="1" x14ac:dyDescent="0.25">
      <c r="A1784" s="10">
        <v>46056</v>
      </c>
      <c r="B1784" t="s">
        <v>64</v>
      </c>
      <c r="C1784" s="1" t="s">
        <v>23</v>
      </c>
      <c r="D1784" s="3">
        <v>13</v>
      </c>
      <c r="E1784" s="3">
        <v>12</v>
      </c>
      <c r="F1784" s="3">
        <v>45.3</v>
      </c>
      <c r="G1784" s="3">
        <v>0</v>
      </c>
      <c r="H1784" s="3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 s="3">
        <v>12</v>
      </c>
      <c r="N1784" s="3">
        <v>98.48</v>
      </c>
      <c r="O1784" s="12">
        <v>29.35323383084577</v>
      </c>
    </row>
    <row r="1785" spans="1:15" hidden="1" x14ac:dyDescent="0.25">
      <c r="A1785" s="10">
        <v>46056</v>
      </c>
      <c r="B1785" t="s">
        <v>46</v>
      </c>
      <c r="C1785" s="1" t="s">
        <v>32</v>
      </c>
      <c r="D1785" s="3">
        <v>37</v>
      </c>
      <c r="E1785" s="3">
        <v>34</v>
      </c>
      <c r="F1785" s="3">
        <v>15.41</v>
      </c>
      <c r="G1785" s="3">
        <v>0</v>
      </c>
      <c r="H1785" s="3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 s="3">
        <v>32</v>
      </c>
      <c r="N1785" s="3">
        <v>98.56</v>
      </c>
      <c r="O1785" s="12">
        <v>29.373650107991359</v>
      </c>
    </row>
    <row r="1786" spans="1:15" hidden="1" x14ac:dyDescent="0.25">
      <c r="A1786" s="10">
        <v>46057</v>
      </c>
      <c r="B1786" t="s">
        <v>47</v>
      </c>
      <c r="C1786" s="1" t="s">
        <v>48</v>
      </c>
      <c r="D1786" s="3">
        <v>26</v>
      </c>
      <c r="E1786" s="3">
        <v>26</v>
      </c>
      <c r="F1786" s="3">
        <v>21.59</v>
      </c>
      <c r="G1786" s="3">
        <v>0</v>
      </c>
      <c r="H1786" s="3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 s="3">
        <v>24</v>
      </c>
      <c r="N1786" s="3">
        <v>98.32</v>
      </c>
      <c r="O1786" s="12">
        <v>30.303030303030301</v>
      </c>
    </row>
    <row r="1787" spans="1:15" hidden="1" x14ac:dyDescent="0.25">
      <c r="A1787" s="10">
        <v>46057</v>
      </c>
      <c r="B1787" t="s">
        <v>31</v>
      </c>
      <c r="C1787" s="1" t="s">
        <v>32</v>
      </c>
      <c r="D1787" s="3">
        <v>0</v>
      </c>
      <c r="E1787" s="3">
        <v>0</v>
      </c>
      <c r="F1787" s="3">
        <v>0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 s="3">
        <v>28</v>
      </c>
      <c r="N1787" s="3">
        <v>98.68</v>
      </c>
      <c r="O1787" s="12">
        <v>26.219512195121951</v>
      </c>
    </row>
    <row r="1788" spans="1:15" hidden="1" x14ac:dyDescent="0.25">
      <c r="A1788" s="10">
        <v>46057</v>
      </c>
      <c r="B1788" t="s">
        <v>59</v>
      </c>
      <c r="C1788" s="1" t="s">
        <v>23</v>
      </c>
      <c r="D1788" s="3">
        <v>25</v>
      </c>
      <c r="E1788" s="3">
        <v>24</v>
      </c>
      <c r="F1788" s="3">
        <v>29.02</v>
      </c>
      <c r="G1788" s="3">
        <v>0</v>
      </c>
      <c r="H1788" s="3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 s="3">
        <v>25</v>
      </c>
      <c r="N1788" s="3">
        <v>100</v>
      </c>
      <c r="O1788" s="12">
        <v>31.74224343675418</v>
      </c>
    </row>
    <row r="1789" spans="1:15" hidden="1" x14ac:dyDescent="0.25">
      <c r="A1789" s="10">
        <v>46057</v>
      </c>
      <c r="B1789" t="s">
        <v>33</v>
      </c>
      <c r="C1789" s="1" t="s">
        <v>32</v>
      </c>
      <c r="D1789" s="3">
        <v>39</v>
      </c>
      <c r="E1789" s="3">
        <v>38</v>
      </c>
      <c r="F1789" s="3">
        <v>18.2</v>
      </c>
      <c r="G1789" s="3">
        <v>0</v>
      </c>
      <c r="H1789" s="3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 s="3">
        <v>32</v>
      </c>
      <c r="N1789" s="3">
        <v>98.25</v>
      </c>
      <c r="O1789" s="12">
        <v>25.83518930957684</v>
      </c>
    </row>
    <row r="1790" spans="1:15" hidden="1" x14ac:dyDescent="0.25">
      <c r="A1790" s="10">
        <v>46057</v>
      </c>
      <c r="B1790" t="s">
        <v>15</v>
      </c>
      <c r="C1790" s="1" t="s">
        <v>16</v>
      </c>
      <c r="D1790" s="3">
        <v>8</v>
      </c>
      <c r="E1790" s="3">
        <v>8</v>
      </c>
      <c r="F1790" s="3">
        <v>40.17</v>
      </c>
      <c r="G1790" s="3">
        <v>0</v>
      </c>
      <c r="H1790" s="3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 s="3">
        <v>8</v>
      </c>
      <c r="N1790" s="3">
        <v>97.5</v>
      </c>
      <c r="O1790" s="12">
        <v>30.075187969924809</v>
      </c>
    </row>
    <row r="1791" spans="1:15" hidden="1" x14ac:dyDescent="0.25">
      <c r="A1791" s="10">
        <v>46057</v>
      </c>
      <c r="B1791" t="s">
        <v>49</v>
      </c>
      <c r="C1791" s="1" t="s">
        <v>48</v>
      </c>
      <c r="D1791" s="3">
        <v>37</v>
      </c>
      <c r="E1791" s="3">
        <v>34</v>
      </c>
      <c r="F1791" s="3">
        <v>17.100000000000001</v>
      </c>
      <c r="G1791" s="3">
        <v>0</v>
      </c>
      <c r="H1791" s="3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 s="3">
        <v>32</v>
      </c>
      <c r="N1791" s="3">
        <v>100</v>
      </c>
      <c r="O1791" s="12">
        <v>29.71311475409836</v>
      </c>
    </row>
    <row r="1792" spans="1:15" hidden="1" x14ac:dyDescent="0.25">
      <c r="A1792" s="10">
        <v>46057</v>
      </c>
      <c r="B1792" t="s">
        <v>50</v>
      </c>
      <c r="C1792" s="1" t="s">
        <v>48</v>
      </c>
      <c r="D1792" s="3">
        <v>32</v>
      </c>
      <c r="E1792" s="3">
        <v>31</v>
      </c>
      <c r="F1792" s="3">
        <v>22.11</v>
      </c>
      <c r="G1792" s="3">
        <v>0</v>
      </c>
      <c r="H1792" s="3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 s="3">
        <v>31</v>
      </c>
      <c r="N1792" s="3">
        <v>99.22</v>
      </c>
      <c r="O1792" s="12">
        <v>35.256410256410263</v>
      </c>
    </row>
    <row r="1793" spans="1:15" hidden="1" x14ac:dyDescent="0.25">
      <c r="A1793" s="10">
        <v>46057</v>
      </c>
      <c r="B1793" t="s">
        <v>17</v>
      </c>
      <c r="C1793" s="1" t="s">
        <v>16</v>
      </c>
      <c r="D1793" s="3">
        <v>0</v>
      </c>
      <c r="E1793" s="3">
        <v>0</v>
      </c>
      <c r="F1793" s="3">
        <v>0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 s="3">
        <v>0</v>
      </c>
      <c r="N1793" s="3">
        <v>0</v>
      </c>
      <c r="O1793" s="12">
        <v>0</v>
      </c>
    </row>
    <row r="1794" spans="1:15" hidden="1" x14ac:dyDescent="0.25">
      <c r="A1794" s="10">
        <v>46057</v>
      </c>
      <c r="B1794" t="s">
        <v>60</v>
      </c>
      <c r="C1794" s="1" t="s">
        <v>23</v>
      </c>
      <c r="D1794" s="3">
        <v>16</v>
      </c>
      <c r="E1794" s="3">
        <v>16</v>
      </c>
      <c r="F1794" s="3">
        <v>28.51</v>
      </c>
      <c r="G1794" s="3">
        <v>0</v>
      </c>
      <c r="H1794" s="3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 s="3">
        <v>16</v>
      </c>
      <c r="N1794" s="3">
        <v>98.75</v>
      </c>
      <c r="O1794" s="12">
        <v>24.32432432432433</v>
      </c>
    </row>
    <row r="1795" spans="1:15" hidden="1" x14ac:dyDescent="0.25">
      <c r="A1795" s="10">
        <v>46057</v>
      </c>
      <c r="B1795" t="s">
        <v>34</v>
      </c>
      <c r="C1795" s="1" t="s">
        <v>32</v>
      </c>
      <c r="D1795" s="3">
        <v>53</v>
      </c>
      <c r="E1795" s="3">
        <v>48</v>
      </c>
      <c r="F1795" s="3">
        <v>11.55</v>
      </c>
      <c r="G1795" s="3">
        <v>0</v>
      </c>
      <c r="H1795" s="3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 s="3">
        <v>43</v>
      </c>
      <c r="N1795" s="3">
        <v>93.48</v>
      </c>
      <c r="O1795" s="12">
        <v>31.52804642166344</v>
      </c>
    </row>
    <row r="1796" spans="1:15" hidden="1" x14ac:dyDescent="0.25">
      <c r="A1796" s="10">
        <v>46057</v>
      </c>
      <c r="B1796" t="s">
        <v>51</v>
      </c>
      <c r="C1796" s="1" t="s">
        <v>48</v>
      </c>
      <c r="D1796" s="3">
        <v>46</v>
      </c>
      <c r="E1796" s="3">
        <v>41</v>
      </c>
      <c r="F1796" s="3">
        <v>15.37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 s="3">
        <v>38</v>
      </c>
      <c r="N1796" s="3">
        <v>99.16</v>
      </c>
      <c r="O1796" s="12">
        <v>26.13908872901678</v>
      </c>
    </row>
    <row r="1797" spans="1:15" hidden="1" x14ac:dyDescent="0.25">
      <c r="A1797" s="10">
        <v>46057</v>
      </c>
      <c r="B1797" t="s">
        <v>61</v>
      </c>
      <c r="C1797" s="1" t="s">
        <v>23</v>
      </c>
      <c r="D1797" s="3">
        <v>12</v>
      </c>
      <c r="E1797" s="3">
        <v>12</v>
      </c>
      <c r="F1797" s="3">
        <v>32.35</v>
      </c>
      <c r="G1797" s="3">
        <v>0</v>
      </c>
      <c r="H1797" s="3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 s="3">
        <v>18</v>
      </c>
      <c r="N1797" s="3">
        <v>100</v>
      </c>
      <c r="O1797" s="12">
        <v>31.089743589743591</v>
      </c>
    </row>
    <row r="1798" spans="1:15" hidden="1" x14ac:dyDescent="0.25">
      <c r="A1798" s="10">
        <v>46057</v>
      </c>
      <c r="B1798" t="s">
        <v>35</v>
      </c>
      <c r="C1798" s="1" t="s">
        <v>32</v>
      </c>
      <c r="D1798" s="3">
        <v>34</v>
      </c>
      <c r="E1798" s="3">
        <v>33</v>
      </c>
      <c r="F1798" s="3">
        <v>20.39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 s="3">
        <v>33</v>
      </c>
      <c r="N1798" s="3">
        <v>98.11</v>
      </c>
      <c r="O1798" s="12">
        <v>33.033707865168537</v>
      </c>
    </row>
    <row r="1799" spans="1:15" hidden="1" x14ac:dyDescent="0.25">
      <c r="A1799" s="10">
        <v>46057</v>
      </c>
      <c r="B1799" t="s">
        <v>18</v>
      </c>
      <c r="C1799" s="1" t="s">
        <v>16</v>
      </c>
      <c r="D1799" s="3">
        <v>5</v>
      </c>
      <c r="E1799" s="3">
        <v>5</v>
      </c>
      <c r="F1799" s="3">
        <v>60.41</v>
      </c>
      <c r="G1799" s="3">
        <v>0</v>
      </c>
      <c r="H1799" s="3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 s="3">
        <v>3</v>
      </c>
      <c r="N1799" s="3">
        <v>78.95</v>
      </c>
      <c r="O1799" s="12">
        <v>38.983050847457633</v>
      </c>
    </row>
    <row r="1800" spans="1:15" hidden="1" x14ac:dyDescent="0.25">
      <c r="A1800" s="10">
        <v>46057</v>
      </c>
      <c r="B1800" t="s">
        <v>52</v>
      </c>
      <c r="C1800" s="1" t="s">
        <v>48</v>
      </c>
      <c r="D1800" s="3">
        <v>24</v>
      </c>
      <c r="E1800" s="3">
        <v>23</v>
      </c>
      <c r="F1800" s="3">
        <v>15.27</v>
      </c>
      <c r="G1800" s="3">
        <v>0</v>
      </c>
      <c r="H1800" s="3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 s="3">
        <v>20</v>
      </c>
      <c r="N1800" s="3">
        <v>98.45</v>
      </c>
      <c r="O1800" s="12">
        <v>29.281767955801101</v>
      </c>
    </row>
    <row r="1801" spans="1:15" hidden="1" x14ac:dyDescent="0.25">
      <c r="A1801" s="10">
        <v>46057</v>
      </c>
      <c r="B1801" t="s">
        <v>36</v>
      </c>
      <c r="C1801" s="1" t="s">
        <v>32</v>
      </c>
      <c r="D1801" s="3">
        <v>27</v>
      </c>
      <c r="E1801" s="3">
        <v>27</v>
      </c>
      <c r="F1801" s="3">
        <v>19.13</v>
      </c>
      <c r="G1801" s="3">
        <v>0</v>
      </c>
      <c r="H1801" s="3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 s="3">
        <v>27</v>
      </c>
      <c r="N1801" s="3">
        <v>97.84</v>
      </c>
      <c r="O1801" s="12">
        <v>26.282051282051281</v>
      </c>
    </row>
    <row r="1802" spans="1:15" hidden="1" x14ac:dyDescent="0.25">
      <c r="A1802" s="10">
        <v>46057</v>
      </c>
      <c r="B1802" t="s">
        <v>53</v>
      </c>
      <c r="C1802" s="1" t="s">
        <v>48</v>
      </c>
      <c r="D1802" s="3">
        <v>51</v>
      </c>
      <c r="E1802" s="3">
        <v>48</v>
      </c>
      <c r="F1802" s="3">
        <v>15.21</v>
      </c>
      <c r="G1802" s="3">
        <v>0</v>
      </c>
      <c r="H1802" s="3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 s="3">
        <v>47</v>
      </c>
      <c r="N1802" s="3">
        <v>98.5</v>
      </c>
      <c r="O1802" s="12">
        <v>23.97769516728625</v>
      </c>
    </row>
    <row r="1803" spans="1:15" hidden="1" x14ac:dyDescent="0.25">
      <c r="A1803" s="10">
        <v>46091</v>
      </c>
      <c r="B1803" t="s">
        <v>22</v>
      </c>
      <c r="C1803" s="1" t="s">
        <v>23</v>
      </c>
      <c r="D1803" s="3">
        <v>13</v>
      </c>
      <c r="E1803" s="3">
        <v>11</v>
      </c>
      <c r="F1803" s="3">
        <v>17.059999999999999</v>
      </c>
      <c r="G1803" s="3">
        <v>0</v>
      </c>
      <c r="H1803" s="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 s="3">
        <v>15</v>
      </c>
      <c r="N1803" s="3">
        <v>99.05</v>
      </c>
      <c r="O1803" s="12">
        <v>26.621923937360179</v>
      </c>
    </row>
    <row r="1804" spans="1:15" hidden="1" x14ac:dyDescent="0.25">
      <c r="A1804" s="10">
        <v>46057</v>
      </c>
      <c r="B1804" t="s">
        <v>54</v>
      </c>
      <c r="C1804" s="1" t="s">
        <v>48</v>
      </c>
      <c r="D1804" s="3">
        <v>33</v>
      </c>
      <c r="E1804" s="3">
        <v>32</v>
      </c>
      <c r="F1804" s="3">
        <v>21.57</v>
      </c>
      <c r="G1804" s="3">
        <v>0</v>
      </c>
      <c r="H1804" s="3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 s="3">
        <v>30</v>
      </c>
      <c r="N1804" s="3">
        <v>98.53</v>
      </c>
      <c r="O1804" s="12">
        <v>31.578947368421051</v>
      </c>
    </row>
    <row r="1805" spans="1:15" hidden="1" x14ac:dyDescent="0.25">
      <c r="A1805" s="10">
        <v>46057</v>
      </c>
      <c r="B1805" t="s">
        <v>37</v>
      </c>
      <c r="C1805" s="1" t="s">
        <v>32</v>
      </c>
      <c r="D1805" s="3">
        <v>57</v>
      </c>
      <c r="E1805" s="3">
        <v>53</v>
      </c>
      <c r="F1805" s="3">
        <v>11.55</v>
      </c>
      <c r="G1805" s="3">
        <v>0</v>
      </c>
      <c r="H1805" s="3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 s="3">
        <v>55</v>
      </c>
      <c r="N1805" s="3">
        <v>100</v>
      </c>
      <c r="O1805" s="12">
        <v>25.72214580467676</v>
      </c>
    </row>
    <row r="1806" spans="1:15" hidden="1" x14ac:dyDescent="0.25">
      <c r="A1806" s="10">
        <v>46057</v>
      </c>
      <c r="B1806" t="s">
        <v>38</v>
      </c>
      <c r="C1806" s="1" t="s">
        <v>32</v>
      </c>
      <c r="D1806" s="3">
        <v>50</v>
      </c>
      <c r="E1806" s="3">
        <v>46</v>
      </c>
      <c r="F1806" s="3">
        <v>10.35</v>
      </c>
      <c r="G1806" s="3">
        <v>0</v>
      </c>
      <c r="H1806" s="3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 s="3">
        <v>41</v>
      </c>
      <c r="N1806" s="3">
        <v>94.64</v>
      </c>
      <c r="O1806" s="12">
        <v>27.52941176470588</v>
      </c>
    </row>
    <row r="1807" spans="1:15" hidden="1" x14ac:dyDescent="0.25">
      <c r="A1807" s="10">
        <v>46057</v>
      </c>
      <c r="B1807" t="s">
        <v>55</v>
      </c>
      <c r="C1807" s="1" t="s">
        <v>48</v>
      </c>
      <c r="D1807" s="3">
        <v>41</v>
      </c>
      <c r="E1807" s="3">
        <v>33</v>
      </c>
      <c r="F1807" s="3">
        <v>13.59</v>
      </c>
      <c r="G1807" s="3">
        <v>0</v>
      </c>
      <c r="H1807" s="3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 s="3">
        <v>31</v>
      </c>
      <c r="N1807" s="3">
        <v>99.07</v>
      </c>
      <c r="O1807" s="12">
        <v>26.376811594202898</v>
      </c>
    </row>
    <row r="1808" spans="1:15" hidden="1" x14ac:dyDescent="0.25">
      <c r="A1808" s="10">
        <v>46057</v>
      </c>
      <c r="B1808" t="s">
        <v>39</v>
      </c>
      <c r="C1808" s="1" t="s">
        <v>32</v>
      </c>
      <c r="D1808" s="3">
        <v>0</v>
      </c>
      <c r="E1808" s="3">
        <v>0</v>
      </c>
      <c r="F1808" s="3">
        <v>0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 s="3">
        <v>0</v>
      </c>
      <c r="N1808" s="3">
        <v>100</v>
      </c>
      <c r="O1808" s="12">
        <v>0</v>
      </c>
    </row>
    <row r="1809" spans="1:15" hidden="1" x14ac:dyDescent="0.25">
      <c r="A1809" s="10">
        <v>46057</v>
      </c>
      <c r="B1809" t="s">
        <v>25</v>
      </c>
      <c r="C1809" s="1" t="s">
        <v>26</v>
      </c>
      <c r="D1809" s="3">
        <v>17</v>
      </c>
      <c r="E1809" s="3">
        <v>17</v>
      </c>
      <c r="F1809" s="3">
        <v>30.12</v>
      </c>
      <c r="G1809" s="3">
        <v>0</v>
      </c>
      <c r="H1809" s="3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 s="3">
        <v>15</v>
      </c>
      <c r="N1809" s="3">
        <v>98.48</v>
      </c>
      <c r="O1809" s="12">
        <v>27.853881278538811</v>
      </c>
    </row>
    <row r="1810" spans="1:15" hidden="1" x14ac:dyDescent="0.25">
      <c r="A1810" s="10">
        <v>46057</v>
      </c>
      <c r="B1810" t="s">
        <v>40</v>
      </c>
      <c r="C1810" s="1" t="s">
        <v>32</v>
      </c>
      <c r="D1810" s="3">
        <v>33</v>
      </c>
      <c r="E1810" s="3">
        <v>31</v>
      </c>
      <c r="F1810" s="3">
        <v>18.399999999999999</v>
      </c>
      <c r="G1810" s="3">
        <v>0</v>
      </c>
      <c r="H1810" s="3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 s="3">
        <v>30</v>
      </c>
      <c r="N1810" s="3">
        <v>95.15</v>
      </c>
      <c r="O1810" s="12">
        <v>34.131736526946113</v>
      </c>
    </row>
    <row r="1811" spans="1:15" hidden="1" x14ac:dyDescent="0.25">
      <c r="A1811" s="10">
        <v>46057</v>
      </c>
      <c r="B1811" t="s">
        <v>27</v>
      </c>
      <c r="C1811" s="1" t="s">
        <v>26</v>
      </c>
      <c r="D1811" s="3">
        <v>0</v>
      </c>
      <c r="E1811" s="3">
        <v>0</v>
      </c>
      <c r="F1811" s="3">
        <v>0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 s="3">
        <v>0</v>
      </c>
      <c r="N1811" s="3">
        <v>0</v>
      </c>
      <c r="O1811" s="12">
        <v>0</v>
      </c>
    </row>
    <row r="1812" spans="1:15" hidden="1" x14ac:dyDescent="0.25">
      <c r="A1812" s="10">
        <v>46057</v>
      </c>
      <c r="B1812" t="s">
        <v>41</v>
      </c>
      <c r="C1812" s="1" t="s">
        <v>32</v>
      </c>
      <c r="D1812" s="3">
        <v>29</v>
      </c>
      <c r="E1812" s="3">
        <v>26</v>
      </c>
      <c r="F1812" s="3">
        <v>23.36</v>
      </c>
      <c r="G1812" s="3">
        <v>0</v>
      </c>
      <c r="H1812" s="3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 s="3">
        <v>25</v>
      </c>
      <c r="N1812" s="3">
        <v>99.26</v>
      </c>
      <c r="O1812" s="12">
        <v>30.84832904884319</v>
      </c>
    </row>
    <row r="1813" spans="1:15" hidden="1" x14ac:dyDescent="0.25">
      <c r="A1813" s="10">
        <v>46057</v>
      </c>
      <c r="B1813" t="s">
        <v>56</v>
      </c>
      <c r="C1813" s="1" t="s">
        <v>48</v>
      </c>
      <c r="D1813" s="3">
        <v>33</v>
      </c>
      <c r="E1813" s="3">
        <v>26</v>
      </c>
      <c r="F1813" s="3">
        <v>17.239999999999998</v>
      </c>
      <c r="G1813" s="3">
        <v>0</v>
      </c>
      <c r="H1813" s="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 s="3">
        <v>27</v>
      </c>
      <c r="N1813" s="3">
        <v>97.48</v>
      </c>
      <c r="O1813" s="12">
        <v>27.764705882352938</v>
      </c>
    </row>
    <row r="1814" spans="1:15" hidden="1" x14ac:dyDescent="0.25">
      <c r="A1814" s="10">
        <v>46057</v>
      </c>
      <c r="B1814" t="s">
        <v>57</v>
      </c>
      <c r="C1814" s="1" t="s">
        <v>48</v>
      </c>
      <c r="D1814" s="3">
        <v>44</v>
      </c>
      <c r="E1814" s="3">
        <v>42</v>
      </c>
      <c r="F1814" s="3">
        <v>16.54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 s="3">
        <v>38</v>
      </c>
      <c r="N1814" s="3">
        <v>99.34</v>
      </c>
      <c r="O1814" s="12">
        <v>30.04291845493562</v>
      </c>
    </row>
    <row r="1815" spans="1:15" hidden="1" x14ac:dyDescent="0.25">
      <c r="A1815" s="10">
        <v>46057</v>
      </c>
      <c r="B1815" t="s">
        <v>42</v>
      </c>
      <c r="C1815" s="1" t="s">
        <v>32</v>
      </c>
      <c r="D1815" s="3">
        <v>40</v>
      </c>
      <c r="E1815" s="3">
        <v>34</v>
      </c>
      <c r="F1815" s="3">
        <v>14.04</v>
      </c>
      <c r="G1815" s="3">
        <v>0</v>
      </c>
      <c r="H1815" s="3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 s="3">
        <v>26</v>
      </c>
      <c r="N1815" s="3">
        <v>96.3</v>
      </c>
      <c r="O1815" s="12">
        <v>24.29378531073446</v>
      </c>
    </row>
    <row r="1816" spans="1:15" hidden="1" x14ac:dyDescent="0.25">
      <c r="A1816" s="10">
        <v>46057</v>
      </c>
      <c r="B1816" t="s">
        <v>62</v>
      </c>
      <c r="C1816" s="1" t="s">
        <v>23</v>
      </c>
      <c r="D1816" s="3">
        <v>24</v>
      </c>
      <c r="E1816" s="3">
        <v>23</v>
      </c>
      <c r="F1816" s="3">
        <v>26.48</v>
      </c>
      <c r="G1816" s="3">
        <v>0</v>
      </c>
      <c r="H1816" s="3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 s="3">
        <v>21</v>
      </c>
      <c r="N1816" s="3">
        <v>100</v>
      </c>
      <c r="O1816" s="12">
        <v>26.543209876543209</v>
      </c>
    </row>
    <row r="1817" spans="1:15" hidden="1" x14ac:dyDescent="0.25">
      <c r="A1817" s="10">
        <v>46057</v>
      </c>
      <c r="B1817" t="s">
        <v>19</v>
      </c>
      <c r="C1817" s="1" t="s">
        <v>16</v>
      </c>
      <c r="D1817" s="3">
        <v>8</v>
      </c>
      <c r="E1817" s="3">
        <v>8</v>
      </c>
      <c r="F1817" s="3">
        <v>45.17</v>
      </c>
      <c r="G1817" s="3">
        <v>0</v>
      </c>
      <c r="H1817" s="3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 s="3">
        <v>6</v>
      </c>
      <c r="N1817" s="3">
        <v>100</v>
      </c>
      <c r="O1817" s="12">
        <v>35.483870967741943</v>
      </c>
    </row>
    <row r="1818" spans="1:15" hidden="1" x14ac:dyDescent="0.25">
      <c r="A1818" s="10">
        <v>46057</v>
      </c>
      <c r="B1818" t="s">
        <v>43</v>
      </c>
      <c r="C1818" s="1" t="s">
        <v>32</v>
      </c>
      <c r="D1818" s="3">
        <v>39</v>
      </c>
      <c r="E1818" s="3">
        <v>38</v>
      </c>
      <c r="F1818" s="3">
        <v>17.36</v>
      </c>
      <c r="G1818" s="3">
        <v>0</v>
      </c>
      <c r="H1818" s="3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 s="3">
        <v>36</v>
      </c>
      <c r="N1818" s="3">
        <v>99.27</v>
      </c>
      <c r="O1818" s="12">
        <v>31.163708086785011</v>
      </c>
    </row>
    <row r="1819" spans="1:15" hidden="1" x14ac:dyDescent="0.25">
      <c r="A1819" s="10">
        <v>46057</v>
      </c>
      <c r="B1819" t="s">
        <v>44</v>
      </c>
      <c r="C1819" s="1" t="s">
        <v>32</v>
      </c>
      <c r="D1819" s="3">
        <v>33</v>
      </c>
      <c r="E1819" s="3">
        <v>31</v>
      </c>
      <c r="F1819" s="3">
        <v>17.07</v>
      </c>
      <c r="G1819" s="3">
        <v>0</v>
      </c>
      <c r="H1819" s="3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 s="3">
        <v>32</v>
      </c>
      <c r="N1819" s="3">
        <v>94.16</v>
      </c>
      <c r="O1819" s="12">
        <v>27.038626609442058</v>
      </c>
    </row>
    <row r="1820" spans="1:15" hidden="1" x14ac:dyDescent="0.25">
      <c r="A1820" s="10">
        <v>46057</v>
      </c>
      <c r="B1820" t="s">
        <v>20</v>
      </c>
      <c r="C1820" s="1" t="s">
        <v>16</v>
      </c>
      <c r="D1820" s="3">
        <v>15</v>
      </c>
      <c r="E1820" s="3">
        <v>15</v>
      </c>
      <c r="F1820" s="3">
        <v>40.08</v>
      </c>
      <c r="G1820" s="3">
        <v>0</v>
      </c>
      <c r="H1820" s="3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 s="3">
        <v>6</v>
      </c>
      <c r="N1820" s="3">
        <v>93.75</v>
      </c>
      <c r="O1820" s="12">
        <v>19.31818181818182</v>
      </c>
    </row>
    <row r="1821" spans="1:15" hidden="1" x14ac:dyDescent="0.25">
      <c r="A1821" s="10">
        <v>46057</v>
      </c>
      <c r="B1821" t="s">
        <v>28</v>
      </c>
      <c r="C1821" s="1" t="s">
        <v>26</v>
      </c>
      <c r="D1821" s="3">
        <v>0</v>
      </c>
      <c r="E1821" s="3">
        <v>0</v>
      </c>
      <c r="F1821" s="3">
        <v>0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 s="3">
        <v>0</v>
      </c>
      <c r="N1821" s="3">
        <v>0</v>
      </c>
      <c r="O1821" s="12">
        <v>0</v>
      </c>
    </row>
    <row r="1822" spans="1:15" hidden="1" x14ac:dyDescent="0.25">
      <c r="A1822" s="10">
        <v>46057</v>
      </c>
      <c r="B1822" t="s">
        <v>58</v>
      </c>
      <c r="C1822" s="1" t="s">
        <v>48</v>
      </c>
      <c r="D1822" s="3">
        <v>0</v>
      </c>
      <c r="E1822" s="3">
        <v>0</v>
      </c>
      <c r="F1822" s="3">
        <v>0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 s="3">
        <v>0</v>
      </c>
      <c r="N1822" s="3">
        <v>97.92</v>
      </c>
      <c r="O1822" s="12">
        <v>32.87671232876712</v>
      </c>
    </row>
    <row r="1823" spans="1:15" hidden="1" x14ac:dyDescent="0.25">
      <c r="A1823" s="10">
        <v>46057</v>
      </c>
      <c r="B1823" t="s">
        <v>29</v>
      </c>
      <c r="C1823" s="1" t="s">
        <v>26</v>
      </c>
      <c r="D1823" s="3">
        <v>0</v>
      </c>
      <c r="E1823" s="3">
        <v>0</v>
      </c>
      <c r="F1823" s="3">
        <v>0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 s="3">
        <v>0</v>
      </c>
      <c r="N1823" s="3">
        <v>0</v>
      </c>
      <c r="O1823" s="12">
        <v>0</v>
      </c>
    </row>
    <row r="1824" spans="1:15" hidden="1" x14ac:dyDescent="0.25">
      <c r="A1824" s="10">
        <v>46057</v>
      </c>
      <c r="B1824" t="s">
        <v>30</v>
      </c>
      <c r="C1824" s="1" t="s">
        <v>26</v>
      </c>
      <c r="D1824" s="3">
        <v>0</v>
      </c>
      <c r="E1824" s="3">
        <v>0</v>
      </c>
      <c r="F1824" s="3">
        <v>0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 s="3">
        <v>0</v>
      </c>
      <c r="N1824" s="3">
        <v>0</v>
      </c>
      <c r="O1824" s="12">
        <v>0</v>
      </c>
    </row>
    <row r="1825" spans="1:15" hidden="1" x14ac:dyDescent="0.25">
      <c r="A1825" s="10">
        <v>46057</v>
      </c>
      <c r="B1825" t="s">
        <v>21</v>
      </c>
      <c r="C1825" s="1" t="s">
        <v>16</v>
      </c>
      <c r="D1825" s="3">
        <v>0</v>
      </c>
      <c r="E1825" s="3">
        <v>0</v>
      </c>
      <c r="F1825" s="3">
        <v>0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 s="3">
        <v>0</v>
      </c>
      <c r="N1825" s="3">
        <v>0</v>
      </c>
      <c r="O1825" s="12">
        <v>0</v>
      </c>
    </row>
    <row r="1826" spans="1:15" hidden="1" x14ac:dyDescent="0.25">
      <c r="A1826" s="10">
        <v>46057</v>
      </c>
      <c r="B1826" t="s">
        <v>63</v>
      </c>
      <c r="C1826" s="1" t="s">
        <v>23</v>
      </c>
      <c r="D1826" s="3">
        <v>17</v>
      </c>
      <c r="E1826" s="3">
        <v>16</v>
      </c>
      <c r="F1826" s="3">
        <v>40.1</v>
      </c>
      <c r="G1826" s="3">
        <v>0</v>
      </c>
      <c r="H1826" s="3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 s="3">
        <v>16</v>
      </c>
      <c r="N1826" s="3">
        <v>98.51</v>
      </c>
      <c r="O1826" s="12">
        <v>29.710144927536231</v>
      </c>
    </row>
    <row r="1827" spans="1:15" hidden="1" x14ac:dyDescent="0.25">
      <c r="A1827" s="10">
        <v>46057</v>
      </c>
      <c r="B1827" t="s">
        <v>45</v>
      </c>
      <c r="C1827" s="1" t="s">
        <v>32</v>
      </c>
      <c r="D1827" s="3">
        <v>47</v>
      </c>
      <c r="E1827" s="3">
        <v>43</v>
      </c>
      <c r="F1827" s="3">
        <v>15.02</v>
      </c>
      <c r="G1827" s="3">
        <v>0</v>
      </c>
      <c r="H1827" s="3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 s="3">
        <v>30</v>
      </c>
      <c r="N1827" s="3">
        <v>98.81</v>
      </c>
      <c r="O1827" s="12">
        <v>30.712979890310791</v>
      </c>
    </row>
    <row r="1828" spans="1:15" hidden="1" x14ac:dyDescent="0.25">
      <c r="A1828" s="10">
        <v>46057</v>
      </c>
      <c r="B1828" t="s">
        <v>64</v>
      </c>
      <c r="C1828" s="1" t="s">
        <v>23</v>
      </c>
      <c r="D1828" s="3">
        <v>17</v>
      </c>
      <c r="E1828" s="3">
        <v>17</v>
      </c>
      <c r="F1828" s="3">
        <v>31.47</v>
      </c>
      <c r="G1828" s="3">
        <v>0</v>
      </c>
      <c r="H1828" s="3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 s="3">
        <v>16</v>
      </c>
      <c r="N1828" s="3">
        <v>98.48</v>
      </c>
      <c r="O1828" s="12">
        <v>29.35323383084577</v>
      </c>
    </row>
    <row r="1829" spans="1:15" hidden="1" x14ac:dyDescent="0.25">
      <c r="A1829" s="10">
        <v>46057</v>
      </c>
      <c r="B1829" t="s">
        <v>46</v>
      </c>
      <c r="C1829" s="1" t="s">
        <v>32</v>
      </c>
      <c r="D1829" s="3">
        <v>39</v>
      </c>
      <c r="E1829" s="3">
        <v>37</v>
      </c>
      <c r="F1829" s="3">
        <v>14.12</v>
      </c>
      <c r="G1829" s="3">
        <v>0</v>
      </c>
      <c r="H1829" s="3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 s="3">
        <v>36</v>
      </c>
      <c r="N1829" s="3">
        <v>98.56</v>
      </c>
      <c r="O1829" s="12">
        <v>29.373650107991359</v>
      </c>
    </row>
    <row r="1830" spans="1:15" hidden="1" x14ac:dyDescent="0.25">
      <c r="A1830" s="10">
        <v>46058</v>
      </c>
      <c r="B1830" t="s">
        <v>47</v>
      </c>
      <c r="C1830" s="1" t="s">
        <v>48</v>
      </c>
      <c r="D1830" s="3">
        <v>36</v>
      </c>
      <c r="E1830" s="3">
        <v>34</v>
      </c>
      <c r="F1830" s="3">
        <v>15.2</v>
      </c>
      <c r="G1830" s="3">
        <v>0</v>
      </c>
      <c r="H1830" s="3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 s="3">
        <v>33</v>
      </c>
      <c r="N1830" s="3">
        <v>98.32</v>
      </c>
      <c r="O1830" s="12">
        <v>30.303030303030301</v>
      </c>
    </row>
    <row r="1831" spans="1:15" hidden="1" x14ac:dyDescent="0.25">
      <c r="A1831" s="10">
        <v>46058</v>
      </c>
      <c r="B1831" t="s">
        <v>31</v>
      </c>
      <c r="C1831" s="1" t="s">
        <v>32</v>
      </c>
      <c r="D1831" s="3">
        <v>0</v>
      </c>
      <c r="E1831" s="3">
        <v>0</v>
      </c>
      <c r="F1831" s="3">
        <v>0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 s="3">
        <v>40</v>
      </c>
      <c r="N1831" s="3">
        <v>98.68</v>
      </c>
      <c r="O1831" s="12">
        <v>26.219512195121951</v>
      </c>
    </row>
    <row r="1832" spans="1:15" hidden="1" x14ac:dyDescent="0.25">
      <c r="A1832" s="10">
        <v>46058</v>
      </c>
      <c r="B1832" t="s">
        <v>59</v>
      </c>
      <c r="C1832" s="1" t="s">
        <v>23</v>
      </c>
      <c r="D1832" s="3">
        <v>42</v>
      </c>
      <c r="E1832" s="3">
        <v>40</v>
      </c>
      <c r="F1832" s="3">
        <v>17.07</v>
      </c>
      <c r="G1832" s="3">
        <v>0</v>
      </c>
      <c r="H1832" s="3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 s="3">
        <v>38</v>
      </c>
      <c r="N1832" s="3">
        <v>100</v>
      </c>
      <c r="O1832" s="12">
        <v>31.74224343675418</v>
      </c>
    </row>
    <row r="1833" spans="1:15" hidden="1" x14ac:dyDescent="0.25">
      <c r="A1833" s="10">
        <v>46058</v>
      </c>
      <c r="B1833" t="s">
        <v>33</v>
      </c>
      <c r="C1833" s="1" t="s">
        <v>32</v>
      </c>
      <c r="D1833" s="3">
        <v>42</v>
      </c>
      <c r="E1833" s="3">
        <v>40</v>
      </c>
      <c r="F1833" s="3">
        <v>17.059999999999999</v>
      </c>
      <c r="G1833" s="3">
        <v>0</v>
      </c>
      <c r="H1833" s="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 s="3">
        <v>39</v>
      </c>
      <c r="N1833" s="3">
        <v>98.25</v>
      </c>
      <c r="O1833" s="12">
        <v>25.83518930957684</v>
      </c>
    </row>
    <row r="1834" spans="1:15" hidden="1" x14ac:dyDescent="0.25">
      <c r="A1834" s="10">
        <v>46058</v>
      </c>
      <c r="B1834" t="s">
        <v>15</v>
      </c>
      <c r="C1834" s="1" t="s">
        <v>16</v>
      </c>
      <c r="D1834" s="3">
        <v>0</v>
      </c>
      <c r="E1834" s="3">
        <v>0</v>
      </c>
      <c r="F1834" s="3">
        <v>0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 s="3">
        <v>0</v>
      </c>
      <c r="N1834" s="3">
        <v>97.5</v>
      </c>
      <c r="O1834" s="12">
        <v>30.075187969924809</v>
      </c>
    </row>
    <row r="1835" spans="1:15" hidden="1" x14ac:dyDescent="0.25">
      <c r="A1835" s="10">
        <v>46058</v>
      </c>
      <c r="B1835" t="s">
        <v>49</v>
      </c>
      <c r="C1835" s="1" t="s">
        <v>48</v>
      </c>
      <c r="D1835" s="3">
        <v>31</v>
      </c>
      <c r="E1835" s="3">
        <v>30</v>
      </c>
      <c r="F1835" s="3">
        <v>19.079999999999998</v>
      </c>
      <c r="G1835" s="3">
        <v>0</v>
      </c>
      <c r="H1835" s="3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 s="3">
        <v>30</v>
      </c>
      <c r="N1835" s="3">
        <v>100</v>
      </c>
      <c r="O1835" s="12">
        <v>29.71311475409836</v>
      </c>
    </row>
    <row r="1836" spans="1:15" hidden="1" x14ac:dyDescent="0.25">
      <c r="A1836" s="10">
        <v>46058</v>
      </c>
      <c r="B1836" t="s">
        <v>50</v>
      </c>
      <c r="C1836" s="1" t="s">
        <v>48</v>
      </c>
      <c r="D1836" s="3">
        <v>18</v>
      </c>
      <c r="E1836" s="3">
        <v>16</v>
      </c>
      <c r="F1836" s="3">
        <v>43.34</v>
      </c>
      <c r="G1836" s="3">
        <v>0</v>
      </c>
      <c r="H1836" s="3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 s="3">
        <v>17</v>
      </c>
      <c r="N1836" s="3">
        <v>99.22</v>
      </c>
      <c r="O1836" s="12">
        <v>35.256410256410263</v>
      </c>
    </row>
    <row r="1837" spans="1:15" hidden="1" x14ac:dyDescent="0.25">
      <c r="A1837" s="10">
        <v>46058</v>
      </c>
      <c r="B1837" t="s">
        <v>17</v>
      </c>
      <c r="C1837" s="1" t="s">
        <v>16</v>
      </c>
      <c r="D1837" s="3">
        <v>0</v>
      </c>
      <c r="E1837" s="3">
        <v>0</v>
      </c>
      <c r="F1837" s="3">
        <v>0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 s="3">
        <v>0</v>
      </c>
      <c r="N1837" s="3">
        <v>0</v>
      </c>
      <c r="O1837" s="12">
        <v>0</v>
      </c>
    </row>
    <row r="1838" spans="1:15" hidden="1" x14ac:dyDescent="0.25">
      <c r="A1838" s="10">
        <v>46058</v>
      </c>
      <c r="B1838" t="s">
        <v>60</v>
      </c>
      <c r="C1838" s="1" t="s">
        <v>23</v>
      </c>
      <c r="D1838" s="3">
        <v>50</v>
      </c>
      <c r="E1838" s="3">
        <v>14</v>
      </c>
      <c r="F1838" s="3">
        <v>5.35</v>
      </c>
      <c r="G1838" s="3">
        <v>0</v>
      </c>
      <c r="H1838" s="3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 s="3">
        <v>22</v>
      </c>
      <c r="N1838" s="3">
        <v>98.75</v>
      </c>
      <c r="O1838" s="12">
        <v>24.32432432432433</v>
      </c>
    </row>
    <row r="1839" spans="1:15" hidden="1" x14ac:dyDescent="0.25">
      <c r="A1839" s="10">
        <v>46058</v>
      </c>
      <c r="B1839" t="s">
        <v>34</v>
      </c>
      <c r="C1839" s="1" t="s">
        <v>32</v>
      </c>
      <c r="D1839" s="3">
        <v>28</v>
      </c>
      <c r="E1839" s="3">
        <v>28</v>
      </c>
      <c r="F1839" s="3">
        <v>15.18</v>
      </c>
      <c r="G1839" s="3">
        <v>0</v>
      </c>
      <c r="H1839" s="3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 s="3">
        <v>25</v>
      </c>
      <c r="N1839" s="3">
        <v>93.48</v>
      </c>
      <c r="O1839" s="12">
        <v>31.52804642166344</v>
      </c>
    </row>
    <row r="1840" spans="1:15" hidden="1" x14ac:dyDescent="0.25">
      <c r="A1840" s="10">
        <v>46058</v>
      </c>
      <c r="B1840" t="s">
        <v>51</v>
      </c>
      <c r="C1840" s="1" t="s">
        <v>48</v>
      </c>
      <c r="D1840" s="3">
        <v>40</v>
      </c>
      <c r="E1840" s="3">
        <v>33</v>
      </c>
      <c r="F1840" s="3">
        <v>15.5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 s="3">
        <v>37</v>
      </c>
      <c r="N1840" s="3">
        <v>99.16</v>
      </c>
      <c r="O1840" s="12">
        <v>26.13908872901678</v>
      </c>
    </row>
    <row r="1841" spans="1:15" hidden="1" x14ac:dyDescent="0.25">
      <c r="A1841" s="10">
        <v>46058</v>
      </c>
      <c r="B1841" t="s">
        <v>61</v>
      </c>
      <c r="C1841" s="1" t="s">
        <v>23</v>
      </c>
      <c r="D1841" s="3">
        <v>20</v>
      </c>
      <c r="E1841" s="3">
        <v>20</v>
      </c>
      <c r="F1841" s="3">
        <v>33.520000000000003</v>
      </c>
      <c r="G1841" s="3">
        <v>0</v>
      </c>
      <c r="H1841" s="3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 s="3">
        <v>29</v>
      </c>
      <c r="N1841" s="3">
        <v>100</v>
      </c>
      <c r="O1841" s="12">
        <v>31.089743589743591</v>
      </c>
    </row>
    <row r="1842" spans="1:15" hidden="1" x14ac:dyDescent="0.25">
      <c r="A1842" s="10">
        <v>46058</v>
      </c>
      <c r="B1842" t="s">
        <v>35</v>
      </c>
      <c r="C1842" s="1" t="s">
        <v>32</v>
      </c>
      <c r="D1842" s="3">
        <v>37</v>
      </c>
      <c r="E1842" s="3">
        <v>36</v>
      </c>
      <c r="F1842" s="3">
        <v>20.3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 s="3">
        <v>35</v>
      </c>
      <c r="N1842" s="3">
        <v>98.11</v>
      </c>
      <c r="O1842" s="12">
        <v>33.033707865168537</v>
      </c>
    </row>
    <row r="1843" spans="1:15" hidden="1" x14ac:dyDescent="0.25">
      <c r="A1843" s="10">
        <v>46058</v>
      </c>
      <c r="B1843" t="s">
        <v>18</v>
      </c>
      <c r="C1843" s="1" t="s">
        <v>16</v>
      </c>
      <c r="D1843" s="3">
        <v>39</v>
      </c>
      <c r="E1843" s="3">
        <v>28</v>
      </c>
      <c r="F1843" s="3">
        <v>5.44</v>
      </c>
      <c r="G1843" s="3">
        <v>0</v>
      </c>
      <c r="H1843" s="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 s="3">
        <v>2</v>
      </c>
      <c r="N1843" s="3">
        <v>78.95</v>
      </c>
      <c r="O1843" s="12">
        <v>38.983050847457633</v>
      </c>
    </row>
    <row r="1844" spans="1:15" hidden="1" x14ac:dyDescent="0.25">
      <c r="A1844" s="10">
        <v>46058</v>
      </c>
      <c r="B1844" t="s">
        <v>52</v>
      </c>
      <c r="C1844" s="1" t="s">
        <v>48</v>
      </c>
      <c r="D1844" s="3">
        <v>38</v>
      </c>
      <c r="E1844" s="3">
        <v>35</v>
      </c>
      <c r="F1844" s="3">
        <v>13.48</v>
      </c>
      <c r="G1844" s="3">
        <v>0</v>
      </c>
      <c r="H1844" s="3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 s="3">
        <v>30</v>
      </c>
      <c r="N1844" s="3">
        <v>98.45</v>
      </c>
      <c r="O1844" s="12">
        <v>29.281767955801101</v>
      </c>
    </row>
    <row r="1845" spans="1:15" hidden="1" x14ac:dyDescent="0.25">
      <c r="A1845" s="10">
        <v>46058</v>
      </c>
      <c r="B1845" t="s">
        <v>36</v>
      </c>
      <c r="C1845" s="1" t="s">
        <v>32</v>
      </c>
      <c r="D1845" s="3">
        <v>35</v>
      </c>
      <c r="E1845" s="3">
        <v>35</v>
      </c>
      <c r="F1845" s="3">
        <v>16.559999999999999</v>
      </c>
      <c r="G1845" s="3">
        <v>0</v>
      </c>
      <c r="H1845" s="3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 s="3">
        <v>35</v>
      </c>
      <c r="N1845" s="3">
        <v>97.84</v>
      </c>
      <c r="O1845" s="12">
        <v>26.282051282051281</v>
      </c>
    </row>
    <row r="1846" spans="1:15" hidden="1" x14ac:dyDescent="0.25">
      <c r="A1846" s="10">
        <v>46058</v>
      </c>
      <c r="B1846" t="s">
        <v>53</v>
      </c>
      <c r="C1846" s="1" t="s">
        <v>48</v>
      </c>
      <c r="D1846" s="3">
        <v>48</v>
      </c>
      <c r="E1846" s="3">
        <v>44</v>
      </c>
      <c r="F1846" s="3">
        <v>15.05</v>
      </c>
      <c r="G1846" s="3">
        <v>0</v>
      </c>
      <c r="H1846" s="3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 s="3">
        <v>42</v>
      </c>
      <c r="N1846" s="3">
        <v>98.5</v>
      </c>
      <c r="O1846" s="12">
        <v>23.97769516728625</v>
      </c>
    </row>
    <row r="1847" spans="1:15" hidden="1" x14ac:dyDescent="0.25">
      <c r="A1847" s="10">
        <v>46092</v>
      </c>
      <c r="B1847" t="s">
        <v>22</v>
      </c>
      <c r="C1847" s="1" t="s">
        <v>23</v>
      </c>
      <c r="D1847" s="3">
        <v>3</v>
      </c>
      <c r="E1847" s="3">
        <v>3</v>
      </c>
      <c r="F1847" s="3">
        <v>24.03</v>
      </c>
      <c r="G1847" s="3">
        <v>0</v>
      </c>
      <c r="H1847" s="3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 s="3">
        <v>10</v>
      </c>
      <c r="N1847" s="3">
        <v>99.05</v>
      </c>
      <c r="O1847" s="12">
        <v>26.621923937360179</v>
      </c>
    </row>
    <row r="1848" spans="1:15" hidden="1" x14ac:dyDescent="0.25">
      <c r="A1848" s="10">
        <v>46058</v>
      </c>
      <c r="B1848" t="s">
        <v>54</v>
      </c>
      <c r="C1848" s="1" t="s">
        <v>48</v>
      </c>
      <c r="D1848" s="3">
        <v>37</v>
      </c>
      <c r="E1848" s="3">
        <v>37</v>
      </c>
      <c r="F1848" s="3">
        <v>21.44</v>
      </c>
      <c r="G1848" s="3">
        <v>0</v>
      </c>
      <c r="H1848" s="3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 s="3">
        <v>34</v>
      </c>
      <c r="N1848" s="3">
        <v>98.53</v>
      </c>
      <c r="O1848" s="12">
        <v>31.578947368421051</v>
      </c>
    </row>
    <row r="1849" spans="1:15" hidden="1" x14ac:dyDescent="0.25">
      <c r="A1849" s="10">
        <v>46058</v>
      </c>
      <c r="B1849" t="s">
        <v>37</v>
      </c>
      <c r="C1849" s="1" t="s">
        <v>32</v>
      </c>
      <c r="D1849" s="3">
        <v>47</v>
      </c>
      <c r="E1849" s="3">
        <v>43</v>
      </c>
      <c r="F1849" s="3">
        <v>13.22</v>
      </c>
      <c r="G1849" s="3">
        <v>0</v>
      </c>
      <c r="H1849" s="3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 s="3">
        <v>46</v>
      </c>
      <c r="N1849" s="3">
        <v>100</v>
      </c>
      <c r="O1849" s="12">
        <v>25.72214580467676</v>
      </c>
    </row>
    <row r="1850" spans="1:15" hidden="1" x14ac:dyDescent="0.25">
      <c r="A1850" s="10">
        <v>46058</v>
      </c>
      <c r="B1850" t="s">
        <v>38</v>
      </c>
      <c r="C1850" s="1" t="s">
        <v>32</v>
      </c>
      <c r="D1850" s="3">
        <v>53</v>
      </c>
      <c r="E1850" s="3">
        <v>44</v>
      </c>
      <c r="F1850" s="3">
        <v>10.47</v>
      </c>
      <c r="G1850" s="3">
        <v>0</v>
      </c>
      <c r="H1850" s="3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 s="3">
        <v>41</v>
      </c>
      <c r="N1850" s="3">
        <v>94.64</v>
      </c>
      <c r="O1850" s="12">
        <v>27.52941176470588</v>
      </c>
    </row>
    <row r="1851" spans="1:15" hidden="1" x14ac:dyDescent="0.25">
      <c r="A1851" s="10">
        <v>46058</v>
      </c>
      <c r="B1851" t="s">
        <v>55</v>
      </c>
      <c r="C1851" s="1" t="s">
        <v>48</v>
      </c>
      <c r="D1851" s="3">
        <v>50</v>
      </c>
      <c r="E1851" s="3">
        <v>38</v>
      </c>
      <c r="F1851" s="3">
        <v>13.39</v>
      </c>
      <c r="G1851" s="3">
        <v>0</v>
      </c>
      <c r="H1851" s="3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 s="3">
        <v>32</v>
      </c>
      <c r="N1851" s="3">
        <v>99.07</v>
      </c>
      <c r="O1851" s="12">
        <v>26.376811594202898</v>
      </c>
    </row>
    <row r="1852" spans="1:15" hidden="1" x14ac:dyDescent="0.25">
      <c r="A1852" s="10">
        <v>46058</v>
      </c>
      <c r="B1852" t="s">
        <v>39</v>
      </c>
      <c r="C1852" s="1" t="s">
        <v>32</v>
      </c>
      <c r="D1852" s="3">
        <v>0</v>
      </c>
      <c r="E1852" s="3">
        <v>0</v>
      </c>
      <c r="F1852" s="3">
        <v>0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 s="3">
        <v>0</v>
      </c>
      <c r="N1852" s="3">
        <v>100</v>
      </c>
      <c r="O1852" s="12">
        <v>0</v>
      </c>
    </row>
    <row r="1853" spans="1:15" hidden="1" x14ac:dyDescent="0.25">
      <c r="A1853" s="10">
        <v>46058</v>
      </c>
      <c r="B1853" t="s">
        <v>25</v>
      </c>
      <c r="C1853" s="1" t="s">
        <v>26</v>
      </c>
      <c r="D1853" s="3">
        <v>20</v>
      </c>
      <c r="E1853" s="3">
        <v>19</v>
      </c>
      <c r="F1853" s="3">
        <v>25.5</v>
      </c>
      <c r="G1853" s="3">
        <v>0</v>
      </c>
      <c r="H1853" s="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 s="3">
        <v>19</v>
      </c>
      <c r="N1853" s="3">
        <v>98.48</v>
      </c>
      <c r="O1853" s="12">
        <v>27.853881278538811</v>
      </c>
    </row>
    <row r="1854" spans="1:15" hidden="1" x14ac:dyDescent="0.25">
      <c r="A1854" s="10">
        <v>46058</v>
      </c>
      <c r="B1854" t="s">
        <v>40</v>
      </c>
      <c r="C1854" s="1" t="s">
        <v>32</v>
      </c>
      <c r="D1854" s="3">
        <v>17</v>
      </c>
      <c r="E1854" s="3">
        <v>7</v>
      </c>
      <c r="F1854" s="3">
        <v>7.21</v>
      </c>
      <c r="G1854" s="3">
        <v>0</v>
      </c>
      <c r="H1854" s="3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 s="3">
        <v>29</v>
      </c>
      <c r="N1854" s="3">
        <v>95.15</v>
      </c>
      <c r="O1854" s="12">
        <v>34.131736526946113</v>
      </c>
    </row>
    <row r="1855" spans="1:15" hidden="1" x14ac:dyDescent="0.25">
      <c r="A1855" s="10">
        <v>46058</v>
      </c>
      <c r="B1855" t="s">
        <v>27</v>
      </c>
      <c r="C1855" s="1" t="s">
        <v>26</v>
      </c>
      <c r="D1855" s="3">
        <v>0</v>
      </c>
      <c r="E1855" s="3">
        <v>0</v>
      </c>
      <c r="F1855" s="3">
        <v>0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 s="3">
        <v>0</v>
      </c>
      <c r="N1855" s="3">
        <v>0</v>
      </c>
      <c r="O1855" s="12">
        <v>0</v>
      </c>
    </row>
    <row r="1856" spans="1:15" hidden="1" x14ac:dyDescent="0.25">
      <c r="A1856" s="10">
        <v>46058</v>
      </c>
      <c r="B1856" t="s">
        <v>41</v>
      </c>
      <c r="C1856" s="1" t="s">
        <v>32</v>
      </c>
      <c r="D1856" s="3">
        <v>22</v>
      </c>
      <c r="E1856" s="3">
        <v>22</v>
      </c>
      <c r="F1856" s="3">
        <v>24.13</v>
      </c>
      <c r="G1856" s="3">
        <v>0</v>
      </c>
      <c r="H1856" s="3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 s="3">
        <v>24</v>
      </c>
      <c r="N1856" s="3">
        <v>99.26</v>
      </c>
      <c r="O1856" s="12">
        <v>30.84832904884319</v>
      </c>
    </row>
    <row r="1857" spans="1:15" hidden="1" x14ac:dyDescent="0.25">
      <c r="A1857" s="10">
        <v>46058</v>
      </c>
      <c r="B1857" t="s">
        <v>56</v>
      </c>
      <c r="C1857" s="1" t="s">
        <v>48</v>
      </c>
      <c r="D1857" s="3">
        <v>34</v>
      </c>
      <c r="E1857" s="3">
        <v>34</v>
      </c>
      <c r="F1857" s="3">
        <v>20.18</v>
      </c>
      <c r="G1857" s="3">
        <v>0</v>
      </c>
      <c r="H1857" s="3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 s="3">
        <v>28</v>
      </c>
      <c r="N1857" s="3">
        <v>97.48</v>
      </c>
      <c r="O1857" s="12">
        <v>27.764705882352938</v>
      </c>
    </row>
    <row r="1858" spans="1:15" hidden="1" x14ac:dyDescent="0.25">
      <c r="A1858" s="10">
        <v>46058</v>
      </c>
      <c r="B1858" t="s">
        <v>57</v>
      </c>
      <c r="C1858" s="1" t="s">
        <v>48</v>
      </c>
      <c r="D1858" s="3">
        <v>36</v>
      </c>
      <c r="E1858" s="3">
        <v>36</v>
      </c>
      <c r="F1858" s="3">
        <v>19.18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 s="3">
        <v>36</v>
      </c>
      <c r="N1858" s="3">
        <v>99.34</v>
      </c>
      <c r="O1858" s="12">
        <v>30.04291845493562</v>
      </c>
    </row>
    <row r="1859" spans="1:15" hidden="1" x14ac:dyDescent="0.25">
      <c r="A1859" s="10">
        <v>46058</v>
      </c>
      <c r="B1859" t="s">
        <v>42</v>
      </c>
      <c r="C1859" s="1" t="s">
        <v>32</v>
      </c>
      <c r="D1859" s="3">
        <v>55</v>
      </c>
      <c r="E1859" s="3">
        <v>36</v>
      </c>
      <c r="F1859" s="3">
        <v>10.44</v>
      </c>
      <c r="G1859" s="3">
        <v>0</v>
      </c>
      <c r="H1859" s="3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 s="3">
        <v>27</v>
      </c>
      <c r="N1859" s="3">
        <v>96.3</v>
      </c>
      <c r="O1859" s="12">
        <v>24.29378531073446</v>
      </c>
    </row>
    <row r="1860" spans="1:15" hidden="1" x14ac:dyDescent="0.25">
      <c r="A1860" s="10">
        <v>46058</v>
      </c>
      <c r="B1860" t="s">
        <v>62</v>
      </c>
      <c r="C1860" s="1" t="s">
        <v>23</v>
      </c>
      <c r="D1860" s="3">
        <v>24</v>
      </c>
      <c r="E1860" s="3">
        <v>24</v>
      </c>
      <c r="F1860" s="3">
        <v>23.33</v>
      </c>
      <c r="G1860" s="3">
        <v>0</v>
      </c>
      <c r="H1860" s="3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 s="3">
        <v>21</v>
      </c>
      <c r="N1860" s="3">
        <v>100</v>
      </c>
      <c r="O1860" s="12">
        <v>26.543209876543209</v>
      </c>
    </row>
    <row r="1861" spans="1:15" hidden="1" x14ac:dyDescent="0.25">
      <c r="A1861" s="10">
        <v>46058</v>
      </c>
      <c r="B1861" t="s">
        <v>19</v>
      </c>
      <c r="C1861" s="1" t="s">
        <v>16</v>
      </c>
      <c r="D1861" s="3">
        <v>80</v>
      </c>
      <c r="E1861" s="3">
        <v>39</v>
      </c>
      <c r="F1861" s="3">
        <v>5.47</v>
      </c>
      <c r="G1861" s="3">
        <v>0</v>
      </c>
      <c r="H1861" s="3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 s="3">
        <v>0</v>
      </c>
      <c r="N1861" s="3">
        <v>100</v>
      </c>
      <c r="O1861" s="12">
        <v>35.483870967741943</v>
      </c>
    </row>
    <row r="1862" spans="1:15" hidden="1" x14ac:dyDescent="0.25">
      <c r="A1862" s="10">
        <v>46058</v>
      </c>
      <c r="B1862" t="s">
        <v>43</v>
      </c>
      <c r="C1862" s="1" t="s">
        <v>32</v>
      </c>
      <c r="D1862" s="3">
        <v>40</v>
      </c>
      <c r="E1862" s="3">
        <v>40</v>
      </c>
      <c r="F1862" s="3">
        <v>14.18</v>
      </c>
      <c r="G1862" s="3">
        <v>0</v>
      </c>
      <c r="H1862" s="3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 s="3">
        <v>40</v>
      </c>
      <c r="N1862" s="3">
        <v>99.27</v>
      </c>
      <c r="O1862" s="12">
        <v>31.163708086785011</v>
      </c>
    </row>
    <row r="1863" spans="1:15" hidden="1" x14ac:dyDescent="0.25">
      <c r="A1863" s="10">
        <v>46058</v>
      </c>
      <c r="B1863" t="s">
        <v>44</v>
      </c>
      <c r="C1863" s="1" t="s">
        <v>32</v>
      </c>
      <c r="D1863" s="3">
        <v>33</v>
      </c>
      <c r="E1863" s="3">
        <v>32</v>
      </c>
      <c r="F1863" s="3">
        <v>15.14</v>
      </c>
      <c r="G1863" s="3">
        <v>0</v>
      </c>
      <c r="H1863" s="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 s="3">
        <v>33</v>
      </c>
      <c r="N1863" s="3">
        <v>94.16</v>
      </c>
      <c r="O1863" s="12">
        <v>27.038626609442058</v>
      </c>
    </row>
    <row r="1864" spans="1:15" hidden="1" x14ac:dyDescent="0.25">
      <c r="A1864" s="10">
        <v>46058</v>
      </c>
      <c r="B1864" t="s">
        <v>20</v>
      </c>
      <c r="C1864" s="1" t="s">
        <v>16</v>
      </c>
      <c r="D1864" s="3">
        <v>17</v>
      </c>
      <c r="E1864" s="3">
        <v>16</v>
      </c>
      <c r="F1864" s="3">
        <v>35.51</v>
      </c>
      <c r="G1864" s="3">
        <v>0</v>
      </c>
      <c r="H1864" s="3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 s="3">
        <v>13</v>
      </c>
      <c r="N1864" s="3">
        <v>93.75</v>
      </c>
      <c r="O1864" s="12">
        <v>19.31818181818182</v>
      </c>
    </row>
    <row r="1865" spans="1:15" hidden="1" x14ac:dyDescent="0.25">
      <c r="A1865" s="10">
        <v>46058</v>
      </c>
      <c r="B1865" t="s">
        <v>28</v>
      </c>
      <c r="C1865" s="1" t="s">
        <v>26</v>
      </c>
      <c r="D1865" s="3">
        <v>0</v>
      </c>
      <c r="E1865" s="3">
        <v>0</v>
      </c>
      <c r="F1865" s="3">
        <v>0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 s="3">
        <v>0</v>
      </c>
      <c r="N1865" s="3">
        <v>0</v>
      </c>
      <c r="O1865" s="12">
        <v>0</v>
      </c>
    </row>
    <row r="1866" spans="1:15" hidden="1" x14ac:dyDescent="0.25">
      <c r="A1866" s="10">
        <v>46058</v>
      </c>
      <c r="B1866" t="s">
        <v>58</v>
      </c>
      <c r="C1866" s="1" t="s">
        <v>48</v>
      </c>
      <c r="D1866" s="3">
        <v>29</v>
      </c>
      <c r="E1866" s="3">
        <v>27</v>
      </c>
      <c r="F1866" s="3">
        <v>20.54</v>
      </c>
      <c r="G1866" s="3">
        <v>0</v>
      </c>
      <c r="H1866" s="3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 s="3">
        <v>24</v>
      </c>
      <c r="N1866" s="3">
        <v>97.92</v>
      </c>
      <c r="O1866" s="12">
        <v>32.87671232876712</v>
      </c>
    </row>
    <row r="1867" spans="1:15" hidden="1" x14ac:dyDescent="0.25">
      <c r="A1867" s="10">
        <v>46058</v>
      </c>
      <c r="B1867" t="s">
        <v>29</v>
      </c>
      <c r="C1867" s="1" t="s">
        <v>26</v>
      </c>
      <c r="D1867" s="3">
        <v>0</v>
      </c>
      <c r="E1867" s="3">
        <v>0</v>
      </c>
      <c r="F1867" s="3">
        <v>0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 s="3">
        <v>0</v>
      </c>
      <c r="N1867" s="3">
        <v>0</v>
      </c>
      <c r="O1867" s="12">
        <v>0</v>
      </c>
    </row>
    <row r="1868" spans="1:15" hidden="1" x14ac:dyDescent="0.25">
      <c r="A1868" s="10">
        <v>46058</v>
      </c>
      <c r="B1868" t="s">
        <v>30</v>
      </c>
      <c r="C1868" s="1" t="s">
        <v>26</v>
      </c>
      <c r="D1868" s="3">
        <v>0</v>
      </c>
      <c r="E1868" s="3">
        <v>0</v>
      </c>
      <c r="F1868" s="3">
        <v>0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 s="3">
        <v>0</v>
      </c>
      <c r="N1868" s="3">
        <v>0</v>
      </c>
      <c r="O1868" s="12">
        <v>0</v>
      </c>
    </row>
    <row r="1869" spans="1:15" hidden="1" x14ac:dyDescent="0.25">
      <c r="A1869" s="10">
        <v>46058</v>
      </c>
      <c r="B1869" t="s">
        <v>21</v>
      </c>
      <c r="C1869" s="1" t="s">
        <v>16</v>
      </c>
      <c r="D1869" s="3">
        <v>0</v>
      </c>
      <c r="E1869" s="3">
        <v>0</v>
      </c>
      <c r="F1869" s="3">
        <v>0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 s="3">
        <v>0</v>
      </c>
      <c r="N1869" s="3">
        <v>0</v>
      </c>
      <c r="O1869" s="12">
        <v>0</v>
      </c>
    </row>
    <row r="1870" spans="1:15" hidden="1" x14ac:dyDescent="0.25">
      <c r="A1870" s="10">
        <v>46058</v>
      </c>
      <c r="B1870" t="s">
        <v>63</v>
      </c>
      <c r="C1870" s="1" t="s">
        <v>23</v>
      </c>
      <c r="D1870" s="3">
        <v>24</v>
      </c>
      <c r="E1870" s="3">
        <v>23</v>
      </c>
      <c r="F1870" s="3">
        <v>25.01</v>
      </c>
      <c r="G1870" s="3">
        <v>0</v>
      </c>
      <c r="H1870" s="3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 s="3">
        <v>22</v>
      </c>
      <c r="N1870" s="3">
        <v>98.51</v>
      </c>
      <c r="O1870" s="12">
        <v>29.710144927536231</v>
      </c>
    </row>
    <row r="1871" spans="1:15" hidden="1" x14ac:dyDescent="0.25">
      <c r="A1871" s="10">
        <v>46058</v>
      </c>
      <c r="B1871" t="s">
        <v>45</v>
      </c>
      <c r="C1871" s="1" t="s">
        <v>32</v>
      </c>
      <c r="D1871" s="3">
        <v>30</v>
      </c>
      <c r="E1871" s="3">
        <v>27</v>
      </c>
      <c r="F1871" s="3">
        <v>15.32</v>
      </c>
      <c r="G1871" s="3">
        <v>0</v>
      </c>
      <c r="H1871" s="3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 s="3">
        <v>28</v>
      </c>
      <c r="N1871" s="3">
        <v>98.81</v>
      </c>
      <c r="O1871" s="12">
        <v>30.712979890310791</v>
      </c>
    </row>
    <row r="1872" spans="1:15" hidden="1" x14ac:dyDescent="0.25">
      <c r="A1872" s="10">
        <v>46058</v>
      </c>
      <c r="B1872" t="s">
        <v>64</v>
      </c>
      <c r="C1872" s="1" t="s">
        <v>23</v>
      </c>
      <c r="D1872" s="3">
        <v>18</v>
      </c>
      <c r="E1872" s="3">
        <v>18</v>
      </c>
      <c r="F1872" s="3">
        <v>30.58</v>
      </c>
      <c r="G1872" s="3">
        <v>0</v>
      </c>
      <c r="H1872" s="3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 s="3">
        <v>18</v>
      </c>
      <c r="N1872" s="3">
        <v>98.48</v>
      </c>
      <c r="O1872" s="12">
        <v>29.35323383084577</v>
      </c>
    </row>
    <row r="1873" spans="1:15" hidden="1" x14ac:dyDescent="0.25">
      <c r="A1873" s="10">
        <v>46058</v>
      </c>
      <c r="B1873" t="s">
        <v>46</v>
      </c>
      <c r="C1873" s="1" t="s">
        <v>32</v>
      </c>
      <c r="D1873" s="3">
        <v>40</v>
      </c>
      <c r="E1873" s="3">
        <v>38</v>
      </c>
      <c r="F1873" s="3">
        <v>15.31</v>
      </c>
      <c r="G1873" s="3">
        <v>0</v>
      </c>
      <c r="H1873" s="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 s="3">
        <v>34</v>
      </c>
      <c r="N1873" s="3">
        <v>98.56</v>
      </c>
      <c r="O1873" s="12">
        <v>29.373650107991359</v>
      </c>
    </row>
    <row r="1874" spans="1:15" hidden="1" x14ac:dyDescent="0.25">
      <c r="A1874" s="10">
        <v>46059</v>
      </c>
      <c r="B1874" t="s">
        <v>47</v>
      </c>
      <c r="C1874" s="1" t="s">
        <v>48</v>
      </c>
      <c r="D1874" s="3">
        <v>19</v>
      </c>
      <c r="E1874" s="3">
        <v>18</v>
      </c>
      <c r="F1874" s="3">
        <v>26.47</v>
      </c>
      <c r="G1874" s="3">
        <v>0</v>
      </c>
      <c r="H1874" s="3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 s="3">
        <v>16</v>
      </c>
      <c r="N1874" s="3">
        <v>98.32</v>
      </c>
      <c r="O1874" s="12">
        <v>30.303030303030301</v>
      </c>
    </row>
    <row r="1875" spans="1:15" hidden="1" x14ac:dyDescent="0.25">
      <c r="A1875" s="10">
        <v>46059</v>
      </c>
      <c r="B1875" t="s">
        <v>31</v>
      </c>
      <c r="C1875" s="1" t="s">
        <v>32</v>
      </c>
      <c r="D1875" s="3">
        <v>0</v>
      </c>
      <c r="E1875" s="3">
        <v>0</v>
      </c>
      <c r="F1875" s="3">
        <v>0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 s="3">
        <v>24</v>
      </c>
      <c r="N1875" s="3">
        <v>98.68</v>
      </c>
      <c r="O1875" s="12">
        <v>26.219512195121951</v>
      </c>
    </row>
    <row r="1876" spans="1:15" hidden="1" x14ac:dyDescent="0.25">
      <c r="A1876" s="10">
        <v>46059</v>
      </c>
      <c r="B1876" t="s">
        <v>59</v>
      </c>
      <c r="C1876" s="1" t="s">
        <v>23</v>
      </c>
      <c r="D1876" s="3">
        <v>30</v>
      </c>
      <c r="E1876" s="3">
        <v>26</v>
      </c>
      <c r="F1876" s="3">
        <v>23.48</v>
      </c>
      <c r="G1876" s="3">
        <v>0</v>
      </c>
      <c r="H1876" s="3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 s="3">
        <v>22</v>
      </c>
      <c r="N1876" s="3">
        <v>100</v>
      </c>
      <c r="O1876" s="12">
        <v>31.74224343675418</v>
      </c>
    </row>
    <row r="1877" spans="1:15" hidden="1" x14ac:dyDescent="0.25">
      <c r="A1877" s="10">
        <v>46059</v>
      </c>
      <c r="B1877" t="s">
        <v>33</v>
      </c>
      <c r="C1877" s="1" t="s">
        <v>32</v>
      </c>
      <c r="D1877" s="3">
        <v>32</v>
      </c>
      <c r="E1877" s="3">
        <v>30</v>
      </c>
      <c r="F1877" s="3">
        <v>18.239999999999998</v>
      </c>
      <c r="G1877" s="3">
        <v>0</v>
      </c>
      <c r="H1877" s="3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 s="3">
        <v>26</v>
      </c>
      <c r="N1877" s="3">
        <v>98.25</v>
      </c>
      <c r="O1877" s="12">
        <v>25.83518930957684</v>
      </c>
    </row>
    <row r="1878" spans="1:15" hidden="1" x14ac:dyDescent="0.25">
      <c r="A1878" s="10">
        <v>46059</v>
      </c>
      <c r="B1878" t="s">
        <v>15</v>
      </c>
      <c r="C1878" s="1" t="s">
        <v>16</v>
      </c>
      <c r="D1878" s="3">
        <v>11</v>
      </c>
      <c r="E1878" s="3">
        <v>11</v>
      </c>
      <c r="F1878" s="3">
        <v>30.04</v>
      </c>
      <c r="G1878" s="3">
        <v>0</v>
      </c>
      <c r="H1878" s="3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 s="3">
        <v>9</v>
      </c>
      <c r="N1878" s="3">
        <v>97.5</v>
      </c>
      <c r="O1878" s="12">
        <v>30.075187969924809</v>
      </c>
    </row>
    <row r="1879" spans="1:15" hidden="1" x14ac:dyDescent="0.25">
      <c r="A1879" s="10">
        <v>46059</v>
      </c>
      <c r="B1879" t="s">
        <v>49</v>
      </c>
      <c r="C1879" s="1" t="s">
        <v>48</v>
      </c>
      <c r="D1879" s="3">
        <v>42</v>
      </c>
      <c r="E1879" s="3">
        <v>35</v>
      </c>
      <c r="F1879" s="3">
        <v>15.05</v>
      </c>
      <c r="G1879" s="3">
        <v>0</v>
      </c>
      <c r="H1879" s="3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 s="3">
        <v>36</v>
      </c>
      <c r="N1879" s="3">
        <v>100</v>
      </c>
      <c r="O1879" s="12">
        <v>29.71311475409836</v>
      </c>
    </row>
    <row r="1880" spans="1:15" hidden="1" x14ac:dyDescent="0.25">
      <c r="A1880" s="10">
        <v>46059</v>
      </c>
      <c r="B1880" t="s">
        <v>50</v>
      </c>
      <c r="C1880" s="1" t="s">
        <v>48</v>
      </c>
      <c r="D1880" s="3">
        <v>23</v>
      </c>
      <c r="E1880" s="3">
        <v>22</v>
      </c>
      <c r="F1880" s="3">
        <v>24.01</v>
      </c>
      <c r="G1880" s="3">
        <v>0</v>
      </c>
      <c r="H1880" s="3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 s="3">
        <v>23</v>
      </c>
      <c r="N1880" s="3">
        <v>99.22</v>
      </c>
      <c r="O1880" s="12">
        <v>35.256410256410263</v>
      </c>
    </row>
    <row r="1881" spans="1:15" hidden="1" x14ac:dyDescent="0.25">
      <c r="A1881" s="10">
        <v>46059</v>
      </c>
      <c r="B1881" t="s">
        <v>17</v>
      </c>
      <c r="C1881" s="1" t="s">
        <v>16</v>
      </c>
      <c r="D1881" s="3">
        <v>0</v>
      </c>
      <c r="E1881" s="3">
        <v>0</v>
      </c>
      <c r="F1881" s="3">
        <v>0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 s="3">
        <v>0</v>
      </c>
      <c r="N1881" s="3">
        <v>0</v>
      </c>
      <c r="O1881" s="12">
        <v>0</v>
      </c>
    </row>
    <row r="1882" spans="1:15" hidden="1" x14ac:dyDescent="0.25">
      <c r="A1882" s="10">
        <v>46059</v>
      </c>
      <c r="B1882" t="s">
        <v>60</v>
      </c>
      <c r="C1882" s="1" t="s">
        <v>23</v>
      </c>
      <c r="D1882" s="3">
        <v>40</v>
      </c>
      <c r="E1882" s="3">
        <v>5</v>
      </c>
      <c r="F1882" s="3">
        <v>3.32</v>
      </c>
      <c r="G1882" s="3">
        <v>0</v>
      </c>
      <c r="H1882" s="3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 s="3">
        <v>20</v>
      </c>
      <c r="N1882" s="3">
        <v>98.75</v>
      </c>
      <c r="O1882" s="12">
        <v>24.32432432432433</v>
      </c>
    </row>
    <row r="1883" spans="1:15" hidden="1" x14ac:dyDescent="0.25">
      <c r="A1883" s="10">
        <v>46059</v>
      </c>
      <c r="B1883" t="s">
        <v>34</v>
      </c>
      <c r="C1883" s="1" t="s">
        <v>32</v>
      </c>
      <c r="D1883" s="3">
        <v>44</v>
      </c>
      <c r="E1883" s="3">
        <v>42</v>
      </c>
      <c r="F1883" s="3">
        <v>13.29</v>
      </c>
      <c r="G1883" s="3">
        <v>0</v>
      </c>
      <c r="H1883" s="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 s="3">
        <v>41</v>
      </c>
      <c r="N1883" s="3">
        <v>93.48</v>
      </c>
      <c r="O1883" s="12">
        <v>31.52804642166344</v>
      </c>
    </row>
    <row r="1884" spans="1:15" hidden="1" x14ac:dyDescent="0.25">
      <c r="A1884" s="10">
        <v>46059</v>
      </c>
      <c r="B1884" t="s">
        <v>51</v>
      </c>
      <c r="C1884" s="1" t="s">
        <v>48</v>
      </c>
      <c r="D1884" s="3">
        <v>35</v>
      </c>
      <c r="E1884" s="3">
        <v>32</v>
      </c>
      <c r="F1884" s="3">
        <v>18.350000000000001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 s="3">
        <v>28</v>
      </c>
      <c r="N1884" s="3">
        <v>99.16</v>
      </c>
      <c r="O1884" s="12">
        <v>26.13908872901678</v>
      </c>
    </row>
    <row r="1885" spans="1:15" hidden="1" x14ac:dyDescent="0.25">
      <c r="A1885" s="10">
        <v>46059</v>
      </c>
      <c r="B1885" t="s">
        <v>61</v>
      </c>
      <c r="C1885" s="1" t="s">
        <v>23</v>
      </c>
      <c r="D1885" s="3">
        <v>24</v>
      </c>
      <c r="E1885" s="3">
        <v>21</v>
      </c>
      <c r="F1885" s="3">
        <v>22</v>
      </c>
      <c r="G1885" s="3">
        <v>0</v>
      </c>
      <c r="H1885" s="3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 s="3">
        <v>27</v>
      </c>
      <c r="N1885" s="3">
        <v>100</v>
      </c>
      <c r="O1885" s="12">
        <v>31.089743589743591</v>
      </c>
    </row>
    <row r="1886" spans="1:15" hidden="1" x14ac:dyDescent="0.25">
      <c r="A1886" s="10">
        <v>46059</v>
      </c>
      <c r="B1886" t="s">
        <v>35</v>
      </c>
      <c r="C1886" s="1" t="s">
        <v>32</v>
      </c>
      <c r="D1886" s="3">
        <v>38</v>
      </c>
      <c r="E1886" s="3">
        <v>38</v>
      </c>
      <c r="F1886" s="3">
        <v>19.14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 s="3">
        <v>38</v>
      </c>
      <c r="N1886" s="3">
        <v>98.11</v>
      </c>
      <c r="O1886" s="12">
        <v>33.033707865168537</v>
      </c>
    </row>
    <row r="1887" spans="1:15" hidden="1" x14ac:dyDescent="0.25">
      <c r="A1887" s="10">
        <v>46059</v>
      </c>
      <c r="B1887" t="s">
        <v>18</v>
      </c>
      <c r="C1887" s="1" t="s">
        <v>16</v>
      </c>
      <c r="D1887" s="3">
        <v>49</v>
      </c>
      <c r="E1887" s="3">
        <v>43</v>
      </c>
      <c r="F1887" s="3">
        <v>6.57</v>
      </c>
      <c r="G1887" s="3">
        <v>0</v>
      </c>
      <c r="H1887" s="3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 s="3">
        <v>3</v>
      </c>
      <c r="N1887" s="3">
        <v>78.95</v>
      </c>
      <c r="O1887" s="12">
        <v>38.983050847457633</v>
      </c>
    </row>
    <row r="1888" spans="1:15" hidden="1" x14ac:dyDescent="0.25">
      <c r="A1888" s="10">
        <v>46059</v>
      </c>
      <c r="B1888" t="s">
        <v>52</v>
      </c>
      <c r="C1888" s="1" t="s">
        <v>48</v>
      </c>
      <c r="D1888" s="3">
        <v>35</v>
      </c>
      <c r="E1888" s="3">
        <v>31</v>
      </c>
      <c r="F1888" s="3">
        <v>17.260000000000002</v>
      </c>
      <c r="G1888" s="3">
        <v>0</v>
      </c>
      <c r="H1888" s="3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 s="3">
        <v>29</v>
      </c>
      <c r="N1888" s="3">
        <v>98.45</v>
      </c>
      <c r="O1888" s="12">
        <v>29.281767955801101</v>
      </c>
    </row>
    <row r="1889" spans="1:15" hidden="1" x14ac:dyDescent="0.25">
      <c r="A1889" s="10">
        <v>46059</v>
      </c>
      <c r="B1889" t="s">
        <v>36</v>
      </c>
      <c r="C1889" s="1" t="s">
        <v>32</v>
      </c>
      <c r="D1889" s="3">
        <v>33</v>
      </c>
      <c r="E1889" s="3">
        <v>33</v>
      </c>
      <c r="F1889" s="3">
        <v>17.28</v>
      </c>
      <c r="G1889" s="3">
        <v>0</v>
      </c>
      <c r="H1889" s="3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 s="3">
        <v>33</v>
      </c>
      <c r="N1889" s="3">
        <v>97.84</v>
      </c>
      <c r="O1889" s="12">
        <v>26.282051282051281</v>
      </c>
    </row>
    <row r="1890" spans="1:15" hidden="1" x14ac:dyDescent="0.25">
      <c r="A1890" s="10">
        <v>46059</v>
      </c>
      <c r="B1890" t="s">
        <v>53</v>
      </c>
      <c r="C1890" s="1" t="s">
        <v>48</v>
      </c>
      <c r="D1890" s="3">
        <v>31</v>
      </c>
      <c r="E1890" s="3">
        <v>29</v>
      </c>
      <c r="F1890" s="3">
        <v>20.48</v>
      </c>
      <c r="G1890" s="3">
        <v>0</v>
      </c>
      <c r="H1890" s="3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 s="3">
        <v>26</v>
      </c>
      <c r="N1890" s="3">
        <v>98.5</v>
      </c>
      <c r="O1890" s="12">
        <v>23.97769516728625</v>
      </c>
    </row>
    <row r="1891" spans="1:15" hidden="1" x14ac:dyDescent="0.25">
      <c r="A1891" s="10">
        <v>46093</v>
      </c>
      <c r="B1891" t="s">
        <v>22</v>
      </c>
      <c r="C1891" s="1" t="s">
        <v>23</v>
      </c>
      <c r="D1891" s="3">
        <v>0</v>
      </c>
      <c r="E1891" s="3">
        <v>0</v>
      </c>
      <c r="F1891" s="3">
        <v>0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 s="3">
        <v>14</v>
      </c>
      <c r="N1891" s="3">
        <v>99.05</v>
      </c>
      <c r="O1891" s="12">
        <v>26.621923937360179</v>
      </c>
    </row>
    <row r="1892" spans="1:15" hidden="1" x14ac:dyDescent="0.25">
      <c r="A1892" s="10">
        <v>46059</v>
      </c>
      <c r="B1892" t="s">
        <v>54</v>
      </c>
      <c r="C1892" s="1" t="s">
        <v>48</v>
      </c>
      <c r="D1892" s="3">
        <v>28</v>
      </c>
      <c r="E1892" s="3">
        <v>26</v>
      </c>
      <c r="F1892" s="3">
        <v>22.09</v>
      </c>
      <c r="G1892" s="3">
        <v>0</v>
      </c>
      <c r="H1892" s="3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 s="3">
        <v>25</v>
      </c>
      <c r="N1892" s="3">
        <v>98.53</v>
      </c>
      <c r="O1892" s="12">
        <v>31.578947368421051</v>
      </c>
    </row>
    <row r="1893" spans="1:15" hidden="1" x14ac:dyDescent="0.25">
      <c r="A1893" s="10">
        <v>46059</v>
      </c>
      <c r="B1893" t="s">
        <v>37</v>
      </c>
      <c r="C1893" s="1" t="s">
        <v>32</v>
      </c>
      <c r="D1893" s="3">
        <v>62</v>
      </c>
      <c r="E1893" s="3">
        <v>56</v>
      </c>
      <c r="F1893" s="3">
        <v>12.1</v>
      </c>
      <c r="G1893" s="3">
        <v>0</v>
      </c>
      <c r="H1893" s="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 s="3">
        <v>54</v>
      </c>
      <c r="N1893" s="3">
        <v>100</v>
      </c>
      <c r="O1893" s="12">
        <v>25.72214580467676</v>
      </c>
    </row>
    <row r="1894" spans="1:15" hidden="1" x14ac:dyDescent="0.25">
      <c r="A1894" s="10">
        <v>46059</v>
      </c>
      <c r="B1894" t="s">
        <v>38</v>
      </c>
      <c r="C1894" s="1" t="s">
        <v>32</v>
      </c>
      <c r="D1894" s="3">
        <v>37</v>
      </c>
      <c r="E1894" s="3">
        <v>29</v>
      </c>
      <c r="F1894" s="3">
        <v>10.19</v>
      </c>
      <c r="G1894" s="3">
        <v>0</v>
      </c>
      <c r="H1894" s="3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 s="3">
        <v>27</v>
      </c>
      <c r="N1894" s="3">
        <v>94.64</v>
      </c>
      <c r="O1894" s="12">
        <v>27.52941176470588</v>
      </c>
    </row>
    <row r="1895" spans="1:15" hidden="1" x14ac:dyDescent="0.25">
      <c r="A1895" s="10">
        <v>46059</v>
      </c>
      <c r="B1895" t="s">
        <v>55</v>
      </c>
      <c r="C1895" s="1" t="s">
        <v>48</v>
      </c>
      <c r="D1895" s="3">
        <v>28</v>
      </c>
      <c r="E1895" s="3">
        <v>23</v>
      </c>
      <c r="F1895" s="3">
        <v>18.45</v>
      </c>
      <c r="G1895" s="3">
        <v>0</v>
      </c>
      <c r="H1895" s="3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 s="3">
        <v>21</v>
      </c>
      <c r="N1895" s="3">
        <v>99.07</v>
      </c>
      <c r="O1895" s="12">
        <v>26.376811594202898</v>
      </c>
    </row>
    <row r="1896" spans="1:15" hidden="1" x14ac:dyDescent="0.25">
      <c r="A1896" s="10">
        <v>46059</v>
      </c>
      <c r="B1896" t="s">
        <v>39</v>
      </c>
      <c r="C1896" s="1" t="s">
        <v>32</v>
      </c>
      <c r="D1896" s="3">
        <v>0</v>
      </c>
      <c r="E1896" s="3">
        <v>0</v>
      </c>
      <c r="F1896" s="3">
        <v>0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 s="3">
        <v>0</v>
      </c>
      <c r="N1896" s="3">
        <v>100</v>
      </c>
      <c r="O1896" s="12">
        <v>0</v>
      </c>
    </row>
    <row r="1897" spans="1:15" hidden="1" x14ac:dyDescent="0.25">
      <c r="A1897" s="10">
        <v>46059</v>
      </c>
      <c r="B1897" t="s">
        <v>25</v>
      </c>
      <c r="C1897" s="1" t="s">
        <v>26</v>
      </c>
      <c r="D1897" s="3">
        <v>16</v>
      </c>
      <c r="E1897" s="3">
        <v>15</v>
      </c>
      <c r="F1897" s="3">
        <v>31.5</v>
      </c>
      <c r="G1897" s="3">
        <v>0</v>
      </c>
      <c r="H1897" s="3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 s="3">
        <v>15</v>
      </c>
      <c r="N1897" s="3">
        <v>98.48</v>
      </c>
      <c r="O1897" s="12">
        <v>27.853881278538811</v>
      </c>
    </row>
    <row r="1898" spans="1:15" hidden="1" x14ac:dyDescent="0.25">
      <c r="A1898" s="10">
        <v>46059</v>
      </c>
      <c r="B1898" t="s">
        <v>40</v>
      </c>
      <c r="C1898" s="1" t="s">
        <v>32</v>
      </c>
      <c r="D1898" s="3">
        <v>3</v>
      </c>
      <c r="E1898" s="3">
        <v>3</v>
      </c>
      <c r="F1898" s="3">
        <v>18.2</v>
      </c>
      <c r="G1898" s="3">
        <v>0</v>
      </c>
      <c r="H1898" s="3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 s="3">
        <v>27</v>
      </c>
      <c r="N1898" s="3">
        <v>95.15</v>
      </c>
      <c r="O1898" s="12">
        <v>34.131736526946113</v>
      </c>
    </row>
    <row r="1899" spans="1:15" hidden="1" x14ac:dyDescent="0.25">
      <c r="A1899" s="10">
        <v>46059</v>
      </c>
      <c r="B1899" t="s">
        <v>27</v>
      </c>
      <c r="C1899" s="1" t="s">
        <v>26</v>
      </c>
      <c r="D1899" s="3">
        <v>0</v>
      </c>
      <c r="E1899" s="3">
        <v>0</v>
      </c>
      <c r="F1899" s="3">
        <v>0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 s="3">
        <v>0</v>
      </c>
      <c r="N1899" s="3">
        <v>0</v>
      </c>
      <c r="O1899" s="12">
        <v>0</v>
      </c>
    </row>
    <row r="1900" spans="1:15" hidden="1" x14ac:dyDescent="0.25">
      <c r="A1900" s="10">
        <v>46059</v>
      </c>
      <c r="B1900" t="s">
        <v>41</v>
      </c>
      <c r="C1900" s="1" t="s">
        <v>32</v>
      </c>
      <c r="D1900" s="3">
        <v>26</v>
      </c>
      <c r="E1900" s="3">
        <v>24</v>
      </c>
      <c r="F1900" s="3">
        <v>24.01</v>
      </c>
      <c r="G1900" s="3">
        <v>0</v>
      </c>
      <c r="H1900" s="3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 s="3">
        <v>22</v>
      </c>
      <c r="N1900" s="3">
        <v>99.26</v>
      </c>
      <c r="O1900" s="12">
        <v>30.84832904884319</v>
      </c>
    </row>
    <row r="1901" spans="1:15" hidden="1" x14ac:dyDescent="0.25">
      <c r="A1901" s="10">
        <v>46059</v>
      </c>
      <c r="B1901" t="s">
        <v>56</v>
      </c>
      <c r="C1901" s="1" t="s">
        <v>48</v>
      </c>
      <c r="D1901" s="3">
        <v>38</v>
      </c>
      <c r="E1901" s="3">
        <v>29</v>
      </c>
      <c r="F1901" s="3">
        <v>15.05</v>
      </c>
      <c r="G1901" s="3">
        <v>0</v>
      </c>
      <c r="H1901" s="3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 s="3">
        <v>20</v>
      </c>
      <c r="N1901" s="3">
        <v>97.48</v>
      </c>
      <c r="O1901" s="12">
        <v>27.764705882352938</v>
      </c>
    </row>
    <row r="1902" spans="1:15" hidden="1" x14ac:dyDescent="0.25">
      <c r="A1902" s="10">
        <v>46059</v>
      </c>
      <c r="B1902" t="s">
        <v>57</v>
      </c>
      <c r="C1902" s="1" t="s">
        <v>48</v>
      </c>
      <c r="D1902" s="3">
        <v>41</v>
      </c>
      <c r="E1902" s="3">
        <v>38</v>
      </c>
      <c r="F1902" s="3">
        <v>15.12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 s="3">
        <v>33</v>
      </c>
      <c r="N1902" s="3">
        <v>99.34</v>
      </c>
      <c r="O1902" s="12">
        <v>30.04291845493562</v>
      </c>
    </row>
    <row r="1903" spans="1:15" hidden="1" x14ac:dyDescent="0.25">
      <c r="A1903" s="10">
        <v>46059</v>
      </c>
      <c r="B1903" t="s">
        <v>42</v>
      </c>
      <c r="C1903" s="1" t="s">
        <v>32</v>
      </c>
      <c r="D1903" s="3">
        <v>42</v>
      </c>
      <c r="E1903" s="3">
        <v>27</v>
      </c>
      <c r="F1903" s="3">
        <v>11.53</v>
      </c>
      <c r="G1903" s="3">
        <v>0</v>
      </c>
      <c r="H1903" s="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 s="3">
        <v>19</v>
      </c>
      <c r="N1903" s="3">
        <v>96.3</v>
      </c>
      <c r="O1903" s="12">
        <v>24.29378531073446</v>
      </c>
    </row>
    <row r="1904" spans="1:15" hidden="1" x14ac:dyDescent="0.25">
      <c r="A1904" s="10">
        <v>46059</v>
      </c>
      <c r="B1904" t="s">
        <v>62</v>
      </c>
      <c r="C1904" s="1" t="s">
        <v>23</v>
      </c>
      <c r="D1904" s="3">
        <v>34</v>
      </c>
      <c r="E1904" s="3">
        <v>32</v>
      </c>
      <c r="F1904" s="3">
        <v>18.45</v>
      </c>
      <c r="G1904" s="3">
        <v>0</v>
      </c>
      <c r="H1904" s="3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 s="3">
        <v>32</v>
      </c>
      <c r="N1904" s="3">
        <v>100</v>
      </c>
      <c r="O1904" s="12">
        <v>26.543209876543209</v>
      </c>
    </row>
    <row r="1905" spans="1:15" hidden="1" x14ac:dyDescent="0.25">
      <c r="A1905" s="10">
        <v>46059</v>
      </c>
      <c r="B1905" t="s">
        <v>19</v>
      </c>
      <c r="C1905" s="1" t="s">
        <v>16</v>
      </c>
      <c r="D1905" s="3">
        <v>74</v>
      </c>
      <c r="E1905" s="3">
        <v>33</v>
      </c>
      <c r="F1905" s="3">
        <v>3.27</v>
      </c>
      <c r="G1905" s="3">
        <v>0</v>
      </c>
      <c r="H1905" s="3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 s="3">
        <v>0</v>
      </c>
      <c r="N1905" s="3">
        <v>100</v>
      </c>
      <c r="O1905" s="12">
        <v>35.483870967741943</v>
      </c>
    </row>
    <row r="1906" spans="1:15" hidden="1" x14ac:dyDescent="0.25">
      <c r="A1906" s="10">
        <v>46059</v>
      </c>
      <c r="B1906" t="s">
        <v>43</v>
      </c>
      <c r="C1906" s="1" t="s">
        <v>32</v>
      </c>
      <c r="D1906" s="3">
        <v>42</v>
      </c>
      <c r="E1906" s="3">
        <v>40</v>
      </c>
      <c r="F1906" s="3">
        <v>13.59</v>
      </c>
      <c r="G1906" s="3">
        <v>0</v>
      </c>
      <c r="H1906" s="3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 s="3">
        <v>38</v>
      </c>
      <c r="N1906" s="3">
        <v>99.27</v>
      </c>
      <c r="O1906" s="12">
        <v>31.163708086785011</v>
      </c>
    </row>
    <row r="1907" spans="1:15" hidden="1" x14ac:dyDescent="0.25">
      <c r="A1907" s="10">
        <v>46059</v>
      </c>
      <c r="B1907" t="s">
        <v>44</v>
      </c>
      <c r="C1907" s="1" t="s">
        <v>32</v>
      </c>
      <c r="D1907" s="3">
        <v>27</v>
      </c>
      <c r="E1907" s="3">
        <v>25</v>
      </c>
      <c r="F1907" s="3">
        <v>20.440000000000001</v>
      </c>
      <c r="G1907" s="3">
        <v>0</v>
      </c>
      <c r="H1907" s="3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 s="3">
        <v>22</v>
      </c>
      <c r="N1907" s="3">
        <v>94.16</v>
      </c>
      <c r="O1907" s="12">
        <v>27.038626609442058</v>
      </c>
    </row>
    <row r="1908" spans="1:15" hidden="1" x14ac:dyDescent="0.25">
      <c r="A1908" s="10">
        <v>46059</v>
      </c>
      <c r="B1908" t="s">
        <v>20</v>
      </c>
      <c r="C1908" s="1" t="s">
        <v>16</v>
      </c>
      <c r="D1908" s="3">
        <v>13</v>
      </c>
      <c r="E1908" s="3">
        <v>11</v>
      </c>
      <c r="F1908" s="3">
        <v>57.38</v>
      </c>
      <c r="G1908" s="3">
        <v>0</v>
      </c>
      <c r="H1908" s="3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 s="3">
        <v>5</v>
      </c>
      <c r="N1908" s="3">
        <v>93.75</v>
      </c>
      <c r="O1908" s="12">
        <v>19.31818181818182</v>
      </c>
    </row>
    <row r="1909" spans="1:15" hidden="1" x14ac:dyDescent="0.25">
      <c r="A1909" s="10">
        <v>46059</v>
      </c>
      <c r="B1909" t="s">
        <v>28</v>
      </c>
      <c r="C1909" s="1" t="s">
        <v>26</v>
      </c>
      <c r="D1909" s="3">
        <v>0</v>
      </c>
      <c r="E1909" s="3">
        <v>0</v>
      </c>
      <c r="F1909" s="3">
        <v>0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 s="3">
        <v>0</v>
      </c>
      <c r="N1909" s="3">
        <v>0</v>
      </c>
      <c r="O1909" s="12">
        <v>0</v>
      </c>
    </row>
    <row r="1910" spans="1:15" hidden="1" x14ac:dyDescent="0.25">
      <c r="A1910" s="10">
        <v>46059</v>
      </c>
      <c r="B1910" t="s">
        <v>58</v>
      </c>
      <c r="C1910" s="1" t="s">
        <v>48</v>
      </c>
      <c r="D1910" s="3">
        <v>0</v>
      </c>
      <c r="E1910" s="3">
        <v>0</v>
      </c>
      <c r="F1910" s="3">
        <v>0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 s="3">
        <v>0</v>
      </c>
      <c r="N1910" s="3">
        <v>97.92</v>
      </c>
      <c r="O1910" s="12">
        <v>32.87671232876712</v>
      </c>
    </row>
    <row r="1911" spans="1:15" hidden="1" x14ac:dyDescent="0.25">
      <c r="A1911" s="10">
        <v>46059</v>
      </c>
      <c r="B1911" t="s">
        <v>29</v>
      </c>
      <c r="C1911" s="1" t="s">
        <v>26</v>
      </c>
      <c r="D1911" s="3">
        <v>0</v>
      </c>
      <c r="E1911" s="3">
        <v>0</v>
      </c>
      <c r="F1911" s="3">
        <v>0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 s="3">
        <v>0</v>
      </c>
      <c r="N1911" s="3">
        <v>0</v>
      </c>
      <c r="O1911" s="12">
        <v>0</v>
      </c>
    </row>
    <row r="1912" spans="1:15" hidden="1" x14ac:dyDescent="0.25">
      <c r="A1912" s="10">
        <v>46059</v>
      </c>
      <c r="B1912" t="s">
        <v>30</v>
      </c>
      <c r="C1912" s="1" t="s">
        <v>26</v>
      </c>
      <c r="D1912" s="3">
        <v>0</v>
      </c>
      <c r="E1912" s="3">
        <v>0</v>
      </c>
      <c r="F1912" s="3">
        <v>0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 s="3">
        <v>0</v>
      </c>
      <c r="N1912" s="3">
        <v>0</v>
      </c>
      <c r="O1912" s="12">
        <v>0</v>
      </c>
    </row>
    <row r="1913" spans="1:15" hidden="1" x14ac:dyDescent="0.25">
      <c r="A1913" s="10">
        <v>46059</v>
      </c>
      <c r="B1913" t="s">
        <v>21</v>
      </c>
      <c r="C1913" s="1" t="s">
        <v>16</v>
      </c>
      <c r="D1913" s="3">
        <v>0</v>
      </c>
      <c r="E1913" s="3">
        <v>0</v>
      </c>
      <c r="F1913" s="3">
        <v>0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 s="3">
        <v>0</v>
      </c>
      <c r="N1913" s="3">
        <v>0</v>
      </c>
      <c r="O1913" s="12">
        <v>0</v>
      </c>
    </row>
    <row r="1914" spans="1:15" hidden="1" x14ac:dyDescent="0.25">
      <c r="A1914" s="10">
        <v>46059</v>
      </c>
      <c r="B1914" t="s">
        <v>63</v>
      </c>
      <c r="C1914" s="1" t="s">
        <v>23</v>
      </c>
      <c r="D1914" s="3">
        <v>15</v>
      </c>
      <c r="E1914" s="3">
        <v>13</v>
      </c>
      <c r="F1914" s="3">
        <v>48.42</v>
      </c>
      <c r="G1914" s="3">
        <v>0</v>
      </c>
      <c r="H1914" s="3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 s="3">
        <v>12</v>
      </c>
      <c r="N1914" s="3">
        <v>98.51</v>
      </c>
      <c r="O1914" s="12">
        <v>29.710144927536231</v>
      </c>
    </row>
    <row r="1915" spans="1:15" hidden="1" x14ac:dyDescent="0.25">
      <c r="A1915" s="10">
        <v>46059</v>
      </c>
      <c r="B1915" t="s">
        <v>45</v>
      </c>
      <c r="C1915" s="1" t="s">
        <v>32</v>
      </c>
      <c r="D1915" s="3">
        <v>32</v>
      </c>
      <c r="E1915" s="3">
        <v>27</v>
      </c>
      <c r="F1915" s="3">
        <v>13.39</v>
      </c>
      <c r="G1915" s="3">
        <v>0</v>
      </c>
      <c r="H1915" s="3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 s="3">
        <v>21</v>
      </c>
      <c r="N1915" s="3">
        <v>98.81</v>
      </c>
      <c r="O1915" s="12">
        <v>30.712979890310791</v>
      </c>
    </row>
    <row r="1916" spans="1:15" hidden="1" x14ac:dyDescent="0.25">
      <c r="A1916" s="10">
        <v>46059</v>
      </c>
      <c r="B1916" t="s">
        <v>64</v>
      </c>
      <c r="C1916" s="1" t="s">
        <v>23</v>
      </c>
      <c r="D1916" s="3">
        <v>17</v>
      </c>
      <c r="E1916" s="3">
        <v>17</v>
      </c>
      <c r="F1916" s="3">
        <v>32.31</v>
      </c>
      <c r="G1916" s="3">
        <v>0</v>
      </c>
      <c r="H1916" s="3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 s="3">
        <v>15</v>
      </c>
      <c r="N1916" s="3">
        <v>98.48</v>
      </c>
      <c r="O1916" s="12">
        <v>29.35323383084577</v>
      </c>
    </row>
    <row r="1917" spans="1:15" hidden="1" x14ac:dyDescent="0.25">
      <c r="A1917" s="10">
        <v>46059</v>
      </c>
      <c r="B1917" t="s">
        <v>46</v>
      </c>
      <c r="C1917" s="1" t="s">
        <v>32</v>
      </c>
      <c r="D1917" s="3">
        <v>40</v>
      </c>
      <c r="E1917" s="3">
        <v>40</v>
      </c>
      <c r="F1917" s="3">
        <v>13.29</v>
      </c>
      <c r="G1917" s="3">
        <v>0</v>
      </c>
      <c r="H1917" s="3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 s="3">
        <v>37</v>
      </c>
      <c r="N1917" s="3">
        <v>98.56</v>
      </c>
      <c r="O1917" s="12">
        <v>29.373650107991359</v>
      </c>
    </row>
    <row r="1918" spans="1:15" hidden="1" x14ac:dyDescent="0.25">
      <c r="A1918" s="10">
        <v>46062</v>
      </c>
      <c r="B1918" t="s">
        <v>47</v>
      </c>
      <c r="C1918" s="1" t="s">
        <v>48</v>
      </c>
      <c r="D1918" s="3">
        <v>31</v>
      </c>
      <c r="E1918" s="3">
        <v>28</v>
      </c>
      <c r="F1918" s="3">
        <v>13.22</v>
      </c>
      <c r="G1918" s="3">
        <v>0</v>
      </c>
      <c r="H1918" s="3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 s="3">
        <v>26</v>
      </c>
      <c r="N1918" s="3">
        <v>98.32</v>
      </c>
      <c r="O1918" s="12">
        <v>30.303030303030301</v>
      </c>
    </row>
    <row r="1919" spans="1:15" hidden="1" x14ac:dyDescent="0.25">
      <c r="A1919" s="10">
        <v>46062</v>
      </c>
      <c r="B1919" t="s">
        <v>31</v>
      </c>
      <c r="C1919" s="1" t="s">
        <v>32</v>
      </c>
      <c r="D1919" s="3">
        <v>0</v>
      </c>
      <c r="E1919" s="3">
        <v>0</v>
      </c>
      <c r="F1919" s="3">
        <v>0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 s="3">
        <v>29</v>
      </c>
      <c r="N1919" s="3">
        <v>98.68</v>
      </c>
      <c r="O1919" s="12">
        <v>26.219512195121951</v>
      </c>
    </row>
    <row r="1920" spans="1:15" hidden="1" x14ac:dyDescent="0.25">
      <c r="A1920" s="10">
        <v>46062</v>
      </c>
      <c r="B1920" t="s">
        <v>59</v>
      </c>
      <c r="C1920" s="1" t="s">
        <v>23</v>
      </c>
      <c r="D1920" s="3">
        <v>32</v>
      </c>
      <c r="E1920" s="3">
        <v>29</v>
      </c>
      <c r="F1920" s="3">
        <v>20.190000000000001</v>
      </c>
      <c r="G1920" s="3">
        <v>0</v>
      </c>
      <c r="H1920" s="3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 s="3">
        <v>30</v>
      </c>
      <c r="N1920" s="3">
        <v>100</v>
      </c>
      <c r="O1920" s="12">
        <v>31.74224343675418</v>
      </c>
    </row>
    <row r="1921" spans="1:15" hidden="1" x14ac:dyDescent="0.25">
      <c r="A1921" s="10">
        <v>46062</v>
      </c>
      <c r="B1921" t="s">
        <v>33</v>
      </c>
      <c r="C1921" s="1" t="s">
        <v>32</v>
      </c>
      <c r="D1921" s="3">
        <v>25</v>
      </c>
      <c r="E1921" s="3">
        <v>23</v>
      </c>
      <c r="F1921" s="3">
        <v>19.03</v>
      </c>
      <c r="G1921" s="3">
        <v>0</v>
      </c>
      <c r="H1921" s="3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 s="3">
        <v>24</v>
      </c>
      <c r="N1921" s="3">
        <v>98.25</v>
      </c>
      <c r="O1921" s="12">
        <v>25.83518930957684</v>
      </c>
    </row>
    <row r="1922" spans="1:15" hidden="1" x14ac:dyDescent="0.25">
      <c r="A1922" s="10">
        <v>46062</v>
      </c>
      <c r="B1922" t="s">
        <v>15</v>
      </c>
      <c r="C1922" s="1" t="s">
        <v>16</v>
      </c>
      <c r="D1922" s="3">
        <v>9</v>
      </c>
      <c r="E1922" s="3">
        <v>9</v>
      </c>
      <c r="F1922" s="3">
        <v>38.29</v>
      </c>
      <c r="G1922" s="3">
        <v>0</v>
      </c>
      <c r="H1922" s="3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 s="3">
        <v>5</v>
      </c>
      <c r="N1922" s="3">
        <v>97.5</v>
      </c>
      <c r="O1922" s="12">
        <v>30.075187969924809</v>
      </c>
    </row>
    <row r="1923" spans="1:15" hidden="1" x14ac:dyDescent="0.25">
      <c r="A1923" s="10">
        <v>46062</v>
      </c>
      <c r="B1923" t="s">
        <v>49</v>
      </c>
      <c r="C1923" s="1" t="s">
        <v>48</v>
      </c>
      <c r="D1923" s="3">
        <v>26</v>
      </c>
      <c r="E1923" s="3">
        <v>24</v>
      </c>
      <c r="F1923" s="3">
        <v>17.3</v>
      </c>
      <c r="G1923" s="3">
        <v>0</v>
      </c>
      <c r="H1923" s="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 s="3">
        <v>26</v>
      </c>
      <c r="N1923" s="3">
        <v>100</v>
      </c>
      <c r="O1923" s="12">
        <v>29.71311475409836</v>
      </c>
    </row>
    <row r="1924" spans="1:15" hidden="1" x14ac:dyDescent="0.25">
      <c r="A1924" s="10">
        <v>46062</v>
      </c>
      <c r="B1924" t="s">
        <v>50</v>
      </c>
      <c r="C1924" s="1" t="s">
        <v>48</v>
      </c>
      <c r="D1924" s="3">
        <v>21</v>
      </c>
      <c r="E1924" s="3">
        <v>21</v>
      </c>
      <c r="F1924" s="3">
        <v>37.299999999999997</v>
      </c>
      <c r="G1924" s="3">
        <v>0</v>
      </c>
      <c r="H1924" s="3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 s="3">
        <v>22</v>
      </c>
      <c r="N1924" s="3">
        <v>99.22</v>
      </c>
      <c r="O1924" s="12">
        <v>35.256410256410263</v>
      </c>
    </row>
    <row r="1925" spans="1:15" hidden="1" x14ac:dyDescent="0.25">
      <c r="A1925" s="10">
        <v>46062</v>
      </c>
      <c r="B1925" t="s">
        <v>17</v>
      </c>
      <c r="C1925" s="1" t="s">
        <v>16</v>
      </c>
      <c r="D1925" s="3">
        <v>0</v>
      </c>
      <c r="E1925" s="3">
        <v>0</v>
      </c>
      <c r="F1925" s="3">
        <v>0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 s="3">
        <v>0</v>
      </c>
      <c r="N1925" s="3">
        <v>0</v>
      </c>
      <c r="O1925" s="12">
        <v>0</v>
      </c>
    </row>
    <row r="1926" spans="1:15" hidden="1" x14ac:dyDescent="0.25">
      <c r="A1926" s="10">
        <v>46062</v>
      </c>
      <c r="B1926" t="s">
        <v>60</v>
      </c>
      <c r="C1926" s="1" t="s">
        <v>23</v>
      </c>
      <c r="D1926" s="3">
        <v>19</v>
      </c>
      <c r="E1926" s="3">
        <v>17</v>
      </c>
      <c r="F1926" s="3">
        <v>25.31</v>
      </c>
      <c r="G1926" s="3">
        <v>0</v>
      </c>
      <c r="H1926" s="3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 s="3">
        <v>19</v>
      </c>
      <c r="N1926" s="3">
        <v>98.75</v>
      </c>
      <c r="O1926" s="12">
        <v>24.32432432432433</v>
      </c>
    </row>
    <row r="1927" spans="1:15" hidden="1" x14ac:dyDescent="0.25">
      <c r="A1927" s="10">
        <v>46062</v>
      </c>
      <c r="B1927" t="s">
        <v>34</v>
      </c>
      <c r="C1927" s="1" t="s">
        <v>32</v>
      </c>
      <c r="D1927" s="3">
        <v>41</v>
      </c>
      <c r="E1927" s="3">
        <v>37</v>
      </c>
      <c r="F1927" s="3">
        <v>12.18</v>
      </c>
      <c r="G1927" s="3">
        <v>0</v>
      </c>
      <c r="H1927" s="3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 s="3">
        <v>35</v>
      </c>
      <c r="N1927" s="3">
        <v>93.48</v>
      </c>
      <c r="O1927" s="12">
        <v>31.52804642166344</v>
      </c>
    </row>
    <row r="1928" spans="1:15" hidden="1" x14ac:dyDescent="0.25">
      <c r="A1928" s="10">
        <v>46062</v>
      </c>
      <c r="B1928" t="s">
        <v>51</v>
      </c>
      <c r="C1928" s="1" t="s">
        <v>48</v>
      </c>
      <c r="D1928" s="3">
        <v>0</v>
      </c>
      <c r="E1928" s="3">
        <v>0</v>
      </c>
      <c r="F1928" s="3">
        <v>0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 s="3">
        <v>1</v>
      </c>
      <c r="N1928" s="3">
        <v>99.16</v>
      </c>
      <c r="O1928" s="12">
        <v>26.13908872901678</v>
      </c>
    </row>
    <row r="1929" spans="1:15" hidden="1" x14ac:dyDescent="0.25">
      <c r="A1929" s="10">
        <v>46062</v>
      </c>
      <c r="B1929" t="s">
        <v>61</v>
      </c>
      <c r="C1929" s="1" t="s">
        <v>23</v>
      </c>
      <c r="D1929" s="3">
        <v>18</v>
      </c>
      <c r="E1929" s="3">
        <v>18</v>
      </c>
      <c r="F1929" s="3">
        <v>33.479999999999997</v>
      </c>
      <c r="G1929" s="3">
        <v>0</v>
      </c>
      <c r="H1929" s="3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 s="3">
        <v>25</v>
      </c>
      <c r="N1929" s="3">
        <v>100</v>
      </c>
      <c r="O1929" s="12">
        <v>31.089743589743591</v>
      </c>
    </row>
    <row r="1930" spans="1:15" hidden="1" x14ac:dyDescent="0.25">
      <c r="A1930" s="10">
        <v>46062</v>
      </c>
      <c r="B1930" t="s">
        <v>35</v>
      </c>
      <c r="C1930" s="1" t="s">
        <v>32</v>
      </c>
      <c r="D1930" s="3">
        <v>26</v>
      </c>
      <c r="E1930" s="3">
        <v>25</v>
      </c>
      <c r="F1930" s="3">
        <v>28.5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 s="3">
        <v>24</v>
      </c>
      <c r="N1930" s="3">
        <v>98.11</v>
      </c>
      <c r="O1930" s="12">
        <v>33.033707865168537</v>
      </c>
    </row>
    <row r="1931" spans="1:15" hidden="1" x14ac:dyDescent="0.25">
      <c r="A1931" s="10">
        <v>46062</v>
      </c>
      <c r="B1931" t="s">
        <v>18</v>
      </c>
      <c r="C1931" s="1" t="s">
        <v>16</v>
      </c>
      <c r="D1931" s="3">
        <v>14</v>
      </c>
      <c r="E1931" s="3">
        <v>13</v>
      </c>
      <c r="F1931" s="3">
        <v>28.59</v>
      </c>
      <c r="G1931" s="3">
        <v>0</v>
      </c>
      <c r="H1931" s="3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 s="3">
        <v>3</v>
      </c>
      <c r="N1931" s="3">
        <v>78.95</v>
      </c>
      <c r="O1931" s="12">
        <v>38.983050847457633</v>
      </c>
    </row>
    <row r="1932" spans="1:15" hidden="1" x14ac:dyDescent="0.25">
      <c r="A1932" s="10">
        <v>46062</v>
      </c>
      <c r="B1932" t="s">
        <v>52</v>
      </c>
      <c r="C1932" s="1" t="s">
        <v>48</v>
      </c>
      <c r="D1932" s="3">
        <v>35</v>
      </c>
      <c r="E1932" s="3">
        <v>33</v>
      </c>
      <c r="F1932" s="3">
        <v>22.21</v>
      </c>
      <c r="G1932" s="3">
        <v>0</v>
      </c>
      <c r="H1932" s="3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 s="3">
        <v>29</v>
      </c>
      <c r="N1932" s="3">
        <v>98.45</v>
      </c>
      <c r="O1932" s="12">
        <v>29.281767955801101</v>
      </c>
    </row>
    <row r="1933" spans="1:15" hidden="1" x14ac:dyDescent="0.25">
      <c r="A1933" s="10">
        <v>46062</v>
      </c>
      <c r="B1933" t="s">
        <v>36</v>
      </c>
      <c r="C1933" s="1" t="s">
        <v>32</v>
      </c>
      <c r="D1933" s="3">
        <v>29</v>
      </c>
      <c r="E1933" s="3">
        <v>27</v>
      </c>
      <c r="F1933" s="3">
        <v>19.010000000000002</v>
      </c>
      <c r="G1933" s="3">
        <v>0</v>
      </c>
      <c r="H1933" s="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 s="3">
        <v>28</v>
      </c>
      <c r="N1933" s="3">
        <v>97.84</v>
      </c>
      <c r="O1933" s="12">
        <v>26.282051282051281</v>
      </c>
    </row>
    <row r="1934" spans="1:15" hidden="1" x14ac:dyDescent="0.25">
      <c r="A1934" s="10">
        <v>46062</v>
      </c>
      <c r="B1934" t="s">
        <v>53</v>
      </c>
      <c r="C1934" s="1" t="s">
        <v>48</v>
      </c>
      <c r="D1934" s="3">
        <v>53</v>
      </c>
      <c r="E1934" s="3">
        <v>46</v>
      </c>
      <c r="F1934" s="3">
        <v>12.33</v>
      </c>
      <c r="G1934" s="3">
        <v>0</v>
      </c>
      <c r="H1934" s="3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 s="3">
        <v>40</v>
      </c>
      <c r="N1934" s="3">
        <v>98.5</v>
      </c>
      <c r="O1934" s="12">
        <v>23.97769516728625</v>
      </c>
    </row>
    <row r="1935" spans="1:15" hidden="1" x14ac:dyDescent="0.25">
      <c r="A1935" s="10">
        <v>46094</v>
      </c>
      <c r="B1935" t="s">
        <v>22</v>
      </c>
      <c r="C1935" s="1" t="s">
        <v>23</v>
      </c>
      <c r="D1935" s="3">
        <v>9</v>
      </c>
      <c r="E1935" s="3">
        <v>9</v>
      </c>
      <c r="F1935" s="3">
        <v>28.58</v>
      </c>
      <c r="G1935" s="3">
        <v>0</v>
      </c>
      <c r="H1935" s="3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 s="3">
        <v>11</v>
      </c>
      <c r="N1935" s="3">
        <v>99.05</v>
      </c>
      <c r="O1935" s="12">
        <v>26.621923937360179</v>
      </c>
    </row>
    <row r="1936" spans="1:15" hidden="1" x14ac:dyDescent="0.25">
      <c r="A1936" s="10">
        <v>46062</v>
      </c>
      <c r="B1936" t="s">
        <v>54</v>
      </c>
      <c r="C1936" s="1" t="s">
        <v>48</v>
      </c>
      <c r="D1936" s="3">
        <v>20</v>
      </c>
      <c r="E1936" s="3">
        <v>19</v>
      </c>
      <c r="F1936" s="3">
        <v>19.010000000000002</v>
      </c>
      <c r="G1936" s="3">
        <v>0</v>
      </c>
      <c r="H1936" s="3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 s="3">
        <v>15</v>
      </c>
      <c r="N1936" s="3">
        <v>98.53</v>
      </c>
      <c r="O1936" s="12">
        <v>31.578947368421051</v>
      </c>
    </row>
    <row r="1937" spans="1:15" hidden="1" x14ac:dyDescent="0.25">
      <c r="A1937" s="10">
        <v>46062</v>
      </c>
      <c r="B1937" t="s">
        <v>37</v>
      </c>
      <c r="C1937" s="1" t="s">
        <v>32</v>
      </c>
      <c r="D1937" s="3">
        <v>43</v>
      </c>
      <c r="E1937" s="3">
        <v>40</v>
      </c>
      <c r="F1937" s="3">
        <v>14.17</v>
      </c>
      <c r="G1937" s="3">
        <v>0</v>
      </c>
      <c r="H1937" s="3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 s="3">
        <v>39</v>
      </c>
      <c r="N1937" s="3">
        <v>100</v>
      </c>
      <c r="O1937" s="12">
        <v>25.72214580467676</v>
      </c>
    </row>
    <row r="1938" spans="1:15" hidden="1" x14ac:dyDescent="0.25">
      <c r="A1938" s="10">
        <v>46062</v>
      </c>
      <c r="B1938" t="s">
        <v>38</v>
      </c>
      <c r="C1938" s="1" t="s">
        <v>32</v>
      </c>
      <c r="D1938" s="3">
        <v>22</v>
      </c>
      <c r="E1938" s="3">
        <v>20</v>
      </c>
      <c r="F1938" s="3">
        <v>12.13</v>
      </c>
      <c r="G1938" s="3">
        <v>0</v>
      </c>
      <c r="H1938" s="3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 s="3">
        <v>18</v>
      </c>
      <c r="N1938" s="3">
        <v>94.64</v>
      </c>
      <c r="O1938" s="12">
        <v>27.52941176470588</v>
      </c>
    </row>
    <row r="1939" spans="1:15" hidden="1" x14ac:dyDescent="0.25">
      <c r="A1939" s="10">
        <v>46062</v>
      </c>
      <c r="B1939" t="s">
        <v>55</v>
      </c>
      <c r="C1939" s="1" t="s">
        <v>48</v>
      </c>
      <c r="D1939" s="3">
        <v>33</v>
      </c>
      <c r="E1939" s="3">
        <v>22</v>
      </c>
      <c r="F1939" s="3">
        <v>20.440000000000001</v>
      </c>
      <c r="G1939" s="3">
        <v>0</v>
      </c>
      <c r="H1939" s="3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 s="3">
        <v>20</v>
      </c>
      <c r="N1939" s="3">
        <v>99.07</v>
      </c>
      <c r="O1939" s="12">
        <v>26.376811594202898</v>
      </c>
    </row>
    <row r="1940" spans="1:15" hidden="1" x14ac:dyDescent="0.25">
      <c r="A1940" s="10">
        <v>46062</v>
      </c>
      <c r="B1940" t="s">
        <v>39</v>
      </c>
      <c r="C1940" s="1" t="s">
        <v>32</v>
      </c>
      <c r="D1940" s="3">
        <v>0</v>
      </c>
      <c r="E1940" s="3">
        <v>0</v>
      </c>
      <c r="F1940" s="3">
        <v>0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 s="3">
        <v>0</v>
      </c>
      <c r="N1940" s="3">
        <v>100</v>
      </c>
      <c r="O1940" s="12">
        <v>0</v>
      </c>
    </row>
    <row r="1941" spans="1:15" hidden="1" x14ac:dyDescent="0.25">
      <c r="A1941" s="10">
        <v>46062</v>
      </c>
      <c r="B1941" t="s">
        <v>25</v>
      </c>
      <c r="C1941" s="1" t="s">
        <v>26</v>
      </c>
      <c r="D1941" s="3">
        <v>7</v>
      </c>
      <c r="E1941" s="3">
        <v>6</v>
      </c>
      <c r="F1941" s="3">
        <v>26.45</v>
      </c>
      <c r="G1941" s="3">
        <v>0</v>
      </c>
      <c r="H1941" s="3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 s="3">
        <v>7</v>
      </c>
      <c r="N1941" s="3">
        <v>98.48</v>
      </c>
      <c r="O1941" s="12">
        <v>27.853881278538811</v>
      </c>
    </row>
    <row r="1942" spans="1:15" hidden="1" x14ac:dyDescent="0.25">
      <c r="A1942" s="10">
        <v>46062</v>
      </c>
      <c r="B1942" t="s">
        <v>40</v>
      </c>
      <c r="C1942" s="1" t="s">
        <v>32</v>
      </c>
      <c r="D1942" s="3">
        <v>78</v>
      </c>
      <c r="E1942" s="3">
        <v>16</v>
      </c>
      <c r="F1942" s="3">
        <v>5.37</v>
      </c>
      <c r="G1942" s="3">
        <v>0</v>
      </c>
      <c r="H1942" s="3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 s="3">
        <v>5</v>
      </c>
      <c r="N1942" s="3">
        <v>95.15</v>
      </c>
      <c r="O1942" s="12">
        <v>34.131736526946113</v>
      </c>
    </row>
    <row r="1943" spans="1:15" hidden="1" x14ac:dyDescent="0.25">
      <c r="A1943" s="10">
        <v>46062</v>
      </c>
      <c r="B1943" t="s">
        <v>27</v>
      </c>
      <c r="C1943" s="1" t="s">
        <v>26</v>
      </c>
      <c r="D1943" s="3">
        <v>0</v>
      </c>
      <c r="E1943" s="3">
        <v>0</v>
      </c>
      <c r="F1943" s="3">
        <v>0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 s="3">
        <v>0</v>
      </c>
      <c r="N1943" s="3">
        <v>0</v>
      </c>
      <c r="O1943" s="12">
        <v>0</v>
      </c>
    </row>
    <row r="1944" spans="1:15" hidden="1" x14ac:dyDescent="0.25">
      <c r="A1944" s="10">
        <v>46062</v>
      </c>
      <c r="B1944" t="s">
        <v>41</v>
      </c>
      <c r="C1944" s="1" t="s">
        <v>32</v>
      </c>
      <c r="D1944" s="3">
        <v>17</v>
      </c>
      <c r="E1944" s="3">
        <v>16</v>
      </c>
      <c r="F1944" s="3">
        <v>35.020000000000003</v>
      </c>
      <c r="G1944" s="3">
        <v>0</v>
      </c>
      <c r="H1944" s="3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 s="3">
        <v>14</v>
      </c>
      <c r="N1944" s="3">
        <v>99.26</v>
      </c>
      <c r="O1944" s="12">
        <v>30.84832904884319</v>
      </c>
    </row>
    <row r="1945" spans="1:15" hidden="1" x14ac:dyDescent="0.25">
      <c r="A1945" s="10">
        <v>46062</v>
      </c>
      <c r="B1945" t="s">
        <v>56</v>
      </c>
      <c r="C1945" s="1" t="s">
        <v>48</v>
      </c>
      <c r="D1945" s="3">
        <v>28</v>
      </c>
      <c r="E1945" s="3">
        <v>26</v>
      </c>
      <c r="F1945" s="3">
        <v>25.46</v>
      </c>
      <c r="G1945" s="3">
        <v>0</v>
      </c>
      <c r="H1945" s="3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 s="3">
        <v>9</v>
      </c>
      <c r="N1945" s="3">
        <v>97.48</v>
      </c>
      <c r="O1945" s="12">
        <v>27.764705882352938</v>
      </c>
    </row>
    <row r="1946" spans="1:15" hidden="1" x14ac:dyDescent="0.25">
      <c r="A1946" s="10">
        <v>46062</v>
      </c>
      <c r="B1946" t="s">
        <v>57</v>
      </c>
      <c r="C1946" s="1" t="s">
        <v>48</v>
      </c>
      <c r="D1946" s="3">
        <v>37</v>
      </c>
      <c r="E1946" s="3">
        <v>34</v>
      </c>
      <c r="F1946" s="3">
        <v>18.41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 s="3">
        <v>29</v>
      </c>
      <c r="N1946" s="3">
        <v>99.34</v>
      </c>
      <c r="O1946" s="12">
        <v>30.04291845493562</v>
      </c>
    </row>
    <row r="1947" spans="1:15" hidden="1" x14ac:dyDescent="0.25">
      <c r="A1947" s="10">
        <v>46062</v>
      </c>
      <c r="B1947" t="s">
        <v>42</v>
      </c>
      <c r="C1947" s="1" t="s">
        <v>32</v>
      </c>
      <c r="D1947" s="3">
        <v>53</v>
      </c>
      <c r="E1947" s="3">
        <v>35</v>
      </c>
      <c r="F1947" s="3">
        <v>13.34</v>
      </c>
      <c r="G1947" s="3">
        <v>0</v>
      </c>
      <c r="H1947" s="3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 s="3">
        <v>18</v>
      </c>
      <c r="N1947" s="3">
        <v>96.3</v>
      </c>
      <c r="O1947" s="12">
        <v>24.29378531073446</v>
      </c>
    </row>
    <row r="1948" spans="1:15" hidden="1" x14ac:dyDescent="0.25">
      <c r="A1948" s="10">
        <v>46062</v>
      </c>
      <c r="B1948" t="s">
        <v>62</v>
      </c>
      <c r="C1948" s="1" t="s">
        <v>23</v>
      </c>
      <c r="D1948" s="3">
        <v>24</v>
      </c>
      <c r="E1948" s="3">
        <v>19</v>
      </c>
      <c r="F1948" s="3">
        <v>18.43</v>
      </c>
      <c r="G1948" s="3">
        <v>0</v>
      </c>
      <c r="H1948" s="3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 s="3">
        <v>20</v>
      </c>
      <c r="N1948" s="3">
        <v>100</v>
      </c>
      <c r="O1948" s="12">
        <v>26.543209876543209</v>
      </c>
    </row>
    <row r="1949" spans="1:15" hidden="1" x14ac:dyDescent="0.25">
      <c r="A1949" s="10">
        <v>46062</v>
      </c>
      <c r="B1949" t="s">
        <v>19</v>
      </c>
      <c r="C1949" s="1" t="s">
        <v>16</v>
      </c>
      <c r="D1949" s="3">
        <v>0</v>
      </c>
      <c r="E1949" s="3">
        <v>0</v>
      </c>
      <c r="F1949" s="3">
        <v>0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 s="3">
        <v>0</v>
      </c>
      <c r="N1949" s="3">
        <v>100</v>
      </c>
      <c r="O1949" s="12">
        <v>35.483870967741943</v>
      </c>
    </row>
    <row r="1950" spans="1:15" hidden="1" x14ac:dyDescent="0.25">
      <c r="A1950" s="10">
        <v>46062</v>
      </c>
      <c r="B1950" t="s">
        <v>43</v>
      </c>
      <c r="C1950" s="1" t="s">
        <v>32</v>
      </c>
      <c r="D1950" s="3">
        <v>26</v>
      </c>
      <c r="E1950" s="3">
        <v>24</v>
      </c>
      <c r="F1950" s="3">
        <v>15.49</v>
      </c>
      <c r="G1950" s="3">
        <v>0</v>
      </c>
      <c r="H1950" s="3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 s="3">
        <v>26</v>
      </c>
      <c r="N1950" s="3">
        <v>99.27</v>
      </c>
      <c r="O1950" s="12">
        <v>31.163708086785011</v>
      </c>
    </row>
    <row r="1951" spans="1:15" hidden="1" x14ac:dyDescent="0.25">
      <c r="A1951" s="10">
        <v>46062</v>
      </c>
      <c r="B1951" t="s">
        <v>44</v>
      </c>
      <c r="C1951" s="1" t="s">
        <v>32</v>
      </c>
      <c r="D1951" s="3">
        <v>28</v>
      </c>
      <c r="E1951" s="3">
        <v>25</v>
      </c>
      <c r="F1951" s="3">
        <v>22.11</v>
      </c>
      <c r="G1951" s="3">
        <v>0</v>
      </c>
      <c r="H1951" s="3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 s="3">
        <v>20</v>
      </c>
      <c r="N1951" s="3">
        <v>94.16</v>
      </c>
      <c r="O1951" s="12">
        <v>27.038626609442058</v>
      </c>
    </row>
    <row r="1952" spans="1:15" hidden="1" x14ac:dyDescent="0.25">
      <c r="A1952" s="10">
        <v>46062</v>
      </c>
      <c r="B1952" t="s">
        <v>20</v>
      </c>
      <c r="C1952" s="1" t="s">
        <v>16</v>
      </c>
      <c r="D1952" s="3">
        <v>9</v>
      </c>
      <c r="E1952" s="3">
        <v>9</v>
      </c>
      <c r="F1952" s="3">
        <v>66.56</v>
      </c>
      <c r="G1952" s="3">
        <v>0</v>
      </c>
      <c r="H1952" s="3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 s="3">
        <v>6</v>
      </c>
      <c r="N1952" s="3">
        <v>93.75</v>
      </c>
      <c r="O1952" s="12">
        <v>19.31818181818182</v>
      </c>
    </row>
    <row r="1953" spans="1:15" hidden="1" x14ac:dyDescent="0.25">
      <c r="A1953" s="10">
        <v>46062</v>
      </c>
      <c r="B1953" t="s">
        <v>28</v>
      </c>
      <c r="C1953" s="1" t="s">
        <v>26</v>
      </c>
      <c r="D1953" s="3">
        <v>0</v>
      </c>
      <c r="E1953" s="3">
        <v>0</v>
      </c>
      <c r="F1953" s="3">
        <v>0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 s="3">
        <v>0</v>
      </c>
      <c r="N1953" s="3">
        <v>0</v>
      </c>
      <c r="O1953" s="12">
        <v>0</v>
      </c>
    </row>
    <row r="1954" spans="1:15" hidden="1" x14ac:dyDescent="0.25">
      <c r="A1954" s="10">
        <v>46062</v>
      </c>
      <c r="B1954" t="s">
        <v>58</v>
      </c>
      <c r="C1954" s="1" t="s">
        <v>48</v>
      </c>
      <c r="D1954" s="3">
        <v>0</v>
      </c>
      <c r="E1954" s="3">
        <v>0</v>
      </c>
      <c r="F1954" s="3">
        <v>0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 s="3">
        <v>0</v>
      </c>
      <c r="N1954" s="3">
        <v>97.92</v>
      </c>
      <c r="O1954" s="12">
        <v>32.87671232876712</v>
      </c>
    </row>
    <row r="1955" spans="1:15" hidden="1" x14ac:dyDescent="0.25">
      <c r="A1955" s="10">
        <v>46062</v>
      </c>
      <c r="B1955" t="s">
        <v>29</v>
      </c>
      <c r="C1955" s="1" t="s">
        <v>26</v>
      </c>
      <c r="D1955" s="3">
        <v>0</v>
      </c>
      <c r="E1955" s="3">
        <v>0</v>
      </c>
      <c r="F1955" s="3">
        <v>0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 s="3">
        <v>0</v>
      </c>
      <c r="N1955" s="3">
        <v>0</v>
      </c>
      <c r="O1955" s="12">
        <v>0</v>
      </c>
    </row>
    <row r="1956" spans="1:15" hidden="1" x14ac:dyDescent="0.25">
      <c r="A1956" s="10">
        <v>46062</v>
      </c>
      <c r="B1956" t="s">
        <v>30</v>
      </c>
      <c r="C1956" s="1" t="s">
        <v>26</v>
      </c>
      <c r="D1956" s="3">
        <v>0</v>
      </c>
      <c r="E1956" s="3">
        <v>0</v>
      </c>
      <c r="F1956" s="3">
        <v>0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 s="3">
        <v>0</v>
      </c>
      <c r="N1956" s="3">
        <v>0</v>
      </c>
      <c r="O1956" s="12">
        <v>0</v>
      </c>
    </row>
    <row r="1957" spans="1:15" hidden="1" x14ac:dyDescent="0.25">
      <c r="A1957" s="10">
        <v>46062</v>
      </c>
      <c r="B1957" t="s">
        <v>21</v>
      </c>
      <c r="C1957" s="1" t="s">
        <v>16</v>
      </c>
      <c r="D1957" s="3">
        <v>0</v>
      </c>
      <c r="E1957" s="3">
        <v>0</v>
      </c>
      <c r="F1957" s="3">
        <v>0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 s="3">
        <v>0</v>
      </c>
      <c r="N1957" s="3">
        <v>0</v>
      </c>
      <c r="O1957" s="12">
        <v>0</v>
      </c>
    </row>
    <row r="1958" spans="1:15" hidden="1" x14ac:dyDescent="0.25">
      <c r="A1958" s="10">
        <v>46062</v>
      </c>
      <c r="B1958" t="s">
        <v>63</v>
      </c>
      <c r="C1958" s="1" t="s">
        <v>23</v>
      </c>
      <c r="D1958" s="3">
        <v>25</v>
      </c>
      <c r="E1958" s="3">
        <v>23</v>
      </c>
      <c r="F1958" s="3">
        <v>25.23</v>
      </c>
      <c r="G1958" s="3">
        <v>0</v>
      </c>
      <c r="H1958" s="3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 s="3">
        <v>19</v>
      </c>
      <c r="N1958" s="3">
        <v>98.51</v>
      </c>
      <c r="O1958" s="12">
        <v>29.710144927536231</v>
      </c>
    </row>
    <row r="1959" spans="1:15" hidden="1" x14ac:dyDescent="0.25">
      <c r="A1959" s="10">
        <v>46062</v>
      </c>
      <c r="B1959" t="s">
        <v>45</v>
      </c>
      <c r="C1959" s="1" t="s">
        <v>32</v>
      </c>
      <c r="D1959" s="3">
        <v>50</v>
      </c>
      <c r="E1959" s="3">
        <v>44</v>
      </c>
      <c r="F1959" s="3">
        <v>13.24</v>
      </c>
      <c r="G1959" s="3">
        <v>0</v>
      </c>
      <c r="H1959" s="3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 s="3">
        <v>39</v>
      </c>
      <c r="N1959" s="3">
        <v>98.81</v>
      </c>
      <c r="O1959" s="12">
        <v>30.712979890310791</v>
      </c>
    </row>
    <row r="1960" spans="1:15" hidden="1" x14ac:dyDescent="0.25">
      <c r="A1960" s="10">
        <v>46062</v>
      </c>
      <c r="B1960" t="s">
        <v>64</v>
      </c>
      <c r="C1960" s="1" t="s">
        <v>23</v>
      </c>
      <c r="D1960" s="3">
        <v>10</v>
      </c>
      <c r="E1960" s="3">
        <v>10</v>
      </c>
      <c r="F1960" s="3">
        <v>71.47</v>
      </c>
      <c r="G1960" s="3">
        <v>0</v>
      </c>
      <c r="H1960" s="3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 s="3">
        <v>8</v>
      </c>
      <c r="N1960" s="3">
        <v>98.48</v>
      </c>
      <c r="O1960" s="12">
        <v>29.35323383084577</v>
      </c>
    </row>
    <row r="1961" spans="1:15" hidden="1" x14ac:dyDescent="0.25">
      <c r="A1961" s="10">
        <v>46062</v>
      </c>
      <c r="B1961" t="s">
        <v>46</v>
      </c>
      <c r="C1961" s="1" t="s">
        <v>32</v>
      </c>
      <c r="D1961" s="3">
        <v>29</v>
      </c>
      <c r="E1961" s="3">
        <v>28</v>
      </c>
      <c r="F1961" s="3">
        <v>20.18</v>
      </c>
      <c r="G1961" s="3">
        <v>0</v>
      </c>
      <c r="H1961" s="3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 s="3">
        <v>25</v>
      </c>
      <c r="N1961" s="3">
        <v>98.56</v>
      </c>
      <c r="O1961" s="12">
        <v>29.373650107991359</v>
      </c>
    </row>
    <row r="1962" spans="1:15" hidden="1" x14ac:dyDescent="0.25">
      <c r="A1962" s="10">
        <v>46063</v>
      </c>
      <c r="B1962" t="s">
        <v>47</v>
      </c>
      <c r="C1962" s="1" t="s">
        <v>48</v>
      </c>
      <c r="D1962" s="3">
        <v>29</v>
      </c>
      <c r="E1962" s="3">
        <v>27</v>
      </c>
      <c r="F1962" s="3">
        <v>18.36</v>
      </c>
      <c r="G1962" s="3">
        <v>0</v>
      </c>
      <c r="H1962" s="3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 s="3">
        <v>23</v>
      </c>
      <c r="N1962" s="3">
        <v>98.32</v>
      </c>
      <c r="O1962" s="12">
        <v>30.303030303030301</v>
      </c>
    </row>
    <row r="1963" spans="1:15" hidden="1" x14ac:dyDescent="0.25">
      <c r="A1963" s="10">
        <v>46063</v>
      </c>
      <c r="B1963" t="s">
        <v>31</v>
      </c>
      <c r="C1963" s="1" t="s">
        <v>32</v>
      </c>
      <c r="D1963" s="3">
        <v>0</v>
      </c>
      <c r="E1963" s="3">
        <v>0</v>
      </c>
      <c r="F1963" s="3">
        <v>0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 s="3">
        <v>36</v>
      </c>
      <c r="N1963" s="3">
        <v>98.68</v>
      </c>
      <c r="O1963" s="12">
        <v>26.219512195121951</v>
      </c>
    </row>
    <row r="1964" spans="1:15" hidden="1" x14ac:dyDescent="0.25">
      <c r="A1964" s="10">
        <v>46063</v>
      </c>
      <c r="B1964" t="s">
        <v>59</v>
      </c>
      <c r="C1964" s="1" t="s">
        <v>23</v>
      </c>
      <c r="D1964" s="3">
        <v>24</v>
      </c>
      <c r="E1964" s="3">
        <v>23</v>
      </c>
      <c r="F1964" s="3">
        <v>26.59</v>
      </c>
      <c r="G1964" s="3">
        <v>0</v>
      </c>
      <c r="H1964" s="3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 s="3">
        <v>22</v>
      </c>
      <c r="N1964" s="3">
        <v>100</v>
      </c>
      <c r="O1964" s="12">
        <v>31.74224343675418</v>
      </c>
    </row>
    <row r="1965" spans="1:15" hidden="1" x14ac:dyDescent="0.25">
      <c r="A1965" s="10">
        <v>46063</v>
      </c>
      <c r="B1965" t="s">
        <v>33</v>
      </c>
      <c r="C1965" s="1" t="s">
        <v>32</v>
      </c>
      <c r="D1965" s="3">
        <v>42</v>
      </c>
      <c r="E1965" s="3">
        <v>37</v>
      </c>
      <c r="F1965" s="3">
        <v>17.05</v>
      </c>
      <c r="G1965" s="3">
        <v>0</v>
      </c>
      <c r="H1965" s="3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 s="3">
        <v>33</v>
      </c>
      <c r="N1965" s="3">
        <v>98.25</v>
      </c>
      <c r="O1965" s="12">
        <v>25.83518930957684</v>
      </c>
    </row>
    <row r="1966" spans="1:15" hidden="1" x14ac:dyDescent="0.25">
      <c r="A1966" s="10">
        <v>46063</v>
      </c>
      <c r="B1966" t="s">
        <v>15</v>
      </c>
      <c r="C1966" s="1" t="s">
        <v>16</v>
      </c>
      <c r="D1966" s="3">
        <v>11</v>
      </c>
      <c r="E1966" s="3">
        <v>9</v>
      </c>
      <c r="F1966" s="3">
        <v>28.47</v>
      </c>
      <c r="G1966" s="3">
        <v>0</v>
      </c>
      <c r="H1966" s="3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 s="3">
        <v>7</v>
      </c>
      <c r="N1966" s="3">
        <v>97.5</v>
      </c>
      <c r="O1966" s="12">
        <v>30.075187969924809</v>
      </c>
    </row>
    <row r="1967" spans="1:15" hidden="1" x14ac:dyDescent="0.25">
      <c r="A1967" s="10">
        <v>46063</v>
      </c>
      <c r="B1967" t="s">
        <v>49</v>
      </c>
      <c r="C1967" s="1" t="s">
        <v>48</v>
      </c>
      <c r="D1967" s="3">
        <v>35</v>
      </c>
      <c r="E1967" s="3">
        <v>32</v>
      </c>
      <c r="F1967" s="3">
        <v>18.36</v>
      </c>
      <c r="G1967" s="3">
        <v>0</v>
      </c>
      <c r="H1967" s="3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 s="3">
        <v>32</v>
      </c>
      <c r="N1967" s="3">
        <v>100</v>
      </c>
      <c r="O1967" s="12">
        <v>29.71311475409836</v>
      </c>
    </row>
    <row r="1968" spans="1:15" hidden="1" x14ac:dyDescent="0.25">
      <c r="A1968" s="10">
        <v>46063</v>
      </c>
      <c r="B1968" t="s">
        <v>50</v>
      </c>
      <c r="C1968" s="1" t="s">
        <v>48</v>
      </c>
      <c r="D1968" s="3">
        <v>27</v>
      </c>
      <c r="E1968" s="3">
        <v>26</v>
      </c>
      <c r="F1968" s="3">
        <v>28.42</v>
      </c>
      <c r="G1968" s="3">
        <v>0</v>
      </c>
      <c r="H1968" s="3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 s="3">
        <v>26</v>
      </c>
      <c r="N1968" s="3">
        <v>99.22</v>
      </c>
      <c r="O1968" s="12">
        <v>35.256410256410263</v>
      </c>
    </row>
    <row r="1969" spans="1:15" hidden="1" x14ac:dyDescent="0.25">
      <c r="A1969" s="10">
        <v>46063</v>
      </c>
      <c r="B1969" t="s">
        <v>17</v>
      </c>
      <c r="C1969" s="1" t="s">
        <v>16</v>
      </c>
      <c r="D1969" s="3">
        <v>0</v>
      </c>
      <c r="E1969" s="3">
        <v>0</v>
      </c>
      <c r="F1969" s="3">
        <v>0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 s="3">
        <v>0</v>
      </c>
      <c r="N1969" s="3">
        <v>0</v>
      </c>
      <c r="O1969" s="12">
        <v>0</v>
      </c>
    </row>
    <row r="1970" spans="1:15" hidden="1" x14ac:dyDescent="0.25">
      <c r="A1970" s="10">
        <v>46063</v>
      </c>
      <c r="B1970" t="s">
        <v>60</v>
      </c>
      <c r="C1970" s="1" t="s">
        <v>23</v>
      </c>
      <c r="D1970" s="3">
        <v>106</v>
      </c>
      <c r="E1970" s="3">
        <v>12</v>
      </c>
      <c r="F1970" s="3">
        <v>3.23</v>
      </c>
      <c r="G1970" s="3">
        <v>0</v>
      </c>
      <c r="H1970" s="3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 s="3">
        <v>14</v>
      </c>
      <c r="N1970" s="3">
        <v>98.75</v>
      </c>
      <c r="O1970" s="12">
        <v>24.32432432432433</v>
      </c>
    </row>
    <row r="1971" spans="1:15" hidden="1" x14ac:dyDescent="0.25">
      <c r="A1971" s="10">
        <v>46063</v>
      </c>
      <c r="B1971" t="s">
        <v>34</v>
      </c>
      <c r="C1971" s="1" t="s">
        <v>32</v>
      </c>
      <c r="D1971" s="3">
        <v>40</v>
      </c>
      <c r="E1971" s="3">
        <v>37</v>
      </c>
      <c r="F1971" s="3">
        <v>14.01</v>
      </c>
      <c r="G1971" s="3">
        <v>0</v>
      </c>
      <c r="H1971" s="3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 s="3">
        <v>33</v>
      </c>
      <c r="N1971" s="3">
        <v>93.48</v>
      </c>
      <c r="O1971" s="12">
        <v>31.52804642166344</v>
      </c>
    </row>
    <row r="1972" spans="1:15" hidden="1" x14ac:dyDescent="0.25">
      <c r="A1972" s="10">
        <v>46063</v>
      </c>
      <c r="B1972" t="s">
        <v>51</v>
      </c>
      <c r="C1972" s="1" t="s">
        <v>48</v>
      </c>
      <c r="D1972" s="3">
        <v>31</v>
      </c>
      <c r="E1972" s="3">
        <v>27</v>
      </c>
      <c r="F1972" s="3">
        <v>21.59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 s="3">
        <v>24</v>
      </c>
      <c r="N1972" s="3">
        <v>99.16</v>
      </c>
      <c r="O1972" s="12">
        <v>26.13908872901678</v>
      </c>
    </row>
    <row r="1973" spans="1:15" hidden="1" x14ac:dyDescent="0.25">
      <c r="A1973" s="10">
        <v>46063</v>
      </c>
      <c r="B1973" t="s">
        <v>61</v>
      </c>
      <c r="C1973" s="1" t="s">
        <v>23</v>
      </c>
      <c r="D1973" s="3">
        <v>28</v>
      </c>
      <c r="E1973" s="3">
        <v>26</v>
      </c>
      <c r="F1973" s="3">
        <v>23.46</v>
      </c>
      <c r="G1973" s="3">
        <v>0</v>
      </c>
      <c r="H1973" s="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 s="3">
        <v>28</v>
      </c>
      <c r="N1973" s="3">
        <v>100</v>
      </c>
      <c r="O1973" s="12">
        <v>31.089743589743591</v>
      </c>
    </row>
    <row r="1974" spans="1:15" hidden="1" x14ac:dyDescent="0.25">
      <c r="A1974" s="10">
        <v>46063</v>
      </c>
      <c r="B1974" t="s">
        <v>35</v>
      </c>
      <c r="C1974" s="1" t="s">
        <v>32</v>
      </c>
      <c r="D1974" s="3">
        <v>30</v>
      </c>
      <c r="E1974" s="3">
        <v>29</v>
      </c>
      <c r="F1974" s="3">
        <v>25.58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 s="3">
        <v>30</v>
      </c>
      <c r="N1974" s="3">
        <v>98.11</v>
      </c>
      <c r="O1974" s="12">
        <v>33.033707865168537</v>
      </c>
    </row>
    <row r="1975" spans="1:15" hidden="1" x14ac:dyDescent="0.25">
      <c r="A1975" s="10">
        <v>46063</v>
      </c>
      <c r="B1975" t="s">
        <v>18</v>
      </c>
      <c r="C1975" s="1" t="s">
        <v>16</v>
      </c>
      <c r="D1975" s="3">
        <v>20</v>
      </c>
      <c r="E1975" s="3">
        <v>18</v>
      </c>
      <c r="F1975" s="3">
        <v>10.15</v>
      </c>
      <c r="G1975" s="3">
        <v>0</v>
      </c>
      <c r="H1975" s="3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 s="3">
        <v>1</v>
      </c>
      <c r="N1975" s="3">
        <v>78.95</v>
      </c>
      <c r="O1975" s="12">
        <v>38.983050847457633</v>
      </c>
    </row>
    <row r="1976" spans="1:15" hidden="1" x14ac:dyDescent="0.25">
      <c r="A1976" s="10">
        <v>46063</v>
      </c>
      <c r="B1976" t="s">
        <v>52</v>
      </c>
      <c r="C1976" s="1" t="s">
        <v>48</v>
      </c>
      <c r="D1976" s="3">
        <v>14</v>
      </c>
      <c r="E1976" s="3">
        <v>14</v>
      </c>
      <c r="F1976" s="3">
        <v>35.380000000000003</v>
      </c>
      <c r="G1976" s="3">
        <v>0</v>
      </c>
      <c r="H1976" s="3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 s="3">
        <v>12</v>
      </c>
      <c r="N1976" s="3">
        <v>98.45</v>
      </c>
      <c r="O1976" s="12">
        <v>29.281767955801101</v>
      </c>
    </row>
    <row r="1977" spans="1:15" hidden="1" x14ac:dyDescent="0.25">
      <c r="A1977" s="10">
        <v>46063</v>
      </c>
      <c r="B1977" t="s">
        <v>36</v>
      </c>
      <c r="C1977" s="1" t="s">
        <v>32</v>
      </c>
      <c r="D1977" s="3">
        <v>30</v>
      </c>
      <c r="E1977" s="3">
        <v>30</v>
      </c>
      <c r="F1977" s="3">
        <v>18.440000000000001</v>
      </c>
      <c r="G1977" s="3">
        <v>0</v>
      </c>
      <c r="H1977" s="3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 s="3">
        <v>28</v>
      </c>
      <c r="N1977" s="3">
        <v>97.84</v>
      </c>
      <c r="O1977" s="12">
        <v>26.282051282051281</v>
      </c>
    </row>
    <row r="1978" spans="1:15" hidden="1" x14ac:dyDescent="0.25">
      <c r="A1978" s="10">
        <v>46063</v>
      </c>
      <c r="B1978" t="s">
        <v>53</v>
      </c>
      <c r="C1978" s="1" t="s">
        <v>48</v>
      </c>
      <c r="D1978" s="3">
        <v>34</v>
      </c>
      <c r="E1978" s="3">
        <v>30</v>
      </c>
      <c r="F1978" s="3">
        <v>16.53</v>
      </c>
      <c r="G1978" s="3">
        <v>0</v>
      </c>
      <c r="H1978" s="3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 s="3">
        <v>33</v>
      </c>
      <c r="N1978" s="3">
        <v>98.5</v>
      </c>
      <c r="O1978" s="12">
        <v>23.97769516728625</v>
      </c>
    </row>
    <row r="1979" spans="1:15" hidden="1" x14ac:dyDescent="0.25">
      <c r="A1979" s="10">
        <v>46097</v>
      </c>
      <c r="B1979" t="s">
        <v>22</v>
      </c>
      <c r="C1979" s="1" t="s">
        <v>23</v>
      </c>
      <c r="D1979" s="3">
        <v>23</v>
      </c>
      <c r="E1979" s="3">
        <v>22</v>
      </c>
      <c r="F1979" s="3">
        <v>23.26</v>
      </c>
      <c r="G1979" s="3">
        <v>0</v>
      </c>
      <c r="H1979" s="3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 s="3">
        <v>21</v>
      </c>
      <c r="N1979" s="3">
        <v>99.05</v>
      </c>
      <c r="O1979" s="12">
        <v>26.621923937360179</v>
      </c>
    </row>
    <row r="1980" spans="1:15" hidden="1" x14ac:dyDescent="0.25">
      <c r="A1980" s="10">
        <v>46063</v>
      </c>
      <c r="B1980" t="s">
        <v>54</v>
      </c>
      <c r="C1980" s="1" t="s">
        <v>48</v>
      </c>
      <c r="D1980" s="3">
        <v>29</v>
      </c>
      <c r="E1980" s="3">
        <v>29</v>
      </c>
      <c r="F1980" s="3">
        <v>25.09</v>
      </c>
      <c r="G1980" s="3">
        <v>0</v>
      </c>
      <c r="H1980" s="3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 s="3">
        <v>25</v>
      </c>
      <c r="N1980" s="3">
        <v>98.53</v>
      </c>
      <c r="O1980" s="12">
        <v>31.578947368421051</v>
      </c>
    </row>
    <row r="1981" spans="1:15" hidden="1" x14ac:dyDescent="0.25">
      <c r="A1981" s="10">
        <v>46063</v>
      </c>
      <c r="B1981" t="s">
        <v>37</v>
      </c>
      <c r="C1981" s="1" t="s">
        <v>32</v>
      </c>
      <c r="D1981" s="3">
        <v>48</v>
      </c>
      <c r="E1981" s="3">
        <v>46</v>
      </c>
      <c r="F1981" s="3">
        <v>15.35</v>
      </c>
      <c r="G1981" s="3">
        <v>0</v>
      </c>
      <c r="H1981" s="3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 s="3">
        <v>42</v>
      </c>
      <c r="N1981" s="3">
        <v>100</v>
      </c>
      <c r="O1981" s="12">
        <v>25.72214580467676</v>
      </c>
    </row>
    <row r="1982" spans="1:15" hidden="1" x14ac:dyDescent="0.25">
      <c r="A1982" s="10">
        <v>46063</v>
      </c>
      <c r="B1982" t="s">
        <v>38</v>
      </c>
      <c r="C1982" s="1" t="s">
        <v>32</v>
      </c>
      <c r="D1982" s="3">
        <v>39</v>
      </c>
      <c r="E1982" s="3">
        <v>34</v>
      </c>
      <c r="F1982" s="3">
        <v>8.4700000000000006</v>
      </c>
      <c r="G1982" s="3">
        <v>0</v>
      </c>
      <c r="H1982" s="3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 s="3">
        <v>32</v>
      </c>
      <c r="N1982" s="3">
        <v>94.64</v>
      </c>
      <c r="O1982" s="12">
        <v>27.52941176470588</v>
      </c>
    </row>
    <row r="1983" spans="1:15" hidden="1" x14ac:dyDescent="0.25">
      <c r="A1983" s="10">
        <v>46063</v>
      </c>
      <c r="B1983" t="s">
        <v>55</v>
      </c>
      <c r="C1983" s="1" t="s">
        <v>48</v>
      </c>
      <c r="D1983" s="3">
        <v>26</v>
      </c>
      <c r="E1983" s="3">
        <v>21</v>
      </c>
      <c r="F1983" s="3">
        <v>21.47</v>
      </c>
      <c r="G1983" s="3">
        <v>0</v>
      </c>
      <c r="H1983" s="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 s="3">
        <v>16</v>
      </c>
      <c r="N1983" s="3">
        <v>99.07</v>
      </c>
      <c r="O1983" s="12">
        <v>26.376811594202898</v>
      </c>
    </row>
    <row r="1984" spans="1:15" hidden="1" x14ac:dyDescent="0.25">
      <c r="A1984" s="10">
        <v>46063</v>
      </c>
      <c r="B1984" t="s">
        <v>39</v>
      </c>
      <c r="C1984" s="1" t="s">
        <v>32</v>
      </c>
      <c r="D1984" s="3">
        <v>0</v>
      </c>
      <c r="E1984" s="3">
        <v>0</v>
      </c>
      <c r="F1984" s="3">
        <v>0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 s="3">
        <v>0</v>
      </c>
      <c r="N1984" s="3">
        <v>100</v>
      </c>
      <c r="O1984" s="12">
        <v>0</v>
      </c>
    </row>
    <row r="1985" spans="1:15" hidden="1" x14ac:dyDescent="0.25">
      <c r="A1985" s="10">
        <v>46063</v>
      </c>
      <c r="B1985" t="s">
        <v>25</v>
      </c>
      <c r="C1985" s="1" t="s">
        <v>26</v>
      </c>
      <c r="D1985" s="3">
        <v>14</v>
      </c>
      <c r="E1985" s="3">
        <v>13</v>
      </c>
      <c r="F1985" s="3">
        <v>19.07</v>
      </c>
      <c r="G1985" s="3">
        <v>0</v>
      </c>
      <c r="H1985" s="3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 s="3">
        <v>14</v>
      </c>
      <c r="N1985" s="3">
        <v>98.48</v>
      </c>
      <c r="O1985" s="12">
        <v>27.853881278538811</v>
      </c>
    </row>
    <row r="1986" spans="1:15" hidden="1" x14ac:dyDescent="0.25">
      <c r="A1986" s="10">
        <v>46063</v>
      </c>
      <c r="B1986" t="s">
        <v>40</v>
      </c>
      <c r="C1986" s="1" t="s">
        <v>32</v>
      </c>
      <c r="D1986" s="3">
        <v>4</v>
      </c>
      <c r="E1986" s="3">
        <v>4</v>
      </c>
      <c r="F1986" s="3">
        <v>63.33</v>
      </c>
      <c r="G1986" s="3">
        <v>0</v>
      </c>
      <c r="H1986" s="3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 s="3">
        <v>2</v>
      </c>
      <c r="N1986" s="3">
        <v>95.15</v>
      </c>
      <c r="O1986" s="12">
        <v>34.131736526946113</v>
      </c>
    </row>
    <row r="1987" spans="1:15" hidden="1" x14ac:dyDescent="0.25">
      <c r="A1987" s="10">
        <v>46063</v>
      </c>
      <c r="B1987" t="s">
        <v>27</v>
      </c>
      <c r="C1987" s="1" t="s">
        <v>26</v>
      </c>
      <c r="D1987" s="3">
        <v>0</v>
      </c>
      <c r="E1987" s="3">
        <v>0</v>
      </c>
      <c r="F1987" s="3">
        <v>0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 s="3">
        <v>0</v>
      </c>
      <c r="N1987" s="3">
        <v>0</v>
      </c>
      <c r="O1987" s="12">
        <v>0</v>
      </c>
    </row>
    <row r="1988" spans="1:15" hidden="1" x14ac:dyDescent="0.25">
      <c r="A1988" s="10">
        <v>46063</v>
      </c>
      <c r="B1988" t="s">
        <v>41</v>
      </c>
      <c r="C1988" s="1" t="s">
        <v>32</v>
      </c>
      <c r="D1988" s="3">
        <v>27</v>
      </c>
      <c r="E1988" s="3">
        <v>25</v>
      </c>
      <c r="F1988" s="3">
        <v>22.36</v>
      </c>
      <c r="G1988" s="3">
        <v>0</v>
      </c>
      <c r="H1988" s="3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 s="3">
        <v>23</v>
      </c>
      <c r="N1988" s="3">
        <v>99.26</v>
      </c>
      <c r="O1988" s="12">
        <v>30.84832904884319</v>
      </c>
    </row>
    <row r="1989" spans="1:15" hidden="1" x14ac:dyDescent="0.25">
      <c r="A1989" s="10">
        <v>46063</v>
      </c>
      <c r="B1989" t="s">
        <v>56</v>
      </c>
      <c r="C1989" s="1" t="s">
        <v>48</v>
      </c>
      <c r="D1989" s="3">
        <v>35</v>
      </c>
      <c r="E1989" s="3">
        <v>30</v>
      </c>
      <c r="F1989" s="3">
        <v>21.5</v>
      </c>
      <c r="G1989" s="3">
        <v>0</v>
      </c>
      <c r="H1989" s="3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 s="3">
        <v>21</v>
      </c>
      <c r="N1989" s="3">
        <v>97.48</v>
      </c>
      <c r="O1989" s="12">
        <v>27.764705882352938</v>
      </c>
    </row>
    <row r="1990" spans="1:15" hidden="1" x14ac:dyDescent="0.25">
      <c r="A1990" s="10">
        <v>46063</v>
      </c>
      <c r="B1990" t="s">
        <v>57</v>
      </c>
      <c r="C1990" s="1" t="s">
        <v>48</v>
      </c>
      <c r="D1990" s="3">
        <v>38</v>
      </c>
      <c r="E1990" s="3">
        <v>37</v>
      </c>
      <c r="F1990" s="3">
        <v>16.55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 s="3">
        <v>34</v>
      </c>
      <c r="N1990" s="3">
        <v>99.34</v>
      </c>
      <c r="O1990" s="12">
        <v>30.04291845493562</v>
      </c>
    </row>
    <row r="1991" spans="1:15" hidden="1" x14ac:dyDescent="0.25">
      <c r="A1991" s="10">
        <v>46063</v>
      </c>
      <c r="B1991" t="s">
        <v>42</v>
      </c>
      <c r="C1991" s="1" t="s">
        <v>32</v>
      </c>
      <c r="D1991" s="3">
        <v>0</v>
      </c>
      <c r="E1991" s="3">
        <v>0</v>
      </c>
      <c r="F1991" s="3">
        <v>0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 s="3">
        <v>0</v>
      </c>
      <c r="N1991" s="3">
        <v>96.3</v>
      </c>
      <c r="O1991" s="12">
        <v>24.29378531073446</v>
      </c>
    </row>
    <row r="1992" spans="1:15" hidden="1" x14ac:dyDescent="0.25">
      <c r="A1992" s="10">
        <v>46063</v>
      </c>
      <c r="B1992" t="s">
        <v>62</v>
      </c>
      <c r="C1992" s="1" t="s">
        <v>23</v>
      </c>
      <c r="D1992" s="3">
        <v>25</v>
      </c>
      <c r="E1992" s="3">
        <v>22</v>
      </c>
      <c r="F1992" s="3">
        <v>24.18</v>
      </c>
      <c r="G1992" s="3">
        <v>0</v>
      </c>
      <c r="H1992" s="3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 s="3">
        <v>22</v>
      </c>
      <c r="N1992" s="3">
        <v>100</v>
      </c>
      <c r="O1992" s="12">
        <v>26.543209876543209</v>
      </c>
    </row>
    <row r="1993" spans="1:15" hidden="1" x14ac:dyDescent="0.25">
      <c r="A1993" s="10">
        <v>46063</v>
      </c>
      <c r="B1993" t="s">
        <v>19</v>
      </c>
      <c r="C1993" s="1" t="s">
        <v>16</v>
      </c>
      <c r="D1993" s="3">
        <v>0</v>
      </c>
      <c r="E1993" s="3">
        <v>0</v>
      </c>
      <c r="F1993" s="3">
        <v>0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 s="3">
        <v>0</v>
      </c>
      <c r="N1993" s="3">
        <v>100</v>
      </c>
      <c r="O1993" s="12">
        <v>35.483870967741943</v>
      </c>
    </row>
    <row r="1994" spans="1:15" hidden="1" x14ac:dyDescent="0.25">
      <c r="A1994" s="10">
        <v>46063</v>
      </c>
      <c r="B1994" t="s">
        <v>43</v>
      </c>
      <c r="C1994" s="1" t="s">
        <v>32</v>
      </c>
      <c r="D1994" s="3">
        <v>26</v>
      </c>
      <c r="E1994" s="3">
        <v>23</v>
      </c>
      <c r="F1994" s="3">
        <v>18.47</v>
      </c>
      <c r="G1994" s="3">
        <v>0</v>
      </c>
      <c r="H1994" s="3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 s="3">
        <v>34</v>
      </c>
      <c r="N1994" s="3">
        <v>99.27</v>
      </c>
      <c r="O1994" s="12">
        <v>31.163708086785011</v>
      </c>
    </row>
    <row r="1995" spans="1:15" hidden="1" x14ac:dyDescent="0.25">
      <c r="A1995" s="10">
        <v>46063</v>
      </c>
      <c r="B1995" t="s">
        <v>44</v>
      </c>
      <c r="C1995" s="1" t="s">
        <v>32</v>
      </c>
      <c r="D1995" s="3">
        <v>42</v>
      </c>
      <c r="E1995" s="3">
        <v>40</v>
      </c>
      <c r="F1995" s="3">
        <v>15</v>
      </c>
      <c r="G1995" s="3">
        <v>0</v>
      </c>
      <c r="H1995" s="3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 s="3">
        <v>33</v>
      </c>
      <c r="N1995" s="3">
        <v>94.16</v>
      </c>
      <c r="O1995" s="12">
        <v>27.038626609442058</v>
      </c>
    </row>
    <row r="1996" spans="1:15" hidden="1" x14ac:dyDescent="0.25">
      <c r="A1996" s="10">
        <v>46063</v>
      </c>
      <c r="B1996" t="s">
        <v>20</v>
      </c>
      <c r="C1996" s="1" t="s">
        <v>16</v>
      </c>
      <c r="D1996" s="3">
        <v>15</v>
      </c>
      <c r="E1996" s="3">
        <v>15</v>
      </c>
      <c r="F1996" s="3">
        <v>47.29</v>
      </c>
      <c r="G1996" s="3">
        <v>0</v>
      </c>
      <c r="H1996" s="3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 s="3">
        <v>5</v>
      </c>
      <c r="N1996" s="3">
        <v>93.75</v>
      </c>
      <c r="O1996" s="12">
        <v>19.31818181818182</v>
      </c>
    </row>
    <row r="1997" spans="1:15" hidden="1" x14ac:dyDescent="0.25">
      <c r="A1997" s="10">
        <v>46063</v>
      </c>
      <c r="B1997" t="s">
        <v>28</v>
      </c>
      <c r="C1997" s="1" t="s">
        <v>26</v>
      </c>
      <c r="D1997" s="3">
        <v>0</v>
      </c>
      <c r="E1997" s="3">
        <v>0</v>
      </c>
      <c r="F1997" s="3">
        <v>0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 s="3">
        <v>0</v>
      </c>
      <c r="N1997" s="3">
        <v>0</v>
      </c>
      <c r="O1997" s="12">
        <v>0</v>
      </c>
    </row>
    <row r="1998" spans="1:15" hidden="1" x14ac:dyDescent="0.25">
      <c r="A1998" s="10">
        <v>46063</v>
      </c>
      <c r="B1998" t="s">
        <v>58</v>
      </c>
      <c r="C1998" s="1" t="s">
        <v>48</v>
      </c>
      <c r="D1998" s="3">
        <v>0</v>
      </c>
      <c r="E1998" s="3">
        <v>0</v>
      </c>
      <c r="F1998" s="3">
        <v>0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 s="3">
        <v>0</v>
      </c>
      <c r="N1998" s="3">
        <v>97.92</v>
      </c>
      <c r="O1998" s="12">
        <v>32.87671232876712</v>
      </c>
    </row>
    <row r="1999" spans="1:15" hidden="1" x14ac:dyDescent="0.25">
      <c r="A1999" s="10">
        <v>46063</v>
      </c>
      <c r="B1999" t="s">
        <v>29</v>
      </c>
      <c r="C1999" s="1" t="s">
        <v>26</v>
      </c>
      <c r="D1999" s="3">
        <v>0</v>
      </c>
      <c r="E1999" s="3">
        <v>0</v>
      </c>
      <c r="F1999" s="3">
        <v>0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 s="3">
        <v>0</v>
      </c>
      <c r="N1999" s="3">
        <v>0</v>
      </c>
      <c r="O1999" s="12">
        <v>0</v>
      </c>
    </row>
    <row r="2000" spans="1:15" hidden="1" x14ac:dyDescent="0.25">
      <c r="A2000" s="10">
        <v>46063</v>
      </c>
      <c r="B2000" t="s">
        <v>30</v>
      </c>
      <c r="C2000" s="1" t="s">
        <v>26</v>
      </c>
      <c r="D2000" s="3">
        <v>0</v>
      </c>
      <c r="E2000" s="3">
        <v>0</v>
      </c>
      <c r="F2000" s="3">
        <v>0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 s="3">
        <v>0</v>
      </c>
      <c r="N2000" s="3">
        <v>0</v>
      </c>
      <c r="O2000" s="12">
        <v>0</v>
      </c>
    </row>
    <row r="2001" spans="1:15" hidden="1" x14ac:dyDescent="0.25">
      <c r="A2001" s="10">
        <v>46063</v>
      </c>
      <c r="B2001" t="s">
        <v>21</v>
      </c>
      <c r="C2001" s="1" t="s">
        <v>16</v>
      </c>
      <c r="D2001" s="3">
        <v>0</v>
      </c>
      <c r="E2001" s="3">
        <v>0</v>
      </c>
      <c r="F2001" s="3">
        <v>0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 s="3">
        <v>0</v>
      </c>
      <c r="N2001" s="3">
        <v>0</v>
      </c>
      <c r="O2001" s="12">
        <v>0</v>
      </c>
    </row>
    <row r="2002" spans="1:15" hidden="1" x14ac:dyDescent="0.25">
      <c r="A2002" s="10">
        <v>46063</v>
      </c>
      <c r="B2002" t="s">
        <v>63</v>
      </c>
      <c r="C2002" s="1" t="s">
        <v>23</v>
      </c>
      <c r="D2002" s="3">
        <v>14</v>
      </c>
      <c r="E2002" s="3">
        <v>13</v>
      </c>
      <c r="F2002" s="3">
        <v>51.52</v>
      </c>
      <c r="G2002" s="3">
        <v>0</v>
      </c>
      <c r="H2002" s="3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 s="3">
        <v>11</v>
      </c>
      <c r="N2002" s="3">
        <v>98.51</v>
      </c>
      <c r="O2002" s="12">
        <v>29.710144927536231</v>
      </c>
    </row>
    <row r="2003" spans="1:15" hidden="1" x14ac:dyDescent="0.25">
      <c r="A2003" s="10">
        <v>46063</v>
      </c>
      <c r="B2003" t="s">
        <v>45</v>
      </c>
      <c r="C2003" s="1" t="s">
        <v>32</v>
      </c>
      <c r="D2003" s="3">
        <v>42</v>
      </c>
      <c r="E2003" s="3">
        <v>38</v>
      </c>
      <c r="F2003" s="3">
        <v>14.07</v>
      </c>
      <c r="G2003" s="3">
        <v>0</v>
      </c>
      <c r="H2003" s="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 s="3">
        <v>31</v>
      </c>
      <c r="N2003" s="3">
        <v>98.81</v>
      </c>
      <c r="O2003" s="12">
        <v>30.712979890310791</v>
      </c>
    </row>
    <row r="2004" spans="1:15" hidden="1" x14ac:dyDescent="0.25">
      <c r="A2004" s="10">
        <v>46063</v>
      </c>
      <c r="B2004" t="s">
        <v>64</v>
      </c>
      <c r="C2004" s="1" t="s">
        <v>23</v>
      </c>
      <c r="D2004" s="3">
        <v>13</v>
      </c>
      <c r="E2004" s="3">
        <v>13</v>
      </c>
      <c r="F2004" s="3">
        <v>47.03</v>
      </c>
      <c r="G2004" s="3">
        <v>0</v>
      </c>
      <c r="H2004" s="3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 s="3">
        <v>12</v>
      </c>
      <c r="N2004" s="3">
        <v>98.48</v>
      </c>
      <c r="O2004" s="12">
        <v>29.35323383084577</v>
      </c>
    </row>
    <row r="2005" spans="1:15" hidden="1" x14ac:dyDescent="0.25">
      <c r="A2005" s="10">
        <v>46063</v>
      </c>
      <c r="B2005" t="s">
        <v>46</v>
      </c>
      <c r="C2005" s="1" t="s">
        <v>32</v>
      </c>
      <c r="D2005" s="3">
        <v>27</v>
      </c>
      <c r="E2005" s="3">
        <v>27</v>
      </c>
      <c r="F2005" s="3">
        <v>15.3</v>
      </c>
      <c r="G2005" s="3">
        <v>0</v>
      </c>
      <c r="H2005" s="3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 s="3">
        <v>25</v>
      </c>
      <c r="N2005" s="3">
        <v>98.56</v>
      </c>
      <c r="O2005" s="12">
        <v>29.373650107991359</v>
      </c>
    </row>
    <row r="2006" spans="1:15" hidden="1" x14ac:dyDescent="0.25">
      <c r="A2006" s="10">
        <v>46064</v>
      </c>
      <c r="B2006" t="s">
        <v>47</v>
      </c>
      <c r="C2006" s="1" t="s">
        <v>48</v>
      </c>
      <c r="D2006" s="3">
        <v>33</v>
      </c>
      <c r="E2006" s="3">
        <v>33</v>
      </c>
      <c r="F2006" s="3">
        <v>16.48</v>
      </c>
      <c r="G2006" s="3">
        <v>0</v>
      </c>
      <c r="H2006" s="3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 s="3">
        <v>31</v>
      </c>
      <c r="N2006" s="3">
        <v>98.32</v>
      </c>
      <c r="O2006" s="12">
        <v>30.303030303030301</v>
      </c>
    </row>
    <row r="2007" spans="1:15" hidden="1" x14ac:dyDescent="0.25">
      <c r="A2007" s="10">
        <v>46064</v>
      </c>
      <c r="B2007" t="s">
        <v>31</v>
      </c>
      <c r="C2007" s="1" t="s">
        <v>32</v>
      </c>
      <c r="D2007" s="3">
        <v>0</v>
      </c>
      <c r="E2007" s="3">
        <v>0</v>
      </c>
      <c r="F2007" s="3">
        <v>0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 s="3">
        <v>25</v>
      </c>
      <c r="N2007" s="3">
        <v>98.68</v>
      </c>
      <c r="O2007" s="12">
        <v>26.219512195121951</v>
      </c>
    </row>
    <row r="2008" spans="1:15" hidden="1" x14ac:dyDescent="0.25">
      <c r="A2008" s="10">
        <v>46064</v>
      </c>
      <c r="B2008" t="s">
        <v>59</v>
      </c>
      <c r="C2008" s="1" t="s">
        <v>23</v>
      </c>
      <c r="D2008" s="3">
        <v>28</v>
      </c>
      <c r="E2008" s="3">
        <v>26</v>
      </c>
      <c r="F2008" s="3">
        <v>24.11</v>
      </c>
      <c r="G2008" s="3">
        <v>0</v>
      </c>
      <c r="H2008" s="3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 s="3">
        <v>23</v>
      </c>
      <c r="N2008" s="3">
        <v>100</v>
      </c>
      <c r="O2008" s="12">
        <v>31.74224343675418</v>
      </c>
    </row>
    <row r="2009" spans="1:15" hidden="1" x14ac:dyDescent="0.25">
      <c r="A2009" s="10">
        <v>46064</v>
      </c>
      <c r="B2009" t="s">
        <v>33</v>
      </c>
      <c r="C2009" s="1" t="s">
        <v>32</v>
      </c>
      <c r="D2009" s="3">
        <v>24</v>
      </c>
      <c r="E2009" s="3">
        <v>24</v>
      </c>
      <c r="F2009" s="3">
        <v>20.32</v>
      </c>
      <c r="G2009" s="3">
        <v>0</v>
      </c>
      <c r="H2009" s="3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 s="3">
        <v>23</v>
      </c>
      <c r="N2009" s="3">
        <v>98.25</v>
      </c>
      <c r="O2009" s="12">
        <v>25.83518930957684</v>
      </c>
    </row>
    <row r="2010" spans="1:15" hidden="1" x14ac:dyDescent="0.25">
      <c r="A2010" s="10">
        <v>46064</v>
      </c>
      <c r="B2010" t="s">
        <v>15</v>
      </c>
      <c r="C2010" s="1" t="s">
        <v>16</v>
      </c>
      <c r="D2010" s="3">
        <v>9</v>
      </c>
      <c r="E2010" s="3">
        <v>8</v>
      </c>
      <c r="F2010" s="3">
        <v>25.31</v>
      </c>
      <c r="G2010" s="3">
        <v>0</v>
      </c>
      <c r="H2010" s="3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 s="3">
        <v>7</v>
      </c>
      <c r="N2010" s="3">
        <v>97.5</v>
      </c>
      <c r="O2010" s="12">
        <v>30.075187969924809</v>
      </c>
    </row>
    <row r="2011" spans="1:15" hidden="1" x14ac:dyDescent="0.25">
      <c r="A2011" s="10">
        <v>46064</v>
      </c>
      <c r="B2011" t="s">
        <v>49</v>
      </c>
      <c r="C2011" s="1" t="s">
        <v>48</v>
      </c>
      <c r="D2011" s="3">
        <v>23</v>
      </c>
      <c r="E2011" s="3">
        <v>22</v>
      </c>
      <c r="F2011" s="3">
        <v>28.45</v>
      </c>
      <c r="G2011" s="3">
        <v>0</v>
      </c>
      <c r="H2011" s="3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 s="3">
        <v>18</v>
      </c>
      <c r="N2011" s="3">
        <v>100</v>
      </c>
      <c r="O2011" s="12">
        <v>29.71311475409836</v>
      </c>
    </row>
    <row r="2012" spans="1:15" hidden="1" x14ac:dyDescent="0.25">
      <c r="A2012" s="10">
        <v>46064</v>
      </c>
      <c r="B2012" t="s">
        <v>50</v>
      </c>
      <c r="C2012" s="1" t="s">
        <v>48</v>
      </c>
      <c r="D2012" s="3">
        <v>20</v>
      </c>
      <c r="E2012" s="3">
        <v>19</v>
      </c>
      <c r="F2012" s="3">
        <v>24.11</v>
      </c>
      <c r="G2012" s="3">
        <v>0</v>
      </c>
      <c r="H2012" s="3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 s="3">
        <v>22</v>
      </c>
      <c r="N2012" s="3">
        <v>99.22</v>
      </c>
      <c r="O2012" s="12">
        <v>35.256410256410263</v>
      </c>
    </row>
    <row r="2013" spans="1:15" hidden="1" x14ac:dyDescent="0.25">
      <c r="A2013" s="10">
        <v>46064</v>
      </c>
      <c r="B2013" t="s">
        <v>17</v>
      </c>
      <c r="C2013" s="1" t="s">
        <v>16</v>
      </c>
      <c r="D2013" s="3">
        <v>0</v>
      </c>
      <c r="E2013" s="3">
        <v>0</v>
      </c>
      <c r="F2013" s="3">
        <v>0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 s="3">
        <v>0</v>
      </c>
      <c r="N2013" s="3">
        <v>0</v>
      </c>
      <c r="O2013" s="12">
        <v>0</v>
      </c>
    </row>
    <row r="2014" spans="1:15" hidden="1" x14ac:dyDescent="0.25">
      <c r="A2014" s="10">
        <v>46064</v>
      </c>
      <c r="B2014" t="s">
        <v>60</v>
      </c>
      <c r="C2014" s="1" t="s">
        <v>23</v>
      </c>
      <c r="D2014" s="3">
        <v>38</v>
      </c>
      <c r="E2014" s="3">
        <v>4</v>
      </c>
      <c r="F2014" s="3">
        <v>7.03</v>
      </c>
      <c r="G2014" s="3">
        <v>0</v>
      </c>
      <c r="H2014" s="3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 s="3">
        <v>15</v>
      </c>
      <c r="N2014" s="3">
        <v>98.75</v>
      </c>
      <c r="O2014" s="12">
        <v>24.32432432432433</v>
      </c>
    </row>
    <row r="2015" spans="1:15" hidden="1" x14ac:dyDescent="0.25">
      <c r="A2015" s="10">
        <v>46064</v>
      </c>
      <c r="B2015" t="s">
        <v>34</v>
      </c>
      <c r="C2015" s="1" t="s">
        <v>32</v>
      </c>
      <c r="D2015" s="3">
        <v>36</v>
      </c>
      <c r="E2015" s="3">
        <v>35</v>
      </c>
      <c r="F2015" s="3">
        <v>17.02</v>
      </c>
      <c r="G2015" s="3">
        <v>0</v>
      </c>
      <c r="H2015" s="3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 s="3">
        <v>32</v>
      </c>
      <c r="N2015" s="3">
        <v>93.48</v>
      </c>
      <c r="O2015" s="12">
        <v>31.52804642166344</v>
      </c>
    </row>
    <row r="2016" spans="1:15" hidden="1" x14ac:dyDescent="0.25">
      <c r="A2016" s="10">
        <v>46064</v>
      </c>
      <c r="B2016" t="s">
        <v>51</v>
      </c>
      <c r="C2016" s="1" t="s">
        <v>48</v>
      </c>
      <c r="D2016" s="3">
        <v>21</v>
      </c>
      <c r="E2016" s="3">
        <v>19</v>
      </c>
      <c r="F2016" s="3">
        <v>25.11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 s="3">
        <v>18</v>
      </c>
      <c r="N2016" s="3">
        <v>99.16</v>
      </c>
      <c r="O2016" s="12">
        <v>26.13908872901678</v>
      </c>
    </row>
    <row r="2017" spans="1:15" hidden="1" x14ac:dyDescent="0.25">
      <c r="A2017" s="10">
        <v>46064</v>
      </c>
      <c r="B2017" t="s">
        <v>61</v>
      </c>
      <c r="C2017" s="1" t="s">
        <v>23</v>
      </c>
      <c r="D2017" s="3">
        <v>17</v>
      </c>
      <c r="E2017" s="3">
        <v>16</v>
      </c>
      <c r="F2017" s="3">
        <v>34.119999999999997</v>
      </c>
      <c r="G2017" s="3">
        <v>0</v>
      </c>
      <c r="H2017" s="3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 s="3">
        <v>14</v>
      </c>
      <c r="N2017" s="3">
        <v>100</v>
      </c>
      <c r="O2017" s="12">
        <v>31.089743589743591</v>
      </c>
    </row>
    <row r="2018" spans="1:15" hidden="1" x14ac:dyDescent="0.25">
      <c r="A2018" s="10">
        <v>46064</v>
      </c>
      <c r="B2018" t="s">
        <v>35</v>
      </c>
      <c r="C2018" s="1" t="s">
        <v>32</v>
      </c>
      <c r="D2018" s="3">
        <v>30</v>
      </c>
      <c r="E2018" s="3">
        <v>29</v>
      </c>
      <c r="F2018" s="3">
        <v>23.51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 s="3">
        <v>30</v>
      </c>
      <c r="N2018" s="3">
        <v>98.11</v>
      </c>
      <c r="O2018" s="12">
        <v>33.033707865168537</v>
      </c>
    </row>
    <row r="2019" spans="1:15" hidden="1" x14ac:dyDescent="0.25">
      <c r="A2019" s="10">
        <v>46064</v>
      </c>
      <c r="B2019" t="s">
        <v>18</v>
      </c>
      <c r="C2019" s="1" t="s">
        <v>16</v>
      </c>
      <c r="D2019" s="3">
        <v>57</v>
      </c>
      <c r="E2019" s="3">
        <v>42</v>
      </c>
      <c r="F2019" s="3">
        <v>5.59</v>
      </c>
      <c r="G2019" s="3">
        <v>0</v>
      </c>
      <c r="H2019" s="3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 s="3">
        <v>2</v>
      </c>
      <c r="N2019" s="3">
        <v>78.95</v>
      </c>
      <c r="O2019" s="12">
        <v>38.983050847457633</v>
      </c>
    </row>
    <row r="2020" spans="1:15" hidden="1" x14ac:dyDescent="0.25">
      <c r="A2020" s="10">
        <v>46064</v>
      </c>
      <c r="B2020" t="s">
        <v>52</v>
      </c>
      <c r="C2020" s="1" t="s">
        <v>48</v>
      </c>
      <c r="D2020" s="3">
        <v>24</v>
      </c>
      <c r="E2020" s="3">
        <v>23</v>
      </c>
      <c r="F2020" s="3">
        <v>24.16</v>
      </c>
      <c r="G2020" s="3">
        <v>0</v>
      </c>
      <c r="H2020" s="3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 s="3">
        <v>21</v>
      </c>
      <c r="N2020" s="3">
        <v>98.45</v>
      </c>
      <c r="O2020" s="12">
        <v>29.281767955801101</v>
      </c>
    </row>
    <row r="2021" spans="1:15" hidden="1" x14ac:dyDescent="0.25">
      <c r="A2021" s="10">
        <v>46064</v>
      </c>
      <c r="B2021" t="s">
        <v>36</v>
      </c>
      <c r="C2021" s="1" t="s">
        <v>32</v>
      </c>
      <c r="D2021" s="3">
        <v>29</v>
      </c>
      <c r="E2021" s="3">
        <v>28</v>
      </c>
      <c r="F2021" s="3">
        <v>20.03</v>
      </c>
      <c r="G2021" s="3">
        <v>0</v>
      </c>
      <c r="H2021" s="3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 s="3">
        <v>28</v>
      </c>
      <c r="N2021" s="3">
        <v>97.84</v>
      </c>
      <c r="O2021" s="12">
        <v>26.282051282051281</v>
      </c>
    </row>
    <row r="2022" spans="1:15" hidden="1" x14ac:dyDescent="0.25">
      <c r="A2022" s="10">
        <v>46064</v>
      </c>
      <c r="B2022" t="s">
        <v>53</v>
      </c>
      <c r="C2022" s="1" t="s">
        <v>48</v>
      </c>
      <c r="D2022" s="3">
        <v>26</v>
      </c>
      <c r="E2022" s="3">
        <v>21</v>
      </c>
      <c r="F2022" s="3">
        <v>25.1</v>
      </c>
      <c r="G2022" s="3">
        <v>0</v>
      </c>
      <c r="H2022" s="3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 s="3">
        <v>24</v>
      </c>
      <c r="N2022" s="3">
        <v>98.5</v>
      </c>
      <c r="O2022" s="12">
        <v>23.97769516728625</v>
      </c>
    </row>
    <row r="2023" spans="1:15" hidden="1" x14ac:dyDescent="0.25">
      <c r="A2023" s="10">
        <v>46098</v>
      </c>
      <c r="B2023" t="s">
        <v>22</v>
      </c>
      <c r="C2023" s="1" t="s">
        <v>23</v>
      </c>
      <c r="D2023" s="3">
        <v>14</v>
      </c>
      <c r="E2023" s="3">
        <v>13</v>
      </c>
      <c r="F2023" s="3">
        <v>26.55</v>
      </c>
      <c r="G2023" s="3">
        <v>0</v>
      </c>
      <c r="H2023" s="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 s="3">
        <v>13</v>
      </c>
      <c r="N2023" s="3">
        <v>99.05</v>
      </c>
      <c r="O2023" s="12">
        <v>26.621923937360179</v>
      </c>
    </row>
    <row r="2024" spans="1:15" hidden="1" x14ac:dyDescent="0.25">
      <c r="A2024" s="10">
        <v>46064</v>
      </c>
      <c r="B2024" t="s">
        <v>54</v>
      </c>
      <c r="C2024" s="1" t="s">
        <v>48</v>
      </c>
      <c r="D2024" s="3">
        <v>28</v>
      </c>
      <c r="E2024" s="3">
        <v>26</v>
      </c>
      <c r="F2024" s="3">
        <v>25.04</v>
      </c>
      <c r="G2024" s="3">
        <v>0</v>
      </c>
      <c r="H2024" s="3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 s="3">
        <v>26</v>
      </c>
      <c r="N2024" s="3">
        <v>98.53</v>
      </c>
      <c r="O2024" s="12">
        <v>31.578947368421051</v>
      </c>
    </row>
    <row r="2025" spans="1:15" hidden="1" x14ac:dyDescent="0.25">
      <c r="A2025" s="10">
        <v>46064</v>
      </c>
      <c r="B2025" t="s">
        <v>37</v>
      </c>
      <c r="C2025" s="1" t="s">
        <v>32</v>
      </c>
      <c r="D2025" s="3">
        <v>55</v>
      </c>
      <c r="E2025" s="3">
        <v>49</v>
      </c>
      <c r="F2025" s="3">
        <v>13.21</v>
      </c>
      <c r="G2025" s="3">
        <v>0</v>
      </c>
      <c r="H2025" s="3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 s="3">
        <v>51</v>
      </c>
      <c r="N2025" s="3">
        <v>100</v>
      </c>
      <c r="O2025" s="12">
        <v>25.72214580467676</v>
      </c>
    </row>
    <row r="2026" spans="1:15" hidden="1" x14ac:dyDescent="0.25">
      <c r="A2026" s="10">
        <v>46064</v>
      </c>
      <c r="B2026" t="s">
        <v>38</v>
      </c>
      <c r="C2026" s="1" t="s">
        <v>32</v>
      </c>
      <c r="D2026" s="3">
        <v>41</v>
      </c>
      <c r="E2026" s="3">
        <v>38</v>
      </c>
      <c r="F2026" s="3">
        <v>12.05</v>
      </c>
      <c r="G2026" s="3">
        <v>0</v>
      </c>
      <c r="H2026" s="3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 s="3">
        <v>34</v>
      </c>
      <c r="N2026" s="3">
        <v>94.64</v>
      </c>
      <c r="O2026" s="12">
        <v>27.52941176470588</v>
      </c>
    </row>
    <row r="2027" spans="1:15" hidden="1" x14ac:dyDescent="0.25">
      <c r="A2027" s="10">
        <v>46064</v>
      </c>
      <c r="B2027" t="s">
        <v>55</v>
      </c>
      <c r="C2027" s="1" t="s">
        <v>48</v>
      </c>
      <c r="D2027" s="3">
        <v>30</v>
      </c>
      <c r="E2027" s="3">
        <v>26</v>
      </c>
      <c r="F2027" s="3">
        <v>21.43</v>
      </c>
      <c r="G2027" s="3">
        <v>0</v>
      </c>
      <c r="H2027" s="3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 s="3">
        <v>23</v>
      </c>
      <c r="N2027" s="3">
        <v>99.07</v>
      </c>
      <c r="O2027" s="12">
        <v>26.376811594202898</v>
      </c>
    </row>
    <row r="2028" spans="1:15" hidden="1" x14ac:dyDescent="0.25">
      <c r="A2028" s="10">
        <v>46064</v>
      </c>
      <c r="B2028" t="s">
        <v>39</v>
      </c>
      <c r="C2028" s="1" t="s">
        <v>32</v>
      </c>
      <c r="D2028" s="3">
        <v>0</v>
      </c>
      <c r="E2028" s="3">
        <v>0</v>
      </c>
      <c r="F2028" s="3">
        <v>0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 s="3">
        <v>0</v>
      </c>
      <c r="N2028" s="3">
        <v>100</v>
      </c>
      <c r="O2028" s="12">
        <v>0</v>
      </c>
    </row>
    <row r="2029" spans="1:15" hidden="1" x14ac:dyDescent="0.25">
      <c r="A2029" s="10">
        <v>46064</v>
      </c>
      <c r="B2029" t="s">
        <v>25</v>
      </c>
      <c r="C2029" s="1" t="s">
        <v>26</v>
      </c>
      <c r="D2029" s="3">
        <v>12</v>
      </c>
      <c r="E2029" s="3">
        <v>12</v>
      </c>
      <c r="F2029" s="3">
        <v>26.47</v>
      </c>
      <c r="G2029" s="3">
        <v>0</v>
      </c>
      <c r="H2029" s="3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 s="3">
        <v>10</v>
      </c>
      <c r="N2029" s="3">
        <v>98.48</v>
      </c>
      <c r="O2029" s="12">
        <v>27.853881278538811</v>
      </c>
    </row>
    <row r="2030" spans="1:15" hidden="1" x14ac:dyDescent="0.25">
      <c r="A2030" s="10">
        <v>46064</v>
      </c>
      <c r="B2030" t="s">
        <v>40</v>
      </c>
      <c r="C2030" s="1" t="s">
        <v>32</v>
      </c>
      <c r="D2030" s="3">
        <v>3</v>
      </c>
      <c r="E2030" s="3">
        <v>2</v>
      </c>
      <c r="F2030" s="3">
        <v>3.36</v>
      </c>
      <c r="G2030" s="3">
        <v>0</v>
      </c>
      <c r="H2030" s="3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 s="3">
        <v>4</v>
      </c>
      <c r="N2030" s="3">
        <v>95.15</v>
      </c>
      <c r="O2030" s="12">
        <v>34.131736526946113</v>
      </c>
    </row>
    <row r="2031" spans="1:15" hidden="1" x14ac:dyDescent="0.25">
      <c r="A2031" s="10">
        <v>46064</v>
      </c>
      <c r="B2031" t="s">
        <v>27</v>
      </c>
      <c r="C2031" s="1" t="s">
        <v>26</v>
      </c>
      <c r="D2031" s="3">
        <v>0</v>
      </c>
      <c r="E2031" s="3">
        <v>0</v>
      </c>
      <c r="F2031" s="3">
        <v>0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 s="3">
        <v>0</v>
      </c>
      <c r="N2031" s="3">
        <v>0</v>
      </c>
      <c r="O2031" s="12">
        <v>0</v>
      </c>
    </row>
    <row r="2032" spans="1:15" hidden="1" x14ac:dyDescent="0.25">
      <c r="A2032" s="10">
        <v>46064</v>
      </c>
      <c r="B2032" t="s">
        <v>41</v>
      </c>
      <c r="C2032" s="1" t="s">
        <v>32</v>
      </c>
      <c r="D2032" s="3">
        <v>27</v>
      </c>
      <c r="E2032" s="3">
        <v>26</v>
      </c>
      <c r="F2032" s="3">
        <v>26.56</v>
      </c>
      <c r="G2032" s="3">
        <v>0</v>
      </c>
      <c r="H2032" s="3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 s="3">
        <v>28</v>
      </c>
      <c r="N2032" s="3">
        <v>99.26</v>
      </c>
      <c r="O2032" s="12">
        <v>30.84832904884319</v>
      </c>
    </row>
    <row r="2033" spans="1:15" hidden="1" x14ac:dyDescent="0.25">
      <c r="A2033" s="10">
        <v>46064</v>
      </c>
      <c r="B2033" t="s">
        <v>56</v>
      </c>
      <c r="C2033" s="1" t="s">
        <v>48</v>
      </c>
      <c r="D2033" s="3">
        <v>19</v>
      </c>
      <c r="E2033" s="3">
        <v>18</v>
      </c>
      <c r="F2033" s="3">
        <v>32.33</v>
      </c>
      <c r="G2033" s="3">
        <v>0</v>
      </c>
      <c r="H2033" s="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 s="3">
        <v>18</v>
      </c>
      <c r="N2033" s="3">
        <v>97.48</v>
      </c>
      <c r="O2033" s="12">
        <v>27.764705882352938</v>
      </c>
    </row>
    <row r="2034" spans="1:15" hidden="1" x14ac:dyDescent="0.25">
      <c r="A2034" s="10">
        <v>46064</v>
      </c>
      <c r="B2034" t="s">
        <v>57</v>
      </c>
      <c r="C2034" s="1" t="s">
        <v>48</v>
      </c>
      <c r="D2034" s="3">
        <v>33</v>
      </c>
      <c r="E2034" s="3">
        <v>30</v>
      </c>
      <c r="F2034" s="3">
        <v>19.010000000000002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 s="3">
        <v>23</v>
      </c>
      <c r="N2034" s="3">
        <v>99.34</v>
      </c>
      <c r="O2034" s="12">
        <v>30.04291845493562</v>
      </c>
    </row>
    <row r="2035" spans="1:15" hidden="1" x14ac:dyDescent="0.25">
      <c r="A2035" s="10">
        <v>46064</v>
      </c>
      <c r="B2035" t="s">
        <v>42</v>
      </c>
      <c r="C2035" s="1" t="s">
        <v>32</v>
      </c>
      <c r="D2035" s="3">
        <v>0</v>
      </c>
      <c r="E2035" s="3">
        <v>0</v>
      </c>
      <c r="F2035" s="3">
        <v>0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 s="3">
        <v>0</v>
      </c>
      <c r="N2035" s="3">
        <v>96.3</v>
      </c>
      <c r="O2035" s="12">
        <v>24.29378531073446</v>
      </c>
    </row>
    <row r="2036" spans="1:15" hidden="1" x14ac:dyDescent="0.25">
      <c r="A2036" s="10">
        <v>46064</v>
      </c>
      <c r="B2036" t="s">
        <v>62</v>
      </c>
      <c r="C2036" s="1" t="s">
        <v>23</v>
      </c>
      <c r="D2036" s="3">
        <v>19</v>
      </c>
      <c r="E2036" s="3">
        <v>19</v>
      </c>
      <c r="F2036" s="3">
        <v>29.07</v>
      </c>
      <c r="G2036" s="3">
        <v>0</v>
      </c>
      <c r="H2036" s="3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 s="3">
        <v>18</v>
      </c>
      <c r="N2036" s="3">
        <v>100</v>
      </c>
      <c r="O2036" s="12">
        <v>26.543209876543209</v>
      </c>
    </row>
    <row r="2037" spans="1:15" hidden="1" x14ac:dyDescent="0.25">
      <c r="A2037" s="10">
        <v>46064</v>
      </c>
      <c r="B2037" t="s">
        <v>19</v>
      </c>
      <c r="C2037" s="1" t="s">
        <v>16</v>
      </c>
      <c r="D2037" s="3">
        <v>74</v>
      </c>
      <c r="E2037" s="3">
        <v>26</v>
      </c>
      <c r="F2037" s="3">
        <v>5.27</v>
      </c>
      <c r="G2037" s="3">
        <v>0</v>
      </c>
      <c r="H2037" s="3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 s="3">
        <v>0</v>
      </c>
      <c r="N2037" s="3">
        <v>100</v>
      </c>
      <c r="O2037" s="12">
        <v>35.483870967741943</v>
      </c>
    </row>
    <row r="2038" spans="1:15" hidden="1" x14ac:dyDescent="0.25">
      <c r="A2038" s="10">
        <v>46064</v>
      </c>
      <c r="B2038" t="s">
        <v>43</v>
      </c>
      <c r="C2038" s="1" t="s">
        <v>32</v>
      </c>
      <c r="D2038" s="3">
        <v>16</v>
      </c>
      <c r="E2038" s="3">
        <v>15</v>
      </c>
      <c r="F2038" s="3">
        <v>31.4</v>
      </c>
      <c r="G2038" s="3">
        <v>0</v>
      </c>
      <c r="H2038" s="3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 s="3">
        <v>33</v>
      </c>
      <c r="N2038" s="3">
        <v>99.27</v>
      </c>
      <c r="O2038" s="12">
        <v>31.163708086785011</v>
      </c>
    </row>
    <row r="2039" spans="1:15" hidden="1" x14ac:dyDescent="0.25">
      <c r="A2039" s="10">
        <v>46064</v>
      </c>
      <c r="B2039" t="s">
        <v>44</v>
      </c>
      <c r="C2039" s="1" t="s">
        <v>32</v>
      </c>
      <c r="D2039" s="3">
        <v>17</v>
      </c>
      <c r="E2039" s="3">
        <v>17</v>
      </c>
      <c r="F2039" s="3">
        <v>30.2</v>
      </c>
      <c r="G2039" s="3">
        <v>0</v>
      </c>
      <c r="H2039" s="3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 s="3">
        <v>15</v>
      </c>
      <c r="N2039" s="3">
        <v>94.16</v>
      </c>
      <c r="O2039" s="12">
        <v>27.038626609442058</v>
      </c>
    </row>
    <row r="2040" spans="1:15" hidden="1" x14ac:dyDescent="0.25">
      <c r="A2040" s="10">
        <v>46064</v>
      </c>
      <c r="B2040" t="s">
        <v>20</v>
      </c>
      <c r="C2040" s="1" t="s">
        <v>16</v>
      </c>
      <c r="D2040" s="3">
        <v>10</v>
      </c>
      <c r="E2040" s="3">
        <v>10</v>
      </c>
      <c r="F2040" s="3">
        <v>67.16</v>
      </c>
      <c r="G2040" s="3">
        <v>0</v>
      </c>
      <c r="H2040" s="3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 s="3">
        <v>4</v>
      </c>
      <c r="N2040" s="3">
        <v>93.75</v>
      </c>
      <c r="O2040" s="12">
        <v>19.31818181818182</v>
      </c>
    </row>
    <row r="2041" spans="1:15" hidden="1" x14ac:dyDescent="0.25">
      <c r="A2041" s="10">
        <v>46064</v>
      </c>
      <c r="B2041" t="s">
        <v>28</v>
      </c>
      <c r="C2041" s="1" t="s">
        <v>26</v>
      </c>
      <c r="D2041" s="3">
        <v>0</v>
      </c>
      <c r="E2041" s="3">
        <v>0</v>
      </c>
      <c r="F2041" s="3">
        <v>0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 s="3">
        <v>0</v>
      </c>
      <c r="N2041" s="3">
        <v>0</v>
      </c>
      <c r="O2041" s="12">
        <v>0</v>
      </c>
    </row>
    <row r="2042" spans="1:15" hidden="1" x14ac:dyDescent="0.25">
      <c r="A2042" s="10">
        <v>46064</v>
      </c>
      <c r="B2042" t="s">
        <v>58</v>
      </c>
      <c r="C2042" s="1" t="s">
        <v>48</v>
      </c>
      <c r="D2042" s="3">
        <v>0</v>
      </c>
      <c r="E2042" s="3">
        <v>0</v>
      </c>
      <c r="F2042" s="3">
        <v>0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 s="3">
        <v>0</v>
      </c>
      <c r="N2042" s="3">
        <v>97.92</v>
      </c>
      <c r="O2042" s="12">
        <v>32.87671232876712</v>
      </c>
    </row>
    <row r="2043" spans="1:15" hidden="1" x14ac:dyDescent="0.25">
      <c r="A2043" s="10">
        <v>46064</v>
      </c>
      <c r="B2043" t="s">
        <v>29</v>
      </c>
      <c r="C2043" s="1" t="s">
        <v>26</v>
      </c>
      <c r="D2043" s="3">
        <v>0</v>
      </c>
      <c r="E2043" s="3">
        <v>0</v>
      </c>
      <c r="F2043" s="3">
        <v>0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 s="3">
        <v>0</v>
      </c>
      <c r="N2043" s="3">
        <v>0</v>
      </c>
      <c r="O2043" s="12">
        <v>0</v>
      </c>
    </row>
    <row r="2044" spans="1:15" hidden="1" x14ac:dyDescent="0.25">
      <c r="A2044" s="10">
        <v>46064</v>
      </c>
      <c r="B2044" t="s">
        <v>30</v>
      </c>
      <c r="C2044" s="1" t="s">
        <v>26</v>
      </c>
      <c r="D2044" s="3">
        <v>0</v>
      </c>
      <c r="E2044" s="3">
        <v>0</v>
      </c>
      <c r="F2044" s="3">
        <v>0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 s="3">
        <v>0</v>
      </c>
      <c r="N2044" s="3">
        <v>0</v>
      </c>
      <c r="O2044" s="12">
        <v>0</v>
      </c>
    </row>
    <row r="2045" spans="1:15" hidden="1" x14ac:dyDescent="0.25">
      <c r="A2045" s="10">
        <v>46064</v>
      </c>
      <c r="B2045" t="s">
        <v>21</v>
      </c>
      <c r="C2045" s="1" t="s">
        <v>16</v>
      </c>
      <c r="D2045" s="3">
        <v>0</v>
      </c>
      <c r="E2045" s="3">
        <v>0</v>
      </c>
      <c r="F2045" s="3">
        <v>0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 s="3">
        <v>0</v>
      </c>
      <c r="N2045" s="3">
        <v>0</v>
      </c>
      <c r="O2045" s="12">
        <v>0</v>
      </c>
    </row>
    <row r="2046" spans="1:15" hidden="1" x14ac:dyDescent="0.25">
      <c r="A2046" s="10">
        <v>46064</v>
      </c>
      <c r="B2046" t="s">
        <v>63</v>
      </c>
      <c r="C2046" s="1" t="s">
        <v>23</v>
      </c>
      <c r="D2046" s="3">
        <v>25</v>
      </c>
      <c r="E2046" s="3">
        <v>24</v>
      </c>
      <c r="F2046" s="3">
        <v>23.53</v>
      </c>
      <c r="G2046" s="3">
        <v>0</v>
      </c>
      <c r="H2046" s="3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 s="3">
        <v>17</v>
      </c>
      <c r="N2046" s="3">
        <v>98.51</v>
      </c>
      <c r="O2046" s="12">
        <v>29.710144927536231</v>
      </c>
    </row>
    <row r="2047" spans="1:15" hidden="1" x14ac:dyDescent="0.25">
      <c r="A2047" s="10">
        <v>46064</v>
      </c>
      <c r="B2047" t="s">
        <v>45</v>
      </c>
      <c r="C2047" s="1" t="s">
        <v>32</v>
      </c>
      <c r="D2047" s="3">
        <v>38</v>
      </c>
      <c r="E2047" s="3">
        <v>35</v>
      </c>
      <c r="F2047" s="3">
        <v>15.06</v>
      </c>
      <c r="G2047" s="3">
        <v>0</v>
      </c>
      <c r="H2047" s="3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 s="3">
        <v>38</v>
      </c>
      <c r="N2047" s="3">
        <v>98.81</v>
      </c>
      <c r="O2047" s="12">
        <v>30.712979890310791</v>
      </c>
    </row>
    <row r="2048" spans="1:15" hidden="1" x14ac:dyDescent="0.25">
      <c r="A2048" s="10">
        <v>46064</v>
      </c>
      <c r="B2048" t="s">
        <v>64</v>
      </c>
      <c r="C2048" s="1" t="s">
        <v>23</v>
      </c>
      <c r="D2048" s="3">
        <v>12</v>
      </c>
      <c r="E2048" s="3">
        <v>11</v>
      </c>
      <c r="F2048" s="3">
        <v>37.18</v>
      </c>
      <c r="G2048" s="3">
        <v>0</v>
      </c>
      <c r="H2048" s="3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 s="3">
        <v>12</v>
      </c>
      <c r="N2048" s="3">
        <v>98.48</v>
      </c>
      <c r="O2048" s="12">
        <v>29.35323383084577</v>
      </c>
    </row>
    <row r="2049" spans="1:15" hidden="1" x14ac:dyDescent="0.25">
      <c r="A2049" s="10">
        <v>46064</v>
      </c>
      <c r="B2049" t="s">
        <v>46</v>
      </c>
      <c r="C2049" s="1" t="s">
        <v>32</v>
      </c>
      <c r="D2049" s="3">
        <v>35</v>
      </c>
      <c r="E2049" s="3">
        <v>32</v>
      </c>
      <c r="F2049" s="3">
        <v>18.27</v>
      </c>
      <c r="G2049" s="3">
        <v>0</v>
      </c>
      <c r="H2049" s="3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 s="3">
        <v>27</v>
      </c>
      <c r="N2049" s="3">
        <v>98.56</v>
      </c>
      <c r="O2049" s="12">
        <v>29.373650107991359</v>
      </c>
    </row>
    <row r="2050" spans="1:15" hidden="1" x14ac:dyDescent="0.25">
      <c r="A2050" s="10">
        <v>46065</v>
      </c>
      <c r="B2050" t="s">
        <v>47</v>
      </c>
      <c r="C2050" s="1" t="s">
        <v>48</v>
      </c>
      <c r="D2050" s="3">
        <v>1</v>
      </c>
      <c r="E2050" s="3">
        <v>0</v>
      </c>
      <c r="F2050" s="3">
        <v>2.0699999999999998</v>
      </c>
      <c r="G2050" s="3">
        <v>0</v>
      </c>
      <c r="H2050" s="3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 s="3">
        <v>0</v>
      </c>
      <c r="N2050" s="3">
        <v>98.32</v>
      </c>
      <c r="O2050" s="12">
        <v>30.303030303030301</v>
      </c>
    </row>
    <row r="2051" spans="1:15" hidden="1" x14ac:dyDescent="0.25">
      <c r="A2051" s="10">
        <v>46065</v>
      </c>
      <c r="B2051" t="s">
        <v>31</v>
      </c>
      <c r="C2051" s="1" t="s">
        <v>32</v>
      </c>
      <c r="D2051" s="3">
        <v>0</v>
      </c>
      <c r="E2051" s="3">
        <v>0</v>
      </c>
      <c r="F2051" s="3">
        <v>0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 s="3">
        <v>33</v>
      </c>
      <c r="N2051" s="3">
        <v>98.68</v>
      </c>
      <c r="O2051" s="12">
        <v>26.219512195121951</v>
      </c>
    </row>
    <row r="2052" spans="1:15" hidden="1" x14ac:dyDescent="0.25">
      <c r="A2052" s="10">
        <v>46065</v>
      </c>
      <c r="B2052" t="s">
        <v>59</v>
      </c>
      <c r="C2052" s="1" t="s">
        <v>23</v>
      </c>
      <c r="D2052" s="3">
        <v>25</v>
      </c>
      <c r="E2052" s="3">
        <v>24</v>
      </c>
      <c r="F2052" s="3">
        <v>25.21</v>
      </c>
      <c r="G2052" s="3">
        <v>0</v>
      </c>
      <c r="H2052" s="3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 s="3">
        <v>20</v>
      </c>
      <c r="N2052" s="3">
        <v>100</v>
      </c>
      <c r="O2052" s="12">
        <v>31.74224343675418</v>
      </c>
    </row>
    <row r="2053" spans="1:15" hidden="1" x14ac:dyDescent="0.25">
      <c r="A2053" s="10">
        <v>46065</v>
      </c>
      <c r="B2053" t="s">
        <v>33</v>
      </c>
      <c r="C2053" s="1" t="s">
        <v>32</v>
      </c>
      <c r="D2053" s="3">
        <v>28</v>
      </c>
      <c r="E2053" s="3">
        <v>26</v>
      </c>
      <c r="F2053" s="3">
        <v>23.36</v>
      </c>
      <c r="G2053" s="3">
        <v>0</v>
      </c>
      <c r="H2053" s="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 s="3">
        <v>25</v>
      </c>
      <c r="N2053" s="3">
        <v>98.25</v>
      </c>
      <c r="O2053" s="12">
        <v>25.83518930957684</v>
      </c>
    </row>
    <row r="2054" spans="1:15" hidden="1" x14ac:dyDescent="0.25">
      <c r="A2054" s="10">
        <v>46065</v>
      </c>
      <c r="B2054" t="s">
        <v>15</v>
      </c>
      <c r="C2054" s="1" t="s">
        <v>16</v>
      </c>
      <c r="D2054" s="3">
        <v>10</v>
      </c>
      <c r="E2054" s="3">
        <v>9</v>
      </c>
      <c r="F2054" s="3">
        <v>30.53</v>
      </c>
      <c r="G2054" s="3">
        <v>0</v>
      </c>
      <c r="H2054" s="3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 s="3">
        <v>9</v>
      </c>
      <c r="N2054" s="3">
        <v>97.5</v>
      </c>
      <c r="O2054" s="12">
        <v>30.075187969924809</v>
      </c>
    </row>
    <row r="2055" spans="1:15" hidden="1" x14ac:dyDescent="0.25">
      <c r="A2055" s="10">
        <v>46065</v>
      </c>
      <c r="B2055" t="s">
        <v>49</v>
      </c>
      <c r="C2055" s="1" t="s">
        <v>48</v>
      </c>
      <c r="D2055" s="3">
        <v>17</v>
      </c>
      <c r="E2055" s="3">
        <v>17</v>
      </c>
      <c r="F2055" s="3">
        <v>22.38</v>
      </c>
      <c r="G2055" s="3">
        <v>0</v>
      </c>
      <c r="H2055" s="3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 s="3">
        <v>17</v>
      </c>
      <c r="N2055" s="3">
        <v>100</v>
      </c>
      <c r="O2055" s="12">
        <v>29.71311475409836</v>
      </c>
    </row>
    <row r="2056" spans="1:15" hidden="1" x14ac:dyDescent="0.25">
      <c r="A2056" s="10">
        <v>46065</v>
      </c>
      <c r="B2056" t="s">
        <v>50</v>
      </c>
      <c r="C2056" s="1" t="s">
        <v>48</v>
      </c>
      <c r="D2056" s="3">
        <v>14</v>
      </c>
      <c r="E2056" s="3">
        <v>13</v>
      </c>
      <c r="F2056" s="3">
        <v>41.45</v>
      </c>
      <c r="G2056" s="3">
        <v>0</v>
      </c>
      <c r="H2056" s="3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 s="3">
        <v>14</v>
      </c>
      <c r="N2056" s="3">
        <v>99.22</v>
      </c>
      <c r="O2056" s="12">
        <v>35.256410256410263</v>
      </c>
    </row>
    <row r="2057" spans="1:15" hidden="1" x14ac:dyDescent="0.25">
      <c r="A2057" s="10">
        <v>46065</v>
      </c>
      <c r="B2057" t="s">
        <v>17</v>
      </c>
      <c r="C2057" s="1" t="s">
        <v>16</v>
      </c>
      <c r="D2057" s="3">
        <v>0</v>
      </c>
      <c r="E2057" s="3">
        <v>0</v>
      </c>
      <c r="F2057" s="3">
        <v>0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 s="3">
        <v>0</v>
      </c>
      <c r="N2057" s="3">
        <v>0</v>
      </c>
      <c r="O2057" s="12">
        <v>0</v>
      </c>
    </row>
    <row r="2058" spans="1:15" hidden="1" x14ac:dyDescent="0.25">
      <c r="A2058" s="10">
        <v>46065</v>
      </c>
      <c r="B2058" t="s">
        <v>60</v>
      </c>
      <c r="C2058" s="1" t="s">
        <v>23</v>
      </c>
      <c r="D2058" s="3">
        <v>40</v>
      </c>
      <c r="E2058" s="3">
        <v>6</v>
      </c>
      <c r="F2058" s="3">
        <v>3.57</v>
      </c>
      <c r="G2058" s="3">
        <v>0</v>
      </c>
      <c r="H2058" s="3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 s="3">
        <v>9</v>
      </c>
      <c r="N2058" s="3">
        <v>98.75</v>
      </c>
      <c r="O2058" s="12">
        <v>24.32432432432433</v>
      </c>
    </row>
    <row r="2059" spans="1:15" hidden="1" x14ac:dyDescent="0.25">
      <c r="A2059" s="10">
        <v>46065</v>
      </c>
      <c r="B2059" t="s">
        <v>34</v>
      </c>
      <c r="C2059" s="1" t="s">
        <v>32</v>
      </c>
      <c r="D2059" s="3">
        <v>39</v>
      </c>
      <c r="E2059" s="3">
        <v>36</v>
      </c>
      <c r="F2059" s="3">
        <v>19.05</v>
      </c>
      <c r="G2059" s="3">
        <v>0</v>
      </c>
      <c r="H2059" s="3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 s="3">
        <v>35</v>
      </c>
      <c r="N2059" s="3">
        <v>93.48</v>
      </c>
      <c r="O2059" s="12">
        <v>31.52804642166344</v>
      </c>
    </row>
    <row r="2060" spans="1:15" hidden="1" x14ac:dyDescent="0.25">
      <c r="A2060" s="10">
        <v>46065</v>
      </c>
      <c r="B2060" t="s">
        <v>51</v>
      </c>
      <c r="C2060" s="1" t="s">
        <v>48</v>
      </c>
      <c r="D2060" s="3">
        <v>38</v>
      </c>
      <c r="E2060" s="3">
        <v>36</v>
      </c>
      <c r="F2060" s="3">
        <v>15.56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 s="3">
        <v>36</v>
      </c>
      <c r="N2060" s="3">
        <v>99.16</v>
      </c>
      <c r="O2060" s="12">
        <v>26.13908872901678</v>
      </c>
    </row>
    <row r="2061" spans="1:15" hidden="1" x14ac:dyDescent="0.25">
      <c r="A2061" s="10">
        <v>46065</v>
      </c>
      <c r="B2061" t="s">
        <v>61</v>
      </c>
      <c r="C2061" s="1" t="s">
        <v>23</v>
      </c>
      <c r="D2061" s="3">
        <v>15</v>
      </c>
      <c r="E2061" s="3">
        <v>15</v>
      </c>
      <c r="F2061" s="3">
        <v>30.17</v>
      </c>
      <c r="G2061" s="3">
        <v>0</v>
      </c>
      <c r="H2061" s="3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 s="3">
        <v>13</v>
      </c>
      <c r="N2061" s="3">
        <v>100</v>
      </c>
      <c r="O2061" s="12">
        <v>31.089743589743591</v>
      </c>
    </row>
    <row r="2062" spans="1:15" hidden="1" x14ac:dyDescent="0.25">
      <c r="A2062" s="10">
        <v>46065</v>
      </c>
      <c r="B2062" t="s">
        <v>35</v>
      </c>
      <c r="C2062" s="1" t="s">
        <v>32</v>
      </c>
      <c r="D2062" s="3">
        <v>26</v>
      </c>
      <c r="E2062" s="3">
        <v>26</v>
      </c>
      <c r="F2062" s="3">
        <v>27.22</v>
      </c>
      <c r="G2062" s="3">
        <v>0</v>
      </c>
      <c r="H2062" s="3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 s="3">
        <v>25</v>
      </c>
      <c r="N2062" s="3">
        <v>98.11</v>
      </c>
      <c r="O2062" s="12">
        <v>33.033707865168537</v>
      </c>
    </row>
    <row r="2063" spans="1:15" hidden="1" x14ac:dyDescent="0.25">
      <c r="A2063" s="10">
        <v>46065</v>
      </c>
      <c r="B2063" t="s">
        <v>18</v>
      </c>
      <c r="C2063" s="1" t="s">
        <v>16</v>
      </c>
      <c r="D2063" s="3">
        <v>20</v>
      </c>
      <c r="E2063" s="3">
        <v>13</v>
      </c>
      <c r="F2063" s="3">
        <v>15.49</v>
      </c>
      <c r="G2063" s="3">
        <v>0</v>
      </c>
      <c r="H2063" s="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 s="3">
        <v>2</v>
      </c>
      <c r="N2063" s="3">
        <v>78.95</v>
      </c>
      <c r="O2063" s="12">
        <v>38.983050847457633</v>
      </c>
    </row>
    <row r="2064" spans="1:15" hidden="1" x14ac:dyDescent="0.25">
      <c r="A2064" s="10">
        <v>46065</v>
      </c>
      <c r="B2064" t="s">
        <v>52</v>
      </c>
      <c r="C2064" s="1" t="s">
        <v>48</v>
      </c>
      <c r="D2064" s="3">
        <v>22</v>
      </c>
      <c r="E2064" s="3">
        <v>20</v>
      </c>
      <c r="F2064" s="3">
        <v>27.35</v>
      </c>
      <c r="G2064" s="3">
        <v>0</v>
      </c>
      <c r="H2064" s="3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 s="3">
        <v>17</v>
      </c>
      <c r="N2064" s="3">
        <v>98.45</v>
      </c>
      <c r="O2064" s="12">
        <v>29.281767955801101</v>
      </c>
    </row>
    <row r="2065" spans="1:15" hidden="1" x14ac:dyDescent="0.25">
      <c r="A2065" s="10">
        <v>46065</v>
      </c>
      <c r="B2065" t="s">
        <v>36</v>
      </c>
      <c r="C2065" s="1" t="s">
        <v>32</v>
      </c>
      <c r="D2065" s="3">
        <v>29</v>
      </c>
      <c r="E2065" s="3">
        <v>29</v>
      </c>
      <c r="F2065" s="3">
        <v>20.22</v>
      </c>
      <c r="G2065" s="3">
        <v>0</v>
      </c>
      <c r="H2065" s="3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 s="3">
        <v>29</v>
      </c>
      <c r="N2065" s="3">
        <v>97.84</v>
      </c>
      <c r="O2065" s="12">
        <v>26.282051282051281</v>
      </c>
    </row>
    <row r="2066" spans="1:15" hidden="1" x14ac:dyDescent="0.25">
      <c r="A2066" s="10">
        <v>46065</v>
      </c>
      <c r="B2066" t="s">
        <v>53</v>
      </c>
      <c r="C2066" s="1" t="s">
        <v>48</v>
      </c>
      <c r="D2066" s="3">
        <v>29</v>
      </c>
      <c r="E2066" s="3">
        <v>29</v>
      </c>
      <c r="F2066" s="3">
        <v>22.35</v>
      </c>
      <c r="G2066" s="3">
        <v>0</v>
      </c>
      <c r="H2066" s="3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 s="3">
        <v>29</v>
      </c>
      <c r="N2066" s="3">
        <v>98.5</v>
      </c>
      <c r="O2066" s="12">
        <v>23.97769516728625</v>
      </c>
    </row>
    <row r="2067" spans="1:15" hidden="1" x14ac:dyDescent="0.25">
      <c r="A2067" s="10">
        <v>46099</v>
      </c>
      <c r="B2067" t="s">
        <v>22</v>
      </c>
      <c r="C2067" s="1" t="s">
        <v>23</v>
      </c>
      <c r="D2067" s="3">
        <v>25</v>
      </c>
      <c r="E2067" s="3">
        <v>25</v>
      </c>
      <c r="F2067" s="3">
        <v>19.190000000000001</v>
      </c>
      <c r="G2067" s="3">
        <v>0</v>
      </c>
      <c r="H2067" s="3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 s="3">
        <v>24</v>
      </c>
      <c r="N2067" s="3">
        <v>99.05</v>
      </c>
      <c r="O2067" s="12">
        <v>26.621923937360179</v>
      </c>
    </row>
    <row r="2068" spans="1:15" hidden="1" x14ac:dyDescent="0.25">
      <c r="A2068" s="10">
        <v>46065</v>
      </c>
      <c r="B2068" t="s">
        <v>54</v>
      </c>
      <c r="C2068" s="1" t="s">
        <v>48</v>
      </c>
      <c r="D2068" s="3">
        <v>35</v>
      </c>
      <c r="E2068" s="3">
        <v>33</v>
      </c>
      <c r="F2068" s="3">
        <v>20.43</v>
      </c>
      <c r="G2068" s="3">
        <v>0</v>
      </c>
      <c r="H2068" s="3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 s="3">
        <v>29</v>
      </c>
      <c r="N2068" s="3">
        <v>98.53</v>
      </c>
      <c r="O2068" s="12">
        <v>31.578947368421051</v>
      </c>
    </row>
    <row r="2069" spans="1:15" hidden="1" x14ac:dyDescent="0.25">
      <c r="A2069" s="10">
        <v>46065</v>
      </c>
      <c r="B2069" t="s">
        <v>37</v>
      </c>
      <c r="C2069" s="1" t="s">
        <v>32</v>
      </c>
      <c r="D2069" s="3">
        <v>44</v>
      </c>
      <c r="E2069" s="3">
        <v>37</v>
      </c>
      <c r="F2069" s="3">
        <v>15.28</v>
      </c>
      <c r="G2069" s="3">
        <v>0</v>
      </c>
      <c r="H2069" s="3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 s="3">
        <v>37</v>
      </c>
      <c r="N2069" s="3">
        <v>100</v>
      </c>
      <c r="O2069" s="12">
        <v>25.72214580467676</v>
      </c>
    </row>
    <row r="2070" spans="1:15" hidden="1" x14ac:dyDescent="0.25">
      <c r="A2070" s="10">
        <v>46065</v>
      </c>
      <c r="B2070" t="s">
        <v>38</v>
      </c>
      <c r="C2070" s="1" t="s">
        <v>32</v>
      </c>
      <c r="D2070" s="3">
        <v>21</v>
      </c>
      <c r="E2070" s="3">
        <v>20</v>
      </c>
      <c r="F2070" s="3">
        <v>13.29</v>
      </c>
      <c r="G2070" s="3">
        <v>0</v>
      </c>
      <c r="H2070" s="3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 s="3">
        <v>17</v>
      </c>
      <c r="N2070" s="3">
        <v>94.64</v>
      </c>
      <c r="O2070" s="12">
        <v>27.52941176470588</v>
      </c>
    </row>
    <row r="2071" spans="1:15" hidden="1" x14ac:dyDescent="0.25">
      <c r="A2071" s="10">
        <v>46065</v>
      </c>
      <c r="B2071" t="s">
        <v>55</v>
      </c>
      <c r="C2071" s="1" t="s">
        <v>48</v>
      </c>
      <c r="D2071" s="3">
        <v>19</v>
      </c>
      <c r="E2071" s="3">
        <v>17</v>
      </c>
      <c r="F2071" s="3">
        <v>30.31</v>
      </c>
      <c r="G2071" s="3">
        <v>0</v>
      </c>
      <c r="H2071" s="3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 s="3">
        <v>16</v>
      </c>
      <c r="N2071" s="3">
        <v>99.07</v>
      </c>
      <c r="O2071" s="12">
        <v>26.376811594202898</v>
      </c>
    </row>
    <row r="2072" spans="1:15" hidden="1" x14ac:dyDescent="0.25">
      <c r="A2072" s="10">
        <v>46065</v>
      </c>
      <c r="B2072" t="s">
        <v>39</v>
      </c>
      <c r="C2072" s="1" t="s">
        <v>32</v>
      </c>
      <c r="D2072" s="3">
        <v>0</v>
      </c>
      <c r="E2072" s="3">
        <v>0</v>
      </c>
      <c r="F2072" s="3">
        <v>0</v>
      </c>
      <c r="G2072" s="3">
        <v>0</v>
      </c>
      <c r="H2072" s="3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 s="3">
        <v>0</v>
      </c>
      <c r="N2072" s="3">
        <v>100</v>
      </c>
      <c r="O2072" s="12">
        <v>0</v>
      </c>
    </row>
    <row r="2073" spans="1:15" hidden="1" x14ac:dyDescent="0.25">
      <c r="A2073" s="10">
        <v>46065</v>
      </c>
      <c r="B2073" t="s">
        <v>25</v>
      </c>
      <c r="C2073" s="1" t="s">
        <v>26</v>
      </c>
      <c r="D2073" s="3">
        <v>8</v>
      </c>
      <c r="E2073" s="3">
        <v>7</v>
      </c>
      <c r="F2073" s="3">
        <v>32.06</v>
      </c>
      <c r="G2073" s="3">
        <v>0</v>
      </c>
      <c r="H2073" s="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 s="3">
        <v>7</v>
      </c>
      <c r="N2073" s="3">
        <v>98.48</v>
      </c>
      <c r="O2073" s="12">
        <v>27.853881278538811</v>
      </c>
    </row>
    <row r="2074" spans="1:15" hidden="1" x14ac:dyDescent="0.25">
      <c r="A2074" s="10">
        <v>46065</v>
      </c>
      <c r="B2074" t="s">
        <v>40</v>
      </c>
      <c r="C2074" s="1" t="s">
        <v>32</v>
      </c>
      <c r="D2074" s="3">
        <v>11</v>
      </c>
      <c r="E2074" s="3">
        <v>9</v>
      </c>
      <c r="F2074" s="3">
        <v>15.24</v>
      </c>
      <c r="G2074" s="3">
        <v>0</v>
      </c>
      <c r="H2074" s="3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 s="3">
        <v>21</v>
      </c>
      <c r="N2074" s="3">
        <v>95.15</v>
      </c>
      <c r="O2074" s="12">
        <v>34.131736526946113</v>
      </c>
    </row>
    <row r="2075" spans="1:15" hidden="1" x14ac:dyDescent="0.25">
      <c r="A2075" s="10">
        <v>46065</v>
      </c>
      <c r="B2075" t="s">
        <v>27</v>
      </c>
      <c r="C2075" s="1" t="s">
        <v>26</v>
      </c>
      <c r="D2075" s="3">
        <v>0</v>
      </c>
      <c r="E2075" s="3">
        <v>0</v>
      </c>
      <c r="F2075" s="3">
        <v>0</v>
      </c>
      <c r="G2075" s="3">
        <v>0</v>
      </c>
      <c r="H2075" s="3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 s="3">
        <v>0</v>
      </c>
      <c r="N2075" s="3">
        <v>0</v>
      </c>
      <c r="O2075" s="12">
        <v>0</v>
      </c>
    </row>
    <row r="2076" spans="1:15" hidden="1" x14ac:dyDescent="0.25">
      <c r="A2076" s="10">
        <v>46065</v>
      </c>
      <c r="B2076" t="s">
        <v>41</v>
      </c>
      <c r="C2076" s="1" t="s">
        <v>32</v>
      </c>
      <c r="D2076" s="3">
        <v>29</v>
      </c>
      <c r="E2076" s="3">
        <v>29</v>
      </c>
      <c r="F2076" s="3">
        <v>19.170000000000002</v>
      </c>
      <c r="G2076" s="3">
        <v>0</v>
      </c>
      <c r="H2076" s="3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 s="3">
        <v>26</v>
      </c>
      <c r="N2076" s="3">
        <v>99.26</v>
      </c>
      <c r="O2076" s="12">
        <v>30.84832904884319</v>
      </c>
    </row>
    <row r="2077" spans="1:15" hidden="1" x14ac:dyDescent="0.25">
      <c r="A2077" s="10">
        <v>46065</v>
      </c>
      <c r="B2077" t="s">
        <v>56</v>
      </c>
      <c r="C2077" s="1" t="s">
        <v>48</v>
      </c>
      <c r="D2077" s="3">
        <v>41</v>
      </c>
      <c r="E2077" s="3">
        <v>36</v>
      </c>
      <c r="F2077" s="3">
        <v>18.57</v>
      </c>
      <c r="G2077" s="3">
        <v>0</v>
      </c>
      <c r="H2077" s="3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 s="3">
        <v>23</v>
      </c>
      <c r="N2077" s="3">
        <v>97.48</v>
      </c>
      <c r="O2077" s="12">
        <v>27.764705882352938</v>
      </c>
    </row>
    <row r="2078" spans="1:15" hidden="1" x14ac:dyDescent="0.25">
      <c r="A2078" s="10">
        <v>46065</v>
      </c>
      <c r="B2078" t="s">
        <v>57</v>
      </c>
      <c r="C2078" s="1" t="s">
        <v>48</v>
      </c>
      <c r="D2078" s="3">
        <v>25</v>
      </c>
      <c r="E2078" s="3">
        <v>23</v>
      </c>
      <c r="F2078" s="3">
        <v>20.41</v>
      </c>
      <c r="G2078" s="3">
        <v>0</v>
      </c>
      <c r="H2078" s="3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 s="3">
        <v>19</v>
      </c>
      <c r="N2078" s="3">
        <v>99.34</v>
      </c>
      <c r="O2078" s="12">
        <v>30.04291845493562</v>
      </c>
    </row>
    <row r="2079" spans="1:15" hidden="1" x14ac:dyDescent="0.25">
      <c r="A2079" s="10">
        <v>46065</v>
      </c>
      <c r="B2079" t="s">
        <v>42</v>
      </c>
      <c r="C2079" s="1" t="s">
        <v>32</v>
      </c>
      <c r="D2079" s="3">
        <v>0</v>
      </c>
      <c r="E2079" s="3">
        <v>0</v>
      </c>
      <c r="F2079" s="3">
        <v>0</v>
      </c>
      <c r="G2079" s="3">
        <v>0</v>
      </c>
      <c r="H2079" s="3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 s="3">
        <v>0</v>
      </c>
      <c r="N2079" s="3">
        <v>96.3</v>
      </c>
      <c r="O2079" s="12">
        <v>24.29378531073446</v>
      </c>
    </row>
    <row r="2080" spans="1:15" hidden="1" x14ac:dyDescent="0.25">
      <c r="A2080" s="10">
        <v>46065</v>
      </c>
      <c r="B2080" t="s">
        <v>62</v>
      </c>
      <c r="C2080" s="1" t="s">
        <v>23</v>
      </c>
      <c r="D2080" s="3">
        <v>29</v>
      </c>
      <c r="E2080" s="3">
        <v>28</v>
      </c>
      <c r="F2080" s="3">
        <v>23.4</v>
      </c>
      <c r="G2080" s="3">
        <v>0</v>
      </c>
      <c r="H2080" s="3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 s="3">
        <v>23</v>
      </c>
      <c r="N2080" s="3">
        <v>100</v>
      </c>
      <c r="O2080" s="12">
        <v>26.543209876543209</v>
      </c>
    </row>
    <row r="2081" spans="1:15" hidden="1" x14ac:dyDescent="0.25">
      <c r="A2081" s="10">
        <v>46065</v>
      </c>
      <c r="B2081" t="s">
        <v>19</v>
      </c>
      <c r="C2081" s="1" t="s">
        <v>16</v>
      </c>
      <c r="D2081" s="3">
        <v>37</v>
      </c>
      <c r="E2081" s="3">
        <v>16</v>
      </c>
      <c r="F2081" s="3">
        <v>8.2899999999999991</v>
      </c>
      <c r="G2081" s="3">
        <v>0</v>
      </c>
      <c r="H2081" s="3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 s="3">
        <v>1</v>
      </c>
      <c r="N2081" s="3">
        <v>100</v>
      </c>
      <c r="O2081" s="12">
        <v>35.483870967741943</v>
      </c>
    </row>
    <row r="2082" spans="1:15" hidden="1" x14ac:dyDescent="0.25">
      <c r="A2082" s="10">
        <v>46065</v>
      </c>
      <c r="B2082" t="s">
        <v>43</v>
      </c>
      <c r="C2082" s="1" t="s">
        <v>32</v>
      </c>
      <c r="D2082" s="3">
        <v>37</v>
      </c>
      <c r="E2082" s="3">
        <v>34</v>
      </c>
      <c r="F2082" s="3">
        <v>15.47</v>
      </c>
      <c r="G2082" s="3">
        <v>0</v>
      </c>
      <c r="H2082" s="3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 s="3">
        <v>31</v>
      </c>
      <c r="N2082" s="3">
        <v>99.27</v>
      </c>
      <c r="O2082" s="12">
        <v>31.163708086785011</v>
      </c>
    </row>
    <row r="2083" spans="1:15" hidden="1" x14ac:dyDescent="0.25">
      <c r="A2083" s="10">
        <v>46065</v>
      </c>
      <c r="B2083" t="s">
        <v>44</v>
      </c>
      <c r="C2083" s="1" t="s">
        <v>32</v>
      </c>
      <c r="D2083" s="3">
        <v>18</v>
      </c>
      <c r="E2083" s="3">
        <v>17</v>
      </c>
      <c r="F2083" s="3">
        <v>20.59</v>
      </c>
      <c r="G2083" s="3">
        <v>0</v>
      </c>
      <c r="H2083" s="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 s="3">
        <v>16</v>
      </c>
      <c r="N2083" s="3">
        <v>94.16</v>
      </c>
      <c r="O2083" s="12">
        <v>27.038626609442058</v>
      </c>
    </row>
    <row r="2084" spans="1:15" hidden="1" x14ac:dyDescent="0.25">
      <c r="A2084" s="10">
        <v>46065</v>
      </c>
      <c r="B2084" t="s">
        <v>20</v>
      </c>
      <c r="C2084" s="1" t="s">
        <v>16</v>
      </c>
      <c r="D2084" s="3">
        <v>14</v>
      </c>
      <c r="E2084" s="3">
        <v>13</v>
      </c>
      <c r="F2084" s="3">
        <v>57.03</v>
      </c>
      <c r="G2084" s="3">
        <v>0</v>
      </c>
      <c r="H2084" s="3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 s="3">
        <v>4</v>
      </c>
      <c r="N2084" s="3">
        <v>93.75</v>
      </c>
      <c r="O2084" s="12">
        <v>19.31818181818182</v>
      </c>
    </row>
    <row r="2085" spans="1:15" hidden="1" x14ac:dyDescent="0.25">
      <c r="A2085" s="10">
        <v>46065</v>
      </c>
      <c r="B2085" t="s">
        <v>28</v>
      </c>
      <c r="C2085" s="1" t="s">
        <v>26</v>
      </c>
      <c r="D2085" s="3">
        <v>0</v>
      </c>
      <c r="E2085" s="3">
        <v>0</v>
      </c>
      <c r="F2085" s="3">
        <v>0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 s="3">
        <v>0</v>
      </c>
      <c r="N2085" s="3">
        <v>0</v>
      </c>
      <c r="O2085" s="12">
        <v>0</v>
      </c>
    </row>
    <row r="2086" spans="1:15" hidden="1" x14ac:dyDescent="0.25">
      <c r="A2086" s="10">
        <v>46065</v>
      </c>
      <c r="B2086" t="s">
        <v>58</v>
      </c>
      <c r="C2086" s="1" t="s">
        <v>48</v>
      </c>
      <c r="D2086" s="3">
        <v>0</v>
      </c>
      <c r="E2086" s="3">
        <v>0</v>
      </c>
      <c r="F2086" s="3">
        <v>0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 s="3">
        <v>0</v>
      </c>
      <c r="N2086" s="3">
        <v>97.92</v>
      </c>
      <c r="O2086" s="12">
        <v>32.87671232876712</v>
      </c>
    </row>
    <row r="2087" spans="1:15" hidden="1" x14ac:dyDescent="0.25">
      <c r="A2087" s="10">
        <v>46065</v>
      </c>
      <c r="B2087" t="s">
        <v>29</v>
      </c>
      <c r="C2087" s="1" t="s">
        <v>26</v>
      </c>
      <c r="D2087" s="3">
        <v>0</v>
      </c>
      <c r="E2087" s="3">
        <v>0</v>
      </c>
      <c r="F2087" s="3">
        <v>0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 s="3">
        <v>0</v>
      </c>
      <c r="N2087" s="3">
        <v>0</v>
      </c>
      <c r="O2087" s="12">
        <v>0</v>
      </c>
    </row>
    <row r="2088" spans="1:15" hidden="1" x14ac:dyDescent="0.25">
      <c r="A2088" s="10">
        <v>46065</v>
      </c>
      <c r="B2088" t="s">
        <v>30</v>
      </c>
      <c r="C2088" s="1" t="s">
        <v>26</v>
      </c>
      <c r="D2088" s="3">
        <v>0</v>
      </c>
      <c r="E2088" s="3">
        <v>0</v>
      </c>
      <c r="F2088" s="3">
        <v>0</v>
      </c>
      <c r="G2088" s="3">
        <v>0</v>
      </c>
      <c r="H2088" s="3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 s="3">
        <v>0</v>
      </c>
      <c r="N2088" s="3">
        <v>0</v>
      </c>
      <c r="O2088" s="12">
        <v>0</v>
      </c>
    </row>
    <row r="2089" spans="1:15" hidden="1" x14ac:dyDescent="0.25">
      <c r="A2089" s="10">
        <v>46065</v>
      </c>
      <c r="B2089" t="s">
        <v>21</v>
      </c>
      <c r="C2089" s="1" t="s">
        <v>16</v>
      </c>
      <c r="D2089" s="3">
        <v>0</v>
      </c>
      <c r="E2089" s="3">
        <v>0</v>
      </c>
      <c r="F2089" s="3">
        <v>0</v>
      </c>
      <c r="G2089" s="3">
        <v>0</v>
      </c>
      <c r="H2089" s="3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 s="3">
        <v>0</v>
      </c>
      <c r="N2089" s="3">
        <v>0</v>
      </c>
      <c r="O2089" s="12">
        <v>0</v>
      </c>
    </row>
    <row r="2090" spans="1:15" hidden="1" x14ac:dyDescent="0.25">
      <c r="A2090" s="10">
        <v>46065</v>
      </c>
      <c r="B2090" t="s">
        <v>63</v>
      </c>
      <c r="C2090" s="1" t="s">
        <v>23</v>
      </c>
      <c r="D2090" s="3">
        <v>27</v>
      </c>
      <c r="E2090" s="3">
        <v>24</v>
      </c>
      <c r="F2090" s="3">
        <v>19.010000000000002</v>
      </c>
      <c r="G2090" s="3">
        <v>0</v>
      </c>
      <c r="H2090" s="3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 s="3">
        <v>20</v>
      </c>
      <c r="N2090" s="3">
        <v>98.51</v>
      </c>
      <c r="O2090" s="12">
        <v>29.710144927536231</v>
      </c>
    </row>
    <row r="2091" spans="1:15" hidden="1" x14ac:dyDescent="0.25">
      <c r="A2091" s="10">
        <v>46065</v>
      </c>
      <c r="B2091" t="s">
        <v>45</v>
      </c>
      <c r="C2091" s="1" t="s">
        <v>32</v>
      </c>
      <c r="D2091" s="3">
        <v>54</v>
      </c>
      <c r="E2091" s="3">
        <v>46</v>
      </c>
      <c r="F2091" s="3">
        <v>13.36</v>
      </c>
      <c r="G2091" s="3">
        <v>0</v>
      </c>
      <c r="H2091" s="3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 s="3">
        <v>43</v>
      </c>
      <c r="N2091" s="3">
        <v>98.81</v>
      </c>
      <c r="O2091" s="12">
        <v>30.712979890310791</v>
      </c>
    </row>
    <row r="2092" spans="1:15" hidden="1" x14ac:dyDescent="0.25">
      <c r="A2092" s="10">
        <v>46065</v>
      </c>
      <c r="B2092" t="s">
        <v>64</v>
      </c>
      <c r="C2092" s="1" t="s">
        <v>23</v>
      </c>
      <c r="D2092" s="3">
        <v>11</v>
      </c>
      <c r="E2092" s="3">
        <v>11</v>
      </c>
      <c r="F2092" s="3">
        <v>62</v>
      </c>
      <c r="G2092" s="3">
        <v>0</v>
      </c>
      <c r="H2092" s="3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 s="3">
        <v>7</v>
      </c>
      <c r="N2092" s="3">
        <v>98.48</v>
      </c>
      <c r="O2092" s="12">
        <v>29.35323383084577</v>
      </c>
    </row>
    <row r="2093" spans="1:15" hidden="1" x14ac:dyDescent="0.25">
      <c r="A2093" s="10">
        <v>46065</v>
      </c>
      <c r="B2093" t="s">
        <v>46</v>
      </c>
      <c r="C2093" s="1" t="s">
        <v>32</v>
      </c>
      <c r="D2093" s="3">
        <v>29</v>
      </c>
      <c r="E2093" s="3">
        <v>29</v>
      </c>
      <c r="F2093" s="3">
        <v>25.29</v>
      </c>
      <c r="G2093" s="3">
        <v>0</v>
      </c>
      <c r="H2093" s="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 s="3">
        <v>26</v>
      </c>
      <c r="N2093" s="3">
        <v>98.56</v>
      </c>
      <c r="O2093" s="12">
        <v>29.373650107991359</v>
      </c>
    </row>
    <row r="2094" spans="1:15" hidden="1" x14ac:dyDescent="0.25">
      <c r="A2094" s="10">
        <v>46066</v>
      </c>
      <c r="B2094" t="s">
        <v>47</v>
      </c>
      <c r="C2094" s="1" t="s">
        <v>48</v>
      </c>
      <c r="D2094" s="3">
        <v>35</v>
      </c>
      <c r="E2094" s="3">
        <v>31</v>
      </c>
      <c r="F2094" s="3">
        <v>20.239999999999998</v>
      </c>
      <c r="G2094" s="3">
        <v>0</v>
      </c>
      <c r="H2094" s="3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 s="3">
        <v>27</v>
      </c>
      <c r="N2094" s="3">
        <v>98.32</v>
      </c>
      <c r="O2094" s="12">
        <v>30.303030303030301</v>
      </c>
    </row>
    <row r="2095" spans="1:15" hidden="1" x14ac:dyDescent="0.25">
      <c r="A2095" s="10">
        <v>46066</v>
      </c>
      <c r="B2095" t="s">
        <v>31</v>
      </c>
      <c r="C2095" s="1" t="s">
        <v>32</v>
      </c>
      <c r="D2095" s="3">
        <v>0</v>
      </c>
      <c r="E2095" s="3">
        <v>0</v>
      </c>
      <c r="F2095" s="3">
        <v>0</v>
      </c>
      <c r="G2095" s="3">
        <v>0</v>
      </c>
      <c r="H2095" s="3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 s="3">
        <v>28</v>
      </c>
      <c r="N2095" s="3">
        <v>98.68</v>
      </c>
      <c r="O2095" s="12">
        <v>26.219512195121951</v>
      </c>
    </row>
    <row r="2096" spans="1:15" hidden="1" x14ac:dyDescent="0.25">
      <c r="A2096" s="10">
        <v>46066</v>
      </c>
      <c r="B2096" t="s">
        <v>59</v>
      </c>
      <c r="C2096" s="1" t="s">
        <v>23</v>
      </c>
      <c r="D2096" s="3">
        <v>18</v>
      </c>
      <c r="E2096" s="3">
        <v>16</v>
      </c>
      <c r="F2096" s="3">
        <v>28.58</v>
      </c>
      <c r="G2096" s="3">
        <v>0</v>
      </c>
      <c r="H2096" s="3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 s="3">
        <v>16</v>
      </c>
      <c r="N2096" s="3">
        <v>100</v>
      </c>
      <c r="O2096" s="12">
        <v>31.74224343675418</v>
      </c>
    </row>
    <row r="2097" spans="1:15" hidden="1" x14ac:dyDescent="0.25">
      <c r="A2097" s="10">
        <v>46066</v>
      </c>
      <c r="B2097" t="s">
        <v>33</v>
      </c>
      <c r="C2097" s="1" t="s">
        <v>32</v>
      </c>
      <c r="D2097" s="3">
        <v>20</v>
      </c>
      <c r="E2097" s="3">
        <v>17</v>
      </c>
      <c r="F2097" s="3">
        <v>27.07</v>
      </c>
      <c r="G2097" s="3">
        <v>0</v>
      </c>
      <c r="H2097" s="3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 s="3">
        <v>17</v>
      </c>
      <c r="N2097" s="3">
        <v>98.25</v>
      </c>
      <c r="O2097" s="12">
        <v>25.83518930957684</v>
      </c>
    </row>
    <row r="2098" spans="1:15" hidden="1" x14ac:dyDescent="0.25">
      <c r="A2098" s="10">
        <v>46066</v>
      </c>
      <c r="B2098" t="s">
        <v>15</v>
      </c>
      <c r="C2098" s="1" t="s">
        <v>16</v>
      </c>
      <c r="D2098" s="3">
        <v>9</v>
      </c>
      <c r="E2098" s="3">
        <v>8</v>
      </c>
      <c r="F2098" s="3">
        <v>45.3</v>
      </c>
      <c r="G2098" s="3">
        <v>0</v>
      </c>
      <c r="H2098" s="3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 s="3">
        <v>7</v>
      </c>
      <c r="N2098" s="3">
        <v>97.5</v>
      </c>
      <c r="O2098" s="12">
        <v>30.075187969924809</v>
      </c>
    </row>
    <row r="2099" spans="1:15" hidden="1" x14ac:dyDescent="0.25">
      <c r="A2099" s="10">
        <v>46066</v>
      </c>
      <c r="B2099" t="s">
        <v>49</v>
      </c>
      <c r="C2099" s="1" t="s">
        <v>48</v>
      </c>
      <c r="D2099" s="3">
        <v>32</v>
      </c>
      <c r="E2099" s="3">
        <v>30</v>
      </c>
      <c r="F2099" s="3">
        <v>23.36</v>
      </c>
      <c r="G2099" s="3">
        <v>0</v>
      </c>
      <c r="H2099" s="3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 s="3">
        <v>31</v>
      </c>
      <c r="N2099" s="3">
        <v>100</v>
      </c>
      <c r="O2099" s="12">
        <v>29.71311475409836</v>
      </c>
    </row>
    <row r="2100" spans="1:15" hidden="1" x14ac:dyDescent="0.25">
      <c r="A2100" s="10">
        <v>46066</v>
      </c>
      <c r="B2100" t="s">
        <v>50</v>
      </c>
      <c r="C2100" s="1" t="s">
        <v>48</v>
      </c>
      <c r="D2100" s="3">
        <v>17</v>
      </c>
      <c r="E2100" s="3">
        <v>16</v>
      </c>
      <c r="F2100" s="3">
        <v>35.24</v>
      </c>
      <c r="G2100" s="3">
        <v>0</v>
      </c>
      <c r="H2100" s="3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 s="3">
        <v>18</v>
      </c>
      <c r="N2100" s="3">
        <v>99.22</v>
      </c>
      <c r="O2100" s="12">
        <v>35.256410256410263</v>
      </c>
    </row>
    <row r="2101" spans="1:15" hidden="1" x14ac:dyDescent="0.25">
      <c r="A2101" s="10">
        <v>46066</v>
      </c>
      <c r="B2101" t="s">
        <v>17</v>
      </c>
      <c r="C2101" s="1" t="s">
        <v>16</v>
      </c>
      <c r="D2101" s="3">
        <v>0</v>
      </c>
      <c r="E2101" s="3">
        <v>0</v>
      </c>
      <c r="F2101" s="3">
        <v>0</v>
      </c>
      <c r="G2101" s="3">
        <v>0</v>
      </c>
      <c r="H2101" s="3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 s="3">
        <v>0</v>
      </c>
      <c r="N2101" s="3">
        <v>0</v>
      </c>
      <c r="O2101" s="12">
        <v>0</v>
      </c>
    </row>
    <row r="2102" spans="1:15" hidden="1" x14ac:dyDescent="0.25">
      <c r="A2102" s="10">
        <v>46066</v>
      </c>
      <c r="B2102" t="s">
        <v>60</v>
      </c>
      <c r="C2102" s="1" t="s">
        <v>23</v>
      </c>
      <c r="D2102" s="3">
        <v>26</v>
      </c>
      <c r="E2102" s="3">
        <v>8</v>
      </c>
      <c r="F2102" s="3">
        <v>8.58</v>
      </c>
      <c r="G2102" s="3">
        <v>0</v>
      </c>
      <c r="H2102" s="3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 s="3">
        <v>17</v>
      </c>
      <c r="N2102" s="3">
        <v>98.75</v>
      </c>
      <c r="O2102" s="12">
        <v>24.32432432432433</v>
      </c>
    </row>
    <row r="2103" spans="1:15" hidden="1" x14ac:dyDescent="0.25">
      <c r="A2103" s="10">
        <v>46066</v>
      </c>
      <c r="B2103" t="s">
        <v>34</v>
      </c>
      <c r="C2103" s="1" t="s">
        <v>32</v>
      </c>
      <c r="D2103" s="3">
        <v>46</v>
      </c>
      <c r="E2103" s="3">
        <v>38</v>
      </c>
      <c r="F2103" s="3">
        <v>14.14</v>
      </c>
      <c r="G2103" s="3">
        <v>0</v>
      </c>
      <c r="H2103" s="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 s="3">
        <v>42</v>
      </c>
      <c r="N2103" s="3">
        <v>93.48</v>
      </c>
      <c r="O2103" s="12">
        <v>31.52804642166344</v>
      </c>
    </row>
    <row r="2104" spans="1:15" hidden="1" x14ac:dyDescent="0.25">
      <c r="A2104" s="10">
        <v>46066</v>
      </c>
      <c r="B2104" t="s">
        <v>51</v>
      </c>
      <c r="C2104" s="1" t="s">
        <v>48</v>
      </c>
      <c r="D2104" s="3">
        <v>21</v>
      </c>
      <c r="E2104" s="3">
        <v>18</v>
      </c>
      <c r="F2104" s="3">
        <v>35.57</v>
      </c>
      <c r="G2104" s="3">
        <v>0</v>
      </c>
      <c r="H2104" s="3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 s="3">
        <v>21</v>
      </c>
      <c r="N2104" s="3">
        <v>99.16</v>
      </c>
      <c r="O2104" s="12">
        <v>26.13908872901678</v>
      </c>
    </row>
    <row r="2105" spans="1:15" hidden="1" x14ac:dyDescent="0.25">
      <c r="A2105" s="10">
        <v>46066</v>
      </c>
      <c r="B2105" t="s">
        <v>61</v>
      </c>
      <c r="C2105" s="1" t="s">
        <v>23</v>
      </c>
      <c r="D2105" s="3">
        <v>12</v>
      </c>
      <c r="E2105" s="3">
        <v>12</v>
      </c>
      <c r="F2105" s="3">
        <v>51.55</v>
      </c>
      <c r="G2105" s="3">
        <v>0</v>
      </c>
      <c r="H2105" s="3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 s="3">
        <v>9</v>
      </c>
      <c r="N2105" s="3">
        <v>100</v>
      </c>
      <c r="O2105" s="12">
        <v>31.089743589743591</v>
      </c>
    </row>
    <row r="2106" spans="1:15" hidden="1" x14ac:dyDescent="0.25">
      <c r="A2106" s="10">
        <v>46066</v>
      </c>
      <c r="B2106" t="s">
        <v>35</v>
      </c>
      <c r="C2106" s="1" t="s">
        <v>32</v>
      </c>
      <c r="D2106" s="3">
        <v>29</v>
      </c>
      <c r="E2106" s="3">
        <v>28</v>
      </c>
      <c r="F2106" s="3">
        <v>27.38</v>
      </c>
      <c r="G2106" s="3">
        <v>0</v>
      </c>
      <c r="H2106" s="3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 s="3">
        <v>28</v>
      </c>
      <c r="N2106" s="3">
        <v>98.11</v>
      </c>
      <c r="O2106" s="12">
        <v>33.033707865168537</v>
      </c>
    </row>
    <row r="2107" spans="1:15" hidden="1" x14ac:dyDescent="0.25">
      <c r="A2107" s="10">
        <v>46066</v>
      </c>
      <c r="B2107" t="s">
        <v>18</v>
      </c>
      <c r="C2107" s="1" t="s">
        <v>16</v>
      </c>
      <c r="D2107" s="3">
        <v>46</v>
      </c>
      <c r="E2107" s="3">
        <v>33</v>
      </c>
      <c r="F2107" s="3">
        <v>7.18</v>
      </c>
      <c r="G2107" s="3">
        <v>0</v>
      </c>
      <c r="H2107" s="3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 s="3">
        <v>2</v>
      </c>
      <c r="N2107" s="3">
        <v>78.95</v>
      </c>
      <c r="O2107" s="12">
        <v>38.983050847457633</v>
      </c>
    </row>
    <row r="2108" spans="1:15" hidden="1" x14ac:dyDescent="0.25">
      <c r="A2108" s="10">
        <v>46066</v>
      </c>
      <c r="B2108" t="s">
        <v>52</v>
      </c>
      <c r="C2108" s="1" t="s">
        <v>48</v>
      </c>
      <c r="D2108" s="3">
        <v>18</v>
      </c>
      <c r="E2108" s="3">
        <v>16</v>
      </c>
      <c r="F2108" s="3">
        <v>23.47</v>
      </c>
      <c r="G2108" s="3">
        <v>0</v>
      </c>
      <c r="H2108" s="3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 s="3">
        <v>17</v>
      </c>
      <c r="N2108" s="3">
        <v>98.45</v>
      </c>
      <c r="O2108" s="12">
        <v>29.281767955801101</v>
      </c>
    </row>
    <row r="2109" spans="1:15" hidden="1" x14ac:dyDescent="0.25">
      <c r="A2109" s="10">
        <v>46066</v>
      </c>
      <c r="B2109" t="s">
        <v>36</v>
      </c>
      <c r="C2109" s="1" t="s">
        <v>32</v>
      </c>
      <c r="D2109" s="3">
        <v>28</v>
      </c>
      <c r="E2109" s="3">
        <v>25</v>
      </c>
      <c r="F2109" s="3">
        <v>20.190000000000001</v>
      </c>
      <c r="G2109" s="3">
        <v>0</v>
      </c>
      <c r="H2109" s="3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 s="3">
        <v>26</v>
      </c>
      <c r="N2109" s="3">
        <v>97.84</v>
      </c>
      <c r="O2109" s="12">
        <v>26.282051282051281</v>
      </c>
    </row>
    <row r="2110" spans="1:15" hidden="1" x14ac:dyDescent="0.25">
      <c r="A2110" s="10">
        <v>46066</v>
      </c>
      <c r="B2110" t="s">
        <v>53</v>
      </c>
      <c r="C2110" s="1" t="s">
        <v>48</v>
      </c>
      <c r="D2110" s="3">
        <v>39</v>
      </c>
      <c r="E2110" s="3">
        <v>36</v>
      </c>
      <c r="F2110" s="3">
        <v>19.190000000000001</v>
      </c>
      <c r="G2110" s="3">
        <v>0</v>
      </c>
      <c r="H2110" s="3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 s="3">
        <v>34</v>
      </c>
      <c r="N2110" s="3">
        <v>98.5</v>
      </c>
      <c r="O2110" s="12">
        <v>23.97769516728625</v>
      </c>
    </row>
    <row r="2111" spans="1:15" hidden="1" x14ac:dyDescent="0.25">
      <c r="A2111" s="10">
        <v>46100</v>
      </c>
      <c r="B2111" t="s">
        <v>22</v>
      </c>
      <c r="C2111" s="1" t="s">
        <v>23</v>
      </c>
      <c r="D2111" s="3">
        <v>14</v>
      </c>
      <c r="E2111" s="3">
        <v>12</v>
      </c>
      <c r="F2111" s="3">
        <v>25.05</v>
      </c>
      <c r="G2111" s="3">
        <v>0</v>
      </c>
      <c r="H2111" s="3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 s="3">
        <v>11</v>
      </c>
      <c r="N2111" s="3">
        <v>99.05</v>
      </c>
      <c r="O2111" s="12">
        <v>26.621923937360179</v>
      </c>
    </row>
    <row r="2112" spans="1:15" hidden="1" x14ac:dyDescent="0.25">
      <c r="A2112" s="10">
        <v>46066</v>
      </c>
      <c r="B2112" t="s">
        <v>54</v>
      </c>
      <c r="C2112" s="1" t="s">
        <v>48</v>
      </c>
      <c r="D2112" s="3">
        <v>26</v>
      </c>
      <c r="E2112" s="3">
        <v>24</v>
      </c>
      <c r="F2112" s="3">
        <v>30.25</v>
      </c>
      <c r="G2112" s="3">
        <v>0</v>
      </c>
      <c r="H2112" s="3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 s="3">
        <v>22</v>
      </c>
      <c r="N2112" s="3">
        <v>98.53</v>
      </c>
      <c r="O2112" s="12">
        <v>31.578947368421051</v>
      </c>
    </row>
    <row r="2113" spans="1:15" hidden="1" x14ac:dyDescent="0.25">
      <c r="A2113" s="10">
        <v>46066</v>
      </c>
      <c r="B2113" t="s">
        <v>37</v>
      </c>
      <c r="C2113" s="1" t="s">
        <v>32</v>
      </c>
      <c r="D2113" s="3">
        <v>46</v>
      </c>
      <c r="E2113" s="3">
        <v>44</v>
      </c>
      <c r="F2113" s="3">
        <v>17.010000000000002</v>
      </c>
      <c r="G2113" s="3">
        <v>0</v>
      </c>
      <c r="H2113" s="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 s="3">
        <v>40</v>
      </c>
      <c r="N2113" s="3">
        <v>100</v>
      </c>
      <c r="O2113" s="12">
        <v>25.72214580467676</v>
      </c>
    </row>
    <row r="2114" spans="1:15" hidden="1" x14ac:dyDescent="0.25">
      <c r="A2114" s="10">
        <v>46066</v>
      </c>
      <c r="B2114" t="s">
        <v>38</v>
      </c>
      <c r="C2114" s="1" t="s">
        <v>32</v>
      </c>
      <c r="D2114" s="3">
        <v>41</v>
      </c>
      <c r="E2114" s="3">
        <v>33</v>
      </c>
      <c r="F2114" s="3">
        <v>11.43</v>
      </c>
      <c r="G2114" s="3">
        <v>0</v>
      </c>
      <c r="H2114" s="3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 s="3">
        <v>33</v>
      </c>
      <c r="N2114" s="3">
        <v>94.64</v>
      </c>
      <c r="O2114" s="12">
        <v>27.52941176470588</v>
      </c>
    </row>
    <row r="2115" spans="1:15" hidden="1" x14ac:dyDescent="0.25">
      <c r="A2115" s="10">
        <v>46066</v>
      </c>
      <c r="B2115" t="s">
        <v>55</v>
      </c>
      <c r="C2115" s="1" t="s">
        <v>48</v>
      </c>
      <c r="D2115" s="3">
        <v>35</v>
      </c>
      <c r="E2115" s="3">
        <v>30</v>
      </c>
      <c r="F2115" s="3">
        <v>20.41</v>
      </c>
      <c r="G2115" s="3">
        <v>0</v>
      </c>
      <c r="H2115" s="3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 s="3">
        <v>24</v>
      </c>
      <c r="N2115" s="3">
        <v>99.07</v>
      </c>
      <c r="O2115" s="12">
        <v>26.376811594202898</v>
      </c>
    </row>
    <row r="2116" spans="1:15" hidden="1" x14ac:dyDescent="0.25">
      <c r="A2116" s="10">
        <v>46066</v>
      </c>
      <c r="B2116" t="s">
        <v>39</v>
      </c>
      <c r="C2116" s="1" t="s">
        <v>32</v>
      </c>
      <c r="D2116" s="3">
        <v>0</v>
      </c>
      <c r="E2116" s="3">
        <v>0</v>
      </c>
      <c r="F2116" s="3">
        <v>0</v>
      </c>
      <c r="G2116" s="3">
        <v>0</v>
      </c>
      <c r="H2116" s="3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 s="3">
        <v>0</v>
      </c>
      <c r="N2116" s="3">
        <v>100</v>
      </c>
      <c r="O2116" s="12">
        <v>0</v>
      </c>
    </row>
    <row r="2117" spans="1:15" hidden="1" x14ac:dyDescent="0.25">
      <c r="A2117" s="10">
        <v>46066</v>
      </c>
      <c r="B2117" t="s">
        <v>25</v>
      </c>
      <c r="C2117" s="1" t="s">
        <v>26</v>
      </c>
      <c r="D2117" s="3">
        <v>8</v>
      </c>
      <c r="E2117" s="3">
        <v>8</v>
      </c>
      <c r="F2117" s="3">
        <v>38.53</v>
      </c>
      <c r="G2117" s="3">
        <v>0</v>
      </c>
      <c r="H2117" s="3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 s="3">
        <v>8</v>
      </c>
      <c r="N2117" s="3">
        <v>98.48</v>
      </c>
      <c r="O2117" s="12">
        <v>27.853881278538811</v>
      </c>
    </row>
    <row r="2118" spans="1:15" hidden="1" x14ac:dyDescent="0.25">
      <c r="A2118" s="10">
        <v>46066</v>
      </c>
      <c r="B2118" t="s">
        <v>40</v>
      </c>
      <c r="C2118" s="1" t="s">
        <v>32</v>
      </c>
      <c r="D2118" s="3">
        <v>3</v>
      </c>
      <c r="E2118" s="3">
        <v>2</v>
      </c>
      <c r="F2118" s="3">
        <v>18.36</v>
      </c>
      <c r="G2118" s="3">
        <v>0</v>
      </c>
      <c r="H2118" s="3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 s="3">
        <v>5</v>
      </c>
      <c r="N2118" s="3">
        <v>95.15</v>
      </c>
      <c r="O2118" s="12">
        <v>34.131736526946113</v>
      </c>
    </row>
    <row r="2119" spans="1:15" hidden="1" x14ac:dyDescent="0.25">
      <c r="A2119" s="10">
        <v>46066</v>
      </c>
      <c r="B2119" t="s">
        <v>27</v>
      </c>
      <c r="C2119" s="1" t="s">
        <v>26</v>
      </c>
      <c r="D2119" s="3">
        <v>0</v>
      </c>
      <c r="E2119" s="3">
        <v>0</v>
      </c>
      <c r="F2119" s="3">
        <v>0</v>
      </c>
      <c r="G2119" s="3">
        <v>0</v>
      </c>
      <c r="H2119" s="3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 s="3">
        <v>0</v>
      </c>
      <c r="N2119" s="3">
        <v>0</v>
      </c>
      <c r="O2119" s="12">
        <v>0</v>
      </c>
    </row>
    <row r="2120" spans="1:15" hidden="1" x14ac:dyDescent="0.25">
      <c r="A2120" s="10">
        <v>46066</v>
      </c>
      <c r="B2120" t="s">
        <v>41</v>
      </c>
      <c r="C2120" s="1" t="s">
        <v>32</v>
      </c>
      <c r="D2120" s="3">
        <v>23</v>
      </c>
      <c r="E2120" s="3">
        <v>22</v>
      </c>
      <c r="F2120" s="3">
        <v>29.18</v>
      </c>
      <c r="G2120" s="3">
        <v>0</v>
      </c>
      <c r="H2120" s="3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 s="3">
        <v>24</v>
      </c>
      <c r="N2120" s="3">
        <v>99.26</v>
      </c>
      <c r="O2120" s="12">
        <v>30.84832904884319</v>
      </c>
    </row>
    <row r="2121" spans="1:15" hidden="1" x14ac:dyDescent="0.25">
      <c r="A2121" s="10">
        <v>46066</v>
      </c>
      <c r="B2121" t="s">
        <v>56</v>
      </c>
      <c r="C2121" s="1" t="s">
        <v>48</v>
      </c>
      <c r="D2121" s="3">
        <v>23</v>
      </c>
      <c r="E2121" s="3">
        <v>22</v>
      </c>
      <c r="F2121" s="3">
        <v>30.3</v>
      </c>
      <c r="G2121" s="3">
        <v>0</v>
      </c>
      <c r="H2121" s="3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 s="3">
        <v>8</v>
      </c>
      <c r="N2121" s="3">
        <v>97.48</v>
      </c>
      <c r="O2121" s="12">
        <v>27.764705882352938</v>
      </c>
    </row>
    <row r="2122" spans="1:15" hidden="1" x14ac:dyDescent="0.25">
      <c r="A2122" s="10">
        <v>46066</v>
      </c>
      <c r="B2122" t="s">
        <v>57</v>
      </c>
      <c r="C2122" s="1" t="s">
        <v>48</v>
      </c>
      <c r="D2122" s="3">
        <v>32</v>
      </c>
      <c r="E2122" s="3">
        <v>28</v>
      </c>
      <c r="F2122" s="3">
        <v>22.28</v>
      </c>
      <c r="G2122" s="3">
        <v>0</v>
      </c>
      <c r="H2122" s="3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 s="3">
        <v>25</v>
      </c>
      <c r="N2122" s="3">
        <v>99.34</v>
      </c>
      <c r="O2122" s="12">
        <v>30.04291845493562</v>
      </c>
    </row>
    <row r="2123" spans="1:15" hidden="1" x14ac:dyDescent="0.25">
      <c r="A2123" s="10">
        <v>46066</v>
      </c>
      <c r="B2123" t="s">
        <v>42</v>
      </c>
      <c r="C2123" s="1" t="s">
        <v>32</v>
      </c>
      <c r="D2123" s="3">
        <v>0</v>
      </c>
      <c r="E2123" s="3">
        <v>0</v>
      </c>
      <c r="F2123" s="3">
        <v>0</v>
      </c>
      <c r="G2123" s="3">
        <v>0</v>
      </c>
      <c r="H2123" s="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 s="3">
        <v>0</v>
      </c>
      <c r="N2123" s="3">
        <v>96.3</v>
      </c>
      <c r="O2123" s="12">
        <v>24.29378531073446</v>
      </c>
    </row>
    <row r="2124" spans="1:15" hidden="1" x14ac:dyDescent="0.25">
      <c r="A2124" s="10">
        <v>46066</v>
      </c>
      <c r="B2124" t="s">
        <v>62</v>
      </c>
      <c r="C2124" s="1" t="s">
        <v>23</v>
      </c>
      <c r="D2124" s="3">
        <v>16</v>
      </c>
      <c r="E2124" s="3">
        <v>16</v>
      </c>
      <c r="F2124" s="3">
        <v>26.48</v>
      </c>
      <c r="G2124" s="3">
        <v>0</v>
      </c>
      <c r="H2124" s="3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 s="3">
        <v>16</v>
      </c>
      <c r="N2124" s="3">
        <v>100</v>
      </c>
      <c r="O2124" s="12">
        <v>26.543209876543209</v>
      </c>
    </row>
    <row r="2125" spans="1:15" hidden="1" x14ac:dyDescent="0.25">
      <c r="A2125" s="10">
        <v>46066</v>
      </c>
      <c r="B2125" t="s">
        <v>19</v>
      </c>
      <c r="C2125" s="1" t="s">
        <v>16</v>
      </c>
      <c r="D2125" s="3">
        <v>49</v>
      </c>
      <c r="E2125" s="3">
        <v>25</v>
      </c>
      <c r="F2125" s="3">
        <v>7.19</v>
      </c>
      <c r="G2125" s="3">
        <v>0</v>
      </c>
      <c r="H2125" s="3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 s="3">
        <v>2</v>
      </c>
      <c r="N2125" s="3">
        <v>100</v>
      </c>
      <c r="O2125" s="12">
        <v>35.483870967741943</v>
      </c>
    </row>
    <row r="2126" spans="1:15" hidden="1" x14ac:dyDescent="0.25">
      <c r="A2126" s="10">
        <v>46066</v>
      </c>
      <c r="B2126" t="s">
        <v>43</v>
      </c>
      <c r="C2126" s="1" t="s">
        <v>32</v>
      </c>
      <c r="D2126" s="3">
        <v>27</v>
      </c>
      <c r="E2126" s="3">
        <v>25</v>
      </c>
      <c r="F2126" s="3">
        <v>27.36</v>
      </c>
      <c r="G2126" s="3">
        <v>0</v>
      </c>
      <c r="H2126" s="3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 s="3">
        <v>23</v>
      </c>
      <c r="N2126" s="3">
        <v>99.27</v>
      </c>
      <c r="O2126" s="12">
        <v>31.163708086785011</v>
      </c>
    </row>
    <row r="2127" spans="1:15" hidden="1" x14ac:dyDescent="0.25">
      <c r="A2127" s="10">
        <v>46066</v>
      </c>
      <c r="B2127" t="s">
        <v>44</v>
      </c>
      <c r="C2127" s="1" t="s">
        <v>32</v>
      </c>
      <c r="D2127" s="3">
        <v>34</v>
      </c>
      <c r="E2127" s="3">
        <v>33</v>
      </c>
      <c r="F2127" s="3">
        <v>20.53</v>
      </c>
      <c r="G2127" s="3">
        <v>0</v>
      </c>
      <c r="H2127" s="3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 s="3">
        <v>27</v>
      </c>
      <c r="N2127" s="3">
        <v>94.16</v>
      </c>
      <c r="O2127" s="12">
        <v>27.038626609442058</v>
      </c>
    </row>
    <row r="2128" spans="1:15" hidden="1" x14ac:dyDescent="0.25">
      <c r="A2128" s="10">
        <v>46066</v>
      </c>
      <c r="B2128" t="s">
        <v>20</v>
      </c>
      <c r="C2128" s="1" t="s">
        <v>16</v>
      </c>
      <c r="D2128" s="3">
        <v>12</v>
      </c>
      <c r="E2128" s="3">
        <v>11</v>
      </c>
      <c r="F2128" s="3">
        <v>50.19</v>
      </c>
      <c r="G2128" s="3">
        <v>0</v>
      </c>
      <c r="H2128" s="3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 s="3">
        <v>5</v>
      </c>
      <c r="N2128" s="3">
        <v>93.75</v>
      </c>
      <c r="O2128" s="12">
        <v>19.31818181818182</v>
      </c>
    </row>
    <row r="2129" spans="1:15" hidden="1" x14ac:dyDescent="0.25">
      <c r="A2129" s="10">
        <v>46066</v>
      </c>
      <c r="B2129" t="s">
        <v>28</v>
      </c>
      <c r="C2129" s="1" t="s">
        <v>26</v>
      </c>
      <c r="D2129" s="3">
        <v>0</v>
      </c>
      <c r="E2129" s="3">
        <v>0</v>
      </c>
      <c r="F2129" s="3">
        <v>0</v>
      </c>
      <c r="G2129" s="3">
        <v>0</v>
      </c>
      <c r="H2129" s="3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 s="3">
        <v>0</v>
      </c>
      <c r="N2129" s="3">
        <v>0</v>
      </c>
      <c r="O2129" s="12">
        <v>0</v>
      </c>
    </row>
    <row r="2130" spans="1:15" hidden="1" x14ac:dyDescent="0.25">
      <c r="A2130" s="10">
        <v>46066</v>
      </c>
      <c r="B2130" t="s">
        <v>58</v>
      </c>
      <c r="C2130" s="1" t="s">
        <v>48</v>
      </c>
      <c r="D2130" s="3">
        <v>0</v>
      </c>
      <c r="E2130" s="3">
        <v>0</v>
      </c>
      <c r="F2130" s="3">
        <v>0</v>
      </c>
      <c r="G2130" s="3">
        <v>0</v>
      </c>
      <c r="H2130" s="3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 s="3">
        <v>0</v>
      </c>
      <c r="N2130" s="3">
        <v>97.92</v>
      </c>
      <c r="O2130" s="12">
        <v>32.87671232876712</v>
      </c>
    </row>
    <row r="2131" spans="1:15" hidden="1" x14ac:dyDescent="0.25">
      <c r="A2131" s="10">
        <v>46066</v>
      </c>
      <c r="B2131" t="s">
        <v>29</v>
      </c>
      <c r="C2131" s="1" t="s">
        <v>26</v>
      </c>
      <c r="D2131" s="3">
        <v>0</v>
      </c>
      <c r="E2131" s="3">
        <v>0</v>
      </c>
      <c r="F2131" s="3">
        <v>0</v>
      </c>
      <c r="G2131" s="3">
        <v>0</v>
      </c>
      <c r="H2131" s="3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 s="3">
        <v>0</v>
      </c>
      <c r="N2131" s="3">
        <v>0</v>
      </c>
      <c r="O2131" s="12">
        <v>0</v>
      </c>
    </row>
    <row r="2132" spans="1:15" hidden="1" x14ac:dyDescent="0.25">
      <c r="A2132" s="10">
        <v>46066</v>
      </c>
      <c r="B2132" t="s">
        <v>30</v>
      </c>
      <c r="C2132" s="1" t="s">
        <v>26</v>
      </c>
      <c r="D2132" s="3">
        <v>0</v>
      </c>
      <c r="E2132" s="3">
        <v>0</v>
      </c>
      <c r="F2132" s="3">
        <v>0</v>
      </c>
      <c r="G2132" s="3">
        <v>0</v>
      </c>
      <c r="H2132" s="3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 s="3">
        <v>0</v>
      </c>
      <c r="N2132" s="3">
        <v>0</v>
      </c>
      <c r="O2132" s="12">
        <v>0</v>
      </c>
    </row>
    <row r="2133" spans="1:15" hidden="1" x14ac:dyDescent="0.25">
      <c r="A2133" s="10">
        <v>46066</v>
      </c>
      <c r="B2133" t="s">
        <v>21</v>
      </c>
      <c r="C2133" s="1" t="s">
        <v>16</v>
      </c>
      <c r="D2133" s="3">
        <v>0</v>
      </c>
      <c r="E2133" s="3">
        <v>0</v>
      </c>
      <c r="F2133" s="3">
        <v>0</v>
      </c>
      <c r="G2133" s="3">
        <v>0</v>
      </c>
      <c r="H2133" s="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 s="3">
        <v>0</v>
      </c>
      <c r="N2133" s="3">
        <v>0</v>
      </c>
      <c r="O2133" s="12">
        <v>0</v>
      </c>
    </row>
    <row r="2134" spans="1:15" hidden="1" x14ac:dyDescent="0.25">
      <c r="A2134" s="10">
        <v>46066</v>
      </c>
      <c r="B2134" t="s">
        <v>63</v>
      </c>
      <c r="C2134" s="1" t="s">
        <v>23</v>
      </c>
      <c r="D2134" s="3">
        <v>21</v>
      </c>
      <c r="E2134" s="3">
        <v>16</v>
      </c>
      <c r="F2134" s="3">
        <v>26.41</v>
      </c>
      <c r="G2134" s="3">
        <v>0</v>
      </c>
      <c r="H2134" s="3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 s="3">
        <v>12</v>
      </c>
      <c r="N2134" s="3">
        <v>98.51</v>
      </c>
      <c r="O2134" s="12">
        <v>29.710144927536231</v>
      </c>
    </row>
    <row r="2135" spans="1:15" hidden="1" x14ac:dyDescent="0.25">
      <c r="A2135" s="10">
        <v>46066</v>
      </c>
      <c r="B2135" t="s">
        <v>45</v>
      </c>
      <c r="C2135" s="1" t="s">
        <v>32</v>
      </c>
      <c r="D2135" s="3">
        <v>37</v>
      </c>
      <c r="E2135" s="3">
        <v>32</v>
      </c>
      <c r="F2135" s="3">
        <v>15.18</v>
      </c>
      <c r="G2135" s="3">
        <v>0</v>
      </c>
      <c r="H2135" s="3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 s="3">
        <v>30</v>
      </c>
      <c r="N2135" s="3">
        <v>98.81</v>
      </c>
      <c r="O2135" s="12">
        <v>30.712979890310791</v>
      </c>
    </row>
    <row r="2136" spans="1:15" hidden="1" x14ac:dyDescent="0.25">
      <c r="A2136" s="10">
        <v>46066</v>
      </c>
      <c r="B2136" t="s">
        <v>64</v>
      </c>
      <c r="C2136" s="1" t="s">
        <v>23</v>
      </c>
      <c r="D2136" s="3">
        <v>10</v>
      </c>
      <c r="E2136" s="3">
        <v>9</v>
      </c>
      <c r="F2136" s="3">
        <v>42.17</v>
      </c>
      <c r="G2136" s="3">
        <v>0</v>
      </c>
      <c r="H2136" s="3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 s="3">
        <v>11</v>
      </c>
      <c r="N2136" s="3">
        <v>98.48</v>
      </c>
      <c r="O2136" s="12">
        <v>29.35323383084577</v>
      </c>
    </row>
    <row r="2137" spans="1:15" hidden="1" x14ac:dyDescent="0.25">
      <c r="A2137" s="10">
        <v>46066</v>
      </c>
      <c r="B2137" t="s">
        <v>46</v>
      </c>
      <c r="C2137" s="1" t="s">
        <v>32</v>
      </c>
      <c r="D2137" s="3">
        <v>31</v>
      </c>
      <c r="E2137" s="3">
        <v>30</v>
      </c>
      <c r="F2137" s="3">
        <v>19.11</v>
      </c>
      <c r="G2137" s="3">
        <v>0</v>
      </c>
      <c r="H2137" s="3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 s="3">
        <v>30</v>
      </c>
      <c r="N2137" s="3">
        <v>98.56</v>
      </c>
      <c r="O2137" s="12">
        <v>29.373650107991359</v>
      </c>
    </row>
    <row r="2138" spans="1:15" hidden="1" x14ac:dyDescent="0.25">
      <c r="A2138" s="10">
        <v>46069</v>
      </c>
      <c r="B2138" t="s">
        <v>47</v>
      </c>
      <c r="C2138" s="1" t="s">
        <v>48</v>
      </c>
      <c r="D2138" s="3">
        <v>8</v>
      </c>
      <c r="E2138" s="3">
        <v>8</v>
      </c>
      <c r="F2138" s="3">
        <v>18.47</v>
      </c>
      <c r="G2138" s="3">
        <v>0</v>
      </c>
      <c r="H2138" s="3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 s="3">
        <v>4</v>
      </c>
      <c r="N2138" s="3">
        <v>98.32</v>
      </c>
      <c r="O2138" s="12">
        <v>30.303030303030301</v>
      </c>
    </row>
    <row r="2139" spans="1:15" hidden="1" x14ac:dyDescent="0.25">
      <c r="A2139" s="10">
        <v>46069</v>
      </c>
      <c r="B2139" t="s">
        <v>31</v>
      </c>
      <c r="C2139" s="1" t="s">
        <v>32</v>
      </c>
      <c r="D2139" s="3">
        <v>0</v>
      </c>
      <c r="E2139" s="3">
        <v>0</v>
      </c>
      <c r="F2139" s="3">
        <v>0</v>
      </c>
      <c r="G2139" s="3">
        <v>0</v>
      </c>
      <c r="H2139" s="3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 s="3">
        <v>6</v>
      </c>
      <c r="N2139" s="3">
        <v>98.68</v>
      </c>
      <c r="O2139" s="12">
        <v>26.219512195121951</v>
      </c>
    </row>
    <row r="2140" spans="1:15" hidden="1" x14ac:dyDescent="0.25">
      <c r="A2140" s="10">
        <v>46069</v>
      </c>
      <c r="B2140" t="s">
        <v>59</v>
      </c>
      <c r="C2140" s="1" t="s">
        <v>23</v>
      </c>
      <c r="D2140" s="3">
        <v>8</v>
      </c>
      <c r="E2140" s="3">
        <v>8</v>
      </c>
      <c r="F2140" s="3">
        <v>18.350000000000001</v>
      </c>
      <c r="G2140" s="3">
        <v>0</v>
      </c>
      <c r="H2140" s="3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 s="3">
        <v>7</v>
      </c>
      <c r="N2140" s="3">
        <v>100</v>
      </c>
      <c r="O2140" s="12">
        <v>31.74224343675418</v>
      </c>
    </row>
    <row r="2141" spans="1:15" hidden="1" x14ac:dyDescent="0.25">
      <c r="A2141" s="10">
        <v>46069</v>
      </c>
      <c r="B2141" t="s">
        <v>33</v>
      </c>
      <c r="C2141" s="1" t="s">
        <v>32</v>
      </c>
      <c r="D2141" s="3">
        <v>9</v>
      </c>
      <c r="E2141" s="3">
        <v>8</v>
      </c>
      <c r="F2141" s="3">
        <v>30.38</v>
      </c>
      <c r="G2141" s="3">
        <v>0</v>
      </c>
      <c r="H2141" s="3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 s="3">
        <v>5</v>
      </c>
      <c r="N2141" s="3">
        <v>98.25</v>
      </c>
      <c r="O2141" s="12">
        <v>25.83518930957684</v>
      </c>
    </row>
    <row r="2142" spans="1:15" hidden="1" x14ac:dyDescent="0.25">
      <c r="A2142" s="10">
        <v>46069</v>
      </c>
      <c r="B2142" t="s">
        <v>15</v>
      </c>
      <c r="C2142" s="1" t="s">
        <v>16</v>
      </c>
      <c r="D2142" s="3">
        <v>4</v>
      </c>
      <c r="E2142" s="3">
        <v>2</v>
      </c>
      <c r="F2142" s="3">
        <v>23.3</v>
      </c>
      <c r="G2142" s="3">
        <v>0</v>
      </c>
      <c r="H2142" s="3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 s="3">
        <v>3</v>
      </c>
      <c r="N2142" s="3">
        <v>97.5</v>
      </c>
      <c r="O2142" s="12">
        <v>30.075187969924809</v>
      </c>
    </row>
    <row r="2143" spans="1:15" hidden="1" x14ac:dyDescent="0.25">
      <c r="A2143" s="10">
        <v>46069</v>
      </c>
      <c r="B2143" t="s">
        <v>49</v>
      </c>
      <c r="C2143" s="1" t="s">
        <v>48</v>
      </c>
      <c r="D2143" s="3">
        <v>6</v>
      </c>
      <c r="E2143" s="3">
        <v>6</v>
      </c>
      <c r="F2143" s="3">
        <v>23.58</v>
      </c>
      <c r="G2143" s="3">
        <v>0</v>
      </c>
      <c r="H2143" s="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 s="3">
        <v>5</v>
      </c>
      <c r="N2143" s="3">
        <v>100</v>
      </c>
      <c r="O2143" s="12">
        <v>29.71311475409836</v>
      </c>
    </row>
    <row r="2144" spans="1:15" hidden="1" x14ac:dyDescent="0.25">
      <c r="A2144" s="10">
        <v>46069</v>
      </c>
      <c r="B2144" t="s">
        <v>50</v>
      </c>
      <c r="C2144" s="1" t="s">
        <v>48</v>
      </c>
      <c r="D2144" s="3">
        <v>7</v>
      </c>
      <c r="E2144" s="3">
        <v>7</v>
      </c>
      <c r="F2144" s="3">
        <v>33.44</v>
      </c>
      <c r="G2144" s="3">
        <v>0</v>
      </c>
      <c r="H2144" s="3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 s="3">
        <v>8</v>
      </c>
      <c r="N2144" s="3">
        <v>99.22</v>
      </c>
      <c r="O2144" s="12">
        <v>35.256410256410263</v>
      </c>
    </row>
    <row r="2145" spans="1:15" hidden="1" x14ac:dyDescent="0.25">
      <c r="A2145" s="10">
        <v>46069</v>
      </c>
      <c r="B2145" t="s">
        <v>17</v>
      </c>
      <c r="C2145" s="1" t="s">
        <v>16</v>
      </c>
      <c r="D2145" s="3">
        <v>0</v>
      </c>
      <c r="E2145" s="3">
        <v>0</v>
      </c>
      <c r="F2145" s="3">
        <v>0</v>
      </c>
      <c r="G2145" s="3">
        <v>0</v>
      </c>
      <c r="H2145" s="3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 s="3">
        <v>0</v>
      </c>
      <c r="N2145" s="3">
        <v>0</v>
      </c>
      <c r="O2145" s="12">
        <v>0</v>
      </c>
    </row>
    <row r="2146" spans="1:15" hidden="1" x14ac:dyDescent="0.25">
      <c r="A2146" s="10">
        <v>46069</v>
      </c>
      <c r="B2146" t="s">
        <v>60</v>
      </c>
      <c r="C2146" s="1" t="s">
        <v>23</v>
      </c>
      <c r="D2146" s="3">
        <v>7</v>
      </c>
      <c r="E2146" s="3">
        <v>6</v>
      </c>
      <c r="F2146" s="3">
        <v>20.3</v>
      </c>
      <c r="G2146" s="3">
        <v>0</v>
      </c>
      <c r="H2146" s="3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 s="3">
        <v>4</v>
      </c>
      <c r="N2146" s="3">
        <v>98.75</v>
      </c>
      <c r="O2146" s="12">
        <v>24.32432432432433</v>
      </c>
    </row>
    <row r="2147" spans="1:15" hidden="1" x14ac:dyDescent="0.25">
      <c r="A2147" s="10">
        <v>46069</v>
      </c>
      <c r="B2147" t="s">
        <v>34</v>
      </c>
      <c r="C2147" s="1" t="s">
        <v>32</v>
      </c>
      <c r="D2147" s="3">
        <v>9</v>
      </c>
      <c r="E2147" s="3">
        <v>7</v>
      </c>
      <c r="F2147" s="3">
        <v>10.33</v>
      </c>
      <c r="G2147" s="3">
        <v>0</v>
      </c>
      <c r="H2147" s="3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 s="3">
        <v>9</v>
      </c>
      <c r="N2147" s="3">
        <v>93.48</v>
      </c>
      <c r="O2147" s="12">
        <v>31.52804642166344</v>
      </c>
    </row>
    <row r="2148" spans="1:15" hidden="1" x14ac:dyDescent="0.25">
      <c r="A2148" s="10">
        <v>46069</v>
      </c>
      <c r="B2148" t="s">
        <v>51</v>
      </c>
      <c r="C2148" s="1" t="s">
        <v>48</v>
      </c>
      <c r="D2148" s="3">
        <v>5</v>
      </c>
      <c r="E2148" s="3">
        <v>1</v>
      </c>
      <c r="F2148" s="3">
        <v>1.55</v>
      </c>
      <c r="G2148" s="3">
        <v>0</v>
      </c>
      <c r="H2148" s="3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 s="3">
        <v>0</v>
      </c>
      <c r="N2148" s="3">
        <v>99.16</v>
      </c>
      <c r="O2148" s="12">
        <v>26.13908872901678</v>
      </c>
    </row>
    <row r="2149" spans="1:15" hidden="1" x14ac:dyDescent="0.25">
      <c r="A2149" s="10">
        <v>46069</v>
      </c>
      <c r="B2149" t="s">
        <v>61</v>
      </c>
      <c r="C2149" s="1" t="s">
        <v>23</v>
      </c>
      <c r="D2149" s="3">
        <v>8</v>
      </c>
      <c r="E2149" s="3">
        <v>8</v>
      </c>
      <c r="F2149" s="3">
        <v>15.25</v>
      </c>
      <c r="G2149" s="3">
        <v>0</v>
      </c>
      <c r="H2149" s="3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 s="3">
        <v>6</v>
      </c>
      <c r="N2149" s="3">
        <v>100</v>
      </c>
      <c r="O2149" s="12">
        <v>31.089743589743591</v>
      </c>
    </row>
    <row r="2150" spans="1:15" hidden="1" x14ac:dyDescent="0.25">
      <c r="A2150" s="10">
        <v>46069</v>
      </c>
      <c r="B2150" t="s">
        <v>35</v>
      </c>
      <c r="C2150" s="1" t="s">
        <v>32</v>
      </c>
      <c r="D2150" s="3">
        <v>7</v>
      </c>
      <c r="E2150" s="3">
        <v>7</v>
      </c>
      <c r="F2150" s="3">
        <v>32.340000000000003</v>
      </c>
      <c r="G2150" s="3">
        <v>0</v>
      </c>
      <c r="H2150" s="3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 s="3">
        <v>7</v>
      </c>
      <c r="N2150" s="3">
        <v>98.11</v>
      </c>
      <c r="O2150" s="12">
        <v>33.033707865168537</v>
      </c>
    </row>
    <row r="2151" spans="1:15" hidden="1" x14ac:dyDescent="0.25">
      <c r="A2151" s="10">
        <v>46069</v>
      </c>
      <c r="B2151" t="s">
        <v>18</v>
      </c>
      <c r="C2151" s="1" t="s">
        <v>16</v>
      </c>
      <c r="D2151" s="3">
        <v>5</v>
      </c>
      <c r="E2151" s="3">
        <v>4</v>
      </c>
      <c r="F2151" s="3">
        <v>11.48</v>
      </c>
      <c r="G2151" s="3">
        <v>0</v>
      </c>
      <c r="H2151" s="3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 s="3">
        <v>3</v>
      </c>
      <c r="N2151" s="3">
        <v>78.95</v>
      </c>
      <c r="O2151" s="12">
        <v>38.983050847457633</v>
      </c>
    </row>
    <row r="2152" spans="1:15" hidden="1" x14ac:dyDescent="0.25">
      <c r="A2152" s="10">
        <v>46069</v>
      </c>
      <c r="B2152" t="s">
        <v>52</v>
      </c>
      <c r="C2152" s="1" t="s">
        <v>48</v>
      </c>
      <c r="D2152" s="3">
        <v>10</v>
      </c>
      <c r="E2152" s="3">
        <v>10</v>
      </c>
      <c r="F2152" s="3">
        <v>22.03</v>
      </c>
      <c r="G2152" s="3">
        <v>0</v>
      </c>
      <c r="H2152" s="3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 s="3">
        <v>8</v>
      </c>
      <c r="N2152" s="3">
        <v>98.45</v>
      </c>
      <c r="O2152" s="12">
        <v>29.281767955801101</v>
      </c>
    </row>
    <row r="2153" spans="1:15" hidden="1" x14ac:dyDescent="0.25">
      <c r="A2153" s="10">
        <v>46069</v>
      </c>
      <c r="B2153" t="s">
        <v>36</v>
      </c>
      <c r="C2153" s="1" t="s">
        <v>32</v>
      </c>
      <c r="D2153" s="3">
        <v>8</v>
      </c>
      <c r="E2153" s="3">
        <v>8</v>
      </c>
      <c r="F2153" s="3">
        <v>25.23</v>
      </c>
      <c r="G2153" s="3">
        <v>0</v>
      </c>
      <c r="H2153" s="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 s="3">
        <v>9</v>
      </c>
      <c r="N2153" s="3">
        <v>97.84</v>
      </c>
      <c r="O2153" s="12">
        <v>26.282051282051281</v>
      </c>
    </row>
    <row r="2154" spans="1:15" hidden="1" x14ac:dyDescent="0.25">
      <c r="A2154" s="10">
        <v>46069</v>
      </c>
      <c r="B2154" t="s">
        <v>53</v>
      </c>
      <c r="C2154" s="1" t="s">
        <v>48</v>
      </c>
      <c r="D2154" s="3">
        <v>7</v>
      </c>
      <c r="E2154" s="3">
        <v>7</v>
      </c>
      <c r="F2154" s="3">
        <v>30.48</v>
      </c>
      <c r="G2154" s="3">
        <v>0</v>
      </c>
      <c r="H2154" s="3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 s="3">
        <v>6</v>
      </c>
      <c r="N2154" s="3">
        <v>98.5</v>
      </c>
      <c r="O2154" s="12">
        <v>23.97769516728625</v>
      </c>
    </row>
    <row r="2155" spans="1:15" hidden="1" x14ac:dyDescent="0.25">
      <c r="A2155" s="10">
        <v>46101</v>
      </c>
      <c r="B2155" t="s">
        <v>22</v>
      </c>
      <c r="C2155" s="1" t="s">
        <v>23</v>
      </c>
      <c r="D2155" s="3">
        <v>19</v>
      </c>
      <c r="E2155" s="3">
        <v>17</v>
      </c>
      <c r="F2155" s="3">
        <v>17.27</v>
      </c>
      <c r="G2155" s="3">
        <v>0</v>
      </c>
      <c r="H2155" s="3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 s="3">
        <v>18</v>
      </c>
      <c r="N2155" s="3">
        <v>99.05</v>
      </c>
      <c r="O2155" s="12">
        <v>26.621923937360179</v>
      </c>
    </row>
    <row r="2156" spans="1:15" hidden="1" x14ac:dyDescent="0.25">
      <c r="A2156" s="10">
        <v>46069</v>
      </c>
      <c r="B2156" t="s">
        <v>54</v>
      </c>
      <c r="C2156" s="1" t="s">
        <v>48</v>
      </c>
      <c r="D2156" s="3">
        <v>6</v>
      </c>
      <c r="E2156" s="3">
        <v>5</v>
      </c>
      <c r="F2156" s="3">
        <v>33.299999999999997</v>
      </c>
      <c r="G2156" s="3">
        <v>0</v>
      </c>
      <c r="H2156" s="3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 s="3">
        <v>5</v>
      </c>
      <c r="N2156" s="3">
        <v>98.53</v>
      </c>
      <c r="O2156" s="12">
        <v>31.578947368421051</v>
      </c>
    </row>
    <row r="2157" spans="1:15" hidden="1" x14ac:dyDescent="0.25">
      <c r="A2157" s="10">
        <v>46069</v>
      </c>
      <c r="B2157" t="s">
        <v>37</v>
      </c>
      <c r="C2157" s="1" t="s">
        <v>32</v>
      </c>
      <c r="D2157" s="3">
        <v>8</v>
      </c>
      <c r="E2157" s="3">
        <v>6</v>
      </c>
      <c r="F2157" s="3">
        <v>22.15</v>
      </c>
      <c r="G2157" s="3">
        <v>0</v>
      </c>
      <c r="H2157" s="3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 s="3">
        <v>6</v>
      </c>
      <c r="N2157" s="3">
        <v>100</v>
      </c>
      <c r="O2157" s="12">
        <v>25.72214580467676</v>
      </c>
    </row>
    <row r="2158" spans="1:15" hidden="1" x14ac:dyDescent="0.25">
      <c r="A2158" s="10">
        <v>46069</v>
      </c>
      <c r="B2158" t="s">
        <v>38</v>
      </c>
      <c r="C2158" s="1" t="s">
        <v>32</v>
      </c>
      <c r="D2158" s="3">
        <v>7</v>
      </c>
      <c r="E2158" s="3">
        <v>7</v>
      </c>
      <c r="F2158" s="3">
        <v>8.5399999999999991</v>
      </c>
      <c r="G2158" s="3">
        <v>0</v>
      </c>
      <c r="H2158" s="3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 s="3">
        <v>7</v>
      </c>
      <c r="N2158" s="3">
        <v>94.64</v>
      </c>
      <c r="O2158" s="12">
        <v>27.52941176470588</v>
      </c>
    </row>
    <row r="2159" spans="1:15" hidden="1" x14ac:dyDescent="0.25">
      <c r="A2159" s="10">
        <v>46069</v>
      </c>
      <c r="B2159" t="s">
        <v>55</v>
      </c>
      <c r="C2159" s="1" t="s">
        <v>48</v>
      </c>
      <c r="D2159" s="3">
        <v>8</v>
      </c>
      <c r="E2159" s="3">
        <v>7</v>
      </c>
      <c r="F2159" s="3">
        <v>23.33</v>
      </c>
      <c r="G2159" s="3">
        <v>0</v>
      </c>
      <c r="H2159" s="3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 s="3">
        <v>6</v>
      </c>
      <c r="N2159" s="3">
        <v>99.07</v>
      </c>
      <c r="O2159" s="12">
        <v>26.376811594202898</v>
      </c>
    </row>
    <row r="2160" spans="1:15" hidden="1" x14ac:dyDescent="0.25">
      <c r="A2160" s="10">
        <v>46069</v>
      </c>
      <c r="B2160" t="s">
        <v>39</v>
      </c>
      <c r="C2160" s="1" t="s">
        <v>32</v>
      </c>
      <c r="D2160" s="3">
        <v>0</v>
      </c>
      <c r="E2160" s="3">
        <v>0</v>
      </c>
      <c r="F2160" s="3">
        <v>0</v>
      </c>
      <c r="G2160" s="3">
        <v>0</v>
      </c>
      <c r="H2160" s="3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 s="3">
        <v>0</v>
      </c>
      <c r="N2160" s="3">
        <v>100</v>
      </c>
      <c r="O2160" s="12">
        <v>0</v>
      </c>
    </row>
    <row r="2161" spans="1:15" hidden="1" x14ac:dyDescent="0.25">
      <c r="A2161" s="10">
        <v>46069</v>
      </c>
      <c r="B2161" t="s">
        <v>25</v>
      </c>
      <c r="C2161" s="1" t="s">
        <v>26</v>
      </c>
      <c r="D2161" s="3">
        <v>0</v>
      </c>
      <c r="E2161" s="3">
        <v>0</v>
      </c>
      <c r="F2161" s="3">
        <v>0</v>
      </c>
      <c r="G2161" s="3">
        <v>0</v>
      </c>
      <c r="H2161" s="3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 s="3">
        <v>0</v>
      </c>
      <c r="N2161" s="3">
        <v>98.48</v>
      </c>
      <c r="O2161" s="12">
        <v>27.853881278538811</v>
      </c>
    </row>
    <row r="2162" spans="1:15" hidden="1" x14ac:dyDescent="0.25">
      <c r="A2162" s="10">
        <v>46069</v>
      </c>
      <c r="B2162" t="s">
        <v>40</v>
      </c>
      <c r="C2162" s="1" t="s">
        <v>32</v>
      </c>
      <c r="D2162" s="3">
        <v>7</v>
      </c>
      <c r="E2162" s="3">
        <v>6</v>
      </c>
      <c r="F2162" s="3">
        <v>22.25</v>
      </c>
      <c r="G2162" s="3">
        <v>0</v>
      </c>
      <c r="H2162" s="3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 s="3">
        <v>5</v>
      </c>
      <c r="N2162" s="3">
        <v>95.15</v>
      </c>
      <c r="O2162" s="12">
        <v>34.131736526946113</v>
      </c>
    </row>
    <row r="2163" spans="1:15" hidden="1" x14ac:dyDescent="0.25">
      <c r="A2163" s="10">
        <v>46069</v>
      </c>
      <c r="B2163" t="s">
        <v>27</v>
      </c>
      <c r="C2163" s="1" t="s">
        <v>26</v>
      </c>
      <c r="D2163" s="3">
        <v>0</v>
      </c>
      <c r="E2163" s="3">
        <v>0</v>
      </c>
      <c r="F2163" s="3">
        <v>0</v>
      </c>
      <c r="G2163" s="3">
        <v>0</v>
      </c>
      <c r="H2163" s="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 s="3">
        <v>0</v>
      </c>
      <c r="N2163" s="3">
        <v>0</v>
      </c>
      <c r="O2163" s="12">
        <v>0</v>
      </c>
    </row>
    <row r="2164" spans="1:15" hidden="1" x14ac:dyDescent="0.25">
      <c r="A2164" s="10">
        <v>46069</v>
      </c>
      <c r="B2164" t="s">
        <v>41</v>
      </c>
      <c r="C2164" s="1" t="s">
        <v>32</v>
      </c>
      <c r="D2164" s="3">
        <v>8</v>
      </c>
      <c r="E2164" s="3">
        <v>8</v>
      </c>
      <c r="F2164" s="3">
        <v>34.19</v>
      </c>
      <c r="G2164" s="3">
        <v>0</v>
      </c>
      <c r="H2164" s="3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 s="3">
        <v>8</v>
      </c>
      <c r="N2164" s="3">
        <v>99.26</v>
      </c>
      <c r="O2164" s="12">
        <v>30.84832904884319</v>
      </c>
    </row>
    <row r="2165" spans="1:15" hidden="1" x14ac:dyDescent="0.25">
      <c r="A2165" s="10">
        <v>46069</v>
      </c>
      <c r="B2165" t="s">
        <v>56</v>
      </c>
      <c r="C2165" s="1" t="s">
        <v>48</v>
      </c>
      <c r="D2165" s="3">
        <v>6</v>
      </c>
      <c r="E2165" s="3">
        <v>6</v>
      </c>
      <c r="F2165" s="3">
        <v>48.53</v>
      </c>
      <c r="G2165" s="3">
        <v>0</v>
      </c>
      <c r="H2165" s="3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 s="3">
        <v>35</v>
      </c>
      <c r="N2165" s="3">
        <v>97.48</v>
      </c>
      <c r="O2165" s="12">
        <v>27.764705882352938</v>
      </c>
    </row>
    <row r="2166" spans="1:15" hidden="1" x14ac:dyDescent="0.25">
      <c r="A2166" s="10">
        <v>46069</v>
      </c>
      <c r="B2166" t="s">
        <v>57</v>
      </c>
      <c r="C2166" s="1" t="s">
        <v>48</v>
      </c>
      <c r="D2166" s="3">
        <v>7</v>
      </c>
      <c r="E2166" s="3">
        <v>7</v>
      </c>
      <c r="F2166" s="3">
        <v>35.479999999999997</v>
      </c>
      <c r="G2166" s="3">
        <v>0</v>
      </c>
      <c r="H2166" s="3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 s="3">
        <v>5</v>
      </c>
      <c r="N2166" s="3">
        <v>99.34</v>
      </c>
      <c r="O2166" s="12">
        <v>30.04291845493562</v>
      </c>
    </row>
    <row r="2167" spans="1:15" hidden="1" x14ac:dyDescent="0.25">
      <c r="A2167" s="10">
        <v>46069</v>
      </c>
      <c r="B2167" t="s">
        <v>42</v>
      </c>
      <c r="C2167" s="1" t="s">
        <v>32</v>
      </c>
      <c r="D2167" s="3">
        <v>0</v>
      </c>
      <c r="E2167" s="3">
        <v>0</v>
      </c>
      <c r="F2167" s="3">
        <v>0</v>
      </c>
      <c r="G2167" s="3">
        <v>0</v>
      </c>
      <c r="H2167" s="3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 s="3">
        <v>0</v>
      </c>
      <c r="N2167" s="3">
        <v>96.3</v>
      </c>
      <c r="O2167" s="12">
        <v>24.29378531073446</v>
      </c>
    </row>
    <row r="2168" spans="1:15" hidden="1" x14ac:dyDescent="0.25">
      <c r="A2168" s="10">
        <v>46069</v>
      </c>
      <c r="B2168" t="s">
        <v>62</v>
      </c>
      <c r="C2168" s="1" t="s">
        <v>23</v>
      </c>
      <c r="D2168" s="3">
        <v>7</v>
      </c>
      <c r="E2168" s="3">
        <v>7</v>
      </c>
      <c r="F2168" s="3">
        <v>22.37</v>
      </c>
      <c r="G2168" s="3">
        <v>0</v>
      </c>
      <c r="H2168" s="3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 s="3">
        <v>6</v>
      </c>
      <c r="N2168" s="3">
        <v>100</v>
      </c>
      <c r="O2168" s="12">
        <v>26.543209876543209</v>
      </c>
    </row>
    <row r="2169" spans="1:15" hidden="1" x14ac:dyDescent="0.25">
      <c r="A2169" s="10">
        <v>46069</v>
      </c>
      <c r="B2169" t="s">
        <v>19</v>
      </c>
      <c r="C2169" s="1" t="s">
        <v>16</v>
      </c>
      <c r="D2169" s="3">
        <v>4</v>
      </c>
      <c r="E2169" s="3">
        <v>4</v>
      </c>
      <c r="F2169" s="3">
        <v>26.59</v>
      </c>
      <c r="G2169" s="3">
        <v>0</v>
      </c>
      <c r="H2169" s="3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 s="3">
        <v>3</v>
      </c>
      <c r="N2169" s="3">
        <v>100</v>
      </c>
      <c r="O2169" s="12">
        <v>35.483870967741943</v>
      </c>
    </row>
    <row r="2170" spans="1:15" hidden="1" x14ac:dyDescent="0.25">
      <c r="A2170" s="10">
        <v>46069</v>
      </c>
      <c r="B2170" t="s">
        <v>43</v>
      </c>
      <c r="C2170" s="1" t="s">
        <v>32</v>
      </c>
      <c r="D2170" s="3">
        <v>2</v>
      </c>
      <c r="E2170" s="3">
        <v>2</v>
      </c>
      <c r="F2170" s="3">
        <v>38.51</v>
      </c>
      <c r="G2170" s="3">
        <v>0</v>
      </c>
      <c r="H2170" s="3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 s="3">
        <v>3</v>
      </c>
      <c r="N2170" s="3">
        <v>99.27</v>
      </c>
      <c r="O2170" s="12">
        <v>31.163708086785011</v>
      </c>
    </row>
    <row r="2171" spans="1:15" hidden="1" x14ac:dyDescent="0.25">
      <c r="A2171" s="10">
        <v>46069</v>
      </c>
      <c r="B2171" t="s">
        <v>44</v>
      </c>
      <c r="C2171" s="1" t="s">
        <v>32</v>
      </c>
      <c r="D2171" s="3">
        <v>7</v>
      </c>
      <c r="E2171" s="3">
        <v>5</v>
      </c>
      <c r="F2171" s="3">
        <v>7.07</v>
      </c>
      <c r="G2171" s="3">
        <v>0</v>
      </c>
      <c r="H2171" s="3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 s="3">
        <v>5</v>
      </c>
      <c r="N2171" s="3">
        <v>94.16</v>
      </c>
      <c r="O2171" s="12">
        <v>27.038626609442058</v>
      </c>
    </row>
    <row r="2172" spans="1:15" hidden="1" x14ac:dyDescent="0.25">
      <c r="A2172" s="10">
        <v>46069</v>
      </c>
      <c r="B2172" t="s">
        <v>20</v>
      </c>
      <c r="C2172" s="1" t="s">
        <v>16</v>
      </c>
      <c r="D2172" s="3">
        <v>0</v>
      </c>
      <c r="E2172" s="3">
        <v>0</v>
      </c>
      <c r="F2172" s="3">
        <v>0</v>
      </c>
      <c r="G2172" s="3">
        <v>0</v>
      </c>
      <c r="H2172" s="3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 s="3">
        <v>0</v>
      </c>
      <c r="N2172" s="3">
        <v>93.75</v>
      </c>
      <c r="O2172" s="12">
        <v>19.31818181818182</v>
      </c>
    </row>
    <row r="2173" spans="1:15" hidden="1" x14ac:dyDescent="0.25">
      <c r="A2173" s="10">
        <v>46069</v>
      </c>
      <c r="B2173" t="s">
        <v>28</v>
      </c>
      <c r="C2173" s="1" t="s">
        <v>26</v>
      </c>
      <c r="D2173" s="3">
        <v>0</v>
      </c>
      <c r="E2173" s="3">
        <v>0</v>
      </c>
      <c r="F2173" s="3">
        <v>0</v>
      </c>
      <c r="G2173" s="3">
        <v>0</v>
      </c>
      <c r="H2173" s="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 s="3">
        <v>0</v>
      </c>
      <c r="N2173" s="3">
        <v>0</v>
      </c>
      <c r="O2173" s="12">
        <v>0</v>
      </c>
    </row>
    <row r="2174" spans="1:15" hidden="1" x14ac:dyDescent="0.25">
      <c r="A2174" s="10">
        <v>46069</v>
      </c>
      <c r="B2174" t="s">
        <v>58</v>
      </c>
      <c r="C2174" s="1" t="s">
        <v>48</v>
      </c>
      <c r="D2174" s="3">
        <v>0</v>
      </c>
      <c r="E2174" s="3">
        <v>0</v>
      </c>
      <c r="F2174" s="3">
        <v>0</v>
      </c>
      <c r="G2174" s="3">
        <v>0</v>
      </c>
      <c r="H2174" s="3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 s="3">
        <v>0</v>
      </c>
      <c r="N2174" s="3">
        <v>97.92</v>
      </c>
      <c r="O2174" s="12">
        <v>32.87671232876712</v>
      </c>
    </row>
    <row r="2175" spans="1:15" hidden="1" x14ac:dyDescent="0.25">
      <c r="A2175" s="10">
        <v>46069</v>
      </c>
      <c r="B2175" t="s">
        <v>29</v>
      </c>
      <c r="C2175" s="1" t="s">
        <v>26</v>
      </c>
      <c r="D2175" s="3">
        <v>0</v>
      </c>
      <c r="E2175" s="3">
        <v>0</v>
      </c>
      <c r="F2175" s="3">
        <v>0</v>
      </c>
      <c r="G2175" s="3">
        <v>0</v>
      </c>
      <c r="H2175" s="3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 s="3">
        <v>0</v>
      </c>
      <c r="N2175" s="3">
        <v>0</v>
      </c>
      <c r="O2175" s="12">
        <v>0</v>
      </c>
    </row>
    <row r="2176" spans="1:15" hidden="1" x14ac:dyDescent="0.25">
      <c r="A2176" s="10">
        <v>46069</v>
      </c>
      <c r="B2176" t="s">
        <v>30</v>
      </c>
      <c r="C2176" s="1" t="s">
        <v>26</v>
      </c>
      <c r="D2176" s="3">
        <v>0</v>
      </c>
      <c r="E2176" s="3">
        <v>0</v>
      </c>
      <c r="F2176" s="3">
        <v>0</v>
      </c>
      <c r="G2176" s="3">
        <v>0</v>
      </c>
      <c r="H2176" s="3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 s="3">
        <v>0</v>
      </c>
      <c r="N2176" s="3">
        <v>0</v>
      </c>
      <c r="O2176" s="12">
        <v>0</v>
      </c>
    </row>
    <row r="2177" spans="1:15" hidden="1" x14ac:dyDescent="0.25">
      <c r="A2177" s="10">
        <v>46069</v>
      </c>
      <c r="B2177" t="s">
        <v>21</v>
      </c>
      <c r="C2177" s="1" t="s">
        <v>16</v>
      </c>
      <c r="D2177" s="3">
        <v>0</v>
      </c>
      <c r="E2177" s="3">
        <v>0</v>
      </c>
      <c r="F2177" s="3">
        <v>0</v>
      </c>
      <c r="G2177" s="3">
        <v>0</v>
      </c>
      <c r="H2177" s="3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 s="3">
        <v>0</v>
      </c>
      <c r="N2177" s="3">
        <v>0</v>
      </c>
      <c r="O2177" s="12">
        <v>0</v>
      </c>
    </row>
    <row r="2178" spans="1:15" hidden="1" x14ac:dyDescent="0.25">
      <c r="A2178" s="10">
        <v>46069</v>
      </c>
      <c r="B2178" t="s">
        <v>63</v>
      </c>
      <c r="C2178" s="1" t="s">
        <v>23</v>
      </c>
      <c r="D2178" s="3">
        <v>7</v>
      </c>
      <c r="E2178" s="3">
        <v>7</v>
      </c>
      <c r="F2178" s="3">
        <v>25.45</v>
      </c>
      <c r="G2178" s="3">
        <v>0</v>
      </c>
      <c r="H2178" s="3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 s="3">
        <v>6</v>
      </c>
      <c r="N2178" s="3">
        <v>98.51</v>
      </c>
      <c r="O2178" s="12">
        <v>29.710144927536231</v>
      </c>
    </row>
    <row r="2179" spans="1:15" hidden="1" x14ac:dyDescent="0.25">
      <c r="A2179" s="10">
        <v>46069</v>
      </c>
      <c r="B2179" t="s">
        <v>45</v>
      </c>
      <c r="C2179" s="1" t="s">
        <v>32</v>
      </c>
      <c r="D2179" s="3">
        <v>6</v>
      </c>
      <c r="E2179" s="3">
        <v>6</v>
      </c>
      <c r="F2179" s="3">
        <v>25.48</v>
      </c>
      <c r="G2179" s="3">
        <v>0</v>
      </c>
      <c r="H2179" s="3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 s="3">
        <v>3</v>
      </c>
      <c r="N2179" s="3">
        <v>98.81</v>
      </c>
      <c r="O2179" s="12">
        <v>30.712979890310791</v>
      </c>
    </row>
    <row r="2180" spans="1:15" hidden="1" x14ac:dyDescent="0.25">
      <c r="A2180" s="10">
        <v>46069</v>
      </c>
      <c r="B2180" t="s">
        <v>64</v>
      </c>
      <c r="C2180" s="1" t="s">
        <v>23</v>
      </c>
      <c r="D2180" s="3">
        <v>7</v>
      </c>
      <c r="E2180" s="3">
        <v>7</v>
      </c>
      <c r="F2180" s="3">
        <v>27.17</v>
      </c>
      <c r="G2180" s="3">
        <v>0</v>
      </c>
      <c r="H2180" s="3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 s="3">
        <v>7</v>
      </c>
      <c r="N2180" s="3">
        <v>98.48</v>
      </c>
      <c r="O2180" s="12">
        <v>29.35323383084577</v>
      </c>
    </row>
    <row r="2181" spans="1:15" hidden="1" x14ac:dyDescent="0.25">
      <c r="A2181" s="10">
        <v>46069</v>
      </c>
      <c r="B2181" t="s">
        <v>46</v>
      </c>
      <c r="C2181" s="1" t="s">
        <v>32</v>
      </c>
      <c r="D2181" s="3">
        <v>10</v>
      </c>
      <c r="E2181" s="3">
        <v>9</v>
      </c>
      <c r="F2181" s="3">
        <v>27.23</v>
      </c>
      <c r="G2181" s="3">
        <v>0</v>
      </c>
      <c r="H2181" s="3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 s="3">
        <v>5</v>
      </c>
      <c r="N2181" s="3">
        <v>98.56</v>
      </c>
      <c r="O2181" s="12">
        <v>29.373650107991359</v>
      </c>
    </row>
    <row r="2182" spans="1:15" hidden="1" x14ac:dyDescent="0.25">
      <c r="A2182" s="10">
        <v>46070</v>
      </c>
      <c r="B2182" t="s">
        <v>47</v>
      </c>
      <c r="C2182" s="1" t="s">
        <v>48</v>
      </c>
      <c r="D2182" s="3">
        <v>0</v>
      </c>
      <c r="E2182" s="3">
        <v>0</v>
      </c>
      <c r="F2182" s="3">
        <v>0</v>
      </c>
      <c r="G2182" s="3">
        <v>0</v>
      </c>
      <c r="H2182" s="3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 s="3">
        <v>0</v>
      </c>
      <c r="N2182" s="3">
        <v>98.32</v>
      </c>
      <c r="O2182" s="12">
        <v>30.303030303030301</v>
      </c>
    </row>
    <row r="2183" spans="1:15" hidden="1" x14ac:dyDescent="0.25">
      <c r="A2183" s="10">
        <v>46070</v>
      </c>
      <c r="B2183" t="s">
        <v>31</v>
      </c>
      <c r="C2183" s="1" t="s">
        <v>32</v>
      </c>
      <c r="D2183" s="3">
        <v>0</v>
      </c>
      <c r="E2183" s="3">
        <v>0</v>
      </c>
      <c r="F2183" s="3">
        <v>0</v>
      </c>
      <c r="G2183" s="3">
        <v>0</v>
      </c>
      <c r="H2183" s="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 s="3">
        <v>0</v>
      </c>
      <c r="N2183" s="3">
        <v>98.68</v>
      </c>
      <c r="O2183" s="12">
        <v>26.219512195121951</v>
      </c>
    </row>
    <row r="2184" spans="1:15" hidden="1" x14ac:dyDescent="0.25">
      <c r="A2184" s="10">
        <v>46070</v>
      </c>
      <c r="B2184" t="s">
        <v>59</v>
      </c>
      <c r="C2184" s="1" t="s">
        <v>23</v>
      </c>
      <c r="D2184" s="3">
        <v>0</v>
      </c>
      <c r="E2184" s="3">
        <v>0</v>
      </c>
      <c r="F2184" s="3">
        <v>0</v>
      </c>
      <c r="G2184" s="3">
        <v>0</v>
      </c>
      <c r="H2184" s="3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 s="3">
        <v>0</v>
      </c>
      <c r="N2184" s="3">
        <v>100</v>
      </c>
      <c r="O2184" s="12">
        <v>31.74224343675418</v>
      </c>
    </row>
    <row r="2185" spans="1:15" hidden="1" x14ac:dyDescent="0.25">
      <c r="A2185" s="10">
        <v>46070</v>
      </c>
      <c r="B2185" t="s">
        <v>33</v>
      </c>
      <c r="C2185" s="1" t="s">
        <v>32</v>
      </c>
      <c r="D2185" s="3">
        <v>0</v>
      </c>
      <c r="E2185" s="3">
        <v>0</v>
      </c>
      <c r="F2185" s="3">
        <v>0</v>
      </c>
      <c r="G2185" s="3">
        <v>0</v>
      </c>
      <c r="H2185" s="3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 s="3">
        <v>0</v>
      </c>
      <c r="N2185" s="3">
        <v>98.25</v>
      </c>
      <c r="O2185" s="12">
        <v>25.83518930957684</v>
      </c>
    </row>
    <row r="2186" spans="1:15" hidden="1" x14ac:dyDescent="0.25">
      <c r="A2186" s="10">
        <v>46070</v>
      </c>
      <c r="B2186" t="s">
        <v>15</v>
      </c>
      <c r="C2186" s="1" t="s">
        <v>16</v>
      </c>
      <c r="D2186" s="3">
        <v>0</v>
      </c>
      <c r="E2186" s="3">
        <v>0</v>
      </c>
      <c r="F2186" s="3">
        <v>0</v>
      </c>
      <c r="G2186" s="3">
        <v>0</v>
      </c>
      <c r="H2186" s="3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 s="3">
        <v>0</v>
      </c>
      <c r="N2186" s="3">
        <v>97.5</v>
      </c>
      <c r="O2186" s="12">
        <v>30.075187969924809</v>
      </c>
    </row>
    <row r="2187" spans="1:15" hidden="1" x14ac:dyDescent="0.25">
      <c r="A2187" s="10">
        <v>46070</v>
      </c>
      <c r="B2187" t="s">
        <v>49</v>
      </c>
      <c r="C2187" s="1" t="s">
        <v>48</v>
      </c>
      <c r="D2187" s="3">
        <v>0</v>
      </c>
      <c r="E2187" s="3">
        <v>0</v>
      </c>
      <c r="F2187" s="3">
        <v>0</v>
      </c>
      <c r="G2187" s="3">
        <v>0</v>
      </c>
      <c r="H2187" s="3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 s="3">
        <v>0</v>
      </c>
      <c r="N2187" s="3">
        <v>100</v>
      </c>
      <c r="O2187" s="12">
        <v>29.71311475409836</v>
      </c>
    </row>
    <row r="2188" spans="1:15" hidden="1" x14ac:dyDescent="0.25">
      <c r="A2188" s="10">
        <v>46070</v>
      </c>
      <c r="B2188" t="s">
        <v>50</v>
      </c>
      <c r="C2188" s="1" t="s">
        <v>48</v>
      </c>
      <c r="D2188" s="3">
        <v>0</v>
      </c>
      <c r="E2188" s="3">
        <v>0</v>
      </c>
      <c r="F2188" s="3">
        <v>0</v>
      </c>
      <c r="G2188" s="3">
        <v>0</v>
      </c>
      <c r="H2188" s="3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 s="3">
        <v>0</v>
      </c>
      <c r="N2188" s="3">
        <v>99.22</v>
      </c>
      <c r="O2188" s="12">
        <v>35.256410256410263</v>
      </c>
    </row>
    <row r="2189" spans="1:15" hidden="1" x14ac:dyDescent="0.25">
      <c r="A2189" s="10">
        <v>46070</v>
      </c>
      <c r="B2189" t="s">
        <v>17</v>
      </c>
      <c r="C2189" s="1" t="s">
        <v>16</v>
      </c>
      <c r="D2189" s="3">
        <v>0</v>
      </c>
      <c r="E2189" s="3">
        <v>0</v>
      </c>
      <c r="F2189" s="3">
        <v>0</v>
      </c>
      <c r="G2189" s="3">
        <v>0</v>
      </c>
      <c r="H2189" s="3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 s="3">
        <v>0</v>
      </c>
      <c r="N2189" s="3">
        <v>0</v>
      </c>
      <c r="O2189" s="12">
        <v>0</v>
      </c>
    </row>
    <row r="2190" spans="1:15" hidden="1" x14ac:dyDescent="0.25">
      <c r="A2190" s="10">
        <v>46070</v>
      </c>
      <c r="B2190" t="s">
        <v>60</v>
      </c>
      <c r="C2190" s="1" t="s">
        <v>23</v>
      </c>
      <c r="D2190" s="3">
        <v>0</v>
      </c>
      <c r="E2190" s="3">
        <v>0</v>
      </c>
      <c r="F2190" s="3">
        <v>0</v>
      </c>
      <c r="G2190" s="3">
        <v>0</v>
      </c>
      <c r="H2190" s="3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 s="3">
        <v>0</v>
      </c>
      <c r="N2190" s="3">
        <v>98.75</v>
      </c>
      <c r="O2190" s="12">
        <v>24.32432432432433</v>
      </c>
    </row>
    <row r="2191" spans="1:15" hidden="1" x14ac:dyDescent="0.25">
      <c r="A2191" s="10">
        <v>46070</v>
      </c>
      <c r="B2191" t="s">
        <v>34</v>
      </c>
      <c r="C2191" s="1" t="s">
        <v>32</v>
      </c>
      <c r="D2191" s="3">
        <v>0</v>
      </c>
      <c r="E2191" s="3">
        <v>0</v>
      </c>
      <c r="F2191" s="3">
        <v>0</v>
      </c>
      <c r="G2191" s="3">
        <v>0</v>
      </c>
      <c r="H2191" s="3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 s="3">
        <v>0</v>
      </c>
      <c r="N2191" s="3">
        <v>93.48</v>
      </c>
      <c r="O2191" s="12">
        <v>31.52804642166344</v>
      </c>
    </row>
    <row r="2192" spans="1:15" hidden="1" x14ac:dyDescent="0.25">
      <c r="A2192" s="10">
        <v>46070</v>
      </c>
      <c r="B2192" t="s">
        <v>51</v>
      </c>
      <c r="C2192" s="1" t="s">
        <v>48</v>
      </c>
      <c r="D2192" s="3">
        <v>0</v>
      </c>
      <c r="E2192" s="3">
        <v>0</v>
      </c>
      <c r="F2192" s="3">
        <v>0</v>
      </c>
      <c r="G2192" s="3">
        <v>0</v>
      </c>
      <c r="H2192" s="3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 s="3">
        <v>0</v>
      </c>
      <c r="N2192" s="3">
        <v>99.16</v>
      </c>
      <c r="O2192" s="12">
        <v>26.13908872901678</v>
      </c>
    </row>
    <row r="2193" spans="1:15" hidden="1" x14ac:dyDescent="0.25">
      <c r="A2193" s="10">
        <v>46070</v>
      </c>
      <c r="B2193" t="s">
        <v>61</v>
      </c>
      <c r="C2193" s="1" t="s">
        <v>23</v>
      </c>
      <c r="D2193" s="3">
        <v>0</v>
      </c>
      <c r="E2193" s="3">
        <v>0</v>
      </c>
      <c r="F2193" s="3">
        <v>0</v>
      </c>
      <c r="G2193" s="3">
        <v>0</v>
      </c>
      <c r="H2193" s="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 s="3">
        <v>0</v>
      </c>
      <c r="N2193" s="3">
        <v>100</v>
      </c>
      <c r="O2193" s="12">
        <v>31.089743589743591</v>
      </c>
    </row>
    <row r="2194" spans="1:15" hidden="1" x14ac:dyDescent="0.25">
      <c r="A2194" s="10">
        <v>46070</v>
      </c>
      <c r="B2194" t="s">
        <v>35</v>
      </c>
      <c r="C2194" s="1" t="s">
        <v>32</v>
      </c>
      <c r="D2194" s="3">
        <v>0</v>
      </c>
      <c r="E2194" s="3">
        <v>0</v>
      </c>
      <c r="F2194" s="3">
        <v>0</v>
      </c>
      <c r="G2194" s="3">
        <v>0</v>
      </c>
      <c r="H2194" s="3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 s="3">
        <v>0</v>
      </c>
      <c r="N2194" s="3">
        <v>98.11</v>
      </c>
      <c r="O2194" s="12">
        <v>33.033707865168537</v>
      </c>
    </row>
    <row r="2195" spans="1:15" hidden="1" x14ac:dyDescent="0.25">
      <c r="A2195" s="10">
        <v>46070</v>
      </c>
      <c r="B2195" t="s">
        <v>18</v>
      </c>
      <c r="C2195" s="1" t="s">
        <v>16</v>
      </c>
      <c r="D2195" s="3">
        <v>0</v>
      </c>
      <c r="E2195" s="3">
        <v>0</v>
      </c>
      <c r="F2195" s="3">
        <v>0</v>
      </c>
      <c r="G2195" s="3">
        <v>0</v>
      </c>
      <c r="H2195" s="3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 s="3">
        <v>0</v>
      </c>
      <c r="N2195" s="3">
        <v>78.95</v>
      </c>
      <c r="O2195" s="12">
        <v>38.983050847457633</v>
      </c>
    </row>
    <row r="2196" spans="1:15" hidden="1" x14ac:dyDescent="0.25">
      <c r="A2196" s="10">
        <v>46070</v>
      </c>
      <c r="B2196" t="s">
        <v>52</v>
      </c>
      <c r="C2196" s="1" t="s">
        <v>48</v>
      </c>
      <c r="D2196" s="3">
        <v>0</v>
      </c>
      <c r="E2196" s="3">
        <v>0</v>
      </c>
      <c r="F2196" s="3">
        <v>0</v>
      </c>
      <c r="G2196" s="3">
        <v>0</v>
      </c>
      <c r="H2196" s="3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 s="3">
        <v>0</v>
      </c>
      <c r="N2196" s="3">
        <v>98.45</v>
      </c>
      <c r="O2196" s="12">
        <v>29.281767955801101</v>
      </c>
    </row>
    <row r="2197" spans="1:15" hidden="1" x14ac:dyDescent="0.25">
      <c r="A2197" s="10">
        <v>46070</v>
      </c>
      <c r="B2197" t="s">
        <v>36</v>
      </c>
      <c r="C2197" s="1" t="s">
        <v>32</v>
      </c>
      <c r="D2197" s="3">
        <v>0</v>
      </c>
      <c r="E2197" s="3">
        <v>0</v>
      </c>
      <c r="F2197" s="3">
        <v>0</v>
      </c>
      <c r="G2197" s="3">
        <v>0</v>
      </c>
      <c r="H2197" s="3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 s="3">
        <v>0</v>
      </c>
      <c r="N2197" s="3">
        <v>97.84</v>
      </c>
      <c r="O2197" s="12">
        <v>26.282051282051281</v>
      </c>
    </row>
    <row r="2198" spans="1:15" hidden="1" x14ac:dyDescent="0.25">
      <c r="A2198" s="10">
        <v>46070</v>
      </c>
      <c r="B2198" t="s">
        <v>53</v>
      </c>
      <c r="C2198" s="1" t="s">
        <v>48</v>
      </c>
      <c r="D2198" s="3">
        <v>0</v>
      </c>
      <c r="E2198" s="3">
        <v>0</v>
      </c>
      <c r="F2198" s="3">
        <v>0</v>
      </c>
      <c r="G2198" s="3">
        <v>0</v>
      </c>
      <c r="H2198" s="3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 s="3">
        <v>0</v>
      </c>
      <c r="N2198" s="3">
        <v>98.5</v>
      </c>
      <c r="O2198" s="12">
        <v>23.97769516728625</v>
      </c>
    </row>
    <row r="2199" spans="1:15" hidden="1" x14ac:dyDescent="0.25">
      <c r="A2199" s="10">
        <v>46104</v>
      </c>
      <c r="B2199" t="s">
        <v>22</v>
      </c>
      <c r="C2199" s="1" t="s">
        <v>23</v>
      </c>
      <c r="D2199" s="3">
        <v>15</v>
      </c>
      <c r="E2199" s="3">
        <v>15</v>
      </c>
      <c r="F2199" s="3">
        <v>15.53</v>
      </c>
      <c r="G2199" s="3">
        <v>0</v>
      </c>
      <c r="H2199" s="3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 s="3">
        <v>11</v>
      </c>
      <c r="N2199" s="3">
        <v>99.05</v>
      </c>
      <c r="O2199" s="12">
        <v>26.621923937360179</v>
      </c>
    </row>
    <row r="2200" spans="1:15" hidden="1" x14ac:dyDescent="0.25">
      <c r="A2200" s="10">
        <v>46070</v>
      </c>
      <c r="B2200" t="s">
        <v>54</v>
      </c>
      <c r="C2200" s="1" t="s">
        <v>48</v>
      </c>
      <c r="D2200" s="3">
        <v>0</v>
      </c>
      <c r="E2200" s="3">
        <v>0</v>
      </c>
      <c r="F2200" s="3">
        <v>0</v>
      </c>
      <c r="G2200" s="3">
        <v>0</v>
      </c>
      <c r="H2200" s="3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 s="3">
        <v>0</v>
      </c>
      <c r="N2200" s="3">
        <v>98.53</v>
      </c>
      <c r="O2200" s="12">
        <v>31.578947368421051</v>
      </c>
    </row>
    <row r="2201" spans="1:15" hidden="1" x14ac:dyDescent="0.25">
      <c r="A2201" s="10">
        <v>46070</v>
      </c>
      <c r="B2201" t="s">
        <v>37</v>
      </c>
      <c r="C2201" s="1" t="s">
        <v>32</v>
      </c>
      <c r="D2201" s="3">
        <v>0</v>
      </c>
      <c r="E2201" s="3">
        <v>0</v>
      </c>
      <c r="F2201" s="3">
        <v>0</v>
      </c>
      <c r="G2201" s="3">
        <v>0</v>
      </c>
      <c r="H2201" s="3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 s="3">
        <v>0</v>
      </c>
      <c r="N2201" s="3">
        <v>100</v>
      </c>
      <c r="O2201" s="12">
        <v>25.72214580467676</v>
      </c>
    </row>
    <row r="2202" spans="1:15" hidden="1" x14ac:dyDescent="0.25">
      <c r="A2202" s="10">
        <v>46070</v>
      </c>
      <c r="B2202" t="s">
        <v>38</v>
      </c>
      <c r="C2202" s="1" t="s">
        <v>32</v>
      </c>
      <c r="D2202" s="3">
        <v>0</v>
      </c>
      <c r="E2202" s="3">
        <v>0</v>
      </c>
      <c r="F2202" s="3">
        <v>0</v>
      </c>
      <c r="G2202" s="3">
        <v>0</v>
      </c>
      <c r="H2202" s="3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 s="3">
        <v>0</v>
      </c>
      <c r="N2202" s="3">
        <v>94.64</v>
      </c>
      <c r="O2202" s="12">
        <v>27.52941176470588</v>
      </c>
    </row>
    <row r="2203" spans="1:15" hidden="1" x14ac:dyDescent="0.25">
      <c r="A2203" s="10">
        <v>46070</v>
      </c>
      <c r="B2203" t="s">
        <v>55</v>
      </c>
      <c r="C2203" s="1" t="s">
        <v>48</v>
      </c>
      <c r="D2203" s="3">
        <v>0</v>
      </c>
      <c r="E2203" s="3">
        <v>0</v>
      </c>
      <c r="F2203" s="3">
        <v>0</v>
      </c>
      <c r="G2203" s="3">
        <v>0</v>
      </c>
      <c r="H2203" s="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 s="3">
        <v>0</v>
      </c>
      <c r="N2203" s="3">
        <v>99.07</v>
      </c>
      <c r="O2203" s="12">
        <v>26.376811594202898</v>
      </c>
    </row>
    <row r="2204" spans="1:15" hidden="1" x14ac:dyDescent="0.25">
      <c r="A2204" s="10">
        <v>46070</v>
      </c>
      <c r="B2204" t="s">
        <v>39</v>
      </c>
      <c r="C2204" s="1" t="s">
        <v>32</v>
      </c>
      <c r="D2204" s="3">
        <v>0</v>
      </c>
      <c r="E2204" s="3">
        <v>0</v>
      </c>
      <c r="F2204" s="3">
        <v>0</v>
      </c>
      <c r="G2204" s="3">
        <v>0</v>
      </c>
      <c r="H2204" s="3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 s="3">
        <v>0</v>
      </c>
      <c r="N2204" s="3">
        <v>100</v>
      </c>
      <c r="O2204" s="12">
        <v>0</v>
      </c>
    </row>
    <row r="2205" spans="1:15" hidden="1" x14ac:dyDescent="0.25">
      <c r="A2205" s="10">
        <v>46070</v>
      </c>
      <c r="B2205" t="s">
        <v>25</v>
      </c>
      <c r="C2205" s="1" t="s">
        <v>26</v>
      </c>
      <c r="D2205" s="3">
        <v>0</v>
      </c>
      <c r="E2205" s="3">
        <v>0</v>
      </c>
      <c r="F2205" s="3">
        <v>0</v>
      </c>
      <c r="G2205" s="3">
        <v>0</v>
      </c>
      <c r="H2205" s="3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 s="3">
        <v>0</v>
      </c>
      <c r="N2205" s="3">
        <v>98.48</v>
      </c>
      <c r="O2205" s="12">
        <v>27.853881278538811</v>
      </c>
    </row>
    <row r="2206" spans="1:15" hidden="1" x14ac:dyDescent="0.25">
      <c r="A2206" s="10">
        <v>46070</v>
      </c>
      <c r="B2206" t="s">
        <v>40</v>
      </c>
      <c r="C2206" s="1" t="s">
        <v>32</v>
      </c>
      <c r="D2206" s="3">
        <v>0</v>
      </c>
      <c r="E2206" s="3">
        <v>0</v>
      </c>
      <c r="F2206" s="3">
        <v>0</v>
      </c>
      <c r="G2206" s="3">
        <v>0</v>
      </c>
      <c r="H2206" s="3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 s="3">
        <v>0</v>
      </c>
      <c r="N2206" s="3">
        <v>95.15</v>
      </c>
      <c r="O2206" s="12">
        <v>34.131736526946113</v>
      </c>
    </row>
    <row r="2207" spans="1:15" hidden="1" x14ac:dyDescent="0.25">
      <c r="A2207" s="10">
        <v>46070</v>
      </c>
      <c r="B2207" t="s">
        <v>27</v>
      </c>
      <c r="C2207" s="1" t="s">
        <v>26</v>
      </c>
      <c r="D2207" s="3">
        <v>0</v>
      </c>
      <c r="E2207" s="3">
        <v>0</v>
      </c>
      <c r="F2207" s="3">
        <v>0</v>
      </c>
      <c r="G2207" s="3">
        <v>0</v>
      </c>
      <c r="H2207" s="3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 s="3">
        <v>0</v>
      </c>
      <c r="N2207" s="3">
        <v>0</v>
      </c>
      <c r="O2207" s="12">
        <v>0</v>
      </c>
    </row>
    <row r="2208" spans="1:15" hidden="1" x14ac:dyDescent="0.25">
      <c r="A2208" s="10">
        <v>46070</v>
      </c>
      <c r="B2208" t="s">
        <v>41</v>
      </c>
      <c r="C2208" s="1" t="s">
        <v>32</v>
      </c>
      <c r="D2208" s="3">
        <v>0</v>
      </c>
      <c r="E2208" s="3">
        <v>0</v>
      </c>
      <c r="F2208" s="3">
        <v>0</v>
      </c>
      <c r="G2208" s="3">
        <v>0</v>
      </c>
      <c r="H2208" s="3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 s="3">
        <v>0</v>
      </c>
      <c r="N2208" s="3">
        <v>99.26</v>
      </c>
      <c r="O2208" s="12">
        <v>30.84832904884319</v>
      </c>
    </row>
    <row r="2209" spans="1:15" hidden="1" x14ac:dyDescent="0.25">
      <c r="A2209" s="10">
        <v>46070</v>
      </c>
      <c r="B2209" t="s">
        <v>56</v>
      </c>
      <c r="C2209" s="1" t="s">
        <v>48</v>
      </c>
      <c r="D2209" s="3">
        <v>0</v>
      </c>
      <c r="E2209" s="3">
        <v>0</v>
      </c>
      <c r="F2209" s="3">
        <v>0</v>
      </c>
      <c r="G2209" s="3">
        <v>0</v>
      </c>
      <c r="H2209" s="3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 s="3">
        <v>0</v>
      </c>
      <c r="N2209" s="3">
        <v>97.48</v>
      </c>
      <c r="O2209" s="12">
        <v>27.764705882352938</v>
      </c>
    </row>
    <row r="2210" spans="1:15" hidden="1" x14ac:dyDescent="0.25">
      <c r="A2210" s="10">
        <v>46070</v>
      </c>
      <c r="B2210" t="s">
        <v>57</v>
      </c>
      <c r="C2210" s="1" t="s">
        <v>48</v>
      </c>
      <c r="D2210" s="3">
        <v>0</v>
      </c>
      <c r="E2210" s="3">
        <v>0</v>
      </c>
      <c r="F2210" s="3">
        <v>0</v>
      </c>
      <c r="G2210" s="3">
        <v>0</v>
      </c>
      <c r="H2210" s="3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 s="3">
        <v>0</v>
      </c>
      <c r="N2210" s="3">
        <v>99.34</v>
      </c>
      <c r="O2210" s="12">
        <v>30.04291845493562</v>
      </c>
    </row>
    <row r="2211" spans="1:15" hidden="1" x14ac:dyDescent="0.25">
      <c r="A2211" s="10">
        <v>46070</v>
      </c>
      <c r="B2211" t="s">
        <v>42</v>
      </c>
      <c r="C2211" s="1" t="s">
        <v>32</v>
      </c>
      <c r="D2211" s="3">
        <v>0</v>
      </c>
      <c r="E2211" s="3">
        <v>0</v>
      </c>
      <c r="F2211" s="3">
        <v>0</v>
      </c>
      <c r="G2211" s="3">
        <v>0</v>
      </c>
      <c r="H2211" s="3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 s="3">
        <v>0</v>
      </c>
      <c r="N2211" s="3">
        <v>96.3</v>
      </c>
      <c r="O2211" s="12">
        <v>24.29378531073446</v>
      </c>
    </row>
    <row r="2212" spans="1:15" hidden="1" x14ac:dyDescent="0.25">
      <c r="A2212" s="10">
        <v>46070</v>
      </c>
      <c r="B2212" t="s">
        <v>62</v>
      </c>
      <c r="C2212" s="1" t="s">
        <v>23</v>
      </c>
      <c r="D2212" s="3">
        <v>0</v>
      </c>
      <c r="E2212" s="3">
        <v>0</v>
      </c>
      <c r="F2212" s="3">
        <v>0</v>
      </c>
      <c r="G2212" s="3">
        <v>0</v>
      </c>
      <c r="H2212" s="3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 s="3">
        <v>0</v>
      </c>
      <c r="N2212" s="3">
        <v>100</v>
      </c>
      <c r="O2212" s="12">
        <v>26.543209876543209</v>
      </c>
    </row>
    <row r="2213" spans="1:15" hidden="1" x14ac:dyDescent="0.25">
      <c r="A2213" s="10">
        <v>46070</v>
      </c>
      <c r="B2213" t="s">
        <v>19</v>
      </c>
      <c r="C2213" s="1" t="s">
        <v>16</v>
      </c>
      <c r="D2213" s="3">
        <v>0</v>
      </c>
      <c r="E2213" s="3">
        <v>0</v>
      </c>
      <c r="F2213" s="3">
        <v>0</v>
      </c>
      <c r="G2213" s="3">
        <v>0</v>
      </c>
      <c r="H2213" s="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 s="3">
        <v>0</v>
      </c>
      <c r="N2213" s="3">
        <v>100</v>
      </c>
      <c r="O2213" s="12">
        <v>35.483870967741943</v>
      </c>
    </row>
    <row r="2214" spans="1:15" hidden="1" x14ac:dyDescent="0.25">
      <c r="A2214" s="10">
        <v>46070</v>
      </c>
      <c r="B2214" t="s">
        <v>43</v>
      </c>
      <c r="C2214" s="1" t="s">
        <v>32</v>
      </c>
      <c r="D2214" s="3">
        <v>0</v>
      </c>
      <c r="E2214" s="3">
        <v>0</v>
      </c>
      <c r="F2214" s="3">
        <v>0</v>
      </c>
      <c r="G2214" s="3">
        <v>0</v>
      </c>
      <c r="H2214" s="3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 s="3">
        <v>0</v>
      </c>
      <c r="N2214" s="3">
        <v>99.27</v>
      </c>
      <c r="O2214" s="12">
        <v>31.163708086785011</v>
      </c>
    </row>
    <row r="2215" spans="1:15" hidden="1" x14ac:dyDescent="0.25">
      <c r="A2215" s="10">
        <v>46070</v>
      </c>
      <c r="B2215" t="s">
        <v>44</v>
      </c>
      <c r="C2215" s="1" t="s">
        <v>32</v>
      </c>
      <c r="D2215" s="3">
        <v>0</v>
      </c>
      <c r="E2215" s="3">
        <v>0</v>
      </c>
      <c r="F2215" s="3">
        <v>0</v>
      </c>
      <c r="G2215" s="3">
        <v>0</v>
      </c>
      <c r="H2215" s="3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 s="3">
        <v>0</v>
      </c>
      <c r="N2215" s="3">
        <v>94.16</v>
      </c>
      <c r="O2215" s="12">
        <v>27.038626609442058</v>
      </c>
    </row>
    <row r="2216" spans="1:15" hidden="1" x14ac:dyDescent="0.25">
      <c r="A2216" s="10">
        <v>46070</v>
      </c>
      <c r="B2216" t="s">
        <v>20</v>
      </c>
      <c r="C2216" s="1" t="s">
        <v>16</v>
      </c>
      <c r="D2216" s="3">
        <v>0</v>
      </c>
      <c r="E2216" s="3">
        <v>0</v>
      </c>
      <c r="F2216" s="3">
        <v>0</v>
      </c>
      <c r="G2216" s="3">
        <v>0</v>
      </c>
      <c r="H2216" s="3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 s="3">
        <v>0</v>
      </c>
      <c r="N2216" s="3">
        <v>93.75</v>
      </c>
      <c r="O2216" s="12">
        <v>19.31818181818182</v>
      </c>
    </row>
    <row r="2217" spans="1:15" hidden="1" x14ac:dyDescent="0.25">
      <c r="A2217" s="10">
        <v>46070</v>
      </c>
      <c r="B2217" t="s">
        <v>28</v>
      </c>
      <c r="C2217" s="1" t="s">
        <v>26</v>
      </c>
      <c r="D2217" s="3">
        <v>0</v>
      </c>
      <c r="E2217" s="3">
        <v>0</v>
      </c>
      <c r="F2217" s="3">
        <v>0</v>
      </c>
      <c r="G2217" s="3">
        <v>0</v>
      </c>
      <c r="H2217" s="3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 s="3">
        <v>0</v>
      </c>
      <c r="N2217" s="3">
        <v>0</v>
      </c>
      <c r="O2217" s="12">
        <v>0</v>
      </c>
    </row>
    <row r="2218" spans="1:15" hidden="1" x14ac:dyDescent="0.25">
      <c r="A2218" s="10">
        <v>46070</v>
      </c>
      <c r="B2218" t="s">
        <v>58</v>
      </c>
      <c r="C2218" s="1" t="s">
        <v>48</v>
      </c>
      <c r="D2218" s="3">
        <v>0</v>
      </c>
      <c r="E2218" s="3">
        <v>0</v>
      </c>
      <c r="F2218" s="3">
        <v>0</v>
      </c>
      <c r="G2218" s="3">
        <v>0</v>
      </c>
      <c r="H2218" s="3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 s="3">
        <v>0</v>
      </c>
      <c r="N2218" s="3">
        <v>97.92</v>
      </c>
      <c r="O2218" s="12">
        <v>32.87671232876712</v>
      </c>
    </row>
    <row r="2219" spans="1:15" hidden="1" x14ac:dyDescent="0.25">
      <c r="A2219" s="10">
        <v>46070</v>
      </c>
      <c r="B2219" t="s">
        <v>29</v>
      </c>
      <c r="C2219" s="1" t="s">
        <v>26</v>
      </c>
      <c r="D2219" s="3">
        <v>0</v>
      </c>
      <c r="E2219" s="3">
        <v>0</v>
      </c>
      <c r="F2219" s="3">
        <v>0</v>
      </c>
      <c r="G2219" s="3">
        <v>0</v>
      </c>
      <c r="H2219" s="3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 s="3">
        <v>0</v>
      </c>
      <c r="N2219" s="3">
        <v>0</v>
      </c>
      <c r="O2219" s="12">
        <v>0</v>
      </c>
    </row>
    <row r="2220" spans="1:15" hidden="1" x14ac:dyDescent="0.25">
      <c r="A2220" s="10">
        <v>46070</v>
      </c>
      <c r="B2220" t="s">
        <v>30</v>
      </c>
      <c r="C2220" s="1" t="s">
        <v>26</v>
      </c>
      <c r="D2220" s="3">
        <v>0</v>
      </c>
      <c r="E2220" s="3">
        <v>0</v>
      </c>
      <c r="F2220" s="3">
        <v>0</v>
      </c>
      <c r="G2220" s="3">
        <v>0</v>
      </c>
      <c r="H2220" s="3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 s="3">
        <v>0</v>
      </c>
      <c r="N2220" s="3">
        <v>0</v>
      </c>
      <c r="O2220" s="12">
        <v>0</v>
      </c>
    </row>
    <row r="2221" spans="1:15" hidden="1" x14ac:dyDescent="0.25">
      <c r="A2221" s="10">
        <v>46070</v>
      </c>
      <c r="B2221" t="s">
        <v>21</v>
      </c>
      <c r="C2221" s="1" t="s">
        <v>16</v>
      </c>
      <c r="D2221" s="3">
        <v>0</v>
      </c>
      <c r="E2221" s="3">
        <v>0</v>
      </c>
      <c r="F2221" s="3">
        <v>0</v>
      </c>
      <c r="G2221" s="3">
        <v>0</v>
      </c>
      <c r="H2221" s="3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 s="3">
        <v>0</v>
      </c>
      <c r="N2221" s="3">
        <v>0</v>
      </c>
      <c r="O2221" s="12">
        <v>0</v>
      </c>
    </row>
    <row r="2222" spans="1:15" hidden="1" x14ac:dyDescent="0.25">
      <c r="A2222" s="10">
        <v>46070</v>
      </c>
      <c r="B2222" t="s">
        <v>63</v>
      </c>
      <c r="C2222" s="1" t="s">
        <v>23</v>
      </c>
      <c r="D2222" s="3">
        <v>0</v>
      </c>
      <c r="E2222" s="3">
        <v>0</v>
      </c>
      <c r="F2222" s="3">
        <v>0</v>
      </c>
      <c r="G2222" s="3">
        <v>0</v>
      </c>
      <c r="H2222" s="3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 s="3">
        <v>0</v>
      </c>
      <c r="N2222" s="3">
        <v>98.51</v>
      </c>
      <c r="O2222" s="12">
        <v>29.710144927536231</v>
      </c>
    </row>
    <row r="2223" spans="1:15" hidden="1" x14ac:dyDescent="0.25">
      <c r="A2223" s="10">
        <v>46070</v>
      </c>
      <c r="B2223" t="s">
        <v>45</v>
      </c>
      <c r="C2223" s="1" t="s">
        <v>32</v>
      </c>
      <c r="D2223" s="3">
        <v>0</v>
      </c>
      <c r="E2223" s="3">
        <v>0</v>
      </c>
      <c r="F2223" s="3">
        <v>0</v>
      </c>
      <c r="G2223" s="3">
        <v>0</v>
      </c>
      <c r="H2223" s="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 s="3">
        <v>0</v>
      </c>
      <c r="N2223" s="3">
        <v>98.81</v>
      </c>
      <c r="O2223" s="12">
        <v>30.712979890310791</v>
      </c>
    </row>
    <row r="2224" spans="1:15" hidden="1" x14ac:dyDescent="0.25">
      <c r="A2224" s="10">
        <v>46070</v>
      </c>
      <c r="B2224" t="s">
        <v>64</v>
      </c>
      <c r="C2224" s="1" t="s">
        <v>23</v>
      </c>
      <c r="D2224" s="3">
        <v>0</v>
      </c>
      <c r="E2224" s="3">
        <v>0</v>
      </c>
      <c r="F2224" s="3">
        <v>0</v>
      </c>
      <c r="G2224" s="3">
        <v>0</v>
      </c>
      <c r="H2224" s="3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 s="3">
        <v>0</v>
      </c>
      <c r="N2224" s="3">
        <v>98.48</v>
      </c>
      <c r="O2224" s="12">
        <v>29.35323383084577</v>
      </c>
    </row>
    <row r="2225" spans="1:15" hidden="1" x14ac:dyDescent="0.25">
      <c r="A2225" s="10">
        <v>46070</v>
      </c>
      <c r="B2225" t="s">
        <v>46</v>
      </c>
      <c r="C2225" s="1" t="s">
        <v>32</v>
      </c>
      <c r="D2225" s="3">
        <v>0</v>
      </c>
      <c r="E2225" s="3">
        <v>0</v>
      </c>
      <c r="F2225" s="3">
        <v>0</v>
      </c>
      <c r="G2225" s="3">
        <v>0</v>
      </c>
      <c r="H2225" s="3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 s="3">
        <v>0</v>
      </c>
      <c r="N2225" s="3">
        <v>98.56</v>
      </c>
      <c r="O2225" s="12">
        <v>29.373650107991359</v>
      </c>
    </row>
    <row r="2226" spans="1:15" hidden="1" x14ac:dyDescent="0.25">
      <c r="A2226" s="10">
        <v>46071</v>
      </c>
      <c r="B2226" t="s">
        <v>47</v>
      </c>
      <c r="C2226" s="1" t="s">
        <v>48</v>
      </c>
      <c r="D2226" s="3">
        <v>35</v>
      </c>
      <c r="E2226" s="3">
        <v>32</v>
      </c>
      <c r="F2226" s="3">
        <v>27.15</v>
      </c>
      <c r="G2226" s="3">
        <v>0</v>
      </c>
      <c r="H2226" s="3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 s="3">
        <v>22</v>
      </c>
      <c r="N2226" s="3">
        <v>98.32</v>
      </c>
      <c r="O2226" s="12">
        <v>30.303030303030301</v>
      </c>
    </row>
    <row r="2227" spans="1:15" hidden="1" x14ac:dyDescent="0.25">
      <c r="A2227" s="10">
        <v>46071</v>
      </c>
      <c r="B2227" t="s">
        <v>31</v>
      </c>
      <c r="C2227" s="1" t="s">
        <v>32</v>
      </c>
      <c r="D2227" s="3">
        <v>0</v>
      </c>
      <c r="E2227" s="3">
        <v>0</v>
      </c>
      <c r="F2227" s="3">
        <v>0</v>
      </c>
      <c r="G2227" s="3">
        <v>0</v>
      </c>
      <c r="H2227" s="3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 s="3">
        <v>19</v>
      </c>
      <c r="N2227" s="3">
        <v>98.68</v>
      </c>
      <c r="O2227" s="12">
        <v>26.219512195121951</v>
      </c>
    </row>
    <row r="2228" spans="1:15" hidden="1" x14ac:dyDescent="0.25">
      <c r="A2228" s="10">
        <v>46071</v>
      </c>
      <c r="B2228" t="s">
        <v>59</v>
      </c>
      <c r="C2228" s="1" t="s">
        <v>23</v>
      </c>
      <c r="D2228" s="3">
        <v>21</v>
      </c>
      <c r="E2228" s="3">
        <v>21</v>
      </c>
      <c r="F2228" s="3">
        <v>28.39</v>
      </c>
      <c r="G2228" s="3">
        <v>0</v>
      </c>
      <c r="H2228" s="3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 s="3">
        <v>21</v>
      </c>
      <c r="N2228" s="3">
        <v>100</v>
      </c>
      <c r="O2228" s="12">
        <v>31.74224343675418</v>
      </c>
    </row>
    <row r="2229" spans="1:15" hidden="1" x14ac:dyDescent="0.25">
      <c r="A2229" s="10">
        <v>46071</v>
      </c>
      <c r="B2229" t="s">
        <v>33</v>
      </c>
      <c r="C2229" s="1" t="s">
        <v>32</v>
      </c>
      <c r="D2229" s="3">
        <v>29</v>
      </c>
      <c r="E2229" s="3">
        <v>28</v>
      </c>
      <c r="F2229" s="3">
        <v>22.02</v>
      </c>
      <c r="G2229" s="3">
        <v>0</v>
      </c>
      <c r="H2229" s="3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 s="3">
        <v>26</v>
      </c>
      <c r="N2229" s="3">
        <v>98.25</v>
      </c>
      <c r="O2229" s="12">
        <v>25.83518930957684</v>
      </c>
    </row>
    <row r="2230" spans="1:15" hidden="1" x14ac:dyDescent="0.25">
      <c r="A2230" s="10">
        <v>46071</v>
      </c>
      <c r="B2230" t="s">
        <v>15</v>
      </c>
      <c r="C2230" s="1" t="s">
        <v>16</v>
      </c>
      <c r="D2230" s="3">
        <v>6</v>
      </c>
      <c r="E2230" s="3">
        <v>6</v>
      </c>
      <c r="F2230" s="3">
        <v>55.14</v>
      </c>
      <c r="G2230" s="3">
        <v>0</v>
      </c>
      <c r="H2230" s="3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 s="3">
        <v>6</v>
      </c>
      <c r="N2230" s="3">
        <v>97.5</v>
      </c>
      <c r="O2230" s="12">
        <v>30.075187969924809</v>
      </c>
    </row>
    <row r="2231" spans="1:15" hidden="1" x14ac:dyDescent="0.25">
      <c r="A2231" s="10">
        <v>46071</v>
      </c>
      <c r="B2231" t="s">
        <v>49</v>
      </c>
      <c r="C2231" s="1" t="s">
        <v>48</v>
      </c>
      <c r="D2231" s="3">
        <v>20</v>
      </c>
      <c r="E2231" s="3">
        <v>17</v>
      </c>
      <c r="F2231" s="3">
        <v>28.51</v>
      </c>
      <c r="G2231" s="3">
        <v>0</v>
      </c>
      <c r="H2231" s="3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 s="3">
        <v>19</v>
      </c>
      <c r="N2231" s="3">
        <v>100</v>
      </c>
      <c r="O2231" s="12">
        <v>29.71311475409836</v>
      </c>
    </row>
    <row r="2232" spans="1:15" hidden="1" x14ac:dyDescent="0.25">
      <c r="A2232" s="10">
        <v>46071</v>
      </c>
      <c r="B2232" t="s">
        <v>50</v>
      </c>
      <c r="C2232" s="1" t="s">
        <v>48</v>
      </c>
      <c r="D2232" s="3">
        <v>9</v>
      </c>
      <c r="E2232" s="3">
        <v>9</v>
      </c>
      <c r="F2232" s="3">
        <v>75.150000000000006</v>
      </c>
      <c r="G2232" s="3">
        <v>0</v>
      </c>
      <c r="H2232" s="3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 s="3">
        <v>12</v>
      </c>
      <c r="N2232" s="3">
        <v>99.22</v>
      </c>
      <c r="O2232" s="12">
        <v>35.256410256410263</v>
      </c>
    </row>
    <row r="2233" spans="1:15" hidden="1" x14ac:dyDescent="0.25">
      <c r="A2233" s="10">
        <v>46071</v>
      </c>
      <c r="B2233" t="s">
        <v>17</v>
      </c>
      <c r="C2233" s="1" t="s">
        <v>16</v>
      </c>
      <c r="D2233" s="3">
        <v>0</v>
      </c>
      <c r="E2233" s="3">
        <v>0</v>
      </c>
      <c r="F2233" s="3">
        <v>0</v>
      </c>
      <c r="G2233" s="3">
        <v>0</v>
      </c>
      <c r="H2233" s="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 s="3">
        <v>0</v>
      </c>
      <c r="N2233" s="3">
        <v>0</v>
      </c>
      <c r="O2233" s="12">
        <v>0</v>
      </c>
    </row>
    <row r="2234" spans="1:15" hidden="1" x14ac:dyDescent="0.25">
      <c r="A2234" s="10">
        <v>46071</v>
      </c>
      <c r="B2234" t="s">
        <v>60</v>
      </c>
      <c r="C2234" s="1" t="s">
        <v>23</v>
      </c>
      <c r="D2234" s="3">
        <v>22</v>
      </c>
      <c r="E2234" s="3">
        <v>22</v>
      </c>
      <c r="F2234" s="3">
        <v>30.28</v>
      </c>
      <c r="G2234" s="3">
        <v>0</v>
      </c>
      <c r="H2234" s="3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 s="3">
        <v>20</v>
      </c>
      <c r="N2234" s="3">
        <v>98.75</v>
      </c>
      <c r="O2234" s="12">
        <v>24.32432432432433</v>
      </c>
    </row>
    <row r="2235" spans="1:15" hidden="1" x14ac:dyDescent="0.25">
      <c r="A2235" s="10">
        <v>46071</v>
      </c>
      <c r="B2235" t="s">
        <v>34</v>
      </c>
      <c r="C2235" s="1" t="s">
        <v>32</v>
      </c>
      <c r="D2235" s="3">
        <v>38</v>
      </c>
      <c r="E2235" s="3">
        <v>37</v>
      </c>
      <c r="F2235" s="3">
        <v>17.18</v>
      </c>
      <c r="G2235" s="3">
        <v>0</v>
      </c>
      <c r="H2235" s="3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 s="3">
        <v>34</v>
      </c>
      <c r="N2235" s="3">
        <v>93.48</v>
      </c>
      <c r="O2235" s="12">
        <v>31.52804642166344</v>
      </c>
    </row>
    <row r="2236" spans="1:15" hidden="1" x14ac:dyDescent="0.25">
      <c r="A2236" s="10">
        <v>46071</v>
      </c>
      <c r="B2236" t="s">
        <v>51</v>
      </c>
      <c r="C2236" s="1" t="s">
        <v>48</v>
      </c>
      <c r="D2236" s="3">
        <v>17</v>
      </c>
      <c r="E2236" s="3">
        <v>14</v>
      </c>
      <c r="F2236" s="3">
        <v>34.049999999999997</v>
      </c>
      <c r="G2236" s="3">
        <v>0</v>
      </c>
      <c r="H2236" s="3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 s="3">
        <v>13</v>
      </c>
      <c r="N2236" s="3">
        <v>99.16</v>
      </c>
      <c r="O2236" s="12">
        <v>26.13908872901678</v>
      </c>
    </row>
    <row r="2237" spans="1:15" hidden="1" x14ac:dyDescent="0.25">
      <c r="A2237" s="10">
        <v>46071</v>
      </c>
      <c r="B2237" t="s">
        <v>61</v>
      </c>
      <c r="C2237" s="1" t="s">
        <v>23</v>
      </c>
      <c r="D2237" s="3">
        <v>33</v>
      </c>
      <c r="E2237" s="3">
        <v>31</v>
      </c>
      <c r="F2237" s="3">
        <v>20</v>
      </c>
      <c r="G2237" s="3">
        <v>0</v>
      </c>
      <c r="H2237" s="3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 s="3">
        <v>24</v>
      </c>
      <c r="N2237" s="3">
        <v>100</v>
      </c>
      <c r="O2237" s="12">
        <v>31.089743589743591</v>
      </c>
    </row>
    <row r="2238" spans="1:15" hidden="1" x14ac:dyDescent="0.25">
      <c r="A2238" s="10">
        <v>46071</v>
      </c>
      <c r="B2238" t="s">
        <v>35</v>
      </c>
      <c r="C2238" s="1" t="s">
        <v>32</v>
      </c>
      <c r="D2238" s="3">
        <v>13</v>
      </c>
      <c r="E2238" s="3">
        <v>13</v>
      </c>
      <c r="F2238" s="3">
        <v>47.13</v>
      </c>
      <c r="G2238" s="3">
        <v>0</v>
      </c>
      <c r="H2238" s="3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 s="3">
        <v>13</v>
      </c>
      <c r="N2238" s="3">
        <v>98.11</v>
      </c>
      <c r="O2238" s="12">
        <v>33.033707865168537</v>
      </c>
    </row>
    <row r="2239" spans="1:15" hidden="1" x14ac:dyDescent="0.25">
      <c r="A2239" s="10">
        <v>46071</v>
      </c>
      <c r="B2239" t="s">
        <v>18</v>
      </c>
      <c r="C2239" s="1" t="s">
        <v>16</v>
      </c>
      <c r="D2239" s="3">
        <v>5</v>
      </c>
      <c r="E2239" s="3">
        <v>3</v>
      </c>
      <c r="F2239" s="3">
        <v>30.22</v>
      </c>
      <c r="G2239" s="3">
        <v>0</v>
      </c>
      <c r="H2239" s="3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 s="3">
        <v>4</v>
      </c>
      <c r="N2239" s="3">
        <v>78.95</v>
      </c>
      <c r="O2239" s="12">
        <v>38.983050847457633</v>
      </c>
    </row>
    <row r="2240" spans="1:15" hidden="1" x14ac:dyDescent="0.25">
      <c r="A2240" s="10">
        <v>46071</v>
      </c>
      <c r="B2240" t="s">
        <v>52</v>
      </c>
      <c r="C2240" s="1" t="s">
        <v>48</v>
      </c>
      <c r="D2240" s="3">
        <v>30</v>
      </c>
      <c r="E2240" s="3">
        <v>28</v>
      </c>
      <c r="F2240" s="3">
        <v>18.55</v>
      </c>
      <c r="G2240" s="3">
        <v>0</v>
      </c>
      <c r="H2240" s="3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 s="3">
        <v>22</v>
      </c>
      <c r="N2240" s="3">
        <v>98.45</v>
      </c>
      <c r="O2240" s="12">
        <v>29.281767955801101</v>
      </c>
    </row>
    <row r="2241" spans="1:15" hidden="1" x14ac:dyDescent="0.25">
      <c r="A2241" s="10">
        <v>46071</v>
      </c>
      <c r="B2241" t="s">
        <v>36</v>
      </c>
      <c r="C2241" s="1" t="s">
        <v>32</v>
      </c>
      <c r="D2241" s="3">
        <v>15</v>
      </c>
      <c r="E2241" s="3">
        <v>15</v>
      </c>
      <c r="F2241" s="3">
        <v>30</v>
      </c>
      <c r="G2241" s="3">
        <v>0</v>
      </c>
      <c r="H2241" s="3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 s="3">
        <v>14</v>
      </c>
      <c r="N2241" s="3">
        <v>97.84</v>
      </c>
      <c r="O2241" s="12">
        <v>26.282051282051281</v>
      </c>
    </row>
    <row r="2242" spans="1:15" hidden="1" x14ac:dyDescent="0.25">
      <c r="A2242" s="10">
        <v>46071</v>
      </c>
      <c r="B2242" t="s">
        <v>53</v>
      </c>
      <c r="C2242" s="1" t="s">
        <v>48</v>
      </c>
      <c r="D2242" s="3">
        <v>26</v>
      </c>
      <c r="E2242" s="3">
        <v>24</v>
      </c>
      <c r="F2242" s="3">
        <v>29.02</v>
      </c>
      <c r="G2242" s="3">
        <v>0</v>
      </c>
      <c r="H2242" s="3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 s="3">
        <v>21</v>
      </c>
      <c r="N2242" s="3">
        <v>98.5</v>
      </c>
      <c r="O2242" s="12">
        <v>23.97769516728625</v>
      </c>
    </row>
    <row r="2243" spans="1:15" hidden="1" x14ac:dyDescent="0.25">
      <c r="A2243" s="10">
        <v>46105</v>
      </c>
      <c r="B2243" t="s">
        <v>22</v>
      </c>
      <c r="C2243" s="1" t="s">
        <v>23</v>
      </c>
      <c r="D2243" s="3">
        <v>30</v>
      </c>
      <c r="E2243" s="3">
        <v>29</v>
      </c>
      <c r="F2243" s="3">
        <v>17.27</v>
      </c>
      <c r="G2243" s="3">
        <v>0</v>
      </c>
      <c r="H2243" s="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 s="3">
        <v>29</v>
      </c>
      <c r="N2243" s="3">
        <v>99.05</v>
      </c>
      <c r="O2243" s="12">
        <v>26.621923937360179</v>
      </c>
    </row>
    <row r="2244" spans="1:15" hidden="1" x14ac:dyDescent="0.25">
      <c r="A2244" s="10">
        <v>46071</v>
      </c>
      <c r="B2244" t="s">
        <v>54</v>
      </c>
      <c r="C2244" s="1" t="s">
        <v>48</v>
      </c>
      <c r="D2244" s="3">
        <v>23</v>
      </c>
      <c r="E2244" s="3">
        <v>22</v>
      </c>
      <c r="F2244" s="3">
        <v>24.07</v>
      </c>
      <c r="G2244" s="3">
        <v>0</v>
      </c>
      <c r="H2244" s="3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 s="3">
        <v>21</v>
      </c>
      <c r="N2244" s="3">
        <v>98.53</v>
      </c>
      <c r="O2244" s="12">
        <v>31.578947368421051</v>
      </c>
    </row>
    <row r="2245" spans="1:15" hidden="1" x14ac:dyDescent="0.25">
      <c r="A2245" s="10">
        <v>46071</v>
      </c>
      <c r="B2245" t="s">
        <v>37</v>
      </c>
      <c r="C2245" s="1" t="s">
        <v>32</v>
      </c>
      <c r="D2245" s="3">
        <v>40</v>
      </c>
      <c r="E2245" s="3">
        <v>39</v>
      </c>
      <c r="F2245" s="3">
        <v>16.41</v>
      </c>
      <c r="G2245" s="3">
        <v>0</v>
      </c>
      <c r="H2245" s="3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 s="3">
        <v>37</v>
      </c>
      <c r="N2245" s="3">
        <v>100</v>
      </c>
      <c r="O2245" s="12">
        <v>25.72214580467676</v>
      </c>
    </row>
    <row r="2246" spans="1:15" hidden="1" x14ac:dyDescent="0.25">
      <c r="A2246" s="10">
        <v>46071</v>
      </c>
      <c r="B2246" t="s">
        <v>38</v>
      </c>
      <c r="C2246" s="1" t="s">
        <v>32</v>
      </c>
      <c r="D2246" s="3">
        <v>29</v>
      </c>
      <c r="E2246" s="3">
        <v>26</v>
      </c>
      <c r="F2246" s="3">
        <v>14.14</v>
      </c>
      <c r="G2246" s="3">
        <v>0</v>
      </c>
      <c r="H2246" s="3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 s="3">
        <v>22</v>
      </c>
      <c r="N2246" s="3">
        <v>94.64</v>
      </c>
      <c r="O2246" s="12">
        <v>27.52941176470588</v>
      </c>
    </row>
    <row r="2247" spans="1:15" hidden="1" x14ac:dyDescent="0.25">
      <c r="A2247" s="10">
        <v>46071</v>
      </c>
      <c r="B2247" t="s">
        <v>55</v>
      </c>
      <c r="C2247" s="1" t="s">
        <v>48</v>
      </c>
      <c r="D2247" s="3">
        <v>27</v>
      </c>
      <c r="E2247" s="3">
        <v>20</v>
      </c>
      <c r="F2247" s="3">
        <v>20.04</v>
      </c>
      <c r="G2247" s="3">
        <v>0</v>
      </c>
      <c r="H2247" s="3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 s="3">
        <v>16</v>
      </c>
      <c r="N2247" s="3">
        <v>99.07</v>
      </c>
      <c r="O2247" s="12">
        <v>26.376811594202898</v>
      </c>
    </row>
    <row r="2248" spans="1:15" hidden="1" x14ac:dyDescent="0.25">
      <c r="A2248" s="10">
        <v>46071</v>
      </c>
      <c r="B2248" t="s">
        <v>39</v>
      </c>
      <c r="C2248" s="1" t="s">
        <v>32</v>
      </c>
      <c r="D2248" s="3">
        <v>0</v>
      </c>
      <c r="E2248" s="3">
        <v>0</v>
      </c>
      <c r="F2248" s="3">
        <v>0</v>
      </c>
      <c r="G2248" s="3">
        <v>0</v>
      </c>
      <c r="H2248" s="3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 s="3">
        <v>0</v>
      </c>
      <c r="N2248" s="3">
        <v>100</v>
      </c>
      <c r="O2248" s="12">
        <v>0</v>
      </c>
    </row>
    <row r="2249" spans="1:15" hidden="1" x14ac:dyDescent="0.25">
      <c r="A2249" s="10">
        <v>46071</v>
      </c>
      <c r="B2249" t="s">
        <v>25</v>
      </c>
      <c r="C2249" s="1" t="s">
        <v>26</v>
      </c>
      <c r="D2249" s="3">
        <v>10</v>
      </c>
      <c r="E2249" s="3">
        <v>9</v>
      </c>
      <c r="F2249" s="3">
        <v>42.14</v>
      </c>
      <c r="G2249" s="3">
        <v>0</v>
      </c>
      <c r="H2249" s="3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 s="3">
        <v>7</v>
      </c>
      <c r="N2249" s="3">
        <v>98.48</v>
      </c>
      <c r="O2249" s="12">
        <v>27.853881278538811</v>
      </c>
    </row>
    <row r="2250" spans="1:15" hidden="1" x14ac:dyDescent="0.25">
      <c r="A2250" s="10">
        <v>46071</v>
      </c>
      <c r="B2250" t="s">
        <v>40</v>
      </c>
      <c r="C2250" s="1" t="s">
        <v>32</v>
      </c>
      <c r="D2250" s="3">
        <v>16</v>
      </c>
      <c r="E2250" s="3">
        <v>16</v>
      </c>
      <c r="F2250" s="3">
        <v>30.03</v>
      </c>
      <c r="G2250" s="3">
        <v>0</v>
      </c>
      <c r="H2250" s="3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 s="3">
        <v>14</v>
      </c>
      <c r="N2250" s="3">
        <v>95.15</v>
      </c>
      <c r="O2250" s="12">
        <v>34.131736526946113</v>
      </c>
    </row>
    <row r="2251" spans="1:15" hidden="1" x14ac:dyDescent="0.25">
      <c r="A2251" s="10">
        <v>46071</v>
      </c>
      <c r="B2251" t="s">
        <v>27</v>
      </c>
      <c r="C2251" s="1" t="s">
        <v>26</v>
      </c>
      <c r="D2251" s="3">
        <v>0</v>
      </c>
      <c r="E2251" s="3">
        <v>0</v>
      </c>
      <c r="F2251" s="3">
        <v>0</v>
      </c>
      <c r="G2251" s="3">
        <v>0</v>
      </c>
      <c r="H2251" s="3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 s="3">
        <v>0</v>
      </c>
      <c r="N2251" s="3">
        <v>0</v>
      </c>
      <c r="O2251" s="12">
        <v>0</v>
      </c>
    </row>
    <row r="2252" spans="1:15" hidden="1" x14ac:dyDescent="0.25">
      <c r="A2252" s="10">
        <v>46071</v>
      </c>
      <c r="B2252" t="s">
        <v>41</v>
      </c>
      <c r="C2252" s="1" t="s">
        <v>32</v>
      </c>
      <c r="D2252" s="3">
        <v>20</v>
      </c>
      <c r="E2252" s="3">
        <v>18</v>
      </c>
      <c r="F2252" s="3">
        <v>30.28</v>
      </c>
      <c r="G2252" s="3">
        <v>0</v>
      </c>
      <c r="H2252" s="3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 s="3">
        <v>15</v>
      </c>
      <c r="N2252" s="3">
        <v>99.26</v>
      </c>
      <c r="O2252" s="12">
        <v>30.84832904884319</v>
      </c>
    </row>
    <row r="2253" spans="1:15" hidden="1" x14ac:dyDescent="0.25">
      <c r="A2253" s="10">
        <v>46071</v>
      </c>
      <c r="B2253" t="s">
        <v>56</v>
      </c>
      <c r="C2253" s="1" t="s">
        <v>48</v>
      </c>
      <c r="D2253" s="3">
        <v>25</v>
      </c>
      <c r="E2253" s="3">
        <v>22</v>
      </c>
      <c r="F2253" s="3">
        <v>25.32</v>
      </c>
      <c r="G2253" s="3">
        <v>0</v>
      </c>
      <c r="H2253" s="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 s="3">
        <v>5</v>
      </c>
      <c r="N2253" s="3">
        <v>97.48</v>
      </c>
      <c r="O2253" s="12">
        <v>27.764705882352938</v>
      </c>
    </row>
    <row r="2254" spans="1:15" hidden="1" x14ac:dyDescent="0.25">
      <c r="A2254" s="10">
        <v>46071</v>
      </c>
      <c r="B2254" t="s">
        <v>57</v>
      </c>
      <c r="C2254" s="1" t="s">
        <v>48</v>
      </c>
      <c r="D2254" s="3">
        <v>32</v>
      </c>
      <c r="E2254" s="3">
        <v>32</v>
      </c>
      <c r="F2254" s="3">
        <v>21.45</v>
      </c>
      <c r="G2254" s="3">
        <v>0</v>
      </c>
      <c r="H2254" s="3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 s="3">
        <v>28</v>
      </c>
      <c r="N2254" s="3">
        <v>99.34</v>
      </c>
      <c r="O2254" s="12">
        <v>30.04291845493562</v>
      </c>
    </row>
    <row r="2255" spans="1:15" hidden="1" x14ac:dyDescent="0.25">
      <c r="A2255" s="10">
        <v>46071</v>
      </c>
      <c r="B2255" t="s">
        <v>42</v>
      </c>
      <c r="C2255" s="1" t="s">
        <v>32</v>
      </c>
      <c r="D2255" s="3">
        <v>0</v>
      </c>
      <c r="E2255" s="3">
        <v>0</v>
      </c>
      <c r="F2255" s="3">
        <v>0</v>
      </c>
      <c r="G2255" s="3">
        <v>0</v>
      </c>
      <c r="H2255" s="3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 s="3">
        <v>0</v>
      </c>
      <c r="N2255" s="3">
        <v>96.3</v>
      </c>
      <c r="O2255" s="12">
        <v>24.29378531073446</v>
      </c>
    </row>
    <row r="2256" spans="1:15" hidden="1" x14ac:dyDescent="0.25">
      <c r="A2256" s="10">
        <v>46071</v>
      </c>
      <c r="B2256" t="s">
        <v>62</v>
      </c>
      <c r="C2256" s="1" t="s">
        <v>23</v>
      </c>
      <c r="D2256" s="3">
        <v>18</v>
      </c>
      <c r="E2256" s="3">
        <v>18</v>
      </c>
      <c r="F2256" s="3">
        <v>29.08</v>
      </c>
      <c r="G2256" s="3">
        <v>0</v>
      </c>
      <c r="H2256" s="3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 s="3">
        <v>16</v>
      </c>
      <c r="N2256" s="3">
        <v>100</v>
      </c>
      <c r="O2256" s="12">
        <v>26.543209876543209</v>
      </c>
    </row>
    <row r="2257" spans="1:15" hidden="1" x14ac:dyDescent="0.25">
      <c r="A2257" s="10">
        <v>46071</v>
      </c>
      <c r="B2257" t="s">
        <v>19</v>
      </c>
      <c r="C2257" s="1" t="s">
        <v>16</v>
      </c>
      <c r="D2257" s="3">
        <v>2</v>
      </c>
      <c r="E2257" s="3">
        <v>2</v>
      </c>
      <c r="F2257" s="3">
        <v>65.209999999999994</v>
      </c>
      <c r="G2257" s="3">
        <v>0</v>
      </c>
      <c r="H2257" s="3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 s="3">
        <v>2</v>
      </c>
      <c r="N2257" s="3">
        <v>100</v>
      </c>
      <c r="O2257" s="12">
        <v>35.483870967741943</v>
      </c>
    </row>
    <row r="2258" spans="1:15" hidden="1" x14ac:dyDescent="0.25">
      <c r="A2258" s="10">
        <v>46071</v>
      </c>
      <c r="B2258" t="s">
        <v>43</v>
      </c>
      <c r="C2258" s="1" t="s">
        <v>32</v>
      </c>
      <c r="D2258" s="3">
        <v>29</v>
      </c>
      <c r="E2258" s="3">
        <v>28</v>
      </c>
      <c r="F2258" s="3">
        <v>20.02</v>
      </c>
      <c r="G2258" s="3">
        <v>0</v>
      </c>
      <c r="H2258" s="3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 s="3">
        <v>25</v>
      </c>
      <c r="N2258" s="3">
        <v>99.27</v>
      </c>
      <c r="O2258" s="12">
        <v>31.163708086785011</v>
      </c>
    </row>
    <row r="2259" spans="1:15" hidden="1" x14ac:dyDescent="0.25">
      <c r="A2259" s="10">
        <v>46071</v>
      </c>
      <c r="B2259" t="s">
        <v>44</v>
      </c>
      <c r="C2259" s="1" t="s">
        <v>32</v>
      </c>
      <c r="D2259" s="3">
        <v>40</v>
      </c>
      <c r="E2259" s="3">
        <v>35</v>
      </c>
      <c r="F2259" s="3">
        <v>15.13</v>
      </c>
      <c r="G2259" s="3">
        <v>0</v>
      </c>
      <c r="H2259" s="3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 s="3">
        <v>26</v>
      </c>
      <c r="N2259" s="3">
        <v>94.16</v>
      </c>
      <c r="O2259" s="12">
        <v>27.038626609442058</v>
      </c>
    </row>
    <row r="2260" spans="1:15" hidden="1" x14ac:dyDescent="0.25">
      <c r="A2260" s="10">
        <v>46071</v>
      </c>
      <c r="B2260" t="s">
        <v>20</v>
      </c>
      <c r="C2260" s="1" t="s">
        <v>16</v>
      </c>
      <c r="D2260" s="3">
        <v>6</v>
      </c>
      <c r="E2260" s="3">
        <v>6</v>
      </c>
      <c r="F2260" s="3">
        <v>166.4</v>
      </c>
      <c r="G2260" s="3">
        <v>0</v>
      </c>
      <c r="H2260" s="3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 s="3">
        <v>4</v>
      </c>
      <c r="N2260" s="3">
        <v>93.75</v>
      </c>
      <c r="O2260" s="12">
        <v>19.31818181818182</v>
      </c>
    </row>
    <row r="2261" spans="1:15" hidden="1" x14ac:dyDescent="0.25">
      <c r="A2261" s="10">
        <v>46071</v>
      </c>
      <c r="B2261" t="s">
        <v>28</v>
      </c>
      <c r="C2261" s="1" t="s">
        <v>26</v>
      </c>
      <c r="D2261" s="3">
        <v>0</v>
      </c>
      <c r="E2261" s="3">
        <v>0</v>
      </c>
      <c r="F2261" s="3">
        <v>0</v>
      </c>
      <c r="G2261" s="3">
        <v>0</v>
      </c>
      <c r="H2261" s="3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 s="3">
        <v>0</v>
      </c>
      <c r="N2261" s="3">
        <v>0</v>
      </c>
      <c r="O2261" s="12">
        <v>0</v>
      </c>
    </row>
    <row r="2262" spans="1:15" hidden="1" x14ac:dyDescent="0.25">
      <c r="A2262" s="10">
        <v>46071</v>
      </c>
      <c r="B2262" t="s">
        <v>58</v>
      </c>
      <c r="C2262" s="1" t="s">
        <v>48</v>
      </c>
      <c r="D2262" s="3">
        <v>0</v>
      </c>
      <c r="E2262" s="3">
        <v>0</v>
      </c>
      <c r="F2262" s="3">
        <v>0</v>
      </c>
      <c r="G2262" s="3">
        <v>0</v>
      </c>
      <c r="H2262" s="3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 s="3">
        <v>0</v>
      </c>
      <c r="N2262" s="3">
        <v>97.92</v>
      </c>
      <c r="O2262" s="12">
        <v>32.87671232876712</v>
      </c>
    </row>
    <row r="2263" spans="1:15" hidden="1" x14ac:dyDescent="0.25">
      <c r="A2263" s="10">
        <v>46071</v>
      </c>
      <c r="B2263" t="s">
        <v>29</v>
      </c>
      <c r="C2263" s="1" t="s">
        <v>26</v>
      </c>
      <c r="D2263" s="3">
        <v>0</v>
      </c>
      <c r="E2263" s="3">
        <v>0</v>
      </c>
      <c r="F2263" s="3">
        <v>0</v>
      </c>
      <c r="G2263" s="3">
        <v>0</v>
      </c>
      <c r="H2263" s="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 s="3">
        <v>0</v>
      </c>
      <c r="N2263" s="3">
        <v>0</v>
      </c>
      <c r="O2263" s="12">
        <v>0</v>
      </c>
    </row>
    <row r="2264" spans="1:15" hidden="1" x14ac:dyDescent="0.25">
      <c r="A2264" s="10">
        <v>46071</v>
      </c>
      <c r="B2264" t="s">
        <v>30</v>
      </c>
      <c r="C2264" s="1" t="s">
        <v>26</v>
      </c>
      <c r="D2264" s="3">
        <v>0</v>
      </c>
      <c r="E2264" s="3">
        <v>0</v>
      </c>
      <c r="F2264" s="3">
        <v>0</v>
      </c>
      <c r="G2264" s="3">
        <v>0</v>
      </c>
      <c r="H2264" s="3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 s="3">
        <v>0</v>
      </c>
      <c r="N2264" s="3">
        <v>0</v>
      </c>
      <c r="O2264" s="12">
        <v>0</v>
      </c>
    </row>
    <row r="2265" spans="1:15" hidden="1" x14ac:dyDescent="0.25">
      <c r="A2265" s="10">
        <v>46071</v>
      </c>
      <c r="B2265" t="s">
        <v>21</v>
      </c>
      <c r="C2265" s="1" t="s">
        <v>16</v>
      </c>
      <c r="D2265" s="3">
        <v>0</v>
      </c>
      <c r="E2265" s="3">
        <v>0</v>
      </c>
      <c r="F2265" s="3">
        <v>0</v>
      </c>
      <c r="G2265" s="3">
        <v>0</v>
      </c>
      <c r="H2265" s="3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 s="3">
        <v>0</v>
      </c>
      <c r="N2265" s="3">
        <v>0</v>
      </c>
      <c r="O2265" s="12">
        <v>0</v>
      </c>
    </row>
    <row r="2266" spans="1:15" hidden="1" x14ac:dyDescent="0.25">
      <c r="A2266" s="10">
        <v>46071</v>
      </c>
      <c r="B2266" t="s">
        <v>63</v>
      </c>
      <c r="C2266" s="1" t="s">
        <v>23</v>
      </c>
      <c r="D2266" s="3">
        <v>34</v>
      </c>
      <c r="E2266" s="3">
        <v>34</v>
      </c>
      <c r="F2266" s="3">
        <v>19.14</v>
      </c>
      <c r="G2266" s="3">
        <v>0</v>
      </c>
      <c r="H2266" s="3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 s="3">
        <v>27</v>
      </c>
      <c r="N2266" s="3">
        <v>98.51</v>
      </c>
      <c r="O2266" s="12">
        <v>29.710144927536231</v>
      </c>
    </row>
    <row r="2267" spans="1:15" hidden="1" x14ac:dyDescent="0.25">
      <c r="A2267" s="10">
        <v>46071</v>
      </c>
      <c r="B2267" t="s">
        <v>45</v>
      </c>
      <c r="C2267" s="1" t="s">
        <v>32</v>
      </c>
      <c r="D2267" s="3">
        <v>43</v>
      </c>
      <c r="E2267" s="3">
        <v>41</v>
      </c>
      <c r="F2267" s="3">
        <v>18.46</v>
      </c>
      <c r="G2267" s="3">
        <v>0</v>
      </c>
      <c r="H2267" s="3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 s="3">
        <v>36</v>
      </c>
      <c r="N2267" s="3">
        <v>98.81</v>
      </c>
      <c r="O2267" s="12">
        <v>30.712979890310791</v>
      </c>
    </row>
    <row r="2268" spans="1:15" hidden="1" x14ac:dyDescent="0.25">
      <c r="A2268" s="10">
        <v>46071</v>
      </c>
      <c r="B2268" t="s">
        <v>64</v>
      </c>
      <c r="C2268" s="1" t="s">
        <v>23</v>
      </c>
      <c r="D2268" s="3">
        <v>10</v>
      </c>
      <c r="E2268" s="3">
        <v>10</v>
      </c>
      <c r="F2268" s="3">
        <v>68.569999999999993</v>
      </c>
      <c r="G2268" s="3">
        <v>0</v>
      </c>
      <c r="H2268" s="3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 s="3">
        <v>8</v>
      </c>
      <c r="N2268" s="3">
        <v>98.48</v>
      </c>
      <c r="O2268" s="12">
        <v>29.35323383084577</v>
      </c>
    </row>
    <row r="2269" spans="1:15" hidden="1" x14ac:dyDescent="0.25">
      <c r="A2269" s="10">
        <v>46071</v>
      </c>
      <c r="B2269" t="s">
        <v>46</v>
      </c>
      <c r="C2269" s="1" t="s">
        <v>32</v>
      </c>
      <c r="D2269" s="3">
        <v>28</v>
      </c>
      <c r="E2269" s="3">
        <v>26</v>
      </c>
      <c r="F2269" s="3">
        <v>17.079999999999998</v>
      </c>
      <c r="G2269" s="3">
        <v>0</v>
      </c>
      <c r="H2269" s="3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 s="3">
        <v>24</v>
      </c>
      <c r="N2269" s="3">
        <v>98.56</v>
      </c>
      <c r="O2269" s="12">
        <v>29.373650107991359</v>
      </c>
    </row>
    <row r="2270" spans="1:15" hidden="1" x14ac:dyDescent="0.25">
      <c r="A2270" s="10">
        <v>46072</v>
      </c>
      <c r="B2270" t="s">
        <v>47</v>
      </c>
      <c r="C2270" s="1" t="s">
        <v>48</v>
      </c>
      <c r="D2270" s="3">
        <v>18</v>
      </c>
      <c r="E2270" s="3">
        <v>15</v>
      </c>
      <c r="F2270" s="3">
        <v>28.36</v>
      </c>
      <c r="G2270" s="3">
        <v>0</v>
      </c>
      <c r="H2270" s="3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 s="3">
        <v>12</v>
      </c>
      <c r="N2270" s="3">
        <v>98.32</v>
      </c>
      <c r="O2270" s="12">
        <v>30.303030303030301</v>
      </c>
    </row>
    <row r="2271" spans="1:15" hidden="1" x14ac:dyDescent="0.25">
      <c r="A2271" s="10">
        <v>46072</v>
      </c>
      <c r="B2271" t="s">
        <v>31</v>
      </c>
      <c r="C2271" s="1" t="s">
        <v>32</v>
      </c>
      <c r="D2271" s="3">
        <v>0</v>
      </c>
      <c r="E2271" s="3">
        <v>0</v>
      </c>
      <c r="F2271" s="3">
        <v>0</v>
      </c>
      <c r="G2271" s="3">
        <v>0</v>
      </c>
      <c r="H2271" s="3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 s="3">
        <v>21</v>
      </c>
      <c r="N2271" s="3">
        <v>98.68</v>
      </c>
      <c r="O2271" s="12">
        <v>26.219512195121951</v>
      </c>
    </row>
    <row r="2272" spans="1:15" hidden="1" x14ac:dyDescent="0.25">
      <c r="A2272" s="10">
        <v>46072</v>
      </c>
      <c r="B2272" t="s">
        <v>59</v>
      </c>
      <c r="C2272" s="1" t="s">
        <v>23</v>
      </c>
      <c r="D2272" s="3">
        <v>14</v>
      </c>
      <c r="E2272" s="3">
        <v>14</v>
      </c>
      <c r="F2272" s="3">
        <v>52.3</v>
      </c>
      <c r="G2272" s="3">
        <v>0</v>
      </c>
      <c r="H2272" s="3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 s="3">
        <v>14</v>
      </c>
      <c r="N2272" s="3">
        <v>100</v>
      </c>
      <c r="O2272" s="12">
        <v>31.74224343675418</v>
      </c>
    </row>
    <row r="2273" spans="1:15" hidden="1" x14ac:dyDescent="0.25">
      <c r="A2273" s="10">
        <v>46072</v>
      </c>
      <c r="B2273" t="s">
        <v>33</v>
      </c>
      <c r="C2273" s="1" t="s">
        <v>32</v>
      </c>
      <c r="D2273" s="3">
        <v>30</v>
      </c>
      <c r="E2273" s="3">
        <v>28</v>
      </c>
      <c r="F2273" s="3">
        <v>25.44</v>
      </c>
      <c r="G2273" s="3">
        <v>0</v>
      </c>
      <c r="H2273" s="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 s="3">
        <v>31</v>
      </c>
      <c r="N2273" s="3">
        <v>98.25</v>
      </c>
      <c r="O2273" s="12">
        <v>25.83518930957684</v>
      </c>
    </row>
    <row r="2274" spans="1:15" hidden="1" x14ac:dyDescent="0.25">
      <c r="A2274" s="10">
        <v>46072</v>
      </c>
      <c r="B2274" t="s">
        <v>15</v>
      </c>
      <c r="C2274" s="1" t="s">
        <v>16</v>
      </c>
      <c r="D2274" s="3">
        <v>5</v>
      </c>
      <c r="E2274" s="3">
        <v>4</v>
      </c>
      <c r="F2274" s="3">
        <v>83.41</v>
      </c>
      <c r="G2274" s="3">
        <v>0</v>
      </c>
      <c r="H2274" s="3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 s="3">
        <v>5</v>
      </c>
      <c r="N2274" s="3">
        <v>97.5</v>
      </c>
      <c r="O2274" s="12">
        <v>30.075187969924809</v>
      </c>
    </row>
    <row r="2275" spans="1:15" hidden="1" x14ac:dyDescent="0.25">
      <c r="A2275" s="10">
        <v>46072</v>
      </c>
      <c r="B2275" t="s">
        <v>49</v>
      </c>
      <c r="C2275" s="1" t="s">
        <v>48</v>
      </c>
      <c r="D2275" s="3">
        <v>28</v>
      </c>
      <c r="E2275" s="3">
        <v>23</v>
      </c>
      <c r="F2275" s="3">
        <v>18.54</v>
      </c>
      <c r="G2275" s="3">
        <v>0</v>
      </c>
      <c r="H2275" s="3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 s="3">
        <v>25</v>
      </c>
      <c r="N2275" s="3">
        <v>100</v>
      </c>
      <c r="O2275" s="12">
        <v>29.71311475409836</v>
      </c>
    </row>
    <row r="2276" spans="1:15" hidden="1" x14ac:dyDescent="0.25">
      <c r="A2276" s="10">
        <v>46072</v>
      </c>
      <c r="B2276" t="s">
        <v>50</v>
      </c>
      <c r="C2276" s="1" t="s">
        <v>48</v>
      </c>
      <c r="D2276" s="3">
        <v>11</v>
      </c>
      <c r="E2276" s="3">
        <v>11</v>
      </c>
      <c r="F2276" s="3">
        <v>38.36</v>
      </c>
      <c r="G2276" s="3">
        <v>0</v>
      </c>
      <c r="H2276" s="3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 s="3">
        <v>11</v>
      </c>
      <c r="N2276" s="3">
        <v>99.22</v>
      </c>
      <c r="O2276" s="12">
        <v>35.256410256410263</v>
      </c>
    </row>
    <row r="2277" spans="1:15" hidden="1" x14ac:dyDescent="0.25">
      <c r="A2277" s="10">
        <v>46072</v>
      </c>
      <c r="B2277" t="s">
        <v>17</v>
      </c>
      <c r="C2277" s="1" t="s">
        <v>16</v>
      </c>
      <c r="D2277" s="3">
        <v>0</v>
      </c>
      <c r="E2277" s="3">
        <v>0</v>
      </c>
      <c r="F2277" s="3">
        <v>0</v>
      </c>
      <c r="G2277" s="3">
        <v>0</v>
      </c>
      <c r="H2277" s="3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 s="3">
        <v>0</v>
      </c>
      <c r="N2277" s="3">
        <v>0</v>
      </c>
      <c r="O2277" s="12">
        <v>0</v>
      </c>
    </row>
    <row r="2278" spans="1:15" hidden="1" x14ac:dyDescent="0.25">
      <c r="A2278" s="10">
        <v>46072</v>
      </c>
      <c r="B2278" t="s">
        <v>60</v>
      </c>
      <c r="C2278" s="1" t="s">
        <v>23</v>
      </c>
      <c r="D2278" s="3">
        <v>21</v>
      </c>
      <c r="E2278" s="3">
        <v>18</v>
      </c>
      <c r="F2278" s="3">
        <v>22.18</v>
      </c>
      <c r="G2278" s="3">
        <v>0</v>
      </c>
      <c r="H2278" s="3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 s="3">
        <v>16</v>
      </c>
      <c r="N2278" s="3">
        <v>98.75</v>
      </c>
      <c r="O2278" s="12">
        <v>24.32432432432433</v>
      </c>
    </row>
    <row r="2279" spans="1:15" hidden="1" x14ac:dyDescent="0.25">
      <c r="A2279" s="10">
        <v>46072</v>
      </c>
      <c r="B2279" t="s">
        <v>34</v>
      </c>
      <c r="C2279" s="1" t="s">
        <v>32</v>
      </c>
      <c r="D2279" s="3">
        <v>42</v>
      </c>
      <c r="E2279" s="3">
        <v>40</v>
      </c>
      <c r="F2279" s="3">
        <v>13.28</v>
      </c>
      <c r="G2279" s="3">
        <v>0</v>
      </c>
      <c r="H2279" s="3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 s="3">
        <v>31</v>
      </c>
      <c r="N2279" s="3">
        <v>93.48</v>
      </c>
      <c r="O2279" s="12">
        <v>31.52804642166344</v>
      </c>
    </row>
    <row r="2280" spans="1:15" hidden="1" x14ac:dyDescent="0.25">
      <c r="A2280" s="10">
        <v>46072</v>
      </c>
      <c r="B2280" t="s">
        <v>51</v>
      </c>
      <c r="C2280" s="1" t="s">
        <v>48</v>
      </c>
      <c r="D2280" s="3">
        <v>35</v>
      </c>
      <c r="E2280" s="3">
        <v>30</v>
      </c>
      <c r="F2280" s="3">
        <v>22.16</v>
      </c>
      <c r="G2280" s="3">
        <v>0</v>
      </c>
      <c r="H2280" s="3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 s="3">
        <v>27</v>
      </c>
      <c r="N2280" s="3">
        <v>99.16</v>
      </c>
      <c r="O2280" s="12">
        <v>26.13908872901678</v>
      </c>
    </row>
    <row r="2281" spans="1:15" hidden="1" x14ac:dyDescent="0.25">
      <c r="A2281" s="10">
        <v>46072</v>
      </c>
      <c r="B2281" t="s">
        <v>61</v>
      </c>
      <c r="C2281" s="1" t="s">
        <v>23</v>
      </c>
      <c r="D2281" s="3">
        <v>13</v>
      </c>
      <c r="E2281" s="3">
        <v>13</v>
      </c>
      <c r="F2281" s="3">
        <v>47.1</v>
      </c>
      <c r="G2281" s="3">
        <v>0</v>
      </c>
      <c r="H2281" s="3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 s="3">
        <v>13</v>
      </c>
      <c r="N2281" s="3">
        <v>100</v>
      </c>
      <c r="O2281" s="12">
        <v>31.089743589743591</v>
      </c>
    </row>
    <row r="2282" spans="1:15" hidden="1" x14ac:dyDescent="0.25">
      <c r="A2282" s="10">
        <v>46072</v>
      </c>
      <c r="B2282" t="s">
        <v>35</v>
      </c>
      <c r="C2282" s="1" t="s">
        <v>32</v>
      </c>
      <c r="D2282" s="3">
        <v>23</v>
      </c>
      <c r="E2282" s="3">
        <v>23</v>
      </c>
      <c r="F2282" s="3">
        <v>35.42</v>
      </c>
      <c r="G2282" s="3">
        <v>0</v>
      </c>
      <c r="H2282" s="3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 s="3">
        <v>24</v>
      </c>
      <c r="N2282" s="3">
        <v>98.11</v>
      </c>
      <c r="O2282" s="12">
        <v>33.033707865168537</v>
      </c>
    </row>
    <row r="2283" spans="1:15" hidden="1" x14ac:dyDescent="0.25">
      <c r="A2283" s="10">
        <v>46072</v>
      </c>
      <c r="B2283" t="s">
        <v>18</v>
      </c>
      <c r="C2283" s="1" t="s">
        <v>16</v>
      </c>
      <c r="D2283" s="3">
        <v>10</v>
      </c>
      <c r="E2283" s="3">
        <v>9</v>
      </c>
      <c r="F2283" s="3">
        <v>33.51</v>
      </c>
      <c r="G2283" s="3">
        <v>0</v>
      </c>
      <c r="H2283" s="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 s="3">
        <v>4</v>
      </c>
      <c r="N2283" s="3">
        <v>78.95</v>
      </c>
      <c r="O2283" s="12">
        <v>38.983050847457633</v>
      </c>
    </row>
    <row r="2284" spans="1:15" hidden="1" x14ac:dyDescent="0.25">
      <c r="A2284" s="10">
        <v>46072</v>
      </c>
      <c r="B2284" t="s">
        <v>52</v>
      </c>
      <c r="C2284" s="1" t="s">
        <v>48</v>
      </c>
      <c r="D2284" s="3">
        <v>16</v>
      </c>
      <c r="E2284" s="3">
        <v>15</v>
      </c>
      <c r="F2284" s="3">
        <v>22.25</v>
      </c>
      <c r="G2284" s="3">
        <v>0</v>
      </c>
      <c r="H2284" s="3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 s="3">
        <v>13</v>
      </c>
      <c r="N2284" s="3">
        <v>98.45</v>
      </c>
      <c r="O2284" s="12">
        <v>29.281767955801101</v>
      </c>
    </row>
    <row r="2285" spans="1:15" hidden="1" x14ac:dyDescent="0.25">
      <c r="A2285" s="10">
        <v>46072</v>
      </c>
      <c r="B2285" t="s">
        <v>36</v>
      </c>
      <c r="C2285" s="1" t="s">
        <v>32</v>
      </c>
      <c r="D2285" s="3">
        <v>22</v>
      </c>
      <c r="E2285" s="3">
        <v>21</v>
      </c>
      <c r="F2285" s="3">
        <v>20.170000000000002</v>
      </c>
      <c r="G2285" s="3">
        <v>0</v>
      </c>
      <c r="H2285" s="3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 s="3">
        <v>20</v>
      </c>
      <c r="N2285" s="3">
        <v>97.84</v>
      </c>
      <c r="O2285" s="12">
        <v>26.282051282051281</v>
      </c>
    </row>
    <row r="2286" spans="1:15" hidden="1" x14ac:dyDescent="0.25">
      <c r="A2286" s="10">
        <v>46072</v>
      </c>
      <c r="B2286" t="s">
        <v>53</v>
      </c>
      <c r="C2286" s="1" t="s">
        <v>48</v>
      </c>
      <c r="D2286" s="3">
        <v>30</v>
      </c>
      <c r="E2286" s="3">
        <v>29</v>
      </c>
      <c r="F2286" s="3">
        <v>24.09</v>
      </c>
      <c r="G2286" s="3">
        <v>0</v>
      </c>
      <c r="H2286" s="3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 s="3">
        <v>26</v>
      </c>
      <c r="N2286" s="3">
        <v>98.5</v>
      </c>
      <c r="O2286" s="12">
        <v>23.97769516728625</v>
      </c>
    </row>
    <row r="2287" spans="1:15" hidden="1" x14ac:dyDescent="0.25">
      <c r="A2287" s="10">
        <v>46106</v>
      </c>
      <c r="B2287" t="s">
        <v>22</v>
      </c>
      <c r="C2287" s="1" t="s">
        <v>23</v>
      </c>
      <c r="D2287" s="3">
        <v>22</v>
      </c>
      <c r="E2287" s="3">
        <v>21</v>
      </c>
      <c r="F2287" s="3">
        <v>23.42</v>
      </c>
      <c r="G2287" s="3">
        <v>0</v>
      </c>
      <c r="H2287" s="3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 s="3">
        <v>18</v>
      </c>
      <c r="N2287" s="3">
        <v>99.05</v>
      </c>
      <c r="O2287" s="12">
        <v>26.621923937360179</v>
      </c>
    </row>
    <row r="2288" spans="1:15" hidden="1" x14ac:dyDescent="0.25">
      <c r="A2288" s="10">
        <v>46072</v>
      </c>
      <c r="B2288" t="s">
        <v>54</v>
      </c>
      <c r="C2288" s="1" t="s">
        <v>48</v>
      </c>
      <c r="D2288" s="3">
        <v>23</v>
      </c>
      <c r="E2288" s="3">
        <v>22</v>
      </c>
      <c r="F2288" s="3">
        <v>32.130000000000003</v>
      </c>
      <c r="G2288" s="3">
        <v>0</v>
      </c>
      <c r="H2288" s="3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 s="3">
        <v>22</v>
      </c>
      <c r="N2288" s="3">
        <v>98.53</v>
      </c>
      <c r="O2288" s="12">
        <v>31.578947368421051</v>
      </c>
    </row>
    <row r="2289" spans="1:15" hidden="1" x14ac:dyDescent="0.25">
      <c r="A2289" s="10">
        <v>46072</v>
      </c>
      <c r="B2289" t="s">
        <v>37</v>
      </c>
      <c r="C2289" s="1" t="s">
        <v>32</v>
      </c>
      <c r="D2289" s="3">
        <v>31</v>
      </c>
      <c r="E2289" s="3">
        <v>31</v>
      </c>
      <c r="F2289" s="3">
        <v>23.47</v>
      </c>
      <c r="G2289" s="3">
        <v>0</v>
      </c>
      <c r="H2289" s="3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 s="3">
        <v>29</v>
      </c>
      <c r="N2289" s="3">
        <v>100</v>
      </c>
      <c r="O2289" s="12">
        <v>25.72214580467676</v>
      </c>
    </row>
    <row r="2290" spans="1:15" hidden="1" x14ac:dyDescent="0.25">
      <c r="A2290" s="10">
        <v>46072</v>
      </c>
      <c r="B2290" t="s">
        <v>38</v>
      </c>
      <c r="C2290" s="1" t="s">
        <v>32</v>
      </c>
      <c r="D2290" s="3">
        <v>2</v>
      </c>
      <c r="E2290" s="3">
        <v>2</v>
      </c>
      <c r="F2290" s="3">
        <v>25.15</v>
      </c>
      <c r="G2290" s="3">
        <v>0</v>
      </c>
      <c r="H2290" s="3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 s="3">
        <v>2</v>
      </c>
      <c r="N2290" s="3">
        <v>94.64</v>
      </c>
      <c r="O2290" s="12">
        <v>27.52941176470588</v>
      </c>
    </row>
    <row r="2291" spans="1:15" hidden="1" x14ac:dyDescent="0.25">
      <c r="A2291" s="10">
        <v>46072</v>
      </c>
      <c r="B2291" t="s">
        <v>55</v>
      </c>
      <c r="C2291" s="1" t="s">
        <v>48</v>
      </c>
      <c r="D2291" s="3">
        <v>19</v>
      </c>
      <c r="E2291" s="3">
        <v>14</v>
      </c>
      <c r="F2291" s="3">
        <v>15.17</v>
      </c>
      <c r="G2291" s="3">
        <v>0</v>
      </c>
      <c r="H2291" s="3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 s="3">
        <v>14</v>
      </c>
      <c r="N2291" s="3">
        <v>99.07</v>
      </c>
      <c r="O2291" s="12">
        <v>26.376811594202898</v>
      </c>
    </row>
    <row r="2292" spans="1:15" hidden="1" x14ac:dyDescent="0.25">
      <c r="A2292" s="10">
        <v>46072</v>
      </c>
      <c r="B2292" t="s">
        <v>39</v>
      </c>
      <c r="C2292" s="1" t="s">
        <v>32</v>
      </c>
      <c r="D2292" s="3">
        <v>0</v>
      </c>
      <c r="E2292" s="3">
        <v>0</v>
      </c>
      <c r="F2292" s="3">
        <v>0</v>
      </c>
      <c r="G2292" s="3">
        <v>0</v>
      </c>
      <c r="H2292" s="3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 s="3">
        <v>0</v>
      </c>
      <c r="N2292" s="3">
        <v>100</v>
      </c>
      <c r="O2292" s="12">
        <v>0</v>
      </c>
    </row>
    <row r="2293" spans="1:15" hidden="1" x14ac:dyDescent="0.25">
      <c r="A2293" s="10">
        <v>46072</v>
      </c>
      <c r="B2293" t="s">
        <v>25</v>
      </c>
      <c r="C2293" s="1" t="s">
        <v>26</v>
      </c>
      <c r="D2293" s="3">
        <v>17</v>
      </c>
      <c r="E2293" s="3">
        <v>15</v>
      </c>
      <c r="F2293" s="3">
        <v>35.44</v>
      </c>
      <c r="G2293" s="3">
        <v>0</v>
      </c>
      <c r="H2293" s="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 s="3">
        <v>13</v>
      </c>
      <c r="N2293" s="3">
        <v>98.48</v>
      </c>
      <c r="O2293" s="12">
        <v>27.853881278538811</v>
      </c>
    </row>
    <row r="2294" spans="1:15" hidden="1" x14ac:dyDescent="0.25">
      <c r="A2294" s="10">
        <v>46072</v>
      </c>
      <c r="B2294" t="s">
        <v>40</v>
      </c>
      <c r="C2294" s="1" t="s">
        <v>32</v>
      </c>
      <c r="D2294" s="3">
        <v>18</v>
      </c>
      <c r="E2294" s="3">
        <v>17</v>
      </c>
      <c r="F2294" s="3">
        <v>27.03</v>
      </c>
      <c r="G2294" s="3">
        <v>0</v>
      </c>
      <c r="H2294" s="3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 s="3">
        <v>17</v>
      </c>
      <c r="N2294" s="3">
        <v>95.15</v>
      </c>
      <c r="O2294" s="12">
        <v>34.131736526946113</v>
      </c>
    </row>
    <row r="2295" spans="1:15" hidden="1" x14ac:dyDescent="0.25">
      <c r="A2295" s="10">
        <v>46072</v>
      </c>
      <c r="B2295" t="s">
        <v>27</v>
      </c>
      <c r="C2295" s="1" t="s">
        <v>26</v>
      </c>
      <c r="D2295" s="3">
        <v>0</v>
      </c>
      <c r="E2295" s="3">
        <v>0</v>
      </c>
      <c r="F2295" s="3">
        <v>0</v>
      </c>
      <c r="G2295" s="3">
        <v>0</v>
      </c>
      <c r="H2295" s="3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 s="3">
        <v>0</v>
      </c>
      <c r="N2295" s="3">
        <v>0</v>
      </c>
      <c r="O2295" s="12">
        <v>0</v>
      </c>
    </row>
    <row r="2296" spans="1:15" hidden="1" x14ac:dyDescent="0.25">
      <c r="A2296" s="10">
        <v>46072</v>
      </c>
      <c r="B2296" t="s">
        <v>41</v>
      </c>
      <c r="C2296" s="1" t="s">
        <v>32</v>
      </c>
      <c r="D2296" s="3">
        <v>28</v>
      </c>
      <c r="E2296" s="3">
        <v>27</v>
      </c>
      <c r="F2296" s="3">
        <v>23.23</v>
      </c>
      <c r="G2296" s="3">
        <v>0</v>
      </c>
      <c r="H2296" s="3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 s="3">
        <v>21</v>
      </c>
      <c r="N2296" s="3">
        <v>99.26</v>
      </c>
      <c r="O2296" s="12">
        <v>30.84832904884319</v>
      </c>
    </row>
    <row r="2297" spans="1:15" hidden="1" x14ac:dyDescent="0.25">
      <c r="A2297" s="10">
        <v>46072</v>
      </c>
      <c r="B2297" t="s">
        <v>56</v>
      </c>
      <c r="C2297" s="1" t="s">
        <v>48</v>
      </c>
      <c r="D2297" s="3">
        <v>26</v>
      </c>
      <c r="E2297" s="3">
        <v>25</v>
      </c>
      <c r="F2297" s="3">
        <v>28.45</v>
      </c>
      <c r="G2297" s="3">
        <v>0</v>
      </c>
      <c r="H2297" s="3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 s="3">
        <v>20</v>
      </c>
      <c r="N2297" s="3">
        <v>97.48</v>
      </c>
      <c r="O2297" s="12">
        <v>27.764705882352938</v>
      </c>
    </row>
    <row r="2298" spans="1:15" hidden="1" x14ac:dyDescent="0.25">
      <c r="A2298" s="10">
        <v>46072</v>
      </c>
      <c r="B2298" t="s">
        <v>57</v>
      </c>
      <c r="C2298" s="1" t="s">
        <v>48</v>
      </c>
      <c r="D2298" s="3">
        <v>23</v>
      </c>
      <c r="E2298" s="3">
        <v>23</v>
      </c>
      <c r="F2298" s="3">
        <v>20.56</v>
      </c>
      <c r="G2298" s="3">
        <v>0</v>
      </c>
      <c r="H2298" s="3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 s="3">
        <v>19</v>
      </c>
      <c r="N2298" s="3">
        <v>99.34</v>
      </c>
      <c r="O2298" s="12">
        <v>30.04291845493562</v>
      </c>
    </row>
    <row r="2299" spans="1:15" hidden="1" x14ac:dyDescent="0.25">
      <c r="A2299" s="10">
        <v>46072</v>
      </c>
      <c r="B2299" t="s">
        <v>42</v>
      </c>
      <c r="C2299" s="1" t="s">
        <v>32</v>
      </c>
      <c r="D2299" s="3">
        <v>0</v>
      </c>
      <c r="E2299" s="3">
        <v>0</v>
      </c>
      <c r="F2299" s="3">
        <v>0</v>
      </c>
      <c r="G2299" s="3">
        <v>0</v>
      </c>
      <c r="H2299" s="3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 s="3">
        <v>0</v>
      </c>
      <c r="N2299" s="3">
        <v>96.3</v>
      </c>
      <c r="O2299" s="12">
        <v>24.29378531073446</v>
      </c>
    </row>
    <row r="2300" spans="1:15" hidden="1" x14ac:dyDescent="0.25">
      <c r="A2300" s="10">
        <v>46072</v>
      </c>
      <c r="B2300" t="s">
        <v>62</v>
      </c>
      <c r="C2300" s="1" t="s">
        <v>23</v>
      </c>
      <c r="D2300" s="3">
        <v>17</v>
      </c>
      <c r="E2300" s="3">
        <v>15</v>
      </c>
      <c r="F2300" s="3">
        <v>25.21</v>
      </c>
      <c r="G2300" s="3">
        <v>0</v>
      </c>
      <c r="H2300" s="3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 s="3">
        <v>15</v>
      </c>
      <c r="N2300" s="3">
        <v>100</v>
      </c>
      <c r="O2300" s="12">
        <v>26.543209876543209</v>
      </c>
    </row>
    <row r="2301" spans="1:15" hidden="1" x14ac:dyDescent="0.25">
      <c r="A2301" s="10">
        <v>46072</v>
      </c>
      <c r="B2301" t="s">
        <v>19</v>
      </c>
      <c r="C2301" s="1" t="s">
        <v>16</v>
      </c>
      <c r="D2301" s="3">
        <v>8</v>
      </c>
      <c r="E2301" s="3">
        <v>8</v>
      </c>
      <c r="F2301" s="3">
        <v>42.28</v>
      </c>
      <c r="G2301" s="3">
        <v>0</v>
      </c>
      <c r="H2301" s="3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 s="3">
        <v>6</v>
      </c>
      <c r="N2301" s="3">
        <v>100</v>
      </c>
      <c r="O2301" s="12">
        <v>35.483870967741943</v>
      </c>
    </row>
    <row r="2302" spans="1:15" hidden="1" x14ac:dyDescent="0.25">
      <c r="A2302" s="10">
        <v>46072</v>
      </c>
      <c r="B2302" t="s">
        <v>43</v>
      </c>
      <c r="C2302" s="1" t="s">
        <v>32</v>
      </c>
      <c r="D2302" s="3">
        <v>36</v>
      </c>
      <c r="E2302" s="3">
        <v>35</v>
      </c>
      <c r="F2302" s="3">
        <v>18.559999999999999</v>
      </c>
      <c r="G2302" s="3">
        <v>0</v>
      </c>
      <c r="H2302" s="3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 s="3">
        <v>33</v>
      </c>
      <c r="N2302" s="3">
        <v>99.27</v>
      </c>
      <c r="O2302" s="12">
        <v>31.163708086785011</v>
      </c>
    </row>
    <row r="2303" spans="1:15" hidden="1" x14ac:dyDescent="0.25">
      <c r="A2303" s="10">
        <v>46072</v>
      </c>
      <c r="B2303" t="s">
        <v>44</v>
      </c>
      <c r="C2303" s="1" t="s">
        <v>32</v>
      </c>
      <c r="D2303" s="3">
        <v>29</v>
      </c>
      <c r="E2303" s="3">
        <v>28</v>
      </c>
      <c r="F2303" s="3">
        <v>27.14</v>
      </c>
      <c r="G2303" s="3">
        <v>0</v>
      </c>
      <c r="H2303" s="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 s="3">
        <v>25</v>
      </c>
      <c r="N2303" s="3">
        <v>94.16</v>
      </c>
      <c r="O2303" s="12">
        <v>27.038626609442058</v>
      </c>
    </row>
    <row r="2304" spans="1:15" hidden="1" x14ac:dyDescent="0.25">
      <c r="A2304" s="10">
        <v>46072</v>
      </c>
      <c r="B2304" t="s">
        <v>20</v>
      </c>
      <c r="C2304" s="1" t="s">
        <v>16</v>
      </c>
      <c r="D2304" s="3">
        <v>8</v>
      </c>
      <c r="E2304" s="3">
        <v>7</v>
      </c>
      <c r="F2304" s="3">
        <v>63.32</v>
      </c>
      <c r="G2304" s="3">
        <v>0</v>
      </c>
      <c r="H2304" s="3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 s="3">
        <v>1</v>
      </c>
      <c r="N2304" s="3">
        <v>93.75</v>
      </c>
      <c r="O2304" s="12">
        <v>19.31818181818182</v>
      </c>
    </row>
    <row r="2305" spans="1:15" hidden="1" x14ac:dyDescent="0.25">
      <c r="A2305" s="10">
        <v>46072</v>
      </c>
      <c r="B2305" t="s">
        <v>28</v>
      </c>
      <c r="C2305" s="1" t="s">
        <v>26</v>
      </c>
      <c r="D2305" s="3">
        <v>0</v>
      </c>
      <c r="E2305" s="3">
        <v>0</v>
      </c>
      <c r="F2305" s="3">
        <v>0</v>
      </c>
      <c r="G2305" s="3">
        <v>0</v>
      </c>
      <c r="H2305" s="3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 s="3">
        <v>0</v>
      </c>
      <c r="N2305" s="3">
        <v>0</v>
      </c>
      <c r="O2305" s="12">
        <v>0</v>
      </c>
    </row>
    <row r="2306" spans="1:15" hidden="1" x14ac:dyDescent="0.25">
      <c r="A2306" s="10">
        <v>46072</v>
      </c>
      <c r="B2306" t="s">
        <v>58</v>
      </c>
      <c r="C2306" s="1" t="s">
        <v>48</v>
      </c>
      <c r="D2306" s="3">
        <v>0</v>
      </c>
      <c r="E2306" s="3">
        <v>0</v>
      </c>
      <c r="F2306" s="3">
        <v>0</v>
      </c>
      <c r="G2306" s="3">
        <v>0</v>
      </c>
      <c r="H2306" s="3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 s="3">
        <v>0</v>
      </c>
      <c r="N2306" s="3">
        <v>97.92</v>
      </c>
      <c r="O2306" s="12">
        <v>32.87671232876712</v>
      </c>
    </row>
    <row r="2307" spans="1:15" hidden="1" x14ac:dyDescent="0.25">
      <c r="A2307" s="10">
        <v>46072</v>
      </c>
      <c r="B2307" t="s">
        <v>29</v>
      </c>
      <c r="C2307" s="1" t="s">
        <v>26</v>
      </c>
      <c r="D2307" s="3">
        <v>0</v>
      </c>
      <c r="E2307" s="3">
        <v>0</v>
      </c>
      <c r="F2307" s="3">
        <v>0</v>
      </c>
      <c r="G2307" s="3">
        <v>0</v>
      </c>
      <c r="H2307" s="3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 s="3">
        <v>0</v>
      </c>
      <c r="N2307" s="3">
        <v>0</v>
      </c>
      <c r="O2307" s="12">
        <v>0</v>
      </c>
    </row>
    <row r="2308" spans="1:15" hidden="1" x14ac:dyDescent="0.25">
      <c r="A2308" s="10">
        <v>46072</v>
      </c>
      <c r="B2308" t="s">
        <v>30</v>
      </c>
      <c r="C2308" s="1" t="s">
        <v>26</v>
      </c>
      <c r="D2308" s="3">
        <v>0</v>
      </c>
      <c r="E2308" s="3">
        <v>0</v>
      </c>
      <c r="F2308" s="3">
        <v>0</v>
      </c>
      <c r="G2308" s="3">
        <v>0</v>
      </c>
      <c r="H2308" s="3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 s="3">
        <v>0</v>
      </c>
      <c r="N2308" s="3">
        <v>0</v>
      </c>
      <c r="O2308" s="12">
        <v>0</v>
      </c>
    </row>
    <row r="2309" spans="1:15" hidden="1" x14ac:dyDescent="0.25">
      <c r="A2309" s="10">
        <v>46072</v>
      </c>
      <c r="B2309" t="s">
        <v>21</v>
      </c>
      <c r="C2309" s="1" t="s">
        <v>16</v>
      </c>
      <c r="D2309" s="3">
        <v>0</v>
      </c>
      <c r="E2309" s="3">
        <v>0</v>
      </c>
      <c r="F2309" s="3">
        <v>0</v>
      </c>
      <c r="G2309" s="3">
        <v>0</v>
      </c>
      <c r="H2309" s="3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 s="3">
        <v>0</v>
      </c>
      <c r="N2309" s="3">
        <v>0</v>
      </c>
      <c r="O2309" s="12">
        <v>0</v>
      </c>
    </row>
    <row r="2310" spans="1:15" hidden="1" x14ac:dyDescent="0.25">
      <c r="A2310" s="10">
        <v>46072</v>
      </c>
      <c r="B2310" t="s">
        <v>63</v>
      </c>
      <c r="C2310" s="1" t="s">
        <v>23</v>
      </c>
      <c r="D2310" s="3">
        <v>21</v>
      </c>
      <c r="E2310" s="3">
        <v>21</v>
      </c>
      <c r="F2310" s="3">
        <v>28.24</v>
      </c>
      <c r="G2310" s="3">
        <v>0</v>
      </c>
      <c r="H2310" s="3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 s="3">
        <v>18</v>
      </c>
      <c r="N2310" s="3">
        <v>98.51</v>
      </c>
      <c r="O2310" s="12">
        <v>29.710144927536231</v>
      </c>
    </row>
    <row r="2311" spans="1:15" hidden="1" x14ac:dyDescent="0.25">
      <c r="A2311" s="10">
        <v>46072</v>
      </c>
      <c r="B2311" t="s">
        <v>45</v>
      </c>
      <c r="C2311" s="1" t="s">
        <v>32</v>
      </c>
      <c r="D2311" s="3">
        <v>29</v>
      </c>
      <c r="E2311" s="3">
        <v>26</v>
      </c>
      <c r="F2311" s="3">
        <v>20.16</v>
      </c>
      <c r="G2311" s="3">
        <v>0</v>
      </c>
      <c r="H2311" s="3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 s="3">
        <v>27</v>
      </c>
      <c r="N2311" s="3">
        <v>98.81</v>
      </c>
      <c r="O2311" s="12">
        <v>30.712979890310791</v>
      </c>
    </row>
    <row r="2312" spans="1:15" hidden="1" x14ac:dyDescent="0.25">
      <c r="A2312" s="10">
        <v>46072</v>
      </c>
      <c r="B2312" t="s">
        <v>64</v>
      </c>
      <c r="C2312" s="1" t="s">
        <v>23</v>
      </c>
      <c r="D2312" s="3">
        <v>12</v>
      </c>
      <c r="E2312" s="3">
        <v>12</v>
      </c>
      <c r="F2312" s="3">
        <v>48.38</v>
      </c>
      <c r="G2312" s="3">
        <v>0</v>
      </c>
      <c r="H2312" s="3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 s="3">
        <v>11</v>
      </c>
      <c r="N2312" s="3">
        <v>98.48</v>
      </c>
      <c r="O2312" s="12">
        <v>29.35323383084577</v>
      </c>
    </row>
    <row r="2313" spans="1:15" hidden="1" x14ac:dyDescent="0.25">
      <c r="A2313" s="10">
        <v>46072</v>
      </c>
      <c r="B2313" t="s">
        <v>46</v>
      </c>
      <c r="C2313" s="1" t="s">
        <v>32</v>
      </c>
      <c r="D2313" s="3">
        <v>36</v>
      </c>
      <c r="E2313" s="3">
        <v>33</v>
      </c>
      <c r="F2313" s="3">
        <v>17.29</v>
      </c>
      <c r="G2313" s="3">
        <v>0</v>
      </c>
      <c r="H2313" s="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 s="3">
        <v>27</v>
      </c>
      <c r="N2313" s="3">
        <v>98.56</v>
      </c>
      <c r="O2313" s="12">
        <v>29.373650107991359</v>
      </c>
    </row>
    <row r="2314" spans="1:15" hidden="1" x14ac:dyDescent="0.25">
      <c r="A2314" s="10">
        <v>46073</v>
      </c>
      <c r="B2314" t="s">
        <v>47</v>
      </c>
      <c r="C2314" s="1" t="s">
        <v>48</v>
      </c>
      <c r="D2314" s="3">
        <v>20</v>
      </c>
      <c r="E2314" s="3">
        <v>18</v>
      </c>
      <c r="F2314" s="3">
        <v>33.270000000000003</v>
      </c>
      <c r="G2314" s="3">
        <v>0</v>
      </c>
      <c r="H2314" s="3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 s="3">
        <v>18</v>
      </c>
      <c r="N2314" s="3">
        <v>98.32</v>
      </c>
      <c r="O2314" s="12">
        <v>30.303030303030301</v>
      </c>
    </row>
    <row r="2315" spans="1:15" hidden="1" x14ac:dyDescent="0.25">
      <c r="A2315" s="10">
        <v>46073</v>
      </c>
      <c r="B2315" t="s">
        <v>31</v>
      </c>
      <c r="C2315" s="1" t="s">
        <v>32</v>
      </c>
      <c r="D2315" s="3">
        <v>0</v>
      </c>
      <c r="E2315" s="3">
        <v>0</v>
      </c>
      <c r="F2315" s="3">
        <v>0</v>
      </c>
      <c r="G2315" s="3">
        <v>0</v>
      </c>
      <c r="H2315" s="3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 s="3">
        <v>25</v>
      </c>
      <c r="N2315" s="3">
        <v>98.68</v>
      </c>
      <c r="O2315" s="12">
        <v>26.219512195121951</v>
      </c>
    </row>
    <row r="2316" spans="1:15" hidden="1" x14ac:dyDescent="0.25">
      <c r="A2316" s="10">
        <v>46073</v>
      </c>
      <c r="B2316" t="s">
        <v>59</v>
      </c>
      <c r="C2316" s="1" t="s">
        <v>23</v>
      </c>
      <c r="D2316" s="3">
        <v>20</v>
      </c>
      <c r="E2316" s="3">
        <v>19</v>
      </c>
      <c r="F2316" s="3">
        <v>28.28</v>
      </c>
      <c r="G2316" s="3">
        <v>0</v>
      </c>
      <c r="H2316" s="3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 s="3">
        <v>18</v>
      </c>
      <c r="N2316" s="3">
        <v>100</v>
      </c>
      <c r="O2316" s="12">
        <v>31.74224343675418</v>
      </c>
    </row>
    <row r="2317" spans="1:15" hidden="1" x14ac:dyDescent="0.25">
      <c r="A2317" s="10">
        <v>46073</v>
      </c>
      <c r="B2317" t="s">
        <v>33</v>
      </c>
      <c r="C2317" s="1" t="s">
        <v>32</v>
      </c>
      <c r="D2317" s="3">
        <v>33</v>
      </c>
      <c r="E2317" s="3">
        <v>31</v>
      </c>
      <c r="F2317" s="3">
        <v>25.14</v>
      </c>
      <c r="G2317" s="3">
        <v>0</v>
      </c>
      <c r="H2317" s="3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 s="3">
        <v>28</v>
      </c>
      <c r="N2317" s="3">
        <v>98.25</v>
      </c>
      <c r="O2317" s="12">
        <v>25.83518930957684</v>
      </c>
    </row>
    <row r="2318" spans="1:15" hidden="1" x14ac:dyDescent="0.25">
      <c r="A2318" s="10">
        <v>46073</v>
      </c>
      <c r="B2318" t="s">
        <v>15</v>
      </c>
      <c r="C2318" s="1" t="s">
        <v>16</v>
      </c>
      <c r="D2318" s="3">
        <v>11</v>
      </c>
      <c r="E2318" s="3">
        <v>11</v>
      </c>
      <c r="F2318" s="3">
        <v>28.53</v>
      </c>
      <c r="G2318" s="3">
        <v>0</v>
      </c>
      <c r="H2318" s="3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 s="3">
        <v>9</v>
      </c>
      <c r="N2318" s="3">
        <v>97.5</v>
      </c>
      <c r="O2318" s="12">
        <v>30.075187969924809</v>
      </c>
    </row>
    <row r="2319" spans="1:15" hidden="1" x14ac:dyDescent="0.25">
      <c r="A2319" s="10">
        <v>46073</v>
      </c>
      <c r="B2319" t="s">
        <v>49</v>
      </c>
      <c r="C2319" s="1" t="s">
        <v>48</v>
      </c>
      <c r="D2319" s="3">
        <v>34</v>
      </c>
      <c r="E2319" s="3">
        <v>29</v>
      </c>
      <c r="F2319" s="3">
        <v>15.39</v>
      </c>
      <c r="G2319" s="3">
        <v>0</v>
      </c>
      <c r="H2319" s="3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 s="3">
        <v>29</v>
      </c>
      <c r="N2319" s="3">
        <v>100</v>
      </c>
      <c r="O2319" s="12">
        <v>29.71311475409836</v>
      </c>
    </row>
    <row r="2320" spans="1:15" hidden="1" x14ac:dyDescent="0.25">
      <c r="A2320" s="10">
        <v>46073</v>
      </c>
      <c r="B2320" t="s">
        <v>50</v>
      </c>
      <c r="C2320" s="1" t="s">
        <v>48</v>
      </c>
      <c r="D2320" s="3">
        <v>17</v>
      </c>
      <c r="E2320" s="3">
        <v>16</v>
      </c>
      <c r="F2320" s="3">
        <v>37.270000000000003</v>
      </c>
      <c r="G2320" s="3">
        <v>0</v>
      </c>
      <c r="H2320" s="3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 s="3">
        <v>19</v>
      </c>
      <c r="N2320" s="3">
        <v>99.22</v>
      </c>
      <c r="O2320" s="12">
        <v>35.256410256410263</v>
      </c>
    </row>
    <row r="2321" spans="1:15" hidden="1" x14ac:dyDescent="0.25">
      <c r="A2321" s="10">
        <v>46073</v>
      </c>
      <c r="B2321" t="s">
        <v>17</v>
      </c>
      <c r="C2321" s="1" t="s">
        <v>16</v>
      </c>
      <c r="D2321" s="3">
        <v>0</v>
      </c>
      <c r="E2321" s="3">
        <v>0</v>
      </c>
      <c r="F2321" s="3">
        <v>0</v>
      </c>
      <c r="G2321" s="3">
        <v>0</v>
      </c>
      <c r="H2321" s="3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 s="3">
        <v>0</v>
      </c>
      <c r="N2321" s="3">
        <v>0</v>
      </c>
      <c r="O2321" s="12">
        <v>0</v>
      </c>
    </row>
    <row r="2322" spans="1:15" hidden="1" x14ac:dyDescent="0.25">
      <c r="A2322" s="10">
        <v>46073</v>
      </c>
      <c r="B2322" t="s">
        <v>60</v>
      </c>
      <c r="C2322" s="1" t="s">
        <v>23</v>
      </c>
      <c r="D2322" s="3">
        <v>18</v>
      </c>
      <c r="E2322" s="3">
        <v>18</v>
      </c>
      <c r="F2322" s="3">
        <v>38.42</v>
      </c>
      <c r="G2322" s="3">
        <v>0</v>
      </c>
      <c r="H2322" s="3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 s="3">
        <v>18</v>
      </c>
      <c r="N2322" s="3">
        <v>98.75</v>
      </c>
      <c r="O2322" s="12">
        <v>24.32432432432433</v>
      </c>
    </row>
    <row r="2323" spans="1:15" hidden="1" x14ac:dyDescent="0.25">
      <c r="A2323" s="10">
        <v>46073</v>
      </c>
      <c r="B2323" t="s">
        <v>34</v>
      </c>
      <c r="C2323" s="1" t="s">
        <v>32</v>
      </c>
      <c r="D2323" s="3">
        <v>39</v>
      </c>
      <c r="E2323" s="3">
        <v>34</v>
      </c>
      <c r="F2323" s="3">
        <v>15.08</v>
      </c>
      <c r="G2323" s="3">
        <v>0</v>
      </c>
      <c r="H2323" s="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 s="3">
        <v>30</v>
      </c>
      <c r="N2323" s="3">
        <v>93.48</v>
      </c>
      <c r="O2323" s="12">
        <v>31.52804642166344</v>
      </c>
    </row>
    <row r="2324" spans="1:15" hidden="1" x14ac:dyDescent="0.25">
      <c r="A2324" s="10">
        <v>46073</v>
      </c>
      <c r="B2324" t="s">
        <v>51</v>
      </c>
      <c r="C2324" s="1" t="s">
        <v>48</v>
      </c>
      <c r="D2324" s="3">
        <v>30</v>
      </c>
      <c r="E2324" s="3">
        <v>26</v>
      </c>
      <c r="F2324" s="3">
        <v>21.54</v>
      </c>
      <c r="G2324" s="3">
        <v>0</v>
      </c>
      <c r="H2324" s="3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 s="3">
        <v>24</v>
      </c>
      <c r="N2324" s="3">
        <v>99.16</v>
      </c>
      <c r="O2324" s="12">
        <v>26.13908872901678</v>
      </c>
    </row>
    <row r="2325" spans="1:15" hidden="1" x14ac:dyDescent="0.25">
      <c r="A2325" s="10">
        <v>46073</v>
      </c>
      <c r="B2325" t="s">
        <v>61</v>
      </c>
      <c r="C2325" s="1" t="s">
        <v>23</v>
      </c>
      <c r="D2325" s="3">
        <v>21</v>
      </c>
      <c r="E2325" s="3">
        <v>21</v>
      </c>
      <c r="F2325" s="3">
        <v>27.19</v>
      </c>
      <c r="G2325" s="3">
        <v>0</v>
      </c>
      <c r="H2325" s="3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 s="3">
        <v>12</v>
      </c>
      <c r="N2325" s="3">
        <v>100</v>
      </c>
      <c r="O2325" s="12">
        <v>31.089743589743591</v>
      </c>
    </row>
    <row r="2326" spans="1:15" hidden="1" x14ac:dyDescent="0.25">
      <c r="A2326" s="10">
        <v>46073</v>
      </c>
      <c r="B2326" t="s">
        <v>35</v>
      </c>
      <c r="C2326" s="1" t="s">
        <v>32</v>
      </c>
      <c r="D2326" s="3">
        <v>16</v>
      </c>
      <c r="E2326" s="3">
        <v>16</v>
      </c>
      <c r="F2326" s="3">
        <v>45.29</v>
      </c>
      <c r="G2326" s="3">
        <v>0</v>
      </c>
      <c r="H2326" s="3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 s="3">
        <v>16</v>
      </c>
      <c r="N2326" s="3">
        <v>98.11</v>
      </c>
      <c r="O2326" s="12">
        <v>33.033707865168537</v>
      </c>
    </row>
    <row r="2327" spans="1:15" hidden="1" x14ac:dyDescent="0.25">
      <c r="A2327" s="10">
        <v>46073</v>
      </c>
      <c r="B2327" t="s">
        <v>18</v>
      </c>
      <c r="C2327" s="1" t="s">
        <v>16</v>
      </c>
      <c r="D2327" s="3">
        <v>7</v>
      </c>
      <c r="E2327" s="3">
        <v>7</v>
      </c>
      <c r="F2327" s="3">
        <v>47.2</v>
      </c>
      <c r="G2327" s="3">
        <v>0</v>
      </c>
      <c r="H2327" s="3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 s="3">
        <v>0</v>
      </c>
      <c r="N2327" s="3">
        <v>78.95</v>
      </c>
      <c r="O2327" s="12">
        <v>38.983050847457633</v>
      </c>
    </row>
    <row r="2328" spans="1:15" hidden="1" x14ac:dyDescent="0.25">
      <c r="A2328" s="10">
        <v>46073</v>
      </c>
      <c r="B2328" t="s">
        <v>52</v>
      </c>
      <c r="C2328" s="1" t="s">
        <v>48</v>
      </c>
      <c r="D2328" s="3">
        <v>20</v>
      </c>
      <c r="E2328" s="3">
        <v>19</v>
      </c>
      <c r="F2328" s="3">
        <v>32.340000000000003</v>
      </c>
      <c r="G2328" s="3">
        <v>0</v>
      </c>
      <c r="H2328" s="3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 s="3">
        <v>17</v>
      </c>
      <c r="N2328" s="3">
        <v>98.45</v>
      </c>
      <c r="O2328" s="12">
        <v>29.281767955801101</v>
      </c>
    </row>
    <row r="2329" spans="1:15" hidden="1" x14ac:dyDescent="0.25">
      <c r="A2329" s="10">
        <v>46073</v>
      </c>
      <c r="B2329" t="s">
        <v>36</v>
      </c>
      <c r="C2329" s="1" t="s">
        <v>32</v>
      </c>
      <c r="D2329" s="3">
        <v>22</v>
      </c>
      <c r="E2329" s="3">
        <v>22</v>
      </c>
      <c r="F2329" s="3">
        <v>29.11</v>
      </c>
      <c r="G2329" s="3">
        <v>0</v>
      </c>
      <c r="H2329" s="3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 s="3">
        <v>22</v>
      </c>
      <c r="N2329" s="3">
        <v>97.84</v>
      </c>
      <c r="O2329" s="12">
        <v>26.282051282051281</v>
      </c>
    </row>
    <row r="2330" spans="1:15" hidden="1" x14ac:dyDescent="0.25">
      <c r="A2330" s="10">
        <v>46073</v>
      </c>
      <c r="B2330" t="s">
        <v>53</v>
      </c>
      <c r="C2330" s="1" t="s">
        <v>48</v>
      </c>
      <c r="D2330" s="3">
        <v>31</v>
      </c>
      <c r="E2330" s="3">
        <v>29</v>
      </c>
      <c r="F2330" s="3">
        <v>16.559999999999999</v>
      </c>
      <c r="G2330" s="3">
        <v>0</v>
      </c>
      <c r="H2330" s="3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 s="3">
        <v>29</v>
      </c>
      <c r="N2330" s="3">
        <v>98.5</v>
      </c>
      <c r="O2330" s="12">
        <v>23.97769516728625</v>
      </c>
    </row>
    <row r="2331" spans="1:15" hidden="1" x14ac:dyDescent="0.25">
      <c r="A2331" s="10">
        <v>46107</v>
      </c>
      <c r="B2331" t="s">
        <v>22</v>
      </c>
      <c r="C2331" s="1" t="s">
        <v>23</v>
      </c>
      <c r="D2331" s="3">
        <v>29</v>
      </c>
      <c r="E2331" s="3">
        <v>27</v>
      </c>
      <c r="F2331" s="3">
        <v>22.14</v>
      </c>
      <c r="G2331" s="3">
        <v>0</v>
      </c>
      <c r="H2331" s="3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 s="3">
        <v>25</v>
      </c>
      <c r="N2331" s="3">
        <v>99.05</v>
      </c>
      <c r="O2331" s="12">
        <v>26.621923937360179</v>
      </c>
    </row>
    <row r="2332" spans="1:15" hidden="1" x14ac:dyDescent="0.25">
      <c r="A2332" s="10">
        <v>46073</v>
      </c>
      <c r="B2332" t="s">
        <v>54</v>
      </c>
      <c r="C2332" s="1" t="s">
        <v>48</v>
      </c>
      <c r="D2332" s="3">
        <v>29</v>
      </c>
      <c r="E2332" s="3">
        <v>28</v>
      </c>
      <c r="F2332" s="3">
        <v>25.19</v>
      </c>
      <c r="G2332" s="3">
        <v>0</v>
      </c>
      <c r="H2332" s="3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 s="3">
        <v>22</v>
      </c>
      <c r="N2332" s="3">
        <v>98.53</v>
      </c>
      <c r="O2332" s="12">
        <v>31.578947368421051</v>
      </c>
    </row>
    <row r="2333" spans="1:15" hidden="1" x14ac:dyDescent="0.25">
      <c r="A2333" s="10">
        <v>46073</v>
      </c>
      <c r="B2333" t="s">
        <v>37</v>
      </c>
      <c r="C2333" s="1" t="s">
        <v>32</v>
      </c>
      <c r="D2333" s="3">
        <v>31</v>
      </c>
      <c r="E2333" s="3">
        <v>30</v>
      </c>
      <c r="F2333" s="3">
        <v>25.38</v>
      </c>
      <c r="G2333" s="3">
        <v>0</v>
      </c>
      <c r="H2333" s="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 s="3">
        <v>30</v>
      </c>
      <c r="N2333" s="3">
        <v>100</v>
      </c>
      <c r="O2333" s="12">
        <v>25.72214580467676</v>
      </c>
    </row>
    <row r="2334" spans="1:15" hidden="1" x14ac:dyDescent="0.25">
      <c r="A2334" s="10">
        <v>46073</v>
      </c>
      <c r="B2334" t="s">
        <v>38</v>
      </c>
      <c r="C2334" s="1" t="s">
        <v>32</v>
      </c>
      <c r="D2334" s="3">
        <v>26</v>
      </c>
      <c r="E2334" s="3">
        <v>24</v>
      </c>
      <c r="F2334" s="3">
        <v>17.12</v>
      </c>
      <c r="G2334" s="3">
        <v>0</v>
      </c>
      <c r="H2334" s="3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 s="3">
        <v>23</v>
      </c>
      <c r="N2334" s="3">
        <v>94.64</v>
      </c>
      <c r="O2334" s="12">
        <v>27.52941176470588</v>
      </c>
    </row>
    <row r="2335" spans="1:15" hidden="1" x14ac:dyDescent="0.25">
      <c r="A2335" s="10">
        <v>46073</v>
      </c>
      <c r="B2335" t="s">
        <v>55</v>
      </c>
      <c r="C2335" s="1" t="s">
        <v>48</v>
      </c>
      <c r="D2335" s="3">
        <v>29</v>
      </c>
      <c r="E2335" s="3">
        <v>20</v>
      </c>
      <c r="F2335" s="3">
        <v>21.56</v>
      </c>
      <c r="G2335" s="3">
        <v>0</v>
      </c>
      <c r="H2335" s="3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 s="3">
        <v>15</v>
      </c>
      <c r="N2335" s="3">
        <v>99.07</v>
      </c>
      <c r="O2335" s="12">
        <v>26.376811594202898</v>
      </c>
    </row>
    <row r="2336" spans="1:15" hidden="1" x14ac:dyDescent="0.25">
      <c r="A2336" s="10">
        <v>46073</v>
      </c>
      <c r="B2336" t="s">
        <v>39</v>
      </c>
      <c r="C2336" s="1" t="s">
        <v>32</v>
      </c>
      <c r="D2336" s="3">
        <v>0</v>
      </c>
      <c r="E2336" s="3">
        <v>0</v>
      </c>
      <c r="F2336" s="3">
        <v>0</v>
      </c>
      <c r="G2336" s="3">
        <v>0</v>
      </c>
      <c r="H2336" s="3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 s="3">
        <v>0</v>
      </c>
      <c r="N2336" s="3">
        <v>100</v>
      </c>
      <c r="O2336" s="12">
        <v>0</v>
      </c>
    </row>
    <row r="2337" spans="1:15" hidden="1" x14ac:dyDescent="0.25">
      <c r="A2337" s="10">
        <v>46073</v>
      </c>
      <c r="B2337" t="s">
        <v>25</v>
      </c>
      <c r="C2337" s="1" t="s">
        <v>26</v>
      </c>
      <c r="D2337" s="3">
        <v>19</v>
      </c>
      <c r="E2337" s="3">
        <v>18</v>
      </c>
      <c r="F2337" s="3">
        <v>28.27</v>
      </c>
      <c r="G2337" s="3">
        <v>0</v>
      </c>
      <c r="H2337" s="3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 s="3">
        <v>17</v>
      </c>
      <c r="N2337" s="3">
        <v>98.48</v>
      </c>
      <c r="O2337" s="12">
        <v>27.853881278538811</v>
      </c>
    </row>
    <row r="2338" spans="1:15" hidden="1" x14ac:dyDescent="0.25">
      <c r="A2338" s="10">
        <v>46073</v>
      </c>
      <c r="B2338" t="s">
        <v>40</v>
      </c>
      <c r="C2338" s="1" t="s">
        <v>32</v>
      </c>
      <c r="D2338" s="3">
        <v>20</v>
      </c>
      <c r="E2338" s="3">
        <v>19</v>
      </c>
      <c r="F2338" s="3">
        <v>25.12</v>
      </c>
      <c r="G2338" s="3">
        <v>0</v>
      </c>
      <c r="H2338" s="3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 s="3">
        <v>18</v>
      </c>
      <c r="N2338" s="3">
        <v>95.15</v>
      </c>
      <c r="O2338" s="12">
        <v>34.131736526946113</v>
      </c>
    </row>
    <row r="2339" spans="1:15" hidden="1" x14ac:dyDescent="0.25">
      <c r="A2339" s="10">
        <v>46073</v>
      </c>
      <c r="B2339" t="s">
        <v>27</v>
      </c>
      <c r="C2339" s="1" t="s">
        <v>26</v>
      </c>
      <c r="D2339" s="3">
        <v>0</v>
      </c>
      <c r="E2339" s="3">
        <v>0</v>
      </c>
      <c r="F2339" s="3">
        <v>0</v>
      </c>
      <c r="G2339" s="3">
        <v>0</v>
      </c>
      <c r="H2339" s="3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 s="3">
        <v>0</v>
      </c>
      <c r="N2339" s="3">
        <v>0</v>
      </c>
      <c r="O2339" s="12">
        <v>0</v>
      </c>
    </row>
    <row r="2340" spans="1:15" hidden="1" x14ac:dyDescent="0.25">
      <c r="A2340" s="10">
        <v>46073</v>
      </c>
      <c r="B2340" t="s">
        <v>41</v>
      </c>
      <c r="C2340" s="1" t="s">
        <v>32</v>
      </c>
      <c r="D2340" s="3">
        <v>29</v>
      </c>
      <c r="E2340" s="3">
        <v>28</v>
      </c>
      <c r="F2340" s="3">
        <v>21.56</v>
      </c>
      <c r="G2340" s="3">
        <v>0</v>
      </c>
      <c r="H2340" s="3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 s="3">
        <v>28</v>
      </c>
      <c r="N2340" s="3">
        <v>99.26</v>
      </c>
      <c r="O2340" s="12">
        <v>30.84832904884319</v>
      </c>
    </row>
    <row r="2341" spans="1:15" hidden="1" x14ac:dyDescent="0.25">
      <c r="A2341" s="10">
        <v>46073</v>
      </c>
      <c r="B2341" t="s">
        <v>56</v>
      </c>
      <c r="C2341" s="1" t="s">
        <v>48</v>
      </c>
      <c r="D2341" s="3">
        <v>31</v>
      </c>
      <c r="E2341" s="3">
        <v>27</v>
      </c>
      <c r="F2341" s="3">
        <v>24.05</v>
      </c>
      <c r="G2341" s="3">
        <v>0</v>
      </c>
      <c r="H2341" s="3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 s="3">
        <v>20</v>
      </c>
      <c r="N2341" s="3">
        <v>97.48</v>
      </c>
      <c r="O2341" s="12">
        <v>27.764705882352938</v>
      </c>
    </row>
    <row r="2342" spans="1:15" hidden="1" x14ac:dyDescent="0.25">
      <c r="A2342" s="10">
        <v>46073</v>
      </c>
      <c r="B2342" t="s">
        <v>57</v>
      </c>
      <c r="C2342" s="1" t="s">
        <v>48</v>
      </c>
      <c r="D2342" s="3">
        <v>29</v>
      </c>
      <c r="E2342" s="3">
        <v>26</v>
      </c>
      <c r="F2342" s="3">
        <v>22.26</v>
      </c>
      <c r="G2342" s="3">
        <v>0</v>
      </c>
      <c r="H2342" s="3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 s="3">
        <v>25</v>
      </c>
      <c r="N2342" s="3">
        <v>99.34</v>
      </c>
      <c r="O2342" s="12">
        <v>30.04291845493562</v>
      </c>
    </row>
    <row r="2343" spans="1:15" hidden="1" x14ac:dyDescent="0.25">
      <c r="A2343" s="10">
        <v>46073</v>
      </c>
      <c r="B2343" t="s">
        <v>42</v>
      </c>
      <c r="C2343" s="1" t="s">
        <v>32</v>
      </c>
      <c r="D2343" s="3">
        <v>0</v>
      </c>
      <c r="E2343" s="3">
        <v>0</v>
      </c>
      <c r="F2343" s="3">
        <v>0</v>
      </c>
      <c r="G2343" s="3">
        <v>0</v>
      </c>
      <c r="H2343" s="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 s="3">
        <v>0</v>
      </c>
      <c r="N2343" s="3">
        <v>96.3</v>
      </c>
      <c r="O2343" s="12">
        <v>24.29378531073446</v>
      </c>
    </row>
    <row r="2344" spans="1:15" hidden="1" x14ac:dyDescent="0.25">
      <c r="A2344" s="10">
        <v>46073</v>
      </c>
      <c r="B2344" t="s">
        <v>62</v>
      </c>
      <c r="C2344" s="1" t="s">
        <v>23</v>
      </c>
      <c r="D2344" s="3">
        <v>10</v>
      </c>
      <c r="E2344" s="3">
        <v>9</v>
      </c>
      <c r="F2344" s="3">
        <v>38.54</v>
      </c>
      <c r="G2344" s="3">
        <v>0</v>
      </c>
      <c r="H2344" s="3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 s="3">
        <v>8</v>
      </c>
      <c r="N2344" s="3">
        <v>100</v>
      </c>
      <c r="O2344" s="12">
        <v>26.543209876543209</v>
      </c>
    </row>
    <row r="2345" spans="1:15" hidden="1" x14ac:dyDescent="0.25">
      <c r="A2345" s="10">
        <v>46073</v>
      </c>
      <c r="B2345" t="s">
        <v>19</v>
      </c>
      <c r="C2345" s="1" t="s">
        <v>16</v>
      </c>
      <c r="D2345" s="3">
        <v>4</v>
      </c>
      <c r="E2345" s="3">
        <v>4</v>
      </c>
      <c r="F2345" s="3">
        <v>99.13</v>
      </c>
      <c r="G2345" s="3">
        <v>0</v>
      </c>
      <c r="H2345" s="3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 s="3">
        <v>5</v>
      </c>
      <c r="N2345" s="3">
        <v>100</v>
      </c>
      <c r="O2345" s="12">
        <v>35.483870967741943</v>
      </c>
    </row>
    <row r="2346" spans="1:15" hidden="1" x14ac:dyDescent="0.25">
      <c r="A2346" s="10">
        <v>46073</v>
      </c>
      <c r="B2346" t="s">
        <v>43</v>
      </c>
      <c r="C2346" s="1" t="s">
        <v>32</v>
      </c>
      <c r="D2346" s="3">
        <v>23</v>
      </c>
      <c r="E2346" s="3">
        <v>22</v>
      </c>
      <c r="F2346" s="3">
        <v>32.11</v>
      </c>
      <c r="G2346" s="3">
        <v>0</v>
      </c>
      <c r="H2346" s="3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 s="3">
        <v>21</v>
      </c>
      <c r="N2346" s="3">
        <v>99.27</v>
      </c>
      <c r="O2346" s="12">
        <v>31.163708086785011</v>
      </c>
    </row>
    <row r="2347" spans="1:15" hidden="1" x14ac:dyDescent="0.25">
      <c r="A2347" s="10">
        <v>46073</v>
      </c>
      <c r="B2347" t="s">
        <v>44</v>
      </c>
      <c r="C2347" s="1" t="s">
        <v>32</v>
      </c>
      <c r="D2347" s="3">
        <v>24</v>
      </c>
      <c r="E2347" s="3">
        <v>23</v>
      </c>
      <c r="F2347" s="3">
        <v>23.25</v>
      </c>
      <c r="G2347" s="3">
        <v>0</v>
      </c>
      <c r="H2347" s="3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 s="3">
        <v>21</v>
      </c>
      <c r="N2347" s="3">
        <v>94.16</v>
      </c>
      <c r="O2347" s="12">
        <v>27.038626609442058</v>
      </c>
    </row>
    <row r="2348" spans="1:15" hidden="1" x14ac:dyDescent="0.25">
      <c r="A2348" s="10">
        <v>46073</v>
      </c>
      <c r="B2348" t="s">
        <v>20</v>
      </c>
      <c r="C2348" s="1" t="s">
        <v>16</v>
      </c>
      <c r="D2348" s="3">
        <v>8</v>
      </c>
      <c r="E2348" s="3">
        <v>7</v>
      </c>
      <c r="F2348" s="3">
        <v>40.15</v>
      </c>
      <c r="G2348" s="3">
        <v>0</v>
      </c>
      <c r="H2348" s="3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 s="3">
        <v>6</v>
      </c>
      <c r="N2348" s="3">
        <v>93.75</v>
      </c>
      <c r="O2348" s="12">
        <v>19.31818181818182</v>
      </c>
    </row>
    <row r="2349" spans="1:15" hidden="1" x14ac:dyDescent="0.25">
      <c r="A2349" s="10">
        <v>46073</v>
      </c>
      <c r="B2349" t="s">
        <v>28</v>
      </c>
      <c r="C2349" s="1" t="s">
        <v>26</v>
      </c>
      <c r="D2349" s="3">
        <v>0</v>
      </c>
      <c r="E2349" s="3">
        <v>0</v>
      </c>
      <c r="F2349" s="3">
        <v>0</v>
      </c>
      <c r="G2349" s="3">
        <v>0</v>
      </c>
      <c r="H2349" s="3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 s="3">
        <v>0</v>
      </c>
      <c r="N2349" s="3">
        <v>0</v>
      </c>
      <c r="O2349" s="12">
        <v>0</v>
      </c>
    </row>
    <row r="2350" spans="1:15" hidden="1" x14ac:dyDescent="0.25">
      <c r="A2350" s="10">
        <v>46073</v>
      </c>
      <c r="B2350" t="s">
        <v>58</v>
      </c>
      <c r="C2350" s="1" t="s">
        <v>48</v>
      </c>
      <c r="D2350" s="3">
        <v>0</v>
      </c>
      <c r="E2350" s="3">
        <v>0</v>
      </c>
      <c r="F2350" s="3">
        <v>0</v>
      </c>
      <c r="G2350" s="3">
        <v>0</v>
      </c>
      <c r="H2350" s="3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 s="3">
        <v>0</v>
      </c>
      <c r="N2350" s="3">
        <v>97.92</v>
      </c>
      <c r="O2350" s="12">
        <v>32.87671232876712</v>
      </c>
    </row>
    <row r="2351" spans="1:15" hidden="1" x14ac:dyDescent="0.25">
      <c r="A2351" s="10">
        <v>46073</v>
      </c>
      <c r="B2351" t="s">
        <v>29</v>
      </c>
      <c r="C2351" s="1" t="s">
        <v>26</v>
      </c>
      <c r="D2351" s="3">
        <v>0</v>
      </c>
      <c r="E2351" s="3">
        <v>0</v>
      </c>
      <c r="F2351" s="3">
        <v>0</v>
      </c>
      <c r="G2351" s="3">
        <v>0</v>
      </c>
      <c r="H2351" s="3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 s="3">
        <v>0</v>
      </c>
      <c r="N2351" s="3">
        <v>0</v>
      </c>
      <c r="O2351" s="12">
        <v>0</v>
      </c>
    </row>
    <row r="2352" spans="1:15" hidden="1" x14ac:dyDescent="0.25">
      <c r="A2352" s="10">
        <v>46073</v>
      </c>
      <c r="B2352" t="s">
        <v>30</v>
      </c>
      <c r="C2352" s="1" t="s">
        <v>26</v>
      </c>
      <c r="D2352" s="3">
        <v>0</v>
      </c>
      <c r="E2352" s="3">
        <v>0</v>
      </c>
      <c r="F2352" s="3">
        <v>0</v>
      </c>
      <c r="G2352" s="3">
        <v>0</v>
      </c>
      <c r="H2352" s="3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 s="3">
        <v>0</v>
      </c>
      <c r="N2352" s="3">
        <v>0</v>
      </c>
      <c r="O2352" s="12">
        <v>0</v>
      </c>
    </row>
    <row r="2353" spans="1:15" hidden="1" x14ac:dyDescent="0.25">
      <c r="A2353" s="10">
        <v>46073</v>
      </c>
      <c r="B2353" t="s">
        <v>21</v>
      </c>
      <c r="C2353" s="1" t="s">
        <v>16</v>
      </c>
      <c r="D2353" s="3">
        <v>0</v>
      </c>
      <c r="E2353" s="3">
        <v>0</v>
      </c>
      <c r="F2353" s="3">
        <v>0</v>
      </c>
      <c r="G2353" s="3">
        <v>0</v>
      </c>
      <c r="H2353" s="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 s="3">
        <v>0</v>
      </c>
      <c r="N2353" s="3">
        <v>0</v>
      </c>
      <c r="O2353" s="12">
        <v>0</v>
      </c>
    </row>
    <row r="2354" spans="1:15" hidden="1" x14ac:dyDescent="0.25">
      <c r="A2354" s="10">
        <v>46073</v>
      </c>
      <c r="B2354" t="s">
        <v>63</v>
      </c>
      <c r="C2354" s="1" t="s">
        <v>23</v>
      </c>
      <c r="D2354" s="3">
        <v>22</v>
      </c>
      <c r="E2354" s="3">
        <v>19</v>
      </c>
      <c r="F2354" s="3">
        <v>28.38</v>
      </c>
      <c r="G2354" s="3">
        <v>0</v>
      </c>
      <c r="H2354" s="3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 s="3">
        <v>17</v>
      </c>
      <c r="N2354" s="3">
        <v>98.51</v>
      </c>
      <c r="O2354" s="12">
        <v>29.710144927536231</v>
      </c>
    </row>
    <row r="2355" spans="1:15" hidden="1" x14ac:dyDescent="0.25">
      <c r="A2355" s="10">
        <v>46073</v>
      </c>
      <c r="B2355" t="s">
        <v>45</v>
      </c>
      <c r="C2355" s="1" t="s">
        <v>32</v>
      </c>
      <c r="D2355" s="3">
        <v>34</v>
      </c>
      <c r="E2355" s="3">
        <v>32</v>
      </c>
      <c r="F2355" s="3">
        <v>20.12</v>
      </c>
      <c r="G2355" s="3">
        <v>0</v>
      </c>
      <c r="H2355" s="3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 s="3">
        <v>28</v>
      </c>
      <c r="N2355" s="3">
        <v>98.81</v>
      </c>
      <c r="O2355" s="12">
        <v>30.712979890310791</v>
      </c>
    </row>
    <row r="2356" spans="1:15" hidden="1" x14ac:dyDescent="0.25">
      <c r="A2356" s="10">
        <v>46073</v>
      </c>
      <c r="B2356" t="s">
        <v>64</v>
      </c>
      <c r="C2356" s="1" t="s">
        <v>23</v>
      </c>
      <c r="D2356" s="3">
        <v>11</v>
      </c>
      <c r="E2356" s="3">
        <v>11</v>
      </c>
      <c r="F2356" s="3">
        <v>50.56</v>
      </c>
      <c r="G2356" s="3">
        <v>0</v>
      </c>
      <c r="H2356" s="3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 s="3">
        <v>8</v>
      </c>
      <c r="N2356" s="3">
        <v>98.48</v>
      </c>
      <c r="O2356" s="12">
        <v>29.35323383084577</v>
      </c>
    </row>
    <row r="2357" spans="1:15" hidden="1" x14ac:dyDescent="0.25">
      <c r="A2357" s="10">
        <v>46073</v>
      </c>
      <c r="B2357" t="s">
        <v>46</v>
      </c>
      <c r="C2357" s="1" t="s">
        <v>32</v>
      </c>
      <c r="D2357" s="3">
        <v>20</v>
      </c>
      <c r="E2357" s="3">
        <v>16</v>
      </c>
      <c r="F2357" s="3">
        <v>29.02</v>
      </c>
      <c r="G2357" s="3">
        <v>0</v>
      </c>
      <c r="H2357" s="3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 s="3">
        <v>12</v>
      </c>
      <c r="N2357" s="3">
        <v>98.56</v>
      </c>
      <c r="O2357" s="12">
        <v>29.373650107991359</v>
      </c>
    </row>
    <row r="2358" spans="1:15" hidden="1" x14ac:dyDescent="0.25">
      <c r="A2358" s="10">
        <v>46076</v>
      </c>
      <c r="B2358" t="s">
        <v>47</v>
      </c>
      <c r="C2358" s="1" t="s">
        <v>48</v>
      </c>
      <c r="D2358" s="3">
        <v>33</v>
      </c>
      <c r="E2358" s="3">
        <v>32</v>
      </c>
      <c r="F2358" s="3">
        <v>20.309999999999999</v>
      </c>
      <c r="G2358" s="3">
        <v>0</v>
      </c>
      <c r="H2358" s="3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 s="3">
        <v>29</v>
      </c>
      <c r="N2358" s="3">
        <v>98.32</v>
      </c>
      <c r="O2358" s="12">
        <v>30.303030303030301</v>
      </c>
    </row>
    <row r="2359" spans="1:15" hidden="1" x14ac:dyDescent="0.25">
      <c r="A2359" s="10">
        <v>46076</v>
      </c>
      <c r="B2359" t="s">
        <v>31</v>
      </c>
      <c r="C2359" s="1" t="s">
        <v>32</v>
      </c>
      <c r="D2359" s="3">
        <v>0</v>
      </c>
      <c r="E2359" s="3">
        <v>0</v>
      </c>
      <c r="F2359" s="3">
        <v>0</v>
      </c>
      <c r="G2359" s="3">
        <v>0</v>
      </c>
      <c r="H2359" s="3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 s="3">
        <v>28</v>
      </c>
      <c r="N2359" s="3">
        <v>98.68</v>
      </c>
      <c r="O2359" s="12">
        <v>26.219512195121951</v>
      </c>
    </row>
    <row r="2360" spans="1:15" hidden="1" x14ac:dyDescent="0.25">
      <c r="A2360" s="10">
        <v>46076</v>
      </c>
      <c r="B2360" t="s">
        <v>59</v>
      </c>
      <c r="C2360" s="1" t="s">
        <v>23</v>
      </c>
      <c r="D2360" s="3">
        <v>27</v>
      </c>
      <c r="E2360" s="3">
        <v>27</v>
      </c>
      <c r="F2360" s="3">
        <v>18.46</v>
      </c>
      <c r="G2360" s="3">
        <v>0</v>
      </c>
      <c r="H2360" s="3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 s="3">
        <v>23</v>
      </c>
      <c r="N2360" s="3">
        <v>100</v>
      </c>
      <c r="O2360" s="12">
        <v>31.74224343675418</v>
      </c>
    </row>
    <row r="2361" spans="1:15" hidden="1" x14ac:dyDescent="0.25">
      <c r="A2361" s="10">
        <v>46076</v>
      </c>
      <c r="B2361" t="s">
        <v>33</v>
      </c>
      <c r="C2361" s="1" t="s">
        <v>32</v>
      </c>
      <c r="D2361" s="3">
        <v>25</v>
      </c>
      <c r="E2361" s="3">
        <v>22</v>
      </c>
      <c r="F2361" s="3">
        <v>32</v>
      </c>
      <c r="G2361" s="3">
        <v>0</v>
      </c>
      <c r="H2361" s="3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 s="3">
        <v>17</v>
      </c>
      <c r="N2361" s="3">
        <v>98.25</v>
      </c>
      <c r="O2361" s="12">
        <v>25.83518930957684</v>
      </c>
    </row>
    <row r="2362" spans="1:15" hidden="1" x14ac:dyDescent="0.25">
      <c r="A2362" s="10">
        <v>46076</v>
      </c>
      <c r="B2362" t="s">
        <v>15</v>
      </c>
      <c r="C2362" s="1" t="s">
        <v>16</v>
      </c>
      <c r="D2362" s="3">
        <v>10</v>
      </c>
      <c r="E2362" s="3">
        <v>8</v>
      </c>
      <c r="F2362" s="3">
        <v>32.14</v>
      </c>
      <c r="G2362" s="3">
        <v>0</v>
      </c>
      <c r="H2362" s="3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 s="3">
        <v>7</v>
      </c>
      <c r="N2362" s="3">
        <v>97.5</v>
      </c>
      <c r="O2362" s="12">
        <v>30.075187969924809</v>
      </c>
    </row>
    <row r="2363" spans="1:15" hidden="1" x14ac:dyDescent="0.25">
      <c r="A2363" s="10">
        <v>46076</v>
      </c>
      <c r="B2363" t="s">
        <v>49</v>
      </c>
      <c r="C2363" s="1" t="s">
        <v>48</v>
      </c>
      <c r="D2363" s="3">
        <v>32</v>
      </c>
      <c r="E2363" s="3">
        <v>27</v>
      </c>
      <c r="F2363" s="3">
        <v>20.100000000000001</v>
      </c>
      <c r="G2363" s="3">
        <v>0</v>
      </c>
      <c r="H2363" s="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 s="3">
        <v>27</v>
      </c>
      <c r="N2363" s="3">
        <v>100</v>
      </c>
      <c r="O2363" s="12">
        <v>29.71311475409836</v>
      </c>
    </row>
    <row r="2364" spans="1:15" hidden="1" x14ac:dyDescent="0.25">
      <c r="A2364" s="10">
        <v>46076</v>
      </c>
      <c r="B2364" t="s">
        <v>50</v>
      </c>
      <c r="C2364" s="1" t="s">
        <v>48</v>
      </c>
      <c r="D2364" s="3">
        <v>14</v>
      </c>
      <c r="E2364" s="3">
        <v>14</v>
      </c>
      <c r="F2364" s="3">
        <v>52.33</v>
      </c>
      <c r="G2364" s="3">
        <v>0</v>
      </c>
      <c r="H2364" s="3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 s="3">
        <v>18</v>
      </c>
      <c r="N2364" s="3">
        <v>99.22</v>
      </c>
      <c r="O2364" s="12">
        <v>35.256410256410263</v>
      </c>
    </row>
    <row r="2365" spans="1:15" hidden="1" x14ac:dyDescent="0.25">
      <c r="A2365" s="10">
        <v>46076</v>
      </c>
      <c r="B2365" t="s">
        <v>17</v>
      </c>
      <c r="C2365" s="1" t="s">
        <v>16</v>
      </c>
      <c r="D2365" s="3">
        <v>0</v>
      </c>
      <c r="E2365" s="3">
        <v>0</v>
      </c>
      <c r="F2365" s="3">
        <v>0</v>
      </c>
      <c r="G2365" s="3">
        <v>0</v>
      </c>
      <c r="H2365" s="3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 s="3">
        <v>0</v>
      </c>
      <c r="N2365" s="3">
        <v>0</v>
      </c>
      <c r="O2365" s="12">
        <v>0</v>
      </c>
    </row>
    <row r="2366" spans="1:15" hidden="1" x14ac:dyDescent="0.25">
      <c r="A2366" s="10">
        <v>46076</v>
      </c>
      <c r="B2366" t="s">
        <v>60</v>
      </c>
      <c r="C2366" s="1" t="s">
        <v>23</v>
      </c>
      <c r="D2366" s="3">
        <v>0</v>
      </c>
      <c r="E2366" s="3">
        <v>0</v>
      </c>
      <c r="F2366" s="3">
        <v>0</v>
      </c>
      <c r="G2366" s="3">
        <v>0</v>
      </c>
      <c r="H2366" s="3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 s="3">
        <v>0</v>
      </c>
      <c r="N2366" s="3">
        <v>98.75</v>
      </c>
      <c r="O2366" s="12">
        <v>24.32432432432433</v>
      </c>
    </row>
    <row r="2367" spans="1:15" hidden="1" x14ac:dyDescent="0.25">
      <c r="A2367" s="10">
        <v>46076</v>
      </c>
      <c r="B2367" t="s">
        <v>34</v>
      </c>
      <c r="C2367" s="1" t="s">
        <v>32</v>
      </c>
      <c r="D2367" s="3">
        <v>0</v>
      </c>
      <c r="E2367" s="3">
        <v>0</v>
      </c>
      <c r="F2367" s="3">
        <v>0</v>
      </c>
      <c r="G2367" s="3">
        <v>0</v>
      </c>
      <c r="H2367" s="3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 s="3">
        <v>0</v>
      </c>
      <c r="N2367" s="3">
        <v>93.48</v>
      </c>
      <c r="O2367" s="12">
        <v>31.52804642166344</v>
      </c>
    </row>
    <row r="2368" spans="1:15" hidden="1" x14ac:dyDescent="0.25">
      <c r="A2368" s="10">
        <v>46076</v>
      </c>
      <c r="B2368" t="s">
        <v>51</v>
      </c>
      <c r="C2368" s="1" t="s">
        <v>48</v>
      </c>
      <c r="D2368" s="3">
        <v>31</v>
      </c>
      <c r="E2368" s="3">
        <v>26</v>
      </c>
      <c r="F2368" s="3">
        <v>26.55</v>
      </c>
      <c r="G2368" s="3">
        <v>0</v>
      </c>
      <c r="H2368" s="3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 s="3">
        <v>19</v>
      </c>
      <c r="N2368" s="3">
        <v>99.16</v>
      </c>
      <c r="O2368" s="12">
        <v>26.13908872901678</v>
      </c>
    </row>
    <row r="2369" spans="1:15" hidden="1" x14ac:dyDescent="0.25">
      <c r="A2369" s="10">
        <v>46076</v>
      </c>
      <c r="B2369" t="s">
        <v>61</v>
      </c>
      <c r="C2369" s="1" t="s">
        <v>23</v>
      </c>
      <c r="D2369" s="3">
        <v>22</v>
      </c>
      <c r="E2369" s="3">
        <v>19</v>
      </c>
      <c r="F2369" s="3">
        <v>24.17</v>
      </c>
      <c r="G2369" s="3">
        <v>0</v>
      </c>
      <c r="H2369" s="3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 s="3">
        <v>9</v>
      </c>
      <c r="N2369" s="3">
        <v>100</v>
      </c>
      <c r="O2369" s="12">
        <v>31.089743589743591</v>
      </c>
    </row>
    <row r="2370" spans="1:15" hidden="1" x14ac:dyDescent="0.25">
      <c r="A2370" s="10">
        <v>46076</v>
      </c>
      <c r="B2370" t="s">
        <v>35</v>
      </c>
      <c r="C2370" s="1" t="s">
        <v>32</v>
      </c>
      <c r="D2370" s="3">
        <v>20</v>
      </c>
      <c r="E2370" s="3">
        <v>19</v>
      </c>
      <c r="F2370" s="3">
        <v>37.39</v>
      </c>
      <c r="G2370" s="3">
        <v>0</v>
      </c>
      <c r="H2370" s="3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 s="3">
        <v>18</v>
      </c>
      <c r="N2370" s="3">
        <v>98.11</v>
      </c>
      <c r="O2370" s="12">
        <v>33.033707865168537</v>
      </c>
    </row>
    <row r="2371" spans="1:15" hidden="1" x14ac:dyDescent="0.25">
      <c r="A2371" s="10">
        <v>46076</v>
      </c>
      <c r="B2371" t="s">
        <v>18</v>
      </c>
      <c r="C2371" s="1" t="s">
        <v>16</v>
      </c>
      <c r="D2371" s="3">
        <v>9</v>
      </c>
      <c r="E2371" s="3">
        <v>8</v>
      </c>
      <c r="F2371" s="3">
        <v>36.51</v>
      </c>
      <c r="G2371" s="3">
        <v>0</v>
      </c>
      <c r="H2371" s="3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 s="3">
        <v>5</v>
      </c>
      <c r="N2371" s="3">
        <v>78.95</v>
      </c>
      <c r="O2371" s="12">
        <v>38.983050847457633</v>
      </c>
    </row>
    <row r="2372" spans="1:15" hidden="1" x14ac:dyDescent="0.25">
      <c r="A2372" s="10">
        <v>46076</v>
      </c>
      <c r="B2372" t="s">
        <v>52</v>
      </c>
      <c r="C2372" s="1" t="s">
        <v>48</v>
      </c>
      <c r="D2372" s="3">
        <v>22</v>
      </c>
      <c r="E2372" s="3">
        <v>20</v>
      </c>
      <c r="F2372" s="3">
        <v>27.02</v>
      </c>
      <c r="G2372" s="3">
        <v>0</v>
      </c>
      <c r="H2372" s="3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 s="3">
        <v>16</v>
      </c>
      <c r="N2372" s="3">
        <v>98.45</v>
      </c>
      <c r="O2372" s="12">
        <v>29.281767955801101</v>
      </c>
    </row>
    <row r="2373" spans="1:15" hidden="1" x14ac:dyDescent="0.25">
      <c r="A2373" s="10">
        <v>46076</v>
      </c>
      <c r="B2373" t="s">
        <v>36</v>
      </c>
      <c r="C2373" s="1" t="s">
        <v>32</v>
      </c>
      <c r="D2373" s="3">
        <v>30</v>
      </c>
      <c r="E2373" s="3">
        <v>30</v>
      </c>
      <c r="F2373" s="3">
        <v>25.07</v>
      </c>
      <c r="G2373" s="3">
        <v>0</v>
      </c>
      <c r="H2373" s="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 s="3">
        <v>29</v>
      </c>
      <c r="N2373" s="3">
        <v>97.84</v>
      </c>
      <c r="O2373" s="12">
        <v>26.282051282051281</v>
      </c>
    </row>
    <row r="2374" spans="1:15" hidden="1" x14ac:dyDescent="0.25">
      <c r="A2374" s="10">
        <v>46076</v>
      </c>
      <c r="B2374" t="s">
        <v>53</v>
      </c>
      <c r="C2374" s="1" t="s">
        <v>48</v>
      </c>
      <c r="D2374" s="3">
        <v>27</v>
      </c>
      <c r="E2374" s="3">
        <v>25</v>
      </c>
      <c r="F2374" s="3">
        <v>30.31</v>
      </c>
      <c r="G2374" s="3">
        <v>0</v>
      </c>
      <c r="H2374" s="3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 s="3">
        <v>18</v>
      </c>
      <c r="N2374" s="3">
        <v>98.5</v>
      </c>
      <c r="O2374" s="12">
        <v>23.97769516728625</v>
      </c>
    </row>
    <row r="2375" spans="1:15" hidden="1" x14ac:dyDescent="0.25">
      <c r="A2375" s="10">
        <v>46108</v>
      </c>
      <c r="B2375" t="s">
        <v>22</v>
      </c>
      <c r="C2375" s="1" t="s">
        <v>23</v>
      </c>
      <c r="D2375" s="3">
        <v>32</v>
      </c>
      <c r="E2375" s="3">
        <v>28</v>
      </c>
      <c r="F2375" s="3">
        <v>19.07</v>
      </c>
      <c r="G2375" s="3">
        <v>0</v>
      </c>
      <c r="H2375" s="3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 s="3">
        <v>28</v>
      </c>
      <c r="N2375" s="3">
        <v>99.05</v>
      </c>
      <c r="O2375" s="12">
        <v>26.621923937360179</v>
      </c>
    </row>
    <row r="2376" spans="1:15" hidden="1" x14ac:dyDescent="0.25">
      <c r="A2376" s="10">
        <v>46076</v>
      </c>
      <c r="B2376" t="s">
        <v>54</v>
      </c>
      <c r="C2376" s="1" t="s">
        <v>48</v>
      </c>
      <c r="D2376" s="3">
        <v>34</v>
      </c>
      <c r="E2376" s="3">
        <v>33</v>
      </c>
      <c r="F2376" s="3">
        <v>22.17</v>
      </c>
      <c r="G2376" s="3">
        <v>0</v>
      </c>
      <c r="H2376" s="3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 s="3">
        <v>28</v>
      </c>
      <c r="N2376" s="3">
        <v>98.53</v>
      </c>
      <c r="O2376" s="12">
        <v>31.578947368421051</v>
      </c>
    </row>
    <row r="2377" spans="1:15" hidden="1" x14ac:dyDescent="0.25">
      <c r="A2377" s="10">
        <v>46076</v>
      </c>
      <c r="B2377" t="s">
        <v>37</v>
      </c>
      <c r="C2377" s="1" t="s">
        <v>32</v>
      </c>
      <c r="D2377" s="3">
        <v>38</v>
      </c>
      <c r="E2377" s="3">
        <v>36</v>
      </c>
      <c r="F2377" s="3">
        <v>17.22</v>
      </c>
      <c r="G2377" s="3">
        <v>0</v>
      </c>
      <c r="H2377" s="3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 s="3">
        <v>33</v>
      </c>
      <c r="N2377" s="3">
        <v>100</v>
      </c>
      <c r="O2377" s="12">
        <v>25.72214580467676</v>
      </c>
    </row>
    <row r="2378" spans="1:15" hidden="1" x14ac:dyDescent="0.25">
      <c r="A2378" s="10">
        <v>46076</v>
      </c>
      <c r="B2378" t="s">
        <v>38</v>
      </c>
      <c r="C2378" s="1" t="s">
        <v>32</v>
      </c>
      <c r="D2378" s="3">
        <v>24</v>
      </c>
      <c r="E2378" s="3">
        <v>20</v>
      </c>
      <c r="F2378" s="3">
        <v>10.119999999999999</v>
      </c>
      <c r="G2378" s="3">
        <v>0</v>
      </c>
      <c r="H2378" s="3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 s="3">
        <v>16</v>
      </c>
      <c r="N2378" s="3">
        <v>94.64</v>
      </c>
      <c r="O2378" s="12">
        <v>27.52941176470588</v>
      </c>
    </row>
    <row r="2379" spans="1:15" hidden="1" x14ac:dyDescent="0.25">
      <c r="A2379" s="10">
        <v>46076</v>
      </c>
      <c r="B2379" t="s">
        <v>55</v>
      </c>
      <c r="C2379" s="1" t="s">
        <v>48</v>
      </c>
      <c r="D2379" s="3">
        <v>37</v>
      </c>
      <c r="E2379" s="3">
        <v>28</v>
      </c>
      <c r="F2379" s="3">
        <v>15.5</v>
      </c>
      <c r="G2379" s="3">
        <v>0</v>
      </c>
      <c r="H2379" s="3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 s="3">
        <v>23</v>
      </c>
      <c r="N2379" s="3">
        <v>99.07</v>
      </c>
      <c r="O2379" s="12">
        <v>26.376811594202898</v>
      </c>
    </row>
    <row r="2380" spans="1:15" hidden="1" x14ac:dyDescent="0.25">
      <c r="A2380" s="10">
        <v>46076</v>
      </c>
      <c r="B2380" t="s">
        <v>39</v>
      </c>
      <c r="C2380" s="1" t="s">
        <v>32</v>
      </c>
      <c r="D2380" s="3">
        <v>0</v>
      </c>
      <c r="E2380" s="3">
        <v>0</v>
      </c>
      <c r="F2380" s="3">
        <v>0</v>
      </c>
      <c r="G2380" s="3">
        <v>0</v>
      </c>
      <c r="H2380" s="3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 s="3">
        <v>0</v>
      </c>
      <c r="N2380" s="3">
        <v>100</v>
      </c>
      <c r="O2380" s="12">
        <v>0</v>
      </c>
    </row>
    <row r="2381" spans="1:15" hidden="1" x14ac:dyDescent="0.25">
      <c r="A2381" s="10">
        <v>46076</v>
      </c>
      <c r="B2381" t="s">
        <v>25</v>
      </c>
      <c r="C2381" s="1" t="s">
        <v>26</v>
      </c>
      <c r="D2381" s="3">
        <v>11</v>
      </c>
      <c r="E2381" s="3">
        <v>11</v>
      </c>
      <c r="F2381" s="3">
        <v>30.23</v>
      </c>
      <c r="G2381" s="3">
        <v>0</v>
      </c>
      <c r="H2381" s="3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 s="3">
        <v>9</v>
      </c>
      <c r="N2381" s="3">
        <v>98.48</v>
      </c>
      <c r="O2381" s="12">
        <v>27.853881278538811</v>
      </c>
    </row>
    <row r="2382" spans="1:15" hidden="1" x14ac:dyDescent="0.25">
      <c r="A2382" s="10">
        <v>46076</v>
      </c>
      <c r="B2382" t="s">
        <v>40</v>
      </c>
      <c r="C2382" s="1" t="s">
        <v>32</v>
      </c>
      <c r="D2382" s="3">
        <v>21</v>
      </c>
      <c r="E2382" s="3">
        <v>18</v>
      </c>
      <c r="F2382" s="3">
        <v>29.15</v>
      </c>
      <c r="G2382" s="3">
        <v>0</v>
      </c>
      <c r="H2382" s="3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 s="3">
        <v>18</v>
      </c>
      <c r="N2382" s="3">
        <v>95.15</v>
      </c>
      <c r="O2382" s="12">
        <v>34.131736526946113</v>
      </c>
    </row>
    <row r="2383" spans="1:15" hidden="1" x14ac:dyDescent="0.25">
      <c r="A2383" s="10">
        <v>46076</v>
      </c>
      <c r="B2383" t="s">
        <v>27</v>
      </c>
      <c r="C2383" s="1" t="s">
        <v>26</v>
      </c>
      <c r="D2383" s="3">
        <v>0</v>
      </c>
      <c r="E2383" s="3">
        <v>0</v>
      </c>
      <c r="F2383" s="3">
        <v>0</v>
      </c>
      <c r="G2383" s="3">
        <v>0</v>
      </c>
      <c r="H2383" s="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 s="3">
        <v>0</v>
      </c>
      <c r="N2383" s="3">
        <v>0</v>
      </c>
      <c r="O2383" s="12">
        <v>0</v>
      </c>
    </row>
    <row r="2384" spans="1:15" hidden="1" x14ac:dyDescent="0.25">
      <c r="A2384" s="10">
        <v>46076</v>
      </c>
      <c r="B2384" t="s">
        <v>41</v>
      </c>
      <c r="C2384" s="1" t="s">
        <v>32</v>
      </c>
      <c r="D2384" s="3">
        <v>21</v>
      </c>
      <c r="E2384" s="3">
        <v>19</v>
      </c>
      <c r="F2384" s="3">
        <v>24.03</v>
      </c>
      <c r="G2384" s="3">
        <v>0</v>
      </c>
      <c r="H2384" s="3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 s="3">
        <v>17</v>
      </c>
      <c r="N2384" s="3">
        <v>99.26</v>
      </c>
      <c r="O2384" s="12">
        <v>30.84832904884319</v>
      </c>
    </row>
    <row r="2385" spans="1:15" hidden="1" x14ac:dyDescent="0.25">
      <c r="A2385" s="10">
        <v>46076</v>
      </c>
      <c r="B2385" t="s">
        <v>56</v>
      </c>
      <c r="C2385" s="1" t="s">
        <v>48</v>
      </c>
      <c r="D2385" s="3">
        <v>28</v>
      </c>
      <c r="E2385" s="3">
        <v>27</v>
      </c>
      <c r="F2385" s="3">
        <v>25.38</v>
      </c>
      <c r="G2385" s="3">
        <v>0</v>
      </c>
      <c r="H2385" s="3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 s="3">
        <v>30</v>
      </c>
      <c r="N2385" s="3">
        <v>97.48</v>
      </c>
      <c r="O2385" s="12">
        <v>27.764705882352938</v>
      </c>
    </row>
    <row r="2386" spans="1:15" hidden="1" x14ac:dyDescent="0.25">
      <c r="A2386" s="10">
        <v>46076</v>
      </c>
      <c r="B2386" t="s">
        <v>57</v>
      </c>
      <c r="C2386" s="1" t="s">
        <v>48</v>
      </c>
      <c r="D2386" s="3">
        <v>26</v>
      </c>
      <c r="E2386" s="3">
        <v>25</v>
      </c>
      <c r="F2386" s="3">
        <v>25.15</v>
      </c>
      <c r="G2386" s="3">
        <v>0</v>
      </c>
      <c r="H2386" s="3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 s="3">
        <v>13</v>
      </c>
      <c r="N2386" s="3">
        <v>99.34</v>
      </c>
      <c r="O2386" s="12">
        <v>30.04291845493562</v>
      </c>
    </row>
    <row r="2387" spans="1:15" hidden="1" x14ac:dyDescent="0.25">
      <c r="A2387" s="10">
        <v>46076</v>
      </c>
      <c r="B2387" t="s">
        <v>42</v>
      </c>
      <c r="C2387" s="1" t="s">
        <v>32</v>
      </c>
      <c r="D2387" s="3">
        <v>0</v>
      </c>
      <c r="E2387" s="3">
        <v>0</v>
      </c>
      <c r="F2387" s="3">
        <v>0</v>
      </c>
      <c r="G2387" s="3">
        <v>0</v>
      </c>
      <c r="H2387" s="3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 s="3">
        <v>0</v>
      </c>
      <c r="N2387" s="3">
        <v>96.3</v>
      </c>
      <c r="O2387" s="12">
        <v>24.29378531073446</v>
      </c>
    </row>
    <row r="2388" spans="1:15" hidden="1" x14ac:dyDescent="0.25">
      <c r="A2388" s="10">
        <v>46076</v>
      </c>
      <c r="B2388" t="s">
        <v>62</v>
      </c>
      <c r="C2388" s="1" t="s">
        <v>23</v>
      </c>
      <c r="D2388" s="3">
        <v>9</v>
      </c>
      <c r="E2388" s="3">
        <v>9</v>
      </c>
      <c r="F2388" s="3">
        <v>47.28</v>
      </c>
      <c r="G2388" s="3">
        <v>0</v>
      </c>
      <c r="H2388" s="3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 s="3">
        <v>10</v>
      </c>
      <c r="N2388" s="3">
        <v>100</v>
      </c>
      <c r="O2388" s="12">
        <v>26.543209876543209</v>
      </c>
    </row>
    <row r="2389" spans="1:15" hidden="1" x14ac:dyDescent="0.25">
      <c r="A2389" s="10">
        <v>46076</v>
      </c>
      <c r="B2389" t="s">
        <v>19</v>
      </c>
      <c r="C2389" s="1" t="s">
        <v>16</v>
      </c>
      <c r="D2389" s="3">
        <v>10</v>
      </c>
      <c r="E2389" s="3">
        <v>10</v>
      </c>
      <c r="F2389" s="3">
        <v>59.09</v>
      </c>
      <c r="G2389" s="3">
        <v>0</v>
      </c>
      <c r="H2389" s="3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 s="3">
        <v>6</v>
      </c>
      <c r="N2389" s="3">
        <v>100</v>
      </c>
      <c r="O2389" s="12">
        <v>35.483870967741943</v>
      </c>
    </row>
    <row r="2390" spans="1:15" hidden="1" x14ac:dyDescent="0.25">
      <c r="A2390" s="10">
        <v>46076</v>
      </c>
      <c r="B2390" t="s">
        <v>43</v>
      </c>
      <c r="C2390" s="1" t="s">
        <v>32</v>
      </c>
      <c r="D2390" s="3">
        <v>26</v>
      </c>
      <c r="E2390" s="3">
        <v>23</v>
      </c>
      <c r="F2390" s="3">
        <v>22.35</v>
      </c>
      <c r="G2390" s="3">
        <v>0</v>
      </c>
      <c r="H2390" s="3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 s="3">
        <v>22</v>
      </c>
      <c r="N2390" s="3">
        <v>99.27</v>
      </c>
      <c r="O2390" s="12">
        <v>31.163708086785011</v>
      </c>
    </row>
    <row r="2391" spans="1:15" hidden="1" x14ac:dyDescent="0.25">
      <c r="A2391" s="10">
        <v>46076</v>
      </c>
      <c r="B2391" t="s">
        <v>44</v>
      </c>
      <c r="C2391" s="1" t="s">
        <v>32</v>
      </c>
      <c r="D2391" s="3">
        <v>30</v>
      </c>
      <c r="E2391" s="3">
        <v>29</v>
      </c>
      <c r="F2391" s="3">
        <v>17.010000000000002</v>
      </c>
      <c r="G2391" s="3">
        <v>0</v>
      </c>
      <c r="H2391" s="3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 s="3">
        <v>26</v>
      </c>
      <c r="N2391" s="3">
        <v>94.16</v>
      </c>
      <c r="O2391" s="12">
        <v>27.038626609442058</v>
      </c>
    </row>
    <row r="2392" spans="1:15" hidden="1" x14ac:dyDescent="0.25">
      <c r="A2392" s="10">
        <v>46076</v>
      </c>
      <c r="B2392" t="s">
        <v>20</v>
      </c>
      <c r="C2392" s="1" t="s">
        <v>16</v>
      </c>
      <c r="D2392" s="3">
        <v>9</v>
      </c>
      <c r="E2392" s="3">
        <v>9</v>
      </c>
      <c r="F2392" s="3">
        <v>55.2</v>
      </c>
      <c r="G2392" s="3">
        <v>0</v>
      </c>
      <c r="H2392" s="3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 s="3">
        <v>4</v>
      </c>
      <c r="N2392" s="3">
        <v>93.75</v>
      </c>
      <c r="O2392" s="12">
        <v>19.31818181818182</v>
      </c>
    </row>
    <row r="2393" spans="1:15" hidden="1" x14ac:dyDescent="0.25">
      <c r="A2393" s="10">
        <v>46076</v>
      </c>
      <c r="B2393" t="s">
        <v>28</v>
      </c>
      <c r="C2393" s="1" t="s">
        <v>26</v>
      </c>
      <c r="D2393" s="3">
        <v>0</v>
      </c>
      <c r="E2393" s="3">
        <v>0</v>
      </c>
      <c r="F2393" s="3">
        <v>0</v>
      </c>
      <c r="G2393" s="3">
        <v>0</v>
      </c>
      <c r="H2393" s="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 s="3">
        <v>0</v>
      </c>
      <c r="N2393" s="3">
        <v>0</v>
      </c>
      <c r="O2393" s="12">
        <v>0</v>
      </c>
    </row>
    <row r="2394" spans="1:15" hidden="1" x14ac:dyDescent="0.25">
      <c r="A2394" s="10">
        <v>46076</v>
      </c>
      <c r="B2394" t="s">
        <v>58</v>
      </c>
      <c r="C2394" s="1" t="s">
        <v>48</v>
      </c>
      <c r="D2394" s="3">
        <v>0</v>
      </c>
      <c r="E2394" s="3">
        <v>0</v>
      </c>
      <c r="F2394" s="3">
        <v>0</v>
      </c>
      <c r="G2394" s="3">
        <v>0</v>
      </c>
      <c r="H2394" s="3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 s="3">
        <v>0</v>
      </c>
      <c r="N2394" s="3">
        <v>97.92</v>
      </c>
      <c r="O2394" s="12">
        <v>32.87671232876712</v>
      </c>
    </row>
    <row r="2395" spans="1:15" hidden="1" x14ac:dyDescent="0.25">
      <c r="A2395" s="10">
        <v>46076</v>
      </c>
      <c r="B2395" t="s">
        <v>29</v>
      </c>
      <c r="C2395" s="1" t="s">
        <v>26</v>
      </c>
      <c r="D2395" s="3">
        <v>0</v>
      </c>
      <c r="E2395" s="3">
        <v>0</v>
      </c>
      <c r="F2395" s="3">
        <v>0</v>
      </c>
      <c r="G2395" s="3">
        <v>0</v>
      </c>
      <c r="H2395" s="3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 s="3">
        <v>0</v>
      </c>
      <c r="N2395" s="3">
        <v>0</v>
      </c>
      <c r="O2395" s="12">
        <v>0</v>
      </c>
    </row>
    <row r="2396" spans="1:15" hidden="1" x14ac:dyDescent="0.25">
      <c r="A2396" s="10">
        <v>46076</v>
      </c>
      <c r="B2396" t="s">
        <v>30</v>
      </c>
      <c r="C2396" s="1" t="s">
        <v>26</v>
      </c>
      <c r="D2396" s="3">
        <v>0</v>
      </c>
      <c r="E2396" s="3">
        <v>0</v>
      </c>
      <c r="F2396" s="3">
        <v>0</v>
      </c>
      <c r="G2396" s="3">
        <v>0</v>
      </c>
      <c r="H2396" s="3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 s="3">
        <v>0</v>
      </c>
      <c r="N2396" s="3">
        <v>0</v>
      </c>
      <c r="O2396" s="12">
        <v>0</v>
      </c>
    </row>
    <row r="2397" spans="1:15" hidden="1" x14ac:dyDescent="0.25">
      <c r="A2397" s="10">
        <v>46076</v>
      </c>
      <c r="B2397" t="s">
        <v>21</v>
      </c>
      <c r="C2397" s="1" t="s">
        <v>16</v>
      </c>
      <c r="D2397" s="3">
        <v>0</v>
      </c>
      <c r="E2397" s="3">
        <v>0</v>
      </c>
      <c r="F2397" s="3">
        <v>0</v>
      </c>
      <c r="G2397" s="3">
        <v>0</v>
      </c>
      <c r="H2397" s="3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 s="3">
        <v>0</v>
      </c>
      <c r="N2397" s="3">
        <v>0</v>
      </c>
      <c r="O2397" s="12">
        <v>0</v>
      </c>
    </row>
    <row r="2398" spans="1:15" hidden="1" x14ac:dyDescent="0.25">
      <c r="A2398" s="10">
        <v>46076</v>
      </c>
      <c r="B2398" t="s">
        <v>63</v>
      </c>
      <c r="C2398" s="1" t="s">
        <v>23</v>
      </c>
      <c r="D2398" s="3">
        <v>0</v>
      </c>
      <c r="E2398" s="3">
        <v>0</v>
      </c>
      <c r="F2398" s="3">
        <v>0</v>
      </c>
      <c r="G2398" s="3">
        <v>0</v>
      </c>
      <c r="H2398" s="3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 s="3">
        <v>0</v>
      </c>
      <c r="N2398" s="3">
        <v>98.51</v>
      </c>
      <c r="O2398" s="12">
        <v>29.710144927536231</v>
      </c>
    </row>
    <row r="2399" spans="1:15" hidden="1" x14ac:dyDescent="0.25">
      <c r="A2399" s="10">
        <v>46076</v>
      </c>
      <c r="B2399" t="s">
        <v>45</v>
      </c>
      <c r="C2399" s="1" t="s">
        <v>32</v>
      </c>
      <c r="D2399" s="3">
        <v>32</v>
      </c>
      <c r="E2399" s="3">
        <v>28</v>
      </c>
      <c r="F2399" s="3">
        <v>18.55</v>
      </c>
      <c r="G2399" s="3">
        <v>0</v>
      </c>
      <c r="H2399" s="3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 s="3">
        <v>22</v>
      </c>
      <c r="N2399" s="3">
        <v>98.81</v>
      </c>
      <c r="O2399" s="12">
        <v>30.712979890310791</v>
      </c>
    </row>
    <row r="2400" spans="1:15" hidden="1" x14ac:dyDescent="0.25">
      <c r="A2400" s="10">
        <v>46076</v>
      </c>
      <c r="B2400" t="s">
        <v>64</v>
      </c>
      <c r="C2400" s="1" t="s">
        <v>23</v>
      </c>
      <c r="D2400" s="3">
        <v>12</v>
      </c>
      <c r="E2400" s="3">
        <v>11</v>
      </c>
      <c r="F2400" s="3">
        <v>36.4</v>
      </c>
      <c r="G2400" s="3">
        <v>0</v>
      </c>
      <c r="H2400" s="3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 s="3">
        <v>8</v>
      </c>
      <c r="N2400" s="3">
        <v>98.48</v>
      </c>
      <c r="O2400" s="12">
        <v>29.35323383084577</v>
      </c>
    </row>
    <row r="2401" spans="1:15" hidden="1" x14ac:dyDescent="0.25">
      <c r="A2401" s="10">
        <v>46076</v>
      </c>
      <c r="B2401" t="s">
        <v>46</v>
      </c>
      <c r="C2401" s="1" t="s">
        <v>32</v>
      </c>
      <c r="D2401" s="3">
        <v>28</v>
      </c>
      <c r="E2401" s="3">
        <v>28</v>
      </c>
      <c r="F2401" s="3">
        <v>22.24</v>
      </c>
      <c r="G2401" s="3">
        <v>0</v>
      </c>
      <c r="H2401" s="3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 s="3">
        <v>25</v>
      </c>
      <c r="N2401" s="3">
        <v>98.56</v>
      </c>
      <c r="O2401" s="12">
        <v>29.373650107991359</v>
      </c>
    </row>
    <row r="2402" spans="1:15" hidden="1" x14ac:dyDescent="0.25">
      <c r="A2402" s="10">
        <v>46077</v>
      </c>
      <c r="B2402" t="s">
        <v>47</v>
      </c>
      <c r="C2402" s="1" t="s">
        <v>48</v>
      </c>
      <c r="D2402" s="3">
        <v>21</v>
      </c>
      <c r="E2402" s="3">
        <v>19</v>
      </c>
      <c r="F2402" s="3">
        <v>27.09</v>
      </c>
      <c r="G2402" s="3">
        <v>0</v>
      </c>
      <c r="H2402" s="3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 s="3">
        <v>12</v>
      </c>
      <c r="N2402" s="3">
        <v>98.32</v>
      </c>
      <c r="O2402" s="12">
        <v>30.303030303030301</v>
      </c>
    </row>
    <row r="2403" spans="1:15" hidden="1" x14ac:dyDescent="0.25">
      <c r="A2403" s="10">
        <v>46077</v>
      </c>
      <c r="B2403" t="s">
        <v>31</v>
      </c>
      <c r="C2403" s="1" t="s">
        <v>32</v>
      </c>
      <c r="D2403" s="3">
        <v>0</v>
      </c>
      <c r="E2403" s="3">
        <v>0</v>
      </c>
      <c r="F2403" s="3">
        <v>0</v>
      </c>
      <c r="G2403" s="3">
        <v>0</v>
      </c>
      <c r="H2403" s="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 s="3">
        <v>25</v>
      </c>
      <c r="N2403" s="3">
        <v>98.68</v>
      </c>
      <c r="O2403" s="12">
        <v>26.219512195121951</v>
      </c>
    </row>
    <row r="2404" spans="1:15" hidden="1" x14ac:dyDescent="0.25">
      <c r="A2404" s="10">
        <v>46077</v>
      </c>
      <c r="B2404" t="s">
        <v>59</v>
      </c>
      <c r="C2404" s="1" t="s">
        <v>23</v>
      </c>
      <c r="D2404" s="3">
        <v>18</v>
      </c>
      <c r="E2404" s="3">
        <v>17</v>
      </c>
      <c r="F2404" s="3">
        <v>35.18</v>
      </c>
      <c r="G2404" s="3">
        <v>0</v>
      </c>
      <c r="H2404" s="3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 s="3">
        <v>17</v>
      </c>
      <c r="N2404" s="3">
        <v>100</v>
      </c>
      <c r="O2404" s="12">
        <v>31.74224343675418</v>
      </c>
    </row>
    <row r="2405" spans="1:15" hidden="1" x14ac:dyDescent="0.25">
      <c r="A2405" s="10">
        <v>46077</v>
      </c>
      <c r="B2405" t="s">
        <v>33</v>
      </c>
      <c r="C2405" s="1" t="s">
        <v>32</v>
      </c>
      <c r="D2405" s="3">
        <v>18</v>
      </c>
      <c r="E2405" s="3">
        <v>17</v>
      </c>
      <c r="F2405" s="3">
        <v>38.44</v>
      </c>
      <c r="G2405" s="3">
        <v>0</v>
      </c>
      <c r="H2405" s="3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 s="3">
        <v>16</v>
      </c>
      <c r="N2405" s="3">
        <v>98.25</v>
      </c>
      <c r="O2405" s="12">
        <v>25.83518930957684</v>
      </c>
    </row>
    <row r="2406" spans="1:15" hidden="1" x14ac:dyDescent="0.25">
      <c r="A2406" s="10">
        <v>46077</v>
      </c>
      <c r="B2406" t="s">
        <v>15</v>
      </c>
      <c r="C2406" s="1" t="s">
        <v>16</v>
      </c>
      <c r="D2406" s="3">
        <v>16</v>
      </c>
      <c r="E2406" s="3">
        <v>15</v>
      </c>
      <c r="F2406" s="3">
        <v>38.479999999999997</v>
      </c>
      <c r="G2406" s="3">
        <v>0</v>
      </c>
      <c r="H2406" s="3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 s="3">
        <v>13</v>
      </c>
      <c r="N2406" s="3">
        <v>97.5</v>
      </c>
      <c r="O2406" s="12">
        <v>30.075187969924809</v>
      </c>
    </row>
    <row r="2407" spans="1:15" hidden="1" x14ac:dyDescent="0.25">
      <c r="A2407" s="10">
        <v>46077</v>
      </c>
      <c r="B2407" t="s">
        <v>49</v>
      </c>
      <c r="C2407" s="1" t="s">
        <v>48</v>
      </c>
      <c r="D2407" s="3">
        <v>19</v>
      </c>
      <c r="E2407" s="3">
        <v>17</v>
      </c>
      <c r="F2407" s="3">
        <v>21.57</v>
      </c>
      <c r="G2407" s="3">
        <v>0</v>
      </c>
      <c r="H2407" s="3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 s="3">
        <v>16</v>
      </c>
      <c r="N2407" s="3">
        <v>100</v>
      </c>
      <c r="O2407" s="12">
        <v>29.71311475409836</v>
      </c>
    </row>
    <row r="2408" spans="1:15" hidden="1" x14ac:dyDescent="0.25">
      <c r="A2408" s="10">
        <v>46077</v>
      </c>
      <c r="B2408" t="s">
        <v>50</v>
      </c>
      <c r="C2408" s="1" t="s">
        <v>48</v>
      </c>
      <c r="D2408" s="3">
        <v>5</v>
      </c>
      <c r="E2408" s="3">
        <v>5</v>
      </c>
      <c r="F2408" s="3">
        <v>39.090000000000003</v>
      </c>
      <c r="G2408" s="3">
        <v>0</v>
      </c>
      <c r="H2408" s="3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 s="3">
        <v>5</v>
      </c>
      <c r="N2408" s="3">
        <v>99.22</v>
      </c>
      <c r="O2408" s="12">
        <v>35.256410256410263</v>
      </c>
    </row>
    <row r="2409" spans="1:15" hidden="1" x14ac:dyDescent="0.25">
      <c r="A2409" s="10">
        <v>46077</v>
      </c>
      <c r="B2409" t="s">
        <v>17</v>
      </c>
      <c r="C2409" s="1" t="s">
        <v>16</v>
      </c>
      <c r="D2409" s="3">
        <v>0</v>
      </c>
      <c r="E2409" s="3">
        <v>0</v>
      </c>
      <c r="F2409" s="3">
        <v>0</v>
      </c>
      <c r="G2409" s="3">
        <v>0</v>
      </c>
      <c r="H2409" s="3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 s="3">
        <v>0</v>
      </c>
      <c r="N2409" s="3">
        <v>0</v>
      </c>
      <c r="O2409" s="12">
        <v>0</v>
      </c>
    </row>
    <row r="2410" spans="1:15" hidden="1" x14ac:dyDescent="0.25">
      <c r="A2410" s="10">
        <v>46077</v>
      </c>
      <c r="B2410" t="s">
        <v>60</v>
      </c>
      <c r="C2410" s="1" t="s">
        <v>23</v>
      </c>
      <c r="D2410" s="3">
        <v>27</v>
      </c>
      <c r="E2410" s="3">
        <v>23</v>
      </c>
      <c r="F2410" s="3">
        <v>22.39</v>
      </c>
      <c r="G2410" s="3">
        <v>0</v>
      </c>
      <c r="H2410" s="3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 s="3">
        <v>23</v>
      </c>
      <c r="N2410" s="3">
        <v>98.75</v>
      </c>
      <c r="O2410" s="12">
        <v>24.32432432432433</v>
      </c>
    </row>
    <row r="2411" spans="1:15" hidden="1" x14ac:dyDescent="0.25">
      <c r="A2411" s="10">
        <v>46077</v>
      </c>
      <c r="B2411" t="s">
        <v>34</v>
      </c>
      <c r="C2411" s="1" t="s">
        <v>32</v>
      </c>
      <c r="D2411" s="3">
        <v>0</v>
      </c>
      <c r="E2411" s="3">
        <v>0</v>
      </c>
      <c r="F2411" s="3">
        <v>0</v>
      </c>
      <c r="G2411" s="3">
        <v>0</v>
      </c>
      <c r="H2411" s="3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 s="3">
        <v>0</v>
      </c>
      <c r="N2411" s="3">
        <v>93.48</v>
      </c>
      <c r="O2411" s="12">
        <v>31.52804642166344</v>
      </c>
    </row>
    <row r="2412" spans="1:15" hidden="1" x14ac:dyDescent="0.25">
      <c r="A2412" s="10">
        <v>46077</v>
      </c>
      <c r="B2412" t="s">
        <v>51</v>
      </c>
      <c r="C2412" s="1" t="s">
        <v>48</v>
      </c>
      <c r="D2412" s="3">
        <v>35</v>
      </c>
      <c r="E2412" s="3">
        <v>30</v>
      </c>
      <c r="F2412" s="3">
        <v>20.47</v>
      </c>
      <c r="G2412" s="3">
        <v>0</v>
      </c>
      <c r="H2412" s="3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 s="3">
        <v>25</v>
      </c>
      <c r="N2412" s="3">
        <v>99.16</v>
      </c>
      <c r="O2412" s="12">
        <v>26.13908872901678</v>
      </c>
    </row>
    <row r="2413" spans="1:15" hidden="1" x14ac:dyDescent="0.25">
      <c r="A2413" s="10">
        <v>46077</v>
      </c>
      <c r="B2413" t="s">
        <v>61</v>
      </c>
      <c r="C2413" s="1" t="s">
        <v>23</v>
      </c>
      <c r="D2413" s="3">
        <v>18</v>
      </c>
      <c r="E2413" s="3">
        <v>17</v>
      </c>
      <c r="F2413" s="3">
        <v>38.31</v>
      </c>
      <c r="G2413" s="3">
        <v>0</v>
      </c>
      <c r="H2413" s="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 s="3">
        <v>11</v>
      </c>
      <c r="N2413" s="3">
        <v>100</v>
      </c>
      <c r="O2413" s="12">
        <v>31.089743589743591</v>
      </c>
    </row>
    <row r="2414" spans="1:15" hidden="1" x14ac:dyDescent="0.25">
      <c r="A2414" s="10">
        <v>46077</v>
      </c>
      <c r="B2414" t="s">
        <v>35</v>
      </c>
      <c r="C2414" s="1" t="s">
        <v>32</v>
      </c>
      <c r="D2414" s="3">
        <v>16</v>
      </c>
      <c r="E2414" s="3">
        <v>16</v>
      </c>
      <c r="F2414" s="3">
        <v>50.52</v>
      </c>
      <c r="G2414" s="3">
        <v>0</v>
      </c>
      <c r="H2414" s="3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 s="3">
        <v>14</v>
      </c>
      <c r="N2414" s="3">
        <v>98.11</v>
      </c>
      <c r="O2414" s="12">
        <v>33.033707865168537</v>
      </c>
    </row>
    <row r="2415" spans="1:15" hidden="1" x14ac:dyDescent="0.25">
      <c r="A2415" s="10">
        <v>46077</v>
      </c>
      <c r="B2415" t="s">
        <v>18</v>
      </c>
      <c r="C2415" s="1" t="s">
        <v>16</v>
      </c>
      <c r="D2415" s="3">
        <v>8</v>
      </c>
      <c r="E2415" s="3">
        <v>8</v>
      </c>
      <c r="F2415" s="3">
        <v>55.14</v>
      </c>
      <c r="G2415" s="3">
        <v>0</v>
      </c>
      <c r="H2415" s="3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 s="3">
        <v>5</v>
      </c>
      <c r="N2415" s="3">
        <v>78.95</v>
      </c>
      <c r="O2415" s="12">
        <v>38.983050847457633</v>
      </c>
    </row>
    <row r="2416" spans="1:15" hidden="1" x14ac:dyDescent="0.25">
      <c r="A2416" s="10">
        <v>46077</v>
      </c>
      <c r="B2416" t="s">
        <v>52</v>
      </c>
      <c r="C2416" s="1" t="s">
        <v>48</v>
      </c>
      <c r="D2416" s="3">
        <v>13</v>
      </c>
      <c r="E2416" s="3">
        <v>12</v>
      </c>
      <c r="F2416" s="3">
        <v>43.46</v>
      </c>
      <c r="G2416" s="3">
        <v>0</v>
      </c>
      <c r="H2416" s="3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 s="3">
        <v>13</v>
      </c>
      <c r="N2416" s="3">
        <v>98.45</v>
      </c>
      <c r="O2416" s="12">
        <v>29.281767955801101</v>
      </c>
    </row>
    <row r="2417" spans="1:15" hidden="1" x14ac:dyDescent="0.25">
      <c r="A2417" s="10">
        <v>46077</v>
      </c>
      <c r="B2417" t="s">
        <v>36</v>
      </c>
      <c r="C2417" s="1" t="s">
        <v>32</v>
      </c>
      <c r="D2417" s="3">
        <v>27</v>
      </c>
      <c r="E2417" s="3">
        <v>26</v>
      </c>
      <c r="F2417" s="3">
        <v>22.26</v>
      </c>
      <c r="G2417" s="3">
        <v>0</v>
      </c>
      <c r="H2417" s="3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 s="3">
        <v>26</v>
      </c>
      <c r="N2417" s="3">
        <v>97.84</v>
      </c>
      <c r="O2417" s="12">
        <v>26.282051282051281</v>
      </c>
    </row>
    <row r="2418" spans="1:15" hidden="1" x14ac:dyDescent="0.25">
      <c r="A2418" s="10">
        <v>46077</v>
      </c>
      <c r="B2418" t="s">
        <v>53</v>
      </c>
      <c r="C2418" s="1" t="s">
        <v>48</v>
      </c>
      <c r="D2418" s="3">
        <v>34</v>
      </c>
      <c r="E2418" s="3">
        <v>30</v>
      </c>
      <c r="F2418" s="3">
        <v>18.579999999999998</v>
      </c>
      <c r="G2418" s="3">
        <v>0</v>
      </c>
      <c r="H2418" s="3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 s="3">
        <v>30</v>
      </c>
      <c r="N2418" s="3">
        <v>98.5</v>
      </c>
      <c r="O2418" s="12">
        <v>23.97769516728625</v>
      </c>
    </row>
    <row r="2419" spans="1:15" hidden="1" x14ac:dyDescent="0.25">
      <c r="A2419" s="10">
        <v>46111</v>
      </c>
      <c r="B2419" t="s">
        <v>22</v>
      </c>
      <c r="C2419" s="1" t="s">
        <v>23</v>
      </c>
      <c r="D2419" s="3">
        <v>26</v>
      </c>
      <c r="E2419" s="3">
        <v>25</v>
      </c>
      <c r="F2419" s="3">
        <v>22.36</v>
      </c>
      <c r="G2419" s="3">
        <v>0</v>
      </c>
      <c r="H2419" s="3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 s="3">
        <v>23</v>
      </c>
      <c r="N2419" s="3">
        <v>99.05</v>
      </c>
      <c r="O2419" s="12">
        <v>26.621923937360179</v>
      </c>
    </row>
    <row r="2420" spans="1:15" hidden="1" x14ac:dyDescent="0.25">
      <c r="A2420" s="10">
        <v>46077</v>
      </c>
      <c r="B2420" t="s">
        <v>54</v>
      </c>
      <c r="C2420" s="1" t="s">
        <v>48</v>
      </c>
      <c r="D2420" s="3">
        <v>20</v>
      </c>
      <c r="E2420" s="3">
        <v>19</v>
      </c>
      <c r="F2420" s="3">
        <v>24</v>
      </c>
      <c r="G2420" s="3">
        <v>0</v>
      </c>
      <c r="H2420" s="3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 s="3">
        <v>18</v>
      </c>
      <c r="N2420" s="3">
        <v>98.53</v>
      </c>
      <c r="O2420" s="12">
        <v>31.578947368421051</v>
      </c>
    </row>
    <row r="2421" spans="1:15" hidden="1" x14ac:dyDescent="0.25">
      <c r="A2421" s="10">
        <v>46077</v>
      </c>
      <c r="B2421" t="s">
        <v>37</v>
      </c>
      <c r="C2421" s="1" t="s">
        <v>32</v>
      </c>
      <c r="D2421" s="3">
        <v>40</v>
      </c>
      <c r="E2421" s="3">
        <v>35</v>
      </c>
      <c r="F2421" s="3">
        <v>17.329999999999998</v>
      </c>
      <c r="G2421" s="3">
        <v>0</v>
      </c>
      <c r="H2421" s="3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 s="3">
        <v>35</v>
      </c>
      <c r="N2421" s="3">
        <v>100</v>
      </c>
      <c r="O2421" s="12">
        <v>25.72214580467676</v>
      </c>
    </row>
    <row r="2422" spans="1:15" hidden="1" x14ac:dyDescent="0.25">
      <c r="A2422" s="10">
        <v>46077</v>
      </c>
      <c r="B2422" t="s">
        <v>38</v>
      </c>
      <c r="C2422" s="1" t="s">
        <v>32</v>
      </c>
      <c r="D2422" s="3">
        <v>26</v>
      </c>
      <c r="E2422" s="3">
        <v>24</v>
      </c>
      <c r="F2422" s="3">
        <v>14.08</v>
      </c>
      <c r="G2422" s="3">
        <v>0</v>
      </c>
      <c r="H2422" s="3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 s="3">
        <v>23</v>
      </c>
      <c r="N2422" s="3">
        <v>94.64</v>
      </c>
      <c r="O2422" s="12">
        <v>27.52941176470588</v>
      </c>
    </row>
    <row r="2423" spans="1:15" hidden="1" x14ac:dyDescent="0.25">
      <c r="A2423" s="10">
        <v>46077</v>
      </c>
      <c r="B2423" t="s">
        <v>55</v>
      </c>
      <c r="C2423" s="1" t="s">
        <v>48</v>
      </c>
      <c r="D2423" s="3">
        <v>17</v>
      </c>
      <c r="E2423" s="3">
        <v>8</v>
      </c>
      <c r="F2423" s="3">
        <v>11.53</v>
      </c>
      <c r="G2423" s="3">
        <v>0</v>
      </c>
      <c r="H2423" s="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 s="3">
        <v>3</v>
      </c>
      <c r="N2423" s="3">
        <v>99.07</v>
      </c>
      <c r="O2423" s="12">
        <v>26.376811594202898</v>
      </c>
    </row>
    <row r="2424" spans="1:15" hidden="1" x14ac:dyDescent="0.25">
      <c r="A2424" s="10">
        <v>46077</v>
      </c>
      <c r="B2424" t="s">
        <v>39</v>
      </c>
      <c r="C2424" s="1" t="s">
        <v>32</v>
      </c>
      <c r="D2424" s="3">
        <v>0</v>
      </c>
      <c r="E2424" s="3">
        <v>0</v>
      </c>
      <c r="F2424" s="3">
        <v>0</v>
      </c>
      <c r="G2424" s="3">
        <v>0</v>
      </c>
      <c r="H2424" s="3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 s="3">
        <v>0</v>
      </c>
      <c r="N2424" s="3">
        <v>100</v>
      </c>
      <c r="O2424" s="12">
        <v>0</v>
      </c>
    </row>
    <row r="2425" spans="1:15" hidden="1" x14ac:dyDescent="0.25">
      <c r="A2425" s="10">
        <v>46077</v>
      </c>
      <c r="B2425" t="s">
        <v>25</v>
      </c>
      <c r="C2425" s="1" t="s">
        <v>26</v>
      </c>
      <c r="D2425" s="3">
        <v>15</v>
      </c>
      <c r="E2425" s="3">
        <v>15</v>
      </c>
      <c r="F2425" s="3">
        <v>25.08</v>
      </c>
      <c r="G2425" s="3">
        <v>0</v>
      </c>
      <c r="H2425" s="3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 s="3">
        <v>14</v>
      </c>
      <c r="N2425" s="3">
        <v>98.48</v>
      </c>
      <c r="O2425" s="12">
        <v>27.853881278538811</v>
      </c>
    </row>
    <row r="2426" spans="1:15" hidden="1" x14ac:dyDescent="0.25">
      <c r="A2426" s="10">
        <v>46077</v>
      </c>
      <c r="B2426" t="s">
        <v>40</v>
      </c>
      <c r="C2426" s="1" t="s">
        <v>32</v>
      </c>
      <c r="D2426" s="3">
        <v>3</v>
      </c>
      <c r="E2426" s="3">
        <v>3</v>
      </c>
      <c r="F2426" s="3">
        <v>47.26</v>
      </c>
      <c r="G2426" s="3">
        <v>0</v>
      </c>
      <c r="H2426" s="3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 s="3">
        <v>52</v>
      </c>
      <c r="N2426" s="3">
        <v>95.15</v>
      </c>
      <c r="O2426" s="12">
        <v>34.131736526946113</v>
      </c>
    </row>
    <row r="2427" spans="1:15" hidden="1" x14ac:dyDescent="0.25">
      <c r="A2427" s="10">
        <v>46077</v>
      </c>
      <c r="B2427" t="s">
        <v>27</v>
      </c>
      <c r="C2427" s="1" t="s">
        <v>26</v>
      </c>
      <c r="D2427" s="3">
        <v>0</v>
      </c>
      <c r="E2427" s="3">
        <v>0</v>
      </c>
      <c r="F2427" s="3">
        <v>0</v>
      </c>
      <c r="G2427" s="3">
        <v>0</v>
      </c>
      <c r="H2427" s="3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 s="3">
        <v>0</v>
      </c>
      <c r="N2427" s="3">
        <v>0</v>
      </c>
      <c r="O2427" s="12">
        <v>0</v>
      </c>
    </row>
    <row r="2428" spans="1:15" hidden="1" x14ac:dyDescent="0.25">
      <c r="A2428" s="10">
        <v>46077</v>
      </c>
      <c r="B2428" t="s">
        <v>41</v>
      </c>
      <c r="C2428" s="1" t="s">
        <v>32</v>
      </c>
      <c r="D2428" s="3">
        <v>21</v>
      </c>
      <c r="E2428" s="3">
        <v>20</v>
      </c>
      <c r="F2428" s="3">
        <v>23.43</v>
      </c>
      <c r="G2428" s="3">
        <v>0</v>
      </c>
      <c r="H2428" s="3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 s="3">
        <v>15</v>
      </c>
      <c r="N2428" s="3">
        <v>99.26</v>
      </c>
      <c r="O2428" s="12">
        <v>30.84832904884319</v>
      </c>
    </row>
    <row r="2429" spans="1:15" hidden="1" x14ac:dyDescent="0.25">
      <c r="A2429" s="10">
        <v>46077</v>
      </c>
      <c r="B2429" t="s">
        <v>56</v>
      </c>
      <c r="C2429" s="1" t="s">
        <v>48</v>
      </c>
      <c r="D2429" s="3">
        <v>27</v>
      </c>
      <c r="E2429" s="3">
        <v>27</v>
      </c>
      <c r="F2429" s="3">
        <v>29.12</v>
      </c>
      <c r="G2429" s="3">
        <v>0</v>
      </c>
      <c r="H2429" s="3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 s="3">
        <v>13</v>
      </c>
      <c r="N2429" s="3">
        <v>97.48</v>
      </c>
      <c r="O2429" s="12">
        <v>27.764705882352938</v>
      </c>
    </row>
    <row r="2430" spans="1:15" hidden="1" x14ac:dyDescent="0.25">
      <c r="A2430" s="10">
        <v>46077</v>
      </c>
      <c r="B2430" t="s">
        <v>57</v>
      </c>
      <c r="C2430" s="1" t="s">
        <v>48</v>
      </c>
      <c r="D2430" s="3">
        <v>19</v>
      </c>
      <c r="E2430" s="3">
        <v>19</v>
      </c>
      <c r="F2430" s="3">
        <v>38.590000000000003</v>
      </c>
      <c r="G2430" s="3">
        <v>0</v>
      </c>
      <c r="H2430" s="3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 s="3">
        <v>18</v>
      </c>
      <c r="N2430" s="3">
        <v>99.34</v>
      </c>
      <c r="O2430" s="12">
        <v>30.04291845493562</v>
      </c>
    </row>
    <row r="2431" spans="1:15" hidden="1" x14ac:dyDescent="0.25">
      <c r="A2431" s="10">
        <v>46077</v>
      </c>
      <c r="B2431" t="s">
        <v>42</v>
      </c>
      <c r="C2431" s="1" t="s">
        <v>32</v>
      </c>
      <c r="D2431" s="3">
        <v>43</v>
      </c>
      <c r="E2431" s="3">
        <v>37</v>
      </c>
      <c r="F2431" s="3">
        <v>18.489999999999998</v>
      </c>
      <c r="G2431" s="3">
        <v>0</v>
      </c>
      <c r="H2431" s="3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 s="3">
        <v>24</v>
      </c>
      <c r="N2431" s="3">
        <v>96.3</v>
      </c>
      <c r="O2431" s="12">
        <v>24.29378531073446</v>
      </c>
    </row>
    <row r="2432" spans="1:15" hidden="1" x14ac:dyDescent="0.25">
      <c r="A2432" s="10">
        <v>46077</v>
      </c>
      <c r="B2432" t="s">
        <v>62</v>
      </c>
      <c r="C2432" s="1" t="s">
        <v>23</v>
      </c>
      <c r="D2432" s="3">
        <v>16</v>
      </c>
      <c r="E2432" s="3">
        <v>15</v>
      </c>
      <c r="F2432" s="3">
        <v>30.59</v>
      </c>
      <c r="G2432" s="3">
        <v>0</v>
      </c>
      <c r="H2432" s="3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 s="3">
        <v>13</v>
      </c>
      <c r="N2432" s="3">
        <v>100</v>
      </c>
      <c r="O2432" s="12">
        <v>26.543209876543209</v>
      </c>
    </row>
    <row r="2433" spans="1:15" hidden="1" x14ac:dyDescent="0.25">
      <c r="A2433" s="10">
        <v>46077</v>
      </c>
      <c r="B2433" t="s">
        <v>19</v>
      </c>
      <c r="C2433" s="1" t="s">
        <v>16</v>
      </c>
      <c r="D2433" s="3">
        <v>5</v>
      </c>
      <c r="E2433" s="3">
        <v>5</v>
      </c>
      <c r="F2433" s="3">
        <v>72.11</v>
      </c>
      <c r="G2433" s="3">
        <v>0</v>
      </c>
      <c r="H2433" s="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 s="3">
        <v>3</v>
      </c>
      <c r="N2433" s="3">
        <v>100</v>
      </c>
      <c r="O2433" s="12">
        <v>35.483870967741943</v>
      </c>
    </row>
    <row r="2434" spans="1:15" hidden="1" x14ac:dyDescent="0.25">
      <c r="A2434" s="10">
        <v>46077</v>
      </c>
      <c r="B2434" t="s">
        <v>43</v>
      </c>
      <c r="C2434" s="1" t="s">
        <v>32</v>
      </c>
      <c r="D2434" s="3">
        <v>24</v>
      </c>
      <c r="E2434" s="3">
        <v>22</v>
      </c>
      <c r="F2434" s="3">
        <v>23.22</v>
      </c>
      <c r="G2434" s="3">
        <v>0</v>
      </c>
      <c r="H2434" s="3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 s="3">
        <v>24</v>
      </c>
      <c r="N2434" s="3">
        <v>99.27</v>
      </c>
      <c r="O2434" s="12">
        <v>31.163708086785011</v>
      </c>
    </row>
    <row r="2435" spans="1:15" hidden="1" x14ac:dyDescent="0.25">
      <c r="A2435" s="10">
        <v>46077</v>
      </c>
      <c r="B2435" t="s">
        <v>44</v>
      </c>
      <c r="C2435" s="1" t="s">
        <v>32</v>
      </c>
      <c r="D2435" s="3">
        <v>33</v>
      </c>
      <c r="E2435" s="3">
        <v>33</v>
      </c>
      <c r="F2435" s="3">
        <v>16.579999999999998</v>
      </c>
      <c r="G2435" s="3">
        <v>0</v>
      </c>
      <c r="H2435" s="3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 s="3">
        <v>28</v>
      </c>
      <c r="N2435" s="3">
        <v>94.16</v>
      </c>
      <c r="O2435" s="12">
        <v>27.038626609442058</v>
      </c>
    </row>
    <row r="2436" spans="1:15" hidden="1" x14ac:dyDescent="0.25">
      <c r="A2436" s="10">
        <v>46077</v>
      </c>
      <c r="B2436" t="s">
        <v>20</v>
      </c>
      <c r="C2436" s="1" t="s">
        <v>16</v>
      </c>
      <c r="D2436" s="3">
        <v>15</v>
      </c>
      <c r="E2436" s="3">
        <v>14</v>
      </c>
      <c r="F2436" s="3">
        <v>40.57</v>
      </c>
      <c r="G2436" s="3">
        <v>0</v>
      </c>
      <c r="H2436" s="3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 s="3">
        <v>5</v>
      </c>
      <c r="N2436" s="3">
        <v>93.75</v>
      </c>
      <c r="O2436" s="12">
        <v>19.31818181818182</v>
      </c>
    </row>
    <row r="2437" spans="1:15" hidden="1" x14ac:dyDescent="0.25">
      <c r="A2437" s="10">
        <v>46077</v>
      </c>
      <c r="B2437" t="s">
        <v>28</v>
      </c>
      <c r="C2437" s="1" t="s">
        <v>26</v>
      </c>
      <c r="D2437" s="3">
        <v>0</v>
      </c>
      <c r="E2437" s="3">
        <v>0</v>
      </c>
      <c r="F2437" s="3">
        <v>0</v>
      </c>
      <c r="G2437" s="3">
        <v>0</v>
      </c>
      <c r="H2437" s="3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 s="3">
        <v>0</v>
      </c>
      <c r="N2437" s="3">
        <v>0</v>
      </c>
      <c r="O2437" s="12">
        <v>0</v>
      </c>
    </row>
    <row r="2438" spans="1:15" hidden="1" x14ac:dyDescent="0.25">
      <c r="A2438" s="10">
        <v>46077</v>
      </c>
      <c r="B2438" t="s">
        <v>58</v>
      </c>
      <c r="C2438" s="1" t="s">
        <v>48</v>
      </c>
      <c r="D2438" s="3">
        <v>0</v>
      </c>
      <c r="E2438" s="3">
        <v>0</v>
      </c>
      <c r="F2438" s="3">
        <v>0</v>
      </c>
      <c r="G2438" s="3">
        <v>0</v>
      </c>
      <c r="H2438" s="3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 s="3">
        <v>0</v>
      </c>
      <c r="N2438" s="3">
        <v>97.92</v>
      </c>
      <c r="O2438" s="12">
        <v>32.87671232876712</v>
      </c>
    </row>
    <row r="2439" spans="1:15" hidden="1" x14ac:dyDescent="0.25">
      <c r="A2439" s="10">
        <v>46077</v>
      </c>
      <c r="B2439" t="s">
        <v>29</v>
      </c>
      <c r="C2439" s="1" t="s">
        <v>26</v>
      </c>
      <c r="D2439" s="3">
        <v>0</v>
      </c>
      <c r="E2439" s="3">
        <v>0</v>
      </c>
      <c r="F2439" s="3">
        <v>0</v>
      </c>
      <c r="G2439" s="3">
        <v>0</v>
      </c>
      <c r="H2439" s="3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 s="3">
        <v>0</v>
      </c>
      <c r="N2439" s="3">
        <v>0</v>
      </c>
      <c r="O2439" s="12">
        <v>0</v>
      </c>
    </row>
    <row r="2440" spans="1:15" hidden="1" x14ac:dyDescent="0.25">
      <c r="A2440" s="10">
        <v>46077</v>
      </c>
      <c r="B2440" t="s">
        <v>30</v>
      </c>
      <c r="C2440" s="1" t="s">
        <v>26</v>
      </c>
      <c r="D2440" s="3">
        <v>0</v>
      </c>
      <c r="E2440" s="3">
        <v>0</v>
      </c>
      <c r="F2440" s="3">
        <v>0</v>
      </c>
      <c r="G2440" s="3">
        <v>0</v>
      </c>
      <c r="H2440" s="3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 s="3">
        <v>0</v>
      </c>
      <c r="N2440" s="3">
        <v>0</v>
      </c>
      <c r="O2440" s="12">
        <v>0</v>
      </c>
    </row>
    <row r="2441" spans="1:15" hidden="1" x14ac:dyDescent="0.25">
      <c r="A2441" s="10">
        <v>46077</v>
      </c>
      <c r="B2441" t="s">
        <v>21</v>
      </c>
      <c r="C2441" s="1" t="s">
        <v>16</v>
      </c>
      <c r="D2441" s="3">
        <v>0</v>
      </c>
      <c r="E2441" s="3">
        <v>0</v>
      </c>
      <c r="F2441" s="3">
        <v>0</v>
      </c>
      <c r="G2441" s="3">
        <v>0</v>
      </c>
      <c r="H2441" s="3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 s="3">
        <v>0</v>
      </c>
      <c r="N2441" s="3">
        <v>0</v>
      </c>
      <c r="O2441" s="12">
        <v>0</v>
      </c>
    </row>
    <row r="2442" spans="1:15" hidden="1" x14ac:dyDescent="0.25">
      <c r="A2442" s="10">
        <v>46077</v>
      </c>
      <c r="B2442" t="s">
        <v>63</v>
      </c>
      <c r="C2442" s="1" t="s">
        <v>23</v>
      </c>
      <c r="D2442" s="3">
        <v>0</v>
      </c>
      <c r="E2442" s="3">
        <v>0</v>
      </c>
      <c r="F2442" s="3">
        <v>0</v>
      </c>
      <c r="G2442" s="3">
        <v>0</v>
      </c>
      <c r="H2442" s="3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 s="3">
        <v>0</v>
      </c>
      <c r="N2442" s="3">
        <v>98.51</v>
      </c>
      <c r="O2442" s="12">
        <v>29.710144927536231</v>
      </c>
    </row>
    <row r="2443" spans="1:15" hidden="1" x14ac:dyDescent="0.25">
      <c r="A2443" s="10">
        <v>46077</v>
      </c>
      <c r="B2443" t="s">
        <v>45</v>
      </c>
      <c r="C2443" s="1" t="s">
        <v>32</v>
      </c>
      <c r="D2443" s="3">
        <v>38</v>
      </c>
      <c r="E2443" s="3">
        <v>32</v>
      </c>
      <c r="F2443" s="3">
        <v>15.07</v>
      </c>
      <c r="G2443" s="3">
        <v>0</v>
      </c>
      <c r="H2443" s="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 s="3">
        <v>27</v>
      </c>
      <c r="N2443" s="3">
        <v>98.81</v>
      </c>
      <c r="O2443" s="12">
        <v>30.712979890310791</v>
      </c>
    </row>
    <row r="2444" spans="1:15" hidden="1" x14ac:dyDescent="0.25">
      <c r="A2444" s="10">
        <v>46077</v>
      </c>
      <c r="B2444" t="s">
        <v>64</v>
      </c>
      <c r="C2444" s="1" t="s">
        <v>23</v>
      </c>
      <c r="D2444" s="3">
        <v>8</v>
      </c>
      <c r="E2444" s="3">
        <v>7</v>
      </c>
      <c r="F2444" s="3">
        <v>47.18</v>
      </c>
      <c r="G2444" s="3">
        <v>0</v>
      </c>
      <c r="H2444" s="3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 s="3">
        <v>7</v>
      </c>
      <c r="N2444" s="3">
        <v>98.48</v>
      </c>
      <c r="O2444" s="12">
        <v>29.35323383084577</v>
      </c>
    </row>
    <row r="2445" spans="1:15" hidden="1" x14ac:dyDescent="0.25">
      <c r="A2445" s="10">
        <v>46077</v>
      </c>
      <c r="B2445" t="s">
        <v>46</v>
      </c>
      <c r="C2445" s="1" t="s">
        <v>32</v>
      </c>
      <c r="D2445" s="3">
        <v>21</v>
      </c>
      <c r="E2445" s="3">
        <v>20</v>
      </c>
      <c r="F2445" s="3">
        <v>28.58</v>
      </c>
      <c r="G2445" s="3">
        <v>0</v>
      </c>
      <c r="H2445" s="3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 s="3">
        <v>19</v>
      </c>
      <c r="N2445" s="3">
        <v>98.56</v>
      </c>
      <c r="O2445" s="12">
        <v>29.373650107991359</v>
      </c>
    </row>
    <row r="2446" spans="1:15" hidden="1" x14ac:dyDescent="0.25">
      <c r="A2446" s="10">
        <v>46078</v>
      </c>
      <c r="B2446" t="s">
        <v>47</v>
      </c>
      <c r="C2446" s="1" t="s">
        <v>48</v>
      </c>
      <c r="D2446" s="3">
        <v>6</v>
      </c>
      <c r="E2446" s="3">
        <v>6</v>
      </c>
      <c r="F2446" s="3">
        <v>71.47</v>
      </c>
      <c r="G2446" s="3">
        <v>0</v>
      </c>
      <c r="H2446" s="3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 s="3">
        <v>6</v>
      </c>
      <c r="N2446" s="3">
        <v>98.32</v>
      </c>
      <c r="O2446" s="12">
        <v>30.303030303030301</v>
      </c>
    </row>
    <row r="2447" spans="1:15" hidden="1" x14ac:dyDescent="0.25">
      <c r="A2447" s="10">
        <v>46078</v>
      </c>
      <c r="B2447" t="s">
        <v>31</v>
      </c>
      <c r="C2447" s="1" t="s">
        <v>32</v>
      </c>
      <c r="D2447" s="3">
        <v>0</v>
      </c>
      <c r="E2447" s="3">
        <v>0</v>
      </c>
      <c r="F2447" s="3">
        <v>0</v>
      </c>
      <c r="G2447" s="3">
        <v>0</v>
      </c>
      <c r="H2447" s="3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 s="3">
        <v>24</v>
      </c>
      <c r="N2447" s="3">
        <v>98.68</v>
      </c>
      <c r="O2447" s="12">
        <v>26.219512195121951</v>
      </c>
    </row>
    <row r="2448" spans="1:15" hidden="1" x14ac:dyDescent="0.25">
      <c r="A2448" s="10">
        <v>46078</v>
      </c>
      <c r="B2448" t="s">
        <v>59</v>
      </c>
      <c r="C2448" s="1" t="s">
        <v>23</v>
      </c>
      <c r="D2448" s="3">
        <v>29</v>
      </c>
      <c r="E2448" s="3">
        <v>27</v>
      </c>
      <c r="F2448" s="3">
        <v>27.03</v>
      </c>
      <c r="G2448" s="3">
        <v>0</v>
      </c>
      <c r="H2448" s="3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 s="3">
        <v>25</v>
      </c>
      <c r="N2448" s="3">
        <v>100</v>
      </c>
      <c r="O2448" s="12">
        <v>31.74224343675418</v>
      </c>
    </row>
    <row r="2449" spans="1:15" hidden="1" x14ac:dyDescent="0.25">
      <c r="A2449" s="10">
        <v>46078</v>
      </c>
      <c r="B2449" t="s">
        <v>33</v>
      </c>
      <c r="C2449" s="1" t="s">
        <v>32</v>
      </c>
      <c r="D2449" s="3">
        <v>18</v>
      </c>
      <c r="E2449" s="3">
        <v>17</v>
      </c>
      <c r="F2449" s="3">
        <v>40.31</v>
      </c>
      <c r="G2449" s="3">
        <v>0</v>
      </c>
      <c r="H2449" s="3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 s="3">
        <v>13</v>
      </c>
      <c r="N2449" s="3">
        <v>98.25</v>
      </c>
      <c r="O2449" s="12">
        <v>25.83518930957684</v>
      </c>
    </row>
    <row r="2450" spans="1:15" hidden="1" x14ac:dyDescent="0.25">
      <c r="A2450" s="10">
        <v>46078</v>
      </c>
      <c r="B2450" t="s">
        <v>15</v>
      </c>
      <c r="C2450" s="1" t="s">
        <v>16</v>
      </c>
      <c r="D2450" s="3">
        <v>13</v>
      </c>
      <c r="E2450" s="3">
        <v>12</v>
      </c>
      <c r="F2450" s="3">
        <v>43.59</v>
      </c>
      <c r="G2450" s="3">
        <v>0</v>
      </c>
      <c r="H2450" s="3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 s="3">
        <v>11</v>
      </c>
      <c r="N2450" s="3">
        <v>97.5</v>
      </c>
      <c r="O2450" s="12">
        <v>30.075187969924809</v>
      </c>
    </row>
    <row r="2451" spans="1:15" hidden="1" x14ac:dyDescent="0.25">
      <c r="A2451" s="10">
        <v>46078</v>
      </c>
      <c r="B2451" t="s">
        <v>49</v>
      </c>
      <c r="C2451" s="1" t="s">
        <v>48</v>
      </c>
      <c r="D2451" s="3">
        <v>34</v>
      </c>
      <c r="E2451" s="3">
        <v>29</v>
      </c>
      <c r="F2451" s="3">
        <v>19.190000000000001</v>
      </c>
      <c r="G2451" s="3">
        <v>0</v>
      </c>
      <c r="H2451" s="3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 s="3">
        <v>29</v>
      </c>
      <c r="N2451" s="3">
        <v>100</v>
      </c>
      <c r="O2451" s="12">
        <v>29.71311475409836</v>
      </c>
    </row>
    <row r="2452" spans="1:15" hidden="1" x14ac:dyDescent="0.25">
      <c r="A2452" s="10">
        <v>46078</v>
      </c>
      <c r="B2452" t="s">
        <v>50</v>
      </c>
      <c r="C2452" s="1" t="s">
        <v>48</v>
      </c>
      <c r="D2452" s="3">
        <v>10</v>
      </c>
      <c r="E2452" s="3">
        <v>10</v>
      </c>
      <c r="F2452" s="3">
        <v>70.08</v>
      </c>
      <c r="G2452" s="3">
        <v>0</v>
      </c>
      <c r="H2452" s="3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 s="3">
        <v>9</v>
      </c>
      <c r="N2452" s="3">
        <v>99.22</v>
      </c>
      <c r="O2452" s="12">
        <v>35.256410256410263</v>
      </c>
    </row>
    <row r="2453" spans="1:15" hidden="1" x14ac:dyDescent="0.25">
      <c r="A2453" s="10">
        <v>46078</v>
      </c>
      <c r="B2453" t="s">
        <v>17</v>
      </c>
      <c r="C2453" s="1" t="s">
        <v>16</v>
      </c>
      <c r="D2453" s="3">
        <v>0</v>
      </c>
      <c r="E2453" s="3">
        <v>0</v>
      </c>
      <c r="F2453" s="3">
        <v>0</v>
      </c>
      <c r="G2453" s="3">
        <v>0</v>
      </c>
      <c r="H2453" s="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 s="3">
        <v>0</v>
      </c>
      <c r="N2453" s="3">
        <v>0</v>
      </c>
      <c r="O2453" s="12">
        <v>0</v>
      </c>
    </row>
    <row r="2454" spans="1:15" hidden="1" x14ac:dyDescent="0.25">
      <c r="A2454" s="10">
        <v>46078</v>
      </c>
      <c r="B2454" t="s">
        <v>60</v>
      </c>
      <c r="C2454" s="1" t="s">
        <v>23</v>
      </c>
      <c r="D2454" s="3">
        <v>16</v>
      </c>
      <c r="E2454" s="3">
        <v>14</v>
      </c>
      <c r="F2454" s="3">
        <v>29.15</v>
      </c>
      <c r="G2454" s="3">
        <v>0</v>
      </c>
      <c r="H2454" s="3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 s="3">
        <v>14</v>
      </c>
      <c r="N2454" s="3">
        <v>98.75</v>
      </c>
      <c r="O2454" s="12">
        <v>24.32432432432433</v>
      </c>
    </row>
    <row r="2455" spans="1:15" hidden="1" x14ac:dyDescent="0.25">
      <c r="A2455" s="10">
        <v>46078</v>
      </c>
      <c r="B2455" t="s">
        <v>34</v>
      </c>
      <c r="C2455" s="1" t="s">
        <v>32</v>
      </c>
      <c r="D2455" s="3">
        <v>23</v>
      </c>
      <c r="E2455" s="3">
        <v>21</v>
      </c>
      <c r="F2455" s="3">
        <v>26.51</v>
      </c>
      <c r="G2455" s="3">
        <v>0</v>
      </c>
      <c r="H2455" s="3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 s="3">
        <v>21</v>
      </c>
      <c r="N2455" s="3">
        <v>93.48</v>
      </c>
      <c r="O2455" s="12">
        <v>31.52804642166344</v>
      </c>
    </row>
    <row r="2456" spans="1:15" hidden="1" x14ac:dyDescent="0.25">
      <c r="A2456" s="10">
        <v>46078</v>
      </c>
      <c r="B2456" t="s">
        <v>51</v>
      </c>
      <c r="C2456" s="1" t="s">
        <v>48</v>
      </c>
      <c r="D2456" s="3">
        <v>22</v>
      </c>
      <c r="E2456" s="3">
        <v>20</v>
      </c>
      <c r="F2456" s="3">
        <v>35.270000000000003</v>
      </c>
      <c r="G2456" s="3">
        <v>0</v>
      </c>
      <c r="H2456" s="3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 s="3">
        <v>13</v>
      </c>
      <c r="N2456" s="3">
        <v>99.16</v>
      </c>
      <c r="O2456" s="12">
        <v>26.13908872901678</v>
      </c>
    </row>
    <row r="2457" spans="1:15" hidden="1" x14ac:dyDescent="0.25">
      <c r="A2457" s="10">
        <v>46078</v>
      </c>
      <c r="B2457" t="s">
        <v>61</v>
      </c>
      <c r="C2457" s="1" t="s">
        <v>23</v>
      </c>
      <c r="D2457" s="3">
        <v>14</v>
      </c>
      <c r="E2457" s="3">
        <v>14</v>
      </c>
      <c r="F2457" s="3">
        <v>47.07</v>
      </c>
      <c r="G2457" s="3">
        <v>0</v>
      </c>
      <c r="H2457" s="3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 s="3">
        <v>11</v>
      </c>
      <c r="N2457" s="3">
        <v>100</v>
      </c>
      <c r="O2457" s="12">
        <v>31.089743589743591</v>
      </c>
    </row>
    <row r="2458" spans="1:15" hidden="1" x14ac:dyDescent="0.25">
      <c r="A2458" s="10">
        <v>46078</v>
      </c>
      <c r="B2458" t="s">
        <v>35</v>
      </c>
      <c r="C2458" s="1" t="s">
        <v>32</v>
      </c>
      <c r="D2458" s="3">
        <v>15</v>
      </c>
      <c r="E2458" s="3">
        <v>15</v>
      </c>
      <c r="F2458" s="3">
        <v>54.14</v>
      </c>
      <c r="G2458" s="3">
        <v>0</v>
      </c>
      <c r="H2458" s="3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 s="3">
        <v>15</v>
      </c>
      <c r="N2458" s="3">
        <v>98.11</v>
      </c>
      <c r="O2458" s="12">
        <v>33.033707865168537</v>
      </c>
    </row>
    <row r="2459" spans="1:15" hidden="1" x14ac:dyDescent="0.25">
      <c r="A2459" s="10">
        <v>46078</v>
      </c>
      <c r="B2459" t="s">
        <v>18</v>
      </c>
      <c r="C2459" s="1" t="s">
        <v>16</v>
      </c>
      <c r="D2459" s="3">
        <v>11</v>
      </c>
      <c r="E2459" s="3">
        <v>10</v>
      </c>
      <c r="F2459" s="3">
        <v>35.19</v>
      </c>
      <c r="G2459" s="3">
        <v>0</v>
      </c>
      <c r="H2459" s="3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 s="3">
        <v>5</v>
      </c>
      <c r="N2459" s="3">
        <v>78.95</v>
      </c>
      <c r="O2459" s="12">
        <v>38.983050847457633</v>
      </c>
    </row>
    <row r="2460" spans="1:15" hidden="1" x14ac:dyDescent="0.25">
      <c r="A2460" s="10">
        <v>46078</v>
      </c>
      <c r="B2460" t="s">
        <v>52</v>
      </c>
      <c r="C2460" s="1" t="s">
        <v>48</v>
      </c>
      <c r="D2460" s="3">
        <v>18</v>
      </c>
      <c r="E2460" s="3">
        <v>17</v>
      </c>
      <c r="F2460" s="3">
        <v>20.52</v>
      </c>
      <c r="G2460" s="3">
        <v>0</v>
      </c>
      <c r="H2460" s="3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 s="3">
        <v>16</v>
      </c>
      <c r="N2460" s="3">
        <v>98.45</v>
      </c>
      <c r="O2460" s="12">
        <v>29.281767955801101</v>
      </c>
    </row>
    <row r="2461" spans="1:15" hidden="1" x14ac:dyDescent="0.25">
      <c r="A2461" s="10">
        <v>46078</v>
      </c>
      <c r="B2461" t="s">
        <v>36</v>
      </c>
      <c r="C2461" s="1" t="s">
        <v>32</v>
      </c>
      <c r="D2461" s="3">
        <v>19</v>
      </c>
      <c r="E2461" s="3">
        <v>18</v>
      </c>
      <c r="F2461" s="3">
        <v>30.19</v>
      </c>
      <c r="G2461" s="3">
        <v>0</v>
      </c>
      <c r="H2461" s="3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 s="3">
        <v>19</v>
      </c>
      <c r="N2461" s="3">
        <v>97.84</v>
      </c>
      <c r="O2461" s="12">
        <v>26.282051282051281</v>
      </c>
    </row>
    <row r="2462" spans="1:15" hidden="1" x14ac:dyDescent="0.25">
      <c r="A2462" s="10">
        <v>46078</v>
      </c>
      <c r="B2462" t="s">
        <v>53</v>
      </c>
      <c r="C2462" s="1" t="s">
        <v>48</v>
      </c>
      <c r="D2462" s="3">
        <v>25</v>
      </c>
      <c r="E2462" s="3">
        <v>21</v>
      </c>
      <c r="F2462" s="3">
        <v>32.380000000000003</v>
      </c>
      <c r="G2462" s="3">
        <v>0</v>
      </c>
      <c r="H2462" s="3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 s="3">
        <v>20</v>
      </c>
      <c r="N2462" s="3">
        <v>98.5</v>
      </c>
      <c r="O2462" s="12">
        <v>23.97769516728625</v>
      </c>
    </row>
    <row r="2463" spans="1:15" hidden="1" x14ac:dyDescent="0.25">
      <c r="A2463" s="10">
        <v>46112</v>
      </c>
      <c r="B2463" t="s">
        <v>22</v>
      </c>
      <c r="C2463" s="1" t="s">
        <v>23</v>
      </c>
      <c r="D2463" s="3">
        <v>29</v>
      </c>
      <c r="E2463" s="3">
        <v>27</v>
      </c>
      <c r="F2463" s="3">
        <v>18.329999999999998</v>
      </c>
      <c r="G2463" s="3">
        <v>0</v>
      </c>
      <c r="H2463" s="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 s="3">
        <v>22</v>
      </c>
      <c r="N2463" s="3">
        <v>99.05</v>
      </c>
      <c r="O2463" s="12">
        <v>26.621923937360179</v>
      </c>
    </row>
    <row r="2464" spans="1:15" hidden="1" x14ac:dyDescent="0.25">
      <c r="A2464" s="10">
        <v>46078</v>
      </c>
      <c r="B2464" t="s">
        <v>54</v>
      </c>
      <c r="C2464" s="1" t="s">
        <v>48</v>
      </c>
      <c r="D2464" s="3">
        <v>24</v>
      </c>
      <c r="E2464" s="3">
        <v>19</v>
      </c>
      <c r="F2464" s="3">
        <v>32.36</v>
      </c>
      <c r="G2464" s="3">
        <v>0</v>
      </c>
      <c r="H2464" s="3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 s="3">
        <v>18</v>
      </c>
      <c r="N2464" s="3">
        <v>98.53</v>
      </c>
      <c r="O2464" s="12">
        <v>31.578947368421051</v>
      </c>
    </row>
    <row r="2465" spans="1:15" hidden="1" x14ac:dyDescent="0.25">
      <c r="A2465" s="10">
        <v>46078</v>
      </c>
      <c r="B2465" t="s">
        <v>37</v>
      </c>
      <c r="C2465" s="1" t="s">
        <v>32</v>
      </c>
      <c r="D2465" s="3">
        <v>36</v>
      </c>
      <c r="E2465" s="3">
        <v>35</v>
      </c>
      <c r="F2465" s="3">
        <v>17.28</v>
      </c>
      <c r="G2465" s="3">
        <v>0</v>
      </c>
      <c r="H2465" s="3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 s="3">
        <v>32</v>
      </c>
      <c r="N2465" s="3">
        <v>100</v>
      </c>
      <c r="O2465" s="12">
        <v>25.72214580467676</v>
      </c>
    </row>
    <row r="2466" spans="1:15" hidden="1" x14ac:dyDescent="0.25">
      <c r="A2466" s="10">
        <v>46078</v>
      </c>
      <c r="B2466" t="s">
        <v>38</v>
      </c>
      <c r="C2466" s="1" t="s">
        <v>32</v>
      </c>
      <c r="D2466" s="3">
        <v>21</v>
      </c>
      <c r="E2466" s="3">
        <v>17</v>
      </c>
      <c r="F2466" s="3">
        <v>19</v>
      </c>
      <c r="G2466" s="3">
        <v>0</v>
      </c>
      <c r="H2466" s="3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 s="3">
        <v>14</v>
      </c>
      <c r="N2466" s="3">
        <v>94.64</v>
      </c>
      <c r="O2466" s="12">
        <v>27.52941176470588</v>
      </c>
    </row>
    <row r="2467" spans="1:15" hidden="1" x14ac:dyDescent="0.25">
      <c r="A2467" s="10">
        <v>46078</v>
      </c>
      <c r="B2467" t="s">
        <v>55</v>
      </c>
      <c r="C2467" s="1" t="s">
        <v>48</v>
      </c>
      <c r="D2467" s="3">
        <v>0</v>
      </c>
      <c r="E2467" s="3">
        <v>0</v>
      </c>
      <c r="F2467" s="3">
        <v>0</v>
      </c>
      <c r="G2467" s="3">
        <v>0</v>
      </c>
      <c r="H2467" s="3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 s="3">
        <v>0</v>
      </c>
      <c r="N2467" s="3">
        <v>99.07</v>
      </c>
      <c r="O2467" s="12">
        <v>26.376811594202898</v>
      </c>
    </row>
    <row r="2468" spans="1:15" hidden="1" x14ac:dyDescent="0.25">
      <c r="A2468" s="10">
        <v>46078</v>
      </c>
      <c r="B2468" t="s">
        <v>39</v>
      </c>
      <c r="C2468" s="1" t="s">
        <v>32</v>
      </c>
      <c r="D2468" s="3">
        <v>0</v>
      </c>
      <c r="E2468" s="3">
        <v>0</v>
      </c>
      <c r="F2468" s="3">
        <v>0</v>
      </c>
      <c r="G2468" s="3">
        <v>0</v>
      </c>
      <c r="H2468" s="3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 s="3">
        <v>0</v>
      </c>
      <c r="N2468" s="3">
        <v>100</v>
      </c>
      <c r="O2468" s="12">
        <v>0</v>
      </c>
    </row>
    <row r="2469" spans="1:15" hidden="1" x14ac:dyDescent="0.25">
      <c r="A2469" s="10">
        <v>46078</v>
      </c>
      <c r="B2469" t="s">
        <v>25</v>
      </c>
      <c r="C2469" s="1" t="s">
        <v>26</v>
      </c>
      <c r="D2469" s="3">
        <v>13</v>
      </c>
      <c r="E2469" s="3">
        <v>10</v>
      </c>
      <c r="F2469" s="3">
        <v>35.19</v>
      </c>
      <c r="G2469" s="3">
        <v>0</v>
      </c>
      <c r="H2469" s="3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 s="3">
        <v>8</v>
      </c>
      <c r="N2469" s="3">
        <v>98.48</v>
      </c>
      <c r="O2469" s="12">
        <v>27.853881278538811</v>
      </c>
    </row>
    <row r="2470" spans="1:15" hidden="1" x14ac:dyDescent="0.25">
      <c r="A2470" s="10">
        <v>46078</v>
      </c>
      <c r="B2470" t="s">
        <v>40</v>
      </c>
      <c r="C2470" s="1" t="s">
        <v>32</v>
      </c>
      <c r="D2470" s="3">
        <v>0</v>
      </c>
      <c r="E2470" s="3">
        <v>0</v>
      </c>
      <c r="F2470" s="3">
        <v>0</v>
      </c>
      <c r="G2470" s="3">
        <v>0</v>
      </c>
      <c r="H2470" s="3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 s="3">
        <v>30</v>
      </c>
      <c r="N2470" s="3">
        <v>95.15</v>
      </c>
      <c r="O2470" s="12">
        <v>34.131736526946113</v>
      </c>
    </row>
    <row r="2471" spans="1:15" hidden="1" x14ac:dyDescent="0.25">
      <c r="A2471" s="10">
        <v>46078</v>
      </c>
      <c r="B2471" t="s">
        <v>27</v>
      </c>
      <c r="C2471" s="1" t="s">
        <v>26</v>
      </c>
      <c r="D2471" s="3">
        <v>0</v>
      </c>
      <c r="E2471" s="3">
        <v>0</v>
      </c>
      <c r="F2471" s="3">
        <v>0</v>
      </c>
      <c r="G2471" s="3">
        <v>0</v>
      </c>
      <c r="H2471" s="3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 s="3">
        <v>0</v>
      </c>
      <c r="N2471" s="3">
        <v>0</v>
      </c>
      <c r="O2471" s="12">
        <v>0</v>
      </c>
    </row>
    <row r="2472" spans="1:15" hidden="1" x14ac:dyDescent="0.25">
      <c r="A2472" s="10">
        <v>46078</v>
      </c>
      <c r="B2472" t="s">
        <v>41</v>
      </c>
      <c r="C2472" s="1" t="s">
        <v>32</v>
      </c>
      <c r="D2472" s="3">
        <v>18</v>
      </c>
      <c r="E2472" s="3">
        <v>17</v>
      </c>
      <c r="F2472" s="3">
        <v>25.28</v>
      </c>
      <c r="G2472" s="3">
        <v>0</v>
      </c>
      <c r="H2472" s="3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 s="3">
        <v>16</v>
      </c>
      <c r="N2472" s="3">
        <v>99.26</v>
      </c>
      <c r="O2472" s="12">
        <v>30.84832904884319</v>
      </c>
    </row>
    <row r="2473" spans="1:15" hidden="1" x14ac:dyDescent="0.25">
      <c r="A2473" s="10">
        <v>46078</v>
      </c>
      <c r="B2473" t="s">
        <v>56</v>
      </c>
      <c r="C2473" s="1" t="s">
        <v>48</v>
      </c>
      <c r="D2473" s="3">
        <v>31</v>
      </c>
      <c r="E2473" s="3">
        <v>27</v>
      </c>
      <c r="F2473" s="3">
        <v>25.11</v>
      </c>
      <c r="G2473" s="3">
        <v>0</v>
      </c>
      <c r="H2473" s="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 s="3">
        <v>26</v>
      </c>
      <c r="N2473" s="3">
        <v>97.48</v>
      </c>
      <c r="O2473" s="12">
        <v>27.764705882352938</v>
      </c>
    </row>
    <row r="2474" spans="1:15" hidden="1" x14ac:dyDescent="0.25">
      <c r="A2474" s="10">
        <v>46078</v>
      </c>
      <c r="B2474" t="s">
        <v>57</v>
      </c>
      <c r="C2474" s="1" t="s">
        <v>48</v>
      </c>
      <c r="D2474" s="3">
        <v>16</v>
      </c>
      <c r="E2474" s="3">
        <v>16</v>
      </c>
      <c r="F2474" s="3">
        <v>43.46</v>
      </c>
      <c r="G2474" s="3">
        <v>0</v>
      </c>
      <c r="H2474" s="3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 s="3">
        <v>15</v>
      </c>
      <c r="N2474" s="3">
        <v>99.34</v>
      </c>
      <c r="O2474" s="12">
        <v>30.04291845493562</v>
      </c>
    </row>
    <row r="2475" spans="1:15" hidden="1" x14ac:dyDescent="0.25">
      <c r="A2475" s="10">
        <v>46078</v>
      </c>
      <c r="B2475" t="s">
        <v>42</v>
      </c>
      <c r="C2475" s="1" t="s">
        <v>32</v>
      </c>
      <c r="D2475" s="3">
        <v>50</v>
      </c>
      <c r="E2475" s="3">
        <v>44</v>
      </c>
      <c r="F2475" s="3">
        <v>13.46</v>
      </c>
      <c r="G2475" s="3">
        <v>0</v>
      </c>
      <c r="H2475" s="3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 s="3">
        <v>25</v>
      </c>
      <c r="N2475" s="3">
        <v>96.3</v>
      </c>
      <c r="O2475" s="12">
        <v>24.29378531073446</v>
      </c>
    </row>
    <row r="2476" spans="1:15" hidden="1" x14ac:dyDescent="0.25">
      <c r="A2476" s="10">
        <v>46078</v>
      </c>
      <c r="B2476" t="s">
        <v>62</v>
      </c>
      <c r="C2476" s="1" t="s">
        <v>23</v>
      </c>
      <c r="D2476" s="3">
        <v>15</v>
      </c>
      <c r="E2476" s="3">
        <v>15</v>
      </c>
      <c r="F2476" s="3">
        <v>33.35</v>
      </c>
      <c r="G2476" s="3">
        <v>0</v>
      </c>
      <c r="H2476" s="3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 s="3">
        <v>16</v>
      </c>
      <c r="N2476" s="3">
        <v>100</v>
      </c>
      <c r="O2476" s="12">
        <v>26.543209876543209</v>
      </c>
    </row>
    <row r="2477" spans="1:15" hidden="1" x14ac:dyDescent="0.25">
      <c r="A2477" s="10">
        <v>46078</v>
      </c>
      <c r="B2477" t="s">
        <v>19</v>
      </c>
      <c r="C2477" s="1" t="s">
        <v>16</v>
      </c>
      <c r="D2477" s="3">
        <v>7</v>
      </c>
      <c r="E2477" s="3">
        <v>7</v>
      </c>
      <c r="F2477" s="3">
        <v>58.35</v>
      </c>
      <c r="G2477" s="3">
        <v>0</v>
      </c>
      <c r="H2477" s="3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 s="3">
        <v>6</v>
      </c>
      <c r="N2477" s="3">
        <v>100</v>
      </c>
      <c r="O2477" s="12">
        <v>35.483870967741943</v>
      </c>
    </row>
    <row r="2478" spans="1:15" hidden="1" x14ac:dyDescent="0.25">
      <c r="A2478" s="10">
        <v>46078</v>
      </c>
      <c r="B2478" t="s">
        <v>43</v>
      </c>
      <c r="C2478" s="1" t="s">
        <v>32</v>
      </c>
      <c r="D2478" s="3">
        <v>25</v>
      </c>
      <c r="E2478" s="3">
        <v>23</v>
      </c>
      <c r="F2478" s="3">
        <v>25.21</v>
      </c>
      <c r="G2478" s="3">
        <v>0</v>
      </c>
      <c r="H2478" s="3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 s="3">
        <v>22</v>
      </c>
      <c r="N2478" s="3">
        <v>99.27</v>
      </c>
      <c r="O2478" s="12">
        <v>31.163708086785011</v>
      </c>
    </row>
    <row r="2479" spans="1:15" hidden="1" x14ac:dyDescent="0.25">
      <c r="A2479" s="10">
        <v>46078</v>
      </c>
      <c r="B2479" t="s">
        <v>44</v>
      </c>
      <c r="C2479" s="1" t="s">
        <v>32</v>
      </c>
      <c r="D2479" s="3">
        <v>19</v>
      </c>
      <c r="E2479" s="3">
        <v>18</v>
      </c>
      <c r="F2479" s="3">
        <v>29.04</v>
      </c>
      <c r="G2479" s="3">
        <v>0</v>
      </c>
      <c r="H2479" s="3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 s="3">
        <v>15</v>
      </c>
      <c r="N2479" s="3">
        <v>94.16</v>
      </c>
      <c r="O2479" s="12">
        <v>27.038626609442058</v>
      </c>
    </row>
    <row r="2480" spans="1:15" hidden="1" x14ac:dyDescent="0.25">
      <c r="A2480" s="10">
        <v>46078</v>
      </c>
      <c r="B2480" t="s">
        <v>20</v>
      </c>
      <c r="C2480" s="1" t="s">
        <v>16</v>
      </c>
      <c r="D2480" s="3">
        <v>13</v>
      </c>
      <c r="E2480" s="3">
        <v>13</v>
      </c>
      <c r="F2480" s="3">
        <v>37.200000000000003</v>
      </c>
      <c r="G2480" s="3">
        <v>0</v>
      </c>
      <c r="H2480" s="3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 s="3">
        <v>4</v>
      </c>
      <c r="N2480" s="3">
        <v>93.75</v>
      </c>
      <c r="O2480" s="12">
        <v>19.31818181818182</v>
      </c>
    </row>
    <row r="2481" spans="1:15" hidden="1" x14ac:dyDescent="0.25">
      <c r="A2481" s="10">
        <v>46078</v>
      </c>
      <c r="B2481" t="s">
        <v>28</v>
      </c>
      <c r="C2481" s="1" t="s">
        <v>26</v>
      </c>
      <c r="D2481" s="3">
        <v>0</v>
      </c>
      <c r="E2481" s="3">
        <v>0</v>
      </c>
      <c r="F2481" s="3">
        <v>0</v>
      </c>
      <c r="G2481" s="3">
        <v>0</v>
      </c>
      <c r="H2481" s="3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 s="3">
        <v>0</v>
      </c>
      <c r="N2481" s="3">
        <v>0</v>
      </c>
      <c r="O2481" s="12">
        <v>0</v>
      </c>
    </row>
    <row r="2482" spans="1:15" hidden="1" x14ac:dyDescent="0.25">
      <c r="A2482" s="10">
        <v>46078</v>
      </c>
      <c r="B2482" t="s">
        <v>58</v>
      </c>
      <c r="C2482" s="1" t="s">
        <v>48</v>
      </c>
      <c r="D2482" s="3">
        <v>0</v>
      </c>
      <c r="E2482" s="3">
        <v>0</v>
      </c>
      <c r="F2482" s="3">
        <v>0</v>
      </c>
      <c r="G2482" s="3">
        <v>0</v>
      </c>
      <c r="H2482" s="3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 s="3">
        <v>0</v>
      </c>
      <c r="N2482" s="3">
        <v>97.92</v>
      </c>
      <c r="O2482" s="12">
        <v>32.87671232876712</v>
      </c>
    </row>
    <row r="2483" spans="1:15" hidden="1" x14ac:dyDescent="0.25">
      <c r="A2483" s="10">
        <v>46078</v>
      </c>
      <c r="B2483" t="s">
        <v>29</v>
      </c>
      <c r="C2483" s="1" t="s">
        <v>26</v>
      </c>
      <c r="D2483" s="3">
        <v>0</v>
      </c>
      <c r="E2483" s="3">
        <v>0</v>
      </c>
      <c r="F2483" s="3">
        <v>0</v>
      </c>
      <c r="G2483" s="3">
        <v>0</v>
      </c>
      <c r="H2483" s="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 s="3">
        <v>0</v>
      </c>
      <c r="N2483" s="3">
        <v>0</v>
      </c>
      <c r="O2483" s="12">
        <v>0</v>
      </c>
    </row>
    <row r="2484" spans="1:15" hidden="1" x14ac:dyDescent="0.25">
      <c r="A2484" s="10">
        <v>46078</v>
      </c>
      <c r="B2484" t="s">
        <v>30</v>
      </c>
      <c r="C2484" s="1" t="s">
        <v>26</v>
      </c>
      <c r="D2484" s="3">
        <v>0</v>
      </c>
      <c r="E2484" s="3">
        <v>0</v>
      </c>
      <c r="F2484" s="3">
        <v>0</v>
      </c>
      <c r="G2484" s="3">
        <v>0</v>
      </c>
      <c r="H2484" s="3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 s="3">
        <v>0</v>
      </c>
      <c r="N2484" s="3">
        <v>0</v>
      </c>
      <c r="O2484" s="12">
        <v>0</v>
      </c>
    </row>
    <row r="2485" spans="1:15" hidden="1" x14ac:dyDescent="0.25">
      <c r="A2485" s="10">
        <v>46078</v>
      </c>
      <c r="B2485" t="s">
        <v>21</v>
      </c>
      <c r="C2485" s="1" t="s">
        <v>16</v>
      </c>
      <c r="D2485" s="3">
        <v>0</v>
      </c>
      <c r="E2485" s="3">
        <v>0</v>
      </c>
      <c r="F2485" s="3">
        <v>0</v>
      </c>
      <c r="G2485" s="3">
        <v>0</v>
      </c>
      <c r="H2485" s="3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 s="3">
        <v>0</v>
      </c>
      <c r="N2485" s="3">
        <v>0</v>
      </c>
      <c r="O2485" s="12">
        <v>0</v>
      </c>
    </row>
    <row r="2486" spans="1:15" hidden="1" x14ac:dyDescent="0.25">
      <c r="A2486" s="10">
        <v>46078</v>
      </c>
      <c r="B2486" t="s">
        <v>63</v>
      </c>
      <c r="C2486" s="1" t="s">
        <v>23</v>
      </c>
      <c r="D2486" s="3">
        <v>22</v>
      </c>
      <c r="E2486" s="3">
        <v>21</v>
      </c>
      <c r="F2486" s="3">
        <v>23.49</v>
      </c>
      <c r="G2486" s="3">
        <v>0</v>
      </c>
      <c r="H2486" s="3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 s="3">
        <v>17</v>
      </c>
      <c r="N2486" s="3">
        <v>98.51</v>
      </c>
      <c r="O2486" s="12">
        <v>29.710144927536231</v>
      </c>
    </row>
    <row r="2487" spans="1:15" hidden="1" x14ac:dyDescent="0.25">
      <c r="A2487" s="10">
        <v>46078</v>
      </c>
      <c r="B2487" t="s">
        <v>45</v>
      </c>
      <c r="C2487" s="1" t="s">
        <v>32</v>
      </c>
      <c r="D2487" s="3">
        <v>36</v>
      </c>
      <c r="E2487" s="3">
        <v>33</v>
      </c>
      <c r="F2487" s="3">
        <v>20.29</v>
      </c>
      <c r="G2487" s="3">
        <v>0</v>
      </c>
      <c r="H2487" s="3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 s="3">
        <v>25</v>
      </c>
      <c r="N2487" s="3">
        <v>98.81</v>
      </c>
      <c r="O2487" s="12">
        <v>30.712979890310791</v>
      </c>
    </row>
    <row r="2488" spans="1:15" hidden="1" x14ac:dyDescent="0.25">
      <c r="A2488" s="10">
        <v>46078</v>
      </c>
      <c r="B2488" t="s">
        <v>64</v>
      </c>
      <c r="C2488" s="1" t="s">
        <v>23</v>
      </c>
      <c r="D2488" s="3">
        <v>12</v>
      </c>
      <c r="E2488" s="3">
        <v>5</v>
      </c>
      <c r="F2488" s="3">
        <v>15.23</v>
      </c>
      <c r="G2488" s="3">
        <v>0</v>
      </c>
      <c r="H2488" s="3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 s="3">
        <v>10</v>
      </c>
      <c r="N2488" s="3">
        <v>98.48</v>
      </c>
      <c r="O2488" s="12">
        <v>29.35323383084577</v>
      </c>
    </row>
    <row r="2489" spans="1:15" hidden="1" x14ac:dyDescent="0.25">
      <c r="A2489" s="10">
        <v>46078</v>
      </c>
      <c r="B2489" t="s">
        <v>46</v>
      </c>
      <c r="C2489" s="1" t="s">
        <v>32</v>
      </c>
      <c r="D2489" s="3">
        <v>27</v>
      </c>
      <c r="E2489" s="3">
        <v>26</v>
      </c>
      <c r="F2489" s="3">
        <v>25.24</v>
      </c>
      <c r="G2489" s="3">
        <v>0</v>
      </c>
      <c r="H2489" s="3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 s="3">
        <v>21</v>
      </c>
      <c r="N2489" s="3">
        <v>98.56</v>
      </c>
      <c r="O2489" s="12">
        <v>29.373650107991359</v>
      </c>
    </row>
    <row r="2490" spans="1:15" hidden="1" x14ac:dyDescent="0.25">
      <c r="A2490" s="10">
        <v>46079</v>
      </c>
      <c r="B2490" t="s">
        <v>47</v>
      </c>
      <c r="C2490" s="1" t="s">
        <v>48</v>
      </c>
      <c r="D2490" s="3">
        <v>20</v>
      </c>
      <c r="E2490" s="3">
        <v>19</v>
      </c>
      <c r="F2490" s="3">
        <v>26.4</v>
      </c>
      <c r="G2490" s="3">
        <v>0</v>
      </c>
      <c r="H2490" s="3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 s="3">
        <v>18</v>
      </c>
      <c r="N2490" s="3">
        <v>98.32</v>
      </c>
      <c r="O2490" s="12">
        <v>30.303030303030301</v>
      </c>
    </row>
    <row r="2491" spans="1:15" hidden="1" x14ac:dyDescent="0.25">
      <c r="A2491" s="10">
        <v>46079</v>
      </c>
      <c r="B2491" t="s">
        <v>31</v>
      </c>
      <c r="C2491" s="1" t="s">
        <v>32</v>
      </c>
      <c r="D2491" s="3">
        <v>0</v>
      </c>
      <c r="E2491" s="3">
        <v>0</v>
      </c>
      <c r="F2491" s="3">
        <v>0</v>
      </c>
      <c r="G2491" s="3">
        <v>0</v>
      </c>
      <c r="H2491" s="3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 s="3">
        <v>22</v>
      </c>
      <c r="N2491" s="3">
        <v>98.68</v>
      </c>
      <c r="O2491" s="12">
        <v>26.219512195121951</v>
      </c>
    </row>
    <row r="2492" spans="1:15" hidden="1" x14ac:dyDescent="0.25">
      <c r="A2492" s="10">
        <v>46079</v>
      </c>
      <c r="B2492" t="s">
        <v>59</v>
      </c>
      <c r="C2492" s="1" t="s">
        <v>23</v>
      </c>
      <c r="D2492" s="3">
        <v>25</v>
      </c>
      <c r="E2492" s="3">
        <v>24</v>
      </c>
      <c r="F2492" s="3">
        <v>27.07</v>
      </c>
      <c r="G2492" s="3">
        <v>0</v>
      </c>
      <c r="H2492" s="3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 s="3">
        <v>25</v>
      </c>
      <c r="N2492" s="3">
        <v>100</v>
      </c>
      <c r="O2492" s="12">
        <v>31.74224343675418</v>
      </c>
    </row>
    <row r="2493" spans="1:15" hidden="1" x14ac:dyDescent="0.25">
      <c r="A2493" s="10">
        <v>46079</v>
      </c>
      <c r="B2493" t="s">
        <v>33</v>
      </c>
      <c r="C2493" s="1" t="s">
        <v>32</v>
      </c>
      <c r="D2493" s="3">
        <v>21</v>
      </c>
      <c r="E2493" s="3">
        <v>20</v>
      </c>
      <c r="F2493" s="3">
        <v>31.56</v>
      </c>
      <c r="G2493" s="3">
        <v>0</v>
      </c>
      <c r="H2493" s="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 s="3">
        <v>22</v>
      </c>
      <c r="N2493" s="3">
        <v>98.25</v>
      </c>
      <c r="O2493" s="12">
        <v>25.83518930957684</v>
      </c>
    </row>
    <row r="2494" spans="1:15" hidden="1" x14ac:dyDescent="0.25">
      <c r="A2494" s="10">
        <v>46079</v>
      </c>
      <c r="B2494" t="s">
        <v>15</v>
      </c>
      <c r="C2494" s="1" t="s">
        <v>16</v>
      </c>
      <c r="D2494" s="3">
        <v>11</v>
      </c>
      <c r="E2494" s="3">
        <v>9</v>
      </c>
      <c r="F2494" s="3">
        <v>32.06</v>
      </c>
      <c r="G2494" s="3">
        <v>0</v>
      </c>
      <c r="H2494" s="3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 s="3">
        <v>11</v>
      </c>
      <c r="N2494" s="3">
        <v>97.5</v>
      </c>
      <c r="O2494" s="12">
        <v>30.075187969924809</v>
      </c>
    </row>
    <row r="2495" spans="1:15" hidden="1" x14ac:dyDescent="0.25">
      <c r="A2495" s="10">
        <v>46079</v>
      </c>
      <c r="B2495" t="s">
        <v>49</v>
      </c>
      <c r="C2495" s="1" t="s">
        <v>48</v>
      </c>
      <c r="D2495" s="3">
        <v>27</v>
      </c>
      <c r="E2495" s="3">
        <v>26</v>
      </c>
      <c r="F2495" s="3">
        <v>20.260000000000002</v>
      </c>
      <c r="G2495" s="3">
        <v>0</v>
      </c>
      <c r="H2495" s="3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 s="3">
        <v>23</v>
      </c>
      <c r="N2495" s="3">
        <v>100</v>
      </c>
      <c r="O2495" s="12">
        <v>29.71311475409836</v>
      </c>
    </row>
    <row r="2496" spans="1:15" hidden="1" x14ac:dyDescent="0.25">
      <c r="A2496" s="10">
        <v>46079</v>
      </c>
      <c r="B2496" t="s">
        <v>50</v>
      </c>
      <c r="C2496" s="1" t="s">
        <v>48</v>
      </c>
      <c r="D2496" s="3">
        <v>11</v>
      </c>
      <c r="E2496" s="3">
        <v>11</v>
      </c>
      <c r="F2496" s="3">
        <v>60.37</v>
      </c>
      <c r="G2496" s="3">
        <v>0</v>
      </c>
      <c r="H2496" s="3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 s="3">
        <v>10</v>
      </c>
      <c r="N2496" s="3">
        <v>99.22</v>
      </c>
      <c r="O2496" s="12">
        <v>35.256410256410263</v>
      </c>
    </row>
    <row r="2497" spans="1:15" hidden="1" x14ac:dyDescent="0.25">
      <c r="A2497" s="10">
        <v>46079</v>
      </c>
      <c r="B2497" t="s">
        <v>17</v>
      </c>
      <c r="C2497" s="1" t="s">
        <v>16</v>
      </c>
      <c r="D2497" s="3">
        <v>0</v>
      </c>
      <c r="E2497" s="3">
        <v>0</v>
      </c>
      <c r="F2497" s="3">
        <v>0</v>
      </c>
      <c r="G2497" s="3">
        <v>0</v>
      </c>
      <c r="H2497" s="3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 s="3">
        <v>0</v>
      </c>
      <c r="N2497" s="3">
        <v>0</v>
      </c>
      <c r="O2497" s="12">
        <v>0</v>
      </c>
    </row>
    <row r="2498" spans="1:15" hidden="1" x14ac:dyDescent="0.25">
      <c r="A2498" s="10">
        <v>46079</v>
      </c>
      <c r="B2498" t="s">
        <v>60</v>
      </c>
      <c r="C2498" s="1" t="s">
        <v>23</v>
      </c>
      <c r="D2498" s="3">
        <v>16</v>
      </c>
      <c r="E2498" s="3">
        <v>15</v>
      </c>
      <c r="F2498" s="3">
        <v>40.14</v>
      </c>
      <c r="G2498" s="3">
        <v>0</v>
      </c>
      <c r="H2498" s="3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 s="3">
        <v>13</v>
      </c>
      <c r="N2498" s="3">
        <v>98.75</v>
      </c>
      <c r="O2498" s="12">
        <v>24.32432432432433</v>
      </c>
    </row>
    <row r="2499" spans="1:15" hidden="1" x14ac:dyDescent="0.25">
      <c r="A2499" s="10">
        <v>46079</v>
      </c>
      <c r="B2499" t="s">
        <v>34</v>
      </c>
      <c r="C2499" s="1" t="s">
        <v>32</v>
      </c>
      <c r="D2499" s="3">
        <v>21</v>
      </c>
      <c r="E2499" s="3">
        <v>21</v>
      </c>
      <c r="F2499" s="3">
        <v>33.28</v>
      </c>
      <c r="G2499" s="3">
        <v>0</v>
      </c>
      <c r="H2499" s="3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 s="3">
        <v>20</v>
      </c>
      <c r="N2499" s="3">
        <v>93.48</v>
      </c>
      <c r="O2499" s="12">
        <v>31.52804642166344</v>
      </c>
    </row>
    <row r="2500" spans="1:15" hidden="1" x14ac:dyDescent="0.25">
      <c r="A2500" s="10">
        <v>46079</v>
      </c>
      <c r="B2500" t="s">
        <v>51</v>
      </c>
      <c r="C2500" s="1" t="s">
        <v>48</v>
      </c>
      <c r="D2500" s="3">
        <v>19</v>
      </c>
      <c r="E2500" s="3">
        <v>17</v>
      </c>
      <c r="F2500" s="3">
        <v>33.270000000000003</v>
      </c>
      <c r="G2500" s="3">
        <v>0</v>
      </c>
      <c r="H2500" s="3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 s="3">
        <v>14</v>
      </c>
      <c r="N2500" s="3">
        <v>99.16</v>
      </c>
      <c r="O2500" s="12">
        <v>26.13908872901678</v>
      </c>
    </row>
    <row r="2501" spans="1:15" hidden="1" x14ac:dyDescent="0.25">
      <c r="A2501" s="10">
        <v>46079</v>
      </c>
      <c r="B2501" t="s">
        <v>61</v>
      </c>
      <c r="C2501" s="1" t="s">
        <v>23</v>
      </c>
      <c r="D2501" s="3">
        <v>13</v>
      </c>
      <c r="E2501" s="3">
        <v>13</v>
      </c>
      <c r="F2501" s="3">
        <v>51.46</v>
      </c>
      <c r="G2501" s="3">
        <v>0</v>
      </c>
      <c r="H2501" s="3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 s="3">
        <v>8</v>
      </c>
      <c r="N2501" s="3">
        <v>100</v>
      </c>
      <c r="O2501" s="12">
        <v>31.089743589743591</v>
      </c>
    </row>
    <row r="2502" spans="1:15" hidden="1" x14ac:dyDescent="0.25">
      <c r="A2502" s="10">
        <v>46079</v>
      </c>
      <c r="B2502" t="s">
        <v>35</v>
      </c>
      <c r="C2502" s="1" t="s">
        <v>32</v>
      </c>
      <c r="D2502" s="3">
        <v>18</v>
      </c>
      <c r="E2502" s="3">
        <v>17</v>
      </c>
      <c r="F2502" s="3">
        <v>40.32</v>
      </c>
      <c r="G2502" s="3">
        <v>0</v>
      </c>
      <c r="H2502" s="3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 s="3">
        <v>18</v>
      </c>
      <c r="N2502" s="3">
        <v>98.11</v>
      </c>
      <c r="O2502" s="12">
        <v>33.033707865168537</v>
      </c>
    </row>
    <row r="2503" spans="1:15" hidden="1" x14ac:dyDescent="0.25">
      <c r="A2503" s="10">
        <v>46079</v>
      </c>
      <c r="B2503" t="s">
        <v>18</v>
      </c>
      <c r="C2503" s="1" t="s">
        <v>16</v>
      </c>
      <c r="D2503" s="3">
        <v>8</v>
      </c>
      <c r="E2503" s="3">
        <v>8</v>
      </c>
      <c r="F2503" s="3">
        <v>45.06</v>
      </c>
      <c r="G2503" s="3">
        <v>0</v>
      </c>
      <c r="H2503" s="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 s="3">
        <v>4</v>
      </c>
      <c r="N2503" s="3">
        <v>78.95</v>
      </c>
      <c r="O2503" s="12">
        <v>38.983050847457633</v>
      </c>
    </row>
    <row r="2504" spans="1:15" hidden="1" x14ac:dyDescent="0.25">
      <c r="A2504" s="10">
        <v>46079</v>
      </c>
      <c r="B2504" t="s">
        <v>52</v>
      </c>
      <c r="C2504" s="1" t="s">
        <v>48</v>
      </c>
      <c r="D2504" s="3">
        <v>23</v>
      </c>
      <c r="E2504" s="3">
        <v>22</v>
      </c>
      <c r="F2504" s="3">
        <v>29.14</v>
      </c>
      <c r="G2504" s="3">
        <v>0</v>
      </c>
      <c r="H2504" s="3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 s="3">
        <v>20</v>
      </c>
      <c r="N2504" s="3">
        <v>98.45</v>
      </c>
      <c r="O2504" s="12">
        <v>29.281767955801101</v>
      </c>
    </row>
    <row r="2505" spans="1:15" hidden="1" x14ac:dyDescent="0.25">
      <c r="A2505" s="10">
        <v>46079</v>
      </c>
      <c r="B2505" t="s">
        <v>36</v>
      </c>
      <c r="C2505" s="1" t="s">
        <v>32</v>
      </c>
      <c r="D2505" s="3">
        <v>22</v>
      </c>
      <c r="E2505" s="3">
        <v>21</v>
      </c>
      <c r="F2505" s="3">
        <v>28.42</v>
      </c>
      <c r="G2505" s="3">
        <v>0</v>
      </c>
      <c r="H2505" s="3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 s="3">
        <v>20</v>
      </c>
      <c r="N2505" s="3">
        <v>97.84</v>
      </c>
      <c r="O2505" s="12">
        <v>26.282051282051281</v>
      </c>
    </row>
    <row r="2506" spans="1:15" hidden="1" x14ac:dyDescent="0.25">
      <c r="A2506" s="10">
        <v>46079</v>
      </c>
      <c r="B2506" t="s">
        <v>53</v>
      </c>
      <c r="C2506" s="1" t="s">
        <v>48</v>
      </c>
      <c r="D2506" s="3">
        <v>23</v>
      </c>
      <c r="E2506" s="3">
        <v>22</v>
      </c>
      <c r="F2506" s="3">
        <v>30.31</v>
      </c>
      <c r="G2506" s="3">
        <v>0</v>
      </c>
      <c r="H2506" s="3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 s="3">
        <v>19</v>
      </c>
      <c r="N2506" s="3">
        <v>98.5</v>
      </c>
      <c r="O2506" s="12">
        <v>23.97769516728625</v>
      </c>
    </row>
    <row r="2507" spans="1:15" hidden="1" x14ac:dyDescent="0.25">
      <c r="A2507" s="10">
        <v>46113</v>
      </c>
      <c r="B2507" t="s">
        <v>22</v>
      </c>
      <c r="C2507" s="1" t="s">
        <v>23</v>
      </c>
      <c r="D2507" s="3">
        <v>25</v>
      </c>
      <c r="E2507" s="3">
        <v>25</v>
      </c>
      <c r="F2507" s="3">
        <v>20.399999999999999</v>
      </c>
      <c r="G2507" s="3">
        <v>0</v>
      </c>
      <c r="H2507" s="3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 s="3">
        <v>23</v>
      </c>
      <c r="N2507" s="3">
        <v>99.28</v>
      </c>
      <c r="O2507" s="12">
        <v>27.689243027888441</v>
      </c>
    </row>
    <row r="2508" spans="1:15" hidden="1" x14ac:dyDescent="0.25">
      <c r="A2508" s="10">
        <v>46079</v>
      </c>
      <c r="B2508" t="s">
        <v>54</v>
      </c>
      <c r="C2508" s="1" t="s">
        <v>48</v>
      </c>
      <c r="D2508" s="3">
        <v>29</v>
      </c>
      <c r="E2508" s="3">
        <v>26</v>
      </c>
      <c r="F2508" s="3">
        <v>23.29</v>
      </c>
      <c r="G2508" s="3">
        <v>0</v>
      </c>
      <c r="H2508" s="3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 s="3">
        <v>23</v>
      </c>
      <c r="N2508" s="3">
        <v>98.53</v>
      </c>
      <c r="O2508" s="12">
        <v>31.578947368421051</v>
      </c>
    </row>
    <row r="2509" spans="1:15" hidden="1" x14ac:dyDescent="0.25">
      <c r="A2509" s="10">
        <v>46079</v>
      </c>
      <c r="B2509" t="s">
        <v>37</v>
      </c>
      <c r="C2509" s="1" t="s">
        <v>32</v>
      </c>
      <c r="D2509" s="3">
        <v>45</v>
      </c>
      <c r="E2509" s="3">
        <v>43</v>
      </c>
      <c r="F2509" s="3">
        <v>17</v>
      </c>
      <c r="G2509" s="3">
        <v>0</v>
      </c>
      <c r="H2509" s="3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 s="3">
        <v>44</v>
      </c>
      <c r="N2509" s="3">
        <v>100</v>
      </c>
      <c r="O2509" s="12">
        <v>25.72214580467676</v>
      </c>
    </row>
    <row r="2510" spans="1:15" hidden="1" x14ac:dyDescent="0.25">
      <c r="A2510" s="10">
        <v>46079</v>
      </c>
      <c r="B2510" t="s">
        <v>38</v>
      </c>
      <c r="C2510" s="1" t="s">
        <v>32</v>
      </c>
      <c r="D2510" s="3">
        <v>20</v>
      </c>
      <c r="E2510" s="3">
        <v>18</v>
      </c>
      <c r="F2510" s="3">
        <v>17.25</v>
      </c>
      <c r="G2510" s="3">
        <v>0</v>
      </c>
      <c r="H2510" s="3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 s="3">
        <v>15</v>
      </c>
      <c r="N2510" s="3">
        <v>94.64</v>
      </c>
      <c r="O2510" s="12">
        <v>27.52941176470588</v>
      </c>
    </row>
    <row r="2511" spans="1:15" hidden="1" x14ac:dyDescent="0.25">
      <c r="A2511" s="10">
        <v>46079</v>
      </c>
      <c r="B2511" t="s">
        <v>55</v>
      </c>
      <c r="C2511" s="1" t="s">
        <v>48</v>
      </c>
      <c r="D2511" s="3">
        <v>12</v>
      </c>
      <c r="E2511" s="3">
        <v>12</v>
      </c>
      <c r="F2511" s="3">
        <v>43.28</v>
      </c>
      <c r="G2511" s="3">
        <v>0</v>
      </c>
      <c r="H2511" s="3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 s="3">
        <v>11</v>
      </c>
      <c r="N2511" s="3">
        <v>99.07</v>
      </c>
      <c r="O2511" s="12">
        <v>26.376811594202898</v>
      </c>
    </row>
    <row r="2512" spans="1:15" hidden="1" x14ac:dyDescent="0.25">
      <c r="A2512" s="10">
        <v>46079</v>
      </c>
      <c r="B2512" t="s">
        <v>39</v>
      </c>
      <c r="C2512" s="1" t="s">
        <v>32</v>
      </c>
      <c r="D2512" s="3">
        <v>0</v>
      </c>
      <c r="E2512" s="3">
        <v>0</v>
      </c>
      <c r="F2512" s="3">
        <v>0</v>
      </c>
      <c r="G2512" s="3">
        <v>0</v>
      </c>
      <c r="H2512" s="3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 s="3">
        <v>0</v>
      </c>
      <c r="N2512" s="3">
        <v>100</v>
      </c>
      <c r="O2512" s="12">
        <v>0</v>
      </c>
    </row>
    <row r="2513" spans="1:15" hidden="1" x14ac:dyDescent="0.25">
      <c r="A2513" s="10">
        <v>46079</v>
      </c>
      <c r="B2513" t="s">
        <v>25</v>
      </c>
      <c r="C2513" s="1" t="s">
        <v>26</v>
      </c>
      <c r="D2513" s="3">
        <v>19</v>
      </c>
      <c r="E2513" s="3">
        <v>17</v>
      </c>
      <c r="F2513" s="3">
        <v>25.03</v>
      </c>
      <c r="G2513" s="3">
        <v>0</v>
      </c>
      <c r="H2513" s="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 s="3">
        <v>19</v>
      </c>
      <c r="N2513" s="3">
        <v>98.48</v>
      </c>
      <c r="O2513" s="12">
        <v>27.853881278538811</v>
      </c>
    </row>
    <row r="2514" spans="1:15" hidden="1" x14ac:dyDescent="0.25">
      <c r="A2514" s="10">
        <v>46079</v>
      </c>
      <c r="B2514" t="s">
        <v>40</v>
      </c>
      <c r="C2514" s="1" t="s">
        <v>32</v>
      </c>
      <c r="D2514" s="3">
        <v>0</v>
      </c>
      <c r="E2514" s="3">
        <v>0</v>
      </c>
      <c r="F2514" s="3">
        <v>0</v>
      </c>
      <c r="G2514" s="3">
        <v>0</v>
      </c>
      <c r="H2514" s="3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 s="3">
        <v>6</v>
      </c>
      <c r="N2514" s="3">
        <v>95.15</v>
      </c>
      <c r="O2514" s="12">
        <v>34.131736526946113</v>
      </c>
    </row>
    <row r="2515" spans="1:15" hidden="1" x14ac:dyDescent="0.25">
      <c r="A2515" s="10">
        <v>46079</v>
      </c>
      <c r="B2515" t="s">
        <v>27</v>
      </c>
      <c r="C2515" s="1" t="s">
        <v>26</v>
      </c>
      <c r="D2515" s="3">
        <v>0</v>
      </c>
      <c r="E2515" s="3">
        <v>0</v>
      </c>
      <c r="F2515" s="3">
        <v>0</v>
      </c>
      <c r="G2515" s="3">
        <v>0</v>
      </c>
      <c r="H2515" s="3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 s="3">
        <v>0</v>
      </c>
      <c r="N2515" s="3">
        <v>0</v>
      </c>
      <c r="O2515" s="12">
        <v>0</v>
      </c>
    </row>
    <row r="2516" spans="1:15" hidden="1" x14ac:dyDescent="0.25">
      <c r="A2516" s="10">
        <v>46079</v>
      </c>
      <c r="B2516" t="s">
        <v>41</v>
      </c>
      <c r="C2516" s="1" t="s">
        <v>32</v>
      </c>
      <c r="D2516" s="3">
        <v>24</v>
      </c>
      <c r="E2516" s="3">
        <v>24</v>
      </c>
      <c r="F2516" s="3">
        <v>24.02</v>
      </c>
      <c r="G2516" s="3">
        <v>0</v>
      </c>
      <c r="H2516" s="3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 s="3">
        <v>23</v>
      </c>
      <c r="N2516" s="3">
        <v>99.26</v>
      </c>
      <c r="O2516" s="12">
        <v>30.84832904884319</v>
      </c>
    </row>
    <row r="2517" spans="1:15" hidden="1" x14ac:dyDescent="0.25">
      <c r="A2517" s="10">
        <v>46079</v>
      </c>
      <c r="B2517" t="s">
        <v>56</v>
      </c>
      <c r="C2517" s="1" t="s">
        <v>48</v>
      </c>
      <c r="D2517" s="3">
        <v>25</v>
      </c>
      <c r="E2517" s="3">
        <v>22</v>
      </c>
      <c r="F2517" s="3">
        <v>30.15</v>
      </c>
      <c r="G2517" s="3">
        <v>0</v>
      </c>
      <c r="H2517" s="3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 s="3">
        <v>19</v>
      </c>
      <c r="N2517" s="3">
        <v>97.48</v>
      </c>
      <c r="O2517" s="12">
        <v>27.764705882352938</v>
      </c>
    </row>
    <row r="2518" spans="1:15" hidden="1" x14ac:dyDescent="0.25">
      <c r="A2518" s="10">
        <v>46079</v>
      </c>
      <c r="B2518" t="s">
        <v>57</v>
      </c>
      <c r="C2518" s="1" t="s">
        <v>48</v>
      </c>
      <c r="D2518" s="3">
        <v>20</v>
      </c>
      <c r="E2518" s="3">
        <v>19</v>
      </c>
      <c r="F2518" s="3">
        <v>30.22</v>
      </c>
      <c r="G2518" s="3">
        <v>0</v>
      </c>
      <c r="H2518" s="3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 s="3">
        <v>22</v>
      </c>
      <c r="N2518" s="3">
        <v>99.34</v>
      </c>
      <c r="O2518" s="12">
        <v>30.04291845493562</v>
      </c>
    </row>
    <row r="2519" spans="1:15" hidden="1" x14ac:dyDescent="0.25">
      <c r="A2519" s="10">
        <v>46079</v>
      </c>
      <c r="B2519" t="s">
        <v>42</v>
      </c>
      <c r="C2519" s="1" t="s">
        <v>32</v>
      </c>
      <c r="D2519" s="3">
        <v>42</v>
      </c>
      <c r="E2519" s="3">
        <v>35</v>
      </c>
      <c r="F2519" s="3">
        <v>16.45</v>
      </c>
      <c r="G2519" s="3">
        <v>0</v>
      </c>
      <c r="H2519" s="3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 s="3">
        <v>18</v>
      </c>
      <c r="N2519" s="3">
        <v>96.3</v>
      </c>
      <c r="O2519" s="12">
        <v>24.29378531073446</v>
      </c>
    </row>
    <row r="2520" spans="1:15" hidden="1" x14ac:dyDescent="0.25">
      <c r="A2520" s="10">
        <v>46079</v>
      </c>
      <c r="B2520" t="s">
        <v>62</v>
      </c>
      <c r="C2520" s="1" t="s">
        <v>23</v>
      </c>
      <c r="D2520" s="3">
        <v>14</v>
      </c>
      <c r="E2520" s="3">
        <v>14</v>
      </c>
      <c r="F2520" s="3">
        <v>38.36</v>
      </c>
      <c r="G2520" s="3">
        <v>0</v>
      </c>
      <c r="H2520" s="3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 s="3">
        <v>12</v>
      </c>
      <c r="N2520" s="3">
        <v>100</v>
      </c>
      <c r="O2520" s="12">
        <v>26.543209876543209</v>
      </c>
    </row>
    <row r="2521" spans="1:15" hidden="1" x14ac:dyDescent="0.25">
      <c r="A2521" s="10">
        <v>46079</v>
      </c>
      <c r="B2521" t="s">
        <v>19</v>
      </c>
      <c r="C2521" s="1" t="s">
        <v>16</v>
      </c>
      <c r="D2521" s="3">
        <v>2</v>
      </c>
      <c r="E2521" s="3">
        <v>2</v>
      </c>
      <c r="F2521" s="3">
        <v>64.099999999999994</v>
      </c>
      <c r="G2521" s="3">
        <v>0</v>
      </c>
      <c r="H2521" s="3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 s="3">
        <v>2</v>
      </c>
      <c r="N2521" s="3">
        <v>100</v>
      </c>
      <c r="O2521" s="12">
        <v>35.483870967741943</v>
      </c>
    </row>
    <row r="2522" spans="1:15" hidden="1" x14ac:dyDescent="0.25">
      <c r="A2522" s="10">
        <v>46079</v>
      </c>
      <c r="B2522" t="s">
        <v>43</v>
      </c>
      <c r="C2522" s="1" t="s">
        <v>32</v>
      </c>
      <c r="D2522" s="3">
        <v>26</v>
      </c>
      <c r="E2522" s="3">
        <v>26</v>
      </c>
      <c r="F2522" s="3">
        <v>30.05</v>
      </c>
      <c r="G2522" s="3">
        <v>0</v>
      </c>
      <c r="H2522" s="3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 s="3">
        <v>25</v>
      </c>
      <c r="N2522" s="3">
        <v>99.27</v>
      </c>
      <c r="O2522" s="12">
        <v>31.163708086785011</v>
      </c>
    </row>
    <row r="2523" spans="1:15" hidden="1" x14ac:dyDescent="0.25">
      <c r="A2523" s="10">
        <v>46079</v>
      </c>
      <c r="B2523" t="s">
        <v>44</v>
      </c>
      <c r="C2523" s="1" t="s">
        <v>32</v>
      </c>
      <c r="D2523" s="3">
        <v>31</v>
      </c>
      <c r="E2523" s="3">
        <v>28</v>
      </c>
      <c r="F2523" s="3">
        <v>20.56</v>
      </c>
      <c r="G2523" s="3">
        <v>0</v>
      </c>
      <c r="H2523" s="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 s="3">
        <v>26</v>
      </c>
      <c r="N2523" s="3">
        <v>94.16</v>
      </c>
      <c r="O2523" s="12">
        <v>27.038626609442058</v>
      </c>
    </row>
    <row r="2524" spans="1:15" hidden="1" x14ac:dyDescent="0.25">
      <c r="A2524" s="10">
        <v>46079</v>
      </c>
      <c r="B2524" t="s">
        <v>20</v>
      </c>
      <c r="C2524" s="1" t="s">
        <v>16</v>
      </c>
      <c r="D2524" s="3">
        <v>8</v>
      </c>
      <c r="E2524" s="3">
        <v>7</v>
      </c>
      <c r="F2524" s="3">
        <v>80.13</v>
      </c>
      <c r="G2524" s="3">
        <v>0</v>
      </c>
      <c r="H2524" s="3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 s="3">
        <v>3</v>
      </c>
      <c r="N2524" s="3">
        <v>93.75</v>
      </c>
      <c r="O2524" s="12">
        <v>19.31818181818182</v>
      </c>
    </row>
    <row r="2525" spans="1:15" hidden="1" x14ac:dyDescent="0.25">
      <c r="A2525" s="10">
        <v>46079</v>
      </c>
      <c r="B2525" t="s">
        <v>28</v>
      </c>
      <c r="C2525" s="1" t="s">
        <v>26</v>
      </c>
      <c r="D2525" s="3">
        <v>0</v>
      </c>
      <c r="E2525" s="3">
        <v>0</v>
      </c>
      <c r="F2525" s="3">
        <v>0</v>
      </c>
      <c r="G2525" s="3">
        <v>0</v>
      </c>
      <c r="H2525" s="3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 s="3">
        <v>0</v>
      </c>
      <c r="N2525" s="3">
        <v>0</v>
      </c>
      <c r="O2525" s="12">
        <v>0</v>
      </c>
    </row>
    <row r="2526" spans="1:15" hidden="1" x14ac:dyDescent="0.25">
      <c r="A2526" s="10">
        <v>46079</v>
      </c>
      <c r="B2526" t="s">
        <v>58</v>
      </c>
      <c r="C2526" s="1" t="s">
        <v>48</v>
      </c>
      <c r="D2526" s="3">
        <v>0</v>
      </c>
      <c r="E2526" s="3">
        <v>0</v>
      </c>
      <c r="F2526" s="3">
        <v>0</v>
      </c>
      <c r="G2526" s="3">
        <v>0</v>
      </c>
      <c r="H2526" s="3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 s="3">
        <v>0</v>
      </c>
      <c r="N2526" s="3">
        <v>97.92</v>
      </c>
      <c r="O2526" s="12">
        <v>32.87671232876712</v>
      </c>
    </row>
    <row r="2527" spans="1:15" hidden="1" x14ac:dyDescent="0.25">
      <c r="A2527" s="10">
        <v>46079</v>
      </c>
      <c r="B2527" t="s">
        <v>29</v>
      </c>
      <c r="C2527" s="1" t="s">
        <v>26</v>
      </c>
      <c r="D2527" s="3">
        <v>0</v>
      </c>
      <c r="E2527" s="3">
        <v>0</v>
      </c>
      <c r="F2527" s="3">
        <v>0</v>
      </c>
      <c r="G2527" s="3">
        <v>0</v>
      </c>
      <c r="H2527" s="3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 s="3">
        <v>0</v>
      </c>
      <c r="N2527" s="3">
        <v>0</v>
      </c>
      <c r="O2527" s="12">
        <v>0</v>
      </c>
    </row>
    <row r="2528" spans="1:15" hidden="1" x14ac:dyDescent="0.25">
      <c r="A2528" s="10">
        <v>46079</v>
      </c>
      <c r="B2528" t="s">
        <v>30</v>
      </c>
      <c r="C2528" s="1" t="s">
        <v>26</v>
      </c>
      <c r="D2528" s="3">
        <v>0</v>
      </c>
      <c r="E2528" s="3">
        <v>0</v>
      </c>
      <c r="F2528" s="3">
        <v>0</v>
      </c>
      <c r="G2528" s="3">
        <v>0</v>
      </c>
      <c r="H2528" s="3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 s="3">
        <v>0</v>
      </c>
      <c r="N2528" s="3">
        <v>0</v>
      </c>
      <c r="O2528" s="12">
        <v>0</v>
      </c>
    </row>
    <row r="2529" spans="1:15" hidden="1" x14ac:dyDescent="0.25">
      <c r="A2529" s="10">
        <v>46079</v>
      </c>
      <c r="B2529" t="s">
        <v>21</v>
      </c>
      <c r="C2529" s="1" t="s">
        <v>16</v>
      </c>
      <c r="D2529" s="3">
        <v>0</v>
      </c>
      <c r="E2529" s="3">
        <v>0</v>
      </c>
      <c r="F2529" s="3">
        <v>0</v>
      </c>
      <c r="G2529" s="3">
        <v>0</v>
      </c>
      <c r="H2529" s="3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 s="3">
        <v>0</v>
      </c>
      <c r="N2529" s="3">
        <v>0</v>
      </c>
      <c r="O2529" s="12">
        <v>0</v>
      </c>
    </row>
    <row r="2530" spans="1:15" hidden="1" x14ac:dyDescent="0.25">
      <c r="A2530" s="10">
        <v>46079</v>
      </c>
      <c r="B2530" t="s">
        <v>63</v>
      </c>
      <c r="C2530" s="1" t="s">
        <v>23</v>
      </c>
      <c r="D2530" s="3">
        <v>17</v>
      </c>
      <c r="E2530" s="3">
        <v>17</v>
      </c>
      <c r="F2530" s="3">
        <v>44.16</v>
      </c>
      <c r="G2530" s="3">
        <v>0</v>
      </c>
      <c r="H2530" s="3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 s="3">
        <v>15</v>
      </c>
      <c r="N2530" s="3">
        <v>98.51</v>
      </c>
      <c r="O2530" s="12">
        <v>29.710144927536231</v>
      </c>
    </row>
    <row r="2531" spans="1:15" hidden="1" x14ac:dyDescent="0.25">
      <c r="A2531" s="10">
        <v>46079</v>
      </c>
      <c r="B2531" t="s">
        <v>45</v>
      </c>
      <c r="C2531" s="1" t="s">
        <v>32</v>
      </c>
      <c r="D2531" s="3">
        <v>32</v>
      </c>
      <c r="E2531" s="3">
        <v>29</v>
      </c>
      <c r="F2531" s="3">
        <v>17.34</v>
      </c>
      <c r="G2531" s="3">
        <v>0</v>
      </c>
      <c r="H2531" s="3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 s="3">
        <v>29</v>
      </c>
      <c r="N2531" s="3">
        <v>98.81</v>
      </c>
      <c r="O2531" s="12">
        <v>30.712979890310791</v>
      </c>
    </row>
    <row r="2532" spans="1:15" hidden="1" x14ac:dyDescent="0.25">
      <c r="A2532" s="10">
        <v>46079</v>
      </c>
      <c r="B2532" t="s">
        <v>64</v>
      </c>
      <c r="C2532" s="1" t="s">
        <v>23</v>
      </c>
      <c r="D2532" s="3">
        <v>11</v>
      </c>
      <c r="E2532" s="3">
        <v>11</v>
      </c>
      <c r="F2532" s="3">
        <v>30.3</v>
      </c>
      <c r="G2532" s="3">
        <v>0</v>
      </c>
      <c r="H2532" s="3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 s="3">
        <v>11</v>
      </c>
      <c r="N2532" s="3">
        <v>98.48</v>
      </c>
      <c r="O2532" s="12">
        <v>29.35323383084577</v>
      </c>
    </row>
    <row r="2533" spans="1:15" hidden="1" x14ac:dyDescent="0.25">
      <c r="A2533" s="10">
        <v>46079</v>
      </c>
      <c r="B2533" t="s">
        <v>46</v>
      </c>
      <c r="C2533" s="1" t="s">
        <v>32</v>
      </c>
      <c r="D2533" s="3">
        <v>23</v>
      </c>
      <c r="E2533" s="3">
        <v>20</v>
      </c>
      <c r="F2533" s="3">
        <v>26.44</v>
      </c>
      <c r="G2533" s="3">
        <v>0</v>
      </c>
      <c r="H2533" s="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 s="3">
        <v>16</v>
      </c>
      <c r="N2533" s="3">
        <v>98.56</v>
      </c>
      <c r="O2533" s="12">
        <v>29.373650107991359</v>
      </c>
    </row>
    <row r="2534" spans="1:15" hidden="1" x14ac:dyDescent="0.25">
      <c r="A2534" s="10">
        <v>46080</v>
      </c>
      <c r="B2534" t="s">
        <v>47</v>
      </c>
      <c r="C2534" s="1" t="s">
        <v>48</v>
      </c>
      <c r="D2534" s="3">
        <v>28</v>
      </c>
      <c r="E2534" s="3">
        <v>26</v>
      </c>
      <c r="F2534" s="3">
        <v>18.399999999999999</v>
      </c>
      <c r="G2534" s="3">
        <v>0</v>
      </c>
      <c r="H2534" s="3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 s="3">
        <v>21</v>
      </c>
      <c r="N2534" s="3">
        <v>98.32</v>
      </c>
      <c r="O2534" s="12">
        <v>30.303030303030301</v>
      </c>
    </row>
    <row r="2535" spans="1:15" hidden="1" x14ac:dyDescent="0.25">
      <c r="A2535" s="10">
        <v>46080</v>
      </c>
      <c r="B2535" t="s">
        <v>31</v>
      </c>
      <c r="C2535" s="1" t="s">
        <v>32</v>
      </c>
      <c r="D2535" s="3">
        <v>0</v>
      </c>
      <c r="E2535" s="3">
        <v>0</v>
      </c>
      <c r="F2535" s="3">
        <v>0</v>
      </c>
      <c r="G2535" s="3">
        <v>0</v>
      </c>
      <c r="H2535" s="3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 s="3">
        <v>22</v>
      </c>
      <c r="N2535" s="3">
        <v>98.68</v>
      </c>
      <c r="O2535" s="12">
        <v>26.219512195121951</v>
      </c>
    </row>
    <row r="2536" spans="1:15" hidden="1" x14ac:dyDescent="0.25">
      <c r="A2536" s="10">
        <v>46080</v>
      </c>
      <c r="B2536" t="s">
        <v>59</v>
      </c>
      <c r="C2536" s="1" t="s">
        <v>23</v>
      </c>
      <c r="D2536" s="3">
        <v>23</v>
      </c>
      <c r="E2536" s="3">
        <v>20</v>
      </c>
      <c r="F2536" s="3">
        <v>21.55</v>
      </c>
      <c r="G2536" s="3">
        <v>0</v>
      </c>
      <c r="H2536" s="3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 s="3">
        <v>21</v>
      </c>
      <c r="N2536" s="3">
        <v>100</v>
      </c>
      <c r="O2536" s="12">
        <v>31.74224343675418</v>
      </c>
    </row>
    <row r="2537" spans="1:15" hidden="1" x14ac:dyDescent="0.25">
      <c r="A2537" s="10">
        <v>46080</v>
      </c>
      <c r="B2537" t="s">
        <v>33</v>
      </c>
      <c r="C2537" s="1" t="s">
        <v>32</v>
      </c>
      <c r="D2537" s="3">
        <v>21</v>
      </c>
      <c r="E2537" s="3">
        <v>19</v>
      </c>
      <c r="F2537" s="3">
        <v>30.51</v>
      </c>
      <c r="G2537" s="3">
        <v>0</v>
      </c>
      <c r="H2537" s="3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 s="3">
        <v>15</v>
      </c>
      <c r="N2537" s="3">
        <v>98.25</v>
      </c>
      <c r="O2537" s="12">
        <v>25.83518930957684</v>
      </c>
    </row>
    <row r="2538" spans="1:15" hidden="1" x14ac:dyDescent="0.25">
      <c r="A2538" s="10">
        <v>46080</v>
      </c>
      <c r="B2538" t="s">
        <v>15</v>
      </c>
      <c r="C2538" s="1" t="s">
        <v>16</v>
      </c>
      <c r="D2538" s="3">
        <v>12</v>
      </c>
      <c r="E2538" s="3">
        <v>11</v>
      </c>
      <c r="F2538" s="3">
        <v>40.06</v>
      </c>
      <c r="G2538" s="3">
        <v>0</v>
      </c>
      <c r="H2538" s="3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 s="3">
        <v>10</v>
      </c>
      <c r="N2538" s="3">
        <v>97.5</v>
      </c>
      <c r="O2538" s="12">
        <v>30.075187969924809</v>
      </c>
    </row>
    <row r="2539" spans="1:15" hidden="1" x14ac:dyDescent="0.25">
      <c r="A2539" s="10">
        <v>46080</v>
      </c>
      <c r="B2539" t="s">
        <v>49</v>
      </c>
      <c r="C2539" s="1" t="s">
        <v>48</v>
      </c>
      <c r="D2539" s="3">
        <v>35</v>
      </c>
      <c r="E2539" s="3">
        <v>32</v>
      </c>
      <c r="F2539" s="3">
        <v>20.32</v>
      </c>
      <c r="G2539" s="3">
        <v>0</v>
      </c>
      <c r="H2539" s="3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 s="3">
        <v>28</v>
      </c>
      <c r="N2539" s="3">
        <v>100</v>
      </c>
      <c r="O2539" s="12">
        <v>29.71311475409836</v>
      </c>
    </row>
    <row r="2540" spans="1:15" hidden="1" x14ac:dyDescent="0.25">
      <c r="A2540" s="10">
        <v>46080</v>
      </c>
      <c r="B2540" t="s">
        <v>50</v>
      </c>
      <c r="C2540" s="1" t="s">
        <v>48</v>
      </c>
      <c r="D2540" s="3">
        <v>7</v>
      </c>
      <c r="E2540" s="3">
        <v>7</v>
      </c>
      <c r="F2540" s="3">
        <v>55.26</v>
      </c>
      <c r="G2540" s="3">
        <v>0</v>
      </c>
      <c r="H2540" s="3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 s="3">
        <v>7</v>
      </c>
      <c r="N2540" s="3">
        <v>99.22</v>
      </c>
      <c r="O2540" s="12">
        <v>35.256410256410263</v>
      </c>
    </row>
    <row r="2541" spans="1:15" hidden="1" x14ac:dyDescent="0.25">
      <c r="A2541" s="10">
        <v>46080</v>
      </c>
      <c r="B2541" t="s">
        <v>17</v>
      </c>
      <c r="C2541" s="1" t="s">
        <v>16</v>
      </c>
      <c r="D2541" s="3">
        <v>0</v>
      </c>
      <c r="E2541" s="3">
        <v>0</v>
      </c>
      <c r="F2541" s="3">
        <v>0</v>
      </c>
      <c r="G2541" s="3">
        <v>0</v>
      </c>
      <c r="H2541" s="3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 s="3">
        <v>0</v>
      </c>
      <c r="N2541" s="3">
        <v>0</v>
      </c>
      <c r="O2541" s="12">
        <v>0</v>
      </c>
    </row>
    <row r="2542" spans="1:15" hidden="1" x14ac:dyDescent="0.25">
      <c r="A2542" s="10">
        <v>46080</v>
      </c>
      <c r="B2542" t="s">
        <v>60</v>
      </c>
      <c r="C2542" s="1" t="s">
        <v>23</v>
      </c>
      <c r="D2542" s="3">
        <v>15</v>
      </c>
      <c r="E2542" s="3">
        <v>13</v>
      </c>
      <c r="F2542" s="3">
        <v>40.32</v>
      </c>
      <c r="G2542" s="3">
        <v>0</v>
      </c>
      <c r="H2542" s="3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 s="3">
        <v>12</v>
      </c>
      <c r="N2542" s="3">
        <v>98.75</v>
      </c>
      <c r="O2542" s="12">
        <v>24.32432432432433</v>
      </c>
    </row>
    <row r="2543" spans="1:15" hidden="1" x14ac:dyDescent="0.25">
      <c r="A2543" s="10">
        <v>46080</v>
      </c>
      <c r="B2543" t="s">
        <v>34</v>
      </c>
      <c r="C2543" s="1" t="s">
        <v>32</v>
      </c>
      <c r="D2543" s="3">
        <v>27</v>
      </c>
      <c r="E2543" s="3">
        <v>27</v>
      </c>
      <c r="F2543" s="3">
        <v>28.56</v>
      </c>
      <c r="G2543" s="3">
        <v>0</v>
      </c>
      <c r="H2543" s="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 s="3">
        <v>26</v>
      </c>
      <c r="N2543" s="3">
        <v>93.48</v>
      </c>
      <c r="O2543" s="12">
        <v>31.52804642166344</v>
      </c>
    </row>
    <row r="2544" spans="1:15" hidden="1" x14ac:dyDescent="0.25">
      <c r="A2544" s="10">
        <v>46080</v>
      </c>
      <c r="B2544" t="s">
        <v>51</v>
      </c>
      <c r="C2544" s="1" t="s">
        <v>48</v>
      </c>
      <c r="D2544" s="3">
        <v>25</v>
      </c>
      <c r="E2544" s="3">
        <v>22</v>
      </c>
      <c r="F2544" s="3">
        <v>25.34</v>
      </c>
      <c r="G2544" s="3">
        <v>0</v>
      </c>
      <c r="H2544" s="3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 s="3">
        <v>19</v>
      </c>
      <c r="N2544" s="3">
        <v>99.16</v>
      </c>
      <c r="O2544" s="12">
        <v>26.13908872901678</v>
      </c>
    </row>
    <row r="2545" spans="1:15" hidden="1" x14ac:dyDescent="0.25">
      <c r="A2545" s="10">
        <v>46080</v>
      </c>
      <c r="B2545" t="s">
        <v>61</v>
      </c>
      <c r="C2545" s="1" t="s">
        <v>23</v>
      </c>
      <c r="D2545" s="3">
        <v>7</v>
      </c>
      <c r="E2545" s="3">
        <v>7</v>
      </c>
      <c r="F2545" s="3">
        <v>168.22</v>
      </c>
      <c r="G2545" s="3">
        <v>0</v>
      </c>
      <c r="H2545" s="3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 s="3">
        <v>3</v>
      </c>
      <c r="N2545" s="3">
        <v>100</v>
      </c>
      <c r="O2545" s="12">
        <v>31.089743589743591</v>
      </c>
    </row>
    <row r="2546" spans="1:15" hidden="1" x14ac:dyDescent="0.25">
      <c r="A2546" s="10">
        <v>46080</v>
      </c>
      <c r="B2546" t="s">
        <v>35</v>
      </c>
      <c r="C2546" s="1" t="s">
        <v>32</v>
      </c>
      <c r="D2546" s="3">
        <v>15</v>
      </c>
      <c r="E2546" s="3">
        <v>15</v>
      </c>
      <c r="F2546" s="3">
        <v>47.01</v>
      </c>
      <c r="G2546" s="3">
        <v>0</v>
      </c>
      <c r="H2546" s="3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 s="3">
        <v>13</v>
      </c>
      <c r="N2546" s="3">
        <v>98.11</v>
      </c>
      <c r="O2546" s="12">
        <v>33.033707865168537</v>
      </c>
    </row>
    <row r="2547" spans="1:15" hidden="1" x14ac:dyDescent="0.25">
      <c r="A2547" s="10">
        <v>46080</v>
      </c>
      <c r="B2547" t="s">
        <v>18</v>
      </c>
      <c r="C2547" s="1" t="s">
        <v>16</v>
      </c>
      <c r="D2547" s="3">
        <v>8</v>
      </c>
      <c r="E2547" s="3">
        <v>8</v>
      </c>
      <c r="F2547" s="3">
        <v>48.23</v>
      </c>
      <c r="G2547" s="3">
        <v>0</v>
      </c>
      <c r="H2547" s="3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 s="3">
        <v>5</v>
      </c>
      <c r="N2547" s="3">
        <v>78.95</v>
      </c>
      <c r="O2547" s="12">
        <v>38.983050847457633</v>
      </c>
    </row>
    <row r="2548" spans="1:15" hidden="1" x14ac:dyDescent="0.25">
      <c r="A2548" s="10">
        <v>46080</v>
      </c>
      <c r="B2548" t="s">
        <v>52</v>
      </c>
      <c r="C2548" s="1" t="s">
        <v>48</v>
      </c>
      <c r="D2548" s="3">
        <v>14</v>
      </c>
      <c r="E2548" s="3">
        <v>13</v>
      </c>
      <c r="F2548" s="3">
        <v>48.35</v>
      </c>
      <c r="G2548" s="3">
        <v>0</v>
      </c>
      <c r="H2548" s="3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 s="3">
        <v>13</v>
      </c>
      <c r="N2548" s="3">
        <v>98.45</v>
      </c>
      <c r="O2548" s="12">
        <v>29.281767955801101</v>
      </c>
    </row>
    <row r="2549" spans="1:15" hidden="1" x14ac:dyDescent="0.25">
      <c r="A2549" s="10">
        <v>46080</v>
      </c>
      <c r="B2549" t="s">
        <v>36</v>
      </c>
      <c r="C2549" s="1" t="s">
        <v>32</v>
      </c>
      <c r="D2549" s="3">
        <v>24</v>
      </c>
      <c r="E2549" s="3">
        <v>24</v>
      </c>
      <c r="F2549" s="3">
        <v>22.14</v>
      </c>
      <c r="G2549" s="3">
        <v>0</v>
      </c>
      <c r="H2549" s="3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 s="3">
        <v>24</v>
      </c>
      <c r="N2549" s="3">
        <v>97.84</v>
      </c>
      <c r="O2549" s="12">
        <v>26.282051282051281</v>
      </c>
    </row>
    <row r="2550" spans="1:15" hidden="1" x14ac:dyDescent="0.25">
      <c r="A2550" s="10">
        <v>46080</v>
      </c>
      <c r="B2550" t="s">
        <v>53</v>
      </c>
      <c r="C2550" s="1" t="s">
        <v>48</v>
      </c>
      <c r="D2550" s="3">
        <v>22</v>
      </c>
      <c r="E2550" s="3">
        <v>19</v>
      </c>
      <c r="F2550" s="3">
        <v>35.340000000000003</v>
      </c>
      <c r="G2550" s="3">
        <v>0</v>
      </c>
      <c r="H2550" s="3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 s="3">
        <v>18</v>
      </c>
      <c r="N2550" s="3">
        <v>98.5</v>
      </c>
      <c r="O2550" s="12">
        <v>23.97769516728625</v>
      </c>
    </row>
    <row r="2551" spans="1:15" hidden="1" x14ac:dyDescent="0.25">
      <c r="A2551" s="10">
        <v>46114</v>
      </c>
      <c r="B2551" t="s">
        <v>22</v>
      </c>
      <c r="C2551" s="1" t="s">
        <v>23</v>
      </c>
      <c r="D2551" s="3">
        <v>33</v>
      </c>
      <c r="E2551" s="3">
        <v>31</v>
      </c>
      <c r="F2551" s="3">
        <v>15.33</v>
      </c>
      <c r="G2551" s="3">
        <v>0</v>
      </c>
      <c r="H2551" s="3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 s="3">
        <v>32</v>
      </c>
      <c r="N2551" s="3">
        <v>99.28</v>
      </c>
      <c r="O2551" s="12">
        <v>27.689243027888441</v>
      </c>
    </row>
    <row r="2552" spans="1:15" hidden="1" x14ac:dyDescent="0.25">
      <c r="A2552" s="10">
        <v>46080</v>
      </c>
      <c r="B2552" t="s">
        <v>54</v>
      </c>
      <c r="C2552" s="1" t="s">
        <v>48</v>
      </c>
      <c r="D2552" s="3">
        <v>21</v>
      </c>
      <c r="E2552" s="3">
        <v>21</v>
      </c>
      <c r="F2552" s="3">
        <v>28.56</v>
      </c>
      <c r="G2552" s="3">
        <v>0</v>
      </c>
      <c r="H2552" s="3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 s="3">
        <v>19</v>
      </c>
      <c r="N2552" s="3">
        <v>98.53</v>
      </c>
      <c r="O2552" s="12">
        <v>31.578947368421051</v>
      </c>
    </row>
    <row r="2553" spans="1:15" hidden="1" x14ac:dyDescent="0.25">
      <c r="A2553" s="10">
        <v>46080</v>
      </c>
      <c r="B2553" t="s">
        <v>37</v>
      </c>
      <c r="C2553" s="1" t="s">
        <v>32</v>
      </c>
      <c r="D2553" s="3">
        <v>28</v>
      </c>
      <c r="E2553" s="3">
        <v>23</v>
      </c>
      <c r="F2553" s="3">
        <v>27.08</v>
      </c>
      <c r="G2553" s="3">
        <v>0</v>
      </c>
      <c r="H2553" s="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 s="3">
        <v>24</v>
      </c>
      <c r="N2553" s="3">
        <v>100</v>
      </c>
      <c r="O2553" s="12">
        <v>25.72214580467676</v>
      </c>
    </row>
    <row r="2554" spans="1:15" hidden="1" x14ac:dyDescent="0.25">
      <c r="A2554" s="10">
        <v>46080</v>
      </c>
      <c r="B2554" t="s">
        <v>38</v>
      </c>
      <c r="C2554" s="1" t="s">
        <v>32</v>
      </c>
      <c r="D2554" s="3">
        <v>3</v>
      </c>
      <c r="E2554" s="3">
        <v>3</v>
      </c>
      <c r="F2554" s="3">
        <v>67.34</v>
      </c>
      <c r="G2554" s="3">
        <v>0</v>
      </c>
      <c r="H2554" s="3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 s="3">
        <v>2</v>
      </c>
      <c r="N2554" s="3">
        <v>94.64</v>
      </c>
      <c r="O2554" s="12">
        <v>27.52941176470588</v>
      </c>
    </row>
    <row r="2555" spans="1:15" hidden="1" x14ac:dyDescent="0.25">
      <c r="A2555" s="10">
        <v>46080</v>
      </c>
      <c r="B2555" t="s">
        <v>55</v>
      </c>
      <c r="C2555" s="1" t="s">
        <v>48</v>
      </c>
      <c r="D2555" s="3">
        <v>15</v>
      </c>
      <c r="E2555" s="3">
        <v>15</v>
      </c>
      <c r="F2555" s="3">
        <v>33.32</v>
      </c>
      <c r="G2555" s="3">
        <v>0</v>
      </c>
      <c r="H2555" s="3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 s="3">
        <v>14</v>
      </c>
      <c r="N2555" s="3">
        <v>99.07</v>
      </c>
      <c r="O2555" s="12">
        <v>26.376811594202898</v>
      </c>
    </row>
    <row r="2556" spans="1:15" hidden="1" x14ac:dyDescent="0.25">
      <c r="A2556" s="10">
        <v>46080</v>
      </c>
      <c r="B2556" t="s">
        <v>39</v>
      </c>
      <c r="C2556" s="1" t="s">
        <v>32</v>
      </c>
      <c r="D2556" s="3">
        <v>0</v>
      </c>
      <c r="E2556" s="3">
        <v>0</v>
      </c>
      <c r="F2556" s="3">
        <v>0</v>
      </c>
      <c r="G2556" s="3">
        <v>0</v>
      </c>
      <c r="H2556" s="3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 s="3">
        <v>0</v>
      </c>
      <c r="N2556" s="3">
        <v>100</v>
      </c>
      <c r="O2556" s="12">
        <v>0</v>
      </c>
    </row>
    <row r="2557" spans="1:15" hidden="1" x14ac:dyDescent="0.25">
      <c r="A2557" s="10">
        <v>46080</v>
      </c>
      <c r="B2557" t="s">
        <v>25</v>
      </c>
      <c r="C2557" s="1" t="s">
        <v>26</v>
      </c>
      <c r="D2557" s="3">
        <v>9</v>
      </c>
      <c r="E2557" s="3">
        <v>8</v>
      </c>
      <c r="F2557" s="3">
        <v>38.58</v>
      </c>
      <c r="G2557" s="3">
        <v>0</v>
      </c>
      <c r="H2557" s="3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 s="3">
        <v>9</v>
      </c>
      <c r="N2557" s="3">
        <v>98.48</v>
      </c>
      <c r="O2557" s="12">
        <v>27.853881278538811</v>
      </c>
    </row>
    <row r="2558" spans="1:15" hidden="1" x14ac:dyDescent="0.25">
      <c r="A2558" s="10">
        <v>46080</v>
      </c>
      <c r="B2558" t="s">
        <v>40</v>
      </c>
      <c r="C2558" s="1" t="s">
        <v>32</v>
      </c>
      <c r="D2558" s="3">
        <v>0</v>
      </c>
      <c r="E2558" s="3">
        <v>0</v>
      </c>
      <c r="F2558" s="3">
        <v>0</v>
      </c>
      <c r="G2558" s="3">
        <v>0</v>
      </c>
      <c r="H2558" s="3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 s="3">
        <v>21</v>
      </c>
      <c r="N2558" s="3">
        <v>95.15</v>
      </c>
      <c r="O2558" s="12">
        <v>34.131736526946113</v>
      </c>
    </row>
    <row r="2559" spans="1:15" hidden="1" x14ac:dyDescent="0.25">
      <c r="A2559" s="10">
        <v>46080</v>
      </c>
      <c r="B2559" t="s">
        <v>27</v>
      </c>
      <c r="C2559" s="1" t="s">
        <v>26</v>
      </c>
      <c r="D2559" s="3">
        <v>0</v>
      </c>
      <c r="E2559" s="3">
        <v>0</v>
      </c>
      <c r="F2559" s="3">
        <v>0</v>
      </c>
      <c r="G2559" s="3">
        <v>0</v>
      </c>
      <c r="H2559" s="3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 s="3">
        <v>0</v>
      </c>
      <c r="N2559" s="3">
        <v>0</v>
      </c>
      <c r="O2559" s="12">
        <v>0</v>
      </c>
    </row>
    <row r="2560" spans="1:15" hidden="1" x14ac:dyDescent="0.25">
      <c r="A2560" s="10">
        <v>46080</v>
      </c>
      <c r="B2560" t="s">
        <v>41</v>
      </c>
      <c r="C2560" s="1" t="s">
        <v>32</v>
      </c>
      <c r="D2560" s="3">
        <v>16</v>
      </c>
      <c r="E2560" s="3">
        <v>16</v>
      </c>
      <c r="F2560" s="3">
        <v>45.36</v>
      </c>
      <c r="G2560" s="3">
        <v>0</v>
      </c>
      <c r="H2560" s="3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 s="3">
        <v>13</v>
      </c>
      <c r="N2560" s="3">
        <v>99.26</v>
      </c>
      <c r="O2560" s="12">
        <v>30.84832904884319</v>
      </c>
    </row>
    <row r="2561" spans="1:15" hidden="1" x14ac:dyDescent="0.25">
      <c r="A2561" s="10">
        <v>46080</v>
      </c>
      <c r="B2561" t="s">
        <v>56</v>
      </c>
      <c r="C2561" s="1" t="s">
        <v>48</v>
      </c>
      <c r="D2561" s="3">
        <v>32</v>
      </c>
      <c r="E2561" s="3">
        <v>30</v>
      </c>
      <c r="F2561" s="3">
        <v>23.44</v>
      </c>
      <c r="G2561" s="3">
        <v>0</v>
      </c>
      <c r="H2561" s="3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 s="3">
        <v>20</v>
      </c>
      <c r="N2561" s="3">
        <v>97.48</v>
      </c>
      <c r="O2561" s="12">
        <v>27.764705882352938</v>
      </c>
    </row>
    <row r="2562" spans="1:15" hidden="1" x14ac:dyDescent="0.25">
      <c r="A2562" s="10">
        <v>46080</v>
      </c>
      <c r="B2562" t="s">
        <v>57</v>
      </c>
      <c r="C2562" s="1" t="s">
        <v>48</v>
      </c>
      <c r="D2562" s="3">
        <v>28</v>
      </c>
      <c r="E2562" s="3">
        <v>24</v>
      </c>
      <c r="F2562" s="3">
        <v>25.3</v>
      </c>
      <c r="G2562" s="3">
        <v>0</v>
      </c>
      <c r="H2562" s="3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 s="3">
        <v>21</v>
      </c>
      <c r="N2562" s="3">
        <v>99.34</v>
      </c>
      <c r="O2562" s="12">
        <v>30.04291845493562</v>
      </c>
    </row>
    <row r="2563" spans="1:15" hidden="1" x14ac:dyDescent="0.25">
      <c r="A2563" s="10">
        <v>46080</v>
      </c>
      <c r="B2563" t="s">
        <v>42</v>
      </c>
      <c r="C2563" s="1" t="s">
        <v>32</v>
      </c>
      <c r="D2563" s="3">
        <v>23</v>
      </c>
      <c r="E2563" s="3">
        <v>21</v>
      </c>
      <c r="F2563" s="3">
        <v>18.41</v>
      </c>
      <c r="G2563" s="3">
        <v>0</v>
      </c>
      <c r="H2563" s="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 s="3">
        <v>12</v>
      </c>
      <c r="N2563" s="3">
        <v>96.3</v>
      </c>
      <c r="O2563" s="12">
        <v>24.29378531073446</v>
      </c>
    </row>
    <row r="2564" spans="1:15" hidden="1" x14ac:dyDescent="0.25">
      <c r="A2564" s="10">
        <v>46080</v>
      </c>
      <c r="B2564" t="s">
        <v>62</v>
      </c>
      <c r="C2564" s="1" t="s">
        <v>23</v>
      </c>
      <c r="D2564" s="3">
        <v>13</v>
      </c>
      <c r="E2564" s="3">
        <v>13</v>
      </c>
      <c r="F2564" s="3">
        <v>55.19</v>
      </c>
      <c r="G2564" s="3">
        <v>0</v>
      </c>
      <c r="H2564" s="3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 s="3">
        <v>12</v>
      </c>
      <c r="N2564" s="3">
        <v>100</v>
      </c>
      <c r="O2564" s="12">
        <v>26.543209876543209</v>
      </c>
    </row>
    <row r="2565" spans="1:15" hidden="1" x14ac:dyDescent="0.25">
      <c r="A2565" s="10">
        <v>46080</v>
      </c>
      <c r="B2565" t="s">
        <v>19</v>
      </c>
      <c r="C2565" s="1" t="s">
        <v>16</v>
      </c>
      <c r="D2565" s="3">
        <v>14</v>
      </c>
      <c r="E2565" s="3">
        <v>14</v>
      </c>
      <c r="F2565" s="3">
        <v>53.33</v>
      </c>
      <c r="G2565" s="3">
        <v>0</v>
      </c>
      <c r="H2565" s="3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 s="3">
        <v>8</v>
      </c>
      <c r="N2565" s="3">
        <v>100</v>
      </c>
      <c r="O2565" s="12">
        <v>35.483870967741943</v>
      </c>
    </row>
    <row r="2566" spans="1:15" hidden="1" x14ac:dyDescent="0.25">
      <c r="A2566" s="10">
        <v>46080</v>
      </c>
      <c r="B2566" t="s">
        <v>43</v>
      </c>
      <c r="C2566" s="1" t="s">
        <v>32</v>
      </c>
      <c r="D2566" s="3">
        <v>20</v>
      </c>
      <c r="E2566" s="3">
        <v>20</v>
      </c>
      <c r="F2566" s="3">
        <v>35.56</v>
      </c>
      <c r="G2566" s="3">
        <v>0</v>
      </c>
      <c r="H2566" s="3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 s="3">
        <v>18</v>
      </c>
      <c r="N2566" s="3">
        <v>99.27</v>
      </c>
      <c r="O2566" s="12">
        <v>31.163708086785011</v>
      </c>
    </row>
    <row r="2567" spans="1:15" hidden="1" x14ac:dyDescent="0.25">
      <c r="A2567" s="10">
        <v>46080</v>
      </c>
      <c r="B2567" t="s">
        <v>44</v>
      </c>
      <c r="C2567" s="1" t="s">
        <v>32</v>
      </c>
      <c r="D2567" s="3">
        <v>28</v>
      </c>
      <c r="E2567" s="3">
        <v>23</v>
      </c>
      <c r="F2567" s="3">
        <v>25.26</v>
      </c>
      <c r="G2567" s="3">
        <v>0</v>
      </c>
      <c r="H2567" s="3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 s="3">
        <v>21</v>
      </c>
      <c r="N2567" s="3">
        <v>94.16</v>
      </c>
      <c r="O2567" s="12">
        <v>27.038626609442058</v>
      </c>
    </row>
    <row r="2568" spans="1:15" hidden="1" x14ac:dyDescent="0.25">
      <c r="A2568" s="10">
        <v>46080</v>
      </c>
      <c r="B2568" t="s">
        <v>20</v>
      </c>
      <c r="C2568" s="1" t="s">
        <v>16</v>
      </c>
      <c r="D2568" s="3">
        <v>14</v>
      </c>
      <c r="E2568" s="3">
        <v>14</v>
      </c>
      <c r="F2568" s="3">
        <v>43.59</v>
      </c>
      <c r="G2568" s="3">
        <v>0</v>
      </c>
      <c r="H2568" s="3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 s="3">
        <v>7</v>
      </c>
      <c r="N2568" s="3">
        <v>93.75</v>
      </c>
      <c r="O2568" s="12">
        <v>19.31818181818182</v>
      </c>
    </row>
    <row r="2569" spans="1:15" hidden="1" x14ac:dyDescent="0.25">
      <c r="A2569" s="10">
        <v>46080</v>
      </c>
      <c r="B2569" t="s">
        <v>28</v>
      </c>
      <c r="C2569" s="1" t="s">
        <v>26</v>
      </c>
      <c r="D2569" s="3">
        <v>0</v>
      </c>
      <c r="E2569" s="3">
        <v>0</v>
      </c>
      <c r="F2569" s="3">
        <v>0</v>
      </c>
      <c r="G2569" s="3">
        <v>0</v>
      </c>
      <c r="H2569" s="3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 s="3">
        <v>0</v>
      </c>
      <c r="N2569" s="3">
        <v>0</v>
      </c>
      <c r="O2569" s="12">
        <v>0</v>
      </c>
    </row>
    <row r="2570" spans="1:15" hidden="1" x14ac:dyDescent="0.25">
      <c r="A2570" s="10">
        <v>46080</v>
      </c>
      <c r="B2570" t="s">
        <v>58</v>
      </c>
      <c r="C2570" s="1" t="s">
        <v>48</v>
      </c>
      <c r="D2570" s="3">
        <v>0</v>
      </c>
      <c r="E2570" s="3">
        <v>0</v>
      </c>
      <c r="F2570" s="3">
        <v>0</v>
      </c>
      <c r="G2570" s="3">
        <v>0</v>
      </c>
      <c r="H2570" s="3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 s="3">
        <v>0</v>
      </c>
      <c r="N2570" s="3">
        <v>97.92</v>
      </c>
      <c r="O2570" s="12">
        <v>32.87671232876712</v>
      </c>
    </row>
    <row r="2571" spans="1:15" hidden="1" x14ac:dyDescent="0.25">
      <c r="A2571" s="10">
        <v>46080</v>
      </c>
      <c r="B2571" t="s">
        <v>29</v>
      </c>
      <c r="C2571" s="1" t="s">
        <v>26</v>
      </c>
      <c r="D2571" s="3">
        <v>0</v>
      </c>
      <c r="E2571" s="3">
        <v>0</v>
      </c>
      <c r="F2571" s="3">
        <v>0</v>
      </c>
      <c r="G2571" s="3">
        <v>0</v>
      </c>
      <c r="H2571" s="3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 s="3">
        <v>0</v>
      </c>
      <c r="N2571" s="3">
        <v>0</v>
      </c>
      <c r="O2571" s="12">
        <v>0</v>
      </c>
    </row>
    <row r="2572" spans="1:15" hidden="1" x14ac:dyDescent="0.25">
      <c r="A2572" s="10">
        <v>46080</v>
      </c>
      <c r="B2572" t="s">
        <v>30</v>
      </c>
      <c r="C2572" s="1" t="s">
        <v>26</v>
      </c>
      <c r="D2572" s="3">
        <v>0</v>
      </c>
      <c r="E2572" s="3">
        <v>0</v>
      </c>
      <c r="F2572" s="3">
        <v>0</v>
      </c>
      <c r="G2572" s="3">
        <v>0</v>
      </c>
      <c r="H2572" s="3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 s="3">
        <v>0</v>
      </c>
      <c r="N2572" s="3">
        <v>0</v>
      </c>
      <c r="O2572" s="12">
        <v>0</v>
      </c>
    </row>
    <row r="2573" spans="1:15" hidden="1" x14ac:dyDescent="0.25">
      <c r="A2573" s="10">
        <v>46080</v>
      </c>
      <c r="B2573" t="s">
        <v>21</v>
      </c>
      <c r="C2573" s="1" t="s">
        <v>16</v>
      </c>
      <c r="D2573" s="3">
        <v>0</v>
      </c>
      <c r="E2573" s="3">
        <v>0</v>
      </c>
      <c r="F2573" s="3">
        <v>0</v>
      </c>
      <c r="G2573" s="3">
        <v>0</v>
      </c>
      <c r="H2573" s="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 s="3">
        <v>0</v>
      </c>
      <c r="N2573" s="3">
        <v>0</v>
      </c>
      <c r="O2573" s="12">
        <v>0</v>
      </c>
    </row>
    <row r="2574" spans="1:15" hidden="1" x14ac:dyDescent="0.25">
      <c r="A2574" s="10">
        <v>46080</v>
      </c>
      <c r="B2574" t="s">
        <v>63</v>
      </c>
      <c r="C2574" s="1" t="s">
        <v>23</v>
      </c>
      <c r="D2574" s="3">
        <v>22</v>
      </c>
      <c r="E2574" s="3">
        <v>22</v>
      </c>
      <c r="F2574" s="3">
        <v>33.549999999999997</v>
      </c>
      <c r="G2574" s="3">
        <v>0</v>
      </c>
      <c r="H2574" s="3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 s="3">
        <v>20</v>
      </c>
      <c r="N2574" s="3">
        <v>98.51</v>
      </c>
      <c r="O2574" s="12">
        <v>29.710144927536231</v>
      </c>
    </row>
    <row r="2575" spans="1:15" hidden="1" x14ac:dyDescent="0.25">
      <c r="A2575" s="10">
        <v>46080</v>
      </c>
      <c r="B2575" t="s">
        <v>45</v>
      </c>
      <c r="C2575" s="1" t="s">
        <v>32</v>
      </c>
      <c r="D2575" s="3">
        <v>36</v>
      </c>
      <c r="E2575" s="3">
        <v>28</v>
      </c>
      <c r="F2575" s="3">
        <v>17.28</v>
      </c>
      <c r="G2575" s="3">
        <v>0</v>
      </c>
      <c r="H2575" s="3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 s="3">
        <v>23</v>
      </c>
      <c r="N2575" s="3">
        <v>98.81</v>
      </c>
      <c r="O2575" s="12">
        <v>30.712979890310791</v>
      </c>
    </row>
    <row r="2576" spans="1:15" hidden="1" x14ac:dyDescent="0.25">
      <c r="A2576" s="10">
        <v>46080</v>
      </c>
      <c r="B2576" t="s">
        <v>64</v>
      </c>
      <c r="C2576" s="1" t="s">
        <v>23</v>
      </c>
      <c r="D2576" s="3">
        <v>11</v>
      </c>
      <c r="E2576" s="3">
        <v>10</v>
      </c>
      <c r="F2576" s="3">
        <v>42.3</v>
      </c>
      <c r="G2576" s="3">
        <v>0</v>
      </c>
      <c r="H2576" s="3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 s="3">
        <v>9</v>
      </c>
      <c r="N2576" s="3">
        <v>98.48</v>
      </c>
      <c r="O2576" s="12">
        <v>29.35323383084577</v>
      </c>
    </row>
    <row r="2577" spans="1:15" hidden="1" x14ac:dyDescent="0.25">
      <c r="A2577" s="10">
        <v>46080</v>
      </c>
      <c r="B2577" t="s">
        <v>46</v>
      </c>
      <c r="C2577" s="1" t="s">
        <v>32</v>
      </c>
      <c r="D2577" s="3">
        <v>21</v>
      </c>
      <c r="E2577" s="3">
        <v>17</v>
      </c>
      <c r="F2577" s="3">
        <v>22.13</v>
      </c>
      <c r="G2577" s="3">
        <v>0</v>
      </c>
      <c r="H2577" s="3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 s="3">
        <v>17</v>
      </c>
      <c r="N2577" s="3">
        <v>98.56</v>
      </c>
      <c r="O2577" s="12">
        <v>29.373650107991359</v>
      </c>
    </row>
    <row r="2578" spans="1:15" hidden="1" x14ac:dyDescent="0.25">
      <c r="A2578" s="10">
        <v>46083</v>
      </c>
      <c r="B2578" t="s">
        <v>47</v>
      </c>
      <c r="C2578" s="1" t="s">
        <v>48</v>
      </c>
      <c r="D2578" s="3">
        <v>34</v>
      </c>
      <c r="E2578" s="3">
        <v>30</v>
      </c>
      <c r="F2578" s="3">
        <v>20.190000000000001</v>
      </c>
      <c r="G2578" s="3">
        <v>0</v>
      </c>
      <c r="H2578" s="3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 s="3">
        <v>22</v>
      </c>
      <c r="N2578" s="3">
        <v>94.29</v>
      </c>
      <c r="O2578" s="12">
        <v>25.647668393782389</v>
      </c>
    </row>
    <row r="2579" spans="1:15" hidden="1" x14ac:dyDescent="0.25">
      <c r="A2579" s="10">
        <v>46083</v>
      </c>
      <c r="B2579" t="s">
        <v>31</v>
      </c>
      <c r="C2579" s="1" t="s">
        <v>32</v>
      </c>
      <c r="D2579" s="3">
        <v>0</v>
      </c>
      <c r="E2579" s="3">
        <v>0</v>
      </c>
      <c r="F2579" s="3">
        <v>0</v>
      </c>
      <c r="G2579" s="3">
        <v>0</v>
      </c>
      <c r="H2579" s="3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 s="3">
        <v>23</v>
      </c>
      <c r="N2579" s="3">
        <v>98.26</v>
      </c>
      <c r="O2579" s="12">
        <v>26.666666666666671</v>
      </c>
    </row>
    <row r="2580" spans="1:15" hidden="1" x14ac:dyDescent="0.25">
      <c r="A2580" s="10">
        <v>46083</v>
      </c>
      <c r="B2580" t="s">
        <v>59</v>
      </c>
      <c r="C2580" s="1" t="s">
        <v>23</v>
      </c>
      <c r="D2580" s="3">
        <v>24</v>
      </c>
      <c r="E2580" s="3">
        <v>20</v>
      </c>
      <c r="F2580" s="3">
        <v>18.27</v>
      </c>
      <c r="G2580" s="3">
        <v>0</v>
      </c>
      <c r="H2580" s="3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 s="3">
        <v>21</v>
      </c>
      <c r="N2580" s="3">
        <v>98.2</v>
      </c>
      <c r="O2580" s="12">
        <v>23.37962962962963</v>
      </c>
    </row>
    <row r="2581" spans="1:15" hidden="1" x14ac:dyDescent="0.25">
      <c r="A2581" s="10">
        <v>46083</v>
      </c>
      <c r="B2581" t="s">
        <v>33</v>
      </c>
      <c r="C2581" s="1" t="s">
        <v>32</v>
      </c>
      <c r="D2581" s="3">
        <v>24</v>
      </c>
      <c r="E2581" s="3">
        <v>24</v>
      </c>
      <c r="F2581" s="3">
        <v>30.47</v>
      </c>
      <c r="G2581" s="3">
        <v>0</v>
      </c>
      <c r="H2581" s="3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 s="3">
        <v>19</v>
      </c>
      <c r="N2581" s="3">
        <v>97.3</v>
      </c>
      <c r="O2581" s="12">
        <v>23.84769539078156</v>
      </c>
    </row>
    <row r="2582" spans="1:15" hidden="1" x14ac:dyDescent="0.25">
      <c r="A2582" s="10">
        <v>46083</v>
      </c>
      <c r="B2582" t="s">
        <v>15</v>
      </c>
      <c r="C2582" s="1" t="s">
        <v>16</v>
      </c>
      <c r="D2582" s="3">
        <v>0</v>
      </c>
      <c r="E2582" s="3">
        <v>0</v>
      </c>
      <c r="F2582" s="3">
        <v>0</v>
      </c>
      <c r="G2582" s="3">
        <v>0</v>
      </c>
      <c r="H2582" s="3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 s="3">
        <v>0</v>
      </c>
      <c r="N2582" s="3">
        <v>100</v>
      </c>
      <c r="O2582" s="12">
        <v>25.268817204301079</v>
      </c>
    </row>
    <row r="2583" spans="1:15" hidden="1" x14ac:dyDescent="0.25">
      <c r="A2583" s="10">
        <v>46083</v>
      </c>
      <c r="B2583" t="s">
        <v>49</v>
      </c>
      <c r="C2583" s="1" t="s">
        <v>48</v>
      </c>
      <c r="D2583" s="3">
        <v>55</v>
      </c>
      <c r="E2583" s="3">
        <v>48</v>
      </c>
      <c r="F2583" s="3">
        <v>12.31</v>
      </c>
      <c r="G2583" s="3">
        <v>0</v>
      </c>
      <c r="H2583" s="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 s="3">
        <v>47</v>
      </c>
      <c r="N2583" s="3">
        <v>99.32</v>
      </c>
      <c r="O2583" s="12">
        <v>22.822822822822818</v>
      </c>
    </row>
    <row r="2584" spans="1:15" hidden="1" x14ac:dyDescent="0.25">
      <c r="A2584" s="10">
        <v>46083</v>
      </c>
      <c r="B2584" t="s">
        <v>50</v>
      </c>
      <c r="C2584" s="1" t="s">
        <v>48</v>
      </c>
      <c r="D2584" s="3">
        <v>20</v>
      </c>
      <c r="E2584" s="3">
        <v>20</v>
      </c>
      <c r="F2584" s="3">
        <v>32.090000000000003</v>
      </c>
      <c r="G2584" s="3">
        <v>0</v>
      </c>
      <c r="H2584" s="3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 s="3">
        <v>19</v>
      </c>
      <c r="N2584" s="3">
        <v>100</v>
      </c>
      <c r="O2584" s="12">
        <v>27.966101694915249</v>
      </c>
    </row>
    <row r="2585" spans="1:15" hidden="1" x14ac:dyDescent="0.25">
      <c r="A2585" s="10">
        <v>46083</v>
      </c>
      <c r="B2585" t="s">
        <v>17</v>
      </c>
      <c r="C2585" s="1" t="s">
        <v>16</v>
      </c>
      <c r="D2585" s="3">
        <v>0</v>
      </c>
      <c r="E2585" s="3">
        <v>0</v>
      </c>
      <c r="F2585" s="3">
        <v>0</v>
      </c>
      <c r="G2585" s="3">
        <v>0</v>
      </c>
      <c r="H2585" s="3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 s="3">
        <v>0</v>
      </c>
      <c r="N2585" s="3">
        <v>100</v>
      </c>
      <c r="O2585" s="12">
        <v>30.434782608695659</v>
      </c>
    </row>
    <row r="2586" spans="1:15" hidden="1" x14ac:dyDescent="0.25">
      <c r="A2586" s="10">
        <v>46083</v>
      </c>
      <c r="B2586" t="s">
        <v>60</v>
      </c>
      <c r="C2586" s="1" t="s">
        <v>23</v>
      </c>
      <c r="D2586" s="3">
        <v>21</v>
      </c>
      <c r="E2586" s="3">
        <v>21</v>
      </c>
      <c r="F2586" s="3">
        <v>28.49</v>
      </c>
      <c r="G2586" s="3">
        <v>0</v>
      </c>
      <c r="H2586" s="3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 s="3">
        <v>21</v>
      </c>
      <c r="N2586" s="3">
        <v>96.51</v>
      </c>
      <c r="O2586" s="12">
        <v>22.802850356294542</v>
      </c>
    </row>
    <row r="2587" spans="1:15" hidden="1" x14ac:dyDescent="0.25">
      <c r="A2587" s="10">
        <v>46083</v>
      </c>
      <c r="B2587" t="s">
        <v>34</v>
      </c>
      <c r="C2587" s="1" t="s">
        <v>32</v>
      </c>
      <c r="D2587" s="3">
        <v>39</v>
      </c>
      <c r="E2587" s="3">
        <v>37</v>
      </c>
      <c r="F2587" s="3">
        <v>12.26</v>
      </c>
      <c r="G2587" s="3">
        <v>0</v>
      </c>
      <c r="H2587" s="3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 s="3">
        <v>32</v>
      </c>
      <c r="N2587" s="3">
        <v>92.68</v>
      </c>
      <c r="O2587" s="12">
        <v>27.777777777777779</v>
      </c>
    </row>
    <row r="2588" spans="1:15" hidden="1" x14ac:dyDescent="0.25">
      <c r="A2588" s="10">
        <v>46083</v>
      </c>
      <c r="B2588" t="s">
        <v>51</v>
      </c>
      <c r="C2588" s="1" t="s">
        <v>48</v>
      </c>
      <c r="D2588" s="3">
        <v>31</v>
      </c>
      <c r="E2588" s="3">
        <v>31</v>
      </c>
      <c r="F2588" s="3">
        <v>23.24</v>
      </c>
      <c r="G2588" s="3">
        <v>0</v>
      </c>
      <c r="H2588" s="3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 s="3">
        <v>23</v>
      </c>
      <c r="N2588" s="3">
        <v>99.03</v>
      </c>
      <c r="O2588" s="12">
        <v>23.991507430997881</v>
      </c>
    </row>
    <row r="2589" spans="1:15" hidden="1" x14ac:dyDescent="0.25">
      <c r="A2589" s="10">
        <v>46083</v>
      </c>
      <c r="B2589" t="s">
        <v>61</v>
      </c>
      <c r="C2589" s="1" t="s">
        <v>23</v>
      </c>
      <c r="D2589" s="3">
        <v>7</v>
      </c>
      <c r="E2589" s="3">
        <v>6</v>
      </c>
      <c r="F2589" s="3">
        <v>37.369999999999997</v>
      </c>
      <c r="G2589" s="3">
        <v>0</v>
      </c>
      <c r="H2589" s="3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 s="3">
        <v>3</v>
      </c>
      <c r="N2589" s="3">
        <v>98.41</v>
      </c>
      <c r="O2589" s="12">
        <v>28.138528138528141</v>
      </c>
    </row>
    <row r="2590" spans="1:15" hidden="1" x14ac:dyDescent="0.25">
      <c r="A2590" s="10">
        <v>46083</v>
      </c>
      <c r="B2590" t="s">
        <v>35</v>
      </c>
      <c r="C2590" s="1" t="s">
        <v>32</v>
      </c>
      <c r="D2590" s="3">
        <v>30</v>
      </c>
      <c r="E2590" s="3">
        <v>30</v>
      </c>
      <c r="F2590" s="3">
        <v>26.58</v>
      </c>
      <c r="G2590" s="3">
        <v>0</v>
      </c>
      <c r="H2590" s="3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 s="3">
        <v>29</v>
      </c>
      <c r="N2590" s="3">
        <v>98.73</v>
      </c>
      <c r="O2590" s="12">
        <v>29.142857142857139</v>
      </c>
    </row>
    <row r="2591" spans="1:15" hidden="1" x14ac:dyDescent="0.25">
      <c r="A2591" s="10">
        <v>46083</v>
      </c>
      <c r="B2591" t="s">
        <v>18</v>
      </c>
      <c r="C2591" s="1" t="s">
        <v>16</v>
      </c>
      <c r="D2591" s="3">
        <v>8</v>
      </c>
      <c r="E2591" s="3">
        <v>8</v>
      </c>
      <c r="F2591" s="3">
        <v>46.54</v>
      </c>
      <c r="G2591" s="3">
        <v>0</v>
      </c>
      <c r="H2591" s="3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 s="3">
        <v>7</v>
      </c>
      <c r="N2591" s="3">
        <v>90.48</v>
      </c>
      <c r="O2591" s="12">
        <v>20.68965517241379</v>
      </c>
    </row>
    <row r="2592" spans="1:15" hidden="1" x14ac:dyDescent="0.25">
      <c r="A2592" s="10">
        <v>46083</v>
      </c>
      <c r="B2592" t="s">
        <v>52</v>
      </c>
      <c r="C2592" s="1" t="s">
        <v>48</v>
      </c>
      <c r="D2592" s="3">
        <v>38</v>
      </c>
      <c r="E2592" s="3">
        <v>38</v>
      </c>
      <c r="F2592" s="3">
        <v>17.39</v>
      </c>
      <c r="G2592" s="3">
        <v>0</v>
      </c>
      <c r="H2592" s="3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 s="3">
        <v>37</v>
      </c>
      <c r="N2592" s="3">
        <v>98.06</v>
      </c>
      <c r="O2592" s="12">
        <v>24.789915966386559</v>
      </c>
    </row>
    <row r="2593" spans="1:15" hidden="1" x14ac:dyDescent="0.25">
      <c r="A2593" s="10">
        <v>46083</v>
      </c>
      <c r="B2593" t="s">
        <v>36</v>
      </c>
      <c r="C2593" s="1" t="s">
        <v>32</v>
      </c>
      <c r="D2593" s="3">
        <v>30</v>
      </c>
      <c r="E2593" s="3">
        <v>29</v>
      </c>
      <c r="F2593" s="3">
        <v>18.579999999999998</v>
      </c>
      <c r="G2593" s="3">
        <v>0</v>
      </c>
      <c r="H2593" s="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 s="3">
        <v>30</v>
      </c>
      <c r="N2593" s="3">
        <v>97.78</v>
      </c>
      <c r="O2593" s="12">
        <v>25.494071146245059</v>
      </c>
    </row>
    <row r="2594" spans="1:15" hidden="1" x14ac:dyDescent="0.25">
      <c r="A2594" s="10">
        <v>46083</v>
      </c>
      <c r="B2594" t="s">
        <v>53</v>
      </c>
      <c r="C2594" s="1" t="s">
        <v>48</v>
      </c>
      <c r="D2594" s="3">
        <v>25</v>
      </c>
      <c r="E2594" s="3">
        <v>25</v>
      </c>
      <c r="F2594" s="3">
        <v>33.47</v>
      </c>
      <c r="G2594" s="3">
        <v>0</v>
      </c>
      <c r="H2594" s="3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 s="3">
        <v>24</v>
      </c>
      <c r="N2594" s="3">
        <v>98.02</v>
      </c>
      <c r="O2594" s="12">
        <v>23.484848484848481</v>
      </c>
    </row>
    <row r="2595" spans="1:15" hidden="1" x14ac:dyDescent="0.25">
      <c r="A2595" s="10">
        <v>46115</v>
      </c>
      <c r="B2595" t="s">
        <v>22</v>
      </c>
      <c r="C2595" s="1" t="s">
        <v>23</v>
      </c>
      <c r="D2595" s="3">
        <v>0</v>
      </c>
      <c r="E2595" s="3">
        <v>0</v>
      </c>
      <c r="F2595" s="3">
        <v>0</v>
      </c>
      <c r="G2595" s="3">
        <v>0</v>
      </c>
      <c r="H2595" s="3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 s="3">
        <v>0</v>
      </c>
      <c r="N2595" s="3">
        <v>99.28</v>
      </c>
      <c r="O2595" s="12">
        <v>27.689243027888441</v>
      </c>
    </row>
    <row r="2596" spans="1:15" hidden="1" x14ac:dyDescent="0.25">
      <c r="A2596" s="10">
        <v>46083</v>
      </c>
      <c r="B2596" t="s">
        <v>54</v>
      </c>
      <c r="C2596" s="1" t="s">
        <v>48</v>
      </c>
      <c r="D2596" s="3">
        <v>21</v>
      </c>
      <c r="E2596" s="3">
        <v>20</v>
      </c>
      <c r="F2596" s="3">
        <v>28.58</v>
      </c>
      <c r="G2596" s="3">
        <v>0</v>
      </c>
      <c r="H2596" s="3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 s="3">
        <v>18</v>
      </c>
      <c r="N2596" s="3">
        <v>100</v>
      </c>
      <c r="O2596" s="12">
        <v>27.04918032786885</v>
      </c>
    </row>
    <row r="2597" spans="1:15" hidden="1" x14ac:dyDescent="0.25">
      <c r="A2597" s="10">
        <v>46083</v>
      </c>
      <c r="B2597" t="s">
        <v>37</v>
      </c>
      <c r="C2597" s="1" t="s">
        <v>32</v>
      </c>
      <c r="D2597" s="3">
        <v>42</v>
      </c>
      <c r="E2597" s="3">
        <v>35</v>
      </c>
      <c r="F2597" s="3">
        <v>15.13</v>
      </c>
      <c r="G2597" s="3">
        <v>0</v>
      </c>
      <c r="H2597" s="3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 s="3">
        <v>40</v>
      </c>
      <c r="N2597" s="3">
        <v>97.83</v>
      </c>
      <c r="O2597" s="12">
        <v>26.315789473684209</v>
      </c>
    </row>
    <row r="2598" spans="1:15" hidden="1" x14ac:dyDescent="0.25">
      <c r="A2598" s="10">
        <v>46083</v>
      </c>
      <c r="B2598" t="s">
        <v>38</v>
      </c>
      <c r="C2598" s="1" t="s">
        <v>32</v>
      </c>
      <c r="D2598" s="3">
        <v>13</v>
      </c>
      <c r="E2598" s="3">
        <v>12</v>
      </c>
      <c r="F2598" s="3">
        <v>10.52</v>
      </c>
      <c r="G2598" s="3">
        <v>0</v>
      </c>
      <c r="H2598" s="3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 s="3">
        <v>12</v>
      </c>
      <c r="N2598" s="3">
        <v>100</v>
      </c>
      <c r="O2598" s="12">
        <v>26.701570680628269</v>
      </c>
    </row>
    <row r="2599" spans="1:15" hidden="1" x14ac:dyDescent="0.25">
      <c r="A2599" s="10">
        <v>46083</v>
      </c>
      <c r="B2599" t="s">
        <v>55</v>
      </c>
      <c r="C2599" s="1" t="s">
        <v>48</v>
      </c>
      <c r="D2599" s="3">
        <v>24</v>
      </c>
      <c r="E2599" s="3">
        <v>19</v>
      </c>
      <c r="F2599" s="3">
        <v>27.34</v>
      </c>
      <c r="G2599" s="3">
        <v>0</v>
      </c>
      <c r="H2599" s="3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 s="3">
        <v>18</v>
      </c>
      <c r="N2599" s="3">
        <v>97.47</v>
      </c>
      <c r="O2599" s="12">
        <v>22.887323943661968</v>
      </c>
    </row>
    <row r="2600" spans="1:15" hidden="1" x14ac:dyDescent="0.25">
      <c r="A2600" s="10">
        <v>46083</v>
      </c>
      <c r="B2600" t="s">
        <v>39</v>
      </c>
      <c r="C2600" s="1" t="s">
        <v>32</v>
      </c>
      <c r="D2600" s="3">
        <v>0</v>
      </c>
      <c r="E2600" s="3">
        <v>0</v>
      </c>
      <c r="F2600" s="3">
        <v>0</v>
      </c>
      <c r="G2600" s="3">
        <v>0</v>
      </c>
      <c r="H2600" s="3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 s="3">
        <v>0</v>
      </c>
      <c r="N2600" s="3">
        <v>0</v>
      </c>
      <c r="O2600" s="12">
        <v>0</v>
      </c>
    </row>
    <row r="2601" spans="1:15" hidden="1" x14ac:dyDescent="0.25">
      <c r="A2601" s="10">
        <v>46083</v>
      </c>
      <c r="B2601" t="s">
        <v>25</v>
      </c>
      <c r="C2601" s="1" t="s">
        <v>26</v>
      </c>
      <c r="D2601" s="3">
        <v>17</v>
      </c>
      <c r="E2601" s="3">
        <v>17</v>
      </c>
      <c r="F2601" s="3">
        <v>20.52</v>
      </c>
      <c r="G2601" s="3">
        <v>0</v>
      </c>
      <c r="H2601" s="3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 s="3">
        <v>18</v>
      </c>
      <c r="N2601" s="3">
        <v>98.31</v>
      </c>
      <c r="O2601" s="12">
        <v>24.920127795527151</v>
      </c>
    </row>
    <row r="2602" spans="1:15" hidden="1" x14ac:dyDescent="0.25">
      <c r="A2602" s="10">
        <v>46083</v>
      </c>
      <c r="B2602" t="s">
        <v>40</v>
      </c>
      <c r="C2602" s="1" t="s">
        <v>32</v>
      </c>
      <c r="D2602" s="3">
        <v>21</v>
      </c>
      <c r="E2602" s="3">
        <v>20</v>
      </c>
      <c r="F2602" s="3">
        <v>26.43</v>
      </c>
      <c r="G2602" s="3">
        <v>0</v>
      </c>
      <c r="H2602" s="3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 s="3">
        <v>18</v>
      </c>
      <c r="N2602" s="3">
        <v>96.81</v>
      </c>
      <c r="O2602" s="12">
        <v>32.365145228215773</v>
      </c>
    </row>
    <row r="2603" spans="1:15" hidden="1" x14ac:dyDescent="0.25">
      <c r="A2603" s="10">
        <v>46083</v>
      </c>
      <c r="B2603" t="s">
        <v>27</v>
      </c>
      <c r="C2603" s="1" t="s">
        <v>26</v>
      </c>
      <c r="D2603" s="3">
        <v>0</v>
      </c>
      <c r="E2603" s="3">
        <v>0</v>
      </c>
      <c r="F2603" s="3">
        <v>0</v>
      </c>
      <c r="G2603" s="3">
        <v>0</v>
      </c>
      <c r="H2603" s="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 s="3">
        <v>0</v>
      </c>
      <c r="N2603" s="3">
        <v>100</v>
      </c>
      <c r="O2603" s="12">
        <v>26.47058823529412</v>
      </c>
    </row>
    <row r="2604" spans="1:15" hidden="1" x14ac:dyDescent="0.25">
      <c r="A2604" s="10">
        <v>46083</v>
      </c>
      <c r="B2604" t="s">
        <v>41</v>
      </c>
      <c r="C2604" s="1" t="s">
        <v>32</v>
      </c>
      <c r="D2604" s="3">
        <v>22</v>
      </c>
      <c r="E2604" s="3">
        <v>22</v>
      </c>
      <c r="F2604" s="3">
        <v>24.17</v>
      </c>
      <c r="G2604" s="3">
        <v>0</v>
      </c>
      <c r="H2604" s="3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 s="3">
        <v>21</v>
      </c>
      <c r="N2604" s="3">
        <v>100</v>
      </c>
      <c r="O2604" s="12">
        <v>28.490028490028489</v>
      </c>
    </row>
    <row r="2605" spans="1:15" hidden="1" x14ac:dyDescent="0.25">
      <c r="A2605" s="10">
        <v>46083</v>
      </c>
      <c r="B2605" t="s">
        <v>56</v>
      </c>
      <c r="C2605" s="1" t="s">
        <v>48</v>
      </c>
      <c r="D2605" s="3">
        <v>26</v>
      </c>
      <c r="E2605" s="3">
        <v>25</v>
      </c>
      <c r="F2605" s="3">
        <v>30.24</v>
      </c>
      <c r="G2605" s="3">
        <v>0</v>
      </c>
      <c r="H2605" s="3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 s="3">
        <v>14</v>
      </c>
      <c r="N2605" s="3">
        <v>99.14</v>
      </c>
      <c r="O2605" s="12">
        <v>27.2289156626506</v>
      </c>
    </row>
    <row r="2606" spans="1:15" hidden="1" x14ac:dyDescent="0.25">
      <c r="A2606" s="10">
        <v>46083</v>
      </c>
      <c r="B2606" t="s">
        <v>57</v>
      </c>
      <c r="C2606" s="1" t="s">
        <v>48</v>
      </c>
      <c r="D2606" s="3">
        <v>32</v>
      </c>
      <c r="E2606" s="3">
        <v>30</v>
      </c>
      <c r="F2606" s="3">
        <v>18.48</v>
      </c>
      <c r="G2606" s="3">
        <v>0</v>
      </c>
      <c r="H2606" s="3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 s="3">
        <v>27</v>
      </c>
      <c r="N2606" s="3">
        <v>97.52</v>
      </c>
      <c r="O2606" s="12">
        <v>28.205128205128201</v>
      </c>
    </row>
    <row r="2607" spans="1:15" hidden="1" x14ac:dyDescent="0.25">
      <c r="A2607" s="10">
        <v>46083</v>
      </c>
      <c r="B2607" t="s">
        <v>42</v>
      </c>
      <c r="C2607" s="1" t="s">
        <v>32</v>
      </c>
      <c r="D2607" s="3">
        <v>33</v>
      </c>
      <c r="E2607" s="3">
        <v>28</v>
      </c>
      <c r="F2607" s="3">
        <v>15.49</v>
      </c>
      <c r="G2607" s="3">
        <v>0</v>
      </c>
      <c r="H2607" s="3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 s="3">
        <v>22</v>
      </c>
      <c r="N2607" s="3">
        <v>90</v>
      </c>
      <c r="O2607" s="12">
        <v>24.186046511627911</v>
      </c>
    </row>
    <row r="2608" spans="1:15" hidden="1" x14ac:dyDescent="0.25">
      <c r="A2608" s="10">
        <v>46083</v>
      </c>
      <c r="B2608" t="s">
        <v>62</v>
      </c>
      <c r="C2608" s="1" t="s">
        <v>23</v>
      </c>
      <c r="D2608" s="3">
        <v>30</v>
      </c>
      <c r="E2608" s="3">
        <v>28</v>
      </c>
      <c r="F2608" s="3">
        <v>18.29</v>
      </c>
      <c r="G2608" s="3">
        <v>0</v>
      </c>
      <c r="H2608" s="3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 s="3">
        <v>25</v>
      </c>
      <c r="N2608" s="3">
        <v>98.9</v>
      </c>
      <c r="O2608" s="12">
        <v>26.763990267639901</v>
      </c>
    </row>
    <row r="2609" spans="1:15" hidden="1" x14ac:dyDescent="0.25">
      <c r="A2609" s="10">
        <v>46083</v>
      </c>
      <c r="B2609" t="s">
        <v>19</v>
      </c>
      <c r="C2609" s="1" t="s">
        <v>16</v>
      </c>
      <c r="D2609" s="3">
        <v>15</v>
      </c>
      <c r="E2609" s="3">
        <v>14</v>
      </c>
      <c r="F2609" s="3">
        <v>23.32</v>
      </c>
      <c r="G2609" s="3">
        <v>0</v>
      </c>
      <c r="H2609" s="3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 s="3">
        <v>11</v>
      </c>
      <c r="N2609" s="3">
        <v>88.89</v>
      </c>
      <c r="O2609" s="12">
        <v>25.263157894736839</v>
      </c>
    </row>
    <row r="2610" spans="1:15" hidden="1" x14ac:dyDescent="0.25">
      <c r="A2610" s="10">
        <v>46101</v>
      </c>
      <c r="B2610" t="s">
        <v>43</v>
      </c>
      <c r="C2610" s="1" t="s">
        <v>32</v>
      </c>
      <c r="D2610" s="3">
        <v>42</v>
      </c>
      <c r="E2610" s="3">
        <v>40</v>
      </c>
      <c r="F2610" s="3">
        <v>13.39</v>
      </c>
      <c r="G2610" s="3">
        <v>0</v>
      </c>
      <c r="H2610" s="3">
        <v>0</v>
      </c>
      <c r="I2610" s="3">
        <f>E2610+G2610+H2610</f>
        <v>40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22</v>
      </c>
      <c r="K2610" s="3">
        <f>I2610-J2610</f>
        <v>18</v>
      </c>
      <c r="L2610" s="3" t="str">
        <f>IF(K2610&lt;-5,"CRÍTICO",IF(K2610&lt;0,"ATENÇÃO",IF(K2610&lt;=5,"OPORTUNO","MUITO BOM")))</f>
        <v>MUITO BOM</v>
      </c>
      <c r="M2610" s="3">
        <v>32</v>
      </c>
      <c r="N2610" s="3">
        <v>98.86</v>
      </c>
      <c r="O2610" s="12">
        <v>28.959276018099551</v>
      </c>
    </row>
    <row r="2611" spans="1:15" hidden="1" x14ac:dyDescent="0.25">
      <c r="A2611" s="10">
        <v>46083</v>
      </c>
      <c r="B2611" t="s">
        <v>44</v>
      </c>
      <c r="C2611" s="1" t="s">
        <v>32</v>
      </c>
      <c r="D2611" s="3">
        <v>33</v>
      </c>
      <c r="E2611" s="3">
        <v>32</v>
      </c>
      <c r="F2611" s="3">
        <v>15.17</v>
      </c>
      <c r="G2611" s="3">
        <v>0</v>
      </c>
      <c r="H2611" s="3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 s="3">
        <v>30</v>
      </c>
      <c r="N2611" s="3">
        <v>98.06</v>
      </c>
      <c r="O2611" s="12">
        <v>22.40566037735849</v>
      </c>
    </row>
    <row r="2612" spans="1:15" hidden="1" x14ac:dyDescent="0.25">
      <c r="A2612" s="10">
        <v>46111</v>
      </c>
      <c r="B2612" t="s">
        <v>20</v>
      </c>
      <c r="C2612" s="1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>E2612+G2612+H2612</f>
        <v>17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12">
        <v>25.773195876288661</v>
      </c>
    </row>
    <row r="2613" spans="1:15" hidden="1" x14ac:dyDescent="0.25">
      <c r="A2613" s="10">
        <v>46083</v>
      </c>
      <c r="B2613" t="s">
        <v>28</v>
      </c>
      <c r="C2613" s="1" t="s">
        <v>26</v>
      </c>
      <c r="D2613" s="3">
        <v>0</v>
      </c>
      <c r="E2613" s="3">
        <v>0</v>
      </c>
      <c r="F2613" s="3">
        <v>0</v>
      </c>
      <c r="G2613" s="3">
        <v>0</v>
      </c>
      <c r="H2613" s="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 s="3">
        <v>0</v>
      </c>
      <c r="N2613" s="3">
        <v>100</v>
      </c>
      <c r="O2613" s="12">
        <v>15.38461538461539</v>
      </c>
    </row>
    <row r="2614" spans="1:15" hidden="1" x14ac:dyDescent="0.25">
      <c r="A2614" s="10">
        <v>46083</v>
      </c>
      <c r="B2614" t="s">
        <v>58</v>
      </c>
      <c r="C2614" s="1" t="s">
        <v>48</v>
      </c>
      <c r="D2614" s="3">
        <v>18</v>
      </c>
      <c r="E2614" s="3">
        <v>18</v>
      </c>
      <c r="F2614" s="3">
        <v>30.04</v>
      </c>
      <c r="G2614" s="3">
        <v>0</v>
      </c>
      <c r="H2614" s="3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 s="3">
        <v>16</v>
      </c>
      <c r="N2614" s="3">
        <v>100</v>
      </c>
      <c r="O2614" s="12">
        <v>27.514792899408281</v>
      </c>
    </row>
    <row r="2615" spans="1:15" hidden="1" x14ac:dyDescent="0.25">
      <c r="A2615" s="10">
        <v>46083</v>
      </c>
      <c r="B2615" t="s">
        <v>29</v>
      </c>
      <c r="C2615" s="1" t="s">
        <v>26</v>
      </c>
      <c r="D2615" s="3">
        <v>0</v>
      </c>
      <c r="E2615" s="3">
        <v>0</v>
      </c>
      <c r="F2615" s="3">
        <v>0</v>
      </c>
      <c r="G2615" s="3">
        <v>0</v>
      </c>
      <c r="H2615" s="3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 s="3">
        <v>0</v>
      </c>
      <c r="N2615" s="3">
        <v>100</v>
      </c>
      <c r="O2615" s="12">
        <v>24.875621890547269</v>
      </c>
    </row>
    <row r="2616" spans="1:15" hidden="1" x14ac:dyDescent="0.25">
      <c r="A2616" s="10">
        <v>46083</v>
      </c>
      <c r="B2616" t="s">
        <v>30</v>
      </c>
      <c r="C2616" s="1" t="s">
        <v>26</v>
      </c>
      <c r="D2616" s="3">
        <v>0</v>
      </c>
      <c r="E2616" s="3">
        <v>0</v>
      </c>
      <c r="F2616" s="3">
        <v>0</v>
      </c>
      <c r="G2616" s="3">
        <v>0</v>
      </c>
      <c r="H2616" s="3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 s="3">
        <v>0</v>
      </c>
      <c r="N2616" s="3">
        <v>100</v>
      </c>
      <c r="O2616" s="12">
        <v>28.108108108108109</v>
      </c>
    </row>
    <row r="2617" spans="1:15" hidden="1" x14ac:dyDescent="0.25">
      <c r="A2617" s="10">
        <v>46111</v>
      </c>
      <c r="B2617" t="s">
        <v>21</v>
      </c>
      <c r="C2617" s="1" t="s">
        <v>16</v>
      </c>
      <c r="D2617" s="3">
        <v>4</v>
      </c>
      <c r="E2617" s="3">
        <v>4</v>
      </c>
      <c r="F2617" s="3">
        <v>24.03</v>
      </c>
      <c r="G2617" s="3">
        <v>0</v>
      </c>
      <c r="H2617" s="3">
        <v>0</v>
      </c>
      <c r="I2617" s="3">
        <f>E2617+G2617+H2617</f>
        <v>4</v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8</v>
      </c>
      <c r="K2617" s="3">
        <f>I2617-J2617</f>
        <v>-4</v>
      </c>
      <c r="L2617" s="3" t="str">
        <f>IF(K2617&lt;-5,"CRÍTICO",IF(K2617&lt;0,"ATENÇÃO",IF(K2617&lt;=5,"OPORTUNO","MUITO BOM")))</f>
        <v>ATENÇÃO</v>
      </c>
      <c r="M2617" s="3">
        <v>4</v>
      </c>
      <c r="N2617" s="3">
        <v>100</v>
      </c>
      <c r="O2617" s="12">
        <v>35</v>
      </c>
    </row>
    <row r="2618" spans="1:15" hidden="1" x14ac:dyDescent="0.25">
      <c r="A2618" s="10">
        <v>46083</v>
      </c>
      <c r="B2618" t="s">
        <v>63</v>
      </c>
      <c r="C2618" s="1" t="s">
        <v>23</v>
      </c>
      <c r="D2618" s="3">
        <v>25</v>
      </c>
      <c r="E2618" s="3">
        <v>25</v>
      </c>
      <c r="F2618" s="3">
        <v>26.46</v>
      </c>
      <c r="G2618" s="3">
        <v>0</v>
      </c>
      <c r="H2618" s="3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 s="3">
        <v>15</v>
      </c>
      <c r="N2618" s="3">
        <v>95.35</v>
      </c>
      <c r="O2618" s="12">
        <v>28.61538461538461</v>
      </c>
    </row>
    <row r="2619" spans="1:15" hidden="1" x14ac:dyDescent="0.25">
      <c r="A2619" s="10">
        <v>46083</v>
      </c>
      <c r="B2619" t="s">
        <v>45</v>
      </c>
      <c r="C2619" s="1" t="s">
        <v>32</v>
      </c>
      <c r="D2619" s="3">
        <v>46</v>
      </c>
      <c r="E2619" s="3">
        <v>44</v>
      </c>
      <c r="F2619" s="3">
        <v>14.01</v>
      </c>
      <c r="G2619" s="3">
        <v>0</v>
      </c>
      <c r="H2619" s="3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 s="3">
        <v>35</v>
      </c>
      <c r="N2619" s="3">
        <v>98.26</v>
      </c>
      <c r="O2619" s="12">
        <v>27.54491017964072</v>
      </c>
    </row>
    <row r="2620" spans="1:15" hidden="1" x14ac:dyDescent="0.25">
      <c r="A2620" s="10">
        <v>46083</v>
      </c>
      <c r="B2620" t="s">
        <v>64</v>
      </c>
      <c r="C2620" s="1" t="s">
        <v>23</v>
      </c>
      <c r="D2620" s="3">
        <v>9</v>
      </c>
      <c r="E2620" s="3">
        <v>9</v>
      </c>
      <c r="F2620" s="3">
        <v>52.15</v>
      </c>
      <c r="G2620" s="3">
        <v>0</v>
      </c>
      <c r="H2620" s="3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 s="3">
        <v>9</v>
      </c>
      <c r="N2620" s="3">
        <v>98.55</v>
      </c>
      <c r="O2620" s="12">
        <v>25.337837837837839</v>
      </c>
    </row>
    <row r="2621" spans="1:15" hidden="1" x14ac:dyDescent="0.25">
      <c r="A2621" s="10">
        <v>46083</v>
      </c>
      <c r="B2621" t="s">
        <v>46</v>
      </c>
      <c r="C2621" s="1" t="s">
        <v>32</v>
      </c>
      <c r="D2621" s="3">
        <v>35</v>
      </c>
      <c r="E2621" s="3">
        <v>35</v>
      </c>
      <c r="F2621" s="3">
        <v>15.55</v>
      </c>
      <c r="G2621" s="3">
        <v>0</v>
      </c>
      <c r="H2621" s="3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 s="3">
        <v>29</v>
      </c>
      <c r="N2621" s="3">
        <v>98.39</v>
      </c>
      <c r="O2621" s="12">
        <v>25.563909774436091</v>
      </c>
    </row>
    <row r="2622" spans="1:15" hidden="1" x14ac:dyDescent="0.25">
      <c r="A2622" s="10">
        <v>46084</v>
      </c>
      <c r="B2622" t="s">
        <v>47</v>
      </c>
      <c r="C2622" s="1" t="s">
        <v>48</v>
      </c>
      <c r="D2622" s="3">
        <v>34</v>
      </c>
      <c r="E2622" s="3">
        <v>30</v>
      </c>
      <c r="F2622" s="3">
        <v>21.47</v>
      </c>
      <c r="G2622" s="3">
        <v>0</v>
      </c>
      <c r="H2622" s="3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 s="3">
        <v>22</v>
      </c>
      <c r="N2622" s="3">
        <v>94.29</v>
      </c>
      <c r="O2622" s="12">
        <v>25.647668393782389</v>
      </c>
    </row>
    <row r="2623" spans="1:15" hidden="1" x14ac:dyDescent="0.25">
      <c r="A2623" s="10">
        <v>46084</v>
      </c>
      <c r="B2623" t="s">
        <v>31</v>
      </c>
      <c r="C2623" s="1" t="s">
        <v>32</v>
      </c>
      <c r="D2623" s="3">
        <v>0</v>
      </c>
      <c r="E2623" s="3">
        <v>0</v>
      </c>
      <c r="F2623" s="3">
        <v>0</v>
      </c>
      <c r="G2623" s="3">
        <v>0</v>
      </c>
      <c r="H2623" s="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 s="3">
        <v>21</v>
      </c>
      <c r="N2623" s="3">
        <v>98.26</v>
      </c>
      <c r="O2623" s="12">
        <v>26.666666666666671</v>
      </c>
    </row>
    <row r="2624" spans="1:15" hidden="1" x14ac:dyDescent="0.25">
      <c r="A2624" s="10">
        <v>46084</v>
      </c>
      <c r="B2624" t="s">
        <v>59</v>
      </c>
      <c r="C2624" s="1" t="s">
        <v>23</v>
      </c>
      <c r="D2624" s="3">
        <v>33</v>
      </c>
      <c r="E2624" s="3">
        <v>30</v>
      </c>
      <c r="F2624" s="3">
        <v>18.39</v>
      </c>
      <c r="G2624" s="3">
        <v>0</v>
      </c>
      <c r="H2624" s="3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 s="3">
        <v>25</v>
      </c>
      <c r="N2624" s="3">
        <v>98.2</v>
      </c>
      <c r="O2624" s="12">
        <v>23.37962962962963</v>
      </c>
    </row>
    <row r="2625" spans="1:15" hidden="1" x14ac:dyDescent="0.25">
      <c r="A2625" s="10">
        <v>46084</v>
      </c>
      <c r="B2625" t="s">
        <v>33</v>
      </c>
      <c r="C2625" s="1" t="s">
        <v>32</v>
      </c>
      <c r="D2625" s="3">
        <v>27</v>
      </c>
      <c r="E2625" s="3">
        <v>24</v>
      </c>
      <c r="F2625" s="3">
        <v>22.09</v>
      </c>
      <c r="G2625" s="3">
        <v>0</v>
      </c>
      <c r="H2625" s="3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 s="3">
        <v>32</v>
      </c>
      <c r="N2625" s="3">
        <v>97.3</v>
      </c>
      <c r="O2625" s="12">
        <v>23.84769539078156</v>
      </c>
    </row>
    <row r="2626" spans="1:15" hidden="1" x14ac:dyDescent="0.25">
      <c r="A2626" s="10">
        <v>46084</v>
      </c>
      <c r="B2626" t="s">
        <v>15</v>
      </c>
      <c r="C2626" s="1" t="s">
        <v>16</v>
      </c>
      <c r="D2626" s="3">
        <v>9</v>
      </c>
      <c r="E2626" s="3">
        <v>8</v>
      </c>
      <c r="F2626" s="3">
        <v>25.22</v>
      </c>
      <c r="G2626" s="3">
        <v>0</v>
      </c>
      <c r="H2626" s="3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 s="3">
        <v>6</v>
      </c>
      <c r="N2626" s="3">
        <v>100</v>
      </c>
      <c r="O2626" s="12">
        <v>25.268817204301079</v>
      </c>
    </row>
    <row r="2627" spans="1:15" hidden="1" x14ac:dyDescent="0.25">
      <c r="A2627" s="10">
        <v>46084</v>
      </c>
      <c r="B2627" t="s">
        <v>49</v>
      </c>
      <c r="C2627" s="1" t="s">
        <v>48</v>
      </c>
      <c r="D2627" s="3">
        <v>29</v>
      </c>
      <c r="E2627" s="3">
        <v>25</v>
      </c>
      <c r="F2627" s="3">
        <v>20.13</v>
      </c>
      <c r="G2627" s="3">
        <v>0</v>
      </c>
      <c r="H2627" s="3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 s="3">
        <v>27</v>
      </c>
      <c r="N2627" s="3">
        <v>99.32</v>
      </c>
      <c r="O2627" s="12">
        <v>22.822822822822818</v>
      </c>
    </row>
    <row r="2628" spans="1:15" hidden="1" x14ac:dyDescent="0.25">
      <c r="A2628" s="10">
        <v>46084</v>
      </c>
      <c r="B2628" t="s">
        <v>50</v>
      </c>
      <c r="C2628" s="1" t="s">
        <v>48</v>
      </c>
      <c r="D2628" s="3">
        <v>0</v>
      </c>
      <c r="E2628" s="3">
        <v>0</v>
      </c>
      <c r="F2628" s="3">
        <v>0</v>
      </c>
      <c r="G2628" s="3">
        <v>0</v>
      </c>
      <c r="H2628" s="3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 s="3">
        <v>0</v>
      </c>
      <c r="N2628" s="3">
        <v>100</v>
      </c>
      <c r="O2628" s="12">
        <v>27.966101694915249</v>
      </c>
    </row>
    <row r="2629" spans="1:15" hidden="1" x14ac:dyDescent="0.25">
      <c r="A2629" s="10">
        <v>46084</v>
      </c>
      <c r="B2629" t="s">
        <v>17</v>
      </c>
      <c r="C2629" s="1" t="s">
        <v>16</v>
      </c>
      <c r="D2629" s="3">
        <v>0</v>
      </c>
      <c r="E2629" s="3">
        <v>0</v>
      </c>
      <c r="F2629" s="3">
        <v>0</v>
      </c>
      <c r="G2629" s="3">
        <v>0</v>
      </c>
      <c r="H2629" s="3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 s="3">
        <v>0</v>
      </c>
      <c r="N2629" s="3">
        <v>100</v>
      </c>
      <c r="O2629" s="12">
        <v>30.434782608695659</v>
      </c>
    </row>
    <row r="2630" spans="1:15" hidden="1" x14ac:dyDescent="0.25">
      <c r="A2630" s="10">
        <v>46084</v>
      </c>
      <c r="B2630" t="s">
        <v>60</v>
      </c>
      <c r="C2630" s="1" t="s">
        <v>23</v>
      </c>
      <c r="D2630" s="3">
        <v>22</v>
      </c>
      <c r="E2630" s="3">
        <v>22</v>
      </c>
      <c r="F2630" s="3">
        <v>25.18</v>
      </c>
      <c r="G2630" s="3">
        <v>0</v>
      </c>
      <c r="H2630" s="3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 s="3">
        <v>20</v>
      </c>
      <c r="N2630" s="3">
        <v>96.51</v>
      </c>
      <c r="O2630" s="12">
        <v>22.802850356294542</v>
      </c>
    </row>
    <row r="2631" spans="1:15" hidden="1" x14ac:dyDescent="0.25">
      <c r="A2631" s="10">
        <v>46084</v>
      </c>
      <c r="B2631" t="s">
        <v>34</v>
      </c>
      <c r="C2631" s="1" t="s">
        <v>32</v>
      </c>
      <c r="D2631" s="3">
        <v>36</v>
      </c>
      <c r="E2631" s="3">
        <v>34</v>
      </c>
      <c r="F2631" s="3">
        <v>15.55</v>
      </c>
      <c r="G2631" s="3">
        <v>0</v>
      </c>
      <c r="H2631" s="3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 s="3">
        <v>34</v>
      </c>
      <c r="N2631" s="3">
        <v>92.68</v>
      </c>
      <c r="O2631" s="12">
        <v>27.777777777777779</v>
      </c>
    </row>
    <row r="2632" spans="1:15" hidden="1" x14ac:dyDescent="0.25">
      <c r="A2632" s="10">
        <v>46084</v>
      </c>
      <c r="B2632" t="s">
        <v>51</v>
      </c>
      <c r="C2632" s="1" t="s">
        <v>48</v>
      </c>
      <c r="D2632" s="3">
        <v>27</v>
      </c>
      <c r="E2632" s="3">
        <v>25</v>
      </c>
      <c r="F2632" s="3">
        <v>25.36</v>
      </c>
      <c r="G2632" s="3">
        <v>0</v>
      </c>
      <c r="H2632" s="3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 s="3">
        <v>21</v>
      </c>
      <c r="N2632" s="3">
        <v>99.03</v>
      </c>
      <c r="O2632" s="12">
        <v>23.991507430997881</v>
      </c>
    </row>
    <row r="2633" spans="1:15" hidden="1" x14ac:dyDescent="0.25">
      <c r="A2633" s="10">
        <v>46084</v>
      </c>
      <c r="B2633" t="s">
        <v>61</v>
      </c>
      <c r="C2633" s="1" t="s">
        <v>23</v>
      </c>
      <c r="D2633" s="3">
        <v>37</v>
      </c>
      <c r="E2633" s="3">
        <v>34</v>
      </c>
      <c r="F2633" s="3">
        <v>17.02</v>
      </c>
      <c r="G2633" s="3">
        <v>0</v>
      </c>
      <c r="H2633" s="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 s="3">
        <v>14</v>
      </c>
      <c r="N2633" s="3">
        <v>98.41</v>
      </c>
      <c r="O2633" s="12">
        <v>28.138528138528141</v>
      </c>
    </row>
    <row r="2634" spans="1:15" hidden="1" x14ac:dyDescent="0.25">
      <c r="A2634" s="10">
        <v>46084</v>
      </c>
      <c r="B2634" t="s">
        <v>35</v>
      </c>
      <c r="C2634" s="1" t="s">
        <v>32</v>
      </c>
      <c r="D2634" s="3">
        <v>32</v>
      </c>
      <c r="E2634" s="3">
        <v>32</v>
      </c>
      <c r="F2634" s="3">
        <v>24.12</v>
      </c>
      <c r="G2634" s="3">
        <v>0</v>
      </c>
      <c r="H2634" s="3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 s="3">
        <v>33</v>
      </c>
      <c r="N2634" s="3">
        <v>98.73</v>
      </c>
      <c r="O2634" s="12">
        <v>29.142857142857139</v>
      </c>
    </row>
    <row r="2635" spans="1:15" hidden="1" x14ac:dyDescent="0.25">
      <c r="A2635" s="10">
        <v>46084</v>
      </c>
      <c r="B2635" t="s">
        <v>18</v>
      </c>
      <c r="C2635" s="1" t="s">
        <v>16</v>
      </c>
      <c r="D2635" s="3">
        <v>5</v>
      </c>
      <c r="E2635" s="3">
        <v>5</v>
      </c>
      <c r="F2635" s="3">
        <v>62.16</v>
      </c>
      <c r="G2635" s="3">
        <v>0</v>
      </c>
      <c r="H2635" s="3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 s="3">
        <v>3</v>
      </c>
      <c r="N2635" s="3">
        <v>90.48</v>
      </c>
      <c r="O2635" s="12">
        <v>20.68965517241379</v>
      </c>
    </row>
    <row r="2636" spans="1:15" hidden="1" x14ac:dyDescent="0.25">
      <c r="A2636" s="10">
        <v>46084</v>
      </c>
      <c r="B2636" t="s">
        <v>52</v>
      </c>
      <c r="C2636" s="1" t="s">
        <v>48</v>
      </c>
      <c r="D2636" s="3">
        <v>44</v>
      </c>
      <c r="E2636" s="3">
        <v>43</v>
      </c>
      <c r="F2636" s="3">
        <v>17.2</v>
      </c>
      <c r="G2636" s="3">
        <v>0</v>
      </c>
      <c r="H2636" s="3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 s="3">
        <v>35</v>
      </c>
      <c r="N2636" s="3">
        <v>98.06</v>
      </c>
      <c r="O2636" s="12">
        <v>24.789915966386559</v>
      </c>
    </row>
    <row r="2637" spans="1:15" hidden="1" x14ac:dyDescent="0.25">
      <c r="A2637" s="10">
        <v>46084</v>
      </c>
      <c r="B2637" t="s">
        <v>36</v>
      </c>
      <c r="C2637" s="1" t="s">
        <v>32</v>
      </c>
      <c r="D2637" s="3">
        <v>20</v>
      </c>
      <c r="E2637" s="3">
        <v>18</v>
      </c>
      <c r="F2637" s="3">
        <v>13.25</v>
      </c>
      <c r="G2637" s="3">
        <v>0</v>
      </c>
      <c r="H2637" s="3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 s="3">
        <v>22</v>
      </c>
      <c r="N2637" s="3">
        <v>97.78</v>
      </c>
      <c r="O2637" s="12">
        <v>25.494071146245059</v>
      </c>
    </row>
    <row r="2638" spans="1:15" hidden="1" x14ac:dyDescent="0.25">
      <c r="A2638" s="10">
        <v>46084</v>
      </c>
      <c r="B2638" t="s">
        <v>53</v>
      </c>
      <c r="C2638" s="1" t="s">
        <v>48</v>
      </c>
      <c r="D2638" s="3">
        <v>35</v>
      </c>
      <c r="E2638" s="3">
        <v>34</v>
      </c>
      <c r="F2638" s="3">
        <v>21.41</v>
      </c>
      <c r="G2638" s="3">
        <v>0</v>
      </c>
      <c r="H2638" s="3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 s="3">
        <v>31</v>
      </c>
      <c r="N2638" s="3">
        <v>98.02</v>
      </c>
      <c r="O2638" s="12">
        <v>23.484848484848481</v>
      </c>
    </row>
    <row r="2639" spans="1:15" hidden="1" x14ac:dyDescent="0.25">
      <c r="A2639" s="10">
        <v>46118</v>
      </c>
      <c r="B2639" t="s">
        <v>22</v>
      </c>
      <c r="C2639" s="1" t="s">
        <v>23</v>
      </c>
      <c r="D2639" s="3">
        <v>30</v>
      </c>
      <c r="E2639" s="3">
        <v>26</v>
      </c>
      <c r="F2639" s="3">
        <v>15.1</v>
      </c>
      <c r="G2639" s="3">
        <v>0</v>
      </c>
      <c r="H2639" s="3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 s="3">
        <v>23</v>
      </c>
      <c r="N2639" s="3">
        <v>99.28</v>
      </c>
      <c r="O2639" s="12">
        <v>27.689243027888441</v>
      </c>
    </row>
    <row r="2640" spans="1:15" hidden="1" x14ac:dyDescent="0.25">
      <c r="A2640" s="10">
        <v>46084</v>
      </c>
      <c r="B2640" t="s">
        <v>54</v>
      </c>
      <c r="C2640" s="1" t="s">
        <v>48</v>
      </c>
      <c r="D2640" s="3">
        <v>32</v>
      </c>
      <c r="E2640" s="3">
        <v>31</v>
      </c>
      <c r="F2640" s="3">
        <v>16.510000000000002</v>
      </c>
      <c r="G2640" s="3">
        <v>0</v>
      </c>
      <c r="H2640" s="3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 s="3">
        <v>28</v>
      </c>
      <c r="N2640" s="3">
        <v>100</v>
      </c>
      <c r="O2640" s="12">
        <v>27.04918032786885</v>
      </c>
    </row>
    <row r="2641" spans="1:15" hidden="1" x14ac:dyDescent="0.25">
      <c r="A2641" s="10">
        <v>46084</v>
      </c>
      <c r="B2641" t="s">
        <v>37</v>
      </c>
      <c r="C2641" s="1" t="s">
        <v>32</v>
      </c>
      <c r="D2641" s="3">
        <v>46</v>
      </c>
      <c r="E2641" s="3">
        <v>42</v>
      </c>
      <c r="F2641" s="3">
        <v>15.35</v>
      </c>
      <c r="G2641" s="3">
        <v>0</v>
      </c>
      <c r="H2641" s="3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 s="3">
        <v>41</v>
      </c>
      <c r="N2641" s="3">
        <v>97.83</v>
      </c>
      <c r="O2641" s="12">
        <v>26.315789473684209</v>
      </c>
    </row>
    <row r="2642" spans="1:15" hidden="1" x14ac:dyDescent="0.25">
      <c r="A2642" s="10">
        <v>46084</v>
      </c>
      <c r="B2642" t="s">
        <v>38</v>
      </c>
      <c r="C2642" s="1" t="s">
        <v>32</v>
      </c>
      <c r="D2642" s="3">
        <v>4</v>
      </c>
      <c r="E2642" s="3">
        <v>3</v>
      </c>
      <c r="F2642" s="3">
        <v>15.16</v>
      </c>
      <c r="G2642" s="3">
        <v>0</v>
      </c>
      <c r="H2642" s="3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 s="3">
        <v>6</v>
      </c>
      <c r="N2642" s="3">
        <v>100</v>
      </c>
      <c r="O2642" s="12">
        <v>26.701570680628269</v>
      </c>
    </row>
    <row r="2643" spans="1:15" hidden="1" x14ac:dyDescent="0.25">
      <c r="A2643" s="10">
        <v>46084</v>
      </c>
      <c r="B2643" t="s">
        <v>55</v>
      </c>
      <c r="C2643" s="1" t="s">
        <v>48</v>
      </c>
      <c r="D2643" s="3">
        <v>34</v>
      </c>
      <c r="E2643" s="3">
        <v>31</v>
      </c>
      <c r="F2643" s="3">
        <v>18.54</v>
      </c>
      <c r="G2643" s="3">
        <v>0</v>
      </c>
      <c r="H2643" s="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 s="3">
        <v>29</v>
      </c>
      <c r="N2643" s="3">
        <v>97.47</v>
      </c>
      <c r="O2643" s="12">
        <v>22.887323943661968</v>
      </c>
    </row>
    <row r="2644" spans="1:15" hidden="1" x14ac:dyDescent="0.25">
      <c r="A2644" s="10">
        <v>46084</v>
      </c>
      <c r="B2644" t="s">
        <v>39</v>
      </c>
      <c r="C2644" s="1" t="s">
        <v>32</v>
      </c>
      <c r="D2644" s="3">
        <v>0</v>
      </c>
      <c r="E2644" s="3">
        <v>0</v>
      </c>
      <c r="F2644" s="3">
        <v>0</v>
      </c>
      <c r="G2644" s="3">
        <v>0</v>
      </c>
      <c r="H2644" s="3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 s="3">
        <v>0</v>
      </c>
      <c r="N2644" s="3">
        <v>0</v>
      </c>
      <c r="O2644" s="12">
        <v>0</v>
      </c>
    </row>
    <row r="2645" spans="1:15" hidden="1" x14ac:dyDescent="0.25">
      <c r="A2645" s="10">
        <v>46084</v>
      </c>
      <c r="B2645" t="s">
        <v>25</v>
      </c>
      <c r="C2645" s="1" t="s">
        <v>26</v>
      </c>
      <c r="D2645" s="3">
        <v>14</v>
      </c>
      <c r="E2645" s="3">
        <v>14</v>
      </c>
      <c r="F2645" s="3">
        <v>26.42</v>
      </c>
      <c r="G2645" s="3">
        <v>0</v>
      </c>
      <c r="H2645" s="3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 s="3">
        <v>12</v>
      </c>
      <c r="N2645" s="3">
        <v>98.31</v>
      </c>
      <c r="O2645" s="12">
        <v>24.920127795527151</v>
      </c>
    </row>
    <row r="2646" spans="1:15" hidden="1" x14ac:dyDescent="0.25">
      <c r="A2646" s="10">
        <v>46084</v>
      </c>
      <c r="B2646" t="s">
        <v>40</v>
      </c>
      <c r="C2646" s="1" t="s">
        <v>32</v>
      </c>
      <c r="D2646" s="3">
        <v>2</v>
      </c>
      <c r="E2646" s="3">
        <v>2</v>
      </c>
      <c r="F2646" s="3">
        <v>27.01</v>
      </c>
      <c r="G2646" s="3">
        <v>0</v>
      </c>
      <c r="H2646" s="3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 s="3">
        <v>6</v>
      </c>
      <c r="N2646" s="3">
        <v>96.81</v>
      </c>
      <c r="O2646" s="12">
        <v>32.365145228215773</v>
      </c>
    </row>
    <row r="2647" spans="1:15" hidden="1" x14ac:dyDescent="0.25">
      <c r="A2647" s="10">
        <v>46084</v>
      </c>
      <c r="B2647" t="s">
        <v>27</v>
      </c>
      <c r="C2647" s="1" t="s">
        <v>26</v>
      </c>
      <c r="D2647" s="3">
        <v>0</v>
      </c>
      <c r="E2647" s="3">
        <v>0</v>
      </c>
      <c r="F2647" s="3">
        <v>0</v>
      </c>
      <c r="G2647" s="3">
        <v>0</v>
      </c>
      <c r="H2647" s="3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 s="3">
        <v>0</v>
      </c>
      <c r="N2647" s="3">
        <v>100</v>
      </c>
      <c r="O2647" s="12">
        <v>26.47058823529412</v>
      </c>
    </row>
    <row r="2648" spans="1:15" hidden="1" x14ac:dyDescent="0.25">
      <c r="A2648" s="10">
        <v>46084</v>
      </c>
      <c r="B2648" t="s">
        <v>41</v>
      </c>
      <c r="C2648" s="1" t="s">
        <v>32</v>
      </c>
      <c r="D2648" s="3">
        <v>4</v>
      </c>
      <c r="E2648" s="3">
        <v>4</v>
      </c>
      <c r="F2648" s="3">
        <v>25.43</v>
      </c>
      <c r="G2648" s="3">
        <v>0</v>
      </c>
      <c r="H2648" s="3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 s="3">
        <v>15</v>
      </c>
      <c r="N2648" s="3">
        <v>100</v>
      </c>
      <c r="O2648" s="12">
        <v>28.490028490028489</v>
      </c>
    </row>
    <row r="2649" spans="1:15" hidden="1" x14ac:dyDescent="0.25">
      <c r="A2649" s="10">
        <v>46084</v>
      </c>
      <c r="B2649" t="s">
        <v>56</v>
      </c>
      <c r="C2649" s="1" t="s">
        <v>48</v>
      </c>
      <c r="D2649" s="3">
        <v>30</v>
      </c>
      <c r="E2649" s="3">
        <v>25</v>
      </c>
      <c r="F2649" s="3">
        <v>20.04</v>
      </c>
      <c r="G2649" s="3">
        <v>0</v>
      </c>
      <c r="H2649" s="3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 s="3">
        <v>20</v>
      </c>
      <c r="N2649" s="3">
        <v>99.14</v>
      </c>
      <c r="O2649" s="12">
        <v>27.2289156626506</v>
      </c>
    </row>
    <row r="2650" spans="1:15" hidden="1" x14ac:dyDescent="0.25">
      <c r="A2650" s="10">
        <v>46084</v>
      </c>
      <c r="B2650" t="s">
        <v>57</v>
      </c>
      <c r="C2650" s="1" t="s">
        <v>48</v>
      </c>
      <c r="D2650" s="3">
        <v>32</v>
      </c>
      <c r="E2650" s="3">
        <v>30</v>
      </c>
      <c r="F2650" s="3">
        <v>21.56</v>
      </c>
      <c r="G2650" s="3">
        <v>0</v>
      </c>
      <c r="H2650" s="3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 s="3">
        <v>27</v>
      </c>
      <c r="N2650" s="3">
        <v>97.52</v>
      </c>
      <c r="O2650" s="12">
        <v>28.205128205128201</v>
      </c>
    </row>
    <row r="2651" spans="1:15" hidden="1" x14ac:dyDescent="0.25">
      <c r="A2651" s="10">
        <v>46084</v>
      </c>
      <c r="B2651" t="s">
        <v>42</v>
      </c>
      <c r="C2651" s="1" t="s">
        <v>32</v>
      </c>
      <c r="D2651" s="3">
        <v>44</v>
      </c>
      <c r="E2651" s="3">
        <v>38</v>
      </c>
      <c r="F2651" s="3">
        <v>17.2</v>
      </c>
      <c r="G2651" s="3">
        <v>0</v>
      </c>
      <c r="H2651" s="3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 s="3">
        <v>19</v>
      </c>
      <c r="N2651" s="3">
        <v>90</v>
      </c>
      <c r="O2651" s="12">
        <v>24.186046511627911</v>
      </c>
    </row>
    <row r="2652" spans="1:15" hidden="1" x14ac:dyDescent="0.25">
      <c r="A2652" s="10">
        <v>46084</v>
      </c>
      <c r="B2652" t="s">
        <v>62</v>
      </c>
      <c r="C2652" s="1" t="s">
        <v>23</v>
      </c>
      <c r="D2652" s="3">
        <v>26</v>
      </c>
      <c r="E2652" s="3">
        <v>23</v>
      </c>
      <c r="F2652" s="3">
        <v>22.02</v>
      </c>
      <c r="G2652" s="3">
        <v>0</v>
      </c>
      <c r="H2652" s="3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 s="3">
        <v>23</v>
      </c>
      <c r="N2652" s="3">
        <v>98.9</v>
      </c>
      <c r="O2652" s="12">
        <v>26.763990267639901</v>
      </c>
    </row>
    <row r="2653" spans="1:15" hidden="1" x14ac:dyDescent="0.25">
      <c r="A2653" s="10">
        <v>46084</v>
      </c>
      <c r="B2653" t="s">
        <v>19</v>
      </c>
      <c r="C2653" s="1" t="s">
        <v>16</v>
      </c>
      <c r="D2653" s="3">
        <v>9</v>
      </c>
      <c r="E2653" s="3">
        <v>7</v>
      </c>
      <c r="F2653" s="3">
        <v>26.4</v>
      </c>
      <c r="G2653" s="3">
        <v>0</v>
      </c>
      <c r="H2653" s="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 s="3">
        <v>7</v>
      </c>
      <c r="N2653" s="3">
        <v>88.89</v>
      </c>
      <c r="O2653" s="12">
        <v>25.263157894736839</v>
      </c>
    </row>
    <row r="2654" spans="1:15" hidden="1" x14ac:dyDescent="0.25">
      <c r="A2654" s="10">
        <v>46104</v>
      </c>
      <c r="B2654" t="s">
        <v>43</v>
      </c>
      <c r="C2654" s="1" t="s">
        <v>32</v>
      </c>
      <c r="D2654" s="3">
        <v>21</v>
      </c>
      <c r="E2654" s="3">
        <v>20</v>
      </c>
      <c r="F2654" s="3">
        <v>19.079999999999998</v>
      </c>
      <c r="G2654" s="3">
        <v>0</v>
      </c>
      <c r="H2654" s="3">
        <v>0</v>
      </c>
      <c r="I2654" s="3">
        <f>E2654+G2654+H2654</f>
        <v>20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22</v>
      </c>
      <c r="K2654" s="3">
        <f>I2654-J2654</f>
        <v>-2</v>
      </c>
      <c r="L2654" s="3" t="str">
        <f>IF(K2654&lt;-5,"CRÍTICO",IF(K2654&lt;0,"ATENÇÃO",IF(K2654&lt;=5,"OPORTUNO","MUITO BOM")))</f>
        <v>ATENÇÃO</v>
      </c>
      <c r="M2654" s="3">
        <v>19</v>
      </c>
      <c r="N2654" s="3">
        <v>98.86</v>
      </c>
      <c r="O2654" s="12">
        <v>28.959276018099551</v>
      </c>
    </row>
    <row r="2655" spans="1:15" hidden="1" x14ac:dyDescent="0.25">
      <c r="A2655" s="10">
        <v>46084</v>
      </c>
      <c r="B2655" t="s">
        <v>44</v>
      </c>
      <c r="C2655" s="1" t="s">
        <v>32</v>
      </c>
      <c r="D2655" s="3">
        <v>39</v>
      </c>
      <c r="E2655" s="3">
        <v>38</v>
      </c>
      <c r="F2655" s="3">
        <v>15.52</v>
      </c>
      <c r="G2655" s="3">
        <v>0</v>
      </c>
      <c r="H2655" s="3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 s="3">
        <v>33</v>
      </c>
      <c r="N2655" s="3">
        <v>98.06</v>
      </c>
      <c r="O2655" s="12">
        <v>22.40566037735849</v>
      </c>
    </row>
    <row r="2656" spans="1:15" hidden="1" x14ac:dyDescent="0.25">
      <c r="A2656" s="10">
        <v>46112</v>
      </c>
      <c r="B2656" t="s">
        <v>20</v>
      </c>
      <c r="C2656" s="1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>E2656+G2656+H2656</f>
        <v>19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12">
        <v>25.773195876288661</v>
      </c>
    </row>
    <row r="2657" spans="1:15" hidden="1" x14ac:dyDescent="0.25">
      <c r="A2657" s="10">
        <v>46084</v>
      </c>
      <c r="B2657" t="s">
        <v>28</v>
      </c>
      <c r="C2657" s="1" t="s">
        <v>26</v>
      </c>
      <c r="D2657" s="3">
        <v>0</v>
      </c>
      <c r="E2657" s="3">
        <v>0</v>
      </c>
      <c r="F2657" s="3">
        <v>0</v>
      </c>
      <c r="G2657" s="3">
        <v>0</v>
      </c>
      <c r="H2657" s="3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 s="3">
        <v>0</v>
      </c>
      <c r="N2657" s="3">
        <v>100</v>
      </c>
      <c r="O2657" s="12">
        <v>15.38461538461539</v>
      </c>
    </row>
    <row r="2658" spans="1:15" hidden="1" x14ac:dyDescent="0.25">
      <c r="A2658" s="10">
        <v>46084</v>
      </c>
      <c r="B2658" t="s">
        <v>58</v>
      </c>
      <c r="C2658" s="1" t="s">
        <v>48</v>
      </c>
      <c r="D2658" s="3">
        <v>24</v>
      </c>
      <c r="E2658" s="3">
        <v>24</v>
      </c>
      <c r="F2658" s="3">
        <v>23.54</v>
      </c>
      <c r="G2658" s="3">
        <v>0</v>
      </c>
      <c r="H2658" s="3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 s="3">
        <v>18</v>
      </c>
      <c r="N2658" s="3">
        <v>100</v>
      </c>
      <c r="O2658" s="12">
        <v>27.514792899408281</v>
      </c>
    </row>
    <row r="2659" spans="1:15" hidden="1" x14ac:dyDescent="0.25">
      <c r="A2659" s="10">
        <v>46084</v>
      </c>
      <c r="B2659" t="s">
        <v>29</v>
      </c>
      <c r="C2659" s="1" t="s">
        <v>26</v>
      </c>
      <c r="D2659" s="3">
        <v>0</v>
      </c>
      <c r="E2659" s="3">
        <v>0</v>
      </c>
      <c r="F2659" s="3">
        <v>0</v>
      </c>
      <c r="G2659" s="3">
        <v>0</v>
      </c>
      <c r="H2659" s="3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 s="3">
        <v>0</v>
      </c>
      <c r="N2659" s="3">
        <v>100</v>
      </c>
      <c r="O2659" s="12">
        <v>24.875621890547269</v>
      </c>
    </row>
    <row r="2660" spans="1:15" hidden="1" x14ac:dyDescent="0.25">
      <c r="A2660" s="10">
        <v>46084</v>
      </c>
      <c r="B2660" t="s">
        <v>30</v>
      </c>
      <c r="C2660" s="1" t="s">
        <v>26</v>
      </c>
      <c r="D2660" s="3">
        <v>0</v>
      </c>
      <c r="E2660" s="3">
        <v>0</v>
      </c>
      <c r="F2660" s="3">
        <v>0</v>
      </c>
      <c r="G2660" s="3">
        <v>0</v>
      </c>
      <c r="H2660" s="3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 s="3">
        <v>0</v>
      </c>
      <c r="N2660" s="3">
        <v>100</v>
      </c>
      <c r="O2660" s="12">
        <v>28.108108108108109</v>
      </c>
    </row>
    <row r="2661" spans="1:15" hidden="1" x14ac:dyDescent="0.25">
      <c r="A2661" s="10">
        <v>46112</v>
      </c>
      <c r="B2661" t="s">
        <v>21</v>
      </c>
      <c r="C2661" s="1" t="s">
        <v>16</v>
      </c>
      <c r="D2661" s="3">
        <v>8</v>
      </c>
      <c r="E2661" s="3">
        <v>6</v>
      </c>
      <c r="F2661" s="3">
        <v>34.04</v>
      </c>
      <c r="G2661" s="3">
        <v>0</v>
      </c>
      <c r="H2661" s="3">
        <v>0</v>
      </c>
      <c r="I2661" s="3">
        <f>E2661+G2661+H2661</f>
        <v>6</v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8</v>
      </c>
      <c r="K2661" s="3">
        <f>I2661-J2661</f>
        <v>-2</v>
      </c>
      <c r="L2661" s="3" t="str">
        <f>IF(K2661&lt;-5,"CRÍTICO",IF(K2661&lt;0,"ATENÇÃO",IF(K2661&lt;=5,"OPORTUNO","MUITO BOM")))</f>
        <v>ATENÇÃO</v>
      </c>
      <c r="M2661" s="3">
        <v>3</v>
      </c>
      <c r="N2661" s="3">
        <v>100</v>
      </c>
      <c r="O2661" s="12">
        <v>35</v>
      </c>
    </row>
    <row r="2662" spans="1:15" hidden="1" x14ac:dyDescent="0.25">
      <c r="A2662" s="10">
        <v>46084</v>
      </c>
      <c r="B2662" t="s">
        <v>63</v>
      </c>
      <c r="C2662" s="1" t="s">
        <v>23</v>
      </c>
      <c r="D2662" s="3">
        <v>40</v>
      </c>
      <c r="E2662" s="3">
        <v>38</v>
      </c>
      <c r="F2662" s="3">
        <v>20.04</v>
      </c>
      <c r="G2662" s="3">
        <v>0</v>
      </c>
      <c r="H2662" s="3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 s="3">
        <v>29</v>
      </c>
      <c r="N2662" s="3">
        <v>95.35</v>
      </c>
      <c r="O2662" s="12">
        <v>28.61538461538461</v>
      </c>
    </row>
    <row r="2663" spans="1:15" hidden="1" x14ac:dyDescent="0.25">
      <c r="A2663" s="10">
        <v>46084</v>
      </c>
      <c r="B2663" t="s">
        <v>45</v>
      </c>
      <c r="C2663" s="1" t="s">
        <v>32</v>
      </c>
      <c r="D2663" s="3">
        <v>40</v>
      </c>
      <c r="E2663" s="3">
        <v>36</v>
      </c>
      <c r="F2663" s="3">
        <v>16.440000000000001</v>
      </c>
      <c r="G2663" s="3">
        <v>0</v>
      </c>
      <c r="H2663" s="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 s="3">
        <v>32</v>
      </c>
      <c r="N2663" s="3">
        <v>98.26</v>
      </c>
      <c r="O2663" s="12">
        <v>27.54491017964072</v>
      </c>
    </row>
    <row r="2664" spans="1:15" hidden="1" x14ac:dyDescent="0.25">
      <c r="A2664" s="10">
        <v>46084</v>
      </c>
      <c r="B2664" t="s">
        <v>64</v>
      </c>
      <c r="C2664" s="1" t="s">
        <v>23</v>
      </c>
      <c r="D2664" s="3">
        <v>21</v>
      </c>
      <c r="E2664" s="3">
        <v>20</v>
      </c>
      <c r="F2664" s="3">
        <v>26.56</v>
      </c>
      <c r="G2664" s="3">
        <v>0</v>
      </c>
      <c r="H2664" s="3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 s="3">
        <v>18</v>
      </c>
      <c r="N2664" s="3">
        <v>98.55</v>
      </c>
      <c r="O2664" s="12">
        <v>25.337837837837839</v>
      </c>
    </row>
    <row r="2665" spans="1:15" hidden="1" x14ac:dyDescent="0.25">
      <c r="A2665" s="10">
        <v>46084</v>
      </c>
      <c r="B2665" t="s">
        <v>46</v>
      </c>
      <c r="C2665" s="1" t="s">
        <v>32</v>
      </c>
      <c r="D2665" s="3">
        <v>33</v>
      </c>
      <c r="E2665" s="3">
        <v>30</v>
      </c>
      <c r="F2665" s="3">
        <v>19.190000000000001</v>
      </c>
      <c r="G2665" s="3">
        <v>0</v>
      </c>
      <c r="H2665" s="3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 s="3">
        <v>31</v>
      </c>
      <c r="N2665" s="3">
        <v>98.39</v>
      </c>
      <c r="O2665" s="12">
        <v>25.563909774436091</v>
      </c>
    </row>
    <row r="2666" spans="1:15" hidden="1" x14ac:dyDescent="0.25">
      <c r="A2666" s="10">
        <v>46085</v>
      </c>
      <c r="B2666" t="s">
        <v>47</v>
      </c>
      <c r="C2666" s="1" t="s">
        <v>48</v>
      </c>
      <c r="D2666" s="3">
        <v>27</v>
      </c>
      <c r="E2666" s="3">
        <v>22</v>
      </c>
      <c r="F2666" s="3">
        <v>23.28</v>
      </c>
      <c r="G2666" s="3">
        <v>0</v>
      </c>
      <c r="H2666" s="3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 s="3">
        <v>20</v>
      </c>
      <c r="N2666" s="3">
        <v>94.29</v>
      </c>
      <c r="O2666" s="12">
        <v>25.647668393782389</v>
      </c>
    </row>
    <row r="2667" spans="1:15" hidden="1" x14ac:dyDescent="0.25">
      <c r="A2667" s="10">
        <v>46085</v>
      </c>
      <c r="B2667" t="s">
        <v>31</v>
      </c>
      <c r="C2667" s="1" t="s">
        <v>32</v>
      </c>
      <c r="D2667" s="3">
        <v>0</v>
      </c>
      <c r="E2667" s="3">
        <v>0</v>
      </c>
      <c r="F2667" s="3">
        <v>0</v>
      </c>
      <c r="G2667" s="3">
        <v>0</v>
      </c>
      <c r="H2667" s="3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 s="3">
        <v>20</v>
      </c>
      <c r="N2667" s="3">
        <v>98.26</v>
      </c>
      <c r="O2667" s="12">
        <v>26.666666666666671</v>
      </c>
    </row>
    <row r="2668" spans="1:15" hidden="1" x14ac:dyDescent="0.25">
      <c r="A2668" s="10">
        <v>46085</v>
      </c>
      <c r="B2668" t="s">
        <v>59</v>
      </c>
      <c r="C2668" s="1" t="s">
        <v>23</v>
      </c>
      <c r="D2668" s="3">
        <v>21</v>
      </c>
      <c r="E2668" s="3">
        <v>20</v>
      </c>
      <c r="F2668" s="3">
        <v>26.5</v>
      </c>
      <c r="G2668" s="3">
        <v>0</v>
      </c>
      <c r="H2668" s="3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 s="3">
        <v>20</v>
      </c>
      <c r="N2668" s="3">
        <v>98.2</v>
      </c>
      <c r="O2668" s="12">
        <v>23.37962962962963</v>
      </c>
    </row>
    <row r="2669" spans="1:15" hidden="1" x14ac:dyDescent="0.25">
      <c r="A2669" s="10">
        <v>46085</v>
      </c>
      <c r="B2669" t="s">
        <v>33</v>
      </c>
      <c r="C2669" s="1" t="s">
        <v>32</v>
      </c>
      <c r="D2669" s="3">
        <v>33</v>
      </c>
      <c r="E2669" s="3">
        <v>30</v>
      </c>
      <c r="F2669" s="3">
        <v>19.04</v>
      </c>
      <c r="G2669" s="3">
        <v>0</v>
      </c>
      <c r="H2669" s="3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 s="3">
        <v>30</v>
      </c>
      <c r="N2669" s="3">
        <v>97.3</v>
      </c>
      <c r="O2669" s="12">
        <v>23.84769539078156</v>
      </c>
    </row>
    <row r="2670" spans="1:15" hidden="1" x14ac:dyDescent="0.25">
      <c r="A2670" s="10">
        <v>46085</v>
      </c>
      <c r="B2670" t="s">
        <v>15</v>
      </c>
      <c r="C2670" s="1" t="s">
        <v>16</v>
      </c>
      <c r="D2670" s="3">
        <v>8</v>
      </c>
      <c r="E2670" s="3">
        <v>6</v>
      </c>
      <c r="F2670" s="3">
        <v>40.26</v>
      </c>
      <c r="G2670" s="3">
        <v>0</v>
      </c>
      <c r="H2670" s="3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 s="3">
        <v>6</v>
      </c>
      <c r="N2670" s="3">
        <v>100</v>
      </c>
      <c r="O2670" s="12">
        <v>25.268817204301079</v>
      </c>
    </row>
    <row r="2671" spans="1:15" hidden="1" x14ac:dyDescent="0.25">
      <c r="A2671" s="10">
        <v>46085</v>
      </c>
      <c r="B2671" t="s">
        <v>49</v>
      </c>
      <c r="C2671" s="1" t="s">
        <v>48</v>
      </c>
      <c r="D2671" s="3">
        <v>34</v>
      </c>
      <c r="E2671" s="3">
        <v>32</v>
      </c>
      <c r="F2671" s="3">
        <v>17.39</v>
      </c>
      <c r="G2671" s="3">
        <v>0</v>
      </c>
      <c r="H2671" s="3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 s="3">
        <v>32</v>
      </c>
      <c r="N2671" s="3">
        <v>99.32</v>
      </c>
      <c r="O2671" s="12">
        <v>22.822822822822818</v>
      </c>
    </row>
    <row r="2672" spans="1:15" hidden="1" x14ac:dyDescent="0.25">
      <c r="A2672" s="10">
        <v>46085</v>
      </c>
      <c r="B2672" t="s">
        <v>50</v>
      </c>
      <c r="C2672" s="1" t="s">
        <v>48</v>
      </c>
      <c r="D2672" s="3">
        <v>0</v>
      </c>
      <c r="E2672" s="3">
        <v>0</v>
      </c>
      <c r="F2672" s="3">
        <v>0</v>
      </c>
      <c r="G2672" s="3">
        <v>0</v>
      </c>
      <c r="H2672" s="3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 s="3">
        <v>0</v>
      </c>
      <c r="N2672" s="3">
        <v>100</v>
      </c>
      <c r="O2672" s="12">
        <v>27.966101694915249</v>
      </c>
    </row>
    <row r="2673" spans="1:15" hidden="1" x14ac:dyDescent="0.25">
      <c r="A2673" s="10">
        <v>46085</v>
      </c>
      <c r="B2673" t="s">
        <v>17</v>
      </c>
      <c r="C2673" s="1" t="s">
        <v>16</v>
      </c>
      <c r="D2673" s="3">
        <v>0</v>
      </c>
      <c r="E2673" s="3">
        <v>0</v>
      </c>
      <c r="F2673" s="3">
        <v>0</v>
      </c>
      <c r="G2673" s="3">
        <v>0</v>
      </c>
      <c r="H2673" s="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 s="3">
        <v>0</v>
      </c>
      <c r="N2673" s="3">
        <v>100</v>
      </c>
      <c r="O2673" s="12">
        <v>30.434782608695659</v>
      </c>
    </row>
    <row r="2674" spans="1:15" hidden="1" x14ac:dyDescent="0.25">
      <c r="A2674" s="10">
        <v>46085</v>
      </c>
      <c r="B2674" t="s">
        <v>60</v>
      </c>
      <c r="C2674" s="1" t="s">
        <v>23</v>
      </c>
      <c r="D2674" s="3">
        <v>21</v>
      </c>
      <c r="E2674" s="3">
        <v>18</v>
      </c>
      <c r="F2674" s="3">
        <v>28.3</v>
      </c>
      <c r="G2674" s="3">
        <v>0</v>
      </c>
      <c r="H2674" s="3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 s="3">
        <v>17</v>
      </c>
      <c r="N2674" s="3">
        <v>96.51</v>
      </c>
      <c r="O2674" s="12">
        <v>22.802850356294542</v>
      </c>
    </row>
    <row r="2675" spans="1:15" hidden="1" x14ac:dyDescent="0.25">
      <c r="A2675" s="10">
        <v>46085</v>
      </c>
      <c r="B2675" t="s">
        <v>34</v>
      </c>
      <c r="C2675" s="1" t="s">
        <v>32</v>
      </c>
      <c r="D2675" s="3">
        <v>39</v>
      </c>
      <c r="E2675" s="3">
        <v>38</v>
      </c>
      <c r="F2675" s="3">
        <v>16.420000000000002</v>
      </c>
      <c r="G2675" s="3">
        <v>0</v>
      </c>
      <c r="H2675" s="3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 s="3">
        <v>34</v>
      </c>
      <c r="N2675" s="3">
        <v>92.68</v>
      </c>
      <c r="O2675" s="12">
        <v>27.777777777777779</v>
      </c>
    </row>
    <row r="2676" spans="1:15" hidden="1" x14ac:dyDescent="0.25">
      <c r="A2676" s="10">
        <v>46085</v>
      </c>
      <c r="B2676" t="s">
        <v>51</v>
      </c>
      <c r="C2676" s="1" t="s">
        <v>48</v>
      </c>
      <c r="D2676" s="3">
        <v>34</v>
      </c>
      <c r="E2676" s="3">
        <v>34</v>
      </c>
      <c r="F2676" s="3">
        <v>20.57</v>
      </c>
      <c r="G2676" s="3">
        <v>0</v>
      </c>
      <c r="H2676" s="3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 s="3">
        <v>29</v>
      </c>
      <c r="N2676" s="3">
        <v>99.03</v>
      </c>
      <c r="O2676" s="12">
        <v>23.991507430997881</v>
      </c>
    </row>
    <row r="2677" spans="1:15" hidden="1" x14ac:dyDescent="0.25">
      <c r="A2677" s="10">
        <v>46085</v>
      </c>
      <c r="B2677" t="s">
        <v>61</v>
      </c>
      <c r="C2677" s="1" t="s">
        <v>23</v>
      </c>
      <c r="D2677" s="3">
        <v>26</v>
      </c>
      <c r="E2677" s="3">
        <v>25</v>
      </c>
      <c r="F2677" s="3">
        <v>22.15</v>
      </c>
      <c r="G2677" s="3">
        <v>0</v>
      </c>
      <c r="H2677" s="3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 s="3">
        <v>14</v>
      </c>
      <c r="N2677" s="3">
        <v>98.41</v>
      </c>
      <c r="O2677" s="12">
        <v>28.138528138528141</v>
      </c>
    </row>
    <row r="2678" spans="1:15" hidden="1" x14ac:dyDescent="0.25">
      <c r="A2678" s="10">
        <v>46085</v>
      </c>
      <c r="B2678" t="s">
        <v>35</v>
      </c>
      <c r="C2678" s="1" t="s">
        <v>32</v>
      </c>
      <c r="D2678" s="3">
        <v>33</v>
      </c>
      <c r="E2678" s="3">
        <v>31</v>
      </c>
      <c r="F2678" s="3">
        <v>23.38</v>
      </c>
      <c r="G2678" s="3">
        <v>0</v>
      </c>
      <c r="H2678" s="3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 s="3">
        <v>32</v>
      </c>
      <c r="N2678" s="3">
        <v>98.73</v>
      </c>
      <c r="O2678" s="12">
        <v>29.142857142857139</v>
      </c>
    </row>
    <row r="2679" spans="1:15" hidden="1" x14ac:dyDescent="0.25">
      <c r="A2679" s="10">
        <v>46085</v>
      </c>
      <c r="B2679" t="s">
        <v>18</v>
      </c>
      <c r="C2679" s="1" t="s">
        <v>16</v>
      </c>
      <c r="D2679" s="3">
        <v>11</v>
      </c>
      <c r="E2679" s="3">
        <v>10</v>
      </c>
      <c r="F2679" s="3">
        <v>30.32</v>
      </c>
      <c r="G2679" s="3">
        <v>0</v>
      </c>
      <c r="H2679" s="3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 s="3">
        <v>7</v>
      </c>
      <c r="N2679" s="3">
        <v>90.48</v>
      </c>
      <c r="O2679" s="12">
        <v>20.68965517241379</v>
      </c>
    </row>
    <row r="2680" spans="1:15" hidden="1" x14ac:dyDescent="0.25">
      <c r="A2680" s="10">
        <v>46085</v>
      </c>
      <c r="B2680" t="s">
        <v>52</v>
      </c>
      <c r="C2680" s="1" t="s">
        <v>48</v>
      </c>
      <c r="D2680" s="3">
        <v>22</v>
      </c>
      <c r="E2680" s="3">
        <v>21</v>
      </c>
      <c r="F2680" s="3">
        <v>28.51</v>
      </c>
      <c r="G2680" s="3">
        <v>0</v>
      </c>
      <c r="H2680" s="3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 s="3">
        <v>20</v>
      </c>
      <c r="N2680" s="3">
        <v>98.06</v>
      </c>
      <c r="O2680" s="12">
        <v>24.789915966386559</v>
      </c>
    </row>
    <row r="2681" spans="1:15" hidden="1" x14ac:dyDescent="0.25">
      <c r="A2681" s="10">
        <v>46085</v>
      </c>
      <c r="B2681" t="s">
        <v>36</v>
      </c>
      <c r="C2681" s="1" t="s">
        <v>32</v>
      </c>
      <c r="D2681" s="3">
        <v>30</v>
      </c>
      <c r="E2681" s="3">
        <v>29</v>
      </c>
      <c r="F2681" s="3">
        <v>15.59</v>
      </c>
      <c r="G2681" s="3">
        <v>0</v>
      </c>
      <c r="H2681" s="3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 s="3">
        <v>33</v>
      </c>
      <c r="N2681" s="3">
        <v>97.78</v>
      </c>
      <c r="O2681" s="12">
        <v>25.494071146245059</v>
      </c>
    </row>
    <row r="2682" spans="1:15" hidden="1" x14ac:dyDescent="0.25">
      <c r="A2682" s="10">
        <v>46085</v>
      </c>
      <c r="B2682" t="s">
        <v>53</v>
      </c>
      <c r="C2682" s="1" t="s">
        <v>48</v>
      </c>
      <c r="D2682" s="3">
        <v>40</v>
      </c>
      <c r="E2682" s="3">
        <v>35</v>
      </c>
      <c r="F2682" s="3">
        <v>16.53</v>
      </c>
      <c r="G2682" s="3">
        <v>0</v>
      </c>
      <c r="H2682" s="3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 s="3">
        <v>34</v>
      </c>
      <c r="N2682" s="3">
        <v>98.02</v>
      </c>
      <c r="O2682" s="12">
        <v>23.484848484848481</v>
      </c>
    </row>
    <row r="2683" spans="1:15" hidden="1" x14ac:dyDescent="0.25">
      <c r="A2683" s="10">
        <v>46119</v>
      </c>
      <c r="B2683" t="s">
        <v>22</v>
      </c>
      <c r="C2683" s="1" t="s">
        <v>23</v>
      </c>
      <c r="D2683" s="3">
        <v>26</v>
      </c>
      <c r="E2683" s="3">
        <v>25</v>
      </c>
      <c r="F2683" s="3">
        <v>17.100000000000001</v>
      </c>
      <c r="G2683" s="3">
        <v>0</v>
      </c>
      <c r="H2683" s="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 s="3">
        <v>23</v>
      </c>
      <c r="N2683" s="3">
        <v>99.28</v>
      </c>
      <c r="O2683" s="12">
        <v>27.689243027888441</v>
      </c>
    </row>
    <row r="2684" spans="1:15" hidden="1" x14ac:dyDescent="0.25">
      <c r="A2684" s="10">
        <v>46085</v>
      </c>
      <c r="B2684" t="s">
        <v>54</v>
      </c>
      <c r="C2684" s="1" t="s">
        <v>48</v>
      </c>
      <c r="D2684" s="3">
        <v>31</v>
      </c>
      <c r="E2684" s="3">
        <v>30</v>
      </c>
      <c r="F2684" s="3">
        <v>23.58</v>
      </c>
      <c r="G2684" s="3">
        <v>0</v>
      </c>
      <c r="H2684" s="3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 s="3">
        <v>25</v>
      </c>
      <c r="N2684" s="3">
        <v>100</v>
      </c>
      <c r="O2684" s="12">
        <v>27.04918032786885</v>
      </c>
    </row>
    <row r="2685" spans="1:15" hidden="1" x14ac:dyDescent="0.25">
      <c r="A2685" s="10">
        <v>46085</v>
      </c>
      <c r="B2685" t="s">
        <v>37</v>
      </c>
      <c r="C2685" s="1" t="s">
        <v>32</v>
      </c>
      <c r="D2685" s="3">
        <v>42</v>
      </c>
      <c r="E2685" s="3">
        <v>40</v>
      </c>
      <c r="F2685" s="3">
        <v>14.16</v>
      </c>
      <c r="G2685" s="3">
        <v>0</v>
      </c>
      <c r="H2685" s="3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 s="3">
        <v>40</v>
      </c>
      <c r="N2685" s="3">
        <v>97.83</v>
      </c>
      <c r="O2685" s="12">
        <v>26.315789473684209</v>
      </c>
    </row>
    <row r="2686" spans="1:15" hidden="1" x14ac:dyDescent="0.25">
      <c r="A2686" s="10">
        <v>46085</v>
      </c>
      <c r="B2686" t="s">
        <v>38</v>
      </c>
      <c r="C2686" s="1" t="s">
        <v>32</v>
      </c>
      <c r="D2686" s="3">
        <v>15</v>
      </c>
      <c r="E2686" s="3">
        <v>15</v>
      </c>
      <c r="F2686" s="3">
        <v>20.100000000000001</v>
      </c>
      <c r="G2686" s="3">
        <v>0</v>
      </c>
      <c r="H2686" s="3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 s="3">
        <v>14</v>
      </c>
      <c r="N2686" s="3">
        <v>100</v>
      </c>
      <c r="O2686" s="12">
        <v>26.701570680628269</v>
      </c>
    </row>
    <row r="2687" spans="1:15" hidden="1" x14ac:dyDescent="0.25">
      <c r="A2687" s="10">
        <v>46085</v>
      </c>
      <c r="B2687" t="s">
        <v>55</v>
      </c>
      <c r="C2687" s="1" t="s">
        <v>48</v>
      </c>
      <c r="D2687" s="3">
        <v>31</v>
      </c>
      <c r="E2687" s="3">
        <v>26</v>
      </c>
      <c r="F2687" s="3">
        <v>23.56</v>
      </c>
      <c r="G2687" s="3">
        <v>0</v>
      </c>
      <c r="H2687" s="3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 s="3">
        <v>19</v>
      </c>
      <c r="N2687" s="3">
        <v>97.47</v>
      </c>
      <c r="O2687" s="12">
        <v>22.887323943661968</v>
      </c>
    </row>
    <row r="2688" spans="1:15" hidden="1" x14ac:dyDescent="0.25">
      <c r="A2688" s="10">
        <v>46085</v>
      </c>
      <c r="B2688" t="s">
        <v>39</v>
      </c>
      <c r="C2688" s="1" t="s">
        <v>32</v>
      </c>
      <c r="D2688" s="3">
        <v>0</v>
      </c>
      <c r="E2688" s="3">
        <v>0</v>
      </c>
      <c r="F2688" s="3">
        <v>0</v>
      </c>
      <c r="G2688" s="3">
        <v>0</v>
      </c>
      <c r="H2688" s="3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 s="3">
        <v>0</v>
      </c>
      <c r="N2688" s="3">
        <v>0</v>
      </c>
      <c r="O2688" s="12">
        <v>0</v>
      </c>
    </row>
    <row r="2689" spans="1:15" hidden="1" x14ac:dyDescent="0.25">
      <c r="A2689" s="10">
        <v>46085</v>
      </c>
      <c r="B2689" t="s">
        <v>25</v>
      </c>
      <c r="C2689" s="1" t="s">
        <v>26</v>
      </c>
      <c r="D2689" s="3">
        <v>21</v>
      </c>
      <c r="E2689" s="3">
        <v>18</v>
      </c>
      <c r="F2689" s="3">
        <v>24.05</v>
      </c>
      <c r="G2689" s="3">
        <v>0</v>
      </c>
      <c r="H2689" s="3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 s="3">
        <v>17</v>
      </c>
      <c r="N2689" s="3">
        <v>98.31</v>
      </c>
      <c r="O2689" s="12">
        <v>24.920127795527151</v>
      </c>
    </row>
    <row r="2690" spans="1:15" hidden="1" x14ac:dyDescent="0.25">
      <c r="A2690" s="10">
        <v>46085</v>
      </c>
      <c r="B2690" t="s">
        <v>40</v>
      </c>
      <c r="C2690" s="1" t="s">
        <v>32</v>
      </c>
      <c r="D2690" s="3">
        <v>0</v>
      </c>
      <c r="E2690" s="3">
        <v>0</v>
      </c>
      <c r="F2690" s="3">
        <v>0</v>
      </c>
      <c r="G2690" s="3">
        <v>0</v>
      </c>
      <c r="H2690" s="3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 s="3">
        <v>14</v>
      </c>
      <c r="N2690" s="3">
        <v>96.81</v>
      </c>
      <c r="O2690" s="12">
        <v>32.365145228215773</v>
      </c>
    </row>
    <row r="2691" spans="1:15" hidden="1" x14ac:dyDescent="0.25">
      <c r="A2691" s="10">
        <v>46085</v>
      </c>
      <c r="B2691" t="s">
        <v>27</v>
      </c>
      <c r="C2691" s="1" t="s">
        <v>26</v>
      </c>
      <c r="D2691" s="3">
        <v>0</v>
      </c>
      <c r="E2691" s="3">
        <v>0</v>
      </c>
      <c r="F2691" s="3">
        <v>0</v>
      </c>
      <c r="G2691" s="3">
        <v>0</v>
      </c>
      <c r="H2691" s="3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 s="3">
        <v>0</v>
      </c>
      <c r="N2691" s="3">
        <v>100</v>
      </c>
      <c r="O2691" s="12">
        <v>26.47058823529412</v>
      </c>
    </row>
    <row r="2692" spans="1:15" hidden="1" x14ac:dyDescent="0.25">
      <c r="A2692" s="10">
        <v>46085</v>
      </c>
      <c r="B2692" t="s">
        <v>41</v>
      </c>
      <c r="C2692" s="1" t="s">
        <v>32</v>
      </c>
      <c r="D2692" s="3">
        <v>0</v>
      </c>
      <c r="E2692" s="3">
        <v>0</v>
      </c>
      <c r="F2692" s="3">
        <v>0</v>
      </c>
      <c r="G2692" s="3">
        <v>0</v>
      </c>
      <c r="H2692" s="3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 s="3">
        <v>5</v>
      </c>
      <c r="N2692" s="3">
        <v>100</v>
      </c>
      <c r="O2692" s="12">
        <v>28.490028490028489</v>
      </c>
    </row>
    <row r="2693" spans="1:15" hidden="1" x14ac:dyDescent="0.25">
      <c r="A2693" s="10">
        <v>46085</v>
      </c>
      <c r="B2693" t="s">
        <v>56</v>
      </c>
      <c r="C2693" s="1" t="s">
        <v>48</v>
      </c>
      <c r="D2693" s="3">
        <v>23</v>
      </c>
      <c r="E2693" s="3">
        <v>19</v>
      </c>
      <c r="F2693" s="3">
        <v>23.28</v>
      </c>
      <c r="G2693" s="3">
        <v>0</v>
      </c>
      <c r="H2693" s="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 s="3">
        <v>19</v>
      </c>
      <c r="N2693" s="3">
        <v>99.14</v>
      </c>
      <c r="O2693" s="12">
        <v>27.2289156626506</v>
      </c>
    </row>
    <row r="2694" spans="1:15" hidden="1" x14ac:dyDescent="0.25">
      <c r="A2694" s="10">
        <v>46085</v>
      </c>
      <c r="B2694" t="s">
        <v>57</v>
      </c>
      <c r="C2694" s="1" t="s">
        <v>48</v>
      </c>
      <c r="D2694" s="3">
        <v>23</v>
      </c>
      <c r="E2694" s="3">
        <v>23</v>
      </c>
      <c r="F2694" s="3">
        <v>30.42</v>
      </c>
      <c r="G2694" s="3">
        <v>0</v>
      </c>
      <c r="H2694" s="3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 s="3">
        <v>20</v>
      </c>
      <c r="N2694" s="3">
        <v>97.52</v>
      </c>
      <c r="O2694" s="12">
        <v>28.205128205128201</v>
      </c>
    </row>
    <row r="2695" spans="1:15" hidden="1" x14ac:dyDescent="0.25">
      <c r="A2695" s="10">
        <v>46085</v>
      </c>
      <c r="B2695" t="s">
        <v>42</v>
      </c>
      <c r="C2695" s="1" t="s">
        <v>32</v>
      </c>
      <c r="D2695" s="3">
        <v>48</v>
      </c>
      <c r="E2695" s="3">
        <v>43</v>
      </c>
      <c r="F2695" s="3">
        <v>15.18</v>
      </c>
      <c r="G2695" s="3">
        <v>0</v>
      </c>
      <c r="H2695" s="3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 s="3">
        <v>22</v>
      </c>
      <c r="N2695" s="3">
        <v>90</v>
      </c>
      <c r="O2695" s="12">
        <v>24.186046511627911</v>
      </c>
    </row>
    <row r="2696" spans="1:15" hidden="1" x14ac:dyDescent="0.25">
      <c r="A2696" s="10">
        <v>46085</v>
      </c>
      <c r="B2696" t="s">
        <v>62</v>
      </c>
      <c r="C2696" s="1" t="s">
        <v>23</v>
      </c>
      <c r="D2696" s="3">
        <v>24</v>
      </c>
      <c r="E2696" s="3">
        <v>23</v>
      </c>
      <c r="F2696" s="3">
        <v>25.09</v>
      </c>
      <c r="G2696" s="3">
        <v>0</v>
      </c>
      <c r="H2696" s="3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 s="3">
        <v>23</v>
      </c>
      <c r="N2696" s="3">
        <v>98.9</v>
      </c>
      <c r="O2696" s="12">
        <v>26.763990267639901</v>
      </c>
    </row>
    <row r="2697" spans="1:15" hidden="1" x14ac:dyDescent="0.25">
      <c r="A2697" s="10">
        <v>46085</v>
      </c>
      <c r="B2697" t="s">
        <v>19</v>
      </c>
      <c r="C2697" s="1" t="s">
        <v>16</v>
      </c>
      <c r="D2697" s="3">
        <v>59</v>
      </c>
      <c r="E2697" s="3">
        <v>37</v>
      </c>
      <c r="F2697" s="3">
        <v>5.01</v>
      </c>
      <c r="G2697" s="3">
        <v>0</v>
      </c>
      <c r="H2697" s="3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 s="3">
        <v>0</v>
      </c>
      <c r="N2697" s="3">
        <v>88.89</v>
      </c>
      <c r="O2697" s="12">
        <v>25.263157894736839</v>
      </c>
    </row>
    <row r="2698" spans="1:15" hidden="1" x14ac:dyDescent="0.25">
      <c r="A2698" s="10">
        <v>46105</v>
      </c>
      <c r="B2698" t="s">
        <v>43</v>
      </c>
      <c r="C2698" s="1" t="s">
        <v>32</v>
      </c>
      <c r="D2698" s="3">
        <v>24</v>
      </c>
      <c r="E2698" s="3">
        <v>22</v>
      </c>
      <c r="F2698" s="3">
        <v>15.5</v>
      </c>
      <c r="G2698" s="3">
        <v>0</v>
      </c>
      <c r="H2698" s="3">
        <v>0</v>
      </c>
      <c r="I2698" s="3">
        <f>E2698+G2698+H2698</f>
        <v>22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27</v>
      </c>
      <c r="K2698" s="3">
        <f>I2698-J2698</f>
        <v>-5</v>
      </c>
      <c r="L2698" s="3" t="str">
        <f>IF(K2698&lt;-5,"CRÍTICO",IF(K2698&lt;0,"ATENÇÃO",IF(K2698&lt;=5,"OPORTUNO","MUITO BOM")))</f>
        <v>ATENÇÃO</v>
      </c>
      <c r="M2698" s="3">
        <v>19</v>
      </c>
      <c r="N2698" s="3">
        <v>98.86</v>
      </c>
      <c r="O2698" s="12">
        <v>28.959276018099551</v>
      </c>
    </row>
    <row r="2699" spans="1:15" hidden="1" x14ac:dyDescent="0.25">
      <c r="A2699" s="10">
        <v>46085</v>
      </c>
      <c r="B2699" t="s">
        <v>44</v>
      </c>
      <c r="C2699" s="1" t="s">
        <v>32</v>
      </c>
      <c r="D2699" s="3">
        <v>38</v>
      </c>
      <c r="E2699" s="3">
        <v>35</v>
      </c>
      <c r="F2699" s="3">
        <v>17.29</v>
      </c>
      <c r="G2699" s="3">
        <v>0</v>
      </c>
      <c r="H2699" s="3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 s="3">
        <v>30</v>
      </c>
      <c r="N2699" s="3">
        <v>98.06</v>
      </c>
      <c r="O2699" s="12">
        <v>22.40566037735849</v>
      </c>
    </row>
    <row r="2700" spans="1:15" hidden="1" x14ac:dyDescent="0.25">
      <c r="A2700" s="10">
        <v>46113</v>
      </c>
      <c r="B2700" t="s">
        <v>20</v>
      </c>
      <c r="C2700" s="1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>E2700+G2700+H2700</f>
        <v>16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9</v>
      </c>
      <c r="K2700" s="3">
        <f>I2700-J2700</f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12">
        <v>23.77622377622378</v>
      </c>
    </row>
    <row r="2701" spans="1:15" hidden="1" x14ac:dyDescent="0.25">
      <c r="A2701" s="10">
        <v>46085</v>
      </c>
      <c r="B2701" t="s">
        <v>28</v>
      </c>
      <c r="C2701" s="1" t="s">
        <v>26</v>
      </c>
      <c r="D2701" s="3">
        <v>0</v>
      </c>
      <c r="E2701" s="3">
        <v>0</v>
      </c>
      <c r="F2701" s="3">
        <v>0</v>
      </c>
      <c r="G2701" s="3">
        <v>0</v>
      </c>
      <c r="H2701" s="3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 s="3">
        <v>0</v>
      </c>
      <c r="N2701" s="3">
        <v>100</v>
      </c>
      <c r="O2701" s="12">
        <v>15.38461538461539</v>
      </c>
    </row>
    <row r="2702" spans="1:15" hidden="1" x14ac:dyDescent="0.25">
      <c r="A2702" s="10">
        <v>46085</v>
      </c>
      <c r="B2702" t="s">
        <v>58</v>
      </c>
      <c r="C2702" s="1" t="s">
        <v>48</v>
      </c>
      <c r="D2702" s="3">
        <v>21</v>
      </c>
      <c r="E2702" s="3">
        <v>20</v>
      </c>
      <c r="F2702" s="3">
        <v>26.49</v>
      </c>
      <c r="G2702" s="3">
        <v>0</v>
      </c>
      <c r="H2702" s="3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 s="3">
        <v>20</v>
      </c>
      <c r="N2702" s="3">
        <v>100</v>
      </c>
      <c r="O2702" s="12">
        <v>27.514792899408281</v>
      </c>
    </row>
    <row r="2703" spans="1:15" hidden="1" x14ac:dyDescent="0.25">
      <c r="A2703" s="10">
        <v>46085</v>
      </c>
      <c r="B2703" t="s">
        <v>29</v>
      </c>
      <c r="C2703" s="1" t="s">
        <v>26</v>
      </c>
      <c r="D2703" s="3">
        <v>0</v>
      </c>
      <c r="E2703" s="3">
        <v>0</v>
      </c>
      <c r="F2703" s="3">
        <v>0</v>
      </c>
      <c r="G2703" s="3">
        <v>0</v>
      </c>
      <c r="H2703" s="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 s="3">
        <v>0</v>
      </c>
      <c r="N2703" s="3">
        <v>100</v>
      </c>
      <c r="O2703" s="12">
        <v>24.875621890547269</v>
      </c>
    </row>
    <row r="2704" spans="1:15" hidden="1" x14ac:dyDescent="0.25">
      <c r="A2704" s="10">
        <v>46085</v>
      </c>
      <c r="B2704" t="s">
        <v>30</v>
      </c>
      <c r="C2704" s="1" t="s">
        <v>26</v>
      </c>
      <c r="D2704" s="3">
        <v>0</v>
      </c>
      <c r="E2704" s="3">
        <v>0</v>
      </c>
      <c r="F2704" s="3">
        <v>0</v>
      </c>
      <c r="G2704" s="3">
        <v>0</v>
      </c>
      <c r="H2704" s="3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 s="3">
        <v>0</v>
      </c>
      <c r="N2704" s="3">
        <v>100</v>
      </c>
      <c r="O2704" s="12">
        <v>28.108108108108109</v>
      </c>
    </row>
    <row r="2705" spans="1:15" hidden="1" x14ac:dyDescent="0.25">
      <c r="A2705" s="10">
        <v>46113</v>
      </c>
      <c r="B2705" t="s">
        <v>21</v>
      </c>
      <c r="C2705" s="1" t="s">
        <v>16</v>
      </c>
      <c r="D2705" s="3">
        <v>10</v>
      </c>
      <c r="E2705" s="3">
        <v>10</v>
      </c>
      <c r="F2705" s="3">
        <v>25.37</v>
      </c>
      <c r="G2705" s="3">
        <v>0</v>
      </c>
      <c r="H2705" s="3">
        <v>0</v>
      </c>
      <c r="I2705" s="3">
        <f>E2705+G2705+H2705</f>
        <v>10</v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9</v>
      </c>
      <c r="K2705" s="3">
        <f>I2705-J2705</f>
        <v>1</v>
      </c>
      <c r="L2705" s="3" t="str">
        <f>IF(K2705&lt;-5,"CRÍTICO",IF(K2705&lt;0,"ATENÇÃO",IF(K2705&lt;=5,"OPORTUNO","MUITO BOM")))</f>
        <v>OPORTUNO</v>
      </c>
      <c r="M2705" s="3">
        <v>9</v>
      </c>
      <c r="N2705" s="3">
        <v>94.12</v>
      </c>
      <c r="O2705" s="12">
        <v>32.799999999999997</v>
      </c>
    </row>
    <row r="2706" spans="1:15" hidden="1" x14ac:dyDescent="0.25">
      <c r="A2706" s="10">
        <v>46085</v>
      </c>
      <c r="B2706" t="s">
        <v>63</v>
      </c>
      <c r="C2706" s="1" t="s">
        <v>23</v>
      </c>
      <c r="D2706" s="3">
        <v>32</v>
      </c>
      <c r="E2706" s="3">
        <v>23</v>
      </c>
      <c r="F2706" s="3">
        <v>15.25</v>
      </c>
      <c r="G2706" s="3">
        <v>0</v>
      </c>
      <c r="H2706" s="3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 s="3">
        <v>18</v>
      </c>
      <c r="N2706" s="3">
        <v>95.35</v>
      </c>
      <c r="O2706" s="12">
        <v>28.61538461538461</v>
      </c>
    </row>
    <row r="2707" spans="1:15" hidden="1" x14ac:dyDescent="0.25">
      <c r="A2707" s="10">
        <v>46085</v>
      </c>
      <c r="B2707" t="s">
        <v>45</v>
      </c>
      <c r="C2707" s="1" t="s">
        <v>32</v>
      </c>
      <c r="D2707" s="3">
        <v>41</v>
      </c>
      <c r="E2707" s="3">
        <v>39</v>
      </c>
      <c r="F2707" s="3">
        <v>13.43</v>
      </c>
      <c r="G2707" s="3">
        <v>0</v>
      </c>
      <c r="H2707" s="3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 s="3">
        <v>26</v>
      </c>
      <c r="N2707" s="3">
        <v>98.26</v>
      </c>
      <c r="O2707" s="12">
        <v>27.54491017964072</v>
      </c>
    </row>
    <row r="2708" spans="1:15" hidden="1" x14ac:dyDescent="0.25">
      <c r="A2708" s="10">
        <v>46085</v>
      </c>
      <c r="B2708" t="s">
        <v>64</v>
      </c>
      <c r="C2708" s="1" t="s">
        <v>23</v>
      </c>
      <c r="D2708" s="3">
        <v>16</v>
      </c>
      <c r="E2708" s="3">
        <v>15</v>
      </c>
      <c r="F2708" s="3">
        <v>35.01</v>
      </c>
      <c r="G2708" s="3">
        <v>0</v>
      </c>
      <c r="H2708" s="3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 s="3">
        <v>15</v>
      </c>
      <c r="N2708" s="3">
        <v>98.55</v>
      </c>
      <c r="O2708" s="12">
        <v>25.337837837837839</v>
      </c>
    </row>
    <row r="2709" spans="1:15" hidden="1" x14ac:dyDescent="0.25">
      <c r="A2709" s="10">
        <v>46085</v>
      </c>
      <c r="B2709" t="s">
        <v>46</v>
      </c>
      <c r="C2709" s="1" t="s">
        <v>32</v>
      </c>
      <c r="D2709" s="3">
        <v>27</v>
      </c>
      <c r="E2709" s="3">
        <v>22</v>
      </c>
      <c r="F2709" s="3">
        <v>17.07</v>
      </c>
      <c r="G2709" s="3">
        <v>0</v>
      </c>
      <c r="H2709" s="3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 s="3">
        <v>18</v>
      </c>
      <c r="N2709" s="3">
        <v>98.39</v>
      </c>
      <c r="O2709" s="12">
        <v>25.563909774436091</v>
      </c>
    </row>
    <row r="2710" spans="1:15" hidden="1" x14ac:dyDescent="0.25">
      <c r="A2710" s="10">
        <v>46086</v>
      </c>
      <c r="B2710" t="s">
        <v>47</v>
      </c>
      <c r="C2710" s="1" t="s">
        <v>48</v>
      </c>
      <c r="D2710" s="3">
        <v>30</v>
      </c>
      <c r="E2710" s="3">
        <v>24</v>
      </c>
      <c r="F2710" s="3">
        <v>17.329999999999998</v>
      </c>
      <c r="G2710" s="3">
        <v>0</v>
      </c>
      <c r="H2710" s="3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 s="3">
        <v>15</v>
      </c>
      <c r="N2710" s="3">
        <v>94.29</v>
      </c>
      <c r="O2710" s="12">
        <v>25.647668393782389</v>
      </c>
    </row>
    <row r="2711" spans="1:15" hidden="1" x14ac:dyDescent="0.25">
      <c r="A2711" s="10">
        <v>46086</v>
      </c>
      <c r="B2711" t="s">
        <v>31</v>
      </c>
      <c r="C2711" s="1" t="s">
        <v>32</v>
      </c>
      <c r="D2711" s="3">
        <v>0</v>
      </c>
      <c r="E2711" s="3">
        <v>0</v>
      </c>
      <c r="F2711" s="3">
        <v>0</v>
      </c>
      <c r="G2711" s="3">
        <v>0</v>
      </c>
      <c r="H2711" s="3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 s="3">
        <v>24</v>
      </c>
      <c r="N2711" s="3">
        <v>98.26</v>
      </c>
      <c r="O2711" s="12">
        <v>26.666666666666671</v>
      </c>
    </row>
    <row r="2712" spans="1:15" hidden="1" x14ac:dyDescent="0.25">
      <c r="A2712" s="10">
        <v>46086</v>
      </c>
      <c r="B2712" t="s">
        <v>59</v>
      </c>
      <c r="C2712" s="1" t="s">
        <v>23</v>
      </c>
      <c r="D2712" s="3">
        <v>25</v>
      </c>
      <c r="E2712" s="3">
        <v>23</v>
      </c>
      <c r="F2712" s="3">
        <v>21.54</v>
      </c>
      <c r="G2712" s="3">
        <v>0</v>
      </c>
      <c r="H2712" s="3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 s="3">
        <v>21</v>
      </c>
      <c r="N2712" s="3">
        <v>98.2</v>
      </c>
      <c r="O2712" s="12">
        <v>23.37962962962963</v>
      </c>
    </row>
    <row r="2713" spans="1:15" hidden="1" x14ac:dyDescent="0.25">
      <c r="A2713" s="10">
        <v>46086</v>
      </c>
      <c r="B2713" t="s">
        <v>33</v>
      </c>
      <c r="C2713" s="1" t="s">
        <v>32</v>
      </c>
      <c r="D2713" s="3">
        <v>28</v>
      </c>
      <c r="E2713" s="3">
        <v>26</v>
      </c>
      <c r="F2713" s="3">
        <v>22.09</v>
      </c>
      <c r="G2713" s="3">
        <v>0</v>
      </c>
      <c r="H2713" s="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 s="3">
        <v>22</v>
      </c>
      <c r="N2713" s="3">
        <v>97.3</v>
      </c>
      <c r="O2713" s="12">
        <v>23.84769539078156</v>
      </c>
    </row>
    <row r="2714" spans="1:15" hidden="1" x14ac:dyDescent="0.25">
      <c r="A2714" s="10">
        <v>46086</v>
      </c>
      <c r="B2714" t="s">
        <v>15</v>
      </c>
      <c r="C2714" s="1" t="s">
        <v>16</v>
      </c>
      <c r="D2714" s="3">
        <v>13</v>
      </c>
      <c r="E2714" s="3">
        <v>11</v>
      </c>
      <c r="F2714" s="3">
        <v>22.22</v>
      </c>
      <c r="G2714" s="3">
        <v>0</v>
      </c>
      <c r="H2714" s="3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 s="3">
        <v>10</v>
      </c>
      <c r="N2714" s="3">
        <v>100</v>
      </c>
      <c r="O2714" s="12">
        <v>25.268817204301079</v>
      </c>
    </row>
    <row r="2715" spans="1:15" hidden="1" x14ac:dyDescent="0.25">
      <c r="A2715" s="10">
        <v>46086</v>
      </c>
      <c r="B2715" t="s">
        <v>49</v>
      </c>
      <c r="C2715" s="1" t="s">
        <v>48</v>
      </c>
      <c r="D2715" s="3">
        <v>25</v>
      </c>
      <c r="E2715" s="3">
        <v>24</v>
      </c>
      <c r="F2715" s="3">
        <v>20.16</v>
      </c>
      <c r="G2715" s="3">
        <v>0</v>
      </c>
      <c r="H2715" s="3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 s="3">
        <v>25</v>
      </c>
      <c r="N2715" s="3">
        <v>99.32</v>
      </c>
      <c r="O2715" s="12">
        <v>22.822822822822818</v>
      </c>
    </row>
    <row r="2716" spans="1:15" hidden="1" x14ac:dyDescent="0.25">
      <c r="A2716" s="10">
        <v>46086</v>
      </c>
      <c r="B2716" t="s">
        <v>50</v>
      </c>
      <c r="C2716" s="1" t="s">
        <v>48</v>
      </c>
      <c r="D2716" s="3">
        <v>16</v>
      </c>
      <c r="E2716" s="3">
        <v>16</v>
      </c>
      <c r="F2716" s="3">
        <v>40.26</v>
      </c>
      <c r="G2716" s="3">
        <v>0</v>
      </c>
      <c r="H2716" s="3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 s="3">
        <v>16</v>
      </c>
      <c r="N2716" s="3">
        <v>100</v>
      </c>
      <c r="O2716" s="12">
        <v>27.966101694915249</v>
      </c>
    </row>
    <row r="2717" spans="1:15" hidden="1" x14ac:dyDescent="0.25">
      <c r="A2717" s="10">
        <v>46086</v>
      </c>
      <c r="B2717" t="s">
        <v>17</v>
      </c>
      <c r="C2717" s="1" t="s">
        <v>16</v>
      </c>
      <c r="D2717" s="3">
        <v>0</v>
      </c>
      <c r="E2717" s="3">
        <v>0</v>
      </c>
      <c r="F2717" s="3">
        <v>0</v>
      </c>
      <c r="G2717" s="3">
        <v>0</v>
      </c>
      <c r="H2717" s="3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 s="3">
        <v>0</v>
      </c>
      <c r="N2717" s="3">
        <v>100</v>
      </c>
      <c r="O2717" s="12">
        <v>30.434782608695659</v>
      </c>
    </row>
    <row r="2718" spans="1:15" hidden="1" x14ac:dyDescent="0.25">
      <c r="A2718" s="10">
        <v>46086</v>
      </c>
      <c r="B2718" t="s">
        <v>60</v>
      </c>
      <c r="C2718" s="1" t="s">
        <v>23</v>
      </c>
      <c r="D2718" s="3">
        <v>21</v>
      </c>
      <c r="E2718" s="3">
        <v>19</v>
      </c>
      <c r="F2718" s="3">
        <v>33.270000000000003</v>
      </c>
      <c r="G2718" s="3">
        <v>0</v>
      </c>
      <c r="H2718" s="3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 s="3">
        <v>18</v>
      </c>
      <c r="N2718" s="3">
        <v>96.51</v>
      </c>
      <c r="O2718" s="12">
        <v>22.802850356294542</v>
      </c>
    </row>
    <row r="2719" spans="1:15" hidden="1" x14ac:dyDescent="0.25">
      <c r="A2719" s="10">
        <v>46086</v>
      </c>
      <c r="B2719" t="s">
        <v>34</v>
      </c>
      <c r="C2719" s="1" t="s">
        <v>32</v>
      </c>
      <c r="D2719" s="3">
        <v>42</v>
      </c>
      <c r="E2719" s="3">
        <v>38</v>
      </c>
      <c r="F2719" s="3">
        <v>13.49</v>
      </c>
      <c r="G2719" s="3">
        <v>0</v>
      </c>
      <c r="H2719" s="3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 s="3">
        <v>35</v>
      </c>
      <c r="N2719" s="3">
        <v>92.68</v>
      </c>
      <c r="O2719" s="12">
        <v>27.777777777777779</v>
      </c>
    </row>
    <row r="2720" spans="1:15" hidden="1" x14ac:dyDescent="0.25">
      <c r="A2720" s="10">
        <v>46086</v>
      </c>
      <c r="B2720" t="s">
        <v>51</v>
      </c>
      <c r="C2720" s="1" t="s">
        <v>48</v>
      </c>
      <c r="D2720" s="3">
        <v>26</v>
      </c>
      <c r="E2720" s="3">
        <v>24</v>
      </c>
      <c r="F2720" s="3">
        <v>25.07</v>
      </c>
      <c r="G2720" s="3">
        <v>0</v>
      </c>
      <c r="H2720" s="3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 s="3">
        <v>20</v>
      </c>
      <c r="N2720" s="3">
        <v>99.03</v>
      </c>
      <c r="O2720" s="12">
        <v>23.991507430997881</v>
      </c>
    </row>
    <row r="2721" spans="1:15" hidden="1" x14ac:dyDescent="0.25">
      <c r="A2721" s="10">
        <v>46086</v>
      </c>
      <c r="B2721" t="s">
        <v>61</v>
      </c>
      <c r="C2721" s="1" t="s">
        <v>23</v>
      </c>
      <c r="D2721" s="3">
        <v>22</v>
      </c>
      <c r="E2721" s="3">
        <v>22</v>
      </c>
      <c r="F2721" s="3">
        <v>25.34</v>
      </c>
      <c r="G2721" s="3">
        <v>0</v>
      </c>
      <c r="H2721" s="3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 s="3">
        <v>15</v>
      </c>
      <c r="N2721" s="3">
        <v>98.41</v>
      </c>
      <c r="O2721" s="12">
        <v>28.138528138528141</v>
      </c>
    </row>
    <row r="2722" spans="1:15" hidden="1" x14ac:dyDescent="0.25">
      <c r="A2722" s="10">
        <v>46086</v>
      </c>
      <c r="B2722" t="s">
        <v>35</v>
      </c>
      <c r="C2722" s="1" t="s">
        <v>32</v>
      </c>
      <c r="D2722" s="3">
        <v>32</v>
      </c>
      <c r="E2722" s="3">
        <v>31</v>
      </c>
      <c r="F2722" s="3">
        <v>20.53</v>
      </c>
      <c r="G2722" s="3">
        <v>0</v>
      </c>
      <c r="H2722" s="3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 s="3">
        <v>31</v>
      </c>
      <c r="N2722" s="3">
        <v>98.73</v>
      </c>
      <c r="O2722" s="12">
        <v>29.142857142857139</v>
      </c>
    </row>
    <row r="2723" spans="1:15" hidden="1" x14ac:dyDescent="0.25">
      <c r="A2723" s="10">
        <v>46086</v>
      </c>
      <c r="B2723" t="s">
        <v>18</v>
      </c>
      <c r="C2723" s="1" t="s">
        <v>16</v>
      </c>
      <c r="D2723" s="3">
        <v>55</v>
      </c>
      <c r="E2723" s="3">
        <v>45</v>
      </c>
      <c r="F2723" s="3">
        <v>5.55</v>
      </c>
      <c r="G2723" s="3">
        <v>0</v>
      </c>
      <c r="H2723" s="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 s="3">
        <v>3</v>
      </c>
      <c r="N2723" s="3">
        <v>90.48</v>
      </c>
      <c r="O2723" s="12">
        <v>20.68965517241379</v>
      </c>
    </row>
    <row r="2724" spans="1:15" hidden="1" x14ac:dyDescent="0.25">
      <c r="A2724" s="10">
        <v>46086</v>
      </c>
      <c r="B2724" t="s">
        <v>52</v>
      </c>
      <c r="C2724" s="1" t="s">
        <v>48</v>
      </c>
      <c r="D2724" s="3">
        <v>33</v>
      </c>
      <c r="E2724" s="3">
        <v>31</v>
      </c>
      <c r="F2724" s="3">
        <v>20.32</v>
      </c>
      <c r="G2724" s="3">
        <v>0</v>
      </c>
      <c r="H2724" s="3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 s="3">
        <v>29</v>
      </c>
      <c r="N2724" s="3">
        <v>98.06</v>
      </c>
      <c r="O2724" s="12">
        <v>24.789915966386559</v>
      </c>
    </row>
    <row r="2725" spans="1:15" hidden="1" x14ac:dyDescent="0.25">
      <c r="A2725" s="10">
        <v>46086</v>
      </c>
      <c r="B2725" t="s">
        <v>36</v>
      </c>
      <c r="C2725" s="1" t="s">
        <v>32</v>
      </c>
      <c r="D2725" s="3">
        <v>36</v>
      </c>
      <c r="E2725" s="3">
        <v>36</v>
      </c>
      <c r="F2725" s="3">
        <v>17.34</v>
      </c>
      <c r="G2725" s="3">
        <v>0</v>
      </c>
      <c r="H2725" s="3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 s="3">
        <v>39</v>
      </c>
      <c r="N2725" s="3">
        <v>97.78</v>
      </c>
      <c r="O2725" s="12">
        <v>25.494071146245059</v>
      </c>
    </row>
    <row r="2726" spans="1:15" hidden="1" x14ac:dyDescent="0.25">
      <c r="A2726" s="10">
        <v>46086</v>
      </c>
      <c r="B2726" t="s">
        <v>53</v>
      </c>
      <c r="C2726" s="1" t="s">
        <v>48</v>
      </c>
      <c r="D2726" s="3">
        <v>18</v>
      </c>
      <c r="E2726" s="3">
        <v>17</v>
      </c>
      <c r="F2726" s="3">
        <v>35.200000000000003</v>
      </c>
      <c r="G2726" s="3">
        <v>0</v>
      </c>
      <c r="H2726" s="3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 s="3">
        <v>17</v>
      </c>
      <c r="N2726" s="3">
        <v>98.02</v>
      </c>
      <c r="O2726" s="12">
        <v>23.484848484848481</v>
      </c>
    </row>
    <row r="2727" spans="1:15" hidden="1" x14ac:dyDescent="0.25">
      <c r="A2727" s="10">
        <v>46120</v>
      </c>
      <c r="B2727" t="s">
        <v>22</v>
      </c>
      <c r="C2727" s="1" t="s">
        <v>23</v>
      </c>
      <c r="D2727" s="3">
        <v>30</v>
      </c>
      <c r="E2727" s="3">
        <v>28</v>
      </c>
      <c r="F2727" s="3">
        <v>15.58</v>
      </c>
      <c r="G2727" s="3">
        <v>0</v>
      </c>
      <c r="H2727" s="3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 s="3">
        <v>26</v>
      </c>
      <c r="N2727" s="3">
        <v>99.28</v>
      </c>
      <c r="O2727" s="12">
        <v>27.689243027888441</v>
      </c>
    </row>
    <row r="2728" spans="1:15" hidden="1" x14ac:dyDescent="0.25">
      <c r="A2728" s="10">
        <v>46086</v>
      </c>
      <c r="B2728" t="s">
        <v>54</v>
      </c>
      <c r="C2728" s="1" t="s">
        <v>48</v>
      </c>
      <c r="D2728" s="3">
        <v>29</v>
      </c>
      <c r="E2728" s="3">
        <v>28</v>
      </c>
      <c r="F2728" s="3">
        <v>23.28</v>
      </c>
      <c r="G2728" s="3">
        <v>0</v>
      </c>
      <c r="H2728" s="3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 s="3">
        <v>19</v>
      </c>
      <c r="N2728" s="3">
        <v>100</v>
      </c>
      <c r="O2728" s="12">
        <v>27.04918032786885</v>
      </c>
    </row>
    <row r="2729" spans="1:15" hidden="1" x14ac:dyDescent="0.25">
      <c r="A2729" s="10">
        <v>46086</v>
      </c>
      <c r="B2729" t="s">
        <v>37</v>
      </c>
      <c r="C2729" s="1" t="s">
        <v>32</v>
      </c>
      <c r="D2729" s="3">
        <v>51</v>
      </c>
      <c r="E2729" s="3">
        <v>47</v>
      </c>
      <c r="F2729" s="3">
        <v>12.19</v>
      </c>
      <c r="G2729" s="3">
        <v>0</v>
      </c>
      <c r="H2729" s="3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 s="3">
        <v>53</v>
      </c>
      <c r="N2729" s="3">
        <v>97.83</v>
      </c>
      <c r="O2729" s="12">
        <v>26.315789473684209</v>
      </c>
    </row>
    <row r="2730" spans="1:15" hidden="1" x14ac:dyDescent="0.25">
      <c r="A2730" s="10">
        <v>46086</v>
      </c>
      <c r="B2730" t="s">
        <v>38</v>
      </c>
      <c r="C2730" s="1" t="s">
        <v>32</v>
      </c>
      <c r="D2730" s="3">
        <v>0</v>
      </c>
      <c r="E2730" s="3">
        <v>0</v>
      </c>
      <c r="F2730" s="3">
        <v>0</v>
      </c>
      <c r="G2730" s="3">
        <v>0</v>
      </c>
      <c r="H2730" s="3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 s="3">
        <v>1</v>
      </c>
      <c r="N2730" s="3">
        <v>100</v>
      </c>
      <c r="O2730" s="12">
        <v>26.701570680628269</v>
      </c>
    </row>
    <row r="2731" spans="1:15" hidden="1" x14ac:dyDescent="0.25">
      <c r="A2731" s="10">
        <v>46086</v>
      </c>
      <c r="B2731" t="s">
        <v>55</v>
      </c>
      <c r="C2731" s="1" t="s">
        <v>48</v>
      </c>
      <c r="D2731" s="3">
        <v>38</v>
      </c>
      <c r="E2731" s="3">
        <v>29</v>
      </c>
      <c r="F2731" s="3">
        <v>17.32</v>
      </c>
      <c r="G2731" s="3">
        <v>0</v>
      </c>
      <c r="H2731" s="3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 s="3">
        <v>29</v>
      </c>
      <c r="N2731" s="3">
        <v>97.47</v>
      </c>
      <c r="O2731" s="12">
        <v>22.887323943661968</v>
      </c>
    </row>
    <row r="2732" spans="1:15" hidden="1" x14ac:dyDescent="0.25">
      <c r="A2732" s="10">
        <v>46086</v>
      </c>
      <c r="B2732" t="s">
        <v>39</v>
      </c>
      <c r="C2732" s="1" t="s">
        <v>32</v>
      </c>
      <c r="D2732" s="3">
        <v>0</v>
      </c>
      <c r="E2732" s="3">
        <v>0</v>
      </c>
      <c r="F2732" s="3">
        <v>0</v>
      </c>
      <c r="G2732" s="3">
        <v>0</v>
      </c>
      <c r="H2732" s="3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 s="3">
        <v>0</v>
      </c>
      <c r="N2732" s="3">
        <v>0</v>
      </c>
      <c r="O2732" s="12">
        <v>0</v>
      </c>
    </row>
    <row r="2733" spans="1:15" hidden="1" x14ac:dyDescent="0.25">
      <c r="A2733" s="10">
        <v>46086</v>
      </c>
      <c r="B2733" t="s">
        <v>25</v>
      </c>
      <c r="C2733" s="1" t="s">
        <v>26</v>
      </c>
      <c r="D2733" s="3">
        <v>21</v>
      </c>
      <c r="E2733" s="3">
        <v>17</v>
      </c>
      <c r="F2733" s="3">
        <v>23.55</v>
      </c>
      <c r="G2733" s="3">
        <v>0</v>
      </c>
      <c r="H2733" s="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 s="3">
        <v>15</v>
      </c>
      <c r="N2733" s="3">
        <v>98.31</v>
      </c>
      <c r="O2733" s="12">
        <v>24.920127795527151</v>
      </c>
    </row>
    <row r="2734" spans="1:15" hidden="1" x14ac:dyDescent="0.25">
      <c r="A2734" s="10">
        <v>46086</v>
      </c>
      <c r="B2734" t="s">
        <v>40</v>
      </c>
      <c r="C2734" s="1" t="s">
        <v>32</v>
      </c>
      <c r="D2734" s="3">
        <v>0</v>
      </c>
      <c r="E2734" s="3">
        <v>0</v>
      </c>
      <c r="F2734" s="3">
        <v>0</v>
      </c>
      <c r="G2734" s="3">
        <v>0</v>
      </c>
      <c r="H2734" s="3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 s="3">
        <v>16</v>
      </c>
      <c r="N2734" s="3">
        <v>96.81</v>
      </c>
      <c r="O2734" s="12">
        <v>32.365145228215773</v>
      </c>
    </row>
    <row r="2735" spans="1:15" hidden="1" x14ac:dyDescent="0.25">
      <c r="A2735" s="10">
        <v>46086</v>
      </c>
      <c r="B2735" t="s">
        <v>27</v>
      </c>
      <c r="C2735" s="1" t="s">
        <v>26</v>
      </c>
      <c r="D2735" s="3">
        <v>6</v>
      </c>
      <c r="E2735" s="3">
        <v>6</v>
      </c>
      <c r="F2735" s="3">
        <v>32.119999999999997</v>
      </c>
      <c r="G2735" s="3">
        <v>0</v>
      </c>
      <c r="H2735" s="3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 s="3">
        <v>6</v>
      </c>
      <c r="N2735" s="3">
        <v>100</v>
      </c>
      <c r="O2735" s="12">
        <v>26.47058823529412</v>
      </c>
    </row>
    <row r="2736" spans="1:15" hidden="1" x14ac:dyDescent="0.25">
      <c r="A2736" s="10">
        <v>46086</v>
      </c>
      <c r="B2736" t="s">
        <v>41</v>
      </c>
      <c r="C2736" s="1" t="s">
        <v>32</v>
      </c>
      <c r="D2736" s="3">
        <v>0</v>
      </c>
      <c r="E2736" s="3">
        <v>0</v>
      </c>
      <c r="F2736" s="3">
        <v>0</v>
      </c>
      <c r="G2736" s="3">
        <v>0</v>
      </c>
      <c r="H2736" s="3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 s="3">
        <v>9</v>
      </c>
      <c r="N2736" s="3">
        <v>100</v>
      </c>
      <c r="O2736" s="12">
        <v>28.490028490028489</v>
      </c>
    </row>
    <row r="2737" spans="1:15" hidden="1" x14ac:dyDescent="0.25">
      <c r="A2737" s="10">
        <v>46086</v>
      </c>
      <c r="B2737" t="s">
        <v>56</v>
      </c>
      <c r="C2737" s="1" t="s">
        <v>48</v>
      </c>
      <c r="D2737" s="3">
        <v>30</v>
      </c>
      <c r="E2737" s="3">
        <v>26</v>
      </c>
      <c r="F2737" s="3">
        <v>18.53</v>
      </c>
      <c r="G2737" s="3">
        <v>0</v>
      </c>
      <c r="H2737" s="3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 s="3">
        <v>12</v>
      </c>
      <c r="N2737" s="3">
        <v>99.14</v>
      </c>
      <c r="O2737" s="12">
        <v>27.2289156626506</v>
      </c>
    </row>
    <row r="2738" spans="1:15" hidden="1" x14ac:dyDescent="0.25">
      <c r="A2738" s="10">
        <v>46086</v>
      </c>
      <c r="B2738" t="s">
        <v>57</v>
      </c>
      <c r="C2738" s="1" t="s">
        <v>48</v>
      </c>
      <c r="D2738" s="3">
        <v>30</v>
      </c>
      <c r="E2738" s="3">
        <v>29</v>
      </c>
      <c r="F2738" s="3">
        <v>25.26</v>
      </c>
      <c r="G2738" s="3">
        <v>0</v>
      </c>
      <c r="H2738" s="3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 s="3">
        <v>26</v>
      </c>
      <c r="N2738" s="3">
        <v>97.52</v>
      </c>
      <c r="O2738" s="12">
        <v>28.205128205128201</v>
      </c>
    </row>
    <row r="2739" spans="1:15" hidden="1" x14ac:dyDescent="0.25">
      <c r="A2739" s="10">
        <v>46086</v>
      </c>
      <c r="B2739" t="s">
        <v>42</v>
      </c>
      <c r="C2739" s="1" t="s">
        <v>32</v>
      </c>
      <c r="D2739" s="3">
        <v>39</v>
      </c>
      <c r="E2739" s="3">
        <v>29</v>
      </c>
      <c r="F2739" s="3">
        <v>16.45</v>
      </c>
      <c r="G2739" s="3">
        <v>0</v>
      </c>
      <c r="H2739" s="3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 s="3">
        <v>18</v>
      </c>
      <c r="N2739" s="3">
        <v>90</v>
      </c>
      <c r="O2739" s="12">
        <v>24.186046511627911</v>
      </c>
    </row>
    <row r="2740" spans="1:15" hidden="1" x14ac:dyDescent="0.25">
      <c r="A2740" s="10">
        <v>46086</v>
      </c>
      <c r="B2740" t="s">
        <v>62</v>
      </c>
      <c r="C2740" s="1" t="s">
        <v>23</v>
      </c>
      <c r="D2740" s="3">
        <v>28</v>
      </c>
      <c r="E2740" s="3">
        <v>25</v>
      </c>
      <c r="F2740" s="3">
        <v>19</v>
      </c>
      <c r="G2740" s="3">
        <v>0</v>
      </c>
      <c r="H2740" s="3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 s="3">
        <v>22</v>
      </c>
      <c r="N2740" s="3">
        <v>98.9</v>
      </c>
      <c r="O2740" s="12">
        <v>26.763990267639901</v>
      </c>
    </row>
    <row r="2741" spans="1:15" hidden="1" x14ac:dyDescent="0.25">
      <c r="A2741" s="10">
        <v>46086</v>
      </c>
      <c r="B2741" t="s">
        <v>19</v>
      </c>
      <c r="C2741" s="1" t="s">
        <v>16</v>
      </c>
      <c r="D2741" s="3">
        <v>60</v>
      </c>
      <c r="E2741" s="3">
        <v>31</v>
      </c>
      <c r="F2741" s="3">
        <v>3.5</v>
      </c>
      <c r="G2741" s="3">
        <v>0</v>
      </c>
      <c r="H2741" s="3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 s="3">
        <v>1</v>
      </c>
      <c r="N2741" s="3">
        <v>88.89</v>
      </c>
      <c r="O2741" s="12">
        <v>25.263157894736839</v>
      </c>
    </row>
    <row r="2742" spans="1:15" hidden="1" x14ac:dyDescent="0.25">
      <c r="A2742" s="10">
        <v>46106</v>
      </c>
      <c r="B2742" t="s">
        <v>43</v>
      </c>
      <c r="C2742" s="1" t="s">
        <v>32</v>
      </c>
      <c r="D2742" s="3">
        <v>32</v>
      </c>
      <c r="E2742" s="3">
        <v>30</v>
      </c>
      <c r="F2742" s="3">
        <v>14</v>
      </c>
      <c r="G2742" s="3">
        <v>0</v>
      </c>
      <c r="H2742" s="3">
        <v>0</v>
      </c>
      <c r="I2742" s="3">
        <f>E2742+G2742+H2742</f>
        <v>30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24</v>
      </c>
      <c r="K2742" s="3">
        <f>I2742-J2742</f>
        <v>6</v>
      </c>
      <c r="L2742" s="3" t="str">
        <f>IF(K2742&lt;-5,"CRÍTICO",IF(K2742&lt;0,"ATENÇÃO",IF(K2742&lt;=5,"OPORTUNO","MUITO BOM")))</f>
        <v>MUITO BOM</v>
      </c>
      <c r="M2742" s="3">
        <v>27</v>
      </c>
      <c r="N2742" s="3">
        <v>98.86</v>
      </c>
      <c r="O2742" s="12">
        <v>28.959276018099551</v>
      </c>
    </row>
    <row r="2743" spans="1:15" hidden="1" x14ac:dyDescent="0.25">
      <c r="A2743" s="10">
        <v>46086</v>
      </c>
      <c r="B2743" t="s">
        <v>44</v>
      </c>
      <c r="C2743" s="1" t="s">
        <v>32</v>
      </c>
      <c r="D2743" s="3">
        <v>31</v>
      </c>
      <c r="E2743" s="3">
        <v>29</v>
      </c>
      <c r="F2743" s="3">
        <v>21.55</v>
      </c>
      <c r="G2743" s="3">
        <v>0</v>
      </c>
      <c r="H2743" s="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 s="3">
        <v>30</v>
      </c>
      <c r="N2743" s="3">
        <v>98.06</v>
      </c>
      <c r="O2743" s="12">
        <v>22.40566037735849</v>
      </c>
    </row>
    <row r="2744" spans="1:15" hidden="1" x14ac:dyDescent="0.25">
      <c r="A2744" s="10">
        <v>46114</v>
      </c>
      <c r="B2744" t="s">
        <v>20</v>
      </c>
      <c r="C2744" s="1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>E2744+G2744+H2744</f>
        <v>18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10</v>
      </c>
      <c r="K2744" s="3">
        <f>I2744-J2744</f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12">
        <v>23.77622377622378</v>
      </c>
    </row>
    <row r="2745" spans="1:15" hidden="1" x14ac:dyDescent="0.25">
      <c r="A2745" s="10">
        <v>46086</v>
      </c>
      <c r="B2745" t="s">
        <v>28</v>
      </c>
      <c r="C2745" s="1" t="s">
        <v>26</v>
      </c>
      <c r="D2745" s="3">
        <v>0</v>
      </c>
      <c r="E2745" s="3">
        <v>0</v>
      </c>
      <c r="F2745" s="3">
        <v>0</v>
      </c>
      <c r="G2745" s="3">
        <v>0</v>
      </c>
      <c r="H2745" s="3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 s="3">
        <v>0</v>
      </c>
      <c r="N2745" s="3">
        <v>100</v>
      </c>
      <c r="O2745" s="12">
        <v>15.38461538461539</v>
      </c>
    </row>
    <row r="2746" spans="1:15" hidden="1" x14ac:dyDescent="0.25">
      <c r="A2746" s="10">
        <v>46086</v>
      </c>
      <c r="B2746" t="s">
        <v>58</v>
      </c>
      <c r="C2746" s="1" t="s">
        <v>48</v>
      </c>
      <c r="D2746" s="3">
        <v>26</v>
      </c>
      <c r="E2746" s="3">
        <v>25</v>
      </c>
      <c r="F2746" s="3">
        <v>30.55</v>
      </c>
      <c r="G2746" s="3">
        <v>0</v>
      </c>
      <c r="H2746" s="3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 s="3">
        <v>23</v>
      </c>
      <c r="N2746" s="3">
        <v>100</v>
      </c>
      <c r="O2746" s="12">
        <v>27.514792899408281</v>
      </c>
    </row>
    <row r="2747" spans="1:15" hidden="1" x14ac:dyDescent="0.25">
      <c r="A2747" s="10">
        <v>46086</v>
      </c>
      <c r="B2747" t="s">
        <v>29</v>
      </c>
      <c r="C2747" s="1" t="s">
        <v>26</v>
      </c>
      <c r="D2747" s="3">
        <v>6</v>
      </c>
      <c r="E2747" s="3">
        <v>6</v>
      </c>
      <c r="F2747" s="3">
        <v>25</v>
      </c>
      <c r="G2747" s="3">
        <v>0</v>
      </c>
      <c r="H2747" s="3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 s="3">
        <v>6</v>
      </c>
      <c r="N2747" s="3">
        <v>100</v>
      </c>
      <c r="O2747" s="12">
        <v>24.875621890547269</v>
      </c>
    </row>
    <row r="2748" spans="1:15" hidden="1" x14ac:dyDescent="0.25">
      <c r="A2748" s="10">
        <v>46086</v>
      </c>
      <c r="B2748" t="s">
        <v>30</v>
      </c>
      <c r="C2748" s="1" t="s">
        <v>26</v>
      </c>
      <c r="D2748" s="3">
        <v>5</v>
      </c>
      <c r="E2748" s="3">
        <v>5</v>
      </c>
      <c r="F2748" s="3">
        <v>41.48</v>
      </c>
      <c r="G2748" s="3">
        <v>0</v>
      </c>
      <c r="H2748" s="3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 s="3">
        <v>4</v>
      </c>
      <c r="N2748" s="3">
        <v>100</v>
      </c>
      <c r="O2748" s="12">
        <v>28.108108108108109</v>
      </c>
    </row>
    <row r="2749" spans="1:15" hidden="1" x14ac:dyDescent="0.25">
      <c r="A2749" s="10">
        <v>46114</v>
      </c>
      <c r="B2749" t="s">
        <v>21</v>
      </c>
      <c r="C2749" s="1" t="s">
        <v>16</v>
      </c>
      <c r="D2749" s="3">
        <v>8</v>
      </c>
      <c r="E2749" s="3">
        <v>7</v>
      </c>
      <c r="F2749" s="3">
        <v>27.17</v>
      </c>
      <c r="G2749" s="3">
        <v>0</v>
      </c>
      <c r="H2749" s="3">
        <v>0</v>
      </c>
      <c r="I2749" s="3">
        <f>E2749+G2749+H2749</f>
        <v>7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10</v>
      </c>
      <c r="K2749" s="3">
        <f>I2749-J2749</f>
        <v>-3</v>
      </c>
      <c r="L2749" s="3" t="str">
        <f>IF(K2749&lt;-5,"CRÍTICO",IF(K2749&lt;0,"ATENÇÃO",IF(K2749&lt;=5,"OPORTUNO","MUITO BOM")))</f>
        <v>ATENÇÃO</v>
      </c>
      <c r="M2749" s="3">
        <v>3</v>
      </c>
      <c r="N2749" s="3">
        <v>94.12</v>
      </c>
      <c r="O2749" s="12">
        <v>32.799999999999997</v>
      </c>
    </row>
    <row r="2750" spans="1:15" hidden="1" x14ac:dyDescent="0.25">
      <c r="A2750" s="10">
        <v>46086</v>
      </c>
      <c r="B2750" t="s">
        <v>63</v>
      </c>
      <c r="C2750" s="1" t="s">
        <v>23</v>
      </c>
      <c r="D2750" s="3">
        <v>24</v>
      </c>
      <c r="E2750" s="3">
        <v>23</v>
      </c>
      <c r="F2750" s="3">
        <v>25.34</v>
      </c>
      <c r="G2750" s="3">
        <v>0</v>
      </c>
      <c r="H2750" s="3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 s="3">
        <v>20</v>
      </c>
      <c r="N2750" s="3">
        <v>95.35</v>
      </c>
      <c r="O2750" s="12">
        <v>28.61538461538461</v>
      </c>
    </row>
    <row r="2751" spans="1:15" hidden="1" x14ac:dyDescent="0.25">
      <c r="A2751" s="10">
        <v>46086</v>
      </c>
      <c r="B2751" t="s">
        <v>45</v>
      </c>
      <c r="C2751" s="1" t="s">
        <v>32</v>
      </c>
      <c r="D2751" s="3">
        <v>38</v>
      </c>
      <c r="E2751" s="3">
        <v>36</v>
      </c>
      <c r="F2751" s="3">
        <v>13.55</v>
      </c>
      <c r="G2751" s="3">
        <v>0</v>
      </c>
      <c r="H2751" s="3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 s="3">
        <v>32</v>
      </c>
      <c r="N2751" s="3">
        <v>98.26</v>
      </c>
      <c r="O2751" s="12">
        <v>27.54491017964072</v>
      </c>
    </row>
    <row r="2752" spans="1:15" hidden="1" x14ac:dyDescent="0.25">
      <c r="A2752" s="10">
        <v>46086</v>
      </c>
      <c r="B2752" t="s">
        <v>64</v>
      </c>
      <c r="C2752" s="1" t="s">
        <v>23</v>
      </c>
      <c r="D2752" s="3">
        <v>22</v>
      </c>
      <c r="E2752" s="3">
        <v>21</v>
      </c>
      <c r="F2752" s="3">
        <v>29.05</v>
      </c>
      <c r="G2752" s="3">
        <v>0</v>
      </c>
      <c r="H2752" s="3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 s="3">
        <v>22</v>
      </c>
      <c r="N2752" s="3">
        <v>98.55</v>
      </c>
      <c r="O2752" s="12">
        <v>25.337837837837839</v>
      </c>
    </row>
    <row r="2753" spans="1:15" hidden="1" x14ac:dyDescent="0.25">
      <c r="A2753" s="10">
        <v>46086</v>
      </c>
      <c r="B2753" t="s">
        <v>46</v>
      </c>
      <c r="C2753" s="1" t="s">
        <v>32</v>
      </c>
      <c r="D2753" s="3">
        <v>27</v>
      </c>
      <c r="E2753" s="3">
        <v>27</v>
      </c>
      <c r="F2753" s="3">
        <v>20.56</v>
      </c>
      <c r="G2753" s="3">
        <v>0</v>
      </c>
      <c r="H2753" s="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 s="3">
        <v>27</v>
      </c>
      <c r="N2753" s="3">
        <v>98.39</v>
      </c>
      <c r="O2753" s="12">
        <v>25.563909774436091</v>
      </c>
    </row>
    <row r="2754" spans="1:15" hidden="1" x14ac:dyDescent="0.25">
      <c r="A2754" s="10">
        <v>46087</v>
      </c>
      <c r="B2754" t="s">
        <v>47</v>
      </c>
      <c r="C2754" s="1" t="s">
        <v>48</v>
      </c>
      <c r="D2754" s="3">
        <v>41</v>
      </c>
      <c r="E2754" s="3">
        <v>33</v>
      </c>
      <c r="F2754" s="3">
        <v>13.43</v>
      </c>
      <c r="G2754" s="3">
        <v>0</v>
      </c>
      <c r="H2754" s="3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 s="3">
        <v>16</v>
      </c>
      <c r="N2754" s="3">
        <v>94.29</v>
      </c>
      <c r="O2754" s="12">
        <v>25.647668393782389</v>
      </c>
    </row>
    <row r="2755" spans="1:15" hidden="1" x14ac:dyDescent="0.25">
      <c r="A2755" s="10">
        <v>46087</v>
      </c>
      <c r="B2755" t="s">
        <v>31</v>
      </c>
      <c r="C2755" s="1" t="s">
        <v>32</v>
      </c>
      <c r="D2755" s="3">
        <v>0</v>
      </c>
      <c r="E2755" s="3">
        <v>0</v>
      </c>
      <c r="F2755" s="3">
        <v>0</v>
      </c>
      <c r="G2755" s="3">
        <v>0</v>
      </c>
      <c r="H2755" s="3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 s="3">
        <v>27</v>
      </c>
      <c r="N2755" s="3">
        <v>98.26</v>
      </c>
      <c r="O2755" s="12">
        <v>26.666666666666671</v>
      </c>
    </row>
    <row r="2756" spans="1:15" hidden="1" x14ac:dyDescent="0.25">
      <c r="A2756" s="10">
        <v>46087</v>
      </c>
      <c r="B2756" t="s">
        <v>59</v>
      </c>
      <c r="C2756" s="1" t="s">
        <v>23</v>
      </c>
      <c r="D2756" s="3">
        <v>23</v>
      </c>
      <c r="E2756" s="3">
        <v>21</v>
      </c>
      <c r="F2756" s="3">
        <v>25.12</v>
      </c>
      <c r="G2756" s="3">
        <v>0</v>
      </c>
      <c r="H2756" s="3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 s="3">
        <v>22</v>
      </c>
      <c r="N2756" s="3">
        <v>98.2</v>
      </c>
      <c r="O2756" s="12">
        <v>23.37962962962963</v>
      </c>
    </row>
    <row r="2757" spans="1:15" hidden="1" x14ac:dyDescent="0.25">
      <c r="A2757" s="10">
        <v>46087</v>
      </c>
      <c r="B2757" t="s">
        <v>33</v>
      </c>
      <c r="C2757" s="1" t="s">
        <v>32</v>
      </c>
      <c r="D2757" s="3">
        <v>27</v>
      </c>
      <c r="E2757" s="3">
        <v>25</v>
      </c>
      <c r="F2757" s="3">
        <v>20</v>
      </c>
      <c r="G2757" s="3">
        <v>0</v>
      </c>
      <c r="H2757" s="3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 s="3">
        <v>27</v>
      </c>
      <c r="N2757" s="3">
        <v>97.3</v>
      </c>
      <c r="O2757" s="12">
        <v>23.84769539078156</v>
      </c>
    </row>
    <row r="2758" spans="1:15" hidden="1" x14ac:dyDescent="0.25">
      <c r="A2758" s="10">
        <v>46087</v>
      </c>
      <c r="B2758" t="s">
        <v>15</v>
      </c>
      <c r="C2758" s="1" t="s">
        <v>16</v>
      </c>
      <c r="D2758" s="3">
        <v>6</v>
      </c>
      <c r="E2758" s="3">
        <v>6</v>
      </c>
      <c r="F2758" s="3">
        <v>43.41</v>
      </c>
      <c r="G2758" s="3">
        <v>0</v>
      </c>
      <c r="H2758" s="3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 s="3">
        <v>5</v>
      </c>
      <c r="N2758" s="3">
        <v>100</v>
      </c>
      <c r="O2758" s="12">
        <v>25.268817204301079</v>
      </c>
    </row>
    <row r="2759" spans="1:15" hidden="1" x14ac:dyDescent="0.25">
      <c r="A2759" s="10">
        <v>46087</v>
      </c>
      <c r="B2759" t="s">
        <v>49</v>
      </c>
      <c r="C2759" s="1" t="s">
        <v>48</v>
      </c>
      <c r="D2759" s="3">
        <v>45</v>
      </c>
      <c r="E2759" s="3">
        <v>43</v>
      </c>
      <c r="F2759" s="3">
        <v>13.55</v>
      </c>
      <c r="G2759" s="3">
        <v>0</v>
      </c>
      <c r="H2759" s="3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 s="3">
        <v>42</v>
      </c>
      <c r="N2759" s="3">
        <v>99.32</v>
      </c>
      <c r="O2759" s="12">
        <v>22.822822822822818</v>
      </c>
    </row>
    <row r="2760" spans="1:15" hidden="1" x14ac:dyDescent="0.25">
      <c r="A2760" s="10">
        <v>46087</v>
      </c>
      <c r="B2760" t="s">
        <v>50</v>
      </c>
      <c r="C2760" s="1" t="s">
        <v>48</v>
      </c>
      <c r="D2760" s="3">
        <v>23</v>
      </c>
      <c r="E2760" s="3">
        <v>23</v>
      </c>
      <c r="F2760" s="3">
        <v>28.33</v>
      </c>
      <c r="G2760" s="3">
        <v>0</v>
      </c>
      <c r="H2760" s="3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 s="3">
        <v>24</v>
      </c>
      <c r="N2760" s="3">
        <v>100</v>
      </c>
      <c r="O2760" s="12">
        <v>27.966101694915249</v>
      </c>
    </row>
    <row r="2761" spans="1:15" hidden="1" x14ac:dyDescent="0.25">
      <c r="A2761" s="10">
        <v>46087</v>
      </c>
      <c r="B2761" t="s">
        <v>17</v>
      </c>
      <c r="C2761" s="1" t="s">
        <v>16</v>
      </c>
      <c r="D2761" s="3">
        <v>0</v>
      </c>
      <c r="E2761" s="3">
        <v>0</v>
      </c>
      <c r="F2761" s="3">
        <v>0</v>
      </c>
      <c r="G2761" s="3">
        <v>0</v>
      </c>
      <c r="H2761" s="3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 s="3">
        <v>0</v>
      </c>
      <c r="N2761" s="3">
        <v>100</v>
      </c>
      <c r="O2761" s="12">
        <v>30.434782608695659</v>
      </c>
    </row>
    <row r="2762" spans="1:15" hidden="1" x14ac:dyDescent="0.25">
      <c r="A2762" s="10">
        <v>46087</v>
      </c>
      <c r="B2762" t="s">
        <v>60</v>
      </c>
      <c r="C2762" s="1" t="s">
        <v>23</v>
      </c>
      <c r="D2762" s="3">
        <v>23</v>
      </c>
      <c r="E2762" s="3">
        <v>18</v>
      </c>
      <c r="F2762" s="3">
        <v>25.29</v>
      </c>
      <c r="G2762" s="3">
        <v>0</v>
      </c>
      <c r="H2762" s="3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 s="3">
        <v>15</v>
      </c>
      <c r="N2762" s="3">
        <v>96.51</v>
      </c>
      <c r="O2762" s="12">
        <v>22.802850356294542</v>
      </c>
    </row>
    <row r="2763" spans="1:15" hidden="1" x14ac:dyDescent="0.25">
      <c r="A2763" s="10">
        <v>46087</v>
      </c>
      <c r="B2763" t="s">
        <v>34</v>
      </c>
      <c r="C2763" s="1" t="s">
        <v>32</v>
      </c>
      <c r="D2763" s="3">
        <v>0</v>
      </c>
      <c r="E2763" s="3">
        <v>0</v>
      </c>
      <c r="F2763" s="3">
        <v>0</v>
      </c>
      <c r="G2763" s="3">
        <v>0</v>
      </c>
      <c r="H2763" s="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 s="3">
        <v>0</v>
      </c>
      <c r="N2763" s="3">
        <v>92.68</v>
      </c>
      <c r="O2763" s="12">
        <v>27.777777777777779</v>
      </c>
    </row>
    <row r="2764" spans="1:15" hidden="1" x14ac:dyDescent="0.25">
      <c r="A2764" s="10">
        <v>46087</v>
      </c>
      <c r="B2764" t="s">
        <v>51</v>
      </c>
      <c r="C2764" s="1" t="s">
        <v>48</v>
      </c>
      <c r="D2764" s="3">
        <v>31</v>
      </c>
      <c r="E2764" s="3">
        <v>27</v>
      </c>
      <c r="F2764" s="3">
        <v>23.43</v>
      </c>
      <c r="G2764" s="3">
        <v>0</v>
      </c>
      <c r="H2764" s="3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 s="3">
        <v>27</v>
      </c>
      <c r="N2764" s="3">
        <v>99.03</v>
      </c>
      <c r="O2764" s="12">
        <v>23.991507430997881</v>
      </c>
    </row>
    <row r="2765" spans="1:15" hidden="1" x14ac:dyDescent="0.25">
      <c r="A2765" s="10">
        <v>46087</v>
      </c>
      <c r="B2765" t="s">
        <v>61</v>
      </c>
      <c r="C2765" s="1" t="s">
        <v>23</v>
      </c>
      <c r="D2765" s="3">
        <v>21</v>
      </c>
      <c r="E2765" s="3">
        <v>21</v>
      </c>
      <c r="F2765" s="3">
        <v>25.27</v>
      </c>
      <c r="G2765" s="3">
        <v>0</v>
      </c>
      <c r="H2765" s="3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 s="3">
        <v>17</v>
      </c>
      <c r="N2765" s="3">
        <v>98.41</v>
      </c>
      <c r="O2765" s="12">
        <v>28.138528138528141</v>
      </c>
    </row>
    <row r="2766" spans="1:15" hidden="1" x14ac:dyDescent="0.25">
      <c r="A2766" s="10">
        <v>46087</v>
      </c>
      <c r="B2766" t="s">
        <v>35</v>
      </c>
      <c r="C2766" s="1" t="s">
        <v>32</v>
      </c>
      <c r="D2766" s="3">
        <v>29</v>
      </c>
      <c r="E2766" s="3">
        <v>29</v>
      </c>
      <c r="F2766" s="3">
        <v>22.2</v>
      </c>
      <c r="G2766" s="3">
        <v>0</v>
      </c>
      <c r="H2766" s="3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 s="3">
        <v>29</v>
      </c>
      <c r="N2766" s="3">
        <v>98.73</v>
      </c>
      <c r="O2766" s="12">
        <v>29.142857142857139</v>
      </c>
    </row>
    <row r="2767" spans="1:15" hidden="1" x14ac:dyDescent="0.25">
      <c r="A2767" s="10">
        <v>46087</v>
      </c>
      <c r="B2767" t="s">
        <v>18</v>
      </c>
      <c r="C2767" s="1" t="s">
        <v>16</v>
      </c>
      <c r="D2767" s="3">
        <v>39</v>
      </c>
      <c r="E2767" s="3">
        <v>35</v>
      </c>
      <c r="F2767" s="3">
        <v>8.59</v>
      </c>
      <c r="G2767" s="3">
        <v>0</v>
      </c>
      <c r="H2767" s="3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 s="3">
        <v>5</v>
      </c>
      <c r="N2767" s="3">
        <v>90.48</v>
      </c>
      <c r="O2767" s="12">
        <v>20.68965517241379</v>
      </c>
    </row>
    <row r="2768" spans="1:15" hidden="1" x14ac:dyDescent="0.25">
      <c r="A2768" s="10">
        <v>46087</v>
      </c>
      <c r="B2768" t="s">
        <v>52</v>
      </c>
      <c r="C2768" s="1" t="s">
        <v>48</v>
      </c>
      <c r="D2768" s="3">
        <v>27</v>
      </c>
      <c r="E2768" s="3">
        <v>26</v>
      </c>
      <c r="F2768" s="3">
        <v>20.079999999999998</v>
      </c>
      <c r="G2768" s="3">
        <v>0</v>
      </c>
      <c r="H2768" s="3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 s="3">
        <v>22</v>
      </c>
      <c r="N2768" s="3">
        <v>98.06</v>
      </c>
      <c r="O2768" s="12">
        <v>24.789915966386559</v>
      </c>
    </row>
    <row r="2769" spans="1:15" hidden="1" x14ac:dyDescent="0.25">
      <c r="A2769" s="10">
        <v>46087</v>
      </c>
      <c r="B2769" t="s">
        <v>36</v>
      </c>
      <c r="C2769" s="1" t="s">
        <v>32</v>
      </c>
      <c r="D2769" s="3">
        <v>19</v>
      </c>
      <c r="E2769" s="3">
        <v>19</v>
      </c>
      <c r="F2769" s="3">
        <v>14.15</v>
      </c>
      <c r="G2769" s="3">
        <v>0</v>
      </c>
      <c r="H2769" s="3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 s="3">
        <v>21</v>
      </c>
      <c r="N2769" s="3">
        <v>97.78</v>
      </c>
      <c r="O2769" s="12">
        <v>25.494071146245059</v>
      </c>
    </row>
    <row r="2770" spans="1:15" hidden="1" x14ac:dyDescent="0.25">
      <c r="A2770" s="10">
        <v>46087</v>
      </c>
      <c r="B2770" t="s">
        <v>53</v>
      </c>
      <c r="C2770" s="1" t="s">
        <v>48</v>
      </c>
      <c r="D2770" s="3">
        <v>28</v>
      </c>
      <c r="E2770" s="3">
        <v>26</v>
      </c>
      <c r="F2770" s="3">
        <v>29.09</v>
      </c>
      <c r="G2770" s="3">
        <v>0</v>
      </c>
      <c r="H2770" s="3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 s="3">
        <v>27</v>
      </c>
      <c r="N2770" s="3">
        <v>98.02</v>
      </c>
      <c r="O2770" s="12">
        <v>23.484848484848481</v>
      </c>
    </row>
    <row r="2771" spans="1:15" hidden="1" x14ac:dyDescent="0.25">
      <c r="A2771" s="10">
        <v>46121</v>
      </c>
      <c r="B2771" t="s">
        <v>22</v>
      </c>
      <c r="C2771" s="1" t="s">
        <v>23</v>
      </c>
      <c r="D2771" s="3">
        <v>28</v>
      </c>
      <c r="E2771" s="3">
        <v>25</v>
      </c>
      <c r="F2771" s="3">
        <v>15.5</v>
      </c>
      <c r="G2771" s="3">
        <v>0</v>
      </c>
      <c r="H2771" s="3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 s="3">
        <v>22</v>
      </c>
      <c r="N2771" s="3">
        <v>99.28</v>
      </c>
      <c r="O2771" s="12">
        <v>27.689243027888441</v>
      </c>
    </row>
    <row r="2772" spans="1:15" hidden="1" x14ac:dyDescent="0.25">
      <c r="A2772" s="10">
        <v>46087</v>
      </c>
      <c r="B2772" t="s">
        <v>54</v>
      </c>
      <c r="C2772" s="1" t="s">
        <v>48</v>
      </c>
      <c r="D2772" s="3">
        <v>30</v>
      </c>
      <c r="E2772" s="3">
        <v>29</v>
      </c>
      <c r="F2772" s="3">
        <v>17.3</v>
      </c>
      <c r="G2772" s="3">
        <v>0</v>
      </c>
      <c r="H2772" s="3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 s="3">
        <v>26</v>
      </c>
      <c r="N2772" s="3">
        <v>100</v>
      </c>
      <c r="O2772" s="12">
        <v>27.04918032786885</v>
      </c>
    </row>
    <row r="2773" spans="1:15" hidden="1" x14ac:dyDescent="0.25">
      <c r="A2773" s="10">
        <v>46087</v>
      </c>
      <c r="B2773" t="s">
        <v>37</v>
      </c>
      <c r="C2773" s="1" t="s">
        <v>32</v>
      </c>
      <c r="D2773" s="3">
        <v>51</v>
      </c>
      <c r="E2773" s="3">
        <v>46</v>
      </c>
      <c r="F2773" s="3">
        <v>13.22</v>
      </c>
      <c r="G2773" s="3">
        <v>0</v>
      </c>
      <c r="H2773" s="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 s="3">
        <v>48</v>
      </c>
      <c r="N2773" s="3">
        <v>97.83</v>
      </c>
      <c r="O2773" s="12">
        <v>26.315789473684209</v>
      </c>
    </row>
    <row r="2774" spans="1:15" hidden="1" x14ac:dyDescent="0.25">
      <c r="A2774" s="10">
        <v>46087</v>
      </c>
      <c r="B2774" t="s">
        <v>38</v>
      </c>
      <c r="C2774" s="1" t="s">
        <v>32</v>
      </c>
      <c r="D2774" s="3">
        <v>0</v>
      </c>
      <c r="E2774" s="3">
        <v>0</v>
      </c>
      <c r="F2774" s="3">
        <v>0</v>
      </c>
      <c r="G2774" s="3">
        <v>0</v>
      </c>
      <c r="H2774" s="3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 s="3">
        <v>6</v>
      </c>
      <c r="N2774" s="3">
        <v>100</v>
      </c>
      <c r="O2774" s="12">
        <v>26.701570680628269</v>
      </c>
    </row>
    <row r="2775" spans="1:15" hidden="1" x14ac:dyDescent="0.25">
      <c r="A2775" s="10">
        <v>46087</v>
      </c>
      <c r="B2775" t="s">
        <v>55</v>
      </c>
      <c r="C2775" s="1" t="s">
        <v>48</v>
      </c>
      <c r="D2775" s="3">
        <v>41</v>
      </c>
      <c r="E2775" s="3">
        <v>34</v>
      </c>
      <c r="F2775" s="3">
        <v>17</v>
      </c>
      <c r="G2775" s="3">
        <v>0</v>
      </c>
      <c r="H2775" s="3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 s="3">
        <v>29</v>
      </c>
      <c r="N2775" s="3">
        <v>97.47</v>
      </c>
      <c r="O2775" s="12">
        <v>22.887323943661968</v>
      </c>
    </row>
    <row r="2776" spans="1:15" hidden="1" x14ac:dyDescent="0.25">
      <c r="A2776" s="10">
        <v>46087</v>
      </c>
      <c r="B2776" t="s">
        <v>39</v>
      </c>
      <c r="C2776" s="1" t="s">
        <v>32</v>
      </c>
      <c r="D2776" s="3">
        <v>0</v>
      </c>
      <c r="E2776" s="3">
        <v>0</v>
      </c>
      <c r="F2776" s="3">
        <v>0</v>
      </c>
      <c r="G2776" s="3">
        <v>0</v>
      </c>
      <c r="H2776" s="3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 s="3">
        <v>0</v>
      </c>
      <c r="N2776" s="3">
        <v>0</v>
      </c>
      <c r="O2776" s="12">
        <v>0</v>
      </c>
    </row>
    <row r="2777" spans="1:15" hidden="1" x14ac:dyDescent="0.25">
      <c r="A2777" s="10">
        <v>46087</v>
      </c>
      <c r="B2777" t="s">
        <v>25</v>
      </c>
      <c r="C2777" s="1" t="s">
        <v>26</v>
      </c>
      <c r="D2777" s="3">
        <v>27</v>
      </c>
      <c r="E2777" s="3">
        <v>23</v>
      </c>
      <c r="F2777" s="3">
        <v>18.309999999999999</v>
      </c>
      <c r="G2777" s="3">
        <v>0</v>
      </c>
      <c r="H2777" s="3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 s="3">
        <v>22</v>
      </c>
      <c r="N2777" s="3">
        <v>98.31</v>
      </c>
      <c r="O2777" s="12">
        <v>24.920127795527151</v>
      </c>
    </row>
    <row r="2778" spans="1:15" hidden="1" x14ac:dyDescent="0.25">
      <c r="A2778" s="10">
        <v>46087</v>
      </c>
      <c r="B2778" t="s">
        <v>40</v>
      </c>
      <c r="C2778" s="1" t="s">
        <v>32</v>
      </c>
      <c r="D2778" s="3">
        <v>0</v>
      </c>
      <c r="E2778" s="3">
        <v>0</v>
      </c>
      <c r="F2778" s="3">
        <v>0</v>
      </c>
      <c r="G2778" s="3">
        <v>0</v>
      </c>
      <c r="H2778" s="3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 s="3">
        <v>9</v>
      </c>
      <c r="N2778" s="3">
        <v>96.81</v>
      </c>
      <c r="O2778" s="12">
        <v>32.365145228215773</v>
      </c>
    </row>
    <row r="2779" spans="1:15" hidden="1" x14ac:dyDescent="0.25">
      <c r="A2779" s="10">
        <v>46087</v>
      </c>
      <c r="B2779" t="s">
        <v>27</v>
      </c>
      <c r="C2779" s="1" t="s">
        <v>26</v>
      </c>
      <c r="D2779" s="3">
        <v>9</v>
      </c>
      <c r="E2779" s="3">
        <v>9</v>
      </c>
      <c r="F2779" s="3">
        <v>42.16</v>
      </c>
      <c r="G2779" s="3">
        <v>0</v>
      </c>
      <c r="H2779" s="3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 s="3">
        <v>9</v>
      </c>
      <c r="N2779" s="3">
        <v>100</v>
      </c>
      <c r="O2779" s="12">
        <v>26.47058823529412</v>
      </c>
    </row>
    <row r="2780" spans="1:15" hidden="1" x14ac:dyDescent="0.25">
      <c r="A2780" s="10">
        <v>46087</v>
      </c>
      <c r="B2780" t="s">
        <v>41</v>
      </c>
      <c r="C2780" s="1" t="s">
        <v>32</v>
      </c>
      <c r="D2780" s="3">
        <v>0</v>
      </c>
      <c r="E2780" s="3">
        <v>0</v>
      </c>
      <c r="F2780" s="3">
        <v>0</v>
      </c>
      <c r="G2780" s="3">
        <v>0</v>
      </c>
      <c r="H2780" s="3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 s="3">
        <v>5</v>
      </c>
      <c r="N2780" s="3">
        <v>100</v>
      </c>
      <c r="O2780" s="12">
        <v>28.490028490028489</v>
      </c>
    </row>
    <row r="2781" spans="1:15" hidden="1" x14ac:dyDescent="0.25">
      <c r="A2781" s="10">
        <v>46087</v>
      </c>
      <c r="B2781" t="s">
        <v>56</v>
      </c>
      <c r="C2781" s="1" t="s">
        <v>48</v>
      </c>
      <c r="D2781" s="3">
        <v>31</v>
      </c>
      <c r="E2781" s="3">
        <v>29</v>
      </c>
      <c r="F2781" s="3">
        <v>23.42</v>
      </c>
      <c r="G2781" s="3">
        <v>0</v>
      </c>
      <c r="H2781" s="3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 s="3">
        <v>19</v>
      </c>
      <c r="N2781" s="3">
        <v>99.14</v>
      </c>
      <c r="O2781" s="12">
        <v>27.2289156626506</v>
      </c>
    </row>
    <row r="2782" spans="1:15" hidden="1" x14ac:dyDescent="0.25">
      <c r="A2782" s="10">
        <v>46087</v>
      </c>
      <c r="B2782" t="s">
        <v>57</v>
      </c>
      <c r="C2782" s="1" t="s">
        <v>48</v>
      </c>
      <c r="D2782" s="3">
        <v>29</v>
      </c>
      <c r="E2782" s="3">
        <v>26</v>
      </c>
      <c r="F2782" s="3">
        <v>20.02</v>
      </c>
      <c r="G2782" s="3">
        <v>0</v>
      </c>
      <c r="H2782" s="3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 s="3">
        <v>25</v>
      </c>
      <c r="N2782" s="3">
        <v>97.52</v>
      </c>
      <c r="O2782" s="12">
        <v>28.205128205128201</v>
      </c>
    </row>
    <row r="2783" spans="1:15" hidden="1" x14ac:dyDescent="0.25">
      <c r="A2783" s="10">
        <v>46087</v>
      </c>
      <c r="B2783" t="s">
        <v>42</v>
      </c>
      <c r="C2783" s="1" t="s">
        <v>32</v>
      </c>
      <c r="D2783" s="3">
        <v>36</v>
      </c>
      <c r="E2783" s="3">
        <v>32</v>
      </c>
      <c r="F2783" s="3">
        <v>18.420000000000002</v>
      </c>
      <c r="G2783" s="3">
        <v>0</v>
      </c>
      <c r="H2783" s="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 s="3">
        <v>19</v>
      </c>
      <c r="N2783" s="3">
        <v>90</v>
      </c>
      <c r="O2783" s="12">
        <v>24.186046511627911</v>
      </c>
    </row>
    <row r="2784" spans="1:15" hidden="1" x14ac:dyDescent="0.25">
      <c r="A2784" s="10">
        <v>46087</v>
      </c>
      <c r="B2784" t="s">
        <v>62</v>
      </c>
      <c r="C2784" s="1" t="s">
        <v>23</v>
      </c>
      <c r="D2784" s="3">
        <v>24</v>
      </c>
      <c r="E2784" s="3">
        <v>20</v>
      </c>
      <c r="F2784" s="3">
        <v>19.010000000000002</v>
      </c>
      <c r="G2784" s="3">
        <v>0</v>
      </c>
      <c r="H2784" s="3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 s="3">
        <v>20</v>
      </c>
      <c r="N2784" s="3">
        <v>98.9</v>
      </c>
      <c r="O2784" s="12">
        <v>26.763990267639901</v>
      </c>
    </row>
    <row r="2785" spans="1:15" hidden="1" x14ac:dyDescent="0.25">
      <c r="A2785" s="10">
        <v>46087</v>
      </c>
      <c r="B2785" t="s">
        <v>19</v>
      </c>
      <c r="C2785" s="1" t="s">
        <v>16</v>
      </c>
      <c r="D2785" s="3">
        <v>61</v>
      </c>
      <c r="E2785" s="3">
        <v>28</v>
      </c>
      <c r="F2785" s="3">
        <v>3.41</v>
      </c>
      <c r="G2785" s="3">
        <v>0</v>
      </c>
      <c r="H2785" s="3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 s="3">
        <v>1</v>
      </c>
      <c r="N2785" s="3">
        <v>88.89</v>
      </c>
      <c r="O2785" s="12">
        <v>25.263157894736839</v>
      </c>
    </row>
    <row r="2786" spans="1:15" hidden="1" x14ac:dyDescent="0.25">
      <c r="A2786" s="10">
        <v>46107</v>
      </c>
      <c r="B2786" t="s">
        <v>43</v>
      </c>
      <c r="C2786" s="1" t="s">
        <v>32</v>
      </c>
      <c r="D2786" s="3">
        <v>23</v>
      </c>
      <c r="E2786" s="3">
        <v>22</v>
      </c>
      <c r="F2786" s="3">
        <v>17.34</v>
      </c>
      <c r="G2786" s="3">
        <v>0</v>
      </c>
      <c r="H2786" s="3">
        <v>0</v>
      </c>
      <c r="I2786" s="3">
        <f>E2786+G2786+H2786</f>
        <v>22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28</v>
      </c>
      <c r="K2786" s="3">
        <f>I2786-J2786</f>
        <v>-6</v>
      </c>
      <c r="L2786" s="3" t="str">
        <f>IF(K2786&lt;-5,"CRÍTICO",IF(K2786&lt;0,"ATENÇÃO",IF(K2786&lt;=5,"OPORTUNO","MUITO BOM")))</f>
        <v>CRÍTICO</v>
      </c>
      <c r="M2786" s="3">
        <v>23</v>
      </c>
      <c r="N2786" s="3">
        <v>98.86</v>
      </c>
      <c r="O2786" s="12">
        <v>28.959276018099551</v>
      </c>
    </row>
    <row r="2787" spans="1:15" hidden="1" x14ac:dyDescent="0.25">
      <c r="A2787" s="10">
        <v>46087</v>
      </c>
      <c r="B2787" t="s">
        <v>44</v>
      </c>
      <c r="C2787" s="1" t="s">
        <v>32</v>
      </c>
      <c r="D2787" s="3">
        <v>33</v>
      </c>
      <c r="E2787" s="3">
        <v>29</v>
      </c>
      <c r="F2787" s="3">
        <v>18.22</v>
      </c>
      <c r="G2787" s="3">
        <v>0</v>
      </c>
      <c r="H2787" s="3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 s="3">
        <v>26</v>
      </c>
      <c r="N2787" s="3">
        <v>98.06</v>
      </c>
      <c r="O2787" s="12">
        <v>22.40566037735849</v>
      </c>
    </row>
    <row r="2788" spans="1:15" hidden="1" x14ac:dyDescent="0.25">
      <c r="A2788" s="10">
        <v>46115</v>
      </c>
      <c r="B2788" t="s">
        <v>20</v>
      </c>
      <c r="C2788" s="1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>IF(K2788&lt;-5,"CRÍTICO",IF(K2788&lt;0,"ATENÇÃO",IF(K2788&lt;=5,"OPORTUNO","MUITO BOM")))</f>
        <v>OPORTUNO</v>
      </c>
      <c r="M2788" s="3">
        <v>0</v>
      </c>
      <c r="N2788" s="3">
        <v>100</v>
      </c>
      <c r="O2788" s="12">
        <v>23.77622377622378</v>
      </c>
    </row>
    <row r="2789" spans="1:15" hidden="1" x14ac:dyDescent="0.25">
      <c r="A2789" s="10">
        <v>46087</v>
      </c>
      <c r="B2789" t="s">
        <v>28</v>
      </c>
      <c r="C2789" s="1" t="s">
        <v>26</v>
      </c>
      <c r="D2789" s="3">
        <v>0</v>
      </c>
      <c r="E2789" s="3">
        <v>0</v>
      </c>
      <c r="F2789" s="3">
        <v>0</v>
      </c>
      <c r="G2789" s="3">
        <v>0</v>
      </c>
      <c r="H2789" s="3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 s="3">
        <v>0</v>
      </c>
      <c r="N2789" s="3">
        <v>100</v>
      </c>
      <c r="O2789" s="12">
        <v>15.38461538461539</v>
      </c>
    </row>
    <row r="2790" spans="1:15" hidden="1" x14ac:dyDescent="0.25">
      <c r="A2790" s="10">
        <v>46087</v>
      </c>
      <c r="B2790" t="s">
        <v>58</v>
      </c>
      <c r="C2790" s="1" t="s">
        <v>48</v>
      </c>
      <c r="D2790" s="3">
        <v>32</v>
      </c>
      <c r="E2790" s="3">
        <v>30</v>
      </c>
      <c r="F2790" s="3">
        <v>18.57</v>
      </c>
      <c r="G2790" s="3">
        <v>0</v>
      </c>
      <c r="H2790" s="3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 s="3">
        <v>26</v>
      </c>
      <c r="N2790" s="3">
        <v>100</v>
      </c>
      <c r="O2790" s="12">
        <v>27.514792899408281</v>
      </c>
    </row>
    <row r="2791" spans="1:15" hidden="1" x14ac:dyDescent="0.25">
      <c r="A2791" s="10">
        <v>46087</v>
      </c>
      <c r="B2791" t="s">
        <v>29</v>
      </c>
      <c r="C2791" s="1" t="s">
        <v>26</v>
      </c>
      <c r="D2791" s="3">
        <v>15</v>
      </c>
      <c r="E2791" s="3">
        <v>15</v>
      </c>
      <c r="F2791" s="3">
        <v>27</v>
      </c>
      <c r="G2791" s="3">
        <v>0</v>
      </c>
      <c r="H2791" s="3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 s="3">
        <v>14</v>
      </c>
      <c r="N2791" s="3">
        <v>100</v>
      </c>
      <c r="O2791" s="12">
        <v>24.875621890547269</v>
      </c>
    </row>
    <row r="2792" spans="1:15" hidden="1" x14ac:dyDescent="0.25">
      <c r="A2792" s="10">
        <v>46087</v>
      </c>
      <c r="B2792" t="s">
        <v>30</v>
      </c>
      <c r="C2792" s="1" t="s">
        <v>26</v>
      </c>
      <c r="D2792" s="3">
        <v>8</v>
      </c>
      <c r="E2792" s="3">
        <v>8</v>
      </c>
      <c r="F2792" s="3">
        <v>45.18</v>
      </c>
      <c r="G2792" s="3">
        <v>0</v>
      </c>
      <c r="H2792" s="3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 s="3">
        <v>4</v>
      </c>
      <c r="N2792" s="3">
        <v>100</v>
      </c>
      <c r="O2792" s="12">
        <v>28.108108108108109</v>
      </c>
    </row>
    <row r="2793" spans="1:15" hidden="1" x14ac:dyDescent="0.25">
      <c r="A2793" s="10">
        <v>46115</v>
      </c>
      <c r="B2793" t="s">
        <v>21</v>
      </c>
      <c r="C2793" s="1" t="s">
        <v>16</v>
      </c>
      <c r="D2793" s="3">
        <v>0</v>
      </c>
      <c r="E2793" s="3">
        <v>0</v>
      </c>
      <c r="F2793" s="3">
        <v>0</v>
      </c>
      <c r="G2793" s="3">
        <v>0</v>
      </c>
      <c r="H2793" s="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 s="3">
        <v>0</v>
      </c>
      <c r="N2793" s="3">
        <v>94.12</v>
      </c>
      <c r="O2793" s="12">
        <v>32.799999999999997</v>
      </c>
    </row>
    <row r="2794" spans="1:15" hidden="1" x14ac:dyDescent="0.25">
      <c r="A2794" s="10">
        <v>46087</v>
      </c>
      <c r="B2794" t="s">
        <v>63</v>
      </c>
      <c r="C2794" s="1" t="s">
        <v>23</v>
      </c>
      <c r="D2794" s="3">
        <v>18</v>
      </c>
      <c r="E2794" s="3">
        <v>18</v>
      </c>
      <c r="F2794" s="3">
        <v>31.47</v>
      </c>
      <c r="G2794" s="3">
        <v>0</v>
      </c>
      <c r="H2794" s="3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 s="3">
        <v>14</v>
      </c>
      <c r="N2794" s="3">
        <v>95.35</v>
      </c>
      <c r="O2794" s="12">
        <v>28.61538461538461</v>
      </c>
    </row>
    <row r="2795" spans="1:15" hidden="1" x14ac:dyDescent="0.25">
      <c r="A2795" s="10">
        <v>46087</v>
      </c>
      <c r="B2795" t="s">
        <v>45</v>
      </c>
      <c r="C2795" s="1" t="s">
        <v>32</v>
      </c>
      <c r="D2795" s="3">
        <v>49</v>
      </c>
      <c r="E2795" s="3">
        <v>42</v>
      </c>
      <c r="F2795" s="3">
        <v>9.0399999999999991</v>
      </c>
      <c r="G2795" s="3">
        <v>0</v>
      </c>
      <c r="H2795" s="3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 s="3">
        <v>39</v>
      </c>
      <c r="N2795" s="3">
        <v>98.26</v>
      </c>
      <c r="O2795" s="12">
        <v>27.54491017964072</v>
      </c>
    </row>
    <row r="2796" spans="1:15" hidden="1" x14ac:dyDescent="0.25">
      <c r="A2796" s="10">
        <v>46087</v>
      </c>
      <c r="B2796" t="s">
        <v>64</v>
      </c>
      <c r="C2796" s="1" t="s">
        <v>23</v>
      </c>
      <c r="D2796" s="3">
        <v>15</v>
      </c>
      <c r="E2796" s="3">
        <v>14</v>
      </c>
      <c r="F2796" s="3">
        <v>40.119999999999997</v>
      </c>
      <c r="G2796" s="3">
        <v>0</v>
      </c>
      <c r="H2796" s="3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 s="3">
        <v>13</v>
      </c>
      <c r="N2796" s="3">
        <v>98.55</v>
      </c>
      <c r="O2796" s="12">
        <v>25.337837837837839</v>
      </c>
    </row>
    <row r="2797" spans="1:15" hidden="1" x14ac:dyDescent="0.25">
      <c r="A2797" s="10">
        <v>46087</v>
      </c>
      <c r="B2797" t="s">
        <v>46</v>
      </c>
      <c r="C2797" s="1" t="s">
        <v>32</v>
      </c>
      <c r="D2797" s="3">
        <v>38</v>
      </c>
      <c r="E2797" s="3">
        <v>37</v>
      </c>
      <c r="F2797" s="3">
        <v>15.18</v>
      </c>
      <c r="G2797" s="3">
        <v>0</v>
      </c>
      <c r="H2797" s="3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 s="3">
        <v>29</v>
      </c>
      <c r="N2797" s="3">
        <v>98.39</v>
      </c>
      <c r="O2797" s="12">
        <v>25.563909774436091</v>
      </c>
    </row>
    <row r="2798" spans="1:15" hidden="1" x14ac:dyDescent="0.25">
      <c r="A2798" s="10">
        <v>46090</v>
      </c>
      <c r="B2798" t="s">
        <v>47</v>
      </c>
      <c r="C2798" s="1" t="s">
        <v>48</v>
      </c>
      <c r="D2798" s="3">
        <v>21</v>
      </c>
      <c r="E2798" s="3">
        <v>20</v>
      </c>
      <c r="F2798" s="3">
        <v>15.23</v>
      </c>
      <c r="G2798" s="3">
        <v>0</v>
      </c>
      <c r="H2798" s="3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 s="3">
        <v>18</v>
      </c>
      <c r="N2798" s="3">
        <v>94.29</v>
      </c>
      <c r="O2798" s="12">
        <v>25.647668393782389</v>
      </c>
    </row>
    <row r="2799" spans="1:15" hidden="1" x14ac:dyDescent="0.25">
      <c r="A2799" s="10">
        <v>46090</v>
      </c>
      <c r="B2799" t="s">
        <v>31</v>
      </c>
      <c r="C2799" s="1" t="s">
        <v>32</v>
      </c>
      <c r="D2799" s="3">
        <v>0</v>
      </c>
      <c r="E2799" s="3">
        <v>0</v>
      </c>
      <c r="F2799" s="3">
        <v>0</v>
      </c>
      <c r="G2799" s="3">
        <v>0</v>
      </c>
      <c r="H2799" s="3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 s="3">
        <v>24</v>
      </c>
      <c r="N2799" s="3">
        <v>98.26</v>
      </c>
      <c r="O2799" s="12">
        <v>26.666666666666671</v>
      </c>
    </row>
    <row r="2800" spans="1:15" hidden="1" x14ac:dyDescent="0.25">
      <c r="A2800" s="10">
        <v>46090</v>
      </c>
      <c r="B2800" t="s">
        <v>59</v>
      </c>
      <c r="C2800" s="1" t="s">
        <v>23</v>
      </c>
      <c r="D2800" s="3">
        <v>21</v>
      </c>
      <c r="E2800" s="3">
        <v>19</v>
      </c>
      <c r="F2800" s="3">
        <v>24.11</v>
      </c>
      <c r="G2800" s="3">
        <v>0</v>
      </c>
      <c r="H2800" s="3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 s="3">
        <v>18</v>
      </c>
      <c r="N2800" s="3">
        <v>98.2</v>
      </c>
      <c r="O2800" s="12">
        <v>23.37962962962963</v>
      </c>
    </row>
    <row r="2801" spans="1:15" hidden="1" x14ac:dyDescent="0.25">
      <c r="A2801" s="10">
        <v>46090</v>
      </c>
      <c r="B2801" t="s">
        <v>33</v>
      </c>
      <c r="C2801" s="1" t="s">
        <v>32</v>
      </c>
      <c r="D2801" s="3">
        <v>23</v>
      </c>
      <c r="E2801" s="3">
        <v>23</v>
      </c>
      <c r="F2801" s="3">
        <v>23.58</v>
      </c>
      <c r="G2801" s="3">
        <v>0</v>
      </c>
      <c r="H2801" s="3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 s="3">
        <v>19</v>
      </c>
      <c r="N2801" s="3">
        <v>97.3</v>
      </c>
      <c r="O2801" s="12">
        <v>23.84769539078156</v>
      </c>
    </row>
    <row r="2802" spans="1:15" hidden="1" x14ac:dyDescent="0.25">
      <c r="A2802" s="10">
        <v>46090</v>
      </c>
      <c r="B2802" t="s">
        <v>15</v>
      </c>
      <c r="C2802" s="1" t="s">
        <v>16</v>
      </c>
      <c r="D2802" s="3">
        <v>10</v>
      </c>
      <c r="E2802" s="3">
        <v>9</v>
      </c>
      <c r="F2802" s="3">
        <v>33.57</v>
      </c>
      <c r="G2802" s="3">
        <v>0</v>
      </c>
      <c r="H2802" s="3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 s="3">
        <v>8</v>
      </c>
      <c r="N2802" s="3">
        <v>100</v>
      </c>
      <c r="O2802" s="12">
        <v>25.268817204301079</v>
      </c>
    </row>
    <row r="2803" spans="1:15" hidden="1" x14ac:dyDescent="0.25">
      <c r="A2803" s="10">
        <v>46090</v>
      </c>
      <c r="B2803" t="s">
        <v>49</v>
      </c>
      <c r="C2803" s="1" t="s">
        <v>48</v>
      </c>
      <c r="D2803" s="3">
        <v>37</v>
      </c>
      <c r="E2803" s="3">
        <v>36</v>
      </c>
      <c r="F2803" s="3">
        <v>17.36</v>
      </c>
      <c r="G2803" s="3">
        <v>0</v>
      </c>
      <c r="H2803" s="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 s="3">
        <v>36</v>
      </c>
      <c r="N2803" s="3">
        <v>99.32</v>
      </c>
      <c r="O2803" s="12">
        <v>22.822822822822818</v>
      </c>
    </row>
    <row r="2804" spans="1:15" hidden="1" x14ac:dyDescent="0.25">
      <c r="A2804" s="10">
        <v>46090</v>
      </c>
      <c r="B2804" t="s">
        <v>50</v>
      </c>
      <c r="C2804" s="1" t="s">
        <v>48</v>
      </c>
      <c r="D2804" s="3">
        <v>8</v>
      </c>
      <c r="E2804" s="3">
        <v>7</v>
      </c>
      <c r="F2804" s="3">
        <v>59.02</v>
      </c>
      <c r="G2804" s="3">
        <v>0</v>
      </c>
      <c r="H2804" s="3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 s="3">
        <v>9</v>
      </c>
      <c r="N2804" s="3">
        <v>100</v>
      </c>
      <c r="O2804" s="12">
        <v>27.966101694915249</v>
      </c>
    </row>
    <row r="2805" spans="1:15" hidden="1" x14ac:dyDescent="0.25">
      <c r="A2805" s="10">
        <v>46090</v>
      </c>
      <c r="B2805" t="s">
        <v>17</v>
      </c>
      <c r="C2805" s="1" t="s">
        <v>16</v>
      </c>
      <c r="D2805" s="3">
        <v>0</v>
      </c>
      <c r="E2805" s="3">
        <v>0</v>
      </c>
      <c r="F2805" s="3">
        <v>0</v>
      </c>
      <c r="G2805" s="3">
        <v>0</v>
      </c>
      <c r="H2805" s="3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 s="3">
        <v>0</v>
      </c>
      <c r="N2805" s="3">
        <v>100</v>
      </c>
      <c r="O2805" s="12">
        <v>30.434782608695659</v>
      </c>
    </row>
    <row r="2806" spans="1:15" hidden="1" x14ac:dyDescent="0.25">
      <c r="A2806" s="10">
        <v>46090</v>
      </c>
      <c r="B2806" t="s">
        <v>60</v>
      </c>
      <c r="C2806" s="1" t="s">
        <v>23</v>
      </c>
      <c r="D2806" s="3">
        <v>19</v>
      </c>
      <c r="E2806" s="3">
        <v>19</v>
      </c>
      <c r="F2806" s="3">
        <v>25.46</v>
      </c>
      <c r="G2806" s="3">
        <v>0</v>
      </c>
      <c r="H2806" s="3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 s="3">
        <v>18</v>
      </c>
      <c r="N2806" s="3">
        <v>96.51</v>
      </c>
      <c r="O2806" s="12">
        <v>22.802850356294542</v>
      </c>
    </row>
    <row r="2807" spans="1:15" hidden="1" x14ac:dyDescent="0.25">
      <c r="A2807" s="10">
        <v>46090</v>
      </c>
      <c r="B2807" t="s">
        <v>34</v>
      </c>
      <c r="C2807" s="1" t="s">
        <v>32</v>
      </c>
      <c r="D2807" s="3">
        <v>35</v>
      </c>
      <c r="E2807" s="3">
        <v>33</v>
      </c>
      <c r="F2807" s="3">
        <v>15.3</v>
      </c>
      <c r="G2807" s="3">
        <v>0</v>
      </c>
      <c r="H2807" s="3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 s="3">
        <v>29</v>
      </c>
      <c r="N2807" s="3">
        <v>92.68</v>
      </c>
      <c r="O2807" s="12">
        <v>27.777777777777779</v>
      </c>
    </row>
    <row r="2808" spans="1:15" hidden="1" x14ac:dyDescent="0.25">
      <c r="A2808" s="10">
        <v>46090</v>
      </c>
      <c r="B2808" t="s">
        <v>51</v>
      </c>
      <c r="C2808" s="1" t="s">
        <v>48</v>
      </c>
      <c r="D2808" s="3">
        <v>30</v>
      </c>
      <c r="E2808" s="3">
        <v>28</v>
      </c>
      <c r="F2808" s="3">
        <v>27.06</v>
      </c>
      <c r="G2808" s="3">
        <v>0</v>
      </c>
      <c r="H2808" s="3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 s="3">
        <v>21</v>
      </c>
      <c r="N2808" s="3">
        <v>99.03</v>
      </c>
      <c r="O2808" s="12">
        <v>23.991507430997881</v>
      </c>
    </row>
    <row r="2809" spans="1:15" hidden="1" x14ac:dyDescent="0.25">
      <c r="A2809" s="10">
        <v>46090</v>
      </c>
      <c r="B2809" t="s">
        <v>61</v>
      </c>
      <c r="C2809" s="1" t="s">
        <v>23</v>
      </c>
      <c r="D2809" s="3">
        <v>19</v>
      </c>
      <c r="E2809" s="3">
        <v>19</v>
      </c>
      <c r="F2809" s="3">
        <v>28.26</v>
      </c>
      <c r="G2809" s="3">
        <v>0</v>
      </c>
      <c r="H2809" s="3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 s="3">
        <v>12</v>
      </c>
      <c r="N2809" s="3">
        <v>98.41</v>
      </c>
      <c r="O2809" s="12">
        <v>28.138528138528141</v>
      </c>
    </row>
    <row r="2810" spans="1:15" hidden="1" x14ac:dyDescent="0.25">
      <c r="A2810" s="10">
        <v>46090</v>
      </c>
      <c r="B2810" t="s">
        <v>35</v>
      </c>
      <c r="C2810" s="1" t="s">
        <v>32</v>
      </c>
      <c r="D2810" s="3">
        <v>18</v>
      </c>
      <c r="E2810" s="3">
        <v>17</v>
      </c>
      <c r="F2810" s="3">
        <v>30.04</v>
      </c>
      <c r="G2810" s="3">
        <v>0</v>
      </c>
      <c r="H2810" s="3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 s="3">
        <v>18</v>
      </c>
      <c r="N2810" s="3">
        <v>98.73</v>
      </c>
      <c r="O2810" s="12">
        <v>29.142857142857139</v>
      </c>
    </row>
    <row r="2811" spans="1:15" hidden="1" x14ac:dyDescent="0.25">
      <c r="A2811" s="10">
        <v>46090</v>
      </c>
      <c r="B2811" t="s">
        <v>18</v>
      </c>
      <c r="C2811" s="1" t="s">
        <v>16</v>
      </c>
      <c r="D2811" s="3">
        <v>9</v>
      </c>
      <c r="E2811" s="3">
        <v>8</v>
      </c>
      <c r="F2811" s="3">
        <v>55.38</v>
      </c>
      <c r="G2811" s="3">
        <v>0</v>
      </c>
      <c r="H2811" s="3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 s="3">
        <v>4</v>
      </c>
      <c r="N2811" s="3">
        <v>90.48</v>
      </c>
      <c r="O2811" s="12">
        <v>20.68965517241379</v>
      </c>
    </row>
    <row r="2812" spans="1:15" hidden="1" x14ac:dyDescent="0.25">
      <c r="A2812" s="10">
        <v>46090</v>
      </c>
      <c r="B2812" t="s">
        <v>52</v>
      </c>
      <c r="C2812" s="1" t="s">
        <v>48</v>
      </c>
      <c r="D2812" s="3">
        <v>26</v>
      </c>
      <c r="E2812" s="3">
        <v>25</v>
      </c>
      <c r="F2812" s="3">
        <v>25.01</v>
      </c>
      <c r="G2812" s="3">
        <v>0</v>
      </c>
      <c r="H2812" s="3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 s="3">
        <v>23</v>
      </c>
      <c r="N2812" s="3">
        <v>98.06</v>
      </c>
      <c r="O2812" s="12">
        <v>24.789915966386559</v>
      </c>
    </row>
    <row r="2813" spans="1:15" hidden="1" x14ac:dyDescent="0.25">
      <c r="A2813" s="10">
        <v>46090</v>
      </c>
      <c r="B2813" t="s">
        <v>36</v>
      </c>
      <c r="C2813" s="1" t="s">
        <v>32</v>
      </c>
      <c r="D2813" s="3">
        <v>26</v>
      </c>
      <c r="E2813" s="3">
        <v>26</v>
      </c>
      <c r="F2813" s="3">
        <v>28.37</v>
      </c>
      <c r="G2813" s="3">
        <v>0</v>
      </c>
      <c r="H2813" s="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 s="3">
        <v>23</v>
      </c>
      <c r="N2813" s="3">
        <v>97.78</v>
      </c>
      <c r="O2813" s="12">
        <v>25.494071146245059</v>
      </c>
    </row>
    <row r="2814" spans="1:15" hidden="1" x14ac:dyDescent="0.25">
      <c r="A2814" s="10">
        <v>46090</v>
      </c>
      <c r="B2814" t="s">
        <v>53</v>
      </c>
      <c r="C2814" s="1" t="s">
        <v>48</v>
      </c>
      <c r="D2814" s="3">
        <v>0</v>
      </c>
      <c r="E2814" s="3">
        <v>0</v>
      </c>
      <c r="F2814" s="3">
        <v>0</v>
      </c>
      <c r="G2814" s="3">
        <v>0</v>
      </c>
      <c r="H2814" s="3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 s="3">
        <v>0</v>
      </c>
      <c r="N2814" s="3">
        <v>98.02</v>
      </c>
      <c r="O2814" s="12">
        <v>23.484848484848481</v>
      </c>
    </row>
    <row r="2815" spans="1:15" hidden="1" x14ac:dyDescent="0.25">
      <c r="A2815" s="10">
        <v>46122</v>
      </c>
      <c r="B2815" t="s">
        <v>22</v>
      </c>
      <c r="C2815" s="1" t="s">
        <v>23</v>
      </c>
      <c r="D2815" s="3">
        <v>28</v>
      </c>
      <c r="E2815" s="3">
        <v>21</v>
      </c>
      <c r="F2815" s="3">
        <v>12.14</v>
      </c>
      <c r="G2815" s="3">
        <v>0</v>
      </c>
      <c r="H2815" s="3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 s="3">
        <v>18</v>
      </c>
      <c r="N2815" s="3">
        <v>99.28</v>
      </c>
      <c r="O2815" s="12">
        <v>27.689243027888441</v>
      </c>
    </row>
    <row r="2816" spans="1:15" hidden="1" x14ac:dyDescent="0.25">
      <c r="A2816" s="10">
        <v>46090</v>
      </c>
      <c r="B2816" t="s">
        <v>54</v>
      </c>
      <c r="C2816" s="1" t="s">
        <v>48</v>
      </c>
      <c r="D2816" s="3">
        <v>19</v>
      </c>
      <c r="E2816" s="3">
        <v>17</v>
      </c>
      <c r="F2816" s="3">
        <v>25.53</v>
      </c>
      <c r="G2816" s="3">
        <v>0</v>
      </c>
      <c r="H2816" s="3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 s="3">
        <v>16</v>
      </c>
      <c r="N2816" s="3">
        <v>100</v>
      </c>
      <c r="O2816" s="12">
        <v>27.04918032786885</v>
      </c>
    </row>
    <row r="2817" spans="1:15" hidden="1" x14ac:dyDescent="0.25">
      <c r="A2817" s="10">
        <v>46090</v>
      </c>
      <c r="B2817" t="s">
        <v>37</v>
      </c>
      <c r="C2817" s="1" t="s">
        <v>32</v>
      </c>
      <c r="D2817" s="3">
        <v>43</v>
      </c>
      <c r="E2817" s="3">
        <v>39</v>
      </c>
      <c r="F2817" s="3">
        <v>15.06</v>
      </c>
      <c r="G2817" s="3">
        <v>0</v>
      </c>
      <c r="H2817" s="3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 s="3">
        <v>41</v>
      </c>
      <c r="N2817" s="3">
        <v>97.83</v>
      </c>
      <c r="O2817" s="12">
        <v>26.315789473684209</v>
      </c>
    </row>
    <row r="2818" spans="1:15" hidden="1" x14ac:dyDescent="0.25">
      <c r="A2818" s="10">
        <v>46090</v>
      </c>
      <c r="B2818" t="s">
        <v>38</v>
      </c>
      <c r="C2818" s="1" t="s">
        <v>32</v>
      </c>
      <c r="D2818" s="3">
        <v>3</v>
      </c>
      <c r="E2818" s="3">
        <v>3</v>
      </c>
      <c r="F2818" s="3">
        <v>28.33</v>
      </c>
      <c r="G2818" s="3">
        <v>0</v>
      </c>
      <c r="H2818" s="3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 s="3">
        <v>6</v>
      </c>
      <c r="N2818" s="3">
        <v>100</v>
      </c>
      <c r="O2818" s="12">
        <v>26.701570680628269</v>
      </c>
    </row>
    <row r="2819" spans="1:15" hidden="1" x14ac:dyDescent="0.25">
      <c r="A2819" s="10">
        <v>46090</v>
      </c>
      <c r="B2819" t="s">
        <v>55</v>
      </c>
      <c r="C2819" s="1" t="s">
        <v>48</v>
      </c>
      <c r="D2819" s="3">
        <v>29</v>
      </c>
      <c r="E2819" s="3">
        <v>26</v>
      </c>
      <c r="F2819" s="3">
        <v>18.260000000000002</v>
      </c>
      <c r="G2819" s="3">
        <v>0</v>
      </c>
      <c r="H2819" s="3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 s="3">
        <v>24</v>
      </c>
      <c r="N2819" s="3">
        <v>97.47</v>
      </c>
      <c r="O2819" s="12">
        <v>22.887323943661968</v>
      </c>
    </row>
    <row r="2820" spans="1:15" hidden="1" x14ac:dyDescent="0.25">
      <c r="A2820" s="10">
        <v>46090</v>
      </c>
      <c r="B2820" t="s">
        <v>39</v>
      </c>
      <c r="C2820" s="1" t="s">
        <v>32</v>
      </c>
      <c r="D2820" s="3">
        <v>0</v>
      </c>
      <c r="E2820" s="3">
        <v>0</v>
      </c>
      <c r="F2820" s="3">
        <v>0</v>
      </c>
      <c r="G2820" s="3">
        <v>0</v>
      </c>
      <c r="H2820" s="3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 s="3">
        <v>0</v>
      </c>
      <c r="N2820" s="3">
        <v>0</v>
      </c>
      <c r="O2820" s="12">
        <v>0</v>
      </c>
    </row>
    <row r="2821" spans="1:15" hidden="1" x14ac:dyDescent="0.25">
      <c r="A2821" s="10">
        <v>46090</v>
      </c>
      <c r="B2821" t="s">
        <v>25</v>
      </c>
      <c r="C2821" s="1" t="s">
        <v>26</v>
      </c>
      <c r="D2821" s="3">
        <v>8</v>
      </c>
      <c r="E2821" s="3">
        <v>8</v>
      </c>
      <c r="F2821" s="3">
        <v>35.03</v>
      </c>
      <c r="G2821" s="3">
        <v>0</v>
      </c>
      <c r="H2821" s="3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 s="3">
        <v>9</v>
      </c>
      <c r="N2821" s="3">
        <v>98.31</v>
      </c>
      <c r="O2821" s="12">
        <v>24.920127795527151</v>
      </c>
    </row>
    <row r="2822" spans="1:15" hidden="1" x14ac:dyDescent="0.25">
      <c r="A2822" s="10">
        <v>46090</v>
      </c>
      <c r="B2822" t="s">
        <v>40</v>
      </c>
      <c r="C2822" s="1" t="s">
        <v>32</v>
      </c>
      <c r="D2822" s="3">
        <v>15</v>
      </c>
      <c r="E2822" s="3">
        <v>14</v>
      </c>
      <c r="F2822" s="3">
        <v>26.47</v>
      </c>
      <c r="G2822" s="3">
        <v>0</v>
      </c>
      <c r="H2822" s="3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 s="3">
        <v>12</v>
      </c>
      <c r="N2822" s="3">
        <v>96.81</v>
      </c>
      <c r="O2822" s="12">
        <v>32.365145228215773</v>
      </c>
    </row>
    <row r="2823" spans="1:15" hidden="1" x14ac:dyDescent="0.25">
      <c r="A2823" s="10">
        <v>46090</v>
      </c>
      <c r="B2823" t="s">
        <v>27</v>
      </c>
      <c r="C2823" s="1" t="s">
        <v>26</v>
      </c>
      <c r="D2823" s="3">
        <v>5</v>
      </c>
      <c r="E2823" s="3">
        <v>5</v>
      </c>
      <c r="F2823" s="3">
        <v>43.59</v>
      </c>
      <c r="G2823" s="3">
        <v>0</v>
      </c>
      <c r="H2823" s="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 s="3">
        <v>3</v>
      </c>
      <c r="N2823" s="3">
        <v>100</v>
      </c>
      <c r="O2823" s="12">
        <v>26.47058823529412</v>
      </c>
    </row>
    <row r="2824" spans="1:15" hidden="1" x14ac:dyDescent="0.25">
      <c r="A2824" s="10">
        <v>46090</v>
      </c>
      <c r="B2824" t="s">
        <v>41</v>
      </c>
      <c r="C2824" s="1" t="s">
        <v>32</v>
      </c>
      <c r="D2824" s="3">
        <v>7</v>
      </c>
      <c r="E2824" s="3">
        <v>7</v>
      </c>
      <c r="F2824" s="3">
        <v>17.12</v>
      </c>
      <c r="G2824" s="3">
        <v>0</v>
      </c>
      <c r="H2824" s="3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 s="3">
        <v>13</v>
      </c>
      <c r="N2824" s="3">
        <v>100</v>
      </c>
      <c r="O2824" s="12">
        <v>28.490028490028489</v>
      </c>
    </row>
    <row r="2825" spans="1:15" hidden="1" x14ac:dyDescent="0.25">
      <c r="A2825" s="10">
        <v>46090</v>
      </c>
      <c r="B2825" t="s">
        <v>56</v>
      </c>
      <c r="C2825" s="1" t="s">
        <v>48</v>
      </c>
      <c r="D2825" s="3">
        <v>23</v>
      </c>
      <c r="E2825" s="3">
        <v>21</v>
      </c>
      <c r="F2825" s="3">
        <v>18.3</v>
      </c>
      <c r="G2825" s="3">
        <v>0</v>
      </c>
      <c r="H2825" s="3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 s="3">
        <v>12</v>
      </c>
      <c r="N2825" s="3">
        <v>99.14</v>
      </c>
      <c r="O2825" s="12">
        <v>27.2289156626506</v>
      </c>
    </row>
    <row r="2826" spans="1:15" hidden="1" x14ac:dyDescent="0.25">
      <c r="A2826" s="10">
        <v>46090</v>
      </c>
      <c r="B2826" t="s">
        <v>57</v>
      </c>
      <c r="C2826" s="1" t="s">
        <v>48</v>
      </c>
      <c r="D2826" s="3">
        <v>9</v>
      </c>
      <c r="E2826" s="3">
        <v>8</v>
      </c>
      <c r="F2826" s="3">
        <v>32.04</v>
      </c>
      <c r="G2826" s="3">
        <v>0</v>
      </c>
      <c r="H2826" s="3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 s="3">
        <v>8</v>
      </c>
      <c r="N2826" s="3">
        <v>97.52</v>
      </c>
      <c r="O2826" s="12">
        <v>28.205128205128201</v>
      </c>
    </row>
    <row r="2827" spans="1:15" hidden="1" x14ac:dyDescent="0.25">
      <c r="A2827" s="10">
        <v>46090</v>
      </c>
      <c r="B2827" t="s">
        <v>42</v>
      </c>
      <c r="C2827" s="1" t="s">
        <v>32</v>
      </c>
      <c r="D2827" s="3">
        <v>31</v>
      </c>
      <c r="E2827" s="3">
        <v>24</v>
      </c>
      <c r="F2827" s="3">
        <v>20.45</v>
      </c>
      <c r="G2827" s="3">
        <v>0</v>
      </c>
      <c r="H2827" s="3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 s="3">
        <v>15</v>
      </c>
      <c r="N2827" s="3">
        <v>90</v>
      </c>
      <c r="O2827" s="12">
        <v>24.186046511627911</v>
      </c>
    </row>
    <row r="2828" spans="1:15" hidden="1" x14ac:dyDescent="0.25">
      <c r="A2828" s="10">
        <v>46090</v>
      </c>
      <c r="B2828" t="s">
        <v>62</v>
      </c>
      <c r="C2828" s="1" t="s">
        <v>23</v>
      </c>
      <c r="D2828" s="3">
        <v>23</v>
      </c>
      <c r="E2828" s="3">
        <v>23</v>
      </c>
      <c r="F2828" s="3">
        <v>23.52</v>
      </c>
      <c r="G2828" s="3">
        <v>0</v>
      </c>
      <c r="H2828" s="3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 s="3">
        <v>18</v>
      </c>
      <c r="N2828" s="3">
        <v>98.9</v>
      </c>
      <c r="O2828" s="12">
        <v>26.763990267639901</v>
      </c>
    </row>
    <row r="2829" spans="1:15" hidden="1" x14ac:dyDescent="0.25">
      <c r="A2829" s="10">
        <v>46090</v>
      </c>
      <c r="B2829" t="s">
        <v>19</v>
      </c>
      <c r="C2829" s="1" t="s">
        <v>16</v>
      </c>
      <c r="D2829" s="3">
        <v>0</v>
      </c>
      <c r="E2829" s="3">
        <v>0</v>
      </c>
      <c r="F2829" s="3">
        <v>0</v>
      </c>
      <c r="G2829" s="3">
        <v>0</v>
      </c>
      <c r="H2829" s="3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 s="3">
        <v>0</v>
      </c>
      <c r="N2829" s="3">
        <v>88.89</v>
      </c>
      <c r="O2829" s="12">
        <v>25.263157894736839</v>
      </c>
    </row>
    <row r="2830" spans="1:15" hidden="1" x14ac:dyDescent="0.25">
      <c r="A2830" s="10">
        <v>46108</v>
      </c>
      <c r="B2830" t="s">
        <v>43</v>
      </c>
      <c r="C2830" s="1" t="s">
        <v>32</v>
      </c>
      <c r="D2830" s="3">
        <v>29</v>
      </c>
      <c r="E2830" s="3">
        <v>27</v>
      </c>
      <c r="F2830" s="3">
        <v>14.01</v>
      </c>
      <c r="G2830" s="3">
        <v>0</v>
      </c>
      <c r="H2830" s="3">
        <v>0</v>
      </c>
      <c r="I2830" s="3">
        <f>E2830+G2830+H2830</f>
        <v>27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26</v>
      </c>
      <c r="K2830" s="3">
        <f>I2830-J2830</f>
        <v>1</v>
      </c>
      <c r="L2830" s="3" t="str">
        <f>IF(K2830&lt;-5,"CRÍTICO",IF(K2830&lt;0,"ATENÇÃO",IF(K2830&lt;=5,"OPORTUNO","MUITO BOM")))</f>
        <v>OPORTUNO</v>
      </c>
      <c r="M2830" s="3">
        <v>24</v>
      </c>
      <c r="N2830" s="3">
        <v>98.86</v>
      </c>
      <c r="O2830" s="12">
        <v>28.959276018099551</v>
      </c>
    </row>
    <row r="2831" spans="1:15" hidden="1" x14ac:dyDescent="0.25">
      <c r="A2831" s="10">
        <v>46090</v>
      </c>
      <c r="B2831" t="s">
        <v>44</v>
      </c>
      <c r="C2831" s="1" t="s">
        <v>32</v>
      </c>
      <c r="D2831" s="3">
        <v>27</v>
      </c>
      <c r="E2831" s="3">
        <v>23</v>
      </c>
      <c r="F2831" s="3">
        <v>19.059999999999999</v>
      </c>
      <c r="G2831" s="3">
        <v>0</v>
      </c>
      <c r="H2831" s="3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 s="3">
        <v>20</v>
      </c>
      <c r="N2831" s="3">
        <v>98.06</v>
      </c>
      <c r="O2831" s="12">
        <v>22.40566037735849</v>
      </c>
    </row>
    <row r="2832" spans="1:15" hidden="1" x14ac:dyDescent="0.25">
      <c r="A2832" s="10">
        <v>46118</v>
      </c>
      <c r="B2832" t="s">
        <v>20</v>
      </c>
      <c r="C2832" s="1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>IF(K2832&lt;-5,"CRÍTICO",IF(K2832&lt;0,"ATENÇÃO",IF(K2832&lt;=5,"OPORTUNO","MUITO BOM")))</f>
        <v>ATENÇÃO</v>
      </c>
      <c r="M2832" s="3">
        <v>4</v>
      </c>
      <c r="N2832" s="3">
        <v>100</v>
      </c>
      <c r="O2832" s="12">
        <v>23.77622377622378</v>
      </c>
    </row>
    <row r="2833" spans="1:15" hidden="1" x14ac:dyDescent="0.25">
      <c r="A2833" s="10">
        <v>46090</v>
      </c>
      <c r="B2833" t="s">
        <v>28</v>
      </c>
      <c r="C2833" s="1" t="s">
        <v>26</v>
      </c>
      <c r="D2833" s="3">
        <v>0</v>
      </c>
      <c r="E2833" s="3">
        <v>0</v>
      </c>
      <c r="F2833" s="3">
        <v>0</v>
      </c>
      <c r="G2833" s="3">
        <v>0</v>
      </c>
      <c r="H2833" s="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 s="3">
        <v>0</v>
      </c>
      <c r="N2833" s="3">
        <v>100</v>
      </c>
      <c r="O2833" s="12">
        <v>15.38461538461539</v>
      </c>
    </row>
    <row r="2834" spans="1:15" hidden="1" x14ac:dyDescent="0.25">
      <c r="A2834" s="10">
        <v>46090</v>
      </c>
      <c r="B2834" t="s">
        <v>58</v>
      </c>
      <c r="C2834" s="1" t="s">
        <v>48</v>
      </c>
      <c r="D2834" s="3">
        <v>15</v>
      </c>
      <c r="E2834" s="3">
        <v>14</v>
      </c>
      <c r="F2834" s="3">
        <v>33.32</v>
      </c>
      <c r="G2834" s="3">
        <v>0</v>
      </c>
      <c r="H2834" s="3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 s="3">
        <v>11</v>
      </c>
      <c r="N2834" s="3">
        <v>100</v>
      </c>
      <c r="O2834" s="12">
        <v>27.514792899408281</v>
      </c>
    </row>
    <row r="2835" spans="1:15" hidden="1" x14ac:dyDescent="0.25">
      <c r="A2835" s="10">
        <v>46090</v>
      </c>
      <c r="B2835" t="s">
        <v>29</v>
      </c>
      <c r="C2835" s="1" t="s">
        <v>26</v>
      </c>
      <c r="D2835" s="3">
        <v>4</v>
      </c>
      <c r="E2835" s="3">
        <v>4</v>
      </c>
      <c r="F2835" s="3">
        <v>62.16</v>
      </c>
      <c r="G2835" s="3">
        <v>0</v>
      </c>
      <c r="H2835" s="3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 s="3">
        <v>3</v>
      </c>
      <c r="N2835" s="3">
        <v>100</v>
      </c>
      <c r="O2835" s="12">
        <v>24.875621890547269</v>
      </c>
    </row>
    <row r="2836" spans="1:15" hidden="1" x14ac:dyDescent="0.25">
      <c r="A2836" s="10">
        <v>46090</v>
      </c>
      <c r="B2836" t="s">
        <v>30</v>
      </c>
      <c r="C2836" s="1" t="s">
        <v>26</v>
      </c>
      <c r="D2836" s="3">
        <v>7</v>
      </c>
      <c r="E2836" s="3">
        <v>7</v>
      </c>
      <c r="F2836" s="3">
        <v>53.56</v>
      </c>
      <c r="G2836" s="3">
        <v>0</v>
      </c>
      <c r="H2836" s="3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 s="3">
        <v>4</v>
      </c>
      <c r="N2836" s="3">
        <v>100</v>
      </c>
      <c r="O2836" s="12">
        <v>28.108108108108109</v>
      </c>
    </row>
    <row r="2837" spans="1:15" hidden="1" x14ac:dyDescent="0.25">
      <c r="A2837" s="10">
        <v>46118</v>
      </c>
      <c r="B2837" t="s">
        <v>21</v>
      </c>
      <c r="C2837" s="1" t="s">
        <v>16</v>
      </c>
      <c r="D2837" s="3">
        <v>9</v>
      </c>
      <c r="E2837" s="3">
        <v>9</v>
      </c>
      <c r="F2837" s="3">
        <v>19.05</v>
      </c>
      <c r="G2837" s="3">
        <v>0</v>
      </c>
      <c r="H2837" s="3">
        <v>0</v>
      </c>
      <c r="I2837" s="3">
        <f>E2837+G2837+H2837</f>
        <v>9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9</v>
      </c>
      <c r="K2837" s="3">
        <f>I2837-J2837</f>
        <v>0</v>
      </c>
      <c r="L2837" s="3" t="str">
        <f>IF(K2837&lt;-5,"CRÍTICO",IF(K2837&lt;0,"ATENÇÃO",IF(K2837&lt;=5,"OPORTUNO","MUITO BOM")))</f>
        <v>OPORTUNO</v>
      </c>
      <c r="M2837" s="3">
        <v>4</v>
      </c>
      <c r="N2837" s="3">
        <v>94.12</v>
      </c>
      <c r="O2837" s="12">
        <v>32.799999999999997</v>
      </c>
    </row>
    <row r="2838" spans="1:15" hidden="1" x14ac:dyDescent="0.25">
      <c r="A2838" s="10">
        <v>46090</v>
      </c>
      <c r="B2838" t="s">
        <v>63</v>
      </c>
      <c r="C2838" s="1" t="s">
        <v>23</v>
      </c>
      <c r="D2838" s="3">
        <v>1</v>
      </c>
      <c r="E2838" s="3">
        <v>1</v>
      </c>
      <c r="F2838" s="3">
        <v>73.31</v>
      </c>
      <c r="G2838" s="3">
        <v>0</v>
      </c>
      <c r="H2838" s="3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 s="3">
        <v>0</v>
      </c>
      <c r="N2838" s="3">
        <v>95.35</v>
      </c>
      <c r="O2838" s="12">
        <v>28.61538461538461</v>
      </c>
    </row>
    <row r="2839" spans="1:15" hidden="1" x14ac:dyDescent="0.25">
      <c r="A2839" s="10">
        <v>46090</v>
      </c>
      <c r="B2839" t="s">
        <v>45</v>
      </c>
      <c r="C2839" s="1" t="s">
        <v>32</v>
      </c>
      <c r="D2839" s="3">
        <v>33</v>
      </c>
      <c r="E2839" s="3">
        <v>32</v>
      </c>
      <c r="F2839" s="3">
        <v>15.46</v>
      </c>
      <c r="G2839" s="3">
        <v>0</v>
      </c>
      <c r="H2839" s="3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 s="3">
        <v>32</v>
      </c>
      <c r="N2839" s="3">
        <v>98.26</v>
      </c>
      <c r="O2839" s="12">
        <v>27.54491017964072</v>
      </c>
    </row>
    <row r="2840" spans="1:15" hidden="1" x14ac:dyDescent="0.25">
      <c r="A2840" s="10">
        <v>46090</v>
      </c>
      <c r="B2840" t="s">
        <v>64</v>
      </c>
      <c r="C2840" s="1" t="s">
        <v>23</v>
      </c>
      <c r="D2840" s="3">
        <v>9</v>
      </c>
      <c r="E2840" s="3">
        <v>9</v>
      </c>
      <c r="F2840" s="3">
        <v>50.16</v>
      </c>
      <c r="G2840" s="3">
        <v>0</v>
      </c>
      <c r="H2840" s="3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 s="3">
        <v>8</v>
      </c>
      <c r="N2840" s="3">
        <v>98.55</v>
      </c>
      <c r="O2840" s="12">
        <v>25.337837837837839</v>
      </c>
    </row>
    <row r="2841" spans="1:15" hidden="1" x14ac:dyDescent="0.25">
      <c r="A2841" s="10">
        <v>46090</v>
      </c>
      <c r="B2841" t="s">
        <v>46</v>
      </c>
      <c r="C2841" s="1" t="s">
        <v>32</v>
      </c>
      <c r="D2841" s="3">
        <v>23</v>
      </c>
      <c r="E2841" s="3">
        <v>22</v>
      </c>
      <c r="F2841" s="3">
        <v>21.45</v>
      </c>
      <c r="G2841" s="3">
        <v>0</v>
      </c>
      <c r="H2841" s="3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 s="3">
        <v>22</v>
      </c>
      <c r="N2841" s="3">
        <v>98.39</v>
      </c>
      <c r="O2841" s="12">
        <v>25.563909774436091</v>
      </c>
    </row>
    <row r="2842" spans="1:15" hidden="1" x14ac:dyDescent="0.25">
      <c r="A2842" s="10">
        <v>46091</v>
      </c>
      <c r="B2842" t="s">
        <v>47</v>
      </c>
      <c r="C2842" s="1" t="s">
        <v>48</v>
      </c>
      <c r="D2842" s="3">
        <v>37</v>
      </c>
      <c r="E2842" s="3">
        <v>32</v>
      </c>
      <c r="F2842" s="3">
        <v>17.05</v>
      </c>
      <c r="G2842" s="3">
        <v>0</v>
      </c>
      <c r="H2842" s="3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 s="3">
        <v>20</v>
      </c>
      <c r="N2842" s="3">
        <v>94.29</v>
      </c>
      <c r="O2842" s="12">
        <v>25.647668393782389</v>
      </c>
    </row>
    <row r="2843" spans="1:15" hidden="1" x14ac:dyDescent="0.25">
      <c r="A2843" s="10">
        <v>46091</v>
      </c>
      <c r="B2843" t="s">
        <v>31</v>
      </c>
      <c r="C2843" s="1" t="s">
        <v>32</v>
      </c>
      <c r="D2843" s="3">
        <v>0</v>
      </c>
      <c r="E2843" s="3">
        <v>0</v>
      </c>
      <c r="F2843" s="3">
        <v>0</v>
      </c>
      <c r="G2843" s="3">
        <v>0</v>
      </c>
      <c r="H2843" s="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 s="3">
        <v>24</v>
      </c>
      <c r="N2843" s="3">
        <v>98.26</v>
      </c>
      <c r="O2843" s="12">
        <v>26.666666666666671</v>
      </c>
    </row>
    <row r="2844" spans="1:15" hidden="1" x14ac:dyDescent="0.25">
      <c r="A2844" s="10">
        <v>46091</v>
      </c>
      <c r="B2844" t="s">
        <v>59</v>
      </c>
      <c r="C2844" s="1" t="s">
        <v>23</v>
      </c>
      <c r="D2844" s="3">
        <v>20</v>
      </c>
      <c r="E2844" s="3">
        <v>18</v>
      </c>
      <c r="F2844" s="3">
        <v>25.06</v>
      </c>
      <c r="G2844" s="3">
        <v>0</v>
      </c>
      <c r="H2844" s="3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 s="3">
        <v>17</v>
      </c>
      <c r="N2844" s="3">
        <v>98.2</v>
      </c>
      <c r="O2844" s="12">
        <v>23.37962962962963</v>
      </c>
    </row>
    <row r="2845" spans="1:15" hidden="1" x14ac:dyDescent="0.25">
      <c r="A2845" s="10">
        <v>46091</v>
      </c>
      <c r="B2845" t="s">
        <v>33</v>
      </c>
      <c r="C2845" s="1" t="s">
        <v>32</v>
      </c>
      <c r="D2845" s="3">
        <v>19</v>
      </c>
      <c r="E2845" s="3">
        <v>19</v>
      </c>
      <c r="F2845" s="3">
        <v>31.44</v>
      </c>
      <c r="G2845" s="3">
        <v>0</v>
      </c>
      <c r="H2845" s="3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 s="3">
        <v>17</v>
      </c>
      <c r="N2845" s="3">
        <v>97.3</v>
      </c>
      <c r="O2845" s="12">
        <v>23.84769539078156</v>
      </c>
    </row>
    <row r="2846" spans="1:15" hidden="1" x14ac:dyDescent="0.25">
      <c r="A2846" s="10">
        <v>46091</v>
      </c>
      <c r="B2846" t="s">
        <v>15</v>
      </c>
      <c r="C2846" s="1" t="s">
        <v>16</v>
      </c>
      <c r="D2846" s="3">
        <v>10</v>
      </c>
      <c r="E2846" s="3">
        <v>10</v>
      </c>
      <c r="F2846" s="3">
        <v>20.57</v>
      </c>
      <c r="G2846" s="3">
        <v>0</v>
      </c>
      <c r="H2846" s="3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 s="3">
        <v>7</v>
      </c>
      <c r="N2846" s="3">
        <v>100</v>
      </c>
      <c r="O2846" s="12">
        <v>25.268817204301079</v>
      </c>
    </row>
    <row r="2847" spans="1:15" hidden="1" x14ac:dyDescent="0.25">
      <c r="A2847" s="10">
        <v>46091</v>
      </c>
      <c r="B2847" t="s">
        <v>49</v>
      </c>
      <c r="C2847" s="1" t="s">
        <v>48</v>
      </c>
      <c r="D2847" s="3">
        <v>45</v>
      </c>
      <c r="E2847" s="3">
        <v>34</v>
      </c>
      <c r="F2847" s="3">
        <v>13.21</v>
      </c>
      <c r="G2847" s="3">
        <v>0</v>
      </c>
      <c r="H2847" s="3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 s="3">
        <v>33</v>
      </c>
      <c r="N2847" s="3">
        <v>99.32</v>
      </c>
      <c r="O2847" s="12">
        <v>22.822822822822818</v>
      </c>
    </row>
    <row r="2848" spans="1:15" hidden="1" x14ac:dyDescent="0.25">
      <c r="A2848" s="10">
        <v>46091</v>
      </c>
      <c r="B2848" t="s">
        <v>50</v>
      </c>
      <c r="C2848" s="1" t="s">
        <v>48</v>
      </c>
      <c r="D2848" s="3">
        <v>15</v>
      </c>
      <c r="E2848" s="3">
        <v>15</v>
      </c>
      <c r="F2848" s="3">
        <v>48.55</v>
      </c>
      <c r="G2848" s="3">
        <v>0</v>
      </c>
      <c r="H2848" s="3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 s="3">
        <v>18</v>
      </c>
      <c r="N2848" s="3">
        <v>100</v>
      </c>
      <c r="O2848" s="12">
        <v>27.966101694915249</v>
      </c>
    </row>
    <row r="2849" spans="1:15" hidden="1" x14ac:dyDescent="0.25">
      <c r="A2849" s="10">
        <v>46091</v>
      </c>
      <c r="B2849" t="s">
        <v>17</v>
      </c>
      <c r="C2849" s="1" t="s">
        <v>16</v>
      </c>
      <c r="D2849" s="3">
        <v>0</v>
      </c>
      <c r="E2849" s="3">
        <v>0</v>
      </c>
      <c r="F2849" s="3">
        <v>0</v>
      </c>
      <c r="G2849" s="3">
        <v>0</v>
      </c>
      <c r="H2849" s="3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 s="3">
        <v>0</v>
      </c>
      <c r="N2849" s="3">
        <v>100</v>
      </c>
      <c r="O2849" s="12">
        <v>30.434782608695659</v>
      </c>
    </row>
    <row r="2850" spans="1:15" hidden="1" x14ac:dyDescent="0.25">
      <c r="A2850" s="10">
        <v>46091</v>
      </c>
      <c r="B2850" t="s">
        <v>60</v>
      </c>
      <c r="C2850" s="1" t="s">
        <v>23</v>
      </c>
      <c r="D2850" s="3">
        <v>26</v>
      </c>
      <c r="E2850" s="3">
        <v>24</v>
      </c>
      <c r="F2850" s="3">
        <v>25.42</v>
      </c>
      <c r="G2850" s="3">
        <v>0</v>
      </c>
      <c r="H2850" s="3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 s="3">
        <v>23</v>
      </c>
      <c r="N2850" s="3">
        <v>96.51</v>
      </c>
      <c r="O2850" s="12">
        <v>22.802850356294542</v>
      </c>
    </row>
    <row r="2851" spans="1:15" hidden="1" x14ac:dyDescent="0.25">
      <c r="A2851" s="10">
        <v>46091</v>
      </c>
      <c r="B2851" t="s">
        <v>34</v>
      </c>
      <c r="C2851" s="1" t="s">
        <v>32</v>
      </c>
      <c r="D2851" s="3">
        <v>16</v>
      </c>
      <c r="E2851" s="3">
        <v>15</v>
      </c>
      <c r="F2851" s="3">
        <v>22.2</v>
      </c>
      <c r="G2851" s="3">
        <v>0</v>
      </c>
      <c r="H2851" s="3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 s="3">
        <v>20</v>
      </c>
      <c r="N2851" s="3">
        <v>92.68</v>
      </c>
      <c r="O2851" s="12">
        <v>27.777777777777779</v>
      </c>
    </row>
    <row r="2852" spans="1:15" hidden="1" x14ac:dyDescent="0.25">
      <c r="A2852" s="10">
        <v>46091</v>
      </c>
      <c r="B2852" t="s">
        <v>51</v>
      </c>
      <c r="C2852" s="1" t="s">
        <v>48</v>
      </c>
      <c r="D2852" s="3">
        <v>18</v>
      </c>
      <c r="E2852" s="3">
        <v>18</v>
      </c>
      <c r="F2852" s="3">
        <v>23.31</v>
      </c>
      <c r="G2852" s="3">
        <v>0</v>
      </c>
      <c r="H2852" s="3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 s="3">
        <v>19</v>
      </c>
      <c r="N2852" s="3">
        <v>99.03</v>
      </c>
      <c r="O2852" s="12">
        <v>23.991507430997881</v>
      </c>
    </row>
    <row r="2853" spans="1:15" hidden="1" x14ac:dyDescent="0.25">
      <c r="A2853" s="10">
        <v>46091</v>
      </c>
      <c r="B2853" t="s">
        <v>61</v>
      </c>
      <c r="C2853" s="1" t="s">
        <v>23</v>
      </c>
      <c r="D2853" s="3">
        <v>22</v>
      </c>
      <c r="E2853" s="3">
        <v>22</v>
      </c>
      <c r="F2853" s="3">
        <v>30.08</v>
      </c>
      <c r="G2853" s="3">
        <v>0</v>
      </c>
      <c r="H2853" s="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 s="3">
        <v>12</v>
      </c>
      <c r="N2853" s="3">
        <v>98.41</v>
      </c>
      <c r="O2853" s="12">
        <v>28.138528138528141</v>
      </c>
    </row>
    <row r="2854" spans="1:15" hidden="1" x14ac:dyDescent="0.25">
      <c r="A2854" s="10">
        <v>46091</v>
      </c>
      <c r="B2854" t="s">
        <v>35</v>
      </c>
      <c r="C2854" s="1" t="s">
        <v>32</v>
      </c>
      <c r="D2854" s="3">
        <v>28</v>
      </c>
      <c r="E2854" s="3">
        <v>28</v>
      </c>
      <c r="F2854" s="3">
        <v>22.2</v>
      </c>
      <c r="G2854" s="3">
        <v>0</v>
      </c>
      <c r="H2854" s="3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 s="3">
        <v>31</v>
      </c>
      <c r="N2854" s="3">
        <v>98.73</v>
      </c>
      <c r="O2854" s="12">
        <v>29.142857142857139</v>
      </c>
    </row>
    <row r="2855" spans="1:15" hidden="1" x14ac:dyDescent="0.25">
      <c r="A2855" s="10">
        <v>46091</v>
      </c>
      <c r="B2855" t="s">
        <v>18</v>
      </c>
      <c r="C2855" s="1" t="s">
        <v>16</v>
      </c>
      <c r="D2855" s="3">
        <v>6</v>
      </c>
      <c r="E2855" s="3">
        <v>6</v>
      </c>
      <c r="F2855" s="3">
        <v>54.19</v>
      </c>
      <c r="G2855" s="3">
        <v>0</v>
      </c>
      <c r="H2855" s="3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 s="3">
        <v>5</v>
      </c>
      <c r="N2855" s="3">
        <v>90.48</v>
      </c>
      <c r="O2855" s="12">
        <v>20.68965517241379</v>
      </c>
    </row>
    <row r="2856" spans="1:15" hidden="1" x14ac:dyDescent="0.25">
      <c r="A2856" s="10">
        <v>46091</v>
      </c>
      <c r="B2856" t="s">
        <v>52</v>
      </c>
      <c r="C2856" s="1" t="s">
        <v>48</v>
      </c>
      <c r="D2856" s="3">
        <v>16</v>
      </c>
      <c r="E2856" s="3">
        <v>15</v>
      </c>
      <c r="F2856" s="3">
        <v>36.4</v>
      </c>
      <c r="G2856" s="3">
        <v>0</v>
      </c>
      <c r="H2856" s="3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 s="3">
        <v>14</v>
      </c>
      <c r="N2856" s="3">
        <v>98.06</v>
      </c>
      <c r="O2856" s="12">
        <v>24.789915966386559</v>
      </c>
    </row>
    <row r="2857" spans="1:15" hidden="1" x14ac:dyDescent="0.25">
      <c r="A2857" s="10">
        <v>46091</v>
      </c>
      <c r="B2857" t="s">
        <v>36</v>
      </c>
      <c r="C2857" s="1" t="s">
        <v>32</v>
      </c>
      <c r="D2857" s="3">
        <v>12</v>
      </c>
      <c r="E2857" s="3">
        <v>12</v>
      </c>
      <c r="F2857" s="3">
        <v>24.06</v>
      </c>
      <c r="G2857" s="3">
        <v>0</v>
      </c>
      <c r="H2857" s="3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 s="3">
        <v>12</v>
      </c>
      <c r="N2857" s="3">
        <v>97.78</v>
      </c>
      <c r="O2857" s="12">
        <v>25.494071146245059</v>
      </c>
    </row>
    <row r="2858" spans="1:15" hidden="1" x14ac:dyDescent="0.25">
      <c r="A2858" s="10">
        <v>46091</v>
      </c>
      <c r="B2858" t="s">
        <v>53</v>
      </c>
      <c r="C2858" s="1" t="s">
        <v>48</v>
      </c>
      <c r="D2858" s="3">
        <v>16</v>
      </c>
      <c r="E2858" s="3">
        <v>15</v>
      </c>
      <c r="F2858" s="3">
        <v>45.24</v>
      </c>
      <c r="G2858" s="3">
        <v>0</v>
      </c>
      <c r="H2858" s="3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 s="3">
        <v>14</v>
      </c>
      <c r="N2858" s="3">
        <v>98.02</v>
      </c>
      <c r="O2858" s="12">
        <v>23.484848484848481</v>
      </c>
    </row>
    <row r="2859" spans="1:15" hidden="1" x14ac:dyDescent="0.25">
      <c r="A2859" s="10">
        <v>46125</v>
      </c>
      <c r="B2859" t="s">
        <v>22</v>
      </c>
      <c r="C2859" s="1" t="s">
        <v>23</v>
      </c>
      <c r="D2859" s="3">
        <v>27</v>
      </c>
      <c r="E2859" s="3">
        <v>24</v>
      </c>
      <c r="F2859" s="3">
        <v>15.42</v>
      </c>
      <c r="G2859" s="3">
        <v>0</v>
      </c>
      <c r="H2859" s="3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 s="3">
        <v>22</v>
      </c>
      <c r="N2859" s="3">
        <v>99.28</v>
      </c>
      <c r="O2859" s="12">
        <v>27.689243027888441</v>
      </c>
    </row>
    <row r="2860" spans="1:15" hidden="1" x14ac:dyDescent="0.25">
      <c r="A2860" s="10">
        <v>46091</v>
      </c>
      <c r="B2860" t="s">
        <v>54</v>
      </c>
      <c r="C2860" s="1" t="s">
        <v>48</v>
      </c>
      <c r="D2860" s="3">
        <v>24</v>
      </c>
      <c r="E2860" s="3">
        <v>24</v>
      </c>
      <c r="F2860" s="3">
        <v>27.22</v>
      </c>
      <c r="G2860" s="3">
        <v>0</v>
      </c>
      <c r="H2860" s="3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 s="3">
        <v>23</v>
      </c>
      <c r="N2860" s="3">
        <v>100</v>
      </c>
      <c r="O2860" s="12">
        <v>27.04918032786885</v>
      </c>
    </row>
    <row r="2861" spans="1:15" hidden="1" x14ac:dyDescent="0.25">
      <c r="A2861" s="10">
        <v>46091</v>
      </c>
      <c r="B2861" t="s">
        <v>37</v>
      </c>
      <c r="C2861" s="1" t="s">
        <v>32</v>
      </c>
      <c r="D2861" s="3">
        <v>40</v>
      </c>
      <c r="E2861" s="3">
        <v>36</v>
      </c>
      <c r="F2861" s="3">
        <v>16.46</v>
      </c>
      <c r="G2861" s="3">
        <v>0</v>
      </c>
      <c r="H2861" s="3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 s="3">
        <v>35</v>
      </c>
      <c r="N2861" s="3">
        <v>97.83</v>
      </c>
      <c r="O2861" s="12">
        <v>26.315789473684209</v>
      </c>
    </row>
    <row r="2862" spans="1:15" hidden="1" x14ac:dyDescent="0.25">
      <c r="A2862" s="10">
        <v>46091</v>
      </c>
      <c r="B2862" t="s">
        <v>38</v>
      </c>
      <c r="C2862" s="1" t="s">
        <v>32</v>
      </c>
      <c r="D2862" s="3">
        <v>9</v>
      </c>
      <c r="E2862" s="3">
        <v>9</v>
      </c>
      <c r="F2862" s="3">
        <v>25.5</v>
      </c>
      <c r="G2862" s="3">
        <v>0</v>
      </c>
      <c r="H2862" s="3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 s="3">
        <v>10</v>
      </c>
      <c r="N2862" s="3">
        <v>100</v>
      </c>
      <c r="O2862" s="12">
        <v>26.701570680628269</v>
      </c>
    </row>
    <row r="2863" spans="1:15" hidden="1" x14ac:dyDescent="0.25">
      <c r="A2863" s="10">
        <v>46091</v>
      </c>
      <c r="B2863" t="s">
        <v>55</v>
      </c>
      <c r="C2863" s="1" t="s">
        <v>48</v>
      </c>
      <c r="D2863" s="3">
        <v>22</v>
      </c>
      <c r="E2863" s="3">
        <v>19</v>
      </c>
      <c r="F2863" s="3">
        <v>23.29</v>
      </c>
      <c r="G2863" s="3">
        <v>0</v>
      </c>
      <c r="H2863" s="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 s="3">
        <v>16</v>
      </c>
      <c r="N2863" s="3">
        <v>97.47</v>
      </c>
      <c r="O2863" s="12">
        <v>22.887323943661968</v>
      </c>
    </row>
    <row r="2864" spans="1:15" hidden="1" x14ac:dyDescent="0.25">
      <c r="A2864" s="10">
        <v>46091</v>
      </c>
      <c r="B2864" t="s">
        <v>39</v>
      </c>
      <c r="C2864" s="1" t="s">
        <v>32</v>
      </c>
      <c r="D2864" s="3">
        <v>0</v>
      </c>
      <c r="E2864" s="3">
        <v>0</v>
      </c>
      <c r="F2864" s="3">
        <v>0</v>
      </c>
      <c r="G2864" s="3">
        <v>0</v>
      </c>
      <c r="H2864" s="3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 s="3">
        <v>0</v>
      </c>
      <c r="N2864" s="3">
        <v>0</v>
      </c>
      <c r="O2864" s="12">
        <v>0</v>
      </c>
    </row>
    <row r="2865" spans="1:15" hidden="1" x14ac:dyDescent="0.25">
      <c r="A2865" s="10">
        <v>46091</v>
      </c>
      <c r="B2865" t="s">
        <v>25</v>
      </c>
      <c r="C2865" s="1" t="s">
        <v>26</v>
      </c>
      <c r="D2865" s="3">
        <v>8</v>
      </c>
      <c r="E2865" s="3">
        <v>8</v>
      </c>
      <c r="F2865" s="3">
        <v>33.200000000000003</v>
      </c>
      <c r="G2865" s="3">
        <v>0</v>
      </c>
      <c r="H2865" s="3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 s="3">
        <v>8</v>
      </c>
      <c r="N2865" s="3">
        <v>98.31</v>
      </c>
      <c r="O2865" s="12">
        <v>24.920127795527151</v>
      </c>
    </row>
    <row r="2866" spans="1:15" hidden="1" x14ac:dyDescent="0.25">
      <c r="A2866" s="10">
        <v>46091</v>
      </c>
      <c r="B2866" t="s">
        <v>40</v>
      </c>
      <c r="C2866" s="1" t="s">
        <v>32</v>
      </c>
      <c r="D2866" s="3">
        <v>1</v>
      </c>
      <c r="E2866" s="3">
        <v>1</v>
      </c>
      <c r="F2866" s="3">
        <v>43.44</v>
      </c>
      <c r="G2866" s="3">
        <v>0</v>
      </c>
      <c r="H2866" s="3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 s="3">
        <v>14</v>
      </c>
      <c r="N2866" s="3">
        <v>96.81</v>
      </c>
      <c r="O2866" s="12">
        <v>32.365145228215773</v>
      </c>
    </row>
    <row r="2867" spans="1:15" hidden="1" x14ac:dyDescent="0.25">
      <c r="A2867" s="10">
        <v>46091</v>
      </c>
      <c r="B2867" t="s">
        <v>27</v>
      </c>
      <c r="C2867" s="1" t="s">
        <v>26</v>
      </c>
      <c r="D2867" s="3">
        <v>16</v>
      </c>
      <c r="E2867" s="3">
        <v>12</v>
      </c>
      <c r="F2867" s="3">
        <v>25.06</v>
      </c>
      <c r="G2867" s="3">
        <v>0</v>
      </c>
      <c r="H2867" s="3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 s="3">
        <v>10</v>
      </c>
      <c r="N2867" s="3">
        <v>100</v>
      </c>
      <c r="O2867" s="12">
        <v>26.47058823529412</v>
      </c>
    </row>
    <row r="2868" spans="1:15" hidden="1" x14ac:dyDescent="0.25">
      <c r="A2868" s="10">
        <v>46091</v>
      </c>
      <c r="B2868" t="s">
        <v>41</v>
      </c>
      <c r="C2868" s="1" t="s">
        <v>32</v>
      </c>
      <c r="D2868" s="3">
        <v>15</v>
      </c>
      <c r="E2868" s="3">
        <v>13</v>
      </c>
      <c r="F2868" s="3">
        <v>20.18</v>
      </c>
      <c r="G2868" s="3">
        <v>0</v>
      </c>
      <c r="H2868" s="3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 s="3">
        <v>19</v>
      </c>
      <c r="N2868" s="3">
        <v>100</v>
      </c>
      <c r="O2868" s="12">
        <v>28.490028490028489</v>
      </c>
    </row>
    <row r="2869" spans="1:15" hidden="1" x14ac:dyDescent="0.25">
      <c r="A2869" s="10">
        <v>46091</v>
      </c>
      <c r="B2869" t="s">
        <v>56</v>
      </c>
      <c r="C2869" s="1" t="s">
        <v>48</v>
      </c>
      <c r="D2869" s="3">
        <v>24</v>
      </c>
      <c r="E2869" s="3">
        <v>22</v>
      </c>
      <c r="F2869" s="3">
        <v>25.13</v>
      </c>
      <c r="G2869" s="3">
        <v>0</v>
      </c>
      <c r="H2869" s="3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 s="3">
        <v>16</v>
      </c>
      <c r="N2869" s="3">
        <v>99.14</v>
      </c>
      <c r="O2869" s="12">
        <v>27.2289156626506</v>
      </c>
    </row>
    <row r="2870" spans="1:15" hidden="1" x14ac:dyDescent="0.25">
      <c r="A2870" s="10">
        <v>46091</v>
      </c>
      <c r="B2870" t="s">
        <v>57</v>
      </c>
      <c r="C2870" s="1" t="s">
        <v>48</v>
      </c>
      <c r="D2870" s="3">
        <v>30</v>
      </c>
      <c r="E2870" s="3">
        <v>29</v>
      </c>
      <c r="F2870" s="3">
        <v>21.51</v>
      </c>
      <c r="G2870" s="3">
        <v>0</v>
      </c>
      <c r="H2870" s="3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 s="3">
        <v>27</v>
      </c>
      <c r="N2870" s="3">
        <v>97.52</v>
      </c>
      <c r="O2870" s="12">
        <v>28.205128205128201</v>
      </c>
    </row>
    <row r="2871" spans="1:15" hidden="1" x14ac:dyDescent="0.25">
      <c r="A2871" s="10">
        <v>46091</v>
      </c>
      <c r="B2871" t="s">
        <v>42</v>
      </c>
      <c r="C2871" s="1" t="s">
        <v>32</v>
      </c>
      <c r="D2871" s="3">
        <v>37</v>
      </c>
      <c r="E2871" s="3">
        <v>30</v>
      </c>
      <c r="F2871" s="3">
        <v>13.52</v>
      </c>
      <c r="G2871" s="3">
        <v>0</v>
      </c>
      <c r="H2871" s="3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 s="3">
        <v>17</v>
      </c>
      <c r="N2871" s="3">
        <v>90</v>
      </c>
      <c r="O2871" s="12">
        <v>24.186046511627911</v>
      </c>
    </row>
    <row r="2872" spans="1:15" hidden="1" x14ac:dyDescent="0.25">
      <c r="A2872" s="10">
        <v>46091</v>
      </c>
      <c r="B2872" t="s">
        <v>62</v>
      </c>
      <c r="C2872" s="1" t="s">
        <v>23</v>
      </c>
      <c r="D2872" s="3">
        <v>20</v>
      </c>
      <c r="E2872" s="3">
        <v>19</v>
      </c>
      <c r="F2872" s="3">
        <v>30.04</v>
      </c>
      <c r="G2872" s="3">
        <v>0</v>
      </c>
      <c r="H2872" s="3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 s="3">
        <v>17</v>
      </c>
      <c r="N2872" s="3">
        <v>98.9</v>
      </c>
      <c r="O2872" s="12">
        <v>26.763990267639901</v>
      </c>
    </row>
    <row r="2873" spans="1:15" hidden="1" x14ac:dyDescent="0.25">
      <c r="A2873" s="10">
        <v>46091</v>
      </c>
      <c r="B2873" t="s">
        <v>19</v>
      </c>
      <c r="C2873" s="1" t="s">
        <v>16</v>
      </c>
      <c r="D2873" s="3">
        <v>10</v>
      </c>
      <c r="E2873" s="3">
        <v>8</v>
      </c>
      <c r="F2873" s="3">
        <v>33.5</v>
      </c>
      <c r="G2873" s="3">
        <v>0</v>
      </c>
      <c r="H2873" s="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 s="3">
        <v>6</v>
      </c>
      <c r="N2873" s="3">
        <v>88.89</v>
      </c>
      <c r="O2873" s="12">
        <v>25.263157894736839</v>
      </c>
    </row>
    <row r="2874" spans="1:15" hidden="1" x14ac:dyDescent="0.25">
      <c r="A2874" s="10">
        <v>46111</v>
      </c>
      <c r="B2874" t="s">
        <v>43</v>
      </c>
      <c r="C2874" s="1" t="s">
        <v>32</v>
      </c>
      <c r="D2874" s="3">
        <v>35</v>
      </c>
      <c r="E2874" s="3">
        <v>31</v>
      </c>
      <c r="F2874" s="3">
        <v>15.5</v>
      </c>
      <c r="G2874" s="3">
        <v>0</v>
      </c>
      <c r="H2874" s="3">
        <v>0</v>
      </c>
      <c r="I2874" s="3">
        <f>E2874+G2874+H2874</f>
        <v>31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27</v>
      </c>
      <c r="K2874" s="3">
        <f>I2874-J2874</f>
        <v>4</v>
      </c>
      <c r="L2874" s="3" t="str">
        <f>IF(K2874&lt;-5,"CRÍTICO",IF(K2874&lt;0,"ATENÇÃO",IF(K2874&lt;=5,"OPORTUNO","MUITO BOM")))</f>
        <v>OPORTUNO</v>
      </c>
      <c r="M2874" s="3">
        <v>33</v>
      </c>
      <c r="N2874" s="3">
        <v>98.86</v>
      </c>
      <c r="O2874" s="12">
        <v>28.959276018099551</v>
      </c>
    </row>
    <row r="2875" spans="1:15" hidden="1" x14ac:dyDescent="0.25">
      <c r="A2875" s="10">
        <v>46091</v>
      </c>
      <c r="B2875" t="s">
        <v>44</v>
      </c>
      <c r="C2875" s="1" t="s">
        <v>32</v>
      </c>
      <c r="D2875" s="3">
        <v>30</v>
      </c>
      <c r="E2875" s="3">
        <v>30</v>
      </c>
      <c r="F2875" s="3">
        <v>17.239999999999998</v>
      </c>
      <c r="G2875" s="3">
        <v>0</v>
      </c>
      <c r="H2875" s="3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 s="3">
        <v>24</v>
      </c>
      <c r="N2875" s="3">
        <v>98.06</v>
      </c>
      <c r="O2875" s="12">
        <v>22.40566037735849</v>
      </c>
    </row>
    <row r="2876" spans="1:15" hidden="1" x14ac:dyDescent="0.25">
      <c r="A2876" s="10">
        <v>46119</v>
      </c>
      <c r="B2876" t="s">
        <v>20</v>
      </c>
      <c r="C2876" s="1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>E2876+G2876+H2876</f>
        <v>10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9</v>
      </c>
      <c r="K2876" s="3">
        <f>I2876-J2876</f>
        <v>1</v>
      </c>
      <c r="L2876" s="3" t="str">
        <f>IF(K2876&lt;-5,"CRÍTICO",IF(K2876&lt;0,"ATENÇÃO",IF(K2876&lt;=5,"OPORTUNO","MUITO BOM")))</f>
        <v>OPORTUNO</v>
      </c>
      <c r="M2876" s="3">
        <v>9</v>
      </c>
      <c r="N2876" s="3">
        <v>100</v>
      </c>
      <c r="O2876" s="12">
        <v>23.77622377622378</v>
      </c>
    </row>
    <row r="2877" spans="1:15" hidden="1" x14ac:dyDescent="0.25">
      <c r="A2877" s="10">
        <v>46091</v>
      </c>
      <c r="B2877" t="s">
        <v>28</v>
      </c>
      <c r="C2877" s="1" t="s">
        <v>26</v>
      </c>
      <c r="D2877" s="3">
        <v>0</v>
      </c>
      <c r="E2877" s="3">
        <v>0</v>
      </c>
      <c r="F2877" s="3">
        <v>0</v>
      </c>
      <c r="G2877" s="3">
        <v>0</v>
      </c>
      <c r="H2877" s="3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 s="3">
        <v>0</v>
      </c>
      <c r="N2877" s="3">
        <v>100</v>
      </c>
      <c r="O2877" s="12">
        <v>15.38461538461539</v>
      </c>
    </row>
    <row r="2878" spans="1:15" hidden="1" x14ac:dyDescent="0.25">
      <c r="A2878" s="10">
        <v>46091</v>
      </c>
      <c r="B2878" t="s">
        <v>58</v>
      </c>
      <c r="C2878" s="1" t="s">
        <v>48</v>
      </c>
      <c r="D2878" s="3">
        <v>22</v>
      </c>
      <c r="E2878" s="3">
        <v>22</v>
      </c>
      <c r="F2878" s="3">
        <v>24.05</v>
      </c>
      <c r="G2878" s="3">
        <v>0</v>
      </c>
      <c r="H2878" s="3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 s="3">
        <v>16</v>
      </c>
      <c r="N2878" s="3">
        <v>100</v>
      </c>
      <c r="O2878" s="12">
        <v>27.514792899408281</v>
      </c>
    </row>
    <row r="2879" spans="1:15" hidden="1" x14ac:dyDescent="0.25">
      <c r="A2879" s="10">
        <v>46091</v>
      </c>
      <c r="B2879" t="s">
        <v>29</v>
      </c>
      <c r="C2879" s="1" t="s">
        <v>26</v>
      </c>
      <c r="D2879" s="3">
        <v>7</v>
      </c>
      <c r="E2879" s="3">
        <v>6</v>
      </c>
      <c r="F2879" s="3">
        <v>48.48</v>
      </c>
      <c r="G2879" s="3">
        <v>0</v>
      </c>
      <c r="H2879" s="3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 s="3">
        <v>6</v>
      </c>
      <c r="N2879" s="3">
        <v>100</v>
      </c>
      <c r="O2879" s="12">
        <v>24.875621890547269</v>
      </c>
    </row>
    <row r="2880" spans="1:15" hidden="1" x14ac:dyDescent="0.25">
      <c r="A2880" s="10">
        <v>46091</v>
      </c>
      <c r="B2880" t="s">
        <v>30</v>
      </c>
      <c r="C2880" s="1" t="s">
        <v>26</v>
      </c>
      <c r="D2880" s="3">
        <v>8</v>
      </c>
      <c r="E2880" s="3">
        <v>8</v>
      </c>
      <c r="F2880" s="3">
        <v>55.01</v>
      </c>
      <c r="G2880" s="3">
        <v>0</v>
      </c>
      <c r="H2880" s="3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 s="3">
        <v>8</v>
      </c>
      <c r="N2880" s="3">
        <v>100</v>
      </c>
      <c r="O2880" s="12">
        <v>28.108108108108109</v>
      </c>
    </row>
    <row r="2881" spans="1:15" hidden="1" x14ac:dyDescent="0.25">
      <c r="A2881" s="10">
        <v>46119</v>
      </c>
      <c r="B2881" t="s">
        <v>21</v>
      </c>
      <c r="C2881" s="1" t="s">
        <v>16</v>
      </c>
      <c r="D2881" s="3">
        <v>10</v>
      </c>
      <c r="E2881" s="3">
        <v>9</v>
      </c>
      <c r="F2881" s="3">
        <v>18.21</v>
      </c>
      <c r="G2881" s="3">
        <v>0</v>
      </c>
      <c r="H2881" s="3">
        <v>0</v>
      </c>
      <c r="I2881" s="3">
        <f>E2881+G2881+H2881</f>
        <v>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9</v>
      </c>
      <c r="K2881" s="3">
        <f>I2881-J2881</f>
        <v>0</v>
      </c>
      <c r="L2881" s="3" t="str">
        <f>IF(K2881&lt;-5,"CRÍTICO",IF(K2881&lt;0,"ATENÇÃO",IF(K2881&lt;=5,"OPORTUNO","MUITO BOM")))</f>
        <v>OPORTUNO</v>
      </c>
      <c r="M2881" s="3">
        <v>5</v>
      </c>
      <c r="N2881" s="3">
        <v>94.12</v>
      </c>
      <c r="O2881" s="12">
        <v>32.799999999999997</v>
      </c>
    </row>
    <row r="2882" spans="1:15" hidden="1" x14ac:dyDescent="0.25">
      <c r="A2882" s="10">
        <v>46091</v>
      </c>
      <c r="B2882" t="s">
        <v>63</v>
      </c>
      <c r="C2882" s="1" t="s">
        <v>23</v>
      </c>
      <c r="D2882" s="3">
        <v>0</v>
      </c>
      <c r="E2882" s="3">
        <v>0</v>
      </c>
      <c r="F2882" s="3">
        <v>0</v>
      </c>
      <c r="G2882" s="3">
        <v>0</v>
      </c>
      <c r="H2882" s="3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 s="3">
        <v>0</v>
      </c>
      <c r="N2882" s="3">
        <v>95.35</v>
      </c>
      <c r="O2882" s="12">
        <v>28.61538461538461</v>
      </c>
    </row>
    <row r="2883" spans="1:15" hidden="1" x14ac:dyDescent="0.25">
      <c r="A2883" s="10">
        <v>46091</v>
      </c>
      <c r="B2883" t="s">
        <v>45</v>
      </c>
      <c r="C2883" s="1" t="s">
        <v>32</v>
      </c>
      <c r="D2883" s="3">
        <v>40</v>
      </c>
      <c r="E2883" s="3">
        <v>39</v>
      </c>
      <c r="F2883" s="3">
        <v>15.33</v>
      </c>
      <c r="G2883" s="3">
        <v>0</v>
      </c>
      <c r="H2883" s="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 s="3">
        <v>38</v>
      </c>
      <c r="N2883" s="3">
        <v>98.26</v>
      </c>
      <c r="O2883" s="12">
        <v>27.54491017964072</v>
      </c>
    </row>
    <row r="2884" spans="1:15" hidden="1" x14ac:dyDescent="0.25">
      <c r="A2884" s="10">
        <v>46091</v>
      </c>
      <c r="B2884" t="s">
        <v>64</v>
      </c>
      <c r="C2884" s="1" t="s">
        <v>23</v>
      </c>
      <c r="D2884" s="3">
        <v>15</v>
      </c>
      <c r="E2884" s="3">
        <v>14</v>
      </c>
      <c r="F2884" s="3">
        <v>40.229999999999997</v>
      </c>
      <c r="G2884" s="3">
        <v>0</v>
      </c>
      <c r="H2884" s="3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 s="3">
        <v>14</v>
      </c>
      <c r="N2884" s="3">
        <v>98.55</v>
      </c>
      <c r="O2884" s="12">
        <v>25.337837837837839</v>
      </c>
    </row>
    <row r="2885" spans="1:15" hidden="1" x14ac:dyDescent="0.25">
      <c r="A2885" s="10">
        <v>46091</v>
      </c>
      <c r="B2885" t="s">
        <v>46</v>
      </c>
      <c r="C2885" s="1" t="s">
        <v>32</v>
      </c>
      <c r="D2885" s="3">
        <v>24</v>
      </c>
      <c r="E2885" s="3">
        <v>22</v>
      </c>
      <c r="F2885" s="3">
        <v>20.399999999999999</v>
      </c>
      <c r="G2885" s="3">
        <v>0</v>
      </c>
      <c r="H2885" s="3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 s="3">
        <v>18</v>
      </c>
      <c r="N2885" s="3">
        <v>98.39</v>
      </c>
      <c r="O2885" s="12">
        <v>25.563909774436091</v>
      </c>
    </row>
    <row r="2886" spans="1:15" hidden="1" x14ac:dyDescent="0.25">
      <c r="A2886" s="10">
        <v>46092</v>
      </c>
      <c r="B2886" t="s">
        <v>47</v>
      </c>
      <c r="C2886" s="1" t="s">
        <v>48</v>
      </c>
      <c r="D2886" s="3">
        <v>43</v>
      </c>
      <c r="E2886" s="3">
        <v>33</v>
      </c>
      <c r="F2886" s="3">
        <v>13.21</v>
      </c>
      <c r="G2886" s="3">
        <v>0</v>
      </c>
      <c r="H2886" s="3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 s="3">
        <v>24</v>
      </c>
      <c r="N2886" s="3">
        <v>94.29</v>
      </c>
      <c r="O2886" s="12">
        <v>25.647668393782389</v>
      </c>
    </row>
    <row r="2887" spans="1:15" hidden="1" x14ac:dyDescent="0.25">
      <c r="A2887" s="10">
        <v>46092</v>
      </c>
      <c r="B2887" t="s">
        <v>31</v>
      </c>
      <c r="C2887" s="1" t="s">
        <v>32</v>
      </c>
      <c r="D2887" s="3">
        <v>0</v>
      </c>
      <c r="E2887" s="3">
        <v>0</v>
      </c>
      <c r="F2887" s="3">
        <v>0</v>
      </c>
      <c r="G2887" s="3">
        <v>0</v>
      </c>
      <c r="H2887" s="3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 s="3">
        <v>18</v>
      </c>
      <c r="N2887" s="3">
        <v>98.26</v>
      </c>
      <c r="O2887" s="12">
        <v>26.666666666666671</v>
      </c>
    </row>
    <row r="2888" spans="1:15" hidden="1" x14ac:dyDescent="0.25">
      <c r="A2888" s="10">
        <v>46092</v>
      </c>
      <c r="B2888" t="s">
        <v>59</v>
      </c>
      <c r="C2888" s="1" t="s">
        <v>23</v>
      </c>
      <c r="D2888" s="3">
        <v>19</v>
      </c>
      <c r="E2888" s="3">
        <v>17</v>
      </c>
      <c r="F2888" s="3">
        <v>29.08</v>
      </c>
      <c r="G2888" s="3">
        <v>0</v>
      </c>
      <c r="H2888" s="3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 s="3">
        <v>16</v>
      </c>
      <c r="N2888" s="3">
        <v>98.2</v>
      </c>
      <c r="O2888" s="12">
        <v>23.37962962962963</v>
      </c>
    </row>
    <row r="2889" spans="1:15" hidden="1" x14ac:dyDescent="0.25">
      <c r="A2889" s="10">
        <v>46092</v>
      </c>
      <c r="B2889" t="s">
        <v>33</v>
      </c>
      <c r="C2889" s="1" t="s">
        <v>32</v>
      </c>
      <c r="D2889" s="3">
        <v>36</v>
      </c>
      <c r="E2889" s="3">
        <v>29</v>
      </c>
      <c r="F2889" s="3">
        <v>12.22</v>
      </c>
      <c r="G2889" s="3">
        <v>0</v>
      </c>
      <c r="H2889" s="3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 s="3">
        <v>24</v>
      </c>
      <c r="N2889" s="3">
        <v>97.3</v>
      </c>
      <c r="O2889" s="12">
        <v>23.84769539078156</v>
      </c>
    </row>
    <row r="2890" spans="1:15" hidden="1" x14ac:dyDescent="0.25">
      <c r="A2890" s="10">
        <v>46092</v>
      </c>
      <c r="B2890" t="s">
        <v>15</v>
      </c>
      <c r="C2890" s="1" t="s">
        <v>16</v>
      </c>
      <c r="D2890" s="3">
        <v>11</v>
      </c>
      <c r="E2890" s="3">
        <v>8</v>
      </c>
      <c r="F2890" s="3">
        <v>25.38</v>
      </c>
      <c r="G2890" s="3">
        <v>0</v>
      </c>
      <c r="H2890" s="3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 s="3">
        <v>7</v>
      </c>
      <c r="N2890" s="3">
        <v>100</v>
      </c>
      <c r="O2890" s="12">
        <v>25.268817204301079</v>
      </c>
    </row>
    <row r="2891" spans="1:15" hidden="1" x14ac:dyDescent="0.25">
      <c r="A2891" s="10">
        <v>46092</v>
      </c>
      <c r="B2891" t="s">
        <v>49</v>
      </c>
      <c r="C2891" s="1" t="s">
        <v>48</v>
      </c>
      <c r="D2891" s="3">
        <v>38</v>
      </c>
      <c r="E2891" s="3">
        <v>33</v>
      </c>
      <c r="F2891" s="3">
        <v>15.41</v>
      </c>
      <c r="G2891" s="3">
        <v>0</v>
      </c>
      <c r="H2891" s="3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 s="3">
        <v>33</v>
      </c>
      <c r="N2891" s="3">
        <v>99.32</v>
      </c>
      <c r="O2891" s="12">
        <v>22.822822822822818</v>
      </c>
    </row>
    <row r="2892" spans="1:15" hidden="1" x14ac:dyDescent="0.25">
      <c r="A2892" s="10">
        <v>46092</v>
      </c>
      <c r="B2892" t="s">
        <v>50</v>
      </c>
      <c r="C2892" s="1" t="s">
        <v>48</v>
      </c>
      <c r="D2892" s="3">
        <v>11</v>
      </c>
      <c r="E2892" s="3">
        <v>11</v>
      </c>
      <c r="F2892" s="3">
        <v>33.31</v>
      </c>
      <c r="G2892" s="3">
        <v>0</v>
      </c>
      <c r="H2892" s="3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 s="3">
        <v>11</v>
      </c>
      <c r="N2892" s="3">
        <v>100</v>
      </c>
      <c r="O2892" s="12">
        <v>27.966101694915249</v>
      </c>
    </row>
    <row r="2893" spans="1:15" hidden="1" x14ac:dyDescent="0.25">
      <c r="A2893" s="10">
        <v>46092</v>
      </c>
      <c r="B2893" t="s">
        <v>17</v>
      </c>
      <c r="C2893" s="1" t="s">
        <v>16</v>
      </c>
      <c r="D2893" s="3">
        <v>0</v>
      </c>
      <c r="E2893" s="3">
        <v>0</v>
      </c>
      <c r="F2893" s="3">
        <v>0</v>
      </c>
      <c r="G2893" s="3">
        <v>0</v>
      </c>
      <c r="H2893" s="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 s="3">
        <v>0</v>
      </c>
      <c r="N2893" s="3">
        <v>100</v>
      </c>
      <c r="O2893" s="12">
        <v>30.434782608695659</v>
      </c>
    </row>
    <row r="2894" spans="1:15" hidden="1" x14ac:dyDescent="0.25">
      <c r="A2894" s="10">
        <v>46092</v>
      </c>
      <c r="B2894" t="s">
        <v>60</v>
      </c>
      <c r="C2894" s="1" t="s">
        <v>23</v>
      </c>
      <c r="D2894" s="3">
        <v>23</v>
      </c>
      <c r="E2894" s="3">
        <v>18</v>
      </c>
      <c r="F2894" s="3">
        <v>25.53</v>
      </c>
      <c r="G2894" s="3">
        <v>0</v>
      </c>
      <c r="H2894" s="3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 s="3">
        <v>17</v>
      </c>
      <c r="N2894" s="3">
        <v>96.51</v>
      </c>
      <c r="O2894" s="12">
        <v>22.802850356294542</v>
      </c>
    </row>
    <row r="2895" spans="1:15" hidden="1" x14ac:dyDescent="0.25">
      <c r="A2895" s="10">
        <v>46092</v>
      </c>
      <c r="B2895" t="s">
        <v>34</v>
      </c>
      <c r="C2895" s="1" t="s">
        <v>32</v>
      </c>
      <c r="D2895" s="3">
        <v>0</v>
      </c>
      <c r="E2895" s="3">
        <v>0</v>
      </c>
      <c r="F2895" s="3">
        <v>0</v>
      </c>
      <c r="G2895" s="3">
        <v>0</v>
      </c>
      <c r="H2895" s="3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 s="3">
        <v>12</v>
      </c>
      <c r="N2895" s="3">
        <v>92.68</v>
      </c>
      <c r="O2895" s="12">
        <v>27.777777777777779</v>
      </c>
    </row>
    <row r="2896" spans="1:15" hidden="1" x14ac:dyDescent="0.25">
      <c r="A2896" s="10">
        <v>46092</v>
      </c>
      <c r="B2896" t="s">
        <v>51</v>
      </c>
      <c r="C2896" s="1" t="s">
        <v>48</v>
      </c>
      <c r="D2896" s="3">
        <v>25</v>
      </c>
      <c r="E2896" s="3">
        <v>22</v>
      </c>
      <c r="F2896" s="3">
        <v>24.08</v>
      </c>
      <c r="G2896" s="3">
        <v>0</v>
      </c>
      <c r="H2896" s="3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 s="3">
        <v>18</v>
      </c>
      <c r="N2896" s="3">
        <v>99.03</v>
      </c>
      <c r="O2896" s="12">
        <v>23.991507430997881</v>
      </c>
    </row>
    <row r="2897" spans="1:15" hidden="1" x14ac:dyDescent="0.25">
      <c r="A2897" s="10">
        <v>46092</v>
      </c>
      <c r="B2897" t="s">
        <v>61</v>
      </c>
      <c r="C2897" s="1" t="s">
        <v>23</v>
      </c>
      <c r="D2897" s="3">
        <v>16</v>
      </c>
      <c r="E2897" s="3">
        <v>15</v>
      </c>
      <c r="F2897" s="3">
        <v>29.04</v>
      </c>
      <c r="G2897" s="3">
        <v>0</v>
      </c>
      <c r="H2897" s="3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 s="3">
        <v>11</v>
      </c>
      <c r="N2897" s="3">
        <v>98.41</v>
      </c>
      <c r="O2897" s="12">
        <v>28.138528138528141</v>
      </c>
    </row>
    <row r="2898" spans="1:15" hidden="1" x14ac:dyDescent="0.25">
      <c r="A2898" s="10">
        <v>46092</v>
      </c>
      <c r="B2898" t="s">
        <v>35</v>
      </c>
      <c r="C2898" s="1" t="s">
        <v>32</v>
      </c>
      <c r="D2898" s="3">
        <v>28</v>
      </c>
      <c r="E2898" s="3">
        <v>26</v>
      </c>
      <c r="F2898" s="3">
        <v>26.51</v>
      </c>
      <c r="G2898" s="3">
        <v>0</v>
      </c>
      <c r="H2898" s="3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 s="3">
        <v>28</v>
      </c>
      <c r="N2898" s="3">
        <v>98.73</v>
      </c>
      <c r="O2898" s="12">
        <v>29.142857142857139</v>
      </c>
    </row>
    <row r="2899" spans="1:15" hidden="1" x14ac:dyDescent="0.25">
      <c r="A2899" s="10">
        <v>46092</v>
      </c>
      <c r="B2899" t="s">
        <v>18</v>
      </c>
      <c r="C2899" s="1" t="s">
        <v>16</v>
      </c>
      <c r="D2899" s="3">
        <v>7</v>
      </c>
      <c r="E2899" s="3">
        <v>6</v>
      </c>
      <c r="F2899" s="3">
        <v>55.59</v>
      </c>
      <c r="G2899" s="3">
        <v>0</v>
      </c>
      <c r="H2899" s="3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 s="3">
        <v>5</v>
      </c>
      <c r="N2899" s="3">
        <v>90.48</v>
      </c>
      <c r="O2899" s="12">
        <v>20.68965517241379</v>
      </c>
    </row>
    <row r="2900" spans="1:15" hidden="1" x14ac:dyDescent="0.25">
      <c r="A2900" s="10">
        <v>46092</v>
      </c>
      <c r="B2900" t="s">
        <v>52</v>
      </c>
      <c r="C2900" s="1" t="s">
        <v>48</v>
      </c>
      <c r="D2900" s="3">
        <v>23</v>
      </c>
      <c r="E2900" s="3">
        <v>16</v>
      </c>
      <c r="F2900" s="3">
        <v>19.13</v>
      </c>
      <c r="G2900" s="3">
        <v>0</v>
      </c>
      <c r="H2900" s="3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 s="3">
        <v>14</v>
      </c>
      <c r="N2900" s="3">
        <v>98.06</v>
      </c>
      <c r="O2900" s="12">
        <v>24.789915966386559</v>
      </c>
    </row>
    <row r="2901" spans="1:15" hidden="1" x14ac:dyDescent="0.25">
      <c r="A2901" s="10">
        <v>46092</v>
      </c>
      <c r="B2901" t="s">
        <v>36</v>
      </c>
      <c r="C2901" s="1" t="s">
        <v>32</v>
      </c>
      <c r="D2901" s="3">
        <v>31</v>
      </c>
      <c r="E2901" s="3">
        <v>28</v>
      </c>
      <c r="F2901" s="3">
        <v>17.32</v>
      </c>
      <c r="G2901" s="3">
        <v>0</v>
      </c>
      <c r="H2901" s="3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 s="3">
        <v>26</v>
      </c>
      <c r="N2901" s="3">
        <v>97.78</v>
      </c>
      <c r="O2901" s="12">
        <v>25.494071146245059</v>
      </c>
    </row>
    <row r="2902" spans="1:15" hidden="1" x14ac:dyDescent="0.25">
      <c r="A2902" s="10">
        <v>46092</v>
      </c>
      <c r="B2902" t="s">
        <v>53</v>
      </c>
      <c r="C2902" s="1" t="s">
        <v>48</v>
      </c>
      <c r="D2902" s="3">
        <v>46</v>
      </c>
      <c r="E2902" s="3">
        <v>33</v>
      </c>
      <c r="F2902" s="3">
        <v>14.02</v>
      </c>
      <c r="G2902" s="3">
        <v>0</v>
      </c>
      <c r="H2902" s="3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 s="3">
        <v>27</v>
      </c>
      <c r="N2902" s="3">
        <v>98.02</v>
      </c>
      <c r="O2902" s="12">
        <v>23.484848484848481</v>
      </c>
    </row>
    <row r="2903" spans="1:15" hidden="1" x14ac:dyDescent="0.25">
      <c r="A2903" s="10">
        <v>46126</v>
      </c>
      <c r="B2903" t="s">
        <v>22</v>
      </c>
      <c r="C2903" s="1" t="s">
        <v>23</v>
      </c>
      <c r="D2903" s="3">
        <v>33</v>
      </c>
      <c r="E2903" s="3">
        <v>29</v>
      </c>
      <c r="F2903" s="3">
        <v>13.25</v>
      </c>
      <c r="G2903" s="3">
        <v>0</v>
      </c>
      <c r="H2903" s="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 s="3">
        <v>27</v>
      </c>
      <c r="N2903" s="3">
        <v>99.28</v>
      </c>
      <c r="O2903" s="12">
        <v>27.689243027888441</v>
      </c>
    </row>
    <row r="2904" spans="1:15" hidden="1" x14ac:dyDescent="0.25">
      <c r="A2904" s="10">
        <v>46092</v>
      </c>
      <c r="B2904" t="s">
        <v>54</v>
      </c>
      <c r="C2904" s="1" t="s">
        <v>48</v>
      </c>
      <c r="D2904" s="3">
        <v>29</v>
      </c>
      <c r="E2904" s="3">
        <v>24</v>
      </c>
      <c r="F2904" s="3">
        <v>16.43</v>
      </c>
      <c r="G2904" s="3">
        <v>0</v>
      </c>
      <c r="H2904" s="3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 s="3">
        <v>20</v>
      </c>
      <c r="N2904" s="3">
        <v>100</v>
      </c>
      <c r="O2904" s="12">
        <v>27.04918032786885</v>
      </c>
    </row>
    <row r="2905" spans="1:15" hidden="1" x14ac:dyDescent="0.25">
      <c r="A2905" s="10">
        <v>46092</v>
      </c>
      <c r="B2905" t="s">
        <v>37</v>
      </c>
      <c r="C2905" s="1" t="s">
        <v>32</v>
      </c>
      <c r="D2905" s="3">
        <v>43</v>
      </c>
      <c r="E2905" s="3">
        <v>39</v>
      </c>
      <c r="F2905" s="3">
        <v>17.239999999999998</v>
      </c>
      <c r="G2905" s="3">
        <v>0</v>
      </c>
      <c r="H2905" s="3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 s="3">
        <v>33</v>
      </c>
      <c r="N2905" s="3">
        <v>97.83</v>
      </c>
      <c r="O2905" s="12">
        <v>26.315789473684209</v>
      </c>
    </row>
    <row r="2906" spans="1:15" hidden="1" x14ac:dyDescent="0.25">
      <c r="A2906" s="10">
        <v>46092</v>
      </c>
      <c r="B2906" t="s">
        <v>38</v>
      </c>
      <c r="C2906" s="1" t="s">
        <v>32</v>
      </c>
      <c r="D2906" s="3">
        <v>0</v>
      </c>
      <c r="E2906" s="3">
        <v>0</v>
      </c>
      <c r="F2906" s="3">
        <v>0</v>
      </c>
      <c r="G2906" s="3">
        <v>0</v>
      </c>
      <c r="H2906" s="3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 s="3">
        <v>6</v>
      </c>
      <c r="N2906" s="3">
        <v>100</v>
      </c>
      <c r="O2906" s="12">
        <v>26.701570680628269</v>
      </c>
    </row>
    <row r="2907" spans="1:15" hidden="1" x14ac:dyDescent="0.25">
      <c r="A2907" s="10">
        <v>46092</v>
      </c>
      <c r="B2907" t="s">
        <v>55</v>
      </c>
      <c r="C2907" s="1" t="s">
        <v>48</v>
      </c>
      <c r="D2907" s="3">
        <v>29</v>
      </c>
      <c r="E2907" s="3">
        <v>24</v>
      </c>
      <c r="F2907" s="3">
        <v>20.36</v>
      </c>
      <c r="G2907" s="3">
        <v>0</v>
      </c>
      <c r="H2907" s="3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 s="3">
        <v>19</v>
      </c>
      <c r="N2907" s="3">
        <v>97.47</v>
      </c>
      <c r="O2907" s="12">
        <v>22.887323943661968</v>
      </c>
    </row>
    <row r="2908" spans="1:15" hidden="1" x14ac:dyDescent="0.25">
      <c r="A2908" s="10">
        <v>46092</v>
      </c>
      <c r="B2908" t="s">
        <v>39</v>
      </c>
      <c r="C2908" s="1" t="s">
        <v>32</v>
      </c>
      <c r="D2908" s="3">
        <v>0</v>
      </c>
      <c r="E2908" s="3">
        <v>0</v>
      </c>
      <c r="F2908" s="3">
        <v>0</v>
      </c>
      <c r="G2908" s="3">
        <v>0</v>
      </c>
      <c r="H2908" s="3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 s="3">
        <v>0</v>
      </c>
      <c r="N2908" s="3">
        <v>0</v>
      </c>
      <c r="O2908" s="12">
        <v>0</v>
      </c>
    </row>
    <row r="2909" spans="1:15" hidden="1" x14ac:dyDescent="0.25">
      <c r="A2909" s="10">
        <v>46092</v>
      </c>
      <c r="B2909" t="s">
        <v>25</v>
      </c>
      <c r="C2909" s="1" t="s">
        <v>26</v>
      </c>
      <c r="D2909" s="3">
        <v>6</v>
      </c>
      <c r="E2909" s="3">
        <v>6</v>
      </c>
      <c r="F2909" s="3">
        <v>55.21</v>
      </c>
      <c r="G2909" s="3">
        <v>0</v>
      </c>
      <c r="H2909" s="3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 s="3">
        <v>6</v>
      </c>
      <c r="N2909" s="3">
        <v>98.31</v>
      </c>
      <c r="O2909" s="12">
        <v>24.920127795527151</v>
      </c>
    </row>
    <row r="2910" spans="1:15" hidden="1" x14ac:dyDescent="0.25">
      <c r="A2910" s="10">
        <v>46092</v>
      </c>
      <c r="B2910" t="s">
        <v>40</v>
      </c>
      <c r="C2910" s="1" t="s">
        <v>32</v>
      </c>
      <c r="D2910" s="3">
        <v>0</v>
      </c>
      <c r="E2910" s="3">
        <v>0</v>
      </c>
      <c r="F2910" s="3">
        <v>0</v>
      </c>
      <c r="G2910" s="3">
        <v>0</v>
      </c>
      <c r="H2910" s="3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 s="3">
        <v>1</v>
      </c>
      <c r="N2910" s="3">
        <v>96.81</v>
      </c>
      <c r="O2910" s="12">
        <v>32.365145228215773</v>
      </c>
    </row>
    <row r="2911" spans="1:15" hidden="1" x14ac:dyDescent="0.25">
      <c r="A2911" s="10">
        <v>46092</v>
      </c>
      <c r="B2911" t="s">
        <v>27</v>
      </c>
      <c r="C2911" s="1" t="s">
        <v>26</v>
      </c>
      <c r="D2911" s="3">
        <v>12</v>
      </c>
      <c r="E2911" s="3">
        <v>11</v>
      </c>
      <c r="F2911" s="3">
        <v>45</v>
      </c>
      <c r="G2911" s="3">
        <v>0</v>
      </c>
      <c r="H2911" s="3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 s="3">
        <v>7</v>
      </c>
      <c r="N2911" s="3">
        <v>100</v>
      </c>
      <c r="O2911" s="12">
        <v>26.47058823529412</v>
      </c>
    </row>
    <row r="2912" spans="1:15" hidden="1" x14ac:dyDescent="0.25">
      <c r="A2912" s="10">
        <v>46092</v>
      </c>
      <c r="B2912" t="s">
        <v>41</v>
      </c>
      <c r="C2912" s="1" t="s">
        <v>32</v>
      </c>
      <c r="D2912" s="3">
        <v>0</v>
      </c>
      <c r="E2912" s="3">
        <v>0</v>
      </c>
      <c r="F2912" s="3">
        <v>0</v>
      </c>
      <c r="G2912" s="3">
        <v>0</v>
      </c>
      <c r="H2912" s="3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 s="3">
        <v>5</v>
      </c>
      <c r="N2912" s="3">
        <v>100</v>
      </c>
      <c r="O2912" s="12">
        <v>28.490028490028489</v>
      </c>
    </row>
    <row r="2913" spans="1:15" hidden="1" x14ac:dyDescent="0.25">
      <c r="A2913" s="10">
        <v>46092</v>
      </c>
      <c r="B2913" t="s">
        <v>56</v>
      </c>
      <c r="C2913" s="1" t="s">
        <v>48</v>
      </c>
      <c r="D2913" s="3">
        <v>36</v>
      </c>
      <c r="E2913" s="3">
        <v>34</v>
      </c>
      <c r="F2913" s="3">
        <v>17.37</v>
      </c>
      <c r="G2913" s="3">
        <v>0</v>
      </c>
      <c r="H2913" s="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 s="3">
        <v>18</v>
      </c>
      <c r="N2913" s="3">
        <v>99.14</v>
      </c>
      <c r="O2913" s="12">
        <v>27.2289156626506</v>
      </c>
    </row>
    <row r="2914" spans="1:15" hidden="1" x14ac:dyDescent="0.25">
      <c r="A2914" s="10">
        <v>46092</v>
      </c>
      <c r="B2914" t="s">
        <v>57</v>
      </c>
      <c r="C2914" s="1" t="s">
        <v>48</v>
      </c>
      <c r="D2914" s="3">
        <v>29</v>
      </c>
      <c r="E2914" s="3">
        <v>26</v>
      </c>
      <c r="F2914" s="3">
        <v>20.59</v>
      </c>
      <c r="G2914" s="3">
        <v>0</v>
      </c>
      <c r="H2914" s="3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 s="3">
        <v>18</v>
      </c>
      <c r="N2914" s="3">
        <v>97.52</v>
      </c>
      <c r="O2914" s="12">
        <v>28.205128205128201</v>
      </c>
    </row>
    <row r="2915" spans="1:15" hidden="1" x14ac:dyDescent="0.25">
      <c r="A2915" s="10">
        <v>46092</v>
      </c>
      <c r="B2915" t="s">
        <v>42</v>
      </c>
      <c r="C2915" s="1" t="s">
        <v>32</v>
      </c>
      <c r="D2915" s="3">
        <v>60</v>
      </c>
      <c r="E2915" s="3">
        <v>50</v>
      </c>
      <c r="F2915" s="3">
        <v>12.09</v>
      </c>
      <c r="G2915" s="3">
        <v>0</v>
      </c>
      <c r="H2915" s="3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 s="3">
        <v>25</v>
      </c>
      <c r="N2915" s="3">
        <v>90</v>
      </c>
      <c r="O2915" s="12">
        <v>24.186046511627911</v>
      </c>
    </row>
    <row r="2916" spans="1:15" hidden="1" x14ac:dyDescent="0.25">
      <c r="A2916" s="10">
        <v>46092</v>
      </c>
      <c r="B2916" t="s">
        <v>62</v>
      </c>
      <c r="C2916" s="1" t="s">
        <v>23</v>
      </c>
      <c r="D2916" s="3">
        <v>15</v>
      </c>
      <c r="E2916" s="3">
        <v>14</v>
      </c>
      <c r="F2916" s="3">
        <v>38.46</v>
      </c>
      <c r="G2916" s="3">
        <v>0</v>
      </c>
      <c r="H2916" s="3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 s="3">
        <v>12</v>
      </c>
      <c r="N2916" s="3">
        <v>98.9</v>
      </c>
      <c r="O2916" s="12">
        <v>26.763990267639901</v>
      </c>
    </row>
    <row r="2917" spans="1:15" hidden="1" x14ac:dyDescent="0.25">
      <c r="A2917" s="10">
        <v>46092</v>
      </c>
      <c r="B2917" t="s">
        <v>19</v>
      </c>
      <c r="C2917" s="1" t="s">
        <v>16</v>
      </c>
      <c r="D2917" s="3">
        <v>0</v>
      </c>
      <c r="E2917" s="3">
        <v>0</v>
      </c>
      <c r="F2917" s="3">
        <v>0</v>
      </c>
      <c r="G2917" s="3">
        <v>0</v>
      </c>
      <c r="H2917" s="3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 s="3">
        <v>0</v>
      </c>
      <c r="N2917" s="3">
        <v>88.89</v>
      </c>
      <c r="O2917" s="12">
        <v>25.263157894736839</v>
      </c>
    </row>
    <row r="2918" spans="1:15" hidden="1" x14ac:dyDescent="0.25">
      <c r="A2918" s="10">
        <v>46112</v>
      </c>
      <c r="B2918" t="s">
        <v>43</v>
      </c>
      <c r="C2918" s="1" t="s">
        <v>32</v>
      </c>
      <c r="D2918" s="3">
        <v>34</v>
      </c>
      <c r="E2918" s="3">
        <v>30</v>
      </c>
      <c r="F2918" s="3">
        <v>15.39</v>
      </c>
      <c r="G2918" s="3">
        <v>0</v>
      </c>
      <c r="H2918" s="3">
        <v>0</v>
      </c>
      <c r="I2918" s="3">
        <f>E2918+G2918+H2918</f>
        <v>30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30</v>
      </c>
      <c r="K2918" s="3">
        <f>I2918-J2918</f>
        <v>0</v>
      </c>
      <c r="L2918" s="3" t="str">
        <f>IF(K2918&lt;-5,"CRÍTICO",IF(K2918&lt;0,"ATENÇÃO",IF(K2918&lt;=5,"OPORTUNO","MUITO BOM")))</f>
        <v>OPORTUNO</v>
      </c>
      <c r="M2918" s="3">
        <v>28</v>
      </c>
      <c r="N2918" s="3">
        <v>98.86</v>
      </c>
      <c r="O2918" s="12">
        <v>28.959276018099551</v>
      </c>
    </row>
    <row r="2919" spans="1:15" hidden="1" x14ac:dyDescent="0.25">
      <c r="A2919" s="10">
        <v>46092</v>
      </c>
      <c r="B2919" t="s">
        <v>44</v>
      </c>
      <c r="C2919" s="1" t="s">
        <v>32</v>
      </c>
      <c r="D2919" s="3">
        <v>33</v>
      </c>
      <c r="E2919" s="3">
        <v>29</v>
      </c>
      <c r="F2919" s="3">
        <v>17.149999999999999</v>
      </c>
      <c r="G2919" s="3">
        <v>0</v>
      </c>
      <c r="H2919" s="3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 s="3">
        <v>23</v>
      </c>
      <c r="N2919" s="3">
        <v>98.06</v>
      </c>
      <c r="O2919" s="12">
        <v>22.40566037735849</v>
      </c>
    </row>
    <row r="2920" spans="1:15" hidden="1" x14ac:dyDescent="0.25">
      <c r="A2920" s="10">
        <v>46120</v>
      </c>
      <c r="B2920" t="s">
        <v>20</v>
      </c>
      <c r="C2920" s="1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>IF(K2920&lt;-5,"CRÍTICO",IF(K2920&lt;0,"ATENÇÃO",IF(K2920&lt;=5,"OPORTUNO","MUITO BOM")))</f>
        <v>ATENÇÃO</v>
      </c>
      <c r="M2920" s="3">
        <v>2</v>
      </c>
      <c r="N2920" s="3">
        <v>100</v>
      </c>
      <c r="O2920" s="12">
        <v>23.77622377622378</v>
      </c>
    </row>
    <row r="2921" spans="1:15" hidden="1" x14ac:dyDescent="0.25">
      <c r="A2921" s="10">
        <v>46092</v>
      </c>
      <c r="B2921" t="s">
        <v>28</v>
      </c>
      <c r="C2921" s="1" t="s">
        <v>26</v>
      </c>
      <c r="D2921" s="3">
        <v>0</v>
      </c>
      <c r="E2921" s="3">
        <v>0</v>
      </c>
      <c r="F2921" s="3">
        <v>0</v>
      </c>
      <c r="G2921" s="3">
        <v>0</v>
      </c>
      <c r="H2921" s="3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 s="3">
        <v>0</v>
      </c>
      <c r="N2921" s="3">
        <v>100</v>
      </c>
      <c r="O2921" s="12">
        <v>15.38461538461539</v>
      </c>
    </row>
    <row r="2922" spans="1:15" hidden="1" x14ac:dyDescent="0.25">
      <c r="A2922" s="10">
        <v>46092</v>
      </c>
      <c r="B2922" t="s">
        <v>58</v>
      </c>
      <c r="C2922" s="1" t="s">
        <v>48</v>
      </c>
      <c r="D2922" s="3">
        <v>12</v>
      </c>
      <c r="E2922" s="3">
        <v>11</v>
      </c>
      <c r="F2922" s="3">
        <v>20.49</v>
      </c>
      <c r="G2922" s="3">
        <v>0</v>
      </c>
      <c r="H2922" s="3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 s="3">
        <v>9</v>
      </c>
      <c r="N2922" s="3">
        <v>100</v>
      </c>
      <c r="O2922" s="12">
        <v>27.514792899408281</v>
      </c>
    </row>
    <row r="2923" spans="1:15" hidden="1" x14ac:dyDescent="0.25">
      <c r="A2923" s="10">
        <v>46092</v>
      </c>
      <c r="B2923" t="s">
        <v>29</v>
      </c>
      <c r="C2923" s="1" t="s">
        <v>26</v>
      </c>
      <c r="D2923" s="3">
        <v>9</v>
      </c>
      <c r="E2923" s="3">
        <v>8</v>
      </c>
      <c r="F2923" s="3">
        <v>40.11</v>
      </c>
      <c r="G2923" s="3">
        <v>0</v>
      </c>
      <c r="H2923" s="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 s="3">
        <v>7</v>
      </c>
      <c r="N2923" s="3">
        <v>100</v>
      </c>
      <c r="O2923" s="12">
        <v>24.875621890547269</v>
      </c>
    </row>
    <row r="2924" spans="1:15" hidden="1" x14ac:dyDescent="0.25">
      <c r="A2924" s="10">
        <v>46092</v>
      </c>
      <c r="B2924" t="s">
        <v>30</v>
      </c>
      <c r="C2924" s="1" t="s">
        <v>26</v>
      </c>
      <c r="D2924" s="3">
        <v>13</v>
      </c>
      <c r="E2924" s="3">
        <v>13</v>
      </c>
      <c r="F2924" s="3">
        <v>34.159999999999997</v>
      </c>
      <c r="G2924" s="3">
        <v>0</v>
      </c>
      <c r="H2924" s="3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 s="3">
        <v>10</v>
      </c>
      <c r="N2924" s="3">
        <v>100</v>
      </c>
      <c r="O2924" s="12">
        <v>28.108108108108109</v>
      </c>
    </row>
    <row r="2925" spans="1:15" hidden="1" x14ac:dyDescent="0.25">
      <c r="A2925" s="10">
        <v>46120</v>
      </c>
      <c r="B2925" t="s">
        <v>21</v>
      </c>
      <c r="C2925" s="1" t="s">
        <v>16</v>
      </c>
      <c r="D2925" s="3">
        <v>6</v>
      </c>
      <c r="E2925" s="3">
        <v>6</v>
      </c>
      <c r="F2925" s="3">
        <v>30</v>
      </c>
      <c r="G2925" s="3">
        <v>0</v>
      </c>
      <c r="H2925" s="3">
        <v>0</v>
      </c>
      <c r="I2925" s="3">
        <f>E2925+G2925+H2925</f>
        <v>6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9</v>
      </c>
      <c r="K2925" s="3">
        <f>I2925-J2925</f>
        <v>-3</v>
      </c>
      <c r="L2925" s="3" t="str">
        <f>IF(K2925&lt;-5,"CRÍTICO",IF(K2925&lt;0,"ATENÇÃO",IF(K2925&lt;=5,"OPORTUNO","MUITO BOM")))</f>
        <v>ATENÇÃO</v>
      </c>
      <c r="M2925" s="3">
        <v>7</v>
      </c>
      <c r="N2925" s="3">
        <v>94.12</v>
      </c>
      <c r="O2925" s="12">
        <v>32.799999999999997</v>
      </c>
    </row>
    <row r="2926" spans="1:15" hidden="1" x14ac:dyDescent="0.25">
      <c r="A2926" s="10">
        <v>46092</v>
      </c>
      <c r="B2926" t="s">
        <v>63</v>
      </c>
      <c r="C2926" s="1" t="s">
        <v>23</v>
      </c>
      <c r="D2926" s="3">
        <v>34</v>
      </c>
      <c r="E2926" s="3">
        <v>27</v>
      </c>
      <c r="F2926" s="3">
        <v>22.3</v>
      </c>
      <c r="G2926" s="3">
        <v>0</v>
      </c>
      <c r="H2926" s="3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 s="3">
        <v>19</v>
      </c>
      <c r="N2926" s="3">
        <v>95.35</v>
      </c>
      <c r="O2926" s="12">
        <v>28.61538461538461</v>
      </c>
    </row>
    <row r="2927" spans="1:15" hidden="1" x14ac:dyDescent="0.25">
      <c r="A2927" s="10">
        <v>46092</v>
      </c>
      <c r="B2927" t="s">
        <v>45</v>
      </c>
      <c r="C2927" s="1" t="s">
        <v>32</v>
      </c>
      <c r="D2927" s="3">
        <v>49</v>
      </c>
      <c r="E2927" s="3">
        <v>44</v>
      </c>
      <c r="F2927" s="3">
        <v>15.2</v>
      </c>
      <c r="G2927" s="3">
        <v>0</v>
      </c>
      <c r="H2927" s="3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 s="3">
        <v>27</v>
      </c>
      <c r="N2927" s="3">
        <v>98.26</v>
      </c>
      <c r="O2927" s="12">
        <v>27.54491017964072</v>
      </c>
    </row>
    <row r="2928" spans="1:15" hidden="1" x14ac:dyDescent="0.25">
      <c r="A2928" s="10">
        <v>46092</v>
      </c>
      <c r="B2928" t="s">
        <v>64</v>
      </c>
      <c r="C2928" s="1" t="s">
        <v>23</v>
      </c>
      <c r="D2928" s="3">
        <v>17</v>
      </c>
      <c r="E2928" s="3">
        <v>17</v>
      </c>
      <c r="F2928" s="3">
        <v>30.11</v>
      </c>
      <c r="G2928" s="3">
        <v>0</v>
      </c>
      <c r="H2928" s="3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 s="3">
        <v>15</v>
      </c>
      <c r="N2928" s="3">
        <v>98.55</v>
      </c>
      <c r="O2928" s="12">
        <v>25.337837837837839</v>
      </c>
    </row>
    <row r="2929" spans="1:15" hidden="1" x14ac:dyDescent="0.25">
      <c r="A2929" s="10">
        <v>46092</v>
      </c>
      <c r="B2929" t="s">
        <v>46</v>
      </c>
      <c r="C2929" s="1" t="s">
        <v>32</v>
      </c>
      <c r="D2929" s="3">
        <v>37</v>
      </c>
      <c r="E2929" s="3">
        <v>32</v>
      </c>
      <c r="F2929" s="3">
        <v>14.03</v>
      </c>
      <c r="G2929" s="3">
        <v>0</v>
      </c>
      <c r="H2929" s="3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 s="3">
        <v>27</v>
      </c>
      <c r="N2929" s="3">
        <v>98.39</v>
      </c>
      <c r="O2929" s="12">
        <v>25.563909774436091</v>
      </c>
    </row>
    <row r="2930" spans="1:15" hidden="1" x14ac:dyDescent="0.25">
      <c r="A2930" s="10">
        <v>46093</v>
      </c>
      <c r="B2930" t="s">
        <v>47</v>
      </c>
      <c r="C2930" s="1" t="s">
        <v>48</v>
      </c>
      <c r="D2930" s="3">
        <v>14</v>
      </c>
      <c r="E2930" s="3">
        <v>11</v>
      </c>
      <c r="F2930" s="3">
        <v>25.59</v>
      </c>
      <c r="G2930" s="3">
        <v>0</v>
      </c>
      <c r="H2930" s="3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 s="3">
        <v>8</v>
      </c>
      <c r="N2930" s="3">
        <v>94.29</v>
      </c>
      <c r="O2930" s="12">
        <v>25.647668393782389</v>
      </c>
    </row>
    <row r="2931" spans="1:15" hidden="1" x14ac:dyDescent="0.25">
      <c r="A2931" s="10">
        <v>46093</v>
      </c>
      <c r="B2931" t="s">
        <v>31</v>
      </c>
      <c r="C2931" s="1" t="s">
        <v>32</v>
      </c>
      <c r="D2931" s="3">
        <v>0</v>
      </c>
      <c r="E2931" s="3">
        <v>0</v>
      </c>
      <c r="F2931" s="3">
        <v>0</v>
      </c>
      <c r="G2931" s="3">
        <v>0</v>
      </c>
      <c r="H2931" s="3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 s="3">
        <v>22</v>
      </c>
      <c r="N2931" s="3">
        <v>98.26</v>
      </c>
      <c r="O2931" s="12">
        <v>26.666666666666671</v>
      </c>
    </row>
    <row r="2932" spans="1:15" hidden="1" x14ac:dyDescent="0.25">
      <c r="A2932" s="10">
        <v>46093</v>
      </c>
      <c r="B2932" t="s">
        <v>59</v>
      </c>
      <c r="C2932" s="1" t="s">
        <v>23</v>
      </c>
      <c r="D2932" s="3">
        <v>20</v>
      </c>
      <c r="E2932" s="3">
        <v>17</v>
      </c>
      <c r="F2932" s="3">
        <v>28.43</v>
      </c>
      <c r="G2932" s="3">
        <v>0</v>
      </c>
      <c r="H2932" s="3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 s="3">
        <v>15</v>
      </c>
      <c r="N2932" s="3">
        <v>98.2</v>
      </c>
      <c r="O2932" s="12">
        <v>23.37962962962963</v>
      </c>
    </row>
    <row r="2933" spans="1:15" hidden="1" x14ac:dyDescent="0.25">
      <c r="A2933" s="10">
        <v>46093</v>
      </c>
      <c r="B2933" t="s">
        <v>33</v>
      </c>
      <c r="C2933" s="1" t="s">
        <v>32</v>
      </c>
      <c r="D2933" s="3">
        <v>26</v>
      </c>
      <c r="E2933" s="3">
        <v>24</v>
      </c>
      <c r="F2933" s="3">
        <v>20.03</v>
      </c>
      <c r="G2933" s="3">
        <v>0</v>
      </c>
      <c r="H2933" s="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 s="3">
        <v>23</v>
      </c>
      <c r="N2933" s="3">
        <v>97.3</v>
      </c>
      <c r="O2933" s="12">
        <v>23.84769539078156</v>
      </c>
    </row>
    <row r="2934" spans="1:15" hidden="1" x14ac:dyDescent="0.25">
      <c r="A2934" s="10">
        <v>46093</v>
      </c>
      <c r="B2934" t="s">
        <v>15</v>
      </c>
      <c r="C2934" s="1" t="s">
        <v>16</v>
      </c>
      <c r="D2934" s="3">
        <v>11</v>
      </c>
      <c r="E2934" s="3">
        <v>10</v>
      </c>
      <c r="F2934" s="3">
        <v>30.13</v>
      </c>
      <c r="G2934" s="3">
        <v>0</v>
      </c>
      <c r="H2934" s="3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 s="3">
        <v>8</v>
      </c>
      <c r="N2934" s="3">
        <v>100</v>
      </c>
      <c r="O2934" s="12">
        <v>25.268817204301079</v>
      </c>
    </row>
    <row r="2935" spans="1:15" hidden="1" x14ac:dyDescent="0.25">
      <c r="A2935" s="10">
        <v>46093</v>
      </c>
      <c r="B2935" t="s">
        <v>49</v>
      </c>
      <c r="C2935" s="1" t="s">
        <v>48</v>
      </c>
      <c r="D2935" s="3">
        <v>37</v>
      </c>
      <c r="E2935" s="3">
        <v>35</v>
      </c>
      <c r="F2935" s="3">
        <v>18.510000000000002</v>
      </c>
      <c r="G2935" s="3">
        <v>0</v>
      </c>
      <c r="H2935" s="3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 s="3">
        <v>34</v>
      </c>
      <c r="N2935" s="3">
        <v>99.32</v>
      </c>
      <c r="O2935" s="12">
        <v>22.822822822822818</v>
      </c>
    </row>
    <row r="2936" spans="1:15" hidden="1" x14ac:dyDescent="0.25">
      <c r="A2936" s="10">
        <v>46093</v>
      </c>
      <c r="B2936" t="s">
        <v>50</v>
      </c>
      <c r="C2936" s="1" t="s">
        <v>48</v>
      </c>
      <c r="D2936" s="3">
        <v>9</v>
      </c>
      <c r="E2936" s="3">
        <v>9</v>
      </c>
      <c r="F2936" s="3">
        <v>56.55</v>
      </c>
      <c r="G2936" s="3">
        <v>0</v>
      </c>
      <c r="H2936" s="3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 s="3">
        <v>13</v>
      </c>
      <c r="N2936" s="3">
        <v>100</v>
      </c>
      <c r="O2936" s="12">
        <v>27.966101694915249</v>
      </c>
    </row>
    <row r="2937" spans="1:15" hidden="1" x14ac:dyDescent="0.25">
      <c r="A2937" s="10">
        <v>46093</v>
      </c>
      <c r="B2937" t="s">
        <v>17</v>
      </c>
      <c r="C2937" s="1" t="s">
        <v>16</v>
      </c>
      <c r="D2937" s="3">
        <v>0</v>
      </c>
      <c r="E2937" s="3">
        <v>0</v>
      </c>
      <c r="F2937" s="3">
        <v>0</v>
      </c>
      <c r="G2937" s="3">
        <v>0</v>
      </c>
      <c r="H2937" s="3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 s="3">
        <v>0</v>
      </c>
      <c r="N2937" s="3">
        <v>100</v>
      </c>
      <c r="O2937" s="12">
        <v>30.434782608695659</v>
      </c>
    </row>
    <row r="2938" spans="1:15" hidden="1" x14ac:dyDescent="0.25">
      <c r="A2938" s="10">
        <v>46093</v>
      </c>
      <c r="B2938" t="s">
        <v>60</v>
      </c>
      <c r="C2938" s="1" t="s">
        <v>23</v>
      </c>
      <c r="D2938" s="3">
        <v>15</v>
      </c>
      <c r="E2938" s="3">
        <v>14</v>
      </c>
      <c r="F2938" s="3">
        <v>35.049999999999997</v>
      </c>
      <c r="G2938" s="3">
        <v>0</v>
      </c>
      <c r="H2938" s="3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 s="3">
        <v>14</v>
      </c>
      <c r="N2938" s="3">
        <v>96.51</v>
      </c>
      <c r="O2938" s="12">
        <v>22.802850356294542</v>
      </c>
    </row>
    <row r="2939" spans="1:15" hidden="1" x14ac:dyDescent="0.25">
      <c r="A2939" s="10">
        <v>46093</v>
      </c>
      <c r="B2939" t="s">
        <v>34</v>
      </c>
      <c r="C2939" s="1" t="s">
        <v>32</v>
      </c>
      <c r="D2939" s="3">
        <v>0</v>
      </c>
      <c r="E2939" s="3">
        <v>0</v>
      </c>
      <c r="F2939" s="3">
        <v>0</v>
      </c>
      <c r="G2939" s="3">
        <v>0</v>
      </c>
      <c r="H2939" s="3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 s="3">
        <v>12</v>
      </c>
      <c r="N2939" s="3">
        <v>92.68</v>
      </c>
      <c r="O2939" s="12">
        <v>27.777777777777779</v>
      </c>
    </row>
    <row r="2940" spans="1:15" hidden="1" x14ac:dyDescent="0.25">
      <c r="A2940" s="10">
        <v>46093</v>
      </c>
      <c r="B2940" t="s">
        <v>51</v>
      </c>
      <c r="C2940" s="1" t="s">
        <v>48</v>
      </c>
      <c r="D2940" s="3">
        <v>30</v>
      </c>
      <c r="E2940" s="3">
        <v>28</v>
      </c>
      <c r="F2940" s="3">
        <v>20.079999999999998</v>
      </c>
      <c r="G2940" s="3">
        <v>0</v>
      </c>
      <c r="H2940" s="3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 s="3">
        <v>25</v>
      </c>
      <c r="N2940" s="3">
        <v>99.03</v>
      </c>
      <c r="O2940" s="12">
        <v>23.991507430997881</v>
      </c>
    </row>
    <row r="2941" spans="1:15" hidden="1" x14ac:dyDescent="0.25">
      <c r="A2941" s="10">
        <v>46093</v>
      </c>
      <c r="B2941" t="s">
        <v>61</v>
      </c>
      <c r="C2941" s="1" t="s">
        <v>23</v>
      </c>
      <c r="D2941" s="3">
        <v>27</v>
      </c>
      <c r="E2941" s="3">
        <v>26</v>
      </c>
      <c r="F2941" s="3">
        <v>25.51</v>
      </c>
      <c r="G2941" s="3">
        <v>0</v>
      </c>
      <c r="H2941" s="3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 s="3">
        <v>13</v>
      </c>
      <c r="N2941" s="3">
        <v>98.41</v>
      </c>
      <c r="O2941" s="12">
        <v>28.138528138528141</v>
      </c>
    </row>
    <row r="2942" spans="1:15" hidden="1" x14ac:dyDescent="0.25">
      <c r="A2942" s="10">
        <v>46093</v>
      </c>
      <c r="B2942" t="s">
        <v>35</v>
      </c>
      <c r="C2942" s="1" t="s">
        <v>32</v>
      </c>
      <c r="D2942" s="3">
        <v>29</v>
      </c>
      <c r="E2942" s="3">
        <v>28</v>
      </c>
      <c r="F2942" s="3">
        <v>25.59</v>
      </c>
      <c r="G2942" s="3">
        <v>0</v>
      </c>
      <c r="H2942" s="3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 s="3">
        <v>29</v>
      </c>
      <c r="N2942" s="3">
        <v>98.73</v>
      </c>
      <c r="O2942" s="12">
        <v>29.142857142857139</v>
      </c>
    </row>
    <row r="2943" spans="1:15" hidden="1" x14ac:dyDescent="0.25">
      <c r="A2943" s="10">
        <v>46093</v>
      </c>
      <c r="B2943" t="s">
        <v>18</v>
      </c>
      <c r="C2943" s="1" t="s">
        <v>16</v>
      </c>
      <c r="D2943" s="3">
        <v>10</v>
      </c>
      <c r="E2943" s="3">
        <v>9</v>
      </c>
      <c r="F2943" s="3">
        <v>37.200000000000003</v>
      </c>
      <c r="G2943" s="3">
        <v>0</v>
      </c>
      <c r="H2943" s="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 s="3">
        <v>7</v>
      </c>
      <c r="N2943" s="3">
        <v>90.48</v>
      </c>
      <c r="O2943" s="12">
        <v>20.68965517241379</v>
      </c>
    </row>
    <row r="2944" spans="1:15" hidden="1" x14ac:dyDescent="0.25">
      <c r="A2944" s="10">
        <v>46093</v>
      </c>
      <c r="B2944" t="s">
        <v>52</v>
      </c>
      <c r="C2944" s="1" t="s">
        <v>48</v>
      </c>
      <c r="D2944" s="3">
        <v>24</v>
      </c>
      <c r="E2944" s="3">
        <v>24</v>
      </c>
      <c r="F2944" s="3">
        <v>29.17</v>
      </c>
      <c r="G2944" s="3">
        <v>0</v>
      </c>
      <c r="H2944" s="3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 s="3">
        <v>19</v>
      </c>
      <c r="N2944" s="3">
        <v>98.06</v>
      </c>
      <c r="O2944" s="12">
        <v>24.789915966386559</v>
      </c>
    </row>
    <row r="2945" spans="1:15" hidden="1" x14ac:dyDescent="0.25">
      <c r="A2945" s="10">
        <v>46093</v>
      </c>
      <c r="B2945" t="s">
        <v>36</v>
      </c>
      <c r="C2945" s="1" t="s">
        <v>32</v>
      </c>
      <c r="D2945" s="3">
        <v>27</v>
      </c>
      <c r="E2945" s="3">
        <v>27</v>
      </c>
      <c r="F2945" s="3">
        <v>20.309999999999999</v>
      </c>
      <c r="G2945" s="3">
        <v>0</v>
      </c>
      <c r="H2945" s="3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 s="3">
        <v>27</v>
      </c>
      <c r="N2945" s="3">
        <v>97.78</v>
      </c>
      <c r="O2945" s="12">
        <v>25.494071146245059</v>
      </c>
    </row>
    <row r="2946" spans="1:15" hidden="1" x14ac:dyDescent="0.25">
      <c r="A2946" s="10">
        <v>46093</v>
      </c>
      <c r="B2946" t="s">
        <v>53</v>
      </c>
      <c r="C2946" s="1" t="s">
        <v>48</v>
      </c>
      <c r="D2946" s="3">
        <v>28</v>
      </c>
      <c r="E2946" s="3">
        <v>25</v>
      </c>
      <c r="F2946" s="3">
        <v>26.46</v>
      </c>
      <c r="G2946" s="3">
        <v>0</v>
      </c>
      <c r="H2946" s="3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 s="3">
        <v>20</v>
      </c>
      <c r="N2946" s="3">
        <v>98.02</v>
      </c>
      <c r="O2946" s="12">
        <v>23.484848484848481</v>
      </c>
    </row>
    <row r="2947" spans="1:15" hidden="1" x14ac:dyDescent="0.25">
      <c r="A2947" s="10">
        <v>46127</v>
      </c>
      <c r="B2947" t="s">
        <v>22</v>
      </c>
      <c r="C2947" s="1" t="s">
        <v>23</v>
      </c>
      <c r="D2947" s="3">
        <v>44</v>
      </c>
      <c r="E2947" s="3">
        <v>38</v>
      </c>
      <c r="F2947" s="3">
        <v>12.23</v>
      </c>
      <c r="G2947" s="3">
        <v>0</v>
      </c>
      <c r="H2947" s="3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 s="3">
        <v>39</v>
      </c>
      <c r="N2947" s="3">
        <v>99.28</v>
      </c>
      <c r="O2947" s="12">
        <v>27.689243027888441</v>
      </c>
    </row>
    <row r="2948" spans="1:15" hidden="1" x14ac:dyDescent="0.25">
      <c r="A2948" s="10">
        <v>46093</v>
      </c>
      <c r="B2948" t="s">
        <v>54</v>
      </c>
      <c r="C2948" s="1" t="s">
        <v>48</v>
      </c>
      <c r="D2948" s="3">
        <v>23</v>
      </c>
      <c r="E2948" s="3">
        <v>21</v>
      </c>
      <c r="F2948" s="3">
        <v>22.1</v>
      </c>
      <c r="G2948" s="3">
        <v>0</v>
      </c>
      <c r="H2948" s="3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 s="3">
        <v>17</v>
      </c>
      <c r="N2948" s="3">
        <v>100</v>
      </c>
      <c r="O2948" s="12">
        <v>27.04918032786885</v>
      </c>
    </row>
    <row r="2949" spans="1:15" hidden="1" x14ac:dyDescent="0.25">
      <c r="A2949" s="10">
        <v>46093</v>
      </c>
      <c r="B2949" t="s">
        <v>37</v>
      </c>
      <c r="C2949" s="1" t="s">
        <v>32</v>
      </c>
      <c r="D2949" s="3">
        <v>46</v>
      </c>
      <c r="E2949" s="3">
        <v>42</v>
      </c>
      <c r="F2949" s="3">
        <v>11.51</v>
      </c>
      <c r="G2949" s="3">
        <v>0</v>
      </c>
      <c r="H2949" s="3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 s="3">
        <v>39</v>
      </c>
      <c r="N2949" s="3">
        <v>97.83</v>
      </c>
      <c r="O2949" s="12">
        <v>26.315789473684209</v>
      </c>
    </row>
    <row r="2950" spans="1:15" hidden="1" x14ac:dyDescent="0.25">
      <c r="A2950" s="10">
        <v>46093</v>
      </c>
      <c r="B2950" t="s">
        <v>38</v>
      </c>
      <c r="C2950" s="1" t="s">
        <v>32</v>
      </c>
      <c r="D2950" s="3">
        <v>0</v>
      </c>
      <c r="E2950" s="3">
        <v>0</v>
      </c>
      <c r="F2950" s="3">
        <v>0</v>
      </c>
      <c r="G2950" s="3">
        <v>0</v>
      </c>
      <c r="H2950" s="3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 s="3">
        <v>6</v>
      </c>
      <c r="N2950" s="3">
        <v>100</v>
      </c>
      <c r="O2950" s="12">
        <v>26.701570680628269</v>
      </c>
    </row>
    <row r="2951" spans="1:15" hidden="1" x14ac:dyDescent="0.25">
      <c r="A2951" s="10">
        <v>46093</v>
      </c>
      <c r="B2951" t="s">
        <v>55</v>
      </c>
      <c r="C2951" s="1" t="s">
        <v>48</v>
      </c>
      <c r="D2951" s="3">
        <v>28</v>
      </c>
      <c r="E2951" s="3">
        <v>23</v>
      </c>
      <c r="F2951" s="3">
        <v>18.52</v>
      </c>
      <c r="G2951" s="3">
        <v>0</v>
      </c>
      <c r="H2951" s="3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 s="3">
        <v>21</v>
      </c>
      <c r="N2951" s="3">
        <v>97.47</v>
      </c>
      <c r="O2951" s="12">
        <v>22.887323943661968</v>
      </c>
    </row>
    <row r="2952" spans="1:15" hidden="1" x14ac:dyDescent="0.25">
      <c r="A2952" s="10">
        <v>46093</v>
      </c>
      <c r="B2952" t="s">
        <v>39</v>
      </c>
      <c r="C2952" s="1" t="s">
        <v>32</v>
      </c>
      <c r="D2952" s="3">
        <v>0</v>
      </c>
      <c r="E2952" s="3">
        <v>0</v>
      </c>
      <c r="F2952" s="3">
        <v>0</v>
      </c>
      <c r="G2952" s="3">
        <v>0</v>
      </c>
      <c r="H2952" s="3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 s="3">
        <v>0</v>
      </c>
      <c r="N2952" s="3">
        <v>0</v>
      </c>
      <c r="O2952" s="12">
        <v>0</v>
      </c>
    </row>
    <row r="2953" spans="1:15" hidden="1" x14ac:dyDescent="0.25">
      <c r="A2953" s="10">
        <v>46093</v>
      </c>
      <c r="B2953" t="s">
        <v>25</v>
      </c>
      <c r="C2953" s="1" t="s">
        <v>26</v>
      </c>
      <c r="D2953" s="3">
        <v>12</v>
      </c>
      <c r="E2953" s="3">
        <v>11</v>
      </c>
      <c r="F2953" s="3">
        <v>27.26</v>
      </c>
      <c r="G2953" s="3">
        <v>0</v>
      </c>
      <c r="H2953" s="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 s="3">
        <v>10</v>
      </c>
      <c r="N2953" s="3">
        <v>98.31</v>
      </c>
      <c r="O2953" s="12">
        <v>24.920127795527151</v>
      </c>
    </row>
    <row r="2954" spans="1:15" hidden="1" x14ac:dyDescent="0.25">
      <c r="A2954" s="10">
        <v>46093</v>
      </c>
      <c r="B2954" t="s">
        <v>40</v>
      </c>
      <c r="C2954" s="1" t="s">
        <v>32</v>
      </c>
      <c r="D2954" s="3">
        <v>0</v>
      </c>
      <c r="E2954" s="3">
        <v>0</v>
      </c>
      <c r="F2954" s="3">
        <v>0</v>
      </c>
      <c r="G2954" s="3">
        <v>0</v>
      </c>
      <c r="H2954" s="3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 s="3">
        <v>1</v>
      </c>
      <c r="N2954" s="3">
        <v>96.81</v>
      </c>
      <c r="O2954" s="12">
        <v>32.365145228215773</v>
      </c>
    </row>
    <row r="2955" spans="1:15" hidden="1" x14ac:dyDescent="0.25">
      <c r="A2955" s="10">
        <v>46093</v>
      </c>
      <c r="B2955" t="s">
        <v>27</v>
      </c>
      <c r="C2955" s="1" t="s">
        <v>26</v>
      </c>
      <c r="D2955" s="3">
        <v>13</v>
      </c>
      <c r="E2955" s="3">
        <v>12</v>
      </c>
      <c r="F2955" s="3">
        <v>43.58</v>
      </c>
      <c r="G2955" s="3">
        <v>0</v>
      </c>
      <c r="H2955" s="3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 s="3">
        <v>7</v>
      </c>
      <c r="N2955" s="3">
        <v>100</v>
      </c>
      <c r="O2955" s="12">
        <v>26.47058823529412</v>
      </c>
    </row>
    <row r="2956" spans="1:15" hidden="1" x14ac:dyDescent="0.25">
      <c r="A2956" s="10">
        <v>46093</v>
      </c>
      <c r="B2956" t="s">
        <v>41</v>
      </c>
      <c r="C2956" s="1" t="s">
        <v>32</v>
      </c>
      <c r="D2956" s="3">
        <v>0</v>
      </c>
      <c r="E2956" s="3">
        <v>0</v>
      </c>
      <c r="F2956" s="3">
        <v>0</v>
      </c>
      <c r="G2956" s="3">
        <v>0</v>
      </c>
      <c r="H2956" s="3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 s="3">
        <v>8</v>
      </c>
      <c r="N2956" s="3">
        <v>100</v>
      </c>
      <c r="O2956" s="12">
        <v>28.490028490028489</v>
      </c>
    </row>
    <row r="2957" spans="1:15" hidden="1" x14ac:dyDescent="0.25">
      <c r="A2957" s="10">
        <v>46093</v>
      </c>
      <c r="B2957" t="s">
        <v>56</v>
      </c>
      <c r="C2957" s="1" t="s">
        <v>48</v>
      </c>
      <c r="D2957" s="3">
        <v>16</v>
      </c>
      <c r="E2957" s="3">
        <v>14</v>
      </c>
      <c r="F2957" s="3">
        <v>38.26</v>
      </c>
      <c r="G2957" s="3">
        <v>0</v>
      </c>
      <c r="H2957" s="3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 s="3">
        <v>14</v>
      </c>
      <c r="N2957" s="3">
        <v>99.14</v>
      </c>
      <c r="O2957" s="12">
        <v>27.2289156626506</v>
      </c>
    </row>
    <row r="2958" spans="1:15" hidden="1" x14ac:dyDescent="0.25">
      <c r="A2958" s="10">
        <v>46093</v>
      </c>
      <c r="B2958" t="s">
        <v>57</v>
      </c>
      <c r="C2958" s="1" t="s">
        <v>48</v>
      </c>
      <c r="D2958" s="3">
        <v>16</v>
      </c>
      <c r="E2958" s="3">
        <v>16</v>
      </c>
      <c r="F2958" s="3">
        <v>33.42</v>
      </c>
      <c r="G2958" s="3">
        <v>0</v>
      </c>
      <c r="H2958" s="3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 s="3">
        <v>16</v>
      </c>
      <c r="N2958" s="3">
        <v>97.52</v>
      </c>
      <c r="O2958" s="12">
        <v>28.205128205128201</v>
      </c>
    </row>
    <row r="2959" spans="1:15" hidden="1" x14ac:dyDescent="0.25">
      <c r="A2959" s="10">
        <v>46093</v>
      </c>
      <c r="B2959" t="s">
        <v>42</v>
      </c>
      <c r="C2959" s="1" t="s">
        <v>32</v>
      </c>
      <c r="D2959" s="3">
        <v>24</v>
      </c>
      <c r="E2959" s="3">
        <v>21</v>
      </c>
      <c r="F2959" s="3">
        <v>29.1</v>
      </c>
      <c r="G2959" s="3">
        <v>0</v>
      </c>
      <c r="H2959" s="3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 s="3">
        <v>17</v>
      </c>
      <c r="N2959" s="3">
        <v>90</v>
      </c>
      <c r="O2959" s="12">
        <v>24.186046511627911</v>
      </c>
    </row>
    <row r="2960" spans="1:15" hidden="1" x14ac:dyDescent="0.25">
      <c r="A2960" s="10">
        <v>46093</v>
      </c>
      <c r="B2960" t="s">
        <v>62</v>
      </c>
      <c r="C2960" s="1" t="s">
        <v>23</v>
      </c>
      <c r="D2960" s="3">
        <v>22</v>
      </c>
      <c r="E2960" s="3">
        <v>21</v>
      </c>
      <c r="F2960" s="3">
        <v>20.32</v>
      </c>
      <c r="G2960" s="3">
        <v>0</v>
      </c>
      <c r="H2960" s="3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 s="3">
        <v>17</v>
      </c>
      <c r="N2960" s="3">
        <v>98.9</v>
      </c>
      <c r="O2960" s="12">
        <v>26.763990267639901</v>
      </c>
    </row>
    <row r="2961" spans="1:15" hidden="1" x14ac:dyDescent="0.25">
      <c r="A2961" s="10">
        <v>46093</v>
      </c>
      <c r="B2961" t="s">
        <v>19</v>
      </c>
      <c r="C2961" s="1" t="s">
        <v>16</v>
      </c>
      <c r="D2961" s="3">
        <v>4</v>
      </c>
      <c r="E2961" s="3">
        <v>4</v>
      </c>
      <c r="F2961" s="3">
        <v>85.44</v>
      </c>
      <c r="G2961" s="3">
        <v>0</v>
      </c>
      <c r="H2961" s="3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 s="3">
        <v>3</v>
      </c>
      <c r="N2961" s="3">
        <v>88.89</v>
      </c>
      <c r="O2961" s="12">
        <v>25.263157894736839</v>
      </c>
    </row>
    <row r="2962" spans="1:15" hidden="1" x14ac:dyDescent="0.25">
      <c r="A2962" s="10">
        <v>46113</v>
      </c>
      <c r="B2962" t="s">
        <v>43</v>
      </c>
      <c r="C2962" s="1" t="s">
        <v>32</v>
      </c>
      <c r="D2962" s="3">
        <v>50</v>
      </c>
      <c r="E2962" s="3">
        <v>48</v>
      </c>
      <c r="F2962" s="3">
        <v>12.04</v>
      </c>
      <c r="G2962" s="3">
        <v>0</v>
      </c>
      <c r="H2962" s="3">
        <v>0</v>
      </c>
      <c r="I2962" s="3">
        <f>E2962+G2962+H2962</f>
        <v>48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32</v>
      </c>
      <c r="K2962" s="3">
        <f>I2962-J2962</f>
        <v>16</v>
      </c>
      <c r="L2962" s="3" t="str">
        <f>IF(K2962&lt;-5,"CRÍTICO",IF(K2962&lt;0,"ATENÇÃO",IF(K2962&lt;=5,"OPORTUNO","MUITO BOM")))</f>
        <v>MUITO BOM</v>
      </c>
      <c r="M2962" s="3">
        <v>47</v>
      </c>
      <c r="N2962" s="3">
        <v>100</v>
      </c>
      <c r="O2962" s="12">
        <v>23.9870340356564</v>
      </c>
    </row>
    <row r="2963" spans="1:15" hidden="1" x14ac:dyDescent="0.25">
      <c r="A2963" s="10">
        <v>46093</v>
      </c>
      <c r="B2963" t="s">
        <v>44</v>
      </c>
      <c r="C2963" s="1" t="s">
        <v>32</v>
      </c>
      <c r="D2963" s="3">
        <v>33</v>
      </c>
      <c r="E2963" s="3">
        <v>26</v>
      </c>
      <c r="F2963" s="3">
        <v>12.22</v>
      </c>
      <c r="G2963" s="3">
        <v>0</v>
      </c>
      <c r="H2963" s="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 s="3">
        <v>22</v>
      </c>
      <c r="N2963" s="3">
        <v>98.06</v>
      </c>
      <c r="O2963" s="12">
        <v>22.40566037735849</v>
      </c>
    </row>
    <row r="2964" spans="1:15" hidden="1" x14ac:dyDescent="0.25">
      <c r="A2964" s="10">
        <v>46121</v>
      </c>
      <c r="B2964" t="s">
        <v>20</v>
      </c>
      <c r="C2964" s="1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>E2964+G2964+H2964</f>
        <v>12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7</v>
      </c>
      <c r="K2964" s="3">
        <f>I2964-J2964</f>
        <v>5</v>
      </c>
      <c r="L2964" s="3" t="str">
        <f>IF(K2964&lt;-5,"CRÍTICO",IF(K2964&lt;0,"ATENÇÃO",IF(K2964&lt;=5,"OPORTUNO","MUITO BOM")))</f>
        <v>OPORTUNO</v>
      </c>
      <c r="M2964" s="3">
        <v>8</v>
      </c>
      <c r="N2964" s="3">
        <v>100</v>
      </c>
      <c r="O2964" s="12">
        <v>23.77622377622378</v>
      </c>
    </row>
    <row r="2965" spans="1:15" hidden="1" x14ac:dyDescent="0.25">
      <c r="A2965" s="10">
        <v>46093</v>
      </c>
      <c r="B2965" t="s">
        <v>28</v>
      </c>
      <c r="C2965" s="1" t="s">
        <v>26</v>
      </c>
      <c r="D2965" s="3">
        <v>0</v>
      </c>
      <c r="E2965" s="3">
        <v>0</v>
      </c>
      <c r="F2965" s="3">
        <v>0</v>
      </c>
      <c r="G2965" s="3">
        <v>0</v>
      </c>
      <c r="H2965" s="3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 s="3">
        <v>0</v>
      </c>
      <c r="N2965" s="3">
        <v>100</v>
      </c>
      <c r="O2965" s="12">
        <v>15.38461538461539</v>
      </c>
    </row>
    <row r="2966" spans="1:15" hidden="1" x14ac:dyDescent="0.25">
      <c r="A2966" s="10">
        <v>46093</v>
      </c>
      <c r="B2966" t="s">
        <v>58</v>
      </c>
      <c r="C2966" s="1" t="s">
        <v>48</v>
      </c>
      <c r="D2966" s="3">
        <v>13</v>
      </c>
      <c r="E2966" s="3">
        <v>12</v>
      </c>
      <c r="F2966" s="3">
        <v>25.35</v>
      </c>
      <c r="G2966" s="3">
        <v>0</v>
      </c>
      <c r="H2966" s="3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 s="3">
        <v>11</v>
      </c>
      <c r="N2966" s="3">
        <v>100</v>
      </c>
      <c r="O2966" s="12">
        <v>27.514792899408281</v>
      </c>
    </row>
    <row r="2967" spans="1:15" hidden="1" x14ac:dyDescent="0.25">
      <c r="A2967" s="10">
        <v>46093</v>
      </c>
      <c r="B2967" t="s">
        <v>29</v>
      </c>
      <c r="C2967" s="1" t="s">
        <v>26</v>
      </c>
      <c r="D2967" s="3">
        <v>14</v>
      </c>
      <c r="E2967" s="3">
        <v>11</v>
      </c>
      <c r="F2967" s="3">
        <v>18.59</v>
      </c>
      <c r="G2967" s="3">
        <v>0</v>
      </c>
      <c r="H2967" s="3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 s="3">
        <v>10</v>
      </c>
      <c r="N2967" s="3">
        <v>100</v>
      </c>
      <c r="O2967" s="12">
        <v>24.875621890547269</v>
      </c>
    </row>
    <row r="2968" spans="1:15" hidden="1" x14ac:dyDescent="0.25">
      <c r="A2968" s="10">
        <v>46093</v>
      </c>
      <c r="B2968" t="s">
        <v>30</v>
      </c>
      <c r="C2968" s="1" t="s">
        <v>26</v>
      </c>
      <c r="D2968" s="3">
        <v>11</v>
      </c>
      <c r="E2968" s="3">
        <v>11</v>
      </c>
      <c r="F2968" s="3">
        <v>52.06</v>
      </c>
      <c r="G2968" s="3">
        <v>0</v>
      </c>
      <c r="H2968" s="3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 s="3">
        <v>6</v>
      </c>
      <c r="N2968" s="3">
        <v>100</v>
      </c>
      <c r="O2968" s="12">
        <v>28.108108108108109</v>
      </c>
    </row>
    <row r="2969" spans="1:15" hidden="1" x14ac:dyDescent="0.25">
      <c r="A2969" s="10">
        <v>46121</v>
      </c>
      <c r="B2969" t="s">
        <v>21</v>
      </c>
      <c r="C2969" s="1" t="s">
        <v>16</v>
      </c>
      <c r="D2969" s="3">
        <v>6</v>
      </c>
      <c r="E2969" s="3">
        <v>6</v>
      </c>
      <c r="F2969" s="3">
        <v>27.12</v>
      </c>
      <c r="G2969" s="3">
        <v>0</v>
      </c>
      <c r="H2969" s="3">
        <v>0</v>
      </c>
      <c r="I2969" s="3">
        <f>E2969+G2969+H2969</f>
        <v>6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7</v>
      </c>
      <c r="K2969" s="3">
        <f>I2969-J2969</f>
        <v>-1</v>
      </c>
      <c r="L2969" s="3" t="str">
        <f>IF(K2969&lt;-5,"CRÍTICO",IF(K2969&lt;0,"ATENÇÃO",IF(K2969&lt;=5,"OPORTUNO","MUITO BOM")))</f>
        <v>ATENÇÃO</v>
      </c>
      <c r="M2969" s="3">
        <v>4</v>
      </c>
      <c r="N2969" s="3">
        <v>94.12</v>
      </c>
      <c r="O2969" s="12">
        <v>32.799999999999997</v>
      </c>
    </row>
    <row r="2970" spans="1:15" hidden="1" x14ac:dyDescent="0.25">
      <c r="A2970" s="10">
        <v>46093</v>
      </c>
      <c r="B2970" t="s">
        <v>63</v>
      </c>
      <c r="C2970" s="1" t="s">
        <v>23</v>
      </c>
      <c r="D2970" s="3">
        <v>25</v>
      </c>
      <c r="E2970" s="3">
        <v>25</v>
      </c>
      <c r="F2970" s="3">
        <v>28.46</v>
      </c>
      <c r="G2970" s="3">
        <v>0</v>
      </c>
      <c r="H2970" s="3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 s="3">
        <v>21</v>
      </c>
      <c r="N2970" s="3">
        <v>95.35</v>
      </c>
      <c r="O2970" s="12">
        <v>28.61538461538461</v>
      </c>
    </row>
    <row r="2971" spans="1:15" hidden="1" x14ac:dyDescent="0.25">
      <c r="A2971" s="10">
        <v>46093</v>
      </c>
      <c r="B2971" t="s">
        <v>45</v>
      </c>
      <c r="C2971" s="1" t="s">
        <v>32</v>
      </c>
      <c r="D2971" s="3">
        <v>45</v>
      </c>
      <c r="E2971" s="3">
        <v>42</v>
      </c>
      <c r="F2971" s="3">
        <v>13.5</v>
      </c>
      <c r="G2971" s="3">
        <v>0</v>
      </c>
      <c r="H2971" s="3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 s="3">
        <v>34</v>
      </c>
      <c r="N2971" s="3">
        <v>98.26</v>
      </c>
      <c r="O2971" s="12">
        <v>27.54491017964072</v>
      </c>
    </row>
    <row r="2972" spans="1:15" hidden="1" x14ac:dyDescent="0.25">
      <c r="A2972" s="10">
        <v>46093</v>
      </c>
      <c r="B2972" t="s">
        <v>64</v>
      </c>
      <c r="C2972" s="1" t="s">
        <v>23</v>
      </c>
      <c r="D2972" s="3">
        <v>17</v>
      </c>
      <c r="E2972" s="3">
        <v>16</v>
      </c>
      <c r="F2972" s="3">
        <v>28.36</v>
      </c>
      <c r="G2972" s="3">
        <v>0</v>
      </c>
      <c r="H2972" s="3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 s="3">
        <v>16</v>
      </c>
      <c r="N2972" s="3">
        <v>98.55</v>
      </c>
      <c r="O2972" s="12">
        <v>25.337837837837839</v>
      </c>
    </row>
    <row r="2973" spans="1:15" hidden="1" x14ac:dyDescent="0.25">
      <c r="A2973" s="10">
        <v>46093</v>
      </c>
      <c r="B2973" t="s">
        <v>46</v>
      </c>
      <c r="C2973" s="1" t="s">
        <v>32</v>
      </c>
      <c r="D2973" s="3">
        <v>40</v>
      </c>
      <c r="E2973" s="3">
        <v>35</v>
      </c>
      <c r="F2973" s="3">
        <v>15.18</v>
      </c>
      <c r="G2973" s="3">
        <v>0</v>
      </c>
      <c r="H2973" s="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 s="3">
        <v>28</v>
      </c>
      <c r="N2973" s="3">
        <v>98.39</v>
      </c>
      <c r="O2973" s="12">
        <v>25.563909774436091</v>
      </c>
    </row>
    <row r="2974" spans="1:15" hidden="1" x14ac:dyDescent="0.25">
      <c r="A2974" s="10">
        <v>46094</v>
      </c>
      <c r="B2974" t="s">
        <v>47</v>
      </c>
      <c r="C2974" s="1" t="s">
        <v>48</v>
      </c>
      <c r="D2974" s="3">
        <v>37</v>
      </c>
      <c r="E2974" s="3">
        <v>32</v>
      </c>
      <c r="F2974" s="3">
        <v>17.190000000000001</v>
      </c>
      <c r="G2974" s="3">
        <v>0</v>
      </c>
      <c r="H2974" s="3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 s="3">
        <v>22</v>
      </c>
      <c r="N2974" s="3">
        <v>94.29</v>
      </c>
      <c r="O2974" s="12">
        <v>25.647668393782389</v>
      </c>
    </row>
    <row r="2975" spans="1:15" hidden="1" x14ac:dyDescent="0.25">
      <c r="A2975" s="10">
        <v>46094</v>
      </c>
      <c r="B2975" t="s">
        <v>31</v>
      </c>
      <c r="C2975" s="1" t="s">
        <v>32</v>
      </c>
      <c r="D2975" s="3">
        <v>0</v>
      </c>
      <c r="E2975" s="3">
        <v>0</v>
      </c>
      <c r="F2975" s="3">
        <v>0</v>
      </c>
      <c r="G2975" s="3">
        <v>0</v>
      </c>
      <c r="H2975" s="3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 s="3">
        <v>15</v>
      </c>
      <c r="N2975" s="3">
        <v>98.26</v>
      </c>
      <c r="O2975" s="12">
        <v>26.666666666666671</v>
      </c>
    </row>
    <row r="2976" spans="1:15" hidden="1" x14ac:dyDescent="0.25">
      <c r="A2976" s="10">
        <v>46094</v>
      </c>
      <c r="B2976" t="s">
        <v>59</v>
      </c>
      <c r="C2976" s="1" t="s">
        <v>23</v>
      </c>
      <c r="D2976" s="3">
        <v>19</v>
      </c>
      <c r="E2976" s="3">
        <v>18</v>
      </c>
      <c r="F2976" s="3">
        <v>27.37</v>
      </c>
      <c r="G2976" s="3">
        <v>0</v>
      </c>
      <c r="H2976" s="3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 s="3">
        <v>15</v>
      </c>
      <c r="N2976" s="3">
        <v>98.2</v>
      </c>
      <c r="O2976" s="12">
        <v>23.37962962962963</v>
      </c>
    </row>
    <row r="2977" spans="1:15" hidden="1" x14ac:dyDescent="0.25">
      <c r="A2977" s="10">
        <v>46094</v>
      </c>
      <c r="B2977" t="s">
        <v>33</v>
      </c>
      <c r="C2977" s="1" t="s">
        <v>32</v>
      </c>
      <c r="D2977" s="3">
        <v>22</v>
      </c>
      <c r="E2977" s="3">
        <v>21</v>
      </c>
      <c r="F2977" s="3">
        <v>28.53</v>
      </c>
      <c r="G2977" s="3">
        <v>0</v>
      </c>
      <c r="H2977" s="3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 s="3">
        <v>17</v>
      </c>
      <c r="N2977" s="3">
        <v>97.3</v>
      </c>
      <c r="O2977" s="12">
        <v>23.84769539078156</v>
      </c>
    </row>
    <row r="2978" spans="1:15" hidden="1" x14ac:dyDescent="0.25">
      <c r="A2978" s="10">
        <v>46094</v>
      </c>
      <c r="B2978" t="s">
        <v>15</v>
      </c>
      <c r="C2978" s="1" t="s">
        <v>16</v>
      </c>
      <c r="D2978" s="3">
        <v>0</v>
      </c>
      <c r="E2978" s="3">
        <v>0</v>
      </c>
      <c r="F2978" s="3">
        <v>0</v>
      </c>
      <c r="G2978" s="3">
        <v>0</v>
      </c>
      <c r="H2978" s="3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 s="3">
        <v>0</v>
      </c>
      <c r="N2978" s="3">
        <v>100</v>
      </c>
      <c r="O2978" s="12">
        <v>25.268817204301079</v>
      </c>
    </row>
    <row r="2979" spans="1:15" hidden="1" x14ac:dyDescent="0.25">
      <c r="A2979" s="10">
        <v>46094</v>
      </c>
      <c r="B2979" t="s">
        <v>49</v>
      </c>
      <c r="C2979" s="1" t="s">
        <v>48</v>
      </c>
      <c r="D2979" s="3">
        <v>40</v>
      </c>
      <c r="E2979" s="3">
        <v>37</v>
      </c>
      <c r="F2979" s="3">
        <v>15.08</v>
      </c>
      <c r="G2979" s="3">
        <v>0</v>
      </c>
      <c r="H2979" s="3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 s="3">
        <v>40</v>
      </c>
      <c r="N2979" s="3">
        <v>99.32</v>
      </c>
      <c r="O2979" s="12">
        <v>22.822822822822818</v>
      </c>
    </row>
    <row r="2980" spans="1:15" hidden="1" x14ac:dyDescent="0.25">
      <c r="A2980" s="10">
        <v>46094</v>
      </c>
      <c r="B2980" t="s">
        <v>50</v>
      </c>
      <c r="C2980" s="1" t="s">
        <v>48</v>
      </c>
      <c r="D2980" s="3">
        <v>16</v>
      </c>
      <c r="E2980" s="3">
        <v>16</v>
      </c>
      <c r="F2980" s="3">
        <v>38.340000000000003</v>
      </c>
      <c r="G2980" s="3">
        <v>0</v>
      </c>
      <c r="H2980" s="3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 s="3">
        <v>14</v>
      </c>
      <c r="N2980" s="3">
        <v>100</v>
      </c>
      <c r="O2980" s="12">
        <v>27.966101694915249</v>
      </c>
    </row>
    <row r="2981" spans="1:15" hidden="1" x14ac:dyDescent="0.25">
      <c r="A2981" s="10">
        <v>46094</v>
      </c>
      <c r="B2981" t="s">
        <v>17</v>
      </c>
      <c r="C2981" s="1" t="s">
        <v>16</v>
      </c>
      <c r="D2981" s="3">
        <v>0</v>
      </c>
      <c r="E2981" s="3">
        <v>0</v>
      </c>
      <c r="F2981" s="3">
        <v>0</v>
      </c>
      <c r="G2981" s="3">
        <v>0</v>
      </c>
      <c r="H2981" s="3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 s="3">
        <v>0</v>
      </c>
      <c r="N2981" s="3">
        <v>100</v>
      </c>
      <c r="O2981" s="12">
        <v>30.434782608695659</v>
      </c>
    </row>
    <row r="2982" spans="1:15" hidden="1" x14ac:dyDescent="0.25">
      <c r="A2982" s="10">
        <v>46094</v>
      </c>
      <c r="B2982" t="s">
        <v>60</v>
      </c>
      <c r="C2982" s="1" t="s">
        <v>23</v>
      </c>
      <c r="D2982" s="3">
        <v>21</v>
      </c>
      <c r="E2982" s="3">
        <v>20</v>
      </c>
      <c r="F2982" s="3">
        <v>25.22</v>
      </c>
      <c r="G2982" s="3">
        <v>0</v>
      </c>
      <c r="H2982" s="3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 s="3">
        <v>19</v>
      </c>
      <c r="N2982" s="3">
        <v>96.51</v>
      </c>
      <c r="O2982" s="12">
        <v>22.802850356294542</v>
      </c>
    </row>
    <row r="2983" spans="1:15" hidden="1" x14ac:dyDescent="0.25">
      <c r="A2983" s="10">
        <v>46094</v>
      </c>
      <c r="B2983" t="s">
        <v>34</v>
      </c>
      <c r="C2983" s="1" t="s">
        <v>32</v>
      </c>
      <c r="D2983" s="3">
        <v>0</v>
      </c>
      <c r="E2983" s="3">
        <v>0</v>
      </c>
      <c r="F2983" s="3">
        <v>0</v>
      </c>
      <c r="G2983" s="3">
        <v>0</v>
      </c>
      <c r="H2983" s="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 s="3">
        <v>6</v>
      </c>
      <c r="N2983" s="3">
        <v>92.68</v>
      </c>
      <c r="O2983" s="12">
        <v>27.777777777777779</v>
      </c>
    </row>
    <row r="2984" spans="1:15" hidden="1" x14ac:dyDescent="0.25">
      <c r="A2984" s="10">
        <v>46094</v>
      </c>
      <c r="B2984" t="s">
        <v>51</v>
      </c>
      <c r="C2984" s="1" t="s">
        <v>48</v>
      </c>
      <c r="D2984" s="3">
        <v>21</v>
      </c>
      <c r="E2984" s="3">
        <v>17</v>
      </c>
      <c r="F2984" s="3">
        <v>34.19</v>
      </c>
      <c r="G2984" s="3">
        <v>0</v>
      </c>
      <c r="H2984" s="3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 s="3">
        <v>17</v>
      </c>
      <c r="N2984" s="3">
        <v>99.03</v>
      </c>
      <c r="O2984" s="12">
        <v>23.991507430997881</v>
      </c>
    </row>
    <row r="2985" spans="1:15" hidden="1" x14ac:dyDescent="0.25">
      <c r="A2985" s="10">
        <v>46094</v>
      </c>
      <c r="B2985" t="s">
        <v>61</v>
      </c>
      <c r="C2985" s="1" t="s">
        <v>23</v>
      </c>
      <c r="D2985" s="3">
        <v>21</v>
      </c>
      <c r="E2985" s="3">
        <v>18</v>
      </c>
      <c r="F2985" s="3">
        <v>29.14</v>
      </c>
      <c r="G2985" s="3">
        <v>0</v>
      </c>
      <c r="H2985" s="3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 s="3">
        <v>11</v>
      </c>
      <c r="N2985" s="3">
        <v>98.41</v>
      </c>
      <c r="O2985" s="12">
        <v>28.138528138528141</v>
      </c>
    </row>
    <row r="2986" spans="1:15" hidden="1" x14ac:dyDescent="0.25">
      <c r="A2986" s="10">
        <v>46094</v>
      </c>
      <c r="B2986" t="s">
        <v>35</v>
      </c>
      <c r="C2986" s="1" t="s">
        <v>32</v>
      </c>
      <c r="D2986" s="3">
        <v>22</v>
      </c>
      <c r="E2986" s="3">
        <v>21</v>
      </c>
      <c r="F2986" s="3">
        <v>34.03</v>
      </c>
      <c r="G2986" s="3">
        <v>0</v>
      </c>
      <c r="H2986" s="3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 s="3">
        <v>22</v>
      </c>
      <c r="N2986" s="3">
        <v>98.73</v>
      </c>
      <c r="O2986" s="12">
        <v>29.142857142857139</v>
      </c>
    </row>
    <row r="2987" spans="1:15" hidden="1" x14ac:dyDescent="0.25">
      <c r="A2987" s="10">
        <v>46094</v>
      </c>
      <c r="B2987" t="s">
        <v>18</v>
      </c>
      <c r="C2987" s="1" t="s">
        <v>16</v>
      </c>
      <c r="D2987" s="3">
        <v>8</v>
      </c>
      <c r="E2987" s="3">
        <v>8</v>
      </c>
      <c r="F2987" s="3">
        <v>38.270000000000003</v>
      </c>
      <c r="G2987" s="3">
        <v>0</v>
      </c>
      <c r="H2987" s="3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 s="3">
        <v>5</v>
      </c>
      <c r="N2987" s="3">
        <v>90.48</v>
      </c>
      <c r="O2987" s="12">
        <v>20.68965517241379</v>
      </c>
    </row>
    <row r="2988" spans="1:15" hidden="1" x14ac:dyDescent="0.25">
      <c r="A2988" s="10">
        <v>46094</v>
      </c>
      <c r="B2988" t="s">
        <v>52</v>
      </c>
      <c r="C2988" s="1" t="s">
        <v>48</v>
      </c>
      <c r="D2988" s="3">
        <v>14</v>
      </c>
      <c r="E2988" s="3">
        <v>13</v>
      </c>
      <c r="F2988" s="3">
        <v>27.23</v>
      </c>
      <c r="G2988" s="3">
        <v>0</v>
      </c>
      <c r="H2988" s="3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 s="3">
        <v>15</v>
      </c>
      <c r="N2988" s="3">
        <v>98.06</v>
      </c>
      <c r="O2988" s="12">
        <v>24.789915966386559</v>
      </c>
    </row>
    <row r="2989" spans="1:15" hidden="1" x14ac:dyDescent="0.25">
      <c r="A2989" s="10">
        <v>46094</v>
      </c>
      <c r="B2989" t="s">
        <v>36</v>
      </c>
      <c r="C2989" s="1" t="s">
        <v>32</v>
      </c>
      <c r="D2989" s="3">
        <v>22</v>
      </c>
      <c r="E2989" s="3">
        <v>22</v>
      </c>
      <c r="F2989" s="3">
        <v>23.45</v>
      </c>
      <c r="G2989" s="3">
        <v>0</v>
      </c>
      <c r="H2989" s="3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 s="3">
        <v>24</v>
      </c>
      <c r="N2989" s="3">
        <v>97.78</v>
      </c>
      <c r="O2989" s="12">
        <v>25.494071146245059</v>
      </c>
    </row>
    <row r="2990" spans="1:15" hidden="1" x14ac:dyDescent="0.25">
      <c r="A2990" s="10">
        <v>46094</v>
      </c>
      <c r="B2990" t="s">
        <v>53</v>
      </c>
      <c r="C2990" s="1" t="s">
        <v>48</v>
      </c>
      <c r="D2990" s="3">
        <v>15</v>
      </c>
      <c r="E2990" s="3">
        <v>14</v>
      </c>
      <c r="F2990" s="3">
        <v>40.17</v>
      </c>
      <c r="G2990" s="3">
        <v>0</v>
      </c>
      <c r="H2990" s="3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 s="3">
        <v>13</v>
      </c>
      <c r="N2990" s="3">
        <v>98.02</v>
      </c>
      <c r="O2990" s="12">
        <v>23.484848484848481</v>
      </c>
    </row>
    <row r="2991" spans="1:15" hidden="1" x14ac:dyDescent="0.25">
      <c r="A2991" s="10">
        <v>46128</v>
      </c>
      <c r="B2991" t="s">
        <v>22</v>
      </c>
      <c r="C2991" s="1" t="s">
        <v>23</v>
      </c>
      <c r="D2991" s="3">
        <v>33</v>
      </c>
      <c r="E2991" s="3">
        <v>30</v>
      </c>
      <c r="F2991" s="3">
        <v>15.31</v>
      </c>
      <c r="G2991" s="3">
        <v>0</v>
      </c>
      <c r="H2991" s="3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 s="3">
        <v>32</v>
      </c>
      <c r="N2991" s="3">
        <v>99.28</v>
      </c>
      <c r="O2991" s="12">
        <v>27.689243027888441</v>
      </c>
    </row>
    <row r="2992" spans="1:15" hidden="1" x14ac:dyDescent="0.25">
      <c r="A2992" s="10">
        <v>46094</v>
      </c>
      <c r="B2992" t="s">
        <v>54</v>
      </c>
      <c r="C2992" s="1" t="s">
        <v>48</v>
      </c>
      <c r="D2992" s="3">
        <v>25</v>
      </c>
      <c r="E2992" s="3">
        <v>23</v>
      </c>
      <c r="F2992" s="3">
        <v>30.32</v>
      </c>
      <c r="G2992" s="3">
        <v>0</v>
      </c>
      <c r="H2992" s="3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 s="3">
        <v>22</v>
      </c>
      <c r="N2992" s="3">
        <v>100</v>
      </c>
      <c r="O2992" s="12">
        <v>27.04918032786885</v>
      </c>
    </row>
    <row r="2993" spans="1:15" hidden="1" x14ac:dyDescent="0.25">
      <c r="A2993" s="10">
        <v>46094</v>
      </c>
      <c r="B2993" t="s">
        <v>37</v>
      </c>
      <c r="C2993" s="1" t="s">
        <v>32</v>
      </c>
      <c r="D2993" s="3">
        <v>36</v>
      </c>
      <c r="E2993" s="3">
        <v>35</v>
      </c>
      <c r="F2993" s="3">
        <v>18.46</v>
      </c>
      <c r="G2993" s="3">
        <v>0</v>
      </c>
      <c r="H2993" s="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 s="3">
        <v>34</v>
      </c>
      <c r="N2993" s="3">
        <v>97.83</v>
      </c>
      <c r="O2993" s="12">
        <v>26.315789473684209</v>
      </c>
    </row>
    <row r="2994" spans="1:15" hidden="1" x14ac:dyDescent="0.25">
      <c r="A2994" s="10">
        <v>46094</v>
      </c>
      <c r="B2994" t="s">
        <v>38</v>
      </c>
      <c r="C2994" s="1" t="s">
        <v>32</v>
      </c>
      <c r="D2994" s="3">
        <v>0</v>
      </c>
      <c r="E2994" s="3">
        <v>0</v>
      </c>
      <c r="F2994" s="3">
        <v>0</v>
      </c>
      <c r="G2994" s="3">
        <v>0</v>
      </c>
      <c r="H2994" s="3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 s="3">
        <v>8</v>
      </c>
      <c r="N2994" s="3">
        <v>100</v>
      </c>
      <c r="O2994" s="12">
        <v>26.701570680628269</v>
      </c>
    </row>
    <row r="2995" spans="1:15" hidden="1" x14ac:dyDescent="0.25">
      <c r="A2995" s="10">
        <v>46094</v>
      </c>
      <c r="B2995" t="s">
        <v>55</v>
      </c>
      <c r="C2995" s="1" t="s">
        <v>48</v>
      </c>
      <c r="D2995" s="3">
        <v>22</v>
      </c>
      <c r="E2995" s="3">
        <v>18</v>
      </c>
      <c r="F2995" s="3">
        <v>27.05</v>
      </c>
      <c r="G2995" s="3">
        <v>0</v>
      </c>
      <c r="H2995" s="3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 s="3">
        <v>19</v>
      </c>
      <c r="N2995" s="3">
        <v>97.47</v>
      </c>
      <c r="O2995" s="12">
        <v>22.887323943661968</v>
      </c>
    </row>
    <row r="2996" spans="1:15" hidden="1" x14ac:dyDescent="0.25">
      <c r="A2996" s="10">
        <v>46094</v>
      </c>
      <c r="B2996" t="s">
        <v>39</v>
      </c>
      <c r="C2996" s="1" t="s">
        <v>32</v>
      </c>
      <c r="D2996" s="3">
        <v>0</v>
      </c>
      <c r="E2996" s="3">
        <v>0</v>
      </c>
      <c r="F2996" s="3">
        <v>0</v>
      </c>
      <c r="G2996" s="3">
        <v>0</v>
      </c>
      <c r="H2996" s="3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 s="3">
        <v>0</v>
      </c>
      <c r="N2996" s="3">
        <v>0</v>
      </c>
      <c r="O2996" s="12">
        <v>0</v>
      </c>
    </row>
    <row r="2997" spans="1:15" hidden="1" x14ac:dyDescent="0.25">
      <c r="A2997" s="10">
        <v>46094</v>
      </c>
      <c r="B2997" t="s">
        <v>25</v>
      </c>
      <c r="C2997" s="1" t="s">
        <v>26</v>
      </c>
      <c r="D2997" s="3">
        <v>5</v>
      </c>
      <c r="E2997" s="3">
        <v>5</v>
      </c>
      <c r="F2997" s="3">
        <v>61.54</v>
      </c>
      <c r="G2997" s="3">
        <v>0</v>
      </c>
      <c r="H2997" s="3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 s="3">
        <v>5</v>
      </c>
      <c r="N2997" s="3">
        <v>98.31</v>
      </c>
      <c r="O2997" s="12">
        <v>24.920127795527151</v>
      </c>
    </row>
    <row r="2998" spans="1:15" hidden="1" x14ac:dyDescent="0.25">
      <c r="A2998" s="10">
        <v>46094</v>
      </c>
      <c r="B2998" t="s">
        <v>40</v>
      </c>
      <c r="C2998" s="1" t="s">
        <v>32</v>
      </c>
      <c r="D2998" s="3">
        <v>0</v>
      </c>
      <c r="E2998" s="3">
        <v>0</v>
      </c>
      <c r="F2998" s="3">
        <v>0</v>
      </c>
      <c r="G2998" s="3">
        <v>0</v>
      </c>
      <c r="H2998" s="3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 s="3">
        <v>0</v>
      </c>
      <c r="N2998" s="3">
        <v>96.81</v>
      </c>
      <c r="O2998" s="12">
        <v>32.365145228215773</v>
      </c>
    </row>
    <row r="2999" spans="1:15" hidden="1" x14ac:dyDescent="0.25">
      <c r="A2999" s="10">
        <v>46094</v>
      </c>
      <c r="B2999" t="s">
        <v>27</v>
      </c>
      <c r="C2999" s="1" t="s">
        <v>26</v>
      </c>
      <c r="D2999" s="3">
        <v>18</v>
      </c>
      <c r="E2999" s="3">
        <v>14</v>
      </c>
      <c r="F2999" s="3">
        <v>19.079999999999998</v>
      </c>
      <c r="G2999" s="3">
        <v>0</v>
      </c>
      <c r="H2999" s="3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 s="3">
        <v>12</v>
      </c>
      <c r="N2999" s="3">
        <v>100</v>
      </c>
      <c r="O2999" s="12">
        <v>26.47058823529412</v>
      </c>
    </row>
    <row r="3000" spans="1:15" hidden="1" x14ac:dyDescent="0.25">
      <c r="A3000" s="10">
        <v>46094</v>
      </c>
      <c r="B3000" t="s">
        <v>41</v>
      </c>
      <c r="C3000" s="1" t="s">
        <v>32</v>
      </c>
      <c r="D3000" s="3">
        <v>0</v>
      </c>
      <c r="E3000" s="3">
        <v>0</v>
      </c>
      <c r="F3000" s="3">
        <v>0</v>
      </c>
      <c r="G3000" s="3">
        <v>0</v>
      </c>
      <c r="H3000" s="3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 s="3">
        <v>8</v>
      </c>
      <c r="N3000" s="3">
        <v>100</v>
      </c>
      <c r="O3000" s="12">
        <v>28.490028490028489</v>
      </c>
    </row>
    <row r="3001" spans="1:15" hidden="1" x14ac:dyDescent="0.25">
      <c r="A3001" s="10">
        <v>46094</v>
      </c>
      <c r="B3001" t="s">
        <v>56</v>
      </c>
      <c r="C3001" s="1" t="s">
        <v>48</v>
      </c>
      <c r="D3001" s="3">
        <v>33</v>
      </c>
      <c r="E3001" s="3">
        <v>30</v>
      </c>
      <c r="F3001" s="3">
        <v>15.43</v>
      </c>
      <c r="G3001" s="3">
        <v>0</v>
      </c>
      <c r="H3001" s="3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 s="3">
        <v>11</v>
      </c>
      <c r="N3001" s="3">
        <v>99.14</v>
      </c>
      <c r="O3001" s="12">
        <v>27.2289156626506</v>
      </c>
    </row>
    <row r="3002" spans="1:15" hidden="1" x14ac:dyDescent="0.25">
      <c r="A3002" s="10">
        <v>46094</v>
      </c>
      <c r="B3002" t="s">
        <v>57</v>
      </c>
      <c r="C3002" s="1" t="s">
        <v>48</v>
      </c>
      <c r="D3002" s="3">
        <v>25</v>
      </c>
      <c r="E3002" s="3">
        <v>23</v>
      </c>
      <c r="F3002" s="3">
        <v>27.26</v>
      </c>
      <c r="G3002" s="3">
        <v>0</v>
      </c>
      <c r="H3002" s="3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 s="3">
        <v>20</v>
      </c>
      <c r="N3002" s="3">
        <v>97.52</v>
      </c>
      <c r="O3002" s="12">
        <v>28.205128205128201</v>
      </c>
    </row>
    <row r="3003" spans="1:15" hidden="1" x14ac:dyDescent="0.25">
      <c r="A3003" s="10">
        <v>46094</v>
      </c>
      <c r="B3003" t="s">
        <v>42</v>
      </c>
      <c r="C3003" s="1" t="s">
        <v>32</v>
      </c>
      <c r="D3003" s="3">
        <v>26</v>
      </c>
      <c r="E3003" s="3">
        <v>22</v>
      </c>
      <c r="F3003" s="3">
        <v>16.52</v>
      </c>
      <c r="G3003" s="3">
        <v>0</v>
      </c>
      <c r="H3003" s="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 s="3">
        <v>15</v>
      </c>
      <c r="N3003" s="3">
        <v>90</v>
      </c>
      <c r="O3003" s="12">
        <v>24.186046511627911</v>
      </c>
    </row>
    <row r="3004" spans="1:15" hidden="1" x14ac:dyDescent="0.25">
      <c r="A3004" s="10">
        <v>46094</v>
      </c>
      <c r="B3004" t="s">
        <v>62</v>
      </c>
      <c r="C3004" s="1" t="s">
        <v>23</v>
      </c>
      <c r="D3004" s="3">
        <v>13</v>
      </c>
      <c r="E3004" s="3">
        <v>12</v>
      </c>
      <c r="F3004" s="3">
        <v>37.32</v>
      </c>
      <c r="G3004" s="3">
        <v>0</v>
      </c>
      <c r="H3004" s="3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 s="3">
        <v>11</v>
      </c>
      <c r="N3004" s="3">
        <v>98.9</v>
      </c>
      <c r="O3004" s="12">
        <v>26.763990267639901</v>
      </c>
    </row>
    <row r="3005" spans="1:15" hidden="1" x14ac:dyDescent="0.25">
      <c r="A3005" s="10">
        <v>46094</v>
      </c>
      <c r="B3005" t="s">
        <v>19</v>
      </c>
      <c r="C3005" s="1" t="s">
        <v>16</v>
      </c>
      <c r="D3005" s="3">
        <v>6</v>
      </c>
      <c r="E3005" s="3">
        <v>4</v>
      </c>
      <c r="F3005" s="3">
        <v>53.49</v>
      </c>
      <c r="G3005" s="3">
        <v>0</v>
      </c>
      <c r="H3005" s="3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 s="3">
        <v>3</v>
      </c>
      <c r="N3005" s="3">
        <v>88.89</v>
      </c>
      <c r="O3005" s="12">
        <v>25.263157894736839</v>
      </c>
    </row>
    <row r="3006" spans="1:15" hidden="1" x14ac:dyDescent="0.25">
      <c r="A3006" s="10">
        <v>46114</v>
      </c>
      <c r="B3006" t="s">
        <v>43</v>
      </c>
      <c r="C3006" s="1" t="s">
        <v>32</v>
      </c>
      <c r="D3006" s="3">
        <v>44</v>
      </c>
      <c r="E3006" s="3">
        <v>41</v>
      </c>
      <c r="F3006" s="3">
        <v>13.21</v>
      </c>
      <c r="G3006" s="3">
        <v>0</v>
      </c>
      <c r="H3006" s="3">
        <v>0</v>
      </c>
      <c r="I3006" s="3">
        <f>E3006+G3006+H3006</f>
        <v>41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34</v>
      </c>
      <c r="K3006" s="3">
        <f>I3006-J3006</f>
        <v>7</v>
      </c>
      <c r="L3006" s="3" t="str">
        <f>IF(K3006&lt;-5,"CRÍTICO",IF(K3006&lt;0,"ATENÇÃO",IF(K3006&lt;=5,"OPORTUNO","MUITO BOM")))</f>
        <v>MUITO BOM</v>
      </c>
      <c r="M3006" s="3">
        <v>37</v>
      </c>
      <c r="N3006" s="3">
        <v>100</v>
      </c>
      <c r="O3006" s="12">
        <v>23.9870340356564</v>
      </c>
    </row>
    <row r="3007" spans="1:15" hidden="1" x14ac:dyDescent="0.25">
      <c r="A3007" s="10">
        <v>46094</v>
      </c>
      <c r="B3007" t="s">
        <v>44</v>
      </c>
      <c r="C3007" s="1" t="s">
        <v>32</v>
      </c>
      <c r="D3007" s="3">
        <v>32</v>
      </c>
      <c r="E3007" s="3">
        <v>28</v>
      </c>
      <c r="F3007" s="3">
        <v>15</v>
      </c>
      <c r="G3007" s="3">
        <v>0</v>
      </c>
      <c r="H3007" s="3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 s="3">
        <v>25</v>
      </c>
      <c r="N3007" s="3">
        <v>98.06</v>
      </c>
      <c r="O3007" s="12">
        <v>22.40566037735849</v>
      </c>
    </row>
    <row r="3008" spans="1:15" hidden="1" x14ac:dyDescent="0.25">
      <c r="A3008" s="10">
        <v>46122</v>
      </c>
      <c r="B3008" t="s">
        <v>20</v>
      </c>
      <c r="C3008" s="1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>E3008+G3008+H3008</f>
        <v>16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7</v>
      </c>
      <c r="K3008" s="3">
        <f>I3008-J3008</f>
        <v>9</v>
      </c>
      <c r="L3008" s="3" t="str">
        <f>IF(K3008&lt;-5,"CRÍTICO",IF(K3008&lt;0,"ATENÇÃO",IF(K3008&lt;=5,"OPORTUNO","MUITO BOM")))</f>
        <v>MUITO BOM</v>
      </c>
      <c r="M3008" s="3">
        <v>10</v>
      </c>
      <c r="N3008" s="3">
        <v>100</v>
      </c>
      <c r="O3008" s="12">
        <v>23.77622377622378</v>
      </c>
    </row>
    <row r="3009" spans="1:15" hidden="1" x14ac:dyDescent="0.25">
      <c r="A3009" s="10">
        <v>46094</v>
      </c>
      <c r="B3009" t="s">
        <v>28</v>
      </c>
      <c r="C3009" s="1" t="s">
        <v>26</v>
      </c>
      <c r="D3009" s="3">
        <v>0</v>
      </c>
      <c r="E3009" s="3">
        <v>0</v>
      </c>
      <c r="F3009" s="3">
        <v>0</v>
      </c>
      <c r="G3009" s="3">
        <v>0</v>
      </c>
      <c r="H3009" s="3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 s="3">
        <v>0</v>
      </c>
      <c r="N3009" s="3">
        <v>100</v>
      </c>
      <c r="O3009" s="12">
        <v>15.38461538461539</v>
      </c>
    </row>
    <row r="3010" spans="1:15" hidden="1" x14ac:dyDescent="0.25">
      <c r="A3010" s="10">
        <v>46094</v>
      </c>
      <c r="B3010" t="s">
        <v>58</v>
      </c>
      <c r="C3010" s="1" t="s">
        <v>48</v>
      </c>
      <c r="D3010" s="3">
        <v>26</v>
      </c>
      <c r="E3010" s="3">
        <v>26</v>
      </c>
      <c r="F3010" s="3">
        <v>27.03</v>
      </c>
      <c r="G3010" s="3">
        <v>0</v>
      </c>
      <c r="H3010" s="3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 s="3">
        <v>23</v>
      </c>
      <c r="N3010" s="3">
        <v>100</v>
      </c>
      <c r="O3010" s="12">
        <v>27.514792899408281</v>
      </c>
    </row>
    <row r="3011" spans="1:15" hidden="1" x14ac:dyDescent="0.25">
      <c r="A3011" s="10">
        <v>46094</v>
      </c>
      <c r="B3011" t="s">
        <v>29</v>
      </c>
      <c r="C3011" s="1" t="s">
        <v>26</v>
      </c>
      <c r="D3011" s="3">
        <v>13</v>
      </c>
      <c r="E3011" s="3">
        <v>12</v>
      </c>
      <c r="F3011" s="3">
        <v>40.549999999999997</v>
      </c>
      <c r="G3011" s="3">
        <v>0</v>
      </c>
      <c r="H3011" s="3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 s="3">
        <v>7</v>
      </c>
      <c r="N3011" s="3">
        <v>100</v>
      </c>
      <c r="O3011" s="12">
        <v>24.875621890547269</v>
      </c>
    </row>
    <row r="3012" spans="1:15" hidden="1" x14ac:dyDescent="0.25">
      <c r="A3012" s="10">
        <v>46094</v>
      </c>
      <c r="B3012" t="s">
        <v>30</v>
      </c>
      <c r="C3012" s="1" t="s">
        <v>26</v>
      </c>
      <c r="D3012" s="3">
        <v>14</v>
      </c>
      <c r="E3012" s="3">
        <v>14</v>
      </c>
      <c r="F3012" s="3">
        <v>43.33</v>
      </c>
      <c r="G3012" s="3">
        <v>0</v>
      </c>
      <c r="H3012" s="3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 s="3">
        <v>13</v>
      </c>
      <c r="N3012" s="3">
        <v>100</v>
      </c>
      <c r="O3012" s="12">
        <v>28.108108108108109</v>
      </c>
    </row>
    <row r="3013" spans="1:15" hidden="1" x14ac:dyDescent="0.25">
      <c r="A3013" s="10">
        <v>46122</v>
      </c>
      <c r="B3013" t="s">
        <v>21</v>
      </c>
      <c r="C3013" s="1" t="s">
        <v>16</v>
      </c>
      <c r="D3013" s="3">
        <v>9</v>
      </c>
      <c r="E3013" s="3">
        <v>7</v>
      </c>
      <c r="F3013" s="3">
        <v>24.15</v>
      </c>
      <c r="G3013" s="3">
        <v>0</v>
      </c>
      <c r="H3013" s="3">
        <v>0</v>
      </c>
      <c r="I3013" s="3">
        <f>E3013+G3013+H3013</f>
        <v>7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7</v>
      </c>
      <c r="K3013" s="3">
        <f>I3013-J3013</f>
        <v>0</v>
      </c>
      <c r="L3013" s="3" t="str">
        <f>IF(K3013&lt;-5,"CRÍTICO",IF(K3013&lt;0,"ATENÇÃO",IF(K3013&lt;=5,"OPORTUNO","MUITO BOM")))</f>
        <v>OPORTUNO</v>
      </c>
      <c r="M3013" s="3">
        <v>6</v>
      </c>
      <c r="N3013" s="3">
        <v>94.12</v>
      </c>
      <c r="O3013" s="12">
        <v>32.799999999999997</v>
      </c>
    </row>
    <row r="3014" spans="1:15" hidden="1" x14ac:dyDescent="0.25">
      <c r="A3014" s="10">
        <v>46094</v>
      </c>
      <c r="B3014" t="s">
        <v>63</v>
      </c>
      <c r="C3014" s="1" t="s">
        <v>23</v>
      </c>
      <c r="D3014" s="3">
        <v>24</v>
      </c>
      <c r="E3014" s="3">
        <v>23</v>
      </c>
      <c r="F3014" s="3">
        <v>28.27</v>
      </c>
      <c r="G3014" s="3">
        <v>0</v>
      </c>
      <c r="H3014" s="3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 s="3">
        <v>12</v>
      </c>
      <c r="N3014" s="3">
        <v>95.35</v>
      </c>
      <c r="O3014" s="12">
        <v>28.61538461538461</v>
      </c>
    </row>
    <row r="3015" spans="1:15" hidden="1" x14ac:dyDescent="0.25">
      <c r="A3015" s="10">
        <v>46094</v>
      </c>
      <c r="B3015" t="s">
        <v>45</v>
      </c>
      <c r="C3015" s="1" t="s">
        <v>32</v>
      </c>
      <c r="D3015" s="3">
        <v>36</v>
      </c>
      <c r="E3015" s="3">
        <v>36</v>
      </c>
      <c r="F3015" s="3">
        <v>15.38</v>
      </c>
      <c r="G3015" s="3">
        <v>0</v>
      </c>
      <c r="H3015" s="3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 s="3">
        <v>33</v>
      </c>
      <c r="N3015" s="3">
        <v>98.26</v>
      </c>
      <c r="O3015" s="12">
        <v>27.54491017964072</v>
      </c>
    </row>
    <row r="3016" spans="1:15" hidden="1" x14ac:dyDescent="0.25">
      <c r="A3016" s="10">
        <v>46094</v>
      </c>
      <c r="B3016" t="s">
        <v>64</v>
      </c>
      <c r="C3016" s="1" t="s">
        <v>23</v>
      </c>
      <c r="D3016" s="3">
        <v>13</v>
      </c>
      <c r="E3016" s="3">
        <v>13</v>
      </c>
      <c r="F3016" s="3">
        <v>48.32</v>
      </c>
      <c r="G3016" s="3">
        <v>0</v>
      </c>
      <c r="H3016" s="3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 s="3">
        <v>13</v>
      </c>
      <c r="N3016" s="3">
        <v>98.55</v>
      </c>
      <c r="O3016" s="12">
        <v>25.337837837837839</v>
      </c>
    </row>
    <row r="3017" spans="1:15" hidden="1" x14ac:dyDescent="0.25">
      <c r="A3017" s="10">
        <v>46094</v>
      </c>
      <c r="B3017" t="s">
        <v>46</v>
      </c>
      <c r="C3017" s="1" t="s">
        <v>32</v>
      </c>
      <c r="D3017" s="3">
        <v>31</v>
      </c>
      <c r="E3017" s="3">
        <v>28</v>
      </c>
      <c r="F3017" s="3">
        <v>22.31</v>
      </c>
      <c r="G3017" s="3">
        <v>0</v>
      </c>
      <c r="H3017" s="3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 s="3">
        <v>25</v>
      </c>
      <c r="N3017" s="3">
        <v>98.39</v>
      </c>
      <c r="O3017" s="12">
        <v>25.563909774436091</v>
      </c>
    </row>
    <row r="3018" spans="1:15" hidden="1" x14ac:dyDescent="0.25">
      <c r="A3018" s="10">
        <v>46097</v>
      </c>
      <c r="B3018" t="s">
        <v>47</v>
      </c>
      <c r="C3018" s="1" t="s">
        <v>48</v>
      </c>
      <c r="D3018" s="3">
        <v>33</v>
      </c>
      <c r="E3018" s="3">
        <v>27</v>
      </c>
      <c r="F3018" s="3">
        <v>14.14</v>
      </c>
      <c r="G3018" s="3">
        <v>0</v>
      </c>
      <c r="H3018" s="3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 s="3">
        <v>15</v>
      </c>
      <c r="N3018" s="3">
        <v>94.29</v>
      </c>
      <c r="O3018" s="12">
        <v>25.647668393782389</v>
      </c>
    </row>
    <row r="3019" spans="1:15" hidden="1" x14ac:dyDescent="0.25">
      <c r="A3019" s="10">
        <v>46097</v>
      </c>
      <c r="B3019" t="s">
        <v>31</v>
      </c>
      <c r="C3019" s="1" t="s">
        <v>32</v>
      </c>
      <c r="D3019" s="3">
        <v>0</v>
      </c>
      <c r="E3019" s="3">
        <v>0</v>
      </c>
      <c r="F3019" s="3">
        <v>0</v>
      </c>
      <c r="G3019" s="3">
        <v>0</v>
      </c>
      <c r="H3019" s="3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 s="3">
        <v>22</v>
      </c>
      <c r="N3019" s="3">
        <v>98.26</v>
      </c>
      <c r="O3019" s="12">
        <v>26.666666666666671</v>
      </c>
    </row>
    <row r="3020" spans="1:15" hidden="1" x14ac:dyDescent="0.25">
      <c r="A3020" s="10">
        <v>46097</v>
      </c>
      <c r="B3020" t="s">
        <v>59</v>
      </c>
      <c r="C3020" s="1" t="s">
        <v>23</v>
      </c>
      <c r="D3020" s="3">
        <v>29</v>
      </c>
      <c r="E3020" s="3">
        <v>29</v>
      </c>
      <c r="F3020" s="3">
        <v>23.33</v>
      </c>
      <c r="G3020" s="3">
        <v>0</v>
      </c>
      <c r="H3020" s="3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 s="3">
        <v>30</v>
      </c>
      <c r="N3020" s="3">
        <v>98.2</v>
      </c>
      <c r="O3020" s="12">
        <v>23.37962962962963</v>
      </c>
    </row>
    <row r="3021" spans="1:15" hidden="1" x14ac:dyDescent="0.25">
      <c r="A3021" s="10">
        <v>46097</v>
      </c>
      <c r="B3021" t="s">
        <v>33</v>
      </c>
      <c r="C3021" s="1" t="s">
        <v>32</v>
      </c>
      <c r="D3021" s="3">
        <v>33</v>
      </c>
      <c r="E3021" s="3">
        <v>31</v>
      </c>
      <c r="F3021" s="3">
        <v>18.47</v>
      </c>
      <c r="G3021" s="3">
        <v>0</v>
      </c>
      <c r="H3021" s="3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 s="3">
        <v>23</v>
      </c>
      <c r="N3021" s="3">
        <v>97.3</v>
      </c>
      <c r="O3021" s="12">
        <v>23.84769539078156</v>
      </c>
    </row>
    <row r="3022" spans="1:15" hidden="1" x14ac:dyDescent="0.25">
      <c r="A3022" s="10">
        <v>46097</v>
      </c>
      <c r="B3022" t="s">
        <v>15</v>
      </c>
      <c r="C3022" s="1" t="s">
        <v>16</v>
      </c>
      <c r="D3022" s="3">
        <v>7</v>
      </c>
      <c r="E3022" s="3">
        <v>7</v>
      </c>
      <c r="F3022" s="3">
        <v>33.53</v>
      </c>
      <c r="G3022" s="3">
        <v>0</v>
      </c>
      <c r="H3022" s="3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 s="3">
        <v>6</v>
      </c>
      <c r="N3022" s="3">
        <v>100</v>
      </c>
      <c r="O3022" s="12">
        <v>25.268817204301079</v>
      </c>
    </row>
    <row r="3023" spans="1:15" hidden="1" x14ac:dyDescent="0.25">
      <c r="A3023" s="10">
        <v>46097</v>
      </c>
      <c r="B3023" t="s">
        <v>49</v>
      </c>
      <c r="C3023" s="1" t="s">
        <v>48</v>
      </c>
      <c r="D3023" s="3">
        <v>21</v>
      </c>
      <c r="E3023" s="3">
        <v>18</v>
      </c>
      <c r="F3023" s="3">
        <v>22.09</v>
      </c>
      <c r="G3023" s="3">
        <v>0</v>
      </c>
      <c r="H3023" s="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 s="3">
        <v>20</v>
      </c>
      <c r="N3023" s="3">
        <v>99.32</v>
      </c>
      <c r="O3023" s="12">
        <v>22.822822822822818</v>
      </c>
    </row>
    <row r="3024" spans="1:15" hidden="1" x14ac:dyDescent="0.25">
      <c r="A3024" s="10">
        <v>46097</v>
      </c>
      <c r="B3024" t="s">
        <v>50</v>
      </c>
      <c r="C3024" s="1" t="s">
        <v>48</v>
      </c>
      <c r="D3024" s="3">
        <v>19</v>
      </c>
      <c r="E3024" s="3">
        <v>19</v>
      </c>
      <c r="F3024" s="3">
        <v>30.51</v>
      </c>
      <c r="G3024" s="3">
        <v>0</v>
      </c>
      <c r="H3024" s="3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 s="3">
        <v>23</v>
      </c>
      <c r="N3024" s="3">
        <v>100</v>
      </c>
      <c r="O3024" s="12">
        <v>27.966101694915249</v>
      </c>
    </row>
    <row r="3025" spans="1:15" hidden="1" x14ac:dyDescent="0.25">
      <c r="A3025" s="10">
        <v>46097</v>
      </c>
      <c r="B3025" t="s">
        <v>17</v>
      </c>
      <c r="C3025" s="1" t="s">
        <v>16</v>
      </c>
      <c r="D3025" s="3">
        <v>0</v>
      </c>
      <c r="E3025" s="3">
        <v>0</v>
      </c>
      <c r="F3025" s="3">
        <v>0</v>
      </c>
      <c r="G3025" s="3">
        <v>0</v>
      </c>
      <c r="H3025" s="3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 s="3">
        <v>0</v>
      </c>
      <c r="N3025" s="3">
        <v>100</v>
      </c>
      <c r="O3025" s="12">
        <v>30.434782608695659</v>
      </c>
    </row>
    <row r="3026" spans="1:15" hidden="1" x14ac:dyDescent="0.25">
      <c r="A3026" s="10">
        <v>46097</v>
      </c>
      <c r="B3026" t="s">
        <v>60</v>
      </c>
      <c r="C3026" s="1" t="s">
        <v>23</v>
      </c>
      <c r="D3026" s="3">
        <v>22</v>
      </c>
      <c r="E3026" s="3">
        <v>19</v>
      </c>
      <c r="F3026" s="3">
        <v>22.23</v>
      </c>
      <c r="G3026" s="3">
        <v>0</v>
      </c>
      <c r="H3026" s="3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 s="3">
        <v>20</v>
      </c>
      <c r="N3026" s="3">
        <v>96.51</v>
      </c>
      <c r="O3026" s="12">
        <v>22.802850356294542</v>
      </c>
    </row>
    <row r="3027" spans="1:15" hidden="1" x14ac:dyDescent="0.25">
      <c r="A3027" s="10">
        <v>46097</v>
      </c>
      <c r="B3027" t="s">
        <v>34</v>
      </c>
      <c r="C3027" s="1" t="s">
        <v>32</v>
      </c>
      <c r="D3027" s="3">
        <v>31</v>
      </c>
      <c r="E3027" s="3">
        <v>27</v>
      </c>
      <c r="F3027" s="3">
        <v>13.56</v>
      </c>
      <c r="G3027" s="3">
        <v>0</v>
      </c>
      <c r="H3027" s="3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 s="3">
        <v>23</v>
      </c>
      <c r="N3027" s="3">
        <v>92.68</v>
      </c>
      <c r="O3027" s="12">
        <v>27.777777777777779</v>
      </c>
    </row>
    <row r="3028" spans="1:15" hidden="1" x14ac:dyDescent="0.25">
      <c r="A3028" s="10">
        <v>46097</v>
      </c>
      <c r="B3028" t="s">
        <v>51</v>
      </c>
      <c r="C3028" s="1" t="s">
        <v>48</v>
      </c>
      <c r="D3028" s="3">
        <v>24</v>
      </c>
      <c r="E3028" s="3">
        <v>24</v>
      </c>
      <c r="F3028" s="3">
        <v>21.47</v>
      </c>
      <c r="G3028" s="3">
        <v>0</v>
      </c>
      <c r="H3028" s="3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 s="3">
        <v>23</v>
      </c>
      <c r="N3028" s="3">
        <v>99.03</v>
      </c>
      <c r="O3028" s="12">
        <v>23.991507430997881</v>
      </c>
    </row>
    <row r="3029" spans="1:15" hidden="1" x14ac:dyDescent="0.25">
      <c r="A3029" s="10">
        <v>46097</v>
      </c>
      <c r="B3029" t="s">
        <v>61</v>
      </c>
      <c r="C3029" s="1" t="s">
        <v>23</v>
      </c>
      <c r="D3029" s="3">
        <v>21</v>
      </c>
      <c r="E3029" s="3">
        <v>19</v>
      </c>
      <c r="F3029" s="3">
        <v>33.49</v>
      </c>
      <c r="G3029" s="3">
        <v>0</v>
      </c>
      <c r="H3029" s="3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 s="3">
        <v>12</v>
      </c>
      <c r="N3029" s="3">
        <v>98.41</v>
      </c>
      <c r="O3029" s="12">
        <v>28.138528138528141</v>
      </c>
    </row>
    <row r="3030" spans="1:15" hidden="1" x14ac:dyDescent="0.25">
      <c r="A3030" s="10">
        <v>46097</v>
      </c>
      <c r="B3030" t="s">
        <v>35</v>
      </c>
      <c r="C3030" s="1" t="s">
        <v>32</v>
      </c>
      <c r="D3030" s="3">
        <v>17</v>
      </c>
      <c r="E3030" s="3">
        <v>17</v>
      </c>
      <c r="F3030" s="3">
        <v>40.31</v>
      </c>
      <c r="G3030" s="3">
        <v>0</v>
      </c>
      <c r="H3030" s="3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 s="3">
        <v>17</v>
      </c>
      <c r="N3030" s="3">
        <v>98.73</v>
      </c>
      <c r="O3030" s="12">
        <v>29.142857142857139</v>
      </c>
    </row>
    <row r="3031" spans="1:15" hidden="1" x14ac:dyDescent="0.25">
      <c r="A3031" s="10">
        <v>46097</v>
      </c>
      <c r="B3031" t="s">
        <v>18</v>
      </c>
      <c r="C3031" s="1" t="s">
        <v>16</v>
      </c>
      <c r="D3031" s="3">
        <v>0</v>
      </c>
      <c r="E3031" s="3">
        <v>0</v>
      </c>
      <c r="F3031" s="3">
        <v>0</v>
      </c>
      <c r="G3031" s="3">
        <v>0</v>
      </c>
      <c r="H3031" s="3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 s="3">
        <v>0</v>
      </c>
      <c r="N3031" s="3">
        <v>90.48</v>
      </c>
      <c r="O3031" s="12">
        <v>20.68965517241379</v>
      </c>
    </row>
    <row r="3032" spans="1:15" hidden="1" x14ac:dyDescent="0.25">
      <c r="A3032" s="10">
        <v>46097</v>
      </c>
      <c r="B3032" t="s">
        <v>52</v>
      </c>
      <c r="C3032" s="1" t="s">
        <v>48</v>
      </c>
      <c r="D3032" s="3">
        <v>27</v>
      </c>
      <c r="E3032" s="3">
        <v>24</v>
      </c>
      <c r="F3032" s="3">
        <v>23.54</v>
      </c>
      <c r="G3032" s="3">
        <v>0</v>
      </c>
      <c r="H3032" s="3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 s="3">
        <v>22</v>
      </c>
      <c r="N3032" s="3">
        <v>98.06</v>
      </c>
      <c r="O3032" s="12">
        <v>24.789915966386559</v>
      </c>
    </row>
    <row r="3033" spans="1:15" hidden="1" x14ac:dyDescent="0.25">
      <c r="A3033" s="10">
        <v>46097</v>
      </c>
      <c r="B3033" t="s">
        <v>36</v>
      </c>
      <c r="C3033" s="1" t="s">
        <v>32</v>
      </c>
      <c r="D3033" s="3">
        <v>26</v>
      </c>
      <c r="E3033" s="3">
        <v>24</v>
      </c>
      <c r="F3033" s="3">
        <v>18.45</v>
      </c>
      <c r="G3033" s="3">
        <v>0</v>
      </c>
      <c r="H3033" s="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 s="3">
        <v>25</v>
      </c>
      <c r="N3033" s="3">
        <v>97.78</v>
      </c>
      <c r="O3033" s="12">
        <v>25.494071146245059</v>
      </c>
    </row>
    <row r="3034" spans="1:15" hidden="1" x14ac:dyDescent="0.25">
      <c r="A3034" s="10">
        <v>46097</v>
      </c>
      <c r="B3034" t="s">
        <v>53</v>
      </c>
      <c r="C3034" s="1" t="s">
        <v>48</v>
      </c>
      <c r="D3034" s="3">
        <v>11</v>
      </c>
      <c r="E3034" s="3">
        <v>11</v>
      </c>
      <c r="F3034" s="3">
        <v>41.49</v>
      </c>
      <c r="G3034" s="3">
        <v>0</v>
      </c>
      <c r="H3034" s="3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 s="3">
        <v>11</v>
      </c>
      <c r="N3034" s="3">
        <v>98.02</v>
      </c>
      <c r="O3034" s="12">
        <v>23.484848484848481</v>
      </c>
    </row>
    <row r="3035" spans="1:15" hidden="1" x14ac:dyDescent="0.25">
      <c r="A3035" s="10">
        <v>46129</v>
      </c>
      <c r="B3035" t="s">
        <v>22</v>
      </c>
      <c r="C3035" s="1" t="s">
        <v>23</v>
      </c>
      <c r="D3035" s="3">
        <v>24</v>
      </c>
      <c r="E3035" s="3">
        <v>21</v>
      </c>
      <c r="F3035" s="3">
        <v>17.010000000000002</v>
      </c>
      <c r="G3035" s="3">
        <v>0</v>
      </c>
      <c r="H3035" s="3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 s="3">
        <v>23</v>
      </c>
      <c r="N3035" s="3">
        <v>99.28</v>
      </c>
      <c r="O3035" s="12">
        <v>27.689243027888441</v>
      </c>
    </row>
    <row r="3036" spans="1:15" hidden="1" x14ac:dyDescent="0.25">
      <c r="A3036" s="10">
        <v>46097</v>
      </c>
      <c r="B3036" t="s">
        <v>54</v>
      </c>
      <c r="C3036" s="1" t="s">
        <v>48</v>
      </c>
      <c r="D3036" s="3">
        <v>23</v>
      </c>
      <c r="E3036" s="3">
        <v>22</v>
      </c>
      <c r="F3036" s="3">
        <v>22.16</v>
      </c>
      <c r="G3036" s="3">
        <v>0</v>
      </c>
      <c r="H3036" s="3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 s="3">
        <v>21</v>
      </c>
      <c r="N3036" s="3">
        <v>100</v>
      </c>
      <c r="O3036" s="12">
        <v>27.04918032786885</v>
      </c>
    </row>
    <row r="3037" spans="1:15" hidden="1" x14ac:dyDescent="0.25">
      <c r="A3037" s="10">
        <v>46097</v>
      </c>
      <c r="B3037" t="s">
        <v>37</v>
      </c>
      <c r="C3037" s="1" t="s">
        <v>32</v>
      </c>
      <c r="D3037" s="3">
        <v>50</v>
      </c>
      <c r="E3037" s="3">
        <v>44</v>
      </c>
      <c r="F3037" s="3">
        <v>11.41</v>
      </c>
      <c r="G3037" s="3">
        <v>0</v>
      </c>
      <c r="H3037" s="3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 s="3">
        <v>43</v>
      </c>
      <c r="N3037" s="3">
        <v>97.83</v>
      </c>
      <c r="O3037" s="12">
        <v>26.315789473684209</v>
      </c>
    </row>
    <row r="3038" spans="1:15" hidden="1" x14ac:dyDescent="0.25">
      <c r="A3038" s="10">
        <v>46097</v>
      </c>
      <c r="B3038" t="s">
        <v>38</v>
      </c>
      <c r="C3038" s="1" t="s">
        <v>32</v>
      </c>
      <c r="D3038" s="3">
        <v>19</v>
      </c>
      <c r="E3038" s="3">
        <v>19</v>
      </c>
      <c r="F3038" s="3">
        <v>12.17</v>
      </c>
      <c r="G3038" s="3">
        <v>0</v>
      </c>
      <c r="H3038" s="3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 s="3">
        <v>16</v>
      </c>
      <c r="N3038" s="3">
        <v>100</v>
      </c>
      <c r="O3038" s="12">
        <v>26.701570680628269</v>
      </c>
    </row>
    <row r="3039" spans="1:15" hidden="1" x14ac:dyDescent="0.25">
      <c r="A3039" s="10">
        <v>46097</v>
      </c>
      <c r="B3039" t="s">
        <v>55</v>
      </c>
      <c r="C3039" s="1" t="s">
        <v>48</v>
      </c>
      <c r="D3039" s="3">
        <v>9</v>
      </c>
      <c r="E3039" s="3">
        <v>7</v>
      </c>
      <c r="F3039" s="3">
        <v>12.08</v>
      </c>
      <c r="G3039" s="3">
        <v>0</v>
      </c>
      <c r="H3039" s="3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 s="3">
        <v>7</v>
      </c>
      <c r="N3039" s="3">
        <v>97.47</v>
      </c>
      <c r="O3039" s="12">
        <v>22.887323943661968</v>
      </c>
    </row>
    <row r="3040" spans="1:15" hidden="1" x14ac:dyDescent="0.25">
      <c r="A3040" s="10">
        <v>46097</v>
      </c>
      <c r="B3040" t="s">
        <v>39</v>
      </c>
      <c r="C3040" s="1" t="s">
        <v>32</v>
      </c>
      <c r="D3040" s="3">
        <v>0</v>
      </c>
      <c r="E3040" s="3">
        <v>0</v>
      </c>
      <c r="F3040" s="3">
        <v>0</v>
      </c>
      <c r="G3040" s="3">
        <v>0</v>
      </c>
      <c r="H3040" s="3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 s="3">
        <v>0</v>
      </c>
      <c r="N3040" s="3">
        <v>0</v>
      </c>
      <c r="O3040" s="12">
        <v>0</v>
      </c>
    </row>
    <row r="3041" spans="1:15" hidden="1" x14ac:dyDescent="0.25">
      <c r="A3041" s="10">
        <v>46097</v>
      </c>
      <c r="B3041" t="s">
        <v>25</v>
      </c>
      <c r="C3041" s="1" t="s">
        <v>26</v>
      </c>
      <c r="D3041" s="3">
        <v>6</v>
      </c>
      <c r="E3041" s="3">
        <v>6</v>
      </c>
      <c r="F3041" s="3">
        <v>42.26</v>
      </c>
      <c r="G3041" s="3">
        <v>0</v>
      </c>
      <c r="H3041" s="3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 s="3">
        <v>6</v>
      </c>
      <c r="N3041" s="3">
        <v>98.31</v>
      </c>
      <c r="O3041" s="12">
        <v>24.920127795527151</v>
      </c>
    </row>
    <row r="3042" spans="1:15" hidden="1" x14ac:dyDescent="0.25">
      <c r="A3042" s="10">
        <v>46097</v>
      </c>
      <c r="B3042" t="s">
        <v>40</v>
      </c>
      <c r="C3042" s="1" t="s">
        <v>32</v>
      </c>
      <c r="D3042" s="3">
        <v>3</v>
      </c>
      <c r="E3042" s="3">
        <v>3</v>
      </c>
      <c r="F3042" s="3">
        <v>13.24</v>
      </c>
      <c r="G3042" s="3">
        <v>0</v>
      </c>
      <c r="H3042" s="3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 s="3">
        <v>2</v>
      </c>
      <c r="N3042" s="3">
        <v>96.81</v>
      </c>
      <c r="O3042" s="12">
        <v>32.365145228215773</v>
      </c>
    </row>
    <row r="3043" spans="1:15" hidden="1" x14ac:dyDescent="0.25">
      <c r="A3043" s="10">
        <v>46097</v>
      </c>
      <c r="B3043" t="s">
        <v>27</v>
      </c>
      <c r="C3043" s="1" t="s">
        <v>26</v>
      </c>
      <c r="D3043" s="3">
        <v>9</v>
      </c>
      <c r="E3043" s="3">
        <v>8</v>
      </c>
      <c r="F3043" s="3">
        <v>22.27</v>
      </c>
      <c r="G3043" s="3">
        <v>0</v>
      </c>
      <c r="H3043" s="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 s="3">
        <v>7</v>
      </c>
      <c r="N3043" s="3">
        <v>100</v>
      </c>
      <c r="O3043" s="12">
        <v>26.47058823529412</v>
      </c>
    </row>
    <row r="3044" spans="1:15" hidden="1" x14ac:dyDescent="0.25">
      <c r="A3044" s="10">
        <v>46097</v>
      </c>
      <c r="B3044" t="s">
        <v>41</v>
      </c>
      <c r="C3044" s="1" t="s">
        <v>32</v>
      </c>
      <c r="D3044" s="3">
        <v>17</v>
      </c>
      <c r="E3044" s="3">
        <v>17</v>
      </c>
      <c r="F3044" s="3">
        <v>18.47</v>
      </c>
      <c r="G3044" s="3">
        <v>0</v>
      </c>
      <c r="H3044" s="3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 s="3">
        <v>18</v>
      </c>
      <c r="N3044" s="3">
        <v>100</v>
      </c>
      <c r="O3044" s="12">
        <v>28.490028490028489</v>
      </c>
    </row>
    <row r="3045" spans="1:15" hidden="1" x14ac:dyDescent="0.25">
      <c r="A3045" s="10">
        <v>46097</v>
      </c>
      <c r="B3045" t="s">
        <v>56</v>
      </c>
      <c r="C3045" s="1" t="s">
        <v>48</v>
      </c>
      <c r="D3045" s="3">
        <v>29</v>
      </c>
      <c r="E3045" s="3">
        <v>27</v>
      </c>
      <c r="F3045" s="3">
        <v>21.55</v>
      </c>
      <c r="G3045" s="3">
        <v>0</v>
      </c>
      <c r="H3045" s="3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 s="3">
        <v>15</v>
      </c>
      <c r="N3045" s="3">
        <v>99.14</v>
      </c>
      <c r="O3045" s="12">
        <v>27.2289156626506</v>
      </c>
    </row>
    <row r="3046" spans="1:15" hidden="1" x14ac:dyDescent="0.25">
      <c r="A3046" s="10">
        <v>46097</v>
      </c>
      <c r="B3046" t="s">
        <v>57</v>
      </c>
      <c r="C3046" s="1" t="s">
        <v>48</v>
      </c>
      <c r="D3046" s="3">
        <v>36</v>
      </c>
      <c r="E3046" s="3">
        <v>35</v>
      </c>
      <c r="F3046" s="3">
        <v>16.47</v>
      </c>
      <c r="G3046" s="3">
        <v>0</v>
      </c>
      <c r="H3046" s="3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 s="3">
        <v>29</v>
      </c>
      <c r="N3046" s="3">
        <v>97.52</v>
      </c>
      <c r="O3046" s="12">
        <v>28.205128205128201</v>
      </c>
    </row>
    <row r="3047" spans="1:15" hidden="1" x14ac:dyDescent="0.25">
      <c r="A3047" s="10">
        <v>46097</v>
      </c>
      <c r="B3047" t="s">
        <v>42</v>
      </c>
      <c r="C3047" s="1" t="s">
        <v>32</v>
      </c>
      <c r="D3047" s="3">
        <v>0</v>
      </c>
      <c r="E3047" s="3">
        <v>0</v>
      </c>
      <c r="F3047" s="3">
        <v>0</v>
      </c>
      <c r="G3047" s="3">
        <v>0</v>
      </c>
      <c r="H3047" s="3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 s="3">
        <v>0</v>
      </c>
      <c r="N3047" s="3">
        <v>90</v>
      </c>
      <c r="O3047" s="12">
        <v>24.186046511627911</v>
      </c>
    </row>
    <row r="3048" spans="1:15" hidden="1" x14ac:dyDescent="0.25">
      <c r="A3048" s="10">
        <v>46097</v>
      </c>
      <c r="B3048" t="s">
        <v>62</v>
      </c>
      <c r="C3048" s="1" t="s">
        <v>23</v>
      </c>
      <c r="D3048" s="3">
        <v>12</v>
      </c>
      <c r="E3048" s="3">
        <v>11</v>
      </c>
      <c r="F3048" s="3">
        <v>30.43</v>
      </c>
      <c r="G3048" s="3">
        <v>0</v>
      </c>
      <c r="H3048" s="3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 s="3">
        <v>9</v>
      </c>
      <c r="N3048" s="3">
        <v>98.9</v>
      </c>
      <c r="O3048" s="12">
        <v>26.763990267639901</v>
      </c>
    </row>
    <row r="3049" spans="1:15" hidden="1" x14ac:dyDescent="0.25">
      <c r="A3049" s="10">
        <v>46097</v>
      </c>
      <c r="B3049" t="s">
        <v>19</v>
      </c>
      <c r="C3049" s="1" t="s">
        <v>16</v>
      </c>
      <c r="D3049" s="3">
        <v>7</v>
      </c>
      <c r="E3049" s="3">
        <v>7</v>
      </c>
      <c r="F3049" s="3">
        <v>54.04</v>
      </c>
      <c r="G3049" s="3">
        <v>0</v>
      </c>
      <c r="H3049" s="3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 s="3">
        <v>4</v>
      </c>
      <c r="N3049" s="3">
        <v>88.89</v>
      </c>
      <c r="O3049" s="12">
        <v>25.263157894736839</v>
      </c>
    </row>
    <row r="3050" spans="1:15" hidden="1" x14ac:dyDescent="0.25">
      <c r="A3050" s="10">
        <v>46115</v>
      </c>
      <c r="B3050" t="s">
        <v>43</v>
      </c>
      <c r="C3050" s="1" t="s">
        <v>32</v>
      </c>
      <c r="D3050" s="3">
        <v>0</v>
      </c>
      <c r="E3050" s="3">
        <v>0</v>
      </c>
      <c r="F3050" s="3">
        <v>0</v>
      </c>
      <c r="G3050" s="3">
        <v>0</v>
      </c>
      <c r="H3050" s="3">
        <v>0</v>
      </c>
      <c r="I3050" s="3">
        <v>0</v>
      </c>
      <c r="J3050" s="3">
        <v>0</v>
      </c>
      <c r="K3050" s="3">
        <v>0</v>
      </c>
      <c r="L3050" s="3" t="str">
        <f>IF(K3050&lt;-5,"CRÍTICO",IF(K3050&lt;0,"ATENÇÃO",IF(K3050&lt;=5,"OPORTUNO","MUITO BOM")))</f>
        <v>OPORTUNO</v>
      </c>
      <c r="M3050" s="3">
        <v>0</v>
      </c>
      <c r="N3050" s="3">
        <v>100</v>
      </c>
      <c r="O3050" s="12">
        <v>23.9870340356564</v>
      </c>
    </row>
    <row r="3051" spans="1:15" hidden="1" x14ac:dyDescent="0.25">
      <c r="A3051" s="10">
        <v>46097</v>
      </c>
      <c r="B3051" t="s">
        <v>44</v>
      </c>
      <c r="C3051" s="1" t="s">
        <v>32</v>
      </c>
      <c r="D3051" s="3">
        <v>33</v>
      </c>
      <c r="E3051" s="3">
        <v>30</v>
      </c>
      <c r="F3051" s="3">
        <v>18.29</v>
      </c>
      <c r="G3051" s="3">
        <v>0</v>
      </c>
      <c r="H3051" s="3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 s="3">
        <v>29</v>
      </c>
      <c r="N3051" s="3">
        <v>98.06</v>
      </c>
      <c r="O3051" s="12">
        <v>22.40566037735849</v>
      </c>
    </row>
    <row r="3052" spans="1:15" hidden="1" x14ac:dyDescent="0.25">
      <c r="A3052" s="10">
        <v>46125</v>
      </c>
      <c r="B3052" t="s">
        <v>20</v>
      </c>
      <c r="C3052" s="1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>IF(K3052&lt;-5,"CRÍTICO",IF(K3052&lt;0,"ATENÇÃO",IF(K3052&lt;=5,"OPORTUNO","MUITO BOM")))</f>
        <v>MUITO BOM</v>
      </c>
      <c r="M3052" s="3">
        <v>7</v>
      </c>
      <c r="N3052" s="3">
        <v>100</v>
      </c>
      <c r="O3052" s="12">
        <v>23.77622377622378</v>
      </c>
    </row>
    <row r="3053" spans="1:15" hidden="1" x14ac:dyDescent="0.25">
      <c r="A3053" s="10">
        <v>46097</v>
      </c>
      <c r="B3053" t="s">
        <v>28</v>
      </c>
      <c r="C3053" s="1" t="s">
        <v>26</v>
      </c>
      <c r="D3053" s="3">
        <v>0</v>
      </c>
      <c r="E3053" s="3">
        <v>0</v>
      </c>
      <c r="F3053" s="3">
        <v>0</v>
      </c>
      <c r="G3053" s="3">
        <v>0</v>
      </c>
      <c r="H3053" s="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 s="3">
        <v>0</v>
      </c>
      <c r="N3053" s="3">
        <v>100</v>
      </c>
      <c r="O3053" s="12">
        <v>15.38461538461539</v>
      </c>
    </row>
    <row r="3054" spans="1:15" hidden="1" x14ac:dyDescent="0.25">
      <c r="A3054" s="10">
        <v>46097</v>
      </c>
      <c r="B3054" t="s">
        <v>58</v>
      </c>
      <c r="C3054" s="1" t="s">
        <v>48</v>
      </c>
      <c r="D3054" s="3">
        <v>3</v>
      </c>
      <c r="E3054" s="3">
        <v>3</v>
      </c>
      <c r="F3054" s="3">
        <v>40.22</v>
      </c>
      <c r="G3054" s="3">
        <v>0</v>
      </c>
      <c r="H3054" s="3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 s="3">
        <v>3</v>
      </c>
      <c r="N3054" s="3">
        <v>100</v>
      </c>
      <c r="O3054" s="12">
        <v>27.514792899408281</v>
      </c>
    </row>
    <row r="3055" spans="1:15" hidden="1" x14ac:dyDescent="0.25">
      <c r="A3055" s="10">
        <v>46097</v>
      </c>
      <c r="B3055" t="s">
        <v>29</v>
      </c>
      <c r="C3055" s="1" t="s">
        <v>26</v>
      </c>
      <c r="D3055" s="3">
        <v>4</v>
      </c>
      <c r="E3055" s="3">
        <v>3</v>
      </c>
      <c r="F3055" s="3">
        <v>53.39</v>
      </c>
      <c r="G3055" s="3">
        <v>0</v>
      </c>
      <c r="H3055" s="3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 s="3">
        <v>5</v>
      </c>
      <c r="N3055" s="3">
        <v>100</v>
      </c>
      <c r="O3055" s="12">
        <v>24.875621890547269</v>
      </c>
    </row>
    <row r="3056" spans="1:15" hidden="1" x14ac:dyDescent="0.25">
      <c r="A3056" s="10">
        <v>46097</v>
      </c>
      <c r="B3056" t="s">
        <v>30</v>
      </c>
      <c r="C3056" s="1" t="s">
        <v>26</v>
      </c>
      <c r="D3056" s="3">
        <v>8</v>
      </c>
      <c r="E3056" s="3">
        <v>6</v>
      </c>
      <c r="F3056" s="3">
        <v>38.26</v>
      </c>
      <c r="G3056" s="3">
        <v>0</v>
      </c>
      <c r="H3056" s="3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 s="3">
        <v>6</v>
      </c>
      <c r="N3056" s="3">
        <v>100</v>
      </c>
      <c r="O3056" s="12">
        <v>28.108108108108109</v>
      </c>
    </row>
    <row r="3057" spans="1:15" hidden="1" x14ac:dyDescent="0.25">
      <c r="A3057" s="10">
        <v>46125</v>
      </c>
      <c r="B3057" t="s">
        <v>21</v>
      </c>
      <c r="C3057" s="1" t="s">
        <v>16</v>
      </c>
      <c r="D3057" s="3">
        <v>3</v>
      </c>
      <c r="E3057" s="3">
        <v>3</v>
      </c>
      <c r="F3057" s="3">
        <v>50.24</v>
      </c>
      <c r="G3057" s="3">
        <v>0</v>
      </c>
      <c r="H3057" s="3">
        <v>0</v>
      </c>
      <c r="I3057" s="3">
        <f>E3057+G3057+H3057</f>
        <v>3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7</v>
      </c>
      <c r="K3057" s="3">
        <f>I3057-J3057</f>
        <v>-4</v>
      </c>
      <c r="L3057" s="3" t="str">
        <f>IF(K3057&lt;-5,"CRÍTICO",IF(K3057&lt;0,"ATENÇÃO",IF(K3057&lt;=5,"OPORTUNO","MUITO BOM")))</f>
        <v>ATENÇÃO</v>
      </c>
      <c r="M3057" s="3">
        <v>3</v>
      </c>
      <c r="N3057" s="3">
        <v>94.12</v>
      </c>
      <c r="O3057" s="12">
        <v>32.799999999999997</v>
      </c>
    </row>
    <row r="3058" spans="1:15" hidden="1" x14ac:dyDescent="0.25">
      <c r="A3058" s="10">
        <v>46097</v>
      </c>
      <c r="B3058" t="s">
        <v>63</v>
      </c>
      <c r="C3058" s="1" t="s">
        <v>23</v>
      </c>
      <c r="D3058" s="3">
        <v>15</v>
      </c>
      <c r="E3058" s="3">
        <v>14</v>
      </c>
      <c r="F3058" s="3">
        <v>26.4</v>
      </c>
      <c r="G3058" s="3">
        <v>0</v>
      </c>
      <c r="H3058" s="3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 s="3">
        <v>11</v>
      </c>
      <c r="N3058" s="3">
        <v>95.35</v>
      </c>
      <c r="O3058" s="12">
        <v>28.61538461538461</v>
      </c>
    </row>
    <row r="3059" spans="1:15" hidden="1" x14ac:dyDescent="0.25">
      <c r="A3059" s="10">
        <v>46097</v>
      </c>
      <c r="B3059" t="s">
        <v>45</v>
      </c>
      <c r="C3059" s="1" t="s">
        <v>32</v>
      </c>
      <c r="D3059" s="3">
        <v>37</v>
      </c>
      <c r="E3059" s="3">
        <v>32</v>
      </c>
      <c r="F3059" s="3">
        <v>14.09</v>
      </c>
      <c r="G3059" s="3">
        <v>0</v>
      </c>
      <c r="H3059" s="3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 s="3">
        <v>29</v>
      </c>
      <c r="N3059" s="3">
        <v>98.26</v>
      </c>
      <c r="O3059" s="12">
        <v>27.54491017964072</v>
      </c>
    </row>
    <row r="3060" spans="1:15" hidden="1" x14ac:dyDescent="0.25">
      <c r="A3060" s="10">
        <v>46097</v>
      </c>
      <c r="B3060" t="s">
        <v>64</v>
      </c>
      <c r="C3060" s="1" t="s">
        <v>23</v>
      </c>
      <c r="D3060" s="3">
        <v>15</v>
      </c>
      <c r="E3060" s="3">
        <v>15</v>
      </c>
      <c r="F3060" s="3">
        <v>37.07</v>
      </c>
      <c r="G3060" s="3">
        <v>0</v>
      </c>
      <c r="H3060" s="3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 s="3">
        <v>13</v>
      </c>
      <c r="N3060" s="3">
        <v>98.55</v>
      </c>
      <c r="O3060" s="12">
        <v>25.337837837837839</v>
      </c>
    </row>
    <row r="3061" spans="1:15" hidden="1" x14ac:dyDescent="0.25">
      <c r="A3061" s="10">
        <v>46097</v>
      </c>
      <c r="B3061" t="s">
        <v>46</v>
      </c>
      <c r="C3061" s="1" t="s">
        <v>32</v>
      </c>
      <c r="D3061" s="3">
        <v>28</v>
      </c>
      <c r="E3061" s="3">
        <v>28</v>
      </c>
      <c r="F3061" s="3">
        <v>17.190000000000001</v>
      </c>
      <c r="G3061" s="3">
        <v>0</v>
      </c>
      <c r="H3061" s="3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 s="3">
        <v>25</v>
      </c>
      <c r="N3061" s="3">
        <v>98.39</v>
      </c>
      <c r="O3061" s="12">
        <v>25.563909774436091</v>
      </c>
    </row>
    <row r="3062" spans="1:15" hidden="1" x14ac:dyDescent="0.25">
      <c r="A3062" s="10">
        <v>46098</v>
      </c>
      <c r="B3062" t="s">
        <v>47</v>
      </c>
      <c r="C3062" s="1" t="s">
        <v>48</v>
      </c>
      <c r="D3062" s="3">
        <v>31</v>
      </c>
      <c r="E3062" s="3">
        <v>27</v>
      </c>
      <c r="F3062" s="3">
        <v>16.559999999999999</v>
      </c>
      <c r="G3062" s="3">
        <v>0</v>
      </c>
      <c r="H3062" s="3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 s="3">
        <v>19</v>
      </c>
      <c r="N3062" s="3">
        <v>94.29</v>
      </c>
      <c r="O3062" s="12">
        <v>25.647668393782389</v>
      </c>
    </row>
    <row r="3063" spans="1:15" hidden="1" x14ac:dyDescent="0.25">
      <c r="A3063" s="10">
        <v>46098</v>
      </c>
      <c r="B3063" t="s">
        <v>31</v>
      </c>
      <c r="C3063" s="1" t="s">
        <v>32</v>
      </c>
      <c r="D3063" s="3">
        <v>0</v>
      </c>
      <c r="E3063" s="3">
        <v>0</v>
      </c>
      <c r="F3063" s="3">
        <v>0</v>
      </c>
      <c r="G3063" s="3">
        <v>0</v>
      </c>
      <c r="H3063" s="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 s="3">
        <v>24</v>
      </c>
      <c r="N3063" s="3">
        <v>98.26</v>
      </c>
      <c r="O3063" s="12">
        <v>26.666666666666671</v>
      </c>
    </row>
    <row r="3064" spans="1:15" hidden="1" x14ac:dyDescent="0.25">
      <c r="A3064" s="10">
        <v>46098</v>
      </c>
      <c r="B3064" t="s">
        <v>59</v>
      </c>
      <c r="C3064" s="1" t="s">
        <v>23</v>
      </c>
      <c r="D3064" s="3">
        <v>13</v>
      </c>
      <c r="E3064" s="3">
        <v>12</v>
      </c>
      <c r="F3064" s="3">
        <v>29.12</v>
      </c>
      <c r="G3064" s="3">
        <v>0</v>
      </c>
      <c r="H3064" s="3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 s="3">
        <v>13</v>
      </c>
      <c r="N3064" s="3">
        <v>98.2</v>
      </c>
      <c r="O3064" s="12">
        <v>23.37962962962963</v>
      </c>
    </row>
    <row r="3065" spans="1:15" hidden="1" x14ac:dyDescent="0.25">
      <c r="A3065" s="10">
        <v>46098</v>
      </c>
      <c r="B3065" t="s">
        <v>33</v>
      </c>
      <c r="C3065" s="1" t="s">
        <v>32</v>
      </c>
      <c r="D3065" s="3">
        <v>30</v>
      </c>
      <c r="E3065" s="3">
        <v>27</v>
      </c>
      <c r="F3065" s="3">
        <v>20.36</v>
      </c>
      <c r="G3065" s="3">
        <v>0</v>
      </c>
      <c r="H3065" s="3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 s="3">
        <v>28</v>
      </c>
      <c r="N3065" s="3">
        <v>97.3</v>
      </c>
      <c r="O3065" s="12">
        <v>23.84769539078156</v>
      </c>
    </row>
    <row r="3066" spans="1:15" hidden="1" x14ac:dyDescent="0.25">
      <c r="A3066" s="10">
        <v>46098</v>
      </c>
      <c r="B3066" t="s">
        <v>15</v>
      </c>
      <c r="C3066" s="1" t="s">
        <v>16</v>
      </c>
      <c r="D3066" s="3">
        <v>18</v>
      </c>
      <c r="E3066" s="3">
        <v>15</v>
      </c>
      <c r="F3066" s="3">
        <v>20.54</v>
      </c>
      <c r="G3066" s="3">
        <v>0</v>
      </c>
      <c r="H3066" s="3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 s="3">
        <v>13</v>
      </c>
      <c r="N3066" s="3">
        <v>100</v>
      </c>
      <c r="O3066" s="12">
        <v>25.268817204301079</v>
      </c>
    </row>
    <row r="3067" spans="1:15" hidden="1" x14ac:dyDescent="0.25">
      <c r="A3067" s="10">
        <v>46098</v>
      </c>
      <c r="B3067" t="s">
        <v>49</v>
      </c>
      <c r="C3067" s="1" t="s">
        <v>48</v>
      </c>
      <c r="D3067" s="3">
        <v>40</v>
      </c>
      <c r="E3067" s="3">
        <v>35</v>
      </c>
      <c r="F3067" s="3">
        <v>15.36</v>
      </c>
      <c r="G3067" s="3">
        <v>0</v>
      </c>
      <c r="H3067" s="3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 s="3">
        <v>30</v>
      </c>
      <c r="N3067" s="3">
        <v>99.32</v>
      </c>
      <c r="O3067" s="12">
        <v>22.822822822822818</v>
      </c>
    </row>
    <row r="3068" spans="1:15" hidden="1" x14ac:dyDescent="0.25">
      <c r="A3068" s="10">
        <v>46098</v>
      </c>
      <c r="B3068" t="s">
        <v>50</v>
      </c>
      <c r="C3068" s="1" t="s">
        <v>48</v>
      </c>
      <c r="D3068" s="3">
        <v>4</v>
      </c>
      <c r="E3068" s="3">
        <v>4</v>
      </c>
      <c r="F3068" s="3">
        <v>17.18</v>
      </c>
      <c r="G3068" s="3">
        <v>0</v>
      </c>
      <c r="H3068" s="3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 s="3">
        <v>5</v>
      </c>
      <c r="N3068" s="3">
        <v>100</v>
      </c>
      <c r="O3068" s="12">
        <v>27.966101694915249</v>
      </c>
    </row>
    <row r="3069" spans="1:15" hidden="1" x14ac:dyDescent="0.25">
      <c r="A3069" s="10">
        <v>46098</v>
      </c>
      <c r="B3069" t="s">
        <v>17</v>
      </c>
      <c r="C3069" s="1" t="s">
        <v>16</v>
      </c>
      <c r="D3069" s="3">
        <v>0</v>
      </c>
      <c r="E3069" s="3">
        <v>0</v>
      </c>
      <c r="F3069" s="3">
        <v>0</v>
      </c>
      <c r="G3069" s="3">
        <v>0</v>
      </c>
      <c r="H3069" s="3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 s="3">
        <v>0</v>
      </c>
      <c r="N3069" s="3">
        <v>100</v>
      </c>
      <c r="O3069" s="12">
        <v>30.434782608695659</v>
      </c>
    </row>
    <row r="3070" spans="1:15" hidden="1" x14ac:dyDescent="0.25">
      <c r="A3070" s="10">
        <v>46098</v>
      </c>
      <c r="B3070" t="s">
        <v>60</v>
      </c>
      <c r="C3070" s="1" t="s">
        <v>23</v>
      </c>
      <c r="D3070" s="3">
        <v>24</v>
      </c>
      <c r="E3070" s="3">
        <v>24</v>
      </c>
      <c r="F3070" s="3">
        <v>20.29</v>
      </c>
      <c r="G3070" s="3">
        <v>0</v>
      </c>
      <c r="H3070" s="3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 s="3">
        <v>22</v>
      </c>
      <c r="N3070" s="3">
        <v>96.51</v>
      </c>
      <c r="O3070" s="12">
        <v>22.802850356294542</v>
      </c>
    </row>
    <row r="3071" spans="1:15" hidden="1" x14ac:dyDescent="0.25">
      <c r="A3071" s="10">
        <v>46098</v>
      </c>
      <c r="B3071" t="s">
        <v>34</v>
      </c>
      <c r="C3071" s="1" t="s">
        <v>32</v>
      </c>
      <c r="D3071" s="3">
        <v>0</v>
      </c>
      <c r="E3071" s="3">
        <v>0</v>
      </c>
      <c r="F3071" s="3">
        <v>0</v>
      </c>
      <c r="G3071" s="3">
        <v>0</v>
      </c>
      <c r="H3071" s="3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 s="3">
        <v>9</v>
      </c>
      <c r="N3071" s="3">
        <v>92.68</v>
      </c>
      <c r="O3071" s="12">
        <v>27.777777777777779</v>
      </c>
    </row>
    <row r="3072" spans="1:15" hidden="1" x14ac:dyDescent="0.25">
      <c r="A3072" s="10">
        <v>46098</v>
      </c>
      <c r="B3072" t="s">
        <v>51</v>
      </c>
      <c r="C3072" s="1" t="s">
        <v>48</v>
      </c>
      <c r="D3072" s="3">
        <v>29</v>
      </c>
      <c r="E3072" s="3">
        <v>26</v>
      </c>
      <c r="F3072" s="3">
        <v>21.42</v>
      </c>
      <c r="G3072" s="3">
        <v>0</v>
      </c>
      <c r="H3072" s="3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 s="3">
        <v>26</v>
      </c>
      <c r="N3072" s="3">
        <v>99.03</v>
      </c>
      <c r="O3072" s="12">
        <v>23.991507430997881</v>
      </c>
    </row>
    <row r="3073" spans="1:15" hidden="1" x14ac:dyDescent="0.25">
      <c r="A3073" s="10">
        <v>46098</v>
      </c>
      <c r="B3073" t="s">
        <v>61</v>
      </c>
      <c r="C3073" s="1" t="s">
        <v>23</v>
      </c>
      <c r="D3073" s="3">
        <v>24</v>
      </c>
      <c r="E3073" s="3">
        <v>22</v>
      </c>
      <c r="F3073" s="3">
        <v>25.58</v>
      </c>
      <c r="G3073" s="3">
        <v>0</v>
      </c>
      <c r="H3073" s="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 s="3">
        <v>13</v>
      </c>
      <c r="N3073" s="3">
        <v>98.41</v>
      </c>
      <c r="O3073" s="12">
        <v>28.138528138528141</v>
      </c>
    </row>
    <row r="3074" spans="1:15" hidden="1" x14ac:dyDescent="0.25">
      <c r="A3074" s="10">
        <v>46098</v>
      </c>
      <c r="B3074" t="s">
        <v>35</v>
      </c>
      <c r="C3074" s="1" t="s">
        <v>32</v>
      </c>
      <c r="D3074" s="3">
        <v>20</v>
      </c>
      <c r="E3074" s="3">
        <v>20</v>
      </c>
      <c r="F3074" s="3">
        <v>31.55</v>
      </c>
      <c r="G3074" s="3">
        <v>0</v>
      </c>
      <c r="H3074" s="3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 s="3">
        <v>20</v>
      </c>
      <c r="N3074" s="3">
        <v>98.73</v>
      </c>
      <c r="O3074" s="12">
        <v>29.142857142857139</v>
      </c>
    </row>
    <row r="3075" spans="1:15" hidden="1" x14ac:dyDescent="0.25">
      <c r="A3075" s="10">
        <v>46098</v>
      </c>
      <c r="B3075" t="s">
        <v>18</v>
      </c>
      <c r="C3075" s="1" t="s">
        <v>16</v>
      </c>
      <c r="D3075" s="3">
        <v>9</v>
      </c>
      <c r="E3075" s="3">
        <v>8</v>
      </c>
      <c r="F3075" s="3">
        <v>43.36</v>
      </c>
      <c r="G3075" s="3">
        <v>0</v>
      </c>
      <c r="H3075" s="3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 s="3">
        <v>5</v>
      </c>
      <c r="N3075" s="3">
        <v>90.48</v>
      </c>
      <c r="O3075" s="12">
        <v>20.68965517241379</v>
      </c>
    </row>
    <row r="3076" spans="1:15" hidden="1" x14ac:dyDescent="0.25">
      <c r="A3076" s="10">
        <v>46098</v>
      </c>
      <c r="B3076" t="s">
        <v>52</v>
      </c>
      <c r="C3076" s="1" t="s">
        <v>48</v>
      </c>
      <c r="D3076" s="3">
        <v>25</v>
      </c>
      <c r="E3076" s="3">
        <v>25</v>
      </c>
      <c r="F3076" s="3">
        <v>20.079999999999998</v>
      </c>
      <c r="G3076" s="3">
        <v>0</v>
      </c>
      <c r="H3076" s="3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 s="3">
        <v>25</v>
      </c>
      <c r="N3076" s="3">
        <v>98.06</v>
      </c>
      <c r="O3076" s="12">
        <v>24.789915966386559</v>
      </c>
    </row>
    <row r="3077" spans="1:15" hidden="1" x14ac:dyDescent="0.25">
      <c r="A3077" s="10">
        <v>46098</v>
      </c>
      <c r="B3077" t="s">
        <v>36</v>
      </c>
      <c r="C3077" s="1" t="s">
        <v>32</v>
      </c>
      <c r="D3077" s="3">
        <v>29</v>
      </c>
      <c r="E3077" s="3">
        <v>29</v>
      </c>
      <c r="F3077" s="3">
        <v>20.37</v>
      </c>
      <c r="G3077" s="3">
        <v>0</v>
      </c>
      <c r="H3077" s="3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 s="3">
        <v>27</v>
      </c>
      <c r="N3077" s="3">
        <v>97.78</v>
      </c>
      <c r="O3077" s="12">
        <v>25.494071146245059</v>
      </c>
    </row>
    <row r="3078" spans="1:15" hidden="1" x14ac:dyDescent="0.25">
      <c r="A3078" s="10">
        <v>46098</v>
      </c>
      <c r="B3078" t="s">
        <v>53</v>
      </c>
      <c r="C3078" s="1" t="s">
        <v>48</v>
      </c>
      <c r="D3078" s="3">
        <v>21</v>
      </c>
      <c r="E3078" s="3">
        <v>20</v>
      </c>
      <c r="F3078" s="3">
        <v>18.32</v>
      </c>
      <c r="G3078" s="3">
        <v>0</v>
      </c>
      <c r="H3078" s="3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 s="3">
        <v>18</v>
      </c>
      <c r="N3078" s="3">
        <v>98.02</v>
      </c>
      <c r="O3078" s="12">
        <v>23.484848484848481</v>
      </c>
    </row>
    <row r="3079" spans="1:15" hidden="1" x14ac:dyDescent="0.25">
      <c r="A3079" s="10">
        <v>46132</v>
      </c>
      <c r="B3079" t="s">
        <v>22</v>
      </c>
      <c r="C3079" s="1" t="s">
        <v>23</v>
      </c>
      <c r="D3079" s="3">
        <v>10</v>
      </c>
      <c r="E3079" s="3">
        <v>9</v>
      </c>
      <c r="F3079" s="3">
        <v>23.48</v>
      </c>
      <c r="G3079" s="3">
        <v>0</v>
      </c>
      <c r="H3079" s="3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 s="3">
        <v>11</v>
      </c>
      <c r="N3079" s="3">
        <v>99.28</v>
      </c>
      <c r="O3079" s="12">
        <v>27.689243027888441</v>
      </c>
    </row>
    <row r="3080" spans="1:15" hidden="1" x14ac:dyDescent="0.25">
      <c r="A3080" s="10">
        <v>46098</v>
      </c>
      <c r="B3080" t="s">
        <v>54</v>
      </c>
      <c r="C3080" s="1" t="s">
        <v>48</v>
      </c>
      <c r="D3080" s="3">
        <v>33</v>
      </c>
      <c r="E3080" s="3">
        <v>31</v>
      </c>
      <c r="F3080" s="3">
        <v>14.06</v>
      </c>
      <c r="G3080" s="3">
        <v>0</v>
      </c>
      <c r="H3080" s="3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 s="3">
        <v>26</v>
      </c>
      <c r="N3080" s="3">
        <v>100</v>
      </c>
      <c r="O3080" s="12">
        <v>27.04918032786885</v>
      </c>
    </row>
    <row r="3081" spans="1:15" hidden="1" x14ac:dyDescent="0.25">
      <c r="A3081" s="10">
        <v>46098</v>
      </c>
      <c r="B3081" t="s">
        <v>37</v>
      </c>
      <c r="C3081" s="1" t="s">
        <v>32</v>
      </c>
      <c r="D3081" s="3">
        <v>45</v>
      </c>
      <c r="E3081" s="3">
        <v>39</v>
      </c>
      <c r="F3081" s="3">
        <v>15.06</v>
      </c>
      <c r="G3081" s="3">
        <v>0</v>
      </c>
      <c r="H3081" s="3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 s="3">
        <v>38</v>
      </c>
      <c r="N3081" s="3">
        <v>97.83</v>
      </c>
      <c r="O3081" s="12">
        <v>26.315789473684209</v>
      </c>
    </row>
    <row r="3082" spans="1:15" hidden="1" x14ac:dyDescent="0.25">
      <c r="A3082" s="10">
        <v>46098</v>
      </c>
      <c r="B3082" t="s">
        <v>38</v>
      </c>
      <c r="C3082" s="1" t="s">
        <v>32</v>
      </c>
      <c r="D3082" s="3">
        <v>9</v>
      </c>
      <c r="E3082" s="3">
        <v>8</v>
      </c>
      <c r="F3082" s="3">
        <v>18.23</v>
      </c>
      <c r="G3082" s="3">
        <v>0</v>
      </c>
      <c r="H3082" s="3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 s="3">
        <v>16</v>
      </c>
      <c r="N3082" s="3">
        <v>100</v>
      </c>
      <c r="O3082" s="12">
        <v>26.701570680628269</v>
      </c>
    </row>
    <row r="3083" spans="1:15" hidden="1" x14ac:dyDescent="0.25">
      <c r="A3083" s="10">
        <v>46098</v>
      </c>
      <c r="B3083" t="s">
        <v>55</v>
      </c>
      <c r="C3083" s="1" t="s">
        <v>48</v>
      </c>
      <c r="D3083" s="3">
        <v>29</v>
      </c>
      <c r="E3083" s="3">
        <v>26</v>
      </c>
      <c r="F3083" s="3">
        <v>20.14</v>
      </c>
      <c r="G3083" s="3">
        <v>0</v>
      </c>
      <c r="H3083" s="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 s="3">
        <v>24</v>
      </c>
      <c r="N3083" s="3">
        <v>97.47</v>
      </c>
      <c r="O3083" s="12">
        <v>22.887323943661968</v>
      </c>
    </row>
    <row r="3084" spans="1:15" hidden="1" x14ac:dyDescent="0.25">
      <c r="A3084" s="10">
        <v>46098</v>
      </c>
      <c r="B3084" t="s">
        <v>39</v>
      </c>
      <c r="C3084" s="1" t="s">
        <v>32</v>
      </c>
      <c r="D3084" s="3">
        <v>0</v>
      </c>
      <c r="E3084" s="3">
        <v>0</v>
      </c>
      <c r="F3084" s="3">
        <v>0</v>
      </c>
      <c r="G3084" s="3">
        <v>0</v>
      </c>
      <c r="H3084" s="3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 s="3">
        <v>0</v>
      </c>
      <c r="N3084" s="3">
        <v>0</v>
      </c>
      <c r="O3084" s="12">
        <v>0</v>
      </c>
    </row>
    <row r="3085" spans="1:15" hidden="1" x14ac:dyDescent="0.25">
      <c r="A3085" s="10">
        <v>46098</v>
      </c>
      <c r="B3085" t="s">
        <v>25</v>
      </c>
      <c r="C3085" s="1" t="s">
        <v>26</v>
      </c>
      <c r="D3085" s="3">
        <v>8</v>
      </c>
      <c r="E3085" s="3">
        <v>6</v>
      </c>
      <c r="F3085" s="3">
        <v>32.020000000000003</v>
      </c>
      <c r="G3085" s="3">
        <v>0</v>
      </c>
      <c r="H3085" s="3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 s="3">
        <v>7</v>
      </c>
      <c r="N3085" s="3">
        <v>98.31</v>
      </c>
      <c r="O3085" s="12">
        <v>24.920127795527151</v>
      </c>
    </row>
    <row r="3086" spans="1:15" hidden="1" x14ac:dyDescent="0.25">
      <c r="A3086" s="10">
        <v>46098</v>
      </c>
      <c r="B3086" t="s">
        <v>40</v>
      </c>
      <c r="C3086" s="1" t="s">
        <v>32</v>
      </c>
      <c r="D3086" s="3">
        <v>1</v>
      </c>
      <c r="E3086" s="3">
        <v>1</v>
      </c>
      <c r="F3086" s="3">
        <v>10.119999999999999</v>
      </c>
      <c r="G3086" s="3">
        <v>0</v>
      </c>
      <c r="H3086" s="3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 s="3">
        <v>2</v>
      </c>
      <c r="N3086" s="3">
        <v>96.81</v>
      </c>
      <c r="O3086" s="12">
        <v>32.365145228215773</v>
      </c>
    </row>
    <row r="3087" spans="1:15" hidden="1" x14ac:dyDescent="0.25">
      <c r="A3087" s="10">
        <v>46098</v>
      </c>
      <c r="B3087" t="s">
        <v>27</v>
      </c>
      <c r="C3087" s="1" t="s">
        <v>26</v>
      </c>
      <c r="D3087" s="3">
        <v>10</v>
      </c>
      <c r="E3087" s="3">
        <v>9</v>
      </c>
      <c r="F3087" s="3">
        <v>35.33</v>
      </c>
      <c r="G3087" s="3">
        <v>0</v>
      </c>
      <c r="H3087" s="3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 s="3">
        <v>8</v>
      </c>
      <c r="N3087" s="3">
        <v>100</v>
      </c>
      <c r="O3087" s="12">
        <v>26.47058823529412</v>
      </c>
    </row>
    <row r="3088" spans="1:15" hidden="1" x14ac:dyDescent="0.25">
      <c r="A3088" s="10">
        <v>46098</v>
      </c>
      <c r="B3088" t="s">
        <v>41</v>
      </c>
      <c r="C3088" s="1" t="s">
        <v>32</v>
      </c>
      <c r="D3088" s="3">
        <v>18</v>
      </c>
      <c r="E3088" s="3">
        <v>18</v>
      </c>
      <c r="F3088" s="3">
        <v>25.22</v>
      </c>
      <c r="G3088" s="3">
        <v>0</v>
      </c>
      <c r="H3088" s="3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 s="3">
        <v>16</v>
      </c>
      <c r="N3088" s="3">
        <v>100</v>
      </c>
      <c r="O3088" s="12">
        <v>28.490028490028489</v>
      </c>
    </row>
    <row r="3089" spans="1:15" hidden="1" x14ac:dyDescent="0.25">
      <c r="A3089" s="10">
        <v>46098</v>
      </c>
      <c r="B3089" t="s">
        <v>56</v>
      </c>
      <c r="C3089" s="1" t="s">
        <v>48</v>
      </c>
      <c r="D3089" s="3">
        <v>38</v>
      </c>
      <c r="E3089" s="3">
        <v>36</v>
      </c>
      <c r="F3089" s="3">
        <v>20.03</v>
      </c>
      <c r="G3089" s="3">
        <v>0</v>
      </c>
      <c r="H3089" s="3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 s="3">
        <v>40</v>
      </c>
      <c r="N3089" s="3">
        <v>99.14</v>
      </c>
      <c r="O3089" s="12">
        <v>27.2289156626506</v>
      </c>
    </row>
    <row r="3090" spans="1:15" hidden="1" x14ac:dyDescent="0.25">
      <c r="A3090" s="10">
        <v>46098</v>
      </c>
      <c r="B3090" t="s">
        <v>57</v>
      </c>
      <c r="C3090" s="1" t="s">
        <v>48</v>
      </c>
      <c r="D3090" s="3">
        <v>22</v>
      </c>
      <c r="E3090" s="3">
        <v>21</v>
      </c>
      <c r="F3090" s="3">
        <v>23.56</v>
      </c>
      <c r="G3090" s="3">
        <v>0</v>
      </c>
      <c r="H3090" s="3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 s="3">
        <v>22</v>
      </c>
      <c r="N3090" s="3">
        <v>97.52</v>
      </c>
      <c r="O3090" s="12">
        <v>28.205128205128201</v>
      </c>
    </row>
    <row r="3091" spans="1:15" hidden="1" x14ac:dyDescent="0.25">
      <c r="A3091" s="10">
        <v>46098</v>
      </c>
      <c r="B3091" t="s">
        <v>42</v>
      </c>
      <c r="C3091" s="1" t="s">
        <v>32</v>
      </c>
      <c r="D3091" s="3">
        <v>0</v>
      </c>
      <c r="E3091" s="3">
        <v>0</v>
      </c>
      <c r="F3091" s="3">
        <v>0</v>
      </c>
      <c r="G3091" s="3">
        <v>0</v>
      </c>
      <c r="H3091" s="3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 s="3">
        <v>0</v>
      </c>
      <c r="N3091" s="3">
        <v>90</v>
      </c>
      <c r="O3091" s="12">
        <v>24.186046511627911</v>
      </c>
    </row>
    <row r="3092" spans="1:15" hidden="1" x14ac:dyDescent="0.25">
      <c r="A3092" s="10">
        <v>46098</v>
      </c>
      <c r="B3092" t="s">
        <v>62</v>
      </c>
      <c r="C3092" s="1" t="s">
        <v>23</v>
      </c>
      <c r="D3092" s="3">
        <v>16</v>
      </c>
      <c r="E3092" s="3">
        <v>16</v>
      </c>
      <c r="F3092" s="3">
        <v>33.57</v>
      </c>
      <c r="G3092" s="3">
        <v>0</v>
      </c>
      <c r="H3092" s="3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 s="3">
        <v>16</v>
      </c>
      <c r="N3092" s="3">
        <v>98.9</v>
      </c>
      <c r="O3092" s="12">
        <v>26.763990267639901</v>
      </c>
    </row>
    <row r="3093" spans="1:15" hidden="1" x14ac:dyDescent="0.25">
      <c r="A3093" s="10">
        <v>46098</v>
      </c>
      <c r="B3093" t="s">
        <v>19</v>
      </c>
      <c r="C3093" s="1" t="s">
        <v>16</v>
      </c>
      <c r="D3093" s="3">
        <v>8</v>
      </c>
      <c r="E3093" s="3">
        <v>8</v>
      </c>
      <c r="F3093" s="3">
        <v>38.31</v>
      </c>
      <c r="G3093" s="3">
        <v>0</v>
      </c>
      <c r="H3093" s="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 s="3">
        <v>7</v>
      </c>
      <c r="N3093" s="3">
        <v>88.89</v>
      </c>
      <c r="O3093" s="12">
        <v>25.263157894736839</v>
      </c>
    </row>
    <row r="3094" spans="1:15" hidden="1" x14ac:dyDescent="0.25">
      <c r="A3094" s="10">
        <v>46118</v>
      </c>
      <c r="B3094" t="s">
        <v>43</v>
      </c>
      <c r="C3094" s="1" t="s">
        <v>32</v>
      </c>
      <c r="D3094" s="3">
        <v>44</v>
      </c>
      <c r="E3094" s="3">
        <v>42</v>
      </c>
      <c r="F3094" s="3">
        <v>12.16</v>
      </c>
      <c r="G3094" s="3">
        <v>0</v>
      </c>
      <c r="H3094" s="3">
        <v>0</v>
      </c>
      <c r="I3094" s="3">
        <f>E3094+G3094+H3094</f>
        <v>42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31</v>
      </c>
      <c r="K3094" s="3">
        <f>I3094-J3094</f>
        <v>11</v>
      </c>
      <c r="L3094" s="3" t="str">
        <f>IF(K3094&lt;-5,"CRÍTICO",IF(K3094&lt;0,"ATENÇÃO",IF(K3094&lt;=5,"OPORTUNO","MUITO BOM")))</f>
        <v>MUITO BOM</v>
      </c>
      <c r="M3094" s="3">
        <v>41</v>
      </c>
      <c r="N3094" s="3">
        <v>100</v>
      </c>
      <c r="O3094" s="12">
        <v>23.9870340356564</v>
      </c>
    </row>
    <row r="3095" spans="1:15" hidden="1" x14ac:dyDescent="0.25">
      <c r="A3095" s="10">
        <v>46098</v>
      </c>
      <c r="B3095" t="s">
        <v>44</v>
      </c>
      <c r="C3095" s="1" t="s">
        <v>32</v>
      </c>
      <c r="D3095" s="3">
        <v>2</v>
      </c>
      <c r="E3095" s="3">
        <v>2</v>
      </c>
      <c r="F3095" s="3">
        <v>5.24</v>
      </c>
      <c r="G3095" s="3">
        <v>0</v>
      </c>
      <c r="H3095" s="3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 s="3">
        <v>1</v>
      </c>
      <c r="N3095" s="3">
        <v>98.06</v>
      </c>
      <c r="O3095" s="12">
        <v>22.40566037735849</v>
      </c>
    </row>
    <row r="3096" spans="1:15" hidden="1" x14ac:dyDescent="0.25">
      <c r="A3096" s="10">
        <v>46126</v>
      </c>
      <c r="B3096" t="s">
        <v>20</v>
      </c>
      <c r="C3096" s="1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 s="3">
        <v>0</v>
      </c>
      <c r="N3096" s="3">
        <v>100</v>
      </c>
      <c r="O3096" s="12">
        <v>23.77622377622378</v>
      </c>
    </row>
    <row r="3097" spans="1:15" hidden="1" x14ac:dyDescent="0.25">
      <c r="A3097" s="10">
        <v>46098</v>
      </c>
      <c r="B3097" t="s">
        <v>28</v>
      </c>
      <c r="C3097" s="1" t="s">
        <v>26</v>
      </c>
      <c r="D3097" s="3">
        <v>0</v>
      </c>
      <c r="E3097" s="3">
        <v>0</v>
      </c>
      <c r="F3097" s="3">
        <v>0</v>
      </c>
      <c r="G3097" s="3">
        <v>0</v>
      </c>
      <c r="H3097" s="3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 s="3">
        <v>0</v>
      </c>
      <c r="N3097" s="3">
        <v>100</v>
      </c>
      <c r="O3097" s="12">
        <v>15.38461538461539</v>
      </c>
    </row>
    <row r="3098" spans="1:15" hidden="1" x14ac:dyDescent="0.25">
      <c r="A3098" s="10">
        <v>46098</v>
      </c>
      <c r="B3098" t="s">
        <v>58</v>
      </c>
      <c r="C3098" s="1" t="s">
        <v>48</v>
      </c>
      <c r="D3098" s="3">
        <v>36</v>
      </c>
      <c r="E3098" s="3">
        <v>33</v>
      </c>
      <c r="F3098" s="3">
        <v>18.329999999999998</v>
      </c>
      <c r="G3098" s="3">
        <v>0</v>
      </c>
      <c r="H3098" s="3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 s="3">
        <v>29</v>
      </c>
      <c r="N3098" s="3">
        <v>100</v>
      </c>
      <c r="O3098" s="12">
        <v>27.514792899408281</v>
      </c>
    </row>
    <row r="3099" spans="1:15" hidden="1" x14ac:dyDescent="0.25">
      <c r="A3099" s="10">
        <v>46098</v>
      </c>
      <c r="B3099" t="s">
        <v>29</v>
      </c>
      <c r="C3099" s="1" t="s">
        <v>26</v>
      </c>
      <c r="D3099" s="3">
        <v>14</v>
      </c>
      <c r="E3099" s="3">
        <v>14</v>
      </c>
      <c r="F3099" s="3">
        <v>25.2</v>
      </c>
      <c r="G3099" s="3">
        <v>0</v>
      </c>
      <c r="H3099" s="3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 s="3">
        <v>11</v>
      </c>
      <c r="N3099" s="3">
        <v>100</v>
      </c>
      <c r="O3099" s="12">
        <v>24.875621890547269</v>
      </c>
    </row>
    <row r="3100" spans="1:15" hidden="1" x14ac:dyDescent="0.25">
      <c r="A3100" s="10">
        <v>46098</v>
      </c>
      <c r="B3100" t="s">
        <v>30</v>
      </c>
      <c r="C3100" s="1" t="s">
        <v>26</v>
      </c>
      <c r="D3100" s="3">
        <v>16</v>
      </c>
      <c r="E3100" s="3">
        <v>15</v>
      </c>
      <c r="F3100" s="3">
        <v>33.22</v>
      </c>
      <c r="G3100" s="3">
        <v>0</v>
      </c>
      <c r="H3100" s="3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 s="3">
        <v>12</v>
      </c>
      <c r="N3100" s="3">
        <v>100</v>
      </c>
      <c r="O3100" s="12">
        <v>28.108108108108109</v>
      </c>
    </row>
    <row r="3101" spans="1:15" hidden="1" x14ac:dyDescent="0.25">
      <c r="A3101" s="10">
        <v>46126</v>
      </c>
      <c r="B3101" t="s">
        <v>21</v>
      </c>
      <c r="C3101" s="1" t="s">
        <v>16</v>
      </c>
      <c r="D3101" s="3">
        <v>0</v>
      </c>
      <c r="E3101" s="3">
        <v>0</v>
      </c>
      <c r="F3101" s="3">
        <v>0</v>
      </c>
      <c r="G3101" s="3">
        <v>0</v>
      </c>
      <c r="H3101" s="3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 s="3">
        <v>0</v>
      </c>
      <c r="N3101" s="3">
        <v>94.12</v>
      </c>
      <c r="O3101" s="12">
        <v>32.799999999999997</v>
      </c>
    </row>
    <row r="3102" spans="1:15" hidden="1" x14ac:dyDescent="0.25">
      <c r="A3102" s="10">
        <v>46098</v>
      </c>
      <c r="B3102" t="s">
        <v>63</v>
      </c>
      <c r="C3102" s="1" t="s">
        <v>23</v>
      </c>
      <c r="D3102" s="3">
        <v>19</v>
      </c>
      <c r="E3102" s="3">
        <v>19</v>
      </c>
      <c r="F3102" s="3">
        <v>33.4</v>
      </c>
      <c r="G3102" s="3">
        <v>0</v>
      </c>
      <c r="H3102" s="3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 s="3">
        <v>14</v>
      </c>
      <c r="N3102" s="3">
        <v>95.35</v>
      </c>
      <c r="O3102" s="12">
        <v>28.61538461538461</v>
      </c>
    </row>
    <row r="3103" spans="1:15" hidden="1" x14ac:dyDescent="0.25">
      <c r="A3103" s="10">
        <v>46098</v>
      </c>
      <c r="B3103" t="s">
        <v>45</v>
      </c>
      <c r="C3103" s="1" t="s">
        <v>32</v>
      </c>
      <c r="D3103" s="3">
        <v>37</v>
      </c>
      <c r="E3103" s="3">
        <v>37</v>
      </c>
      <c r="F3103" s="3">
        <v>15.07</v>
      </c>
      <c r="G3103" s="3">
        <v>0</v>
      </c>
      <c r="H3103" s="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 s="3">
        <v>27</v>
      </c>
      <c r="N3103" s="3">
        <v>98.26</v>
      </c>
      <c r="O3103" s="12">
        <v>27.54491017964072</v>
      </c>
    </row>
    <row r="3104" spans="1:15" hidden="1" x14ac:dyDescent="0.25">
      <c r="A3104" s="10">
        <v>46098</v>
      </c>
      <c r="B3104" t="s">
        <v>64</v>
      </c>
      <c r="C3104" s="1" t="s">
        <v>23</v>
      </c>
      <c r="D3104" s="3">
        <v>10</v>
      </c>
      <c r="E3104" s="3">
        <v>10</v>
      </c>
      <c r="F3104" s="3">
        <v>48.4</v>
      </c>
      <c r="G3104" s="3">
        <v>0</v>
      </c>
      <c r="H3104" s="3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 s="3">
        <v>10</v>
      </c>
      <c r="N3104" s="3">
        <v>98.55</v>
      </c>
      <c r="O3104" s="12">
        <v>25.337837837837839</v>
      </c>
    </row>
    <row r="3105" spans="1:15" hidden="1" x14ac:dyDescent="0.25">
      <c r="A3105" s="10">
        <v>46098</v>
      </c>
      <c r="B3105" t="s">
        <v>46</v>
      </c>
      <c r="C3105" s="1" t="s">
        <v>32</v>
      </c>
      <c r="D3105" s="3">
        <v>27</v>
      </c>
      <c r="E3105" s="3">
        <v>26</v>
      </c>
      <c r="F3105" s="3">
        <v>21.43</v>
      </c>
      <c r="G3105" s="3">
        <v>0</v>
      </c>
      <c r="H3105" s="3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 s="3">
        <v>23</v>
      </c>
      <c r="N3105" s="3">
        <v>98.39</v>
      </c>
      <c r="O3105" s="12">
        <v>25.563909774436091</v>
      </c>
    </row>
    <row r="3106" spans="1:15" hidden="1" x14ac:dyDescent="0.25">
      <c r="A3106" s="10">
        <v>46099</v>
      </c>
      <c r="B3106" t="s">
        <v>47</v>
      </c>
      <c r="C3106" s="1" t="s">
        <v>48</v>
      </c>
      <c r="D3106" s="3">
        <v>25</v>
      </c>
      <c r="E3106" s="3">
        <v>24</v>
      </c>
      <c r="F3106" s="3">
        <v>18.420000000000002</v>
      </c>
      <c r="G3106" s="3">
        <v>0</v>
      </c>
      <c r="H3106" s="3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 s="3">
        <v>18</v>
      </c>
      <c r="N3106" s="3">
        <v>94.29</v>
      </c>
      <c r="O3106" s="12">
        <v>25.647668393782389</v>
      </c>
    </row>
    <row r="3107" spans="1:15" hidden="1" x14ac:dyDescent="0.25">
      <c r="A3107" s="10">
        <v>46099</v>
      </c>
      <c r="B3107" t="s">
        <v>31</v>
      </c>
      <c r="C3107" s="1" t="s">
        <v>32</v>
      </c>
      <c r="D3107" s="3">
        <v>0</v>
      </c>
      <c r="E3107" s="3">
        <v>0</v>
      </c>
      <c r="F3107" s="3">
        <v>0</v>
      </c>
      <c r="G3107" s="3">
        <v>0</v>
      </c>
      <c r="H3107" s="3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 s="3">
        <v>24</v>
      </c>
      <c r="N3107" s="3">
        <v>98.26</v>
      </c>
      <c r="O3107" s="12">
        <v>26.666666666666671</v>
      </c>
    </row>
    <row r="3108" spans="1:15" hidden="1" x14ac:dyDescent="0.25">
      <c r="A3108" s="10">
        <v>46099</v>
      </c>
      <c r="B3108" t="s">
        <v>59</v>
      </c>
      <c r="C3108" s="1" t="s">
        <v>23</v>
      </c>
      <c r="D3108" s="3">
        <v>7</v>
      </c>
      <c r="E3108" s="3">
        <v>7</v>
      </c>
      <c r="F3108" s="3">
        <v>36.57</v>
      </c>
      <c r="G3108" s="3">
        <v>0</v>
      </c>
      <c r="H3108" s="3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 s="3">
        <v>9</v>
      </c>
      <c r="N3108" s="3">
        <v>98.2</v>
      </c>
      <c r="O3108" s="12">
        <v>23.37962962962963</v>
      </c>
    </row>
    <row r="3109" spans="1:15" hidden="1" x14ac:dyDescent="0.25">
      <c r="A3109" s="10">
        <v>46099</v>
      </c>
      <c r="B3109" t="s">
        <v>33</v>
      </c>
      <c r="C3109" s="1" t="s">
        <v>32</v>
      </c>
      <c r="D3109" s="3">
        <v>28</v>
      </c>
      <c r="E3109" s="3">
        <v>28</v>
      </c>
      <c r="F3109" s="3">
        <v>20.21</v>
      </c>
      <c r="G3109" s="3">
        <v>0</v>
      </c>
      <c r="H3109" s="3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 s="3">
        <v>25</v>
      </c>
      <c r="N3109" s="3">
        <v>97.3</v>
      </c>
      <c r="O3109" s="12">
        <v>23.84769539078156</v>
      </c>
    </row>
    <row r="3110" spans="1:15" hidden="1" x14ac:dyDescent="0.25">
      <c r="A3110" s="10">
        <v>46099</v>
      </c>
      <c r="B3110" t="s">
        <v>15</v>
      </c>
      <c r="C3110" s="1" t="s">
        <v>16</v>
      </c>
      <c r="D3110" s="3">
        <v>8</v>
      </c>
      <c r="E3110" s="3">
        <v>8</v>
      </c>
      <c r="F3110" s="3">
        <v>45.29</v>
      </c>
      <c r="G3110" s="3">
        <v>0</v>
      </c>
      <c r="H3110" s="3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 s="3">
        <v>5</v>
      </c>
      <c r="N3110" s="3">
        <v>100</v>
      </c>
      <c r="O3110" s="12">
        <v>25.268817204301079</v>
      </c>
    </row>
    <row r="3111" spans="1:15" hidden="1" x14ac:dyDescent="0.25">
      <c r="A3111" s="10">
        <v>46099</v>
      </c>
      <c r="B3111" t="s">
        <v>49</v>
      </c>
      <c r="C3111" s="1" t="s">
        <v>48</v>
      </c>
      <c r="D3111" s="3">
        <v>31</v>
      </c>
      <c r="E3111" s="3">
        <v>26</v>
      </c>
      <c r="F3111" s="3">
        <v>18.32</v>
      </c>
      <c r="G3111" s="3">
        <v>0</v>
      </c>
      <c r="H3111" s="3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 s="3">
        <v>24</v>
      </c>
      <c r="N3111" s="3">
        <v>99.32</v>
      </c>
      <c r="O3111" s="12">
        <v>22.822822822822818</v>
      </c>
    </row>
    <row r="3112" spans="1:15" hidden="1" x14ac:dyDescent="0.25">
      <c r="A3112" s="10">
        <v>46099</v>
      </c>
      <c r="B3112" t="s">
        <v>50</v>
      </c>
      <c r="C3112" s="1" t="s">
        <v>48</v>
      </c>
      <c r="D3112" s="3">
        <v>17</v>
      </c>
      <c r="E3112" s="3">
        <v>16</v>
      </c>
      <c r="F3112" s="3">
        <v>18.239999999999998</v>
      </c>
      <c r="G3112" s="3">
        <v>0</v>
      </c>
      <c r="H3112" s="3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 s="3">
        <v>16</v>
      </c>
      <c r="N3112" s="3">
        <v>100</v>
      </c>
      <c r="O3112" s="12">
        <v>27.966101694915249</v>
      </c>
    </row>
    <row r="3113" spans="1:15" hidden="1" x14ac:dyDescent="0.25">
      <c r="A3113" s="10">
        <v>46099</v>
      </c>
      <c r="B3113" t="s">
        <v>17</v>
      </c>
      <c r="C3113" s="1" t="s">
        <v>16</v>
      </c>
      <c r="D3113" s="3">
        <v>0</v>
      </c>
      <c r="E3113" s="3">
        <v>0</v>
      </c>
      <c r="F3113" s="3">
        <v>0</v>
      </c>
      <c r="G3113" s="3">
        <v>0</v>
      </c>
      <c r="H3113" s="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 s="3">
        <v>0</v>
      </c>
      <c r="N3113" s="3">
        <v>100</v>
      </c>
      <c r="O3113" s="12">
        <v>30.434782608695659</v>
      </c>
    </row>
    <row r="3114" spans="1:15" hidden="1" x14ac:dyDescent="0.25">
      <c r="A3114" s="10">
        <v>46099</v>
      </c>
      <c r="B3114" t="s">
        <v>60</v>
      </c>
      <c r="C3114" s="1" t="s">
        <v>23</v>
      </c>
      <c r="D3114" s="3">
        <v>19</v>
      </c>
      <c r="E3114" s="3">
        <v>19</v>
      </c>
      <c r="F3114" s="3">
        <v>32.01</v>
      </c>
      <c r="G3114" s="3">
        <v>0</v>
      </c>
      <c r="H3114" s="3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 s="3">
        <v>14</v>
      </c>
      <c r="N3114" s="3">
        <v>96.51</v>
      </c>
      <c r="O3114" s="12">
        <v>22.802850356294542</v>
      </c>
    </row>
    <row r="3115" spans="1:15" hidden="1" x14ac:dyDescent="0.25">
      <c r="A3115" s="10">
        <v>46099</v>
      </c>
      <c r="B3115" t="s">
        <v>34</v>
      </c>
      <c r="C3115" s="1" t="s">
        <v>32</v>
      </c>
      <c r="D3115" s="3">
        <v>0</v>
      </c>
      <c r="E3115" s="3">
        <v>0</v>
      </c>
      <c r="F3115" s="3">
        <v>0</v>
      </c>
      <c r="G3115" s="3">
        <v>0</v>
      </c>
      <c r="H3115" s="3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 s="3">
        <v>9</v>
      </c>
      <c r="N3115" s="3">
        <v>92.68</v>
      </c>
      <c r="O3115" s="12">
        <v>27.777777777777779</v>
      </c>
    </row>
    <row r="3116" spans="1:15" hidden="1" x14ac:dyDescent="0.25">
      <c r="A3116" s="10">
        <v>46099</v>
      </c>
      <c r="B3116" t="s">
        <v>51</v>
      </c>
      <c r="C3116" s="1" t="s">
        <v>48</v>
      </c>
      <c r="D3116" s="3">
        <v>25</v>
      </c>
      <c r="E3116" s="3">
        <v>24</v>
      </c>
      <c r="F3116" s="3">
        <v>24.13</v>
      </c>
      <c r="G3116" s="3">
        <v>0</v>
      </c>
      <c r="H3116" s="3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 s="3">
        <v>22</v>
      </c>
      <c r="N3116" s="3">
        <v>99.03</v>
      </c>
      <c r="O3116" s="12">
        <v>23.991507430997881</v>
      </c>
    </row>
    <row r="3117" spans="1:15" hidden="1" x14ac:dyDescent="0.25">
      <c r="A3117" s="10">
        <v>46099</v>
      </c>
      <c r="B3117" t="s">
        <v>61</v>
      </c>
      <c r="C3117" s="1" t="s">
        <v>23</v>
      </c>
      <c r="D3117" s="3">
        <v>12</v>
      </c>
      <c r="E3117" s="3">
        <v>12</v>
      </c>
      <c r="F3117" s="3">
        <v>25.21</v>
      </c>
      <c r="G3117" s="3">
        <v>0</v>
      </c>
      <c r="H3117" s="3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 s="3">
        <v>8</v>
      </c>
      <c r="N3117" s="3">
        <v>98.41</v>
      </c>
      <c r="O3117" s="12">
        <v>28.138528138528141</v>
      </c>
    </row>
    <row r="3118" spans="1:15" hidden="1" x14ac:dyDescent="0.25">
      <c r="A3118" s="10">
        <v>46099</v>
      </c>
      <c r="B3118" t="s">
        <v>35</v>
      </c>
      <c r="C3118" s="1" t="s">
        <v>32</v>
      </c>
      <c r="D3118" s="3">
        <v>19</v>
      </c>
      <c r="E3118" s="3">
        <v>18</v>
      </c>
      <c r="F3118" s="3">
        <v>38.28</v>
      </c>
      <c r="G3118" s="3">
        <v>0</v>
      </c>
      <c r="H3118" s="3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 s="3">
        <v>17</v>
      </c>
      <c r="N3118" s="3">
        <v>98.73</v>
      </c>
      <c r="O3118" s="12">
        <v>29.142857142857139</v>
      </c>
    </row>
    <row r="3119" spans="1:15" hidden="1" x14ac:dyDescent="0.25">
      <c r="A3119" s="10">
        <v>46099</v>
      </c>
      <c r="B3119" t="s">
        <v>18</v>
      </c>
      <c r="C3119" s="1" t="s">
        <v>16</v>
      </c>
      <c r="D3119" s="3">
        <v>6</v>
      </c>
      <c r="E3119" s="3">
        <v>6</v>
      </c>
      <c r="F3119" s="3">
        <v>52.09</v>
      </c>
      <c r="G3119" s="3">
        <v>0</v>
      </c>
      <c r="H3119" s="3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 s="3">
        <v>4</v>
      </c>
      <c r="N3119" s="3">
        <v>90.48</v>
      </c>
      <c r="O3119" s="12">
        <v>20.68965517241379</v>
      </c>
    </row>
    <row r="3120" spans="1:15" hidden="1" x14ac:dyDescent="0.25">
      <c r="A3120" s="10">
        <v>46099</v>
      </c>
      <c r="B3120" t="s">
        <v>52</v>
      </c>
      <c r="C3120" s="1" t="s">
        <v>48</v>
      </c>
      <c r="D3120" s="3">
        <v>29</v>
      </c>
      <c r="E3120" s="3">
        <v>25</v>
      </c>
      <c r="F3120" s="3">
        <v>20.57</v>
      </c>
      <c r="G3120" s="3">
        <v>0</v>
      </c>
      <c r="H3120" s="3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 s="3">
        <v>28</v>
      </c>
      <c r="N3120" s="3">
        <v>98.06</v>
      </c>
      <c r="O3120" s="12">
        <v>24.789915966386559</v>
      </c>
    </row>
    <row r="3121" spans="1:15" hidden="1" x14ac:dyDescent="0.25">
      <c r="A3121" s="10">
        <v>46099</v>
      </c>
      <c r="B3121" t="s">
        <v>36</v>
      </c>
      <c r="C3121" s="1" t="s">
        <v>32</v>
      </c>
      <c r="D3121" s="3">
        <v>31</v>
      </c>
      <c r="E3121" s="3">
        <v>30</v>
      </c>
      <c r="F3121" s="3">
        <v>14.14</v>
      </c>
      <c r="G3121" s="3">
        <v>0</v>
      </c>
      <c r="H3121" s="3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 s="3">
        <v>29</v>
      </c>
      <c r="N3121" s="3">
        <v>97.78</v>
      </c>
      <c r="O3121" s="12">
        <v>25.494071146245059</v>
      </c>
    </row>
    <row r="3122" spans="1:15" hidden="1" x14ac:dyDescent="0.25">
      <c r="A3122" s="10">
        <v>46099</v>
      </c>
      <c r="B3122" t="s">
        <v>53</v>
      </c>
      <c r="C3122" s="1" t="s">
        <v>48</v>
      </c>
      <c r="D3122" s="3">
        <v>28</v>
      </c>
      <c r="E3122" s="3">
        <v>24</v>
      </c>
      <c r="F3122" s="3">
        <v>23.54</v>
      </c>
      <c r="G3122" s="3">
        <v>0</v>
      </c>
      <c r="H3122" s="3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 s="3">
        <v>22</v>
      </c>
      <c r="N3122" s="3">
        <v>98.02</v>
      </c>
      <c r="O3122" s="12">
        <v>23.484848484848481</v>
      </c>
    </row>
    <row r="3123" spans="1:15" hidden="1" x14ac:dyDescent="0.25">
      <c r="A3123" s="10">
        <v>46134</v>
      </c>
      <c r="B3123" t="s">
        <v>22</v>
      </c>
      <c r="C3123" s="1" t="s">
        <v>23</v>
      </c>
      <c r="D3123" s="3">
        <v>20</v>
      </c>
      <c r="E3123" s="3">
        <v>18</v>
      </c>
      <c r="F3123" s="3">
        <v>27.29</v>
      </c>
      <c r="G3123" s="3">
        <v>0</v>
      </c>
      <c r="H3123" s="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 s="3">
        <v>15</v>
      </c>
      <c r="N3123" s="3">
        <v>99.28</v>
      </c>
      <c r="O3123" s="12">
        <v>27.689243027888441</v>
      </c>
    </row>
    <row r="3124" spans="1:15" hidden="1" x14ac:dyDescent="0.25">
      <c r="A3124" s="10">
        <v>46099</v>
      </c>
      <c r="B3124" t="s">
        <v>54</v>
      </c>
      <c r="C3124" s="1" t="s">
        <v>48</v>
      </c>
      <c r="D3124" s="3">
        <v>29</v>
      </c>
      <c r="E3124" s="3">
        <v>27</v>
      </c>
      <c r="F3124" s="3">
        <v>17.32</v>
      </c>
      <c r="G3124" s="3">
        <v>0</v>
      </c>
      <c r="H3124" s="3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 s="3">
        <v>24</v>
      </c>
      <c r="N3124" s="3">
        <v>100</v>
      </c>
      <c r="O3124" s="12">
        <v>27.04918032786885</v>
      </c>
    </row>
    <row r="3125" spans="1:15" hidden="1" x14ac:dyDescent="0.25">
      <c r="A3125" s="10">
        <v>46099</v>
      </c>
      <c r="B3125" t="s">
        <v>37</v>
      </c>
      <c r="C3125" s="1" t="s">
        <v>32</v>
      </c>
      <c r="D3125" s="3">
        <v>43</v>
      </c>
      <c r="E3125" s="3">
        <v>40</v>
      </c>
      <c r="F3125" s="3">
        <v>16.5</v>
      </c>
      <c r="G3125" s="3">
        <v>0</v>
      </c>
      <c r="H3125" s="3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 s="3">
        <v>35</v>
      </c>
      <c r="N3125" s="3">
        <v>97.83</v>
      </c>
      <c r="O3125" s="12">
        <v>26.315789473684209</v>
      </c>
    </row>
    <row r="3126" spans="1:15" hidden="1" x14ac:dyDescent="0.25">
      <c r="A3126" s="10">
        <v>46099</v>
      </c>
      <c r="B3126" t="s">
        <v>38</v>
      </c>
      <c r="C3126" s="1" t="s">
        <v>32</v>
      </c>
      <c r="D3126" s="3">
        <v>0</v>
      </c>
      <c r="E3126" s="3">
        <v>0</v>
      </c>
      <c r="F3126" s="3">
        <v>0</v>
      </c>
      <c r="G3126" s="3">
        <v>0</v>
      </c>
      <c r="H3126" s="3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 s="3">
        <v>7</v>
      </c>
      <c r="N3126" s="3">
        <v>100</v>
      </c>
      <c r="O3126" s="12">
        <v>26.701570680628269</v>
      </c>
    </row>
    <row r="3127" spans="1:15" hidden="1" x14ac:dyDescent="0.25">
      <c r="A3127" s="10">
        <v>46099</v>
      </c>
      <c r="B3127" t="s">
        <v>55</v>
      </c>
      <c r="C3127" s="1" t="s">
        <v>48</v>
      </c>
      <c r="D3127" s="3">
        <v>19</v>
      </c>
      <c r="E3127" s="3">
        <v>16</v>
      </c>
      <c r="F3127" s="3">
        <v>32.33</v>
      </c>
      <c r="G3127" s="3">
        <v>0</v>
      </c>
      <c r="H3127" s="3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 s="3">
        <v>16</v>
      </c>
      <c r="N3127" s="3">
        <v>97.47</v>
      </c>
      <c r="O3127" s="12">
        <v>22.887323943661968</v>
      </c>
    </row>
    <row r="3128" spans="1:15" hidden="1" x14ac:dyDescent="0.25">
      <c r="A3128" s="10">
        <v>46099</v>
      </c>
      <c r="B3128" t="s">
        <v>39</v>
      </c>
      <c r="C3128" s="1" t="s">
        <v>32</v>
      </c>
      <c r="D3128" s="3">
        <v>0</v>
      </c>
      <c r="E3128" s="3">
        <v>0</v>
      </c>
      <c r="F3128" s="3">
        <v>0</v>
      </c>
      <c r="G3128" s="3">
        <v>0</v>
      </c>
      <c r="H3128" s="3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 s="3">
        <v>0</v>
      </c>
      <c r="N3128" s="3">
        <v>0</v>
      </c>
      <c r="O3128" s="12">
        <v>0</v>
      </c>
    </row>
    <row r="3129" spans="1:15" hidden="1" x14ac:dyDescent="0.25">
      <c r="A3129" s="10">
        <v>46099</v>
      </c>
      <c r="B3129" t="s">
        <v>25</v>
      </c>
      <c r="C3129" s="1" t="s">
        <v>26</v>
      </c>
      <c r="D3129" s="3">
        <v>19</v>
      </c>
      <c r="E3129" s="3">
        <v>18</v>
      </c>
      <c r="F3129" s="3">
        <v>30.2</v>
      </c>
      <c r="G3129" s="3">
        <v>0</v>
      </c>
      <c r="H3129" s="3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 s="3">
        <v>14</v>
      </c>
      <c r="N3129" s="3">
        <v>98.31</v>
      </c>
      <c r="O3129" s="12">
        <v>24.920127795527151</v>
      </c>
    </row>
    <row r="3130" spans="1:15" hidden="1" x14ac:dyDescent="0.25">
      <c r="A3130" s="10">
        <v>46099</v>
      </c>
      <c r="B3130" t="s">
        <v>40</v>
      </c>
      <c r="C3130" s="1" t="s">
        <v>32</v>
      </c>
      <c r="D3130" s="3">
        <v>11</v>
      </c>
      <c r="E3130" s="3">
        <v>7</v>
      </c>
      <c r="F3130" s="3">
        <v>14</v>
      </c>
      <c r="G3130" s="3">
        <v>0</v>
      </c>
      <c r="H3130" s="3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 s="3">
        <v>8</v>
      </c>
      <c r="N3130" s="3">
        <v>96.81</v>
      </c>
      <c r="O3130" s="12">
        <v>32.365145228215773</v>
      </c>
    </row>
    <row r="3131" spans="1:15" hidden="1" x14ac:dyDescent="0.25">
      <c r="A3131" s="10">
        <v>46099</v>
      </c>
      <c r="B3131" t="s">
        <v>27</v>
      </c>
      <c r="C3131" s="1" t="s">
        <v>26</v>
      </c>
      <c r="D3131" s="3">
        <v>16</v>
      </c>
      <c r="E3131" s="3">
        <v>16</v>
      </c>
      <c r="F3131" s="3">
        <v>24.14</v>
      </c>
      <c r="G3131" s="3">
        <v>0</v>
      </c>
      <c r="H3131" s="3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 s="3">
        <v>7</v>
      </c>
      <c r="N3131" s="3">
        <v>100</v>
      </c>
      <c r="O3131" s="12">
        <v>26.47058823529412</v>
      </c>
    </row>
    <row r="3132" spans="1:15" hidden="1" x14ac:dyDescent="0.25">
      <c r="A3132" s="10">
        <v>46099</v>
      </c>
      <c r="B3132" t="s">
        <v>41</v>
      </c>
      <c r="C3132" s="1" t="s">
        <v>32</v>
      </c>
      <c r="D3132" s="3">
        <v>18</v>
      </c>
      <c r="E3132" s="3">
        <v>18</v>
      </c>
      <c r="F3132" s="3">
        <v>30.43</v>
      </c>
      <c r="G3132" s="3">
        <v>0</v>
      </c>
      <c r="H3132" s="3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 s="3">
        <v>16</v>
      </c>
      <c r="N3132" s="3">
        <v>100</v>
      </c>
      <c r="O3132" s="12">
        <v>28.490028490028489</v>
      </c>
    </row>
    <row r="3133" spans="1:15" hidden="1" x14ac:dyDescent="0.25">
      <c r="A3133" s="10">
        <v>46099</v>
      </c>
      <c r="B3133" t="s">
        <v>56</v>
      </c>
      <c r="C3133" s="1" t="s">
        <v>48</v>
      </c>
      <c r="D3133" s="3">
        <v>29</v>
      </c>
      <c r="E3133" s="3">
        <v>29</v>
      </c>
      <c r="F3133" s="3">
        <v>23.43</v>
      </c>
      <c r="G3133" s="3">
        <v>0</v>
      </c>
      <c r="H3133" s="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 s="3">
        <v>31</v>
      </c>
      <c r="N3133" s="3">
        <v>99.14</v>
      </c>
      <c r="O3133" s="12">
        <v>27.2289156626506</v>
      </c>
    </row>
    <row r="3134" spans="1:15" hidden="1" x14ac:dyDescent="0.25">
      <c r="A3134" s="10">
        <v>46099</v>
      </c>
      <c r="B3134" t="s">
        <v>57</v>
      </c>
      <c r="C3134" s="1" t="s">
        <v>48</v>
      </c>
      <c r="D3134" s="3">
        <v>34</v>
      </c>
      <c r="E3134" s="3">
        <v>31</v>
      </c>
      <c r="F3134" s="3">
        <v>23.5</v>
      </c>
      <c r="G3134" s="3">
        <v>0</v>
      </c>
      <c r="H3134" s="3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 s="3">
        <v>26</v>
      </c>
      <c r="N3134" s="3">
        <v>97.52</v>
      </c>
      <c r="O3134" s="12">
        <v>28.205128205128201</v>
      </c>
    </row>
    <row r="3135" spans="1:15" hidden="1" x14ac:dyDescent="0.25">
      <c r="A3135" s="10">
        <v>46099</v>
      </c>
      <c r="B3135" t="s">
        <v>42</v>
      </c>
      <c r="C3135" s="1" t="s">
        <v>32</v>
      </c>
      <c r="D3135" s="3">
        <v>0</v>
      </c>
      <c r="E3135" s="3">
        <v>0</v>
      </c>
      <c r="F3135" s="3">
        <v>0</v>
      </c>
      <c r="G3135" s="3">
        <v>0</v>
      </c>
      <c r="H3135" s="3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 s="3">
        <v>0</v>
      </c>
      <c r="N3135" s="3">
        <v>90</v>
      </c>
      <c r="O3135" s="12">
        <v>24.186046511627911</v>
      </c>
    </row>
    <row r="3136" spans="1:15" hidden="1" x14ac:dyDescent="0.25">
      <c r="A3136" s="10">
        <v>46099</v>
      </c>
      <c r="B3136" t="s">
        <v>62</v>
      </c>
      <c r="C3136" s="1" t="s">
        <v>23</v>
      </c>
      <c r="D3136" s="3">
        <v>19</v>
      </c>
      <c r="E3136" s="3">
        <v>19</v>
      </c>
      <c r="F3136" s="3">
        <v>24.11</v>
      </c>
      <c r="G3136" s="3">
        <v>0</v>
      </c>
      <c r="H3136" s="3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 s="3">
        <v>17</v>
      </c>
      <c r="N3136" s="3">
        <v>98.9</v>
      </c>
      <c r="O3136" s="12">
        <v>26.763990267639901</v>
      </c>
    </row>
    <row r="3137" spans="1:15" hidden="1" x14ac:dyDescent="0.25">
      <c r="A3137" s="10">
        <v>46099</v>
      </c>
      <c r="B3137" t="s">
        <v>19</v>
      </c>
      <c r="C3137" s="1" t="s">
        <v>16</v>
      </c>
      <c r="D3137" s="3">
        <v>4</v>
      </c>
      <c r="E3137" s="3">
        <v>4</v>
      </c>
      <c r="F3137" s="3">
        <v>67.319999999999993</v>
      </c>
      <c r="G3137" s="3">
        <v>0</v>
      </c>
      <c r="H3137" s="3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 s="3">
        <v>4</v>
      </c>
      <c r="N3137" s="3">
        <v>88.89</v>
      </c>
      <c r="O3137" s="12">
        <v>25.263157894736839</v>
      </c>
    </row>
    <row r="3138" spans="1:15" hidden="1" x14ac:dyDescent="0.25">
      <c r="A3138" s="10">
        <v>46119</v>
      </c>
      <c r="B3138" t="s">
        <v>43</v>
      </c>
      <c r="C3138" s="1" t="s">
        <v>32</v>
      </c>
      <c r="D3138" s="3">
        <v>44</v>
      </c>
      <c r="E3138" s="3">
        <v>43</v>
      </c>
      <c r="F3138" s="3">
        <v>15.07</v>
      </c>
      <c r="G3138" s="3">
        <v>0</v>
      </c>
      <c r="H3138" s="3">
        <v>0</v>
      </c>
      <c r="I3138" s="3">
        <f>E3138+G3138+H3138</f>
        <v>43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31</v>
      </c>
      <c r="K3138" s="3">
        <f>I3138-J3138</f>
        <v>12</v>
      </c>
      <c r="L3138" s="3" t="str">
        <f>IF(K3138&lt;-5,"CRÍTICO",IF(K3138&lt;0,"ATENÇÃO",IF(K3138&lt;=5,"OPORTUNO","MUITO BOM")))</f>
        <v>MUITO BOM</v>
      </c>
      <c r="M3138" s="3">
        <v>40</v>
      </c>
      <c r="N3138" s="3">
        <v>100</v>
      </c>
      <c r="O3138" s="12">
        <v>23.9870340356564</v>
      </c>
    </row>
    <row r="3139" spans="1:15" hidden="1" x14ac:dyDescent="0.25">
      <c r="A3139" s="10">
        <v>46099</v>
      </c>
      <c r="B3139" t="s">
        <v>44</v>
      </c>
      <c r="C3139" s="1" t="s">
        <v>32</v>
      </c>
      <c r="D3139" s="3">
        <v>4</v>
      </c>
      <c r="E3139" s="3">
        <v>3</v>
      </c>
      <c r="F3139" s="3">
        <v>66.430000000000007</v>
      </c>
      <c r="G3139" s="3">
        <v>0</v>
      </c>
      <c r="H3139" s="3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 s="3">
        <v>3</v>
      </c>
      <c r="N3139" s="3">
        <v>98.06</v>
      </c>
      <c r="O3139" s="12">
        <v>22.40566037735849</v>
      </c>
    </row>
    <row r="3140" spans="1:15" hidden="1" x14ac:dyDescent="0.25">
      <c r="A3140" s="10">
        <v>46127</v>
      </c>
      <c r="B3140" t="s">
        <v>20</v>
      </c>
      <c r="C3140" s="1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>IF(K3140&lt;-5,"CRÍTICO",IF(K3140&lt;0,"ATENÇÃO",IF(K3140&lt;=5,"OPORTUNO","MUITO BOM")))</f>
        <v>MUITO BOM</v>
      </c>
      <c r="M3140" s="3">
        <v>15</v>
      </c>
      <c r="N3140" s="3">
        <v>100</v>
      </c>
      <c r="O3140" s="12">
        <v>23.77622377622378</v>
      </c>
    </row>
    <row r="3141" spans="1:15" hidden="1" x14ac:dyDescent="0.25">
      <c r="A3141" s="10">
        <v>46099</v>
      </c>
      <c r="B3141" t="s">
        <v>28</v>
      </c>
      <c r="C3141" s="1" t="s">
        <v>26</v>
      </c>
      <c r="D3141" s="3">
        <v>0</v>
      </c>
      <c r="E3141" s="3">
        <v>0</v>
      </c>
      <c r="F3141" s="3">
        <v>0</v>
      </c>
      <c r="G3141" s="3">
        <v>0</v>
      </c>
      <c r="H3141" s="3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 s="3">
        <v>0</v>
      </c>
      <c r="N3141" s="3">
        <v>100</v>
      </c>
      <c r="O3141" s="12">
        <v>15.38461538461539</v>
      </c>
    </row>
    <row r="3142" spans="1:15" hidden="1" x14ac:dyDescent="0.25">
      <c r="A3142" s="10">
        <v>46099</v>
      </c>
      <c r="B3142" t="s">
        <v>58</v>
      </c>
      <c r="C3142" s="1" t="s">
        <v>48</v>
      </c>
      <c r="D3142" s="3">
        <v>16</v>
      </c>
      <c r="E3142" s="3">
        <v>12</v>
      </c>
      <c r="F3142" s="3">
        <v>16.43</v>
      </c>
      <c r="G3142" s="3">
        <v>0</v>
      </c>
      <c r="H3142" s="3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 s="3">
        <v>10</v>
      </c>
      <c r="N3142" s="3">
        <v>100</v>
      </c>
      <c r="O3142" s="12">
        <v>27.514792899408281</v>
      </c>
    </row>
    <row r="3143" spans="1:15" hidden="1" x14ac:dyDescent="0.25">
      <c r="A3143" s="10">
        <v>46099</v>
      </c>
      <c r="B3143" t="s">
        <v>29</v>
      </c>
      <c r="C3143" s="1" t="s">
        <v>26</v>
      </c>
      <c r="D3143" s="3">
        <v>12</v>
      </c>
      <c r="E3143" s="3">
        <v>12</v>
      </c>
      <c r="F3143" s="3">
        <v>25.18</v>
      </c>
      <c r="G3143" s="3">
        <v>0</v>
      </c>
      <c r="H3143" s="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 s="3">
        <v>9</v>
      </c>
      <c r="N3143" s="3">
        <v>100</v>
      </c>
      <c r="O3143" s="12">
        <v>24.875621890547269</v>
      </c>
    </row>
    <row r="3144" spans="1:15" hidden="1" x14ac:dyDescent="0.25">
      <c r="A3144" s="10">
        <v>46099</v>
      </c>
      <c r="B3144" t="s">
        <v>30</v>
      </c>
      <c r="C3144" s="1" t="s">
        <v>26</v>
      </c>
      <c r="D3144" s="3">
        <v>11</v>
      </c>
      <c r="E3144" s="3">
        <v>11</v>
      </c>
      <c r="F3144" s="3">
        <v>42.15</v>
      </c>
      <c r="G3144" s="3">
        <v>0</v>
      </c>
      <c r="H3144" s="3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 s="3">
        <v>10</v>
      </c>
      <c r="N3144" s="3">
        <v>100</v>
      </c>
      <c r="O3144" s="12">
        <v>28.108108108108109</v>
      </c>
    </row>
    <row r="3145" spans="1:15" hidden="1" x14ac:dyDescent="0.25">
      <c r="A3145" s="10">
        <v>46127</v>
      </c>
      <c r="B3145" t="s">
        <v>21</v>
      </c>
      <c r="C3145" s="1" t="s">
        <v>16</v>
      </c>
      <c r="D3145" s="3">
        <v>11</v>
      </c>
      <c r="E3145" s="3">
        <v>11</v>
      </c>
      <c r="F3145" s="3">
        <v>27.16</v>
      </c>
      <c r="G3145" s="3">
        <v>0</v>
      </c>
      <c r="H3145" s="3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9</v>
      </c>
      <c r="K3145" s="3">
        <f>I3145-J3145</f>
        <v>2</v>
      </c>
      <c r="L3145" s="3" t="str">
        <f>IF(K3145&lt;-5,"CRÍTICO",IF(K3145&lt;0,"ATENÇÃO",IF(K3145&lt;=5,"OPORTUNO","MUITO BOM")))</f>
        <v>OPORTUNO</v>
      </c>
      <c r="M3145" s="3">
        <v>10</v>
      </c>
      <c r="N3145" s="3">
        <v>94.12</v>
      </c>
      <c r="O3145" s="12">
        <v>32.799999999999997</v>
      </c>
    </row>
    <row r="3146" spans="1:15" hidden="1" x14ac:dyDescent="0.25">
      <c r="A3146" s="10">
        <v>46099</v>
      </c>
      <c r="B3146" t="s">
        <v>63</v>
      </c>
      <c r="C3146" s="1" t="s">
        <v>23</v>
      </c>
      <c r="D3146" s="3">
        <v>18</v>
      </c>
      <c r="E3146" s="3">
        <v>18</v>
      </c>
      <c r="F3146" s="3">
        <v>36.409999999999997</v>
      </c>
      <c r="G3146" s="3">
        <v>0</v>
      </c>
      <c r="H3146" s="3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 s="3">
        <v>13</v>
      </c>
      <c r="N3146" s="3">
        <v>95.35</v>
      </c>
      <c r="O3146" s="12">
        <v>28.61538461538461</v>
      </c>
    </row>
    <row r="3147" spans="1:15" hidden="1" x14ac:dyDescent="0.25">
      <c r="A3147" s="10">
        <v>46099</v>
      </c>
      <c r="B3147" t="s">
        <v>45</v>
      </c>
      <c r="C3147" s="1" t="s">
        <v>32</v>
      </c>
      <c r="D3147" s="3">
        <v>35</v>
      </c>
      <c r="E3147" s="3">
        <v>34</v>
      </c>
      <c r="F3147" s="3">
        <v>14.11</v>
      </c>
      <c r="G3147" s="3">
        <v>0</v>
      </c>
      <c r="H3147" s="3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 s="3">
        <v>32</v>
      </c>
      <c r="N3147" s="3">
        <v>98.26</v>
      </c>
      <c r="O3147" s="12">
        <v>27.54491017964072</v>
      </c>
    </row>
    <row r="3148" spans="1:15" hidden="1" x14ac:dyDescent="0.25">
      <c r="A3148" s="10">
        <v>46099</v>
      </c>
      <c r="B3148" t="s">
        <v>64</v>
      </c>
      <c r="C3148" s="1" t="s">
        <v>23</v>
      </c>
      <c r="D3148" s="3">
        <v>12</v>
      </c>
      <c r="E3148" s="3">
        <v>12</v>
      </c>
      <c r="F3148" s="3">
        <v>38.479999999999997</v>
      </c>
      <c r="G3148" s="3">
        <v>0</v>
      </c>
      <c r="H3148" s="3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 s="3">
        <v>10</v>
      </c>
      <c r="N3148" s="3">
        <v>98.55</v>
      </c>
      <c r="O3148" s="12">
        <v>25.337837837837839</v>
      </c>
    </row>
    <row r="3149" spans="1:15" hidden="1" x14ac:dyDescent="0.25">
      <c r="A3149" s="10">
        <v>46099</v>
      </c>
      <c r="B3149" t="s">
        <v>46</v>
      </c>
      <c r="C3149" s="1" t="s">
        <v>32</v>
      </c>
      <c r="D3149" s="3">
        <v>27</v>
      </c>
      <c r="E3149" s="3">
        <v>27</v>
      </c>
      <c r="F3149" s="3">
        <v>17.32</v>
      </c>
      <c r="G3149" s="3">
        <v>0</v>
      </c>
      <c r="H3149" s="3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 s="3">
        <v>22</v>
      </c>
      <c r="N3149" s="3">
        <v>98.39</v>
      </c>
      <c r="O3149" s="12">
        <v>25.563909774436091</v>
      </c>
    </row>
    <row r="3150" spans="1:15" hidden="1" x14ac:dyDescent="0.25">
      <c r="A3150" s="10">
        <v>46100</v>
      </c>
      <c r="B3150" t="s">
        <v>47</v>
      </c>
      <c r="C3150" s="1" t="s">
        <v>48</v>
      </c>
      <c r="D3150" s="3">
        <v>24</v>
      </c>
      <c r="E3150" s="3">
        <v>20</v>
      </c>
      <c r="F3150" s="3">
        <v>20.02</v>
      </c>
      <c r="G3150" s="3">
        <v>0</v>
      </c>
      <c r="H3150" s="3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 s="3">
        <v>12</v>
      </c>
      <c r="N3150" s="3">
        <v>94.29</v>
      </c>
      <c r="O3150" s="12">
        <v>25.647668393782389</v>
      </c>
    </row>
    <row r="3151" spans="1:15" hidden="1" x14ac:dyDescent="0.25">
      <c r="A3151" s="10">
        <v>46100</v>
      </c>
      <c r="B3151" t="s">
        <v>31</v>
      </c>
      <c r="C3151" s="1" t="s">
        <v>32</v>
      </c>
      <c r="D3151" s="3">
        <v>0</v>
      </c>
      <c r="E3151" s="3">
        <v>0</v>
      </c>
      <c r="F3151" s="3">
        <v>0</v>
      </c>
      <c r="G3151" s="3">
        <v>0</v>
      </c>
      <c r="H3151" s="3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 s="3">
        <v>10</v>
      </c>
      <c r="N3151" s="3">
        <v>98.26</v>
      </c>
      <c r="O3151" s="12">
        <v>26.666666666666671</v>
      </c>
    </row>
    <row r="3152" spans="1:15" hidden="1" x14ac:dyDescent="0.25">
      <c r="A3152" s="10">
        <v>46100</v>
      </c>
      <c r="B3152" t="s">
        <v>59</v>
      </c>
      <c r="C3152" s="1" t="s">
        <v>23</v>
      </c>
      <c r="D3152" s="3">
        <v>43</v>
      </c>
      <c r="E3152" s="3">
        <v>40</v>
      </c>
      <c r="F3152" s="3">
        <v>13.56</v>
      </c>
      <c r="G3152" s="3">
        <v>0</v>
      </c>
      <c r="H3152" s="3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 s="3">
        <v>39</v>
      </c>
      <c r="N3152" s="3">
        <v>98.2</v>
      </c>
      <c r="O3152" s="12">
        <v>23.37962962962963</v>
      </c>
    </row>
    <row r="3153" spans="1:15" hidden="1" x14ac:dyDescent="0.25">
      <c r="A3153" s="10">
        <v>46100</v>
      </c>
      <c r="B3153" t="s">
        <v>33</v>
      </c>
      <c r="C3153" s="1" t="s">
        <v>32</v>
      </c>
      <c r="D3153" s="3">
        <v>9</v>
      </c>
      <c r="E3153" s="3">
        <v>8</v>
      </c>
      <c r="F3153" s="3">
        <v>18.37</v>
      </c>
      <c r="G3153" s="3">
        <v>0</v>
      </c>
      <c r="H3153" s="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 s="3">
        <v>9</v>
      </c>
      <c r="N3153" s="3">
        <v>97.3</v>
      </c>
      <c r="O3153" s="12">
        <v>23.84769539078156</v>
      </c>
    </row>
    <row r="3154" spans="1:15" hidden="1" x14ac:dyDescent="0.25">
      <c r="A3154" s="10">
        <v>46100</v>
      </c>
      <c r="B3154" t="s">
        <v>15</v>
      </c>
      <c r="C3154" s="1" t="s">
        <v>16</v>
      </c>
      <c r="D3154" s="3">
        <v>15</v>
      </c>
      <c r="E3154" s="3">
        <v>15</v>
      </c>
      <c r="F3154" s="3">
        <v>25.19</v>
      </c>
      <c r="G3154" s="3">
        <v>0</v>
      </c>
      <c r="H3154" s="3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 s="3">
        <v>11</v>
      </c>
      <c r="N3154" s="3">
        <v>100</v>
      </c>
      <c r="O3154" s="12">
        <v>25.268817204301079</v>
      </c>
    </row>
    <row r="3155" spans="1:15" hidden="1" x14ac:dyDescent="0.25">
      <c r="A3155" s="10">
        <v>46100</v>
      </c>
      <c r="B3155" t="s">
        <v>49</v>
      </c>
      <c r="C3155" s="1" t="s">
        <v>48</v>
      </c>
      <c r="D3155" s="3">
        <v>27</v>
      </c>
      <c r="E3155" s="3">
        <v>22</v>
      </c>
      <c r="F3155" s="3">
        <v>15.16</v>
      </c>
      <c r="G3155" s="3">
        <v>0</v>
      </c>
      <c r="H3155" s="3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 s="3">
        <v>22</v>
      </c>
      <c r="N3155" s="3">
        <v>99.32</v>
      </c>
      <c r="O3155" s="12">
        <v>22.822822822822818</v>
      </c>
    </row>
    <row r="3156" spans="1:15" hidden="1" x14ac:dyDescent="0.25">
      <c r="A3156" s="10">
        <v>46100</v>
      </c>
      <c r="B3156" t="s">
        <v>50</v>
      </c>
      <c r="C3156" s="1" t="s">
        <v>48</v>
      </c>
      <c r="D3156" s="3">
        <v>27</v>
      </c>
      <c r="E3156" s="3">
        <v>24</v>
      </c>
      <c r="F3156" s="3">
        <v>25.5</v>
      </c>
      <c r="G3156" s="3">
        <v>0</v>
      </c>
      <c r="H3156" s="3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 s="3">
        <v>24</v>
      </c>
      <c r="N3156" s="3">
        <v>100</v>
      </c>
      <c r="O3156" s="12">
        <v>27.966101694915249</v>
      </c>
    </row>
    <row r="3157" spans="1:15" hidden="1" x14ac:dyDescent="0.25">
      <c r="A3157" s="10">
        <v>46100</v>
      </c>
      <c r="B3157" t="s">
        <v>17</v>
      </c>
      <c r="C3157" s="1" t="s">
        <v>16</v>
      </c>
      <c r="D3157" s="3">
        <v>0</v>
      </c>
      <c r="E3157" s="3">
        <v>0</v>
      </c>
      <c r="F3157" s="3">
        <v>0</v>
      </c>
      <c r="G3157" s="3">
        <v>0</v>
      </c>
      <c r="H3157" s="3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 s="3">
        <v>0</v>
      </c>
      <c r="N3157" s="3">
        <v>100</v>
      </c>
      <c r="O3157" s="12">
        <v>30.434782608695659</v>
      </c>
    </row>
    <row r="3158" spans="1:15" hidden="1" x14ac:dyDescent="0.25">
      <c r="A3158" s="10">
        <v>46100</v>
      </c>
      <c r="B3158" t="s">
        <v>60</v>
      </c>
      <c r="C3158" s="1" t="s">
        <v>23</v>
      </c>
      <c r="D3158" s="3">
        <v>32</v>
      </c>
      <c r="E3158" s="3">
        <v>28</v>
      </c>
      <c r="F3158" s="3">
        <v>20.14</v>
      </c>
      <c r="G3158" s="3">
        <v>0</v>
      </c>
      <c r="H3158" s="3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 s="3">
        <v>26</v>
      </c>
      <c r="N3158" s="3">
        <v>96.51</v>
      </c>
      <c r="O3158" s="12">
        <v>22.802850356294542</v>
      </c>
    </row>
    <row r="3159" spans="1:15" hidden="1" x14ac:dyDescent="0.25">
      <c r="A3159" s="10">
        <v>46100</v>
      </c>
      <c r="B3159" t="s">
        <v>34</v>
      </c>
      <c r="C3159" s="1" t="s">
        <v>32</v>
      </c>
      <c r="D3159" s="3">
        <v>0</v>
      </c>
      <c r="E3159" s="3">
        <v>0</v>
      </c>
      <c r="F3159" s="3">
        <v>0</v>
      </c>
      <c r="G3159" s="3">
        <v>0</v>
      </c>
      <c r="H3159" s="3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 s="3">
        <v>10</v>
      </c>
      <c r="N3159" s="3">
        <v>92.68</v>
      </c>
      <c r="O3159" s="12">
        <v>27.777777777777779</v>
      </c>
    </row>
    <row r="3160" spans="1:15" hidden="1" x14ac:dyDescent="0.25">
      <c r="A3160" s="10">
        <v>46100</v>
      </c>
      <c r="B3160" t="s">
        <v>51</v>
      </c>
      <c r="C3160" s="1" t="s">
        <v>48</v>
      </c>
      <c r="D3160" s="3">
        <v>20</v>
      </c>
      <c r="E3160" s="3">
        <v>19</v>
      </c>
      <c r="F3160" s="3">
        <v>21.43</v>
      </c>
      <c r="G3160" s="3">
        <v>0</v>
      </c>
      <c r="H3160" s="3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 s="3">
        <v>17</v>
      </c>
      <c r="N3160" s="3">
        <v>99.03</v>
      </c>
      <c r="O3160" s="12">
        <v>23.991507430997881</v>
      </c>
    </row>
    <row r="3161" spans="1:15" hidden="1" x14ac:dyDescent="0.25">
      <c r="A3161" s="10">
        <v>46100</v>
      </c>
      <c r="B3161" t="s">
        <v>61</v>
      </c>
      <c r="C3161" s="1" t="s">
        <v>23</v>
      </c>
      <c r="D3161" s="3">
        <v>21</v>
      </c>
      <c r="E3161" s="3">
        <v>21</v>
      </c>
      <c r="F3161" s="3">
        <v>27.08</v>
      </c>
      <c r="G3161" s="3">
        <v>0</v>
      </c>
      <c r="H3161" s="3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 s="3">
        <v>9</v>
      </c>
      <c r="N3161" s="3">
        <v>98.41</v>
      </c>
      <c r="O3161" s="12">
        <v>28.138528138528141</v>
      </c>
    </row>
    <row r="3162" spans="1:15" hidden="1" x14ac:dyDescent="0.25">
      <c r="A3162" s="10">
        <v>46100</v>
      </c>
      <c r="B3162" t="s">
        <v>35</v>
      </c>
      <c r="C3162" s="1" t="s">
        <v>32</v>
      </c>
      <c r="D3162" s="3">
        <v>22</v>
      </c>
      <c r="E3162" s="3">
        <v>21</v>
      </c>
      <c r="F3162" s="3">
        <v>30.31</v>
      </c>
      <c r="G3162" s="3">
        <v>0</v>
      </c>
      <c r="H3162" s="3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 s="3">
        <v>22</v>
      </c>
      <c r="N3162" s="3">
        <v>98.73</v>
      </c>
      <c r="O3162" s="12">
        <v>29.142857142857139</v>
      </c>
    </row>
    <row r="3163" spans="1:15" hidden="1" x14ac:dyDescent="0.25">
      <c r="A3163" s="10">
        <v>46100</v>
      </c>
      <c r="B3163" t="s">
        <v>18</v>
      </c>
      <c r="C3163" s="1" t="s">
        <v>16</v>
      </c>
      <c r="D3163" s="3">
        <v>8</v>
      </c>
      <c r="E3163" s="3">
        <v>8</v>
      </c>
      <c r="F3163" s="3">
        <v>46.58</v>
      </c>
      <c r="G3163" s="3">
        <v>0</v>
      </c>
      <c r="H3163" s="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 s="3">
        <v>6</v>
      </c>
      <c r="N3163" s="3">
        <v>90.48</v>
      </c>
      <c r="O3163" s="12">
        <v>20.68965517241379</v>
      </c>
    </row>
    <row r="3164" spans="1:15" hidden="1" x14ac:dyDescent="0.25">
      <c r="A3164" s="10">
        <v>46100</v>
      </c>
      <c r="B3164" t="s">
        <v>52</v>
      </c>
      <c r="C3164" s="1" t="s">
        <v>48</v>
      </c>
      <c r="D3164" s="3">
        <v>21</v>
      </c>
      <c r="E3164" s="3">
        <v>19</v>
      </c>
      <c r="F3164" s="3">
        <v>15.13</v>
      </c>
      <c r="G3164" s="3">
        <v>0</v>
      </c>
      <c r="H3164" s="3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 s="3">
        <v>16</v>
      </c>
      <c r="N3164" s="3">
        <v>98.06</v>
      </c>
      <c r="O3164" s="12">
        <v>24.789915966386559</v>
      </c>
    </row>
    <row r="3165" spans="1:15" hidden="1" x14ac:dyDescent="0.25">
      <c r="A3165" s="10">
        <v>46100</v>
      </c>
      <c r="B3165" t="s">
        <v>36</v>
      </c>
      <c r="C3165" s="1" t="s">
        <v>32</v>
      </c>
      <c r="D3165" s="3">
        <v>29</v>
      </c>
      <c r="E3165" s="3">
        <v>27</v>
      </c>
      <c r="F3165" s="3">
        <v>17.38</v>
      </c>
      <c r="G3165" s="3">
        <v>0</v>
      </c>
      <c r="H3165" s="3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 s="3">
        <v>23</v>
      </c>
      <c r="N3165" s="3">
        <v>97.78</v>
      </c>
      <c r="O3165" s="12">
        <v>25.494071146245059</v>
      </c>
    </row>
    <row r="3166" spans="1:15" hidden="1" x14ac:dyDescent="0.25">
      <c r="A3166" s="10">
        <v>46100</v>
      </c>
      <c r="B3166" t="s">
        <v>53</v>
      </c>
      <c r="C3166" s="1" t="s">
        <v>48</v>
      </c>
      <c r="D3166" s="3">
        <v>17</v>
      </c>
      <c r="E3166" s="3">
        <v>15</v>
      </c>
      <c r="F3166" s="3">
        <v>22</v>
      </c>
      <c r="G3166" s="3">
        <v>0</v>
      </c>
      <c r="H3166" s="3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 s="3">
        <v>10</v>
      </c>
      <c r="N3166" s="3">
        <v>98.02</v>
      </c>
      <c r="O3166" s="12">
        <v>23.484848484848481</v>
      </c>
    </row>
    <row r="3167" spans="1:15" hidden="1" x14ac:dyDescent="0.25">
      <c r="A3167" s="10">
        <v>46135</v>
      </c>
      <c r="B3167" t="s">
        <v>22</v>
      </c>
      <c r="C3167" s="1" t="s">
        <v>23</v>
      </c>
      <c r="D3167" s="3">
        <v>23</v>
      </c>
      <c r="E3167" s="3">
        <v>21</v>
      </c>
      <c r="F3167" s="3">
        <v>17.05</v>
      </c>
      <c r="G3167" s="3">
        <v>0</v>
      </c>
      <c r="H3167" s="3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 s="3">
        <v>18</v>
      </c>
      <c r="N3167" s="3">
        <v>99.28</v>
      </c>
      <c r="O3167" s="12">
        <v>27.689243027888441</v>
      </c>
    </row>
    <row r="3168" spans="1:15" hidden="1" x14ac:dyDescent="0.25">
      <c r="A3168" s="10">
        <v>46100</v>
      </c>
      <c r="B3168" t="s">
        <v>54</v>
      </c>
      <c r="C3168" s="1" t="s">
        <v>48</v>
      </c>
      <c r="D3168" s="3">
        <v>23</v>
      </c>
      <c r="E3168" s="3">
        <v>22</v>
      </c>
      <c r="F3168" s="3">
        <v>27.1</v>
      </c>
      <c r="G3168" s="3">
        <v>0</v>
      </c>
      <c r="H3168" s="3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 s="3">
        <v>18</v>
      </c>
      <c r="N3168" s="3">
        <v>100</v>
      </c>
      <c r="O3168" s="12">
        <v>27.04918032786885</v>
      </c>
    </row>
    <row r="3169" spans="1:15" hidden="1" x14ac:dyDescent="0.25">
      <c r="A3169" s="10">
        <v>46100</v>
      </c>
      <c r="B3169" t="s">
        <v>37</v>
      </c>
      <c r="C3169" s="1" t="s">
        <v>32</v>
      </c>
      <c r="D3169" s="3">
        <v>45</v>
      </c>
      <c r="E3169" s="3">
        <v>41</v>
      </c>
      <c r="F3169" s="3">
        <v>14</v>
      </c>
      <c r="G3169" s="3">
        <v>0</v>
      </c>
      <c r="H3169" s="3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 s="3">
        <v>33</v>
      </c>
      <c r="N3169" s="3">
        <v>97.83</v>
      </c>
      <c r="O3169" s="12">
        <v>26.315789473684209</v>
      </c>
    </row>
    <row r="3170" spans="1:15" hidden="1" x14ac:dyDescent="0.25">
      <c r="A3170" s="10">
        <v>46100</v>
      </c>
      <c r="B3170" t="s">
        <v>38</v>
      </c>
      <c r="C3170" s="1" t="s">
        <v>32</v>
      </c>
      <c r="D3170" s="3">
        <v>1</v>
      </c>
      <c r="E3170" s="3">
        <v>1</v>
      </c>
      <c r="F3170" s="3">
        <v>20.21</v>
      </c>
      <c r="G3170" s="3">
        <v>0</v>
      </c>
      <c r="H3170" s="3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 s="3">
        <v>8</v>
      </c>
      <c r="N3170" s="3">
        <v>100</v>
      </c>
      <c r="O3170" s="12">
        <v>26.701570680628269</v>
      </c>
    </row>
    <row r="3171" spans="1:15" hidden="1" x14ac:dyDescent="0.25">
      <c r="A3171" s="10">
        <v>46100</v>
      </c>
      <c r="B3171" t="s">
        <v>55</v>
      </c>
      <c r="C3171" s="1" t="s">
        <v>48</v>
      </c>
      <c r="D3171" s="3">
        <v>2</v>
      </c>
      <c r="E3171" s="3">
        <v>2</v>
      </c>
      <c r="F3171" s="3">
        <v>20.13</v>
      </c>
      <c r="G3171" s="3">
        <v>0</v>
      </c>
      <c r="H3171" s="3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 s="3">
        <v>1</v>
      </c>
      <c r="N3171" s="3">
        <v>97.47</v>
      </c>
      <c r="O3171" s="12">
        <v>22.887323943661968</v>
      </c>
    </row>
    <row r="3172" spans="1:15" hidden="1" x14ac:dyDescent="0.25">
      <c r="A3172" s="10">
        <v>46100</v>
      </c>
      <c r="B3172" t="s">
        <v>39</v>
      </c>
      <c r="C3172" s="1" t="s">
        <v>32</v>
      </c>
      <c r="D3172" s="3">
        <v>0</v>
      </c>
      <c r="E3172" s="3">
        <v>0</v>
      </c>
      <c r="F3172" s="3">
        <v>0</v>
      </c>
      <c r="G3172" s="3">
        <v>0</v>
      </c>
      <c r="H3172" s="3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 s="3">
        <v>0</v>
      </c>
      <c r="N3172" s="3">
        <v>0</v>
      </c>
      <c r="O3172" s="12">
        <v>0</v>
      </c>
    </row>
    <row r="3173" spans="1:15" hidden="1" x14ac:dyDescent="0.25">
      <c r="A3173" s="10">
        <v>46100</v>
      </c>
      <c r="B3173" t="s">
        <v>25</v>
      </c>
      <c r="C3173" s="1" t="s">
        <v>26</v>
      </c>
      <c r="D3173" s="3">
        <v>20</v>
      </c>
      <c r="E3173" s="3">
        <v>19</v>
      </c>
      <c r="F3173" s="3">
        <v>33.43</v>
      </c>
      <c r="G3173" s="3">
        <v>0</v>
      </c>
      <c r="H3173" s="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 s="3">
        <v>18</v>
      </c>
      <c r="N3173" s="3">
        <v>98.31</v>
      </c>
      <c r="O3173" s="12">
        <v>24.920127795527151</v>
      </c>
    </row>
    <row r="3174" spans="1:15" hidden="1" x14ac:dyDescent="0.25">
      <c r="A3174" s="10">
        <v>46100</v>
      </c>
      <c r="B3174" t="s">
        <v>40</v>
      </c>
      <c r="C3174" s="1" t="s">
        <v>32</v>
      </c>
      <c r="D3174" s="3">
        <v>19</v>
      </c>
      <c r="E3174" s="3">
        <v>18</v>
      </c>
      <c r="F3174" s="3">
        <v>31.46</v>
      </c>
      <c r="G3174" s="3">
        <v>0</v>
      </c>
      <c r="H3174" s="3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 s="3">
        <v>18</v>
      </c>
      <c r="N3174" s="3">
        <v>96.81</v>
      </c>
      <c r="O3174" s="12">
        <v>32.365145228215773</v>
      </c>
    </row>
    <row r="3175" spans="1:15" hidden="1" x14ac:dyDescent="0.25">
      <c r="A3175" s="10">
        <v>46100</v>
      </c>
      <c r="B3175" t="s">
        <v>27</v>
      </c>
      <c r="C3175" s="1" t="s">
        <v>26</v>
      </c>
      <c r="D3175" s="3">
        <v>13</v>
      </c>
      <c r="E3175" s="3">
        <v>13</v>
      </c>
      <c r="F3175" s="3">
        <v>40.06</v>
      </c>
      <c r="G3175" s="3">
        <v>0</v>
      </c>
      <c r="H3175" s="3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 s="3">
        <v>8</v>
      </c>
      <c r="N3175" s="3">
        <v>100</v>
      </c>
      <c r="O3175" s="12">
        <v>26.47058823529412</v>
      </c>
    </row>
    <row r="3176" spans="1:15" hidden="1" x14ac:dyDescent="0.25">
      <c r="A3176" s="10">
        <v>46100</v>
      </c>
      <c r="B3176" t="s">
        <v>41</v>
      </c>
      <c r="C3176" s="1" t="s">
        <v>32</v>
      </c>
      <c r="D3176" s="3">
        <v>15</v>
      </c>
      <c r="E3176" s="3">
        <v>14</v>
      </c>
      <c r="F3176" s="3">
        <v>30.42</v>
      </c>
      <c r="G3176" s="3">
        <v>0</v>
      </c>
      <c r="H3176" s="3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 s="3">
        <v>13</v>
      </c>
      <c r="N3176" s="3">
        <v>100</v>
      </c>
      <c r="O3176" s="12">
        <v>28.490028490028489</v>
      </c>
    </row>
    <row r="3177" spans="1:15" hidden="1" x14ac:dyDescent="0.25">
      <c r="A3177" s="10">
        <v>46100</v>
      </c>
      <c r="B3177" t="s">
        <v>56</v>
      </c>
      <c r="C3177" s="1" t="s">
        <v>48</v>
      </c>
      <c r="D3177" s="3">
        <v>19</v>
      </c>
      <c r="E3177" s="3">
        <v>18</v>
      </c>
      <c r="F3177" s="3">
        <v>32.369999999999997</v>
      </c>
      <c r="G3177" s="3">
        <v>0</v>
      </c>
      <c r="H3177" s="3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 s="3">
        <v>10</v>
      </c>
      <c r="N3177" s="3">
        <v>99.14</v>
      </c>
      <c r="O3177" s="12">
        <v>27.2289156626506</v>
      </c>
    </row>
    <row r="3178" spans="1:15" hidden="1" x14ac:dyDescent="0.25">
      <c r="A3178" s="10">
        <v>46100</v>
      </c>
      <c r="B3178" t="s">
        <v>57</v>
      </c>
      <c r="C3178" s="1" t="s">
        <v>48</v>
      </c>
      <c r="D3178" s="3">
        <v>25</v>
      </c>
      <c r="E3178" s="3">
        <v>24</v>
      </c>
      <c r="F3178" s="3">
        <v>25.3</v>
      </c>
      <c r="G3178" s="3">
        <v>0</v>
      </c>
      <c r="H3178" s="3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 s="3">
        <v>20</v>
      </c>
      <c r="N3178" s="3">
        <v>97.52</v>
      </c>
      <c r="O3178" s="12">
        <v>28.205128205128201</v>
      </c>
    </row>
    <row r="3179" spans="1:15" hidden="1" x14ac:dyDescent="0.25">
      <c r="A3179" s="10">
        <v>46100</v>
      </c>
      <c r="B3179" t="s">
        <v>42</v>
      </c>
      <c r="C3179" s="1" t="s">
        <v>32</v>
      </c>
      <c r="D3179" s="3">
        <v>0</v>
      </c>
      <c r="E3179" s="3">
        <v>0</v>
      </c>
      <c r="F3179" s="3">
        <v>0</v>
      </c>
      <c r="G3179" s="3">
        <v>0</v>
      </c>
      <c r="H3179" s="3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 s="3">
        <v>0</v>
      </c>
      <c r="N3179" s="3">
        <v>90</v>
      </c>
      <c r="O3179" s="12">
        <v>24.186046511627911</v>
      </c>
    </row>
    <row r="3180" spans="1:15" hidden="1" x14ac:dyDescent="0.25">
      <c r="A3180" s="10">
        <v>46100</v>
      </c>
      <c r="B3180" t="s">
        <v>62</v>
      </c>
      <c r="C3180" s="1" t="s">
        <v>23</v>
      </c>
      <c r="D3180" s="3">
        <v>18</v>
      </c>
      <c r="E3180" s="3">
        <v>17</v>
      </c>
      <c r="F3180" s="3">
        <v>25.47</v>
      </c>
      <c r="G3180" s="3">
        <v>0</v>
      </c>
      <c r="H3180" s="3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 s="3">
        <v>12</v>
      </c>
      <c r="N3180" s="3">
        <v>98.9</v>
      </c>
      <c r="O3180" s="12">
        <v>26.763990267639901</v>
      </c>
    </row>
    <row r="3181" spans="1:15" hidden="1" x14ac:dyDescent="0.25">
      <c r="A3181" s="10">
        <v>46100</v>
      </c>
      <c r="B3181" t="s">
        <v>19</v>
      </c>
      <c r="C3181" s="1" t="s">
        <v>16</v>
      </c>
      <c r="D3181" s="3">
        <v>0</v>
      </c>
      <c r="E3181" s="3">
        <v>0</v>
      </c>
      <c r="F3181" s="3">
        <v>0</v>
      </c>
      <c r="G3181" s="3">
        <v>0</v>
      </c>
      <c r="H3181" s="3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 s="3">
        <v>0</v>
      </c>
      <c r="N3181" s="3">
        <v>88.89</v>
      </c>
      <c r="O3181" s="12">
        <v>25.263157894736839</v>
      </c>
    </row>
    <row r="3182" spans="1:15" hidden="1" x14ac:dyDescent="0.25">
      <c r="A3182" s="10">
        <v>46120</v>
      </c>
      <c r="B3182" t="s">
        <v>43</v>
      </c>
      <c r="C3182" s="1" t="s">
        <v>32</v>
      </c>
      <c r="D3182" s="3">
        <v>18</v>
      </c>
      <c r="E3182" s="3">
        <v>18</v>
      </c>
      <c r="F3182" s="3">
        <v>15.45</v>
      </c>
      <c r="G3182" s="3">
        <v>0</v>
      </c>
      <c r="H3182" s="3">
        <v>0</v>
      </c>
      <c r="I3182" s="3">
        <f>E3182+G3182+H3182</f>
        <v>18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30</v>
      </c>
      <c r="K3182" s="3">
        <f>I3182-J3182</f>
        <v>-12</v>
      </c>
      <c r="L3182" s="3" t="str">
        <f>IF(K3182&lt;-5,"CRÍTICO",IF(K3182&lt;0,"ATENÇÃO",IF(K3182&lt;=5,"OPORTUNO","MUITO BOM")))</f>
        <v>CRÍTICO</v>
      </c>
      <c r="M3182" s="3">
        <v>20</v>
      </c>
      <c r="N3182" s="3">
        <v>100</v>
      </c>
      <c r="O3182" s="12">
        <v>23.9870340356564</v>
      </c>
    </row>
    <row r="3183" spans="1:15" hidden="1" x14ac:dyDescent="0.25">
      <c r="A3183" s="10">
        <v>46100</v>
      </c>
      <c r="B3183" t="s">
        <v>44</v>
      </c>
      <c r="C3183" s="1" t="s">
        <v>32</v>
      </c>
      <c r="D3183" s="3">
        <v>0</v>
      </c>
      <c r="E3183" s="3">
        <v>0</v>
      </c>
      <c r="F3183" s="3">
        <v>0</v>
      </c>
      <c r="G3183" s="3">
        <v>0</v>
      </c>
      <c r="H3183" s="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 s="3">
        <v>0</v>
      </c>
      <c r="N3183" s="3">
        <v>98.06</v>
      </c>
      <c r="O3183" s="12">
        <v>22.40566037735849</v>
      </c>
    </row>
    <row r="3184" spans="1:15" hidden="1" x14ac:dyDescent="0.25">
      <c r="A3184" s="10">
        <v>46128</v>
      </c>
      <c r="B3184" t="s">
        <v>20</v>
      </c>
      <c r="C3184" s="1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>IF(K3184&lt;-5,"CRÍTICO",IF(K3184&lt;0,"ATENÇÃO",IF(K3184&lt;=5,"OPORTUNO","MUITO BOM")))</f>
        <v>MUITO BOM</v>
      </c>
      <c r="M3184" s="3">
        <v>11</v>
      </c>
      <c r="N3184" s="3">
        <v>100</v>
      </c>
      <c r="O3184" s="12">
        <v>23.77622377622378</v>
      </c>
    </row>
    <row r="3185" spans="1:15" hidden="1" x14ac:dyDescent="0.25">
      <c r="A3185" s="10">
        <v>46100</v>
      </c>
      <c r="B3185" t="s">
        <v>28</v>
      </c>
      <c r="C3185" s="1" t="s">
        <v>26</v>
      </c>
      <c r="D3185" s="3">
        <v>0</v>
      </c>
      <c r="E3185" s="3">
        <v>0</v>
      </c>
      <c r="F3185" s="3">
        <v>0</v>
      </c>
      <c r="G3185" s="3">
        <v>0</v>
      </c>
      <c r="H3185" s="3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 s="3">
        <v>0</v>
      </c>
      <c r="N3185" s="3">
        <v>100</v>
      </c>
      <c r="O3185" s="12">
        <v>15.38461538461539</v>
      </c>
    </row>
    <row r="3186" spans="1:15" hidden="1" x14ac:dyDescent="0.25">
      <c r="A3186" s="10">
        <v>46100</v>
      </c>
      <c r="B3186" t="s">
        <v>58</v>
      </c>
      <c r="C3186" s="1" t="s">
        <v>48</v>
      </c>
      <c r="D3186" s="3">
        <v>0</v>
      </c>
      <c r="E3186" s="3">
        <v>0</v>
      </c>
      <c r="F3186" s="3">
        <v>0</v>
      </c>
      <c r="G3186" s="3">
        <v>0</v>
      </c>
      <c r="H3186" s="3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 s="3">
        <v>0</v>
      </c>
      <c r="N3186" s="3">
        <v>100</v>
      </c>
      <c r="O3186" s="12">
        <v>27.514792899408281</v>
      </c>
    </row>
    <row r="3187" spans="1:15" hidden="1" x14ac:dyDescent="0.25">
      <c r="A3187" s="10">
        <v>46100</v>
      </c>
      <c r="B3187" t="s">
        <v>29</v>
      </c>
      <c r="C3187" s="1" t="s">
        <v>26</v>
      </c>
      <c r="D3187" s="3">
        <v>12</v>
      </c>
      <c r="E3187" s="3">
        <v>12</v>
      </c>
      <c r="F3187" s="3">
        <v>27.16</v>
      </c>
      <c r="G3187" s="3">
        <v>0</v>
      </c>
      <c r="H3187" s="3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 s="3">
        <v>9</v>
      </c>
      <c r="N3187" s="3">
        <v>100</v>
      </c>
      <c r="O3187" s="12">
        <v>24.875621890547269</v>
      </c>
    </row>
    <row r="3188" spans="1:15" hidden="1" x14ac:dyDescent="0.25">
      <c r="A3188" s="10">
        <v>46100</v>
      </c>
      <c r="B3188" t="s">
        <v>30</v>
      </c>
      <c r="C3188" s="1" t="s">
        <v>26</v>
      </c>
      <c r="D3188" s="3">
        <v>8</v>
      </c>
      <c r="E3188" s="3">
        <v>8</v>
      </c>
      <c r="F3188" s="3">
        <v>52.08</v>
      </c>
      <c r="G3188" s="3">
        <v>0</v>
      </c>
      <c r="H3188" s="3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 s="3">
        <v>7</v>
      </c>
      <c r="N3188" s="3">
        <v>100</v>
      </c>
      <c r="O3188" s="12">
        <v>28.108108108108109</v>
      </c>
    </row>
    <row r="3189" spans="1:15" hidden="1" x14ac:dyDescent="0.25">
      <c r="A3189" s="10">
        <v>46128</v>
      </c>
      <c r="B3189" t="s">
        <v>21</v>
      </c>
      <c r="C3189" s="1" t="s">
        <v>16</v>
      </c>
      <c r="D3189" s="3">
        <v>15</v>
      </c>
      <c r="E3189" s="3">
        <v>13</v>
      </c>
      <c r="F3189" s="3">
        <v>33.28</v>
      </c>
      <c r="G3189" s="3">
        <v>0</v>
      </c>
      <c r="H3189" s="3">
        <v>0</v>
      </c>
      <c r="I3189" s="3">
        <f>E3189+G3189+H3189</f>
        <v>13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8</v>
      </c>
      <c r="K3189" s="3">
        <f>I3189-J3189</f>
        <v>5</v>
      </c>
      <c r="L3189" s="3" t="str">
        <f>IF(K3189&lt;-5,"CRÍTICO",IF(K3189&lt;0,"ATENÇÃO",IF(K3189&lt;=5,"OPORTUNO","MUITO BOM")))</f>
        <v>OPORTUNO</v>
      </c>
      <c r="M3189" s="3">
        <v>9</v>
      </c>
      <c r="N3189" s="3">
        <v>94.12</v>
      </c>
      <c r="O3189" s="12">
        <v>32.799999999999997</v>
      </c>
    </row>
    <row r="3190" spans="1:15" hidden="1" x14ac:dyDescent="0.25">
      <c r="A3190" s="10">
        <v>46100</v>
      </c>
      <c r="B3190" t="s">
        <v>63</v>
      </c>
      <c r="C3190" s="1" t="s">
        <v>23</v>
      </c>
      <c r="D3190" s="3">
        <v>26</v>
      </c>
      <c r="E3190" s="3">
        <v>25</v>
      </c>
      <c r="F3190" s="3">
        <v>25.22</v>
      </c>
      <c r="G3190" s="3">
        <v>0</v>
      </c>
      <c r="H3190" s="3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 s="3">
        <v>21</v>
      </c>
      <c r="N3190" s="3">
        <v>95.35</v>
      </c>
      <c r="O3190" s="12">
        <v>28.61538461538461</v>
      </c>
    </row>
    <row r="3191" spans="1:15" hidden="1" x14ac:dyDescent="0.25">
      <c r="A3191" s="10">
        <v>46100</v>
      </c>
      <c r="B3191" t="s">
        <v>45</v>
      </c>
      <c r="C3191" s="1" t="s">
        <v>32</v>
      </c>
      <c r="D3191" s="3">
        <v>43</v>
      </c>
      <c r="E3191" s="3">
        <v>38</v>
      </c>
      <c r="F3191" s="3">
        <v>12.18</v>
      </c>
      <c r="G3191" s="3">
        <v>0</v>
      </c>
      <c r="H3191" s="3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 s="3">
        <v>33</v>
      </c>
      <c r="N3191" s="3">
        <v>98.26</v>
      </c>
      <c r="O3191" s="12">
        <v>27.54491017964072</v>
      </c>
    </row>
    <row r="3192" spans="1:15" hidden="1" x14ac:dyDescent="0.25">
      <c r="A3192" s="10">
        <v>46100</v>
      </c>
      <c r="B3192" t="s">
        <v>64</v>
      </c>
      <c r="C3192" s="1" t="s">
        <v>23</v>
      </c>
      <c r="D3192" s="3">
        <v>17</v>
      </c>
      <c r="E3192" s="3">
        <v>17</v>
      </c>
      <c r="F3192" s="3">
        <v>32.04</v>
      </c>
      <c r="G3192" s="3">
        <v>0</v>
      </c>
      <c r="H3192" s="3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 s="3">
        <v>18</v>
      </c>
      <c r="N3192" s="3">
        <v>98.55</v>
      </c>
      <c r="O3192" s="12">
        <v>25.337837837837839</v>
      </c>
    </row>
    <row r="3193" spans="1:15" hidden="1" x14ac:dyDescent="0.25">
      <c r="A3193" s="10">
        <v>46100</v>
      </c>
      <c r="B3193" t="s">
        <v>46</v>
      </c>
      <c r="C3193" s="1" t="s">
        <v>32</v>
      </c>
      <c r="D3193" s="3">
        <v>29</v>
      </c>
      <c r="E3193" s="3">
        <v>27</v>
      </c>
      <c r="F3193" s="3">
        <v>22.19</v>
      </c>
      <c r="G3193" s="3">
        <v>0</v>
      </c>
      <c r="H3193" s="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 s="3">
        <v>20</v>
      </c>
      <c r="N3193" s="3">
        <v>98.39</v>
      </c>
      <c r="O3193" s="12">
        <v>25.563909774436091</v>
      </c>
    </row>
    <row r="3194" spans="1:15" hidden="1" x14ac:dyDescent="0.25">
      <c r="A3194" s="10">
        <v>46101</v>
      </c>
      <c r="B3194" t="s">
        <v>47</v>
      </c>
      <c r="C3194" s="1" t="s">
        <v>48</v>
      </c>
      <c r="D3194" s="3">
        <v>18</v>
      </c>
      <c r="E3194" s="3">
        <v>12</v>
      </c>
      <c r="F3194" s="3">
        <v>15.4</v>
      </c>
      <c r="G3194" s="3">
        <v>0</v>
      </c>
      <c r="H3194" s="3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 s="3">
        <v>14</v>
      </c>
      <c r="N3194" s="3">
        <v>94.29</v>
      </c>
      <c r="O3194" s="12">
        <v>25.647668393782389</v>
      </c>
    </row>
    <row r="3195" spans="1:15" hidden="1" x14ac:dyDescent="0.25">
      <c r="A3195" s="10">
        <v>46101</v>
      </c>
      <c r="B3195" t="s">
        <v>31</v>
      </c>
      <c r="C3195" s="1" t="s">
        <v>32</v>
      </c>
      <c r="D3195" s="3">
        <v>0</v>
      </c>
      <c r="E3195" s="3">
        <v>0</v>
      </c>
      <c r="F3195" s="3">
        <v>0</v>
      </c>
      <c r="G3195" s="3">
        <v>0</v>
      </c>
      <c r="H3195" s="3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 s="3">
        <v>7</v>
      </c>
      <c r="N3195" s="3">
        <v>98.26</v>
      </c>
      <c r="O3195" s="12">
        <v>26.666666666666671</v>
      </c>
    </row>
    <row r="3196" spans="1:15" hidden="1" x14ac:dyDescent="0.25">
      <c r="A3196" s="10">
        <v>46101</v>
      </c>
      <c r="B3196" t="s">
        <v>59</v>
      </c>
      <c r="C3196" s="1" t="s">
        <v>23</v>
      </c>
      <c r="D3196" s="3">
        <v>18</v>
      </c>
      <c r="E3196" s="3">
        <v>18</v>
      </c>
      <c r="F3196" s="3">
        <v>20.48</v>
      </c>
      <c r="G3196" s="3">
        <v>0</v>
      </c>
      <c r="H3196" s="3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 s="3">
        <v>14</v>
      </c>
      <c r="N3196" s="3">
        <v>98.2</v>
      </c>
      <c r="O3196" s="12">
        <v>23.37962962962963</v>
      </c>
    </row>
    <row r="3197" spans="1:15" hidden="1" x14ac:dyDescent="0.25">
      <c r="A3197" s="10">
        <v>46101</v>
      </c>
      <c r="B3197" t="s">
        <v>33</v>
      </c>
      <c r="C3197" s="1" t="s">
        <v>32</v>
      </c>
      <c r="D3197" s="3">
        <v>22</v>
      </c>
      <c r="E3197" s="3">
        <v>21</v>
      </c>
      <c r="F3197" s="3">
        <v>23.54</v>
      </c>
      <c r="G3197" s="3">
        <v>0</v>
      </c>
      <c r="H3197" s="3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 s="3">
        <v>17</v>
      </c>
      <c r="N3197" s="3">
        <v>97.3</v>
      </c>
      <c r="O3197" s="12">
        <v>23.84769539078156</v>
      </c>
    </row>
    <row r="3198" spans="1:15" hidden="1" x14ac:dyDescent="0.25">
      <c r="A3198" s="10">
        <v>46101</v>
      </c>
      <c r="B3198" t="s">
        <v>15</v>
      </c>
      <c r="C3198" s="1" t="s">
        <v>16</v>
      </c>
      <c r="D3198" s="3">
        <v>10</v>
      </c>
      <c r="E3198" s="3">
        <v>10</v>
      </c>
      <c r="F3198" s="3">
        <v>32.380000000000003</v>
      </c>
      <c r="G3198" s="3">
        <v>0</v>
      </c>
      <c r="H3198" s="3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 s="3">
        <v>9</v>
      </c>
      <c r="N3198" s="3">
        <v>100</v>
      </c>
      <c r="O3198" s="12">
        <v>25.268817204301079</v>
      </c>
    </row>
    <row r="3199" spans="1:15" hidden="1" x14ac:dyDescent="0.25">
      <c r="A3199" s="10">
        <v>46101</v>
      </c>
      <c r="B3199" t="s">
        <v>49</v>
      </c>
      <c r="C3199" s="1" t="s">
        <v>48</v>
      </c>
      <c r="D3199" s="3">
        <v>14</v>
      </c>
      <c r="E3199" s="3">
        <v>12</v>
      </c>
      <c r="F3199" s="3">
        <v>24.18</v>
      </c>
      <c r="G3199" s="3">
        <v>0</v>
      </c>
      <c r="H3199" s="3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 s="3">
        <v>12</v>
      </c>
      <c r="N3199" s="3">
        <v>99.32</v>
      </c>
      <c r="O3199" s="12">
        <v>22.822822822822818</v>
      </c>
    </row>
    <row r="3200" spans="1:15" hidden="1" x14ac:dyDescent="0.25">
      <c r="A3200" s="10">
        <v>46101</v>
      </c>
      <c r="B3200" t="s">
        <v>50</v>
      </c>
      <c r="C3200" s="1" t="s">
        <v>48</v>
      </c>
      <c r="D3200" s="3">
        <v>25</v>
      </c>
      <c r="E3200" s="3">
        <v>24</v>
      </c>
      <c r="F3200" s="3">
        <v>29.11</v>
      </c>
      <c r="G3200" s="3">
        <v>0</v>
      </c>
      <c r="H3200" s="3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 s="3">
        <v>23</v>
      </c>
      <c r="N3200" s="3">
        <v>100</v>
      </c>
      <c r="O3200" s="12">
        <v>27.966101694915249</v>
      </c>
    </row>
    <row r="3201" spans="1:15" hidden="1" x14ac:dyDescent="0.25">
      <c r="A3201" s="10">
        <v>46101</v>
      </c>
      <c r="B3201" t="s">
        <v>17</v>
      </c>
      <c r="C3201" s="1" t="s">
        <v>16</v>
      </c>
      <c r="D3201" s="3">
        <v>0</v>
      </c>
      <c r="E3201" s="3">
        <v>0</v>
      </c>
      <c r="F3201" s="3">
        <v>0</v>
      </c>
      <c r="G3201" s="3">
        <v>0</v>
      </c>
      <c r="H3201" s="3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 s="3">
        <v>0</v>
      </c>
      <c r="N3201" s="3">
        <v>100</v>
      </c>
      <c r="O3201" s="12">
        <v>30.434782608695659</v>
      </c>
    </row>
    <row r="3202" spans="1:15" hidden="1" x14ac:dyDescent="0.25">
      <c r="A3202" s="10">
        <v>46101</v>
      </c>
      <c r="B3202" t="s">
        <v>60</v>
      </c>
      <c r="C3202" s="1" t="s">
        <v>23</v>
      </c>
      <c r="D3202" s="3">
        <v>25</v>
      </c>
      <c r="E3202" s="3">
        <v>23</v>
      </c>
      <c r="F3202" s="3">
        <v>20.239999999999998</v>
      </c>
      <c r="G3202" s="3">
        <v>0</v>
      </c>
      <c r="H3202" s="3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 s="3">
        <v>20</v>
      </c>
      <c r="N3202" s="3">
        <v>96.51</v>
      </c>
      <c r="O3202" s="12">
        <v>22.802850356294542</v>
      </c>
    </row>
    <row r="3203" spans="1:15" hidden="1" x14ac:dyDescent="0.25">
      <c r="A3203" s="10">
        <v>46101</v>
      </c>
      <c r="B3203" t="s">
        <v>34</v>
      </c>
      <c r="C3203" s="1" t="s">
        <v>32</v>
      </c>
      <c r="D3203" s="3">
        <v>0</v>
      </c>
      <c r="E3203" s="3">
        <v>0</v>
      </c>
      <c r="F3203" s="3">
        <v>0</v>
      </c>
      <c r="G3203" s="3">
        <v>0</v>
      </c>
      <c r="H3203" s="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 s="3">
        <v>0</v>
      </c>
      <c r="N3203" s="3">
        <v>92.68</v>
      </c>
      <c r="O3203" s="12">
        <v>27.777777777777779</v>
      </c>
    </row>
    <row r="3204" spans="1:15" hidden="1" x14ac:dyDescent="0.25">
      <c r="A3204" s="10">
        <v>46101</v>
      </c>
      <c r="B3204" t="s">
        <v>51</v>
      </c>
      <c r="C3204" s="1" t="s">
        <v>48</v>
      </c>
      <c r="D3204" s="3">
        <v>30</v>
      </c>
      <c r="E3204" s="3">
        <v>27</v>
      </c>
      <c r="F3204" s="3">
        <v>22.12</v>
      </c>
      <c r="G3204" s="3">
        <v>0</v>
      </c>
      <c r="H3204" s="3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 s="3">
        <v>24</v>
      </c>
      <c r="N3204" s="3">
        <v>99.03</v>
      </c>
      <c r="O3204" s="12">
        <v>23.991507430997881</v>
      </c>
    </row>
    <row r="3205" spans="1:15" hidden="1" x14ac:dyDescent="0.25">
      <c r="A3205" s="10">
        <v>46101</v>
      </c>
      <c r="B3205" t="s">
        <v>61</v>
      </c>
      <c r="C3205" s="1" t="s">
        <v>23</v>
      </c>
      <c r="D3205" s="3">
        <v>24</v>
      </c>
      <c r="E3205" s="3">
        <v>22</v>
      </c>
      <c r="F3205" s="3">
        <v>24.01</v>
      </c>
      <c r="G3205" s="3">
        <v>0</v>
      </c>
      <c r="H3205" s="3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 s="3">
        <v>12</v>
      </c>
      <c r="N3205" s="3">
        <v>98.41</v>
      </c>
      <c r="O3205" s="12">
        <v>28.138528138528141</v>
      </c>
    </row>
    <row r="3206" spans="1:15" hidden="1" x14ac:dyDescent="0.25">
      <c r="A3206" s="10">
        <v>46101</v>
      </c>
      <c r="B3206" t="s">
        <v>35</v>
      </c>
      <c r="C3206" s="1" t="s">
        <v>32</v>
      </c>
      <c r="D3206" s="3">
        <v>18</v>
      </c>
      <c r="E3206" s="3">
        <v>18</v>
      </c>
      <c r="F3206" s="3">
        <v>30.39</v>
      </c>
      <c r="G3206" s="3">
        <v>0</v>
      </c>
      <c r="H3206" s="3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 s="3">
        <v>22</v>
      </c>
      <c r="N3206" s="3">
        <v>98.73</v>
      </c>
      <c r="O3206" s="12">
        <v>29.142857142857139</v>
      </c>
    </row>
    <row r="3207" spans="1:15" hidden="1" x14ac:dyDescent="0.25">
      <c r="A3207" s="10">
        <v>46101</v>
      </c>
      <c r="B3207" t="s">
        <v>18</v>
      </c>
      <c r="C3207" s="1" t="s">
        <v>16</v>
      </c>
      <c r="D3207" s="3">
        <v>8</v>
      </c>
      <c r="E3207" s="3">
        <v>8</v>
      </c>
      <c r="F3207" s="3">
        <v>44.17</v>
      </c>
      <c r="G3207" s="3">
        <v>0</v>
      </c>
      <c r="H3207" s="3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 s="3">
        <v>7</v>
      </c>
      <c r="N3207" s="3">
        <v>90.48</v>
      </c>
      <c r="O3207" s="12">
        <v>20.68965517241379</v>
      </c>
    </row>
    <row r="3208" spans="1:15" hidden="1" x14ac:dyDescent="0.25">
      <c r="A3208" s="10">
        <v>46101</v>
      </c>
      <c r="B3208" t="s">
        <v>52</v>
      </c>
      <c r="C3208" s="1" t="s">
        <v>48</v>
      </c>
      <c r="D3208" s="3">
        <v>17</v>
      </c>
      <c r="E3208" s="3">
        <v>15</v>
      </c>
      <c r="F3208" s="3">
        <v>25.32</v>
      </c>
      <c r="G3208" s="3">
        <v>0</v>
      </c>
      <c r="H3208" s="3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 s="3">
        <v>11</v>
      </c>
      <c r="N3208" s="3">
        <v>98.06</v>
      </c>
      <c r="O3208" s="12">
        <v>24.789915966386559</v>
      </c>
    </row>
    <row r="3209" spans="1:15" hidden="1" x14ac:dyDescent="0.25">
      <c r="A3209" s="10">
        <v>46101</v>
      </c>
      <c r="B3209" t="s">
        <v>36</v>
      </c>
      <c r="C3209" s="1" t="s">
        <v>32</v>
      </c>
      <c r="D3209" s="3">
        <v>27</v>
      </c>
      <c r="E3209" s="3">
        <v>27</v>
      </c>
      <c r="F3209" s="3">
        <v>18.399999999999999</v>
      </c>
      <c r="G3209" s="3">
        <v>0</v>
      </c>
      <c r="H3209" s="3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 s="3">
        <v>28</v>
      </c>
      <c r="N3209" s="3">
        <v>97.78</v>
      </c>
      <c r="O3209" s="12">
        <v>25.494071146245059</v>
      </c>
    </row>
    <row r="3210" spans="1:15" hidden="1" x14ac:dyDescent="0.25">
      <c r="A3210" s="10">
        <v>46101</v>
      </c>
      <c r="B3210" t="s">
        <v>53</v>
      </c>
      <c r="C3210" s="1" t="s">
        <v>48</v>
      </c>
      <c r="D3210" s="3">
        <v>12</v>
      </c>
      <c r="E3210" s="3">
        <v>10</v>
      </c>
      <c r="F3210" s="3">
        <v>35.19</v>
      </c>
      <c r="G3210" s="3">
        <v>0</v>
      </c>
      <c r="H3210" s="3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 s="3">
        <v>10</v>
      </c>
      <c r="N3210" s="3">
        <v>98.02</v>
      </c>
      <c r="O3210" s="12">
        <v>23.484848484848481</v>
      </c>
    </row>
    <row r="3211" spans="1:15" hidden="1" x14ac:dyDescent="0.25">
      <c r="A3211" s="10">
        <v>46136</v>
      </c>
      <c r="B3211" t="s">
        <v>22</v>
      </c>
      <c r="C3211" s="1" t="s">
        <v>23</v>
      </c>
      <c r="D3211" s="3">
        <v>16</v>
      </c>
      <c r="E3211" s="3">
        <v>15</v>
      </c>
      <c r="F3211" s="3">
        <v>24.14</v>
      </c>
      <c r="G3211" s="3">
        <v>0</v>
      </c>
      <c r="H3211" s="3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 s="3">
        <v>21</v>
      </c>
      <c r="N3211" s="3">
        <v>99.28</v>
      </c>
      <c r="O3211" s="12">
        <v>27.689243027888441</v>
      </c>
    </row>
    <row r="3212" spans="1:15" hidden="1" x14ac:dyDescent="0.25">
      <c r="A3212" s="10">
        <v>46101</v>
      </c>
      <c r="B3212" t="s">
        <v>54</v>
      </c>
      <c r="C3212" s="1" t="s">
        <v>48</v>
      </c>
      <c r="D3212" s="3">
        <v>29</v>
      </c>
      <c r="E3212" s="3">
        <v>28</v>
      </c>
      <c r="F3212" s="3">
        <v>20.32</v>
      </c>
      <c r="G3212" s="3">
        <v>0</v>
      </c>
      <c r="H3212" s="3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 s="3">
        <v>27</v>
      </c>
      <c r="N3212" s="3">
        <v>100</v>
      </c>
      <c r="O3212" s="12">
        <v>27.04918032786885</v>
      </c>
    </row>
    <row r="3213" spans="1:15" hidden="1" x14ac:dyDescent="0.25">
      <c r="A3213" s="10">
        <v>46101</v>
      </c>
      <c r="B3213" t="s">
        <v>37</v>
      </c>
      <c r="C3213" s="1" t="s">
        <v>32</v>
      </c>
      <c r="D3213" s="3">
        <v>39</v>
      </c>
      <c r="E3213" s="3">
        <v>38</v>
      </c>
      <c r="F3213" s="3">
        <v>16.5</v>
      </c>
      <c r="G3213" s="3">
        <v>0</v>
      </c>
      <c r="H3213" s="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 s="3">
        <v>33</v>
      </c>
      <c r="N3213" s="3">
        <v>97.83</v>
      </c>
      <c r="O3213" s="12">
        <v>26.315789473684209</v>
      </c>
    </row>
    <row r="3214" spans="1:15" hidden="1" x14ac:dyDescent="0.25">
      <c r="A3214" s="10">
        <v>46101</v>
      </c>
      <c r="B3214" t="s">
        <v>38</v>
      </c>
      <c r="C3214" s="1" t="s">
        <v>32</v>
      </c>
      <c r="D3214" s="3">
        <v>3</v>
      </c>
      <c r="E3214" s="3">
        <v>3</v>
      </c>
      <c r="F3214" s="3">
        <v>4.0199999999999996</v>
      </c>
      <c r="G3214" s="3">
        <v>0</v>
      </c>
      <c r="H3214" s="3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 s="3">
        <v>9</v>
      </c>
      <c r="N3214" s="3">
        <v>100</v>
      </c>
      <c r="O3214" s="12">
        <v>26.701570680628269</v>
      </c>
    </row>
    <row r="3215" spans="1:15" hidden="1" x14ac:dyDescent="0.25">
      <c r="A3215" s="10">
        <v>46101</v>
      </c>
      <c r="B3215" t="s">
        <v>55</v>
      </c>
      <c r="C3215" s="1" t="s">
        <v>48</v>
      </c>
      <c r="D3215" s="3">
        <v>0</v>
      </c>
      <c r="E3215" s="3">
        <v>0</v>
      </c>
      <c r="F3215" s="3">
        <v>0</v>
      </c>
      <c r="G3215" s="3">
        <v>0</v>
      </c>
      <c r="H3215" s="3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 s="3">
        <v>0</v>
      </c>
      <c r="N3215" s="3">
        <v>97.47</v>
      </c>
      <c r="O3215" s="12">
        <v>22.887323943661968</v>
      </c>
    </row>
    <row r="3216" spans="1:15" hidden="1" x14ac:dyDescent="0.25">
      <c r="A3216" s="10">
        <v>46101</v>
      </c>
      <c r="B3216" t="s">
        <v>39</v>
      </c>
      <c r="C3216" s="1" t="s">
        <v>32</v>
      </c>
      <c r="D3216" s="3">
        <v>0</v>
      </c>
      <c r="E3216" s="3">
        <v>0</v>
      </c>
      <c r="F3216" s="3">
        <v>0</v>
      </c>
      <c r="G3216" s="3">
        <v>0</v>
      </c>
      <c r="H3216" s="3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 s="3">
        <v>0</v>
      </c>
      <c r="N3216" s="3">
        <v>0</v>
      </c>
      <c r="O3216" s="12">
        <v>0</v>
      </c>
    </row>
    <row r="3217" spans="1:15" hidden="1" x14ac:dyDescent="0.25">
      <c r="A3217" s="10">
        <v>46101</v>
      </c>
      <c r="B3217" t="s">
        <v>25</v>
      </c>
      <c r="C3217" s="1" t="s">
        <v>26</v>
      </c>
      <c r="D3217" s="3">
        <v>23</v>
      </c>
      <c r="E3217" s="3">
        <v>22</v>
      </c>
      <c r="F3217" s="3">
        <v>26.4</v>
      </c>
      <c r="G3217" s="3">
        <v>0</v>
      </c>
      <c r="H3217" s="3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 s="3">
        <v>23</v>
      </c>
      <c r="N3217" s="3">
        <v>98.31</v>
      </c>
      <c r="O3217" s="12">
        <v>24.920127795527151</v>
      </c>
    </row>
    <row r="3218" spans="1:15" hidden="1" x14ac:dyDescent="0.25">
      <c r="A3218" s="10">
        <v>46101</v>
      </c>
      <c r="B3218" t="s">
        <v>40</v>
      </c>
      <c r="C3218" s="1" t="s">
        <v>32</v>
      </c>
      <c r="D3218" s="3">
        <v>5</v>
      </c>
      <c r="E3218" s="3">
        <v>5</v>
      </c>
      <c r="F3218" s="3">
        <v>44.14</v>
      </c>
      <c r="G3218" s="3">
        <v>0</v>
      </c>
      <c r="H3218" s="3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 s="3">
        <v>5</v>
      </c>
      <c r="N3218" s="3">
        <v>96.81</v>
      </c>
      <c r="O3218" s="12">
        <v>32.365145228215773</v>
      </c>
    </row>
    <row r="3219" spans="1:15" hidden="1" x14ac:dyDescent="0.25">
      <c r="A3219" s="10">
        <v>46101</v>
      </c>
      <c r="B3219" t="s">
        <v>27</v>
      </c>
      <c r="C3219" s="1" t="s">
        <v>26</v>
      </c>
      <c r="D3219" s="3">
        <v>15</v>
      </c>
      <c r="E3219" s="3">
        <v>12</v>
      </c>
      <c r="F3219" s="3">
        <v>32.020000000000003</v>
      </c>
      <c r="G3219" s="3">
        <v>0</v>
      </c>
      <c r="H3219" s="3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 s="3">
        <v>6</v>
      </c>
      <c r="N3219" s="3">
        <v>100</v>
      </c>
      <c r="O3219" s="12">
        <v>26.47058823529412</v>
      </c>
    </row>
    <row r="3220" spans="1:15" hidden="1" x14ac:dyDescent="0.25">
      <c r="A3220" s="10">
        <v>46101</v>
      </c>
      <c r="B3220" t="s">
        <v>41</v>
      </c>
      <c r="C3220" s="1" t="s">
        <v>32</v>
      </c>
      <c r="D3220" s="3">
        <v>21</v>
      </c>
      <c r="E3220" s="3">
        <v>19</v>
      </c>
      <c r="F3220" s="3">
        <v>30.07</v>
      </c>
      <c r="G3220" s="3">
        <v>0</v>
      </c>
      <c r="H3220" s="3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 s="3">
        <v>22</v>
      </c>
      <c r="N3220" s="3">
        <v>100</v>
      </c>
      <c r="O3220" s="12">
        <v>28.490028490028489</v>
      </c>
    </row>
    <row r="3221" spans="1:15" hidden="1" x14ac:dyDescent="0.25">
      <c r="A3221" s="10">
        <v>46101</v>
      </c>
      <c r="B3221" t="s">
        <v>56</v>
      </c>
      <c r="C3221" s="1" t="s">
        <v>48</v>
      </c>
      <c r="D3221" s="3">
        <v>26</v>
      </c>
      <c r="E3221" s="3">
        <v>23</v>
      </c>
      <c r="F3221" s="3">
        <v>24.09</v>
      </c>
      <c r="G3221" s="3">
        <v>0</v>
      </c>
      <c r="H3221" s="3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 s="3">
        <v>22</v>
      </c>
      <c r="N3221" s="3">
        <v>99.14</v>
      </c>
      <c r="O3221" s="12">
        <v>27.2289156626506</v>
      </c>
    </row>
    <row r="3222" spans="1:15" hidden="1" x14ac:dyDescent="0.25">
      <c r="A3222" s="10">
        <v>46101</v>
      </c>
      <c r="B3222" t="s">
        <v>57</v>
      </c>
      <c r="C3222" s="1" t="s">
        <v>48</v>
      </c>
      <c r="D3222" s="3">
        <v>32</v>
      </c>
      <c r="E3222" s="3">
        <v>29</v>
      </c>
      <c r="F3222" s="3">
        <v>15.52</v>
      </c>
      <c r="G3222" s="3">
        <v>0</v>
      </c>
      <c r="H3222" s="3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 s="3">
        <v>26</v>
      </c>
      <c r="N3222" s="3">
        <v>97.52</v>
      </c>
      <c r="O3222" s="12">
        <v>28.205128205128201</v>
      </c>
    </row>
    <row r="3223" spans="1:15" hidden="1" x14ac:dyDescent="0.25">
      <c r="A3223" s="10">
        <v>46101</v>
      </c>
      <c r="B3223" t="s">
        <v>42</v>
      </c>
      <c r="C3223" s="1" t="s">
        <v>32</v>
      </c>
      <c r="D3223" s="3">
        <v>0</v>
      </c>
      <c r="E3223" s="3">
        <v>0</v>
      </c>
      <c r="F3223" s="3">
        <v>0</v>
      </c>
      <c r="G3223" s="3">
        <v>0</v>
      </c>
      <c r="H3223" s="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 s="3">
        <v>0</v>
      </c>
      <c r="N3223" s="3">
        <v>90</v>
      </c>
      <c r="O3223" s="12">
        <v>24.186046511627911</v>
      </c>
    </row>
    <row r="3224" spans="1:15" hidden="1" x14ac:dyDescent="0.25">
      <c r="A3224" s="10">
        <v>46101</v>
      </c>
      <c r="B3224" t="s">
        <v>62</v>
      </c>
      <c r="C3224" s="1" t="s">
        <v>23</v>
      </c>
      <c r="D3224" s="3">
        <v>27</v>
      </c>
      <c r="E3224" s="3">
        <v>25</v>
      </c>
      <c r="F3224" s="3">
        <v>22.33</v>
      </c>
      <c r="G3224" s="3">
        <v>0</v>
      </c>
      <c r="H3224" s="3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 s="3">
        <v>23</v>
      </c>
      <c r="N3224" s="3">
        <v>98.9</v>
      </c>
      <c r="O3224" s="12">
        <v>26.763990267639901</v>
      </c>
    </row>
    <row r="3225" spans="1:15" hidden="1" x14ac:dyDescent="0.25">
      <c r="A3225" s="10">
        <v>46101</v>
      </c>
      <c r="B3225" t="s">
        <v>19</v>
      </c>
      <c r="C3225" s="1" t="s">
        <v>16</v>
      </c>
      <c r="D3225" s="3">
        <v>9</v>
      </c>
      <c r="E3225" s="3">
        <v>7</v>
      </c>
      <c r="F3225" s="3">
        <v>38.369999999999997</v>
      </c>
      <c r="G3225" s="3">
        <v>0</v>
      </c>
      <c r="H3225" s="3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 s="3">
        <v>7</v>
      </c>
      <c r="N3225" s="3">
        <v>88.89</v>
      </c>
      <c r="O3225" s="12">
        <v>25.263157894736839</v>
      </c>
    </row>
    <row r="3226" spans="1:15" hidden="1" x14ac:dyDescent="0.25">
      <c r="A3226" s="10">
        <v>46121</v>
      </c>
      <c r="B3226" t="s">
        <v>43</v>
      </c>
      <c r="C3226" s="1" t="s">
        <v>32</v>
      </c>
      <c r="D3226" s="3">
        <v>27</v>
      </c>
      <c r="E3226" s="3">
        <v>27</v>
      </c>
      <c r="F3226" s="3">
        <v>17.13</v>
      </c>
      <c r="G3226" s="3">
        <v>0</v>
      </c>
      <c r="H3226" s="3">
        <v>0</v>
      </c>
      <c r="I3226" s="3">
        <f>E3226+G3226+H3226</f>
        <v>27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26</v>
      </c>
      <c r="K3226" s="3">
        <f>I3226-J3226</f>
        <v>1</v>
      </c>
      <c r="L3226" s="3" t="str">
        <f>IF(K3226&lt;-5,"CRÍTICO",IF(K3226&lt;0,"ATENÇÃO",IF(K3226&lt;=5,"OPORTUNO","MUITO BOM")))</f>
        <v>OPORTUNO</v>
      </c>
      <c r="M3226" s="3">
        <v>28</v>
      </c>
      <c r="N3226" s="3">
        <v>100</v>
      </c>
      <c r="O3226" s="12">
        <v>23.9870340356564</v>
      </c>
    </row>
    <row r="3227" spans="1:15" hidden="1" x14ac:dyDescent="0.25">
      <c r="A3227" s="10">
        <v>46101</v>
      </c>
      <c r="B3227" t="s">
        <v>44</v>
      </c>
      <c r="C3227" s="1" t="s">
        <v>32</v>
      </c>
      <c r="D3227" s="3">
        <v>0</v>
      </c>
      <c r="E3227" s="3">
        <v>0</v>
      </c>
      <c r="F3227" s="3">
        <v>0</v>
      </c>
      <c r="G3227" s="3">
        <v>0</v>
      </c>
      <c r="H3227" s="3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 s="3">
        <v>0</v>
      </c>
      <c r="N3227" s="3">
        <v>98.06</v>
      </c>
      <c r="O3227" s="12">
        <v>22.40566037735849</v>
      </c>
    </row>
    <row r="3228" spans="1:15" hidden="1" x14ac:dyDescent="0.25">
      <c r="A3228" s="10">
        <v>46129</v>
      </c>
      <c r="B3228" t="s">
        <v>20</v>
      </c>
      <c r="C3228" s="1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>IF(K3228&lt;-5,"CRÍTICO",IF(K3228&lt;0,"ATENÇÃO",IF(K3228&lt;=5,"OPORTUNO","MUITO BOM")))</f>
        <v>OPORTUNO</v>
      </c>
      <c r="M3228" s="3">
        <v>5</v>
      </c>
      <c r="N3228" s="3">
        <v>100</v>
      </c>
      <c r="O3228" s="12">
        <v>23.77622377622378</v>
      </c>
    </row>
    <row r="3229" spans="1:15" hidden="1" x14ac:dyDescent="0.25">
      <c r="A3229" s="10">
        <v>46101</v>
      </c>
      <c r="B3229" t="s">
        <v>28</v>
      </c>
      <c r="C3229" s="1" t="s">
        <v>26</v>
      </c>
      <c r="D3229" s="3">
        <v>0</v>
      </c>
      <c r="E3229" s="3">
        <v>0</v>
      </c>
      <c r="F3229" s="3">
        <v>0</v>
      </c>
      <c r="G3229" s="3">
        <v>0</v>
      </c>
      <c r="H3229" s="3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 s="3">
        <v>0</v>
      </c>
      <c r="N3229" s="3">
        <v>100</v>
      </c>
      <c r="O3229" s="12">
        <v>15.38461538461539</v>
      </c>
    </row>
    <row r="3230" spans="1:15" hidden="1" x14ac:dyDescent="0.25">
      <c r="A3230" s="10">
        <v>46101</v>
      </c>
      <c r="B3230" t="s">
        <v>58</v>
      </c>
      <c r="C3230" s="1" t="s">
        <v>48</v>
      </c>
      <c r="D3230" s="3">
        <v>36</v>
      </c>
      <c r="E3230" s="3">
        <v>34</v>
      </c>
      <c r="F3230" s="3">
        <v>17.149999999999999</v>
      </c>
      <c r="G3230" s="3">
        <v>0</v>
      </c>
      <c r="H3230" s="3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 s="3">
        <v>27</v>
      </c>
      <c r="N3230" s="3">
        <v>100</v>
      </c>
      <c r="O3230" s="12">
        <v>27.514792899408281</v>
      </c>
    </row>
    <row r="3231" spans="1:15" hidden="1" x14ac:dyDescent="0.25">
      <c r="A3231" s="10">
        <v>46101</v>
      </c>
      <c r="B3231" t="s">
        <v>29</v>
      </c>
      <c r="C3231" s="1" t="s">
        <v>26</v>
      </c>
      <c r="D3231" s="3">
        <v>14</v>
      </c>
      <c r="E3231" s="3">
        <v>13</v>
      </c>
      <c r="F3231" s="3">
        <v>38.42</v>
      </c>
      <c r="G3231" s="3">
        <v>0</v>
      </c>
      <c r="H3231" s="3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 s="3">
        <v>12</v>
      </c>
      <c r="N3231" s="3">
        <v>100</v>
      </c>
      <c r="O3231" s="12">
        <v>24.875621890547269</v>
      </c>
    </row>
    <row r="3232" spans="1:15" hidden="1" x14ac:dyDescent="0.25">
      <c r="A3232" s="10">
        <v>46101</v>
      </c>
      <c r="B3232" t="s">
        <v>30</v>
      </c>
      <c r="C3232" s="1" t="s">
        <v>26</v>
      </c>
      <c r="D3232" s="3">
        <v>16</v>
      </c>
      <c r="E3232" s="3">
        <v>16</v>
      </c>
      <c r="F3232" s="3">
        <v>33.32</v>
      </c>
      <c r="G3232" s="3">
        <v>0</v>
      </c>
      <c r="H3232" s="3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 s="3">
        <v>9</v>
      </c>
      <c r="N3232" s="3">
        <v>100</v>
      </c>
      <c r="O3232" s="12">
        <v>28.108108108108109</v>
      </c>
    </row>
    <row r="3233" spans="1:15" hidden="1" x14ac:dyDescent="0.25">
      <c r="A3233" s="10">
        <v>46129</v>
      </c>
      <c r="B3233" t="s">
        <v>21</v>
      </c>
      <c r="C3233" s="1" t="s">
        <v>16</v>
      </c>
      <c r="D3233" s="3">
        <v>16</v>
      </c>
      <c r="E3233" s="3">
        <v>14</v>
      </c>
      <c r="F3233" s="3">
        <v>30.56</v>
      </c>
      <c r="G3233" s="3">
        <v>0</v>
      </c>
      <c r="H3233" s="3">
        <v>0</v>
      </c>
      <c r="I3233" s="3">
        <f>E3233+G3233+H3233</f>
        <v>14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8</v>
      </c>
      <c r="K3233" s="3">
        <f>I3233-J3233</f>
        <v>6</v>
      </c>
      <c r="L3233" s="3" t="str">
        <f>IF(K3233&lt;-5,"CRÍTICO",IF(K3233&lt;0,"ATENÇÃO",IF(K3233&lt;=5,"OPORTUNO","MUITO BOM")))</f>
        <v>MUITO BOM</v>
      </c>
      <c r="M3233" s="3">
        <v>10</v>
      </c>
      <c r="N3233" s="3">
        <v>94.12</v>
      </c>
      <c r="O3233" s="12">
        <v>32.799999999999997</v>
      </c>
    </row>
    <row r="3234" spans="1:15" hidden="1" x14ac:dyDescent="0.25">
      <c r="A3234" s="10">
        <v>46101</v>
      </c>
      <c r="B3234" t="s">
        <v>63</v>
      </c>
      <c r="C3234" s="1" t="s">
        <v>23</v>
      </c>
      <c r="D3234" s="3">
        <v>21</v>
      </c>
      <c r="E3234" s="3">
        <v>20</v>
      </c>
      <c r="F3234" s="3">
        <v>29.14</v>
      </c>
      <c r="G3234" s="3">
        <v>0</v>
      </c>
      <c r="H3234" s="3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 s="3">
        <v>12</v>
      </c>
      <c r="N3234" s="3">
        <v>95.35</v>
      </c>
      <c r="O3234" s="12">
        <v>28.61538461538461</v>
      </c>
    </row>
    <row r="3235" spans="1:15" hidden="1" x14ac:dyDescent="0.25">
      <c r="A3235" s="10">
        <v>46101</v>
      </c>
      <c r="B3235" t="s">
        <v>45</v>
      </c>
      <c r="C3235" s="1" t="s">
        <v>32</v>
      </c>
      <c r="D3235" s="3">
        <v>34</v>
      </c>
      <c r="E3235" s="3">
        <v>34</v>
      </c>
      <c r="F3235" s="3">
        <v>15.17</v>
      </c>
      <c r="G3235" s="3">
        <v>0</v>
      </c>
      <c r="H3235" s="3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 s="3">
        <v>32</v>
      </c>
      <c r="N3235" s="3">
        <v>98.26</v>
      </c>
      <c r="O3235" s="12">
        <v>27.54491017964072</v>
      </c>
    </row>
    <row r="3236" spans="1:15" hidden="1" x14ac:dyDescent="0.25">
      <c r="A3236" s="10">
        <v>46101</v>
      </c>
      <c r="B3236" t="s">
        <v>64</v>
      </c>
      <c r="C3236" s="1" t="s">
        <v>23</v>
      </c>
      <c r="D3236" s="3">
        <v>19</v>
      </c>
      <c r="E3236" s="3">
        <v>18</v>
      </c>
      <c r="F3236" s="3">
        <v>24.03</v>
      </c>
      <c r="G3236" s="3">
        <v>0</v>
      </c>
      <c r="H3236" s="3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 s="3">
        <v>16</v>
      </c>
      <c r="N3236" s="3">
        <v>98.55</v>
      </c>
      <c r="O3236" s="12">
        <v>25.337837837837839</v>
      </c>
    </row>
    <row r="3237" spans="1:15" hidden="1" x14ac:dyDescent="0.25">
      <c r="A3237" s="10">
        <v>46101</v>
      </c>
      <c r="B3237" t="s">
        <v>46</v>
      </c>
      <c r="C3237" s="1" t="s">
        <v>32</v>
      </c>
      <c r="D3237" s="3">
        <v>33</v>
      </c>
      <c r="E3237" s="3">
        <v>32</v>
      </c>
      <c r="F3237" s="3">
        <v>19.05</v>
      </c>
      <c r="G3237" s="3">
        <v>0</v>
      </c>
      <c r="H3237" s="3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 s="3">
        <v>26</v>
      </c>
      <c r="N3237" s="3">
        <v>98.39</v>
      </c>
      <c r="O3237" s="12">
        <v>25.563909774436091</v>
      </c>
    </row>
    <row r="3238" spans="1:15" hidden="1" x14ac:dyDescent="0.25">
      <c r="A3238" s="10">
        <v>46104</v>
      </c>
      <c r="B3238" t="s">
        <v>47</v>
      </c>
      <c r="C3238" s="1" t="s">
        <v>48</v>
      </c>
      <c r="D3238" s="3">
        <v>28</v>
      </c>
      <c r="E3238" s="3">
        <v>25</v>
      </c>
      <c r="F3238" s="3">
        <v>13.45</v>
      </c>
      <c r="G3238" s="3">
        <v>0</v>
      </c>
      <c r="H3238" s="3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 s="3">
        <v>17</v>
      </c>
      <c r="N3238" s="3">
        <v>94.29</v>
      </c>
      <c r="O3238" s="12">
        <v>25.647668393782389</v>
      </c>
    </row>
    <row r="3239" spans="1:15" hidden="1" x14ac:dyDescent="0.25">
      <c r="A3239" s="10">
        <v>46104</v>
      </c>
      <c r="B3239" t="s">
        <v>31</v>
      </c>
      <c r="C3239" s="1" t="s">
        <v>32</v>
      </c>
      <c r="D3239" s="3">
        <v>0</v>
      </c>
      <c r="E3239" s="3">
        <v>0</v>
      </c>
      <c r="F3239" s="3">
        <v>0</v>
      </c>
      <c r="G3239" s="3">
        <v>0</v>
      </c>
      <c r="H3239" s="3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 s="3">
        <v>20</v>
      </c>
      <c r="N3239" s="3">
        <v>98.26</v>
      </c>
      <c r="O3239" s="12">
        <v>26.666666666666671</v>
      </c>
    </row>
    <row r="3240" spans="1:15" hidden="1" x14ac:dyDescent="0.25">
      <c r="A3240" s="10">
        <v>46104</v>
      </c>
      <c r="B3240" t="s">
        <v>59</v>
      </c>
      <c r="C3240" s="1" t="s">
        <v>23</v>
      </c>
      <c r="D3240" s="3">
        <v>24</v>
      </c>
      <c r="E3240" s="3">
        <v>22</v>
      </c>
      <c r="F3240" s="3">
        <v>23.59</v>
      </c>
      <c r="G3240" s="3">
        <v>0</v>
      </c>
      <c r="H3240" s="3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 s="3">
        <v>20</v>
      </c>
      <c r="N3240" s="3">
        <v>98.2</v>
      </c>
      <c r="O3240" s="12">
        <v>23.37962962962963</v>
      </c>
    </row>
    <row r="3241" spans="1:15" hidden="1" x14ac:dyDescent="0.25">
      <c r="A3241" s="10">
        <v>46104</v>
      </c>
      <c r="B3241" t="s">
        <v>33</v>
      </c>
      <c r="C3241" s="1" t="s">
        <v>32</v>
      </c>
      <c r="D3241" s="3">
        <v>21</v>
      </c>
      <c r="E3241" s="3">
        <v>18</v>
      </c>
      <c r="F3241" s="3">
        <v>18.25</v>
      </c>
      <c r="G3241" s="3">
        <v>0</v>
      </c>
      <c r="H3241" s="3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 s="3">
        <v>19</v>
      </c>
      <c r="N3241" s="3">
        <v>97.3</v>
      </c>
      <c r="O3241" s="12">
        <v>23.84769539078156</v>
      </c>
    </row>
    <row r="3242" spans="1:15" hidden="1" x14ac:dyDescent="0.25">
      <c r="A3242" s="10">
        <v>46104</v>
      </c>
      <c r="B3242" t="s">
        <v>15</v>
      </c>
      <c r="C3242" s="1" t="s">
        <v>16</v>
      </c>
      <c r="D3242" s="3">
        <v>12</v>
      </c>
      <c r="E3242" s="3">
        <v>10</v>
      </c>
      <c r="F3242" s="3">
        <v>33.47</v>
      </c>
      <c r="G3242" s="3">
        <v>0</v>
      </c>
      <c r="H3242" s="3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 s="3">
        <v>10</v>
      </c>
      <c r="N3242" s="3">
        <v>100</v>
      </c>
      <c r="O3242" s="12">
        <v>25.268817204301079</v>
      </c>
    </row>
    <row r="3243" spans="1:15" hidden="1" x14ac:dyDescent="0.25">
      <c r="A3243" s="10">
        <v>46104</v>
      </c>
      <c r="B3243" t="s">
        <v>49</v>
      </c>
      <c r="C3243" s="1" t="s">
        <v>48</v>
      </c>
      <c r="D3243" s="3">
        <v>24</v>
      </c>
      <c r="E3243" s="3">
        <v>21</v>
      </c>
      <c r="F3243" s="3">
        <v>12.05</v>
      </c>
      <c r="G3243" s="3">
        <v>0</v>
      </c>
      <c r="H3243" s="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 s="3">
        <v>22</v>
      </c>
      <c r="N3243" s="3">
        <v>99.32</v>
      </c>
      <c r="O3243" s="12">
        <v>22.822822822822818</v>
      </c>
    </row>
    <row r="3244" spans="1:15" hidden="1" x14ac:dyDescent="0.25">
      <c r="A3244" s="10">
        <v>46104</v>
      </c>
      <c r="B3244" t="s">
        <v>50</v>
      </c>
      <c r="C3244" s="1" t="s">
        <v>48</v>
      </c>
      <c r="D3244" s="3">
        <v>18</v>
      </c>
      <c r="E3244" s="3">
        <v>17</v>
      </c>
      <c r="F3244" s="3">
        <v>25.42</v>
      </c>
      <c r="G3244" s="3">
        <v>0</v>
      </c>
      <c r="H3244" s="3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 s="3">
        <v>14</v>
      </c>
      <c r="N3244" s="3">
        <v>100</v>
      </c>
      <c r="O3244" s="12">
        <v>27.966101694915249</v>
      </c>
    </row>
    <row r="3245" spans="1:15" hidden="1" x14ac:dyDescent="0.25">
      <c r="A3245" s="10">
        <v>46104</v>
      </c>
      <c r="B3245" t="s">
        <v>17</v>
      </c>
      <c r="C3245" s="1" t="s">
        <v>16</v>
      </c>
      <c r="D3245" s="3">
        <v>0</v>
      </c>
      <c r="E3245" s="3">
        <v>0</v>
      </c>
      <c r="F3245" s="3">
        <v>0</v>
      </c>
      <c r="G3245" s="3">
        <v>0</v>
      </c>
      <c r="H3245" s="3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 s="3">
        <v>0</v>
      </c>
      <c r="N3245" s="3">
        <v>100</v>
      </c>
      <c r="O3245" s="12">
        <v>30.434782608695659</v>
      </c>
    </row>
    <row r="3246" spans="1:15" hidden="1" x14ac:dyDescent="0.25">
      <c r="A3246" s="10">
        <v>46104</v>
      </c>
      <c r="B3246" t="s">
        <v>60</v>
      </c>
      <c r="C3246" s="1" t="s">
        <v>23</v>
      </c>
      <c r="D3246" s="3">
        <v>25</v>
      </c>
      <c r="E3246" s="3">
        <v>22</v>
      </c>
      <c r="F3246" s="3">
        <v>21.53</v>
      </c>
      <c r="G3246" s="3">
        <v>0</v>
      </c>
      <c r="H3246" s="3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 s="3">
        <v>20</v>
      </c>
      <c r="N3246" s="3">
        <v>96.51</v>
      </c>
      <c r="O3246" s="12">
        <v>22.802850356294542</v>
      </c>
    </row>
    <row r="3247" spans="1:15" hidden="1" x14ac:dyDescent="0.25">
      <c r="A3247" s="10">
        <v>46104</v>
      </c>
      <c r="B3247" t="s">
        <v>34</v>
      </c>
      <c r="C3247" s="1" t="s">
        <v>32</v>
      </c>
      <c r="D3247" s="3">
        <v>6</v>
      </c>
      <c r="E3247" s="3">
        <v>6</v>
      </c>
      <c r="F3247" s="3">
        <v>25.29</v>
      </c>
      <c r="G3247" s="3">
        <v>0</v>
      </c>
      <c r="H3247" s="3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 s="3">
        <v>7</v>
      </c>
      <c r="N3247" s="3">
        <v>92.68</v>
      </c>
      <c r="O3247" s="12">
        <v>27.777777777777779</v>
      </c>
    </row>
    <row r="3248" spans="1:15" hidden="1" x14ac:dyDescent="0.25">
      <c r="A3248" s="10">
        <v>46104</v>
      </c>
      <c r="B3248" t="s">
        <v>51</v>
      </c>
      <c r="C3248" s="1" t="s">
        <v>48</v>
      </c>
      <c r="D3248" s="3">
        <v>29</v>
      </c>
      <c r="E3248" s="3">
        <v>20</v>
      </c>
      <c r="F3248" s="3">
        <v>27.17</v>
      </c>
      <c r="G3248" s="3">
        <v>0</v>
      </c>
      <c r="H3248" s="3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 s="3">
        <v>17</v>
      </c>
      <c r="N3248" s="3">
        <v>99.03</v>
      </c>
      <c r="O3248" s="12">
        <v>23.991507430997881</v>
      </c>
    </row>
    <row r="3249" spans="1:15" hidden="1" x14ac:dyDescent="0.25">
      <c r="A3249" s="10">
        <v>46104</v>
      </c>
      <c r="B3249" t="s">
        <v>61</v>
      </c>
      <c r="C3249" s="1" t="s">
        <v>23</v>
      </c>
      <c r="D3249" s="3">
        <v>18</v>
      </c>
      <c r="E3249" s="3">
        <v>18</v>
      </c>
      <c r="F3249" s="3">
        <v>21.48</v>
      </c>
      <c r="G3249" s="3">
        <v>0</v>
      </c>
      <c r="H3249" s="3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 s="3">
        <v>6</v>
      </c>
      <c r="N3249" s="3">
        <v>98.41</v>
      </c>
      <c r="O3249" s="12">
        <v>28.138528138528141</v>
      </c>
    </row>
    <row r="3250" spans="1:15" hidden="1" x14ac:dyDescent="0.25">
      <c r="A3250" s="10">
        <v>46104</v>
      </c>
      <c r="B3250" t="s">
        <v>35</v>
      </c>
      <c r="C3250" s="1" t="s">
        <v>32</v>
      </c>
      <c r="D3250" s="3">
        <v>18</v>
      </c>
      <c r="E3250" s="3">
        <v>17</v>
      </c>
      <c r="F3250" s="3">
        <v>25.34</v>
      </c>
      <c r="G3250" s="3">
        <v>0</v>
      </c>
      <c r="H3250" s="3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 s="3">
        <v>19</v>
      </c>
      <c r="N3250" s="3">
        <v>98.73</v>
      </c>
      <c r="O3250" s="12">
        <v>29.142857142857139</v>
      </c>
    </row>
    <row r="3251" spans="1:15" hidden="1" x14ac:dyDescent="0.25">
      <c r="A3251" s="10">
        <v>46104</v>
      </c>
      <c r="B3251" t="s">
        <v>18</v>
      </c>
      <c r="C3251" s="1" t="s">
        <v>16</v>
      </c>
      <c r="D3251" s="3">
        <v>6</v>
      </c>
      <c r="E3251" s="3">
        <v>6</v>
      </c>
      <c r="F3251" s="3">
        <v>42.25</v>
      </c>
      <c r="G3251" s="3">
        <v>0</v>
      </c>
      <c r="H3251" s="3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 s="3">
        <v>5</v>
      </c>
      <c r="N3251" s="3">
        <v>90.48</v>
      </c>
      <c r="O3251" s="12">
        <v>20.68965517241379</v>
      </c>
    </row>
    <row r="3252" spans="1:15" hidden="1" x14ac:dyDescent="0.25">
      <c r="A3252" s="10">
        <v>46104</v>
      </c>
      <c r="B3252" t="s">
        <v>52</v>
      </c>
      <c r="C3252" s="1" t="s">
        <v>48</v>
      </c>
      <c r="D3252" s="3">
        <v>26</v>
      </c>
      <c r="E3252" s="3">
        <v>25</v>
      </c>
      <c r="F3252" s="3">
        <v>17.309999999999999</v>
      </c>
      <c r="G3252" s="3">
        <v>0</v>
      </c>
      <c r="H3252" s="3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 s="3">
        <v>22</v>
      </c>
      <c r="N3252" s="3">
        <v>98.06</v>
      </c>
      <c r="O3252" s="12">
        <v>24.789915966386559</v>
      </c>
    </row>
    <row r="3253" spans="1:15" hidden="1" x14ac:dyDescent="0.25">
      <c r="A3253" s="10">
        <v>46104</v>
      </c>
      <c r="B3253" t="s">
        <v>36</v>
      </c>
      <c r="C3253" s="1" t="s">
        <v>32</v>
      </c>
      <c r="D3253" s="3">
        <v>27</v>
      </c>
      <c r="E3253" s="3">
        <v>27</v>
      </c>
      <c r="F3253" s="3">
        <v>15.59</v>
      </c>
      <c r="G3253" s="3">
        <v>0</v>
      </c>
      <c r="H3253" s="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 s="3">
        <v>27</v>
      </c>
      <c r="N3253" s="3">
        <v>97.78</v>
      </c>
      <c r="O3253" s="12">
        <v>25.494071146245059</v>
      </c>
    </row>
    <row r="3254" spans="1:15" hidden="1" x14ac:dyDescent="0.25">
      <c r="A3254" s="10">
        <v>46104</v>
      </c>
      <c r="B3254" t="s">
        <v>53</v>
      </c>
      <c r="C3254" s="1" t="s">
        <v>48</v>
      </c>
      <c r="D3254" s="3">
        <v>28</v>
      </c>
      <c r="E3254" s="3">
        <v>26</v>
      </c>
      <c r="F3254" s="3">
        <v>20.49</v>
      </c>
      <c r="G3254" s="3">
        <v>0</v>
      </c>
      <c r="H3254" s="3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 s="3">
        <v>23</v>
      </c>
      <c r="N3254" s="3">
        <v>98.02</v>
      </c>
      <c r="O3254" s="12">
        <v>23.484848484848481</v>
      </c>
    </row>
    <row r="3255" spans="1:15" hidden="1" x14ac:dyDescent="0.25">
      <c r="A3255" s="10">
        <v>46139</v>
      </c>
      <c r="B3255" t="s">
        <v>22</v>
      </c>
      <c r="C3255" s="1" t="s">
        <v>23</v>
      </c>
      <c r="D3255" s="3">
        <v>13</v>
      </c>
      <c r="E3255" s="3">
        <v>12</v>
      </c>
      <c r="F3255" s="3">
        <v>13.29</v>
      </c>
      <c r="G3255" s="3">
        <v>0</v>
      </c>
      <c r="H3255" s="3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 s="3">
        <v>10</v>
      </c>
      <c r="N3255" s="3">
        <v>99.28</v>
      </c>
      <c r="O3255" s="12">
        <v>27.689243027888441</v>
      </c>
    </row>
    <row r="3256" spans="1:15" hidden="1" x14ac:dyDescent="0.25">
      <c r="A3256" s="10">
        <v>46104</v>
      </c>
      <c r="B3256" t="s">
        <v>54</v>
      </c>
      <c r="C3256" s="1" t="s">
        <v>48</v>
      </c>
      <c r="D3256" s="3">
        <v>32</v>
      </c>
      <c r="E3256" s="3">
        <v>29</v>
      </c>
      <c r="F3256" s="3">
        <v>20.14</v>
      </c>
      <c r="G3256" s="3">
        <v>0</v>
      </c>
      <c r="H3256" s="3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 s="3">
        <v>27</v>
      </c>
      <c r="N3256" s="3">
        <v>100</v>
      </c>
      <c r="O3256" s="12">
        <v>27.04918032786885</v>
      </c>
    </row>
    <row r="3257" spans="1:15" hidden="1" x14ac:dyDescent="0.25">
      <c r="A3257" s="10">
        <v>46104</v>
      </c>
      <c r="B3257" t="s">
        <v>37</v>
      </c>
      <c r="C3257" s="1" t="s">
        <v>32</v>
      </c>
      <c r="D3257" s="3">
        <v>32</v>
      </c>
      <c r="E3257" s="3">
        <v>30</v>
      </c>
      <c r="F3257" s="3">
        <v>16.420000000000002</v>
      </c>
      <c r="G3257" s="3">
        <v>0</v>
      </c>
      <c r="H3257" s="3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 s="3">
        <v>26</v>
      </c>
      <c r="N3257" s="3">
        <v>97.83</v>
      </c>
      <c r="O3257" s="12">
        <v>26.315789473684209</v>
      </c>
    </row>
    <row r="3258" spans="1:15" hidden="1" x14ac:dyDescent="0.25">
      <c r="A3258" s="10">
        <v>46104</v>
      </c>
      <c r="B3258" t="s">
        <v>38</v>
      </c>
      <c r="C3258" s="1" t="s">
        <v>32</v>
      </c>
      <c r="D3258" s="3">
        <v>7</v>
      </c>
      <c r="E3258" s="3">
        <v>6</v>
      </c>
      <c r="F3258" s="3">
        <v>15.49</v>
      </c>
      <c r="G3258" s="3">
        <v>0</v>
      </c>
      <c r="H3258" s="3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 s="3">
        <v>6</v>
      </c>
      <c r="N3258" s="3">
        <v>100</v>
      </c>
      <c r="O3258" s="12">
        <v>26.701570680628269</v>
      </c>
    </row>
    <row r="3259" spans="1:15" hidden="1" x14ac:dyDescent="0.25">
      <c r="A3259" s="10">
        <v>46104</v>
      </c>
      <c r="B3259" t="s">
        <v>55</v>
      </c>
      <c r="C3259" s="1" t="s">
        <v>48</v>
      </c>
      <c r="D3259" s="3">
        <v>0</v>
      </c>
      <c r="E3259" s="3">
        <v>0</v>
      </c>
      <c r="F3259" s="3">
        <v>0</v>
      </c>
      <c r="G3259" s="3">
        <v>0</v>
      </c>
      <c r="H3259" s="3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 s="3">
        <v>0</v>
      </c>
      <c r="N3259" s="3">
        <v>97.47</v>
      </c>
      <c r="O3259" s="12">
        <v>22.887323943661968</v>
      </c>
    </row>
    <row r="3260" spans="1:15" hidden="1" x14ac:dyDescent="0.25">
      <c r="A3260" s="10">
        <v>46104</v>
      </c>
      <c r="B3260" t="s">
        <v>39</v>
      </c>
      <c r="C3260" s="1" t="s">
        <v>32</v>
      </c>
      <c r="D3260" s="3">
        <v>0</v>
      </c>
      <c r="E3260" s="3">
        <v>0</v>
      </c>
      <c r="F3260" s="3">
        <v>0</v>
      </c>
      <c r="G3260" s="3">
        <v>0</v>
      </c>
      <c r="H3260" s="3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 s="3">
        <v>0</v>
      </c>
      <c r="N3260" s="3">
        <v>0</v>
      </c>
      <c r="O3260" s="12">
        <v>0</v>
      </c>
    </row>
    <row r="3261" spans="1:15" hidden="1" x14ac:dyDescent="0.25">
      <c r="A3261" s="10">
        <v>46104</v>
      </c>
      <c r="B3261" t="s">
        <v>25</v>
      </c>
      <c r="C3261" s="1" t="s">
        <v>26</v>
      </c>
      <c r="D3261" s="3">
        <v>10</v>
      </c>
      <c r="E3261" s="3">
        <v>9</v>
      </c>
      <c r="F3261" s="3">
        <v>42.22</v>
      </c>
      <c r="G3261" s="3">
        <v>0</v>
      </c>
      <c r="H3261" s="3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 s="3">
        <v>8</v>
      </c>
      <c r="N3261" s="3">
        <v>98.31</v>
      </c>
      <c r="O3261" s="12">
        <v>24.920127795527151</v>
      </c>
    </row>
    <row r="3262" spans="1:15" hidden="1" x14ac:dyDescent="0.25">
      <c r="A3262" s="10">
        <v>46104</v>
      </c>
      <c r="B3262" t="s">
        <v>40</v>
      </c>
      <c r="C3262" s="1" t="s">
        <v>32</v>
      </c>
      <c r="D3262" s="3">
        <v>13</v>
      </c>
      <c r="E3262" s="3">
        <v>13</v>
      </c>
      <c r="F3262" s="3">
        <v>27.29</v>
      </c>
      <c r="G3262" s="3">
        <v>0</v>
      </c>
      <c r="H3262" s="3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 s="3">
        <v>13</v>
      </c>
      <c r="N3262" s="3">
        <v>96.81</v>
      </c>
      <c r="O3262" s="12">
        <v>32.365145228215773</v>
      </c>
    </row>
    <row r="3263" spans="1:15" hidden="1" x14ac:dyDescent="0.25">
      <c r="A3263" s="10">
        <v>46104</v>
      </c>
      <c r="B3263" t="s">
        <v>27</v>
      </c>
      <c r="C3263" s="1" t="s">
        <v>26</v>
      </c>
      <c r="D3263" s="3">
        <v>17</v>
      </c>
      <c r="E3263" s="3">
        <v>16</v>
      </c>
      <c r="F3263" s="3">
        <v>22.37</v>
      </c>
      <c r="G3263" s="3">
        <v>0</v>
      </c>
      <c r="H3263" s="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 s="3">
        <v>12</v>
      </c>
      <c r="N3263" s="3">
        <v>100</v>
      </c>
      <c r="O3263" s="12">
        <v>26.47058823529412</v>
      </c>
    </row>
    <row r="3264" spans="1:15" hidden="1" x14ac:dyDescent="0.25">
      <c r="A3264" s="10">
        <v>46104</v>
      </c>
      <c r="B3264" t="s">
        <v>41</v>
      </c>
      <c r="C3264" s="1" t="s">
        <v>32</v>
      </c>
      <c r="D3264" s="3">
        <v>15</v>
      </c>
      <c r="E3264" s="3">
        <v>15</v>
      </c>
      <c r="F3264" s="3">
        <v>22.15</v>
      </c>
      <c r="G3264" s="3">
        <v>0</v>
      </c>
      <c r="H3264" s="3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 s="3">
        <v>14</v>
      </c>
      <c r="N3264" s="3">
        <v>100</v>
      </c>
      <c r="O3264" s="12">
        <v>28.490028490028489</v>
      </c>
    </row>
    <row r="3265" spans="1:15" hidden="1" x14ac:dyDescent="0.25">
      <c r="A3265" s="10">
        <v>46104</v>
      </c>
      <c r="B3265" t="s">
        <v>56</v>
      </c>
      <c r="C3265" s="1" t="s">
        <v>48</v>
      </c>
      <c r="D3265" s="3">
        <v>20</v>
      </c>
      <c r="E3265" s="3">
        <v>19</v>
      </c>
      <c r="F3265" s="3">
        <v>21.56</v>
      </c>
      <c r="G3265" s="3">
        <v>0</v>
      </c>
      <c r="H3265" s="3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 s="3">
        <v>32</v>
      </c>
      <c r="N3265" s="3">
        <v>99.14</v>
      </c>
      <c r="O3265" s="12">
        <v>27.2289156626506</v>
      </c>
    </row>
    <row r="3266" spans="1:15" hidden="1" x14ac:dyDescent="0.25">
      <c r="A3266" s="10">
        <v>46104</v>
      </c>
      <c r="B3266" t="s">
        <v>57</v>
      </c>
      <c r="C3266" s="1" t="s">
        <v>48</v>
      </c>
      <c r="D3266" s="3">
        <v>27</v>
      </c>
      <c r="E3266" s="3">
        <v>26</v>
      </c>
      <c r="F3266" s="3">
        <v>15.59</v>
      </c>
      <c r="G3266" s="3">
        <v>0</v>
      </c>
      <c r="H3266" s="3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 s="3">
        <v>22</v>
      </c>
      <c r="N3266" s="3">
        <v>97.52</v>
      </c>
      <c r="O3266" s="12">
        <v>28.205128205128201</v>
      </c>
    </row>
    <row r="3267" spans="1:15" hidden="1" x14ac:dyDescent="0.25">
      <c r="A3267" s="10">
        <v>46104</v>
      </c>
      <c r="B3267" t="s">
        <v>42</v>
      </c>
      <c r="C3267" s="1" t="s">
        <v>32</v>
      </c>
      <c r="D3267" s="3">
        <v>0</v>
      </c>
      <c r="E3267" s="3">
        <v>0</v>
      </c>
      <c r="F3267" s="3">
        <v>0</v>
      </c>
      <c r="G3267" s="3">
        <v>0</v>
      </c>
      <c r="H3267" s="3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 s="3">
        <v>0</v>
      </c>
      <c r="N3267" s="3">
        <v>90</v>
      </c>
      <c r="O3267" s="12">
        <v>24.186046511627911</v>
      </c>
    </row>
    <row r="3268" spans="1:15" hidden="1" x14ac:dyDescent="0.25">
      <c r="A3268" s="10">
        <v>46104</v>
      </c>
      <c r="B3268" t="s">
        <v>62</v>
      </c>
      <c r="C3268" s="1" t="s">
        <v>23</v>
      </c>
      <c r="D3268" s="3">
        <v>21</v>
      </c>
      <c r="E3268" s="3">
        <v>21</v>
      </c>
      <c r="F3268" s="3">
        <v>23.4</v>
      </c>
      <c r="G3268" s="3">
        <v>0</v>
      </c>
      <c r="H3268" s="3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 s="3">
        <v>16</v>
      </c>
      <c r="N3268" s="3">
        <v>98.9</v>
      </c>
      <c r="O3268" s="12">
        <v>26.763990267639901</v>
      </c>
    </row>
    <row r="3269" spans="1:15" hidden="1" x14ac:dyDescent="0.25">
      <c r="A3269" s="10">
        <v>46104</v>
      </c>
      <c r="B3269" t="s">
        <v>19</v>
      </c>
      <c r="C3269" s="1" t="s">
        <v>16</v>
      </c>
      <c r="D3269" s="3">
        <v>8</v>
      </c>
      <c r="E3269" s="3">
        <v>8</v>
      </c>
      <c r="F3269" s="3">
        <v>42.12</v>
      </c>
      <c r="G3269" s="3">
        <v>0</v>
      </c>
      <c r="H3269" s="3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 s="3">
        <v>5</v>
      </c>
      <c r="N3269" s="3">
        <v>88.89</v>
      </c>
      <c r="O3269" s="12">
        <v>25.263157894736839</v>
      </c>
    </row>
    <row r="3270" spans="1:15" hidden="1" x14ac:dyDescent="0.25">
      <c r="A3270" s="10">
        <v>46122</v>
      </c>
      <c r="B3270" t="s">
        <v>43</v>
      </c>
      <c r="C3270" s="1" t="s">
        <v>32</v>
      </c>
      <c r="D3270" s="3">
        <v>13</v>
      </c>
      <c r="E3270" s="3">
        <v>11</v>
      </c>
      <c r="F3270" s="3">
        <v>18.43</v>
      </c>
      <c r="G3270" s="3">
        <v>0</v>
      </c>
      <c r="H3270" s="3">
        <v>0</v>
      </c>
      <c r="I3270" s="3">
        <f>E3270+G3270+H3270</f>
        <v>11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26</v>
      </c>
      <c r="K3270" s="3">
        <f>I3270-J3270</f>
        <v>-15</v>
      </c>
      <c r="L3270" s="3" t="str">
        <f>IF(K3270&lt;-5,"CRÍTICO",IF(K3270&lt;0,"ATENÇÃO",IF(K3270&lt;=5,"OPORTUNO","MUITO BOM")))</f>
        <v>CRÍTICO</v>
      </c>
      <c r="M3270" s="3">
        <v>19</v>
      </c>
      <c r="N3270" s="3">
        <v>100</v>
      </c>
      <c r="O3270" s="12">
        <v>23.9870340356564</v>
      </c>
    </row>
    <row r="3271" spans="1:15" hidden="1" x14ac:dyDescent="0.25">
      <c r="A3271" s="10">
        <v>46104</v>
      </c>
      <c r="B3271" t="s">
        <v>44</v>
      </c>
      <c r="C3271" s="1" t="s">
        <v>32</v>
      </c>
      <c r="D3271" s="3">
        <v>33</v>
      </c>
      <c r="E3271" s="3">
        <v>30</v>
      </c>
      <c r="F3271" s="3">
        <v>10.43</v>
      </c>
      <c r="G3271" s="3">
        <v>0</v>
      </c>
      <c r="H3271" s="3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 s="3">
        <v>27</v>
      </c>
      <c r="N3271" s="3">
        <v>98.06</v>
      </c>
      <c r="O3271" s="12">
        <v>22.40566037735849</v>
      </c>
    </row>
    <row r="3272" spans="1:15" hidden="1" x14ac:dyDescent="0.25">
      <c r="A3272" s="10">
        <v>46132</v>
      </c>
      <c r="B3272" t="s">
        <v>20</v>
      </c>
      <c r="C3272" s="1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>IF(K3272&lt;-5,"CRÍTICO",IF(K3272&lt;0,"ATENÇÃO",IF(K3272&lt;=5,"OPORTUNO","MUITO BOM")))</f>
        <v>OPORTUNO</v>
      </c>
      <c r="M3272" s="3">
        <v>0</v>
      </c>
      <c r="N3272" s="3">
        <v>100</v>
      </c>
      <c r="O3272" s="12">
        <v>23.77622377622378</v>
      </c>
    </row>
    <row r="3273" spans="1:15" hidden="1" x14ac:dyDescent="0.25">
      <c r="A3273" s="10">
        <v>46104</v>
      </c>
      <c r="B3273" t="s">
        <v>28</v>
      </c>
      <c r="C3273" s="1" t="s">
        <v>26</v>
      </c>
      <c r="D3273" s="3">
        <v>0</v>
      </c>
      <c r="E3273" s="3">
        <v>0</v>
      </c>
      <c r="F3273" s="3">
        <v>0</v>
      </c>
      <c r="G3273" s="3">
        <v>0</v>
      </c>
      <c r="H3273" s="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 s="3">
        <v>0</v>
      </c>
      <c r="N3273" s="3">
        <v>100</v>
      </c>
      <c r="O3273" s="12">
        <v>15.38461538461539</v>
      </c>
    </row>
    <row r="3274" spans="1:15" hidden="1" x14ac:dyDescent="0.25">
      <c r="A3274" s="10">
        <v>46104</v>
      </c>
      <c r="B3274" t="s">
        <v>58</v>
      </c>
      <c r="C3274" s="1" t="s">
        <v>48</v>
      </c>
      <c r="D3274" s="3">
        <v>21</v>
      </c>
      <c r="E3274" s="3">
        <v>20</v>
      </c>
      <c r="F3274" s="3">
        <v>22.12</v>
      </c>
      <c r="G3274" s="3">
        <v>0</v>
      </c>
      <c r="H3274" s="3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 s="3">
        <v>17</v>
      </c>
      <c r="N3274" s="3">
        <v>100</v>
      </c>
      <c r="O3274" s="12">
        <v>27.514792899408281</v>
      </c>
    </row>
    <row r="3275" spans="1:15" hidden="1" x14ac:dyDescent="0.25">
      <c r="A3275" s="10">
        <v>46104</v>
      </c>
      <c r="B3275" t="s">
        <v>29</v>
      </c>
      <c r="C3275" s="1" t="s">
        <v>26</v>
      </c>
      <c r="D3275" s="3">
        <v>18</v>
      </c>
      <c r="E3275" s="3">
        <v>16</v>
      </c>
      <c r="F3275" s="3">
        <v>19.04</v>
      </c>
      <c r="G3275" s="3">
        <v>0</v>
      </c>
      <c r="H3275" s="3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 s="3">
        <v>25</v>
      </c>
      <c r="N3275" s="3">
        <v>100</v>
      </c>
      <c r="O3275" s="12">
        <v>24.875621890547269</v>
      </c>
    </row>
    <row r="3276" spans="1:15" hidden="1" x14ac:dyDescent="0.25">
      <c r="A3276" s="10">
        <v>46104</v>
      </c>
      <c r="B3276" t="s">
        <v>30</v>
      </c>
      <c r="C3276" s="1" t="s">
        <v>26</v>
      </c>
      <c r="D3276" s="3">
        <v>17</v>
      </c>
      <c r="E3276" s="3">
        <v>16</v>
      </c>
      <c r="F3276" s="3">
        <v>25.52</v>
      </c>
      <c r="G3276" s="3">
        <v>0</v>
      </c>
      <c r="H3276" s="3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 s="3">
        <v>11</v>
      </c>
      <c r="N3276" s="3">
        <v>100</v>
      </c>
      <c r="O3276" s="12">
        <v>28.108108108108109</v>
      </c>
    </row>
    <row r="3277" spans="1:15" hidden="1" x14ac:dyDescent="0.25">
      <c r="A3277" s="10">
        <v>46132</v>
      </c>
      <c r="B3277" t="s">
        <v>21</v>
      </c>
      <c r="C3277" s="1" t="s">
        <v>16</v>
      </c>
      <c r="D3277" s="3">
        <v>6</v>
      </c>
      <c r="E3277" s="3">
        <v>6</v>
      </c>
      <c r="F3277" s="3">
        <v>36.4</v>
      </c>
      <c r="G3277" s="3">
        <v>0</v>
      </c>
      <c r="H3277" s="3">
        <v>0</v>
      </c>
      <c r="I3277" s="3">
        <f>E3277+G3277+H3277</f>
        <v>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6</v>
      </c>
      <c r="K3277" s="3">
        <f>I3277-J3277</f>
        <v>0</v>
      </c>
      <c r="L3277" s="3" t="str">
        <f>IF(K3277&lt;-5,"CRÍTICO",IF(K3277&lt;0,"ATENÇÃO",IF(K3277&lt;=5,"OPORTUNO","MUITO BOM")))</f>
        <v>OPORTUNO</v>
      </c>
      <c r="M3277" s="3">
        <v>5</v>
      </c>
      <c r="N3277" s="3">
        <v>94.12</v>
      </c>
      <c r="O3277" s="12">
        <v>32.799999999999997</v>
      </c>
    </row>
    <row r="3278" spans="1:15" hidden="1" x14ac:dyDescent="0.25">
      <c r="A3278" s="10">
        <v>46104</v>
      </c>
      <c r="B3278" t="s">
        <v>63</v>
      </c>
      <c r="C3278" s="1" t="s">
        <v>23</v>
      </c>
      <c r="D3278" s="3">
        <v>21</v>
      </c>
      <c r="E3278" s="3">
        <v>19</v>
      </c>
      <c r="F3278" s="3">
        <v>25.55</v>
      </c>
      <c r="G3278" s="3">
        <v>0</v>
      </c>
      <c r="H3278" s="3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 s="3">
        <v>17</v>
      </c>
      <c r="N3278" s="3">
        <v>95.35</v>
      </c>
      <c r="O3278" s="12">
        <v>28.61538461538461</v>
      </c>
    </row>
    <row r="3279" spans="1:15" hidden="1" x14ac:dyDescent="0.25">
      <c r="A3279" s="10">
        <v>46104</v>
      </c>
      <c r="B3279" t="s">
        <v>45</v>
      </c>
      <c r="C3279" s="1" t="s">
        <v>32</v>
      </c>
      <c r="D3279" s="3">
        <v>28</v>
      </c>
      <c r="E3279" s="3">
        <v>25</v>
      </c>
      <c r="F3279" s="3">
        <v>15.07</v>
      </c>
      <c r="G3279" s="3">
        <v>0</v>
      </c>
      <c r="H3279" s="3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 s="3">
        <v>21</v>
      </c>
      <c r="N3279" s="3">
        <v>98.26</v>
      </c>
      <c r="O3279" s="12">
        <v>27.54491017964072</v>
      </c>
    </row>
    <row r="3280" spans="1:15" hidden="1" x14ac:dyDescent="0.25">
      <c r="A3280" s="10">
        <v>46104</v>
      </c>
      <c r="B3280" t="s">
        <v>64</v>
      </c>
      <c r="C3280" s="1" t="s">
        <v>23</v>
      </c>
      <c r="D3280" s="3">
        <v>10</v>
      </c>
      <c r="E3280" s="3">
        <v>10</v>
      </c>
      <c r="F3280" s="3">
        <v>48.41</v>
      </c>
      <c r="G3280" s="3">
        <v>0</v>
      </c>
      <c r="H3280" s="3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 s="3">
        <v>12</v>
      </c>
      <c r="N3280" s="3">
        <v>98.55</v>
      </c>
      <c r="O3280" s="12">
        <v>25.337837837837839</v>
      </c>
    </row>
    <row r="3281" spans="1:15" hidden="1" x14ac:dyDescent="0.25">
      <c r="A3281" s="10">
        <v>46104</v>
      </c>
      <c r="B3281" t="s">
        <v>46</v>
      </c>
      <c r="C3281" s="1" t="s">
        <v>32</v>
      </c>
      <c r="D3281" s="3">
        <v>25</v>
      </c>
      <c r="E3281" s="3">
        <v>24</v>
      </c>
      <c r="F3281" s="3">
        <v>17.36</v>
      </c>
      <c r="G3281" s="3">
        <v>0</v>
      </c>
      <c r="H3281" s="3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 s="3">
        <v>18</v>
      </c>
      <c r="N3281" s="3">
        <v>98.39</v>
      </c>
      <c r="O3281" s="12">
        <v>25.563909774436091</v>
      </c>
    </row>
    <row r="3282" spans="1:15" hidden="1" x14ac:dyDescent="0.25">
      <c r="A3282" s="10">
        <v>46105</v>
      </c>
      <c r="B3282" t="s">
        <v>47</v>
      </c>
      <c r="C3282" s="1" t="s">
        <v>48</v>
      </c>
      <c r="D3282" s="3">
        <v>28</v>
      </c>
      <c r="E3282" s="3">
        <v>21</v>
      </c>
      <c r="F3282" s="3">
        <v>12.34</v>
      </c>
      <c r="G3282" s="3">
        <v>0</v>
      </c>
      <c r="H3282" s="3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 s="3">
        <v>19</v>
      </c>
      <c r="N3282" s="3">
        <v>94.29</v>
      </c>
      <c r="O3282" s="12">
        <v>25.647668393782389</v>
      </c>
    </row>
    <row r="3283" spans="1:15" hidden="1" x14ac:dyDescent="0.25">
      <c r="A3283" s="10">
        <v>46105</v>
      </c>
      <c r="B3283" t="s">
        <v>31</v>
      </c>
      <c r="C3283" s="1" t="s">
        <v>32</v>
      </c>
      <c r="D3283" s="3">
        <v>0</v>
      </c>
      <c r="E3283" s="3">
        <v>0</v>
      </c>
      <c r="F3283" s="3">
        <v>0</v>
      </c>
      <c r="G3283" s="3">
        <v>0</v>
      </c>
      <c r="H3283" s="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 s="3">
        <v>23</v>
      </c>
      <c r="N3283" s="3">
        <v>98.26</v>
      </c>
      <c r="O3283" s="12">
        <v>26.666666666666671</v>
      </c>
    </row>
    <row r="3284" spans="1:15" hidden="1" x14ac:dyDescent="0.25">
      <c r="A3284" s="10">
        <v>46105</v>
      </c>
      <c r="B3284" t="s">
        <v>59</v>
      </c>
      <c r="C3284" s="1" t="s">
        <v>23</v>
      </c>
      <c r="D3284" s="3">
        <v>28</v>
      </c>
      <c r="E3284" s="3">
        <v>26</v>
      </c>
      <c r="F3284" s="3">
        <v>17.239999999999998</v>
      </c>
      <c r="G3284" s="3">
        <v>0</v>
      </c>
      <c r="H3284" s="3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 s="3">
        <v>26</v>
      </c>
      <c r="N3284" s="3">
        <v>98.2</v>
      </c>
      <c r="O3284" s="12">
        <v>23.37962962962963</v>
      </c>
    </row>
    <row r="3285" spans="1:15" hidden="1" x14ac:dyDescent="0.25">
      <c r="A3285" s="10">
        <v>46105</v>
      </c>
      <c r="B3285" t="s">
        <v>33</v>
      </c>
      <c r="C3285" s="1" t="s">
        <v>32</v>
      </c>
      <c r="D3285" s="3">
        <v>36</v>
      </c>
      <c r="E3285" s="3">
        <v>34</v>
      </c>
      <c r="F3285" s="3">
        <v>17.36</v>
      </c>
      <c r="G3285" s="3">
        <v>0</v>
      </c>
      <c r="H3285" s="3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 s="3">
        <v>25</v>
      </c>
      <c r="N3285" s="3">
        <v>97.3</v>
      </c>
      <c r="O3285" s="12">
        <v>23.84769539078156</v>
      </c>
    </row>
    <row r="3286" spans="1:15" hidden="1" x14ac:dyDescent="0.25">
      <c r="A3286" s="10">
        <v>46105</v>
      </c>
      <c r="B3286" t="s">
        <v>15</v>
      </c>
      <c r="C3286" s="1" t="s">
        <v>16</v>
      </c>
      <c r="D3286" s="3">
        <v>10</v>
      </c>
      <c r="E3286" s="3">
        <v>9</v>
      </c>
      <c r="F3286" s="3">
        <v>19.059999999999999</v>
      </c>
      <c r="G3286" s="3">
        <v>0</v>
      </c>
      <c r="H3286" s="3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 s="3">
        <v>7</v>
      </c>
      <c r="N3286" s="3">
        <v>100</v>
      </c>
      <c r="O3286" s="12">
        <v>25.268817204301079</v>
      </c>
    </row>
    <row r="3287" spans="1:15" hidden="1" x14ac:dyDescent="0.25">
      <c r="A3287" s="10">
        <v>46105</v>
      </c>
      <c r="B3287" t="s">
        <v>49</v>
      </c>
      <c r="C3287" s="1" t="s">
        <v>48</v>
      </c>
      <c r="D3287" s="3">
        <v>37</v>
      </c>
      <c r="E3287" s="3">
        <v>32</v>
      </c>
      <c r="F3287" s="3">
        <v>12.22</v>
      </c>
      <c r="G3287" s="3">
        <v>0</v>
      </c>
      <c r="H3287" s="3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 s="3">
        <v>34</v>
      </c>
      <c r="N3287" s="3">
        <v>99.32</v>
      </c>
      <c r="O3287" s="12">
        <v>22.822822822822818</v>
      </c>
    </row>
    <row r="3288" spans="1:15" hidden="1" x14ac:dyDescent="0.25">
      <c r="A3288" s="10">
        <v>46105</v>
      </c>
      <c r="B3288" t="s">
        <v>50</v>
      </c>
      <c r="C3288" s="1" t="s">
        <v>48</v>
      </c>
      <c r="D3288" s="3">
        <v>23</v>
      </c>
      <c r="E3288" s="3">
        <v>22</v>
      </c>
      <c r="F3288" s="3">
        <v>23.4</v>
      </c>
      <c r="G3288" s="3">
        <v>0</v>
      </c>
      <c r="H3288" s="3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 s="3">
        <v>21</v>
      </c>
      <c r="N3288" s="3">
        <v>100</v>
      </c>
      <c r="O3288" s="12">
        <v>27.966101694915249</v>
      </c>
    </row>
    <row r="3289" spans="1:15" hidden="1" x14ac:dyDescent="0.25">
      <c r="A3289" s="10">
        <v>46105</v>
      </c>
      <c r="B3289" t="s">
        <v>17</v>
      </c>
      <c r="C3289" s="1" t="s">
        <v>16</v>
      </c>
      <c r="D3289" s="3">
        <v>4</v>
      </c>
      <c r="E3289" s="3">
        <v>4</v>
      </c>
      <c r="F3289" s="3">
        <v>16.420000000000002</v>
      </c>
      <c r="G3289" s="3">
        <v>0</v>
      </c>
      <c r="H3289" s="3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 s="3">
        <v>3</v>
      </c>
      <c r="N3289" s="3">
        <v>100</v>
      </c>
      <c r="O3289" s="12">
        <v>30.434782608695659</v>
      </c>
    </row>
    <row r="3290" spans="1:15" hidden="1" x14ac:dyDescent="0.25">
      <c r="A3290" s="10">
        <v>46105</v>
      </c>
      <c r="B3290" t="s">
        <v>60</v>
      </c>
      <c r="C3290" s="1" t="s">
        <v>23</v>
      </c>
      <c r="D3290" s="3">
        <v>29</v>
      </c>
      <c r="E3290" s="3">
        <v>28</v>
      </c>
      <c r="F3290" s="3">
        <v>18.55</v>
      </c>
      <c r="G3290" s="3">
        <v>0</v>
      </c>
      <c r="H3290" s="3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 s="3">
        <v>24</v>
      </c>
      <c r="N3290" s="3">
        <v>96.51</v>
      </c>
      <c r="O3290" s="12">
        <v>22.802850356294542</v>
      </c>
    </row>
    <row r="3291" spans="1:15" hidden="1" x14ac:dyDescent="0.25">
      <c r="A3291" s="10">
        <v>46105</v>
      </c>
      <c r="B3291" t="s">
        <v>34</v>
      </c>
      <c r="C3291" s="1" t="s">
        <v>32</v>
      </c>
      <c r="D3291" s="3">
        <v>36</v>
      </c>
      <c r="E3291" s="3">
        <v>33</v>
      </c>
      <c r="F3291" s="3">
        <v>13.28</v>
      </c>
      <c r="G3291" s="3">
        <v>0</v>
      </c>
      <c r="H3291" s="3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 s="3">
        <v>27</v>
      </c>
      <c r="N3291" s="3">
        <v>92.68</v>
      </c>
      <c r="O3291" s="12">
        <v>27.777777777777779</v>
      </c>
    </row>
    <row r="3292" spans="1:15" hidden="1" x14ac:dyDescent="0.25">
      <c r="A3292" s="10">
        <v>46105</v>
      </c>
      <c r="B3292" t="s">
        <v>51</v>
      </c>
      <c r="C3292" s="1" t="s">
        <v>48</v>
      </c>
      <c r="D3292" s="3">
        <v>25</v>
      </c>
      <c r="E3292" s="3">
        <v>21</v>
      </c>
      <c r="F3292" s="3">
        <v>21.59</v>
      </c>
      <c r="G3292" s="3">
        <v>0</v>
      </c>
      <c r="H3292" s="3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 s="3">
        <v>17</v>
      </c>
      <c r="N3292" s="3">
        <v>99.03</v>
      </c>
      <c r="O3292" s="12">
        <v>23.991507430997881</v>
      </c>
    </row>
    <row r="3293" spans="1:15" hidden="1" x14ac:dyDescent="0.25">
      <c r="A3293" s="10">
        <v>46105</v>
      </c>
      <c r="B3293" t="s">
        <v>61</v>
      </c>
      <c r="C3293" s="1" t="s">
        <v>23</v>
      </c>
      <c r="D3293" s="3">
        <v>22</v>
      </c>
      <c r="E3293" s="3">
        <v>21</v>
      </c>
      <c r="F3293" s="3">
        <v>23.52</v>
      </c>
      <c r="G3293" s="3">
        <v>0</v>
      </c>
      <c r="H3293" s="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 s="3">
        <v>10</v>
      </c>
      <c r="N3293" s="3">
        <v>98.41</v>
      </c>
      <c r="O3293" s="12">
        <v>28.138528138528141</v>
      </c>
    </row>
    <row r="3294" spans="1:15" hidden="1" x14ac:dyDescent="0.25">
      <c r="A3294" s="10">
        <v>46105</v>
      </c>
      <c r="B3294" t="s">
        <v>35</v>
      </c>
      <c r="C3294" s="1" t="s">
        <v>32</v>
      </c>
      <c r="D3294" s="3">
        <v>12</v>
      </c>
      <c r="E3294" s="3">
        <v>12</v>
      </c>
      <c r="F3294" s="3">
        <v>37.380000000000003</v>
      </c>
      <c r="G3294" s="3">
        <v>0</v>
      </c>
      <c r="H3294" s="3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 s="3">
        <v>10</v>
      </c>
      <c r="N3294" s="3">
        <v>98.73</v>
      </c>
      <c r="O3294" s="12">
        <v>29.142857142857139</v>
      </c>
    </row>
    <row r="3295" spans="1:15" hidden="1" x14ac:dyDescent="0.25">
      <c r="A3295" s="10">
        <v>46105</v>
      </c>
      <c r="B3295" t="s">
        <v>18</v>
      </c>
      <c r="C3295" s="1" t="s">
        <v>16</v>
      </c>
      <c r="D3295" s="3">
        <v>4</v>
      </c>
      <c r="E3295" s="3">
        <v>4</v>
      </c>
      <c r="F3295" s="3">
        <v>82.38</v>
      </c>
      <c r="G3295" s="3">
        <v>0</v>
      </c>
      <c r="H3295" s="3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 s="3">
        <v>4</v>
      </c>
      <c r="N3295" s="3">
        <v>90.48</v>
      </c>
      <c r="O3295" s="12">
        <v>20.68965517241379</v>
      </c>
    </row>
    <row r="3296" spans="1:15" hidden="1" x14ac:dyDescent="0.25">
      <c r="A3296" s="10">
        <v>46105</v>
      </c>
      <c r="B3296" t="s">
        <v>52</v>
      </c>
      <c r="C3296" s="1" t="s">
        <v>48</v>
      </c>
      <c r="D3296" s="3">
        <v>15</v>
      </c>
      <c r="E3296" s="3">
        <v>14</v>
      </c>
      <c r="F3296" s="3">
        <v>22.39</v>
      </c>
      <c r="G3296" s="3">
        <v>0</v>
      </c>
      <c r="H3296" s="3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 s="3">
        <v>15</v>
      </c>
      <c r="N3296" s="3">
        <v>98.06</v>
      </c>
      <c r="O3296" s="12">
        <v>24.789915966386559</v>
      </c>
    </row>
    <row r="3297" spans="1:15" hidden="1" x14ac:dyDescent="0.25">
      <c r="A3297" s="10">
        <v>46105</v>
      </c>
      <c r="B3297" t="s">
        <v>36</v>
      </c>
      <c r="C3297" s="1" t="s">
        <v>32</v>
      </c>
      <c r="D3297" s="3">
        <v>25</v>
      </c>
      <c r="E3297" s="3">
        <v>24</v>
      </c>
      <c r="F3297" s="3">
        <v>20.51</v>
      </c>
      <c r="G3297" s="3">
        <v>0</v>
      </c>
      <c r="H3297" s="3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 s="3">
        <v>26</v>
      </c>
      <c r="N3297" s="3">
        <v>97.78</v>
      </c>
      <c r="O3297" s="12">
        <v>25.494071146245059</v>
      </c>
    </row>
    <row r="3298" spans="1:15" hidden="1" x14ac:dyDescent="0.25">
      <c r="A3298" s="10">
        <v>46105</v>
      </c>
      <c r="B3298" t="s">
        <v>53</v>
      </c>
      <c r="C3298" s="1" t="s">
        <v>48</v>
      </c>
      <c r="D3298" s="3">
        <v>25</v>
      </c>
      <c r="E3298" s="3">
        <v>22</v>
      </c>
      <c r="F3298" s="3">
        <v>18.2</v>
      </c>
      <c r="G3298" s="3">
        <v>0</v>
      </c>
      <c r="H3298" s="3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 s="3">
        <v>21</v>
      </c>
      <c r="N3298" s="3">
        <v>98.02</v>
      </c>
      <c r="O3298" s="12">
        <v>23.484848484848481</v>
      </c>
    </row>
    <row r="3299" spans="1:15" hidden="1" x14ac:dyDescent="0.25">
      <c r="A3299" s="7">
        <v>46161</v>
      </c>
      <c r="B3299" s="8" t="s">
        <v>34</v>
      </c>
      <c r="C3299" s="1" t="s">
        <v>32</v>
      </c>
      <c r="D3299" s="3">
        <v>33</v>
      </c>
      <c r="E3299" s="3">
        <v>30</v>
      </c>
      <c r="F3299" s="3">
        <v>11.55</v>
      </c>
      <c r="G3299" s="3">
        <v>0</v>
      </c>
      <c r="H3299" s="3">
        <v>0</v>
      </c>
      <c r="I3299" s="3">
        <f>E3299+G3299+H3299</f>
        <v>30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29</v>
      </c>
      <c r="K3299" s="3">
        <f>I3299-J3299</f>
        <v>1</v>
      </c>
      <c r="L3299" s="3" t="str">
        <f>IF(K3299&lt;-5,"CRÍTICO",IF(K3299&lt;0,"ATENÇÃO",IF(K3299&lt;=5,"OPORTUNO","MUITO BOM")))</f>
        <v>OPORTUNO</v>
      </c>
      <c r="M3299" s="3">
        <v>30</v>
      </c>
      <c r="N3299" s="3">
        <v>92.81</v>
      </c>
      <c r="O3299" s="12">
        <v>25.477707006369432</v>
      </c>
    </row>
    <row r="3300" spans="1:15" hidden="1" x14ac:dyDescent="0.25">
      <c r="A3300" s="10">
        <v>46105</v>
      </c>
      <c r="B3300" t="s">
        <v>54</v>
      </c>
      <c r="C3300" s="1" t="s">
        <v>48</v>
      </c>
      <c r="D3300" s="3">
        <v>25</v>
      </c>
      <c r="E3300" s="3">
        <v>23</v>
      </c>
      <c r="F3300" s="3">
        <v>25.13</v>
      </c>
      <c r="G3300" s="3">
        <v>0</v>
      </c>
      <c r="H3300" s="3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 s="3">
        <v>24</v>
      </c>
      <c r="N3300" s="3">
        <v>100</v>
      </c>
      <c r="O3300" s="12">
        <v>27.04918032786885</v>
      </c>
    </row>
    <row r="3301" spans="1:15" hidden="1" x14ac:dyDescent="0.25">
      <c r="A3301" s="10">
        <v>46105</v>
      </c>
      <c r="B3301" t="s">
        <v>37</v>
      </c>
      <c r="C3301" s="1" t="s">
        <v>32</v>
      </c>
      <c r="D3301" s="3">
        <v>36</v>
      </c>
      <c r="E3301" s="3">
        <v>32</v>
      </c>
      <c r="F3301" s="3">
        <v>12.15</v>
      </c>
      <c r="G3301" s="3">
        <v>0</v>
      </c>
      <c r="H3301" s="3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 s="3">
        <v>31</v>
      </c>
      <c r="N3301" s="3">
        <v>97.83</v>
      </c>
      <c r="O3301" s="12">
        <v>26.315789473684209</v>
      </c>
    </row>
    <row r="3302" spans="1:15" hidden="1" x14ac:dyDescent="0.25">
      <c r="A3302" s="10">
        <v>46105</v>
      </c>
      <c r="B3302" t="s">
        <v>38</v>
      </c>
      <c r="C3302" s="1" t="s">
        <v>32</v>
      </c>
      <c r="D3302" s="3">
        <v>25</v>
      </c>
      <c r="E3302" s="3">
        <v>24</v>
      </c>
      <c r="F3302" s="3">
        <v>14.07</v>
      </c>
      <c r="G3302" s="3">
        <v>0</v>
      </c>
      <c r="H3302" s="3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 s="3">
        <v>21</v>
      </c>
      <c r="N3302" s="3">
        <v>100</v>
      </c>
      <c r="O3302" s="12">
        <v>26.701570680628269</v>
      </c>
    </row>
    <row r="3303" spans="1:15" hidden="1" x14ac:dyDescent="0.25">
      <c r="A3303" s="10">
        <v>46105</v>
      </c>
      <c r="B3303" t="s">
        <v>55</v>
      </c>
      <c r="C3303" s="1" t="s">
        <v>48</v>
      </c>
      <c r="D3303" s="3">
        <v>0</v>
      </c>
      <c r="E3303" s="3">
        <v>0</v>
      </c>
      <c r="F3303" s="3">
        <v>0</v>
      </c>
      <c r="G3303" s="3">
        <v>0</v>
      </c>
      <c r="H3303" s="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 s="3">
        <v>0</v>
      </c>
      <c r="N3303" s="3">
        <v>97.47</v>
      </c>
      <c r="O3303" s="12">
        <v>22.887323943661968</v>
      </c>
    </row>
    <row r="3304" spans="1:15" hidden="1" x14ac:dyDescent="0.25">
      <c r="A3304" s="10">
        <v>46105</v>
      </c>
      <c r="B3304" t="s">
        <v>39</v>
      </c>
      <c r="C3304" s="1" t="s">
        <v>32</v>
      </c>
      <c r="D3304" s="3">
        <v>0</v>
      </c>
      <c r="E3304" s="3">
        <v>0</v>
      </c>
      <c r="F3304" s="3">
        <v>0</v>
      </c>
      <c r="G3304" s="3">
        <v>0</v>
      </c>
      <c r="H3304" s="3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 s="3">
        <v>0</v>
      </c>
      <c r="N3304" s="3">
        <v>0</v>
      </c>
      <c r="O3304" s="12">
        <v>0</v>
      </c>
    </row>
    <row r="3305" spans="1:15" hidden="1" x14ac:dyDescent="0.25">
      <c r="A3305" s="10">
        <v>46105</v>
      </c>
      <c r="B3305" t="s">
        <v>25</v>
      </c>
      <c r="C3305" s="1" t="s">
        <v>26</v>
      </c>
      <c r="D3305" s="3">
        <v>25</v>
      </c>
      <c r="E3305" s="3">
        <v>24</v>
      </c>
      <c r="F3305" s="3">
        <v>23.34</v>
      </c>
      <c r="G3305" s="3">
        <v>0</v>
      </c>
      <c r="H3305" s="3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 s="3">
        <v>22</v>
      </c>
      <c r="N3305" s="3">
        <v>98.31</v>
      </c>
      <c r="O3305" s="12">
        <v>24.920127795527151</v>
      </c>
    </row>
    <row r="3306" spans="1:15" hidden="1" x14ac:dyDescent="0.25">
      <c r="A3306" s="10">
        <v>46105</v>
      </c>
      <c r="B3306" t="s">
        <v>40</v>
      </c>
      <c r="C3306" s="1" t="s">
        <v>32</v>
      </c>
      <c r="D3306" s="3">
        <v>21</v>
      </c>
      <c r="E3306" s="3">
        <v>20</v>
      </c>
      <c r="F3306" s="3">
        <v>23.31</v>
      </c>
      <c r="G3306" s="3">
        <v>0</v>
      </c>
      <c r="H3306" s="3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 s="3">
        <v>19</v>
      </c>
      <c r="N3306" s="3">
        <v>96.81</v>
      </c>
      <c r="O3306" s="12">
        <v>32.365145228215773</v>
      </c>
    </row>
    <row r="3307" spans="1:15" hidden="1" x14ac:dyDescent="0.25">
      <c r="A3307" s="10">
        <v>46105</v>
      </c>
      <c r="B3307" t="s">
        <v>27</v>
      </c>
      <c r="C3307" s="1" t="s">
        <v>26</v>
      </c>
      <c r="D3307" s="3">
        <v>18</v>
      </c>
      <c r="E3307" s="3">
        <v>14</v>
      </c>
      <c r="F3307" s="3">
        <v>22.21</v>
      </c>
      <c r="G3307" s="3">
        <v>0</v>
      </c>
      <c r="H3307" s="3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 s="3">
        <v>10</v>
      </c>
      <c r="N3307" s="3">
        <v>100</v>
      </c>
      <c r="O3307" s="12">
        <v>26.47058823529412</v>
      </c>
    </row>
    <row r="3308" spans="1:15" hidden="1" x14ac:dyDescent="0.25">
      <c r="A3308" s="10">
        <v>46105</v>
      </c>
      <c r="B3308" t="s">
        <v>41</v>
      </c>
      <c r="C3308" s="1" t="s">
        <v>32</v>
      </c>
      <c r="D3308" s="3">
        <v>30</v>
      </c>
      <c r="E3308" s="3">
        <v>25</v>
      </c>
      <c r="F3308" s="3">
        <v>15.51</v>
      </c>
      <c r="G3308" s="3">
        <v>0</v>
      </c>
      <c r="H3308" s="3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 s="3">
        <v>28</v>
      </c>
      <c r="N3308" s="3">
        <v>100</v>
      </c>
      <c r="O3308" s="12">
        <v>28.490028490028489</v>
      </c>
    </row>
    <row r="3309" spans="1:15" hidden="1" x14ac:dyDescent="0.25">
      <c r="A3309" s="10">
        <v>46105</v>
      </c>
      <c r="B3309" t="s">
        <v>56</v>
      </c>
      <c r="C3309" s="1" t="s">
        <v>48</v>
      </c>
      <c r="D3309" s="3">
        <v>18</v>
      </c>
      <c r="E3309" s="3">
        <v>18</v>
      </c>
      <c r="F3309" s="3">
        <v>24.18</v>
      </c>
      <c r="G3309" s="3">
        <v>0</v>
      </c>
      <c r="H3309" s="3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 s="3">
        <v>14</v>
      </c>
      <c r="N3309" s="3">
        <v>99.14</v>
      </c>
      <c r="O3309" s="12">
        <v>27.2289156626506</v>
      </c>
    </row>
    <row r="3310" spans="1:15" hidden="1" x14ac:dyDescent="0.25">
      <c r="A3310" s="10">
        <v>46105</v>
      </c>
      <c r="B3310" t="s">
        <v>57</v>
      </c>
      <c r="C3310" s="1" t="s">
        <v>48</v>
      </c>
      <c r="D3310" s="3">
        <v>21</v>
      </c>
      <c r="E3310" s="3">
        <v>20</v>
      </c>
      <c r="F3310" s="3">
        <v>19.07</v>
      </c>
      <c r="G3310" s="3">
        <v>0</v>
      </c>
      <c r="H3310" s="3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 s="3">
        <v>16</v>
      </c>
      <c r="N3310" s="3">
        <v>97.52</v>
      </c>
      <c r="O3310" s="12">
        <v>28.205128205128201</v>
      </c>
    </row>
    <row r="3311" spans="1:15" hidden="1" x14ac:dyDescent="0.25">
      <c r="A3311" s="10">
        <v>46105</v>
      </c>
      <c r="B3311" t="s">
        <v>42</v>
      </c>
      <c r="C3311" s="1" t="s">
        <v>32</v>
      </c>
      <c r="D3311" s="3">
        <v>0</v>
      </c>
      <c r="E3311" s="3">
        <v>0</v>
      </c>
      <c r="F3311" s="3">
        <v>0</v>
      </c>
      <c r="G3311" s="3">
        <v>0</v>
      </c>
      <c r="H3311" s="3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 s="3">
        <v>0</v>
      </c>
      <c r="N3311" s="3">
        <v>90</v>
      </c>
      <c r="O3311" s="12">
        <v>24.186046511627911</v>
      </c>
    </row>
    <row r="3312" spans="1:15" hidden="1" x14ac:dyDescent="0.25">
      <c r="A3312" s="10">
        <v>46105</v>
      </c>
      <c r="B3312" t="s">
        <v>62</v>
      </c>
      <c r="C3312" s="1" t="s">
        <v>23</v>
      </c>
      <c r="D3312" s="3">
        <v>26</v>
      </c>
      <c r="E3312" s="3">
        <v>25</v>
      </c>
      <c r="F3312" s="3">
        <v>18.21</v>
      </c>
      <c r="G3312" s="3">
        <v>0</v>
      </c>
      <c r="H3312" s="3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 s="3">
        <v>23</v>
      </c>
      <c r="N3312" s="3">
        <v>98.9</v>
      </c>
      <c r="O3312" s="12">
        <v>26.763990267639901</v>
      </c>
    </row>
    <row r="3313" spans="1:15" hidden="1" x14ac:dyDescent="0.25">
      <c r="A3313" s="10">
        <v>46105</v>
      </c>
      <c r="B3313" t="s">
        <v>19</v>
      </c>
      <c r="C3313" s="1" t="s">
        <v>16</v>
      </c>
      <c r="D3313" s="3">
        <v>6</v>
      </c>
      <c r="E3313" s="3">
        <v>6</v>
      </c>
      <c r="F3313" s="3">
        <v>50.07</v>
      </c>
      <c r="G3313" s="3">
        <v>0</v>
      </c>
      <c r="H3313" s="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 s="3">
        <v>5</v>
      </c>
      <c r="N3313" s="3">
        <v>88.89</v>
      </c>
      <c r="O3313" s="12">
        <v>25.263157894736839</v>
      </c>
    </row>
    <row r="3314" spans="1:15" hidden="1" x14ac:dyDescent="0.25">
      <c r="A3314" s="10">
        <v>46125</v>
      </c>
      <c r="B3314" t="s">
        <v>43</v>
      </c>
      <c r="C3314" s="1" t="s">
        <v>32</v>
      </c>
      <c r="D3314" s="3">
        <v>23</v>
      </c>
      <c r="E3314" s="3">
        <v>21</v>
      </c>
      <c r="F3314" s="3">
        <v>18.440000000000001</v>
      </c>
      <c r="G3314" s="3">
        <v>0</v>
      </c>
      <c r="H3314" s="3">
        <v>0</v>
      </c>
      <c r="I3314" s="3">
        <f>E3314+G3314+H3314</f>
        <v>21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25</v>
      </c>
      <c r="K3314" s="3">
        <f>I3314-J3314</f>
        <v>-4</v>
      </c>
      <c r="L3314" s="3" t="str">
        <f>IF(K3314&lt;-5,"CRÍTICO",IF(K3314&lt;0,"ATENÇÃO",IF(K3314&lt;=5,"OPORTUNO","MUITO BOM")))</f>
        <v>ATENÇÃO</v>
      </c>
      <c r="M3314" s="3">
        <v>19</v>
      </c>
      <c r="N3314" s="3">
        <v>100</v>
      </c>
      <c r="O3314" s="12">
        <v>23.9870340356564</v>
      </c>
    </row>
    <row r="3315" spans="1:15" hidden="1" x14ac:dyDescent="0.25">
      <c r="A3315" s="10">
        <v>46105</v>
      </c>
      <c r="B3315" t="s">
        <v>44</v>
      </c>
      <c r="C3315" s="1" t="s">
        <v>32</v>
      </c>
      <c r="D3315" s="3">
        <v>26</v>
      </c>
      <c r="E3315" s="3">
        <v>23</v>
      </c>
      <c r="F3315" s="3">
        <v>15.14</v>
      </c>
      <c r="G3315" s="3">
        <v>0</v>
      </c>
      <c r="H3315" s="3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 s="3">
        <v>23</v>
      </c>
      <c r="N3315" s="3">
        <v>98.06</v>
      </c>
      <c r="O3315" s="12">
        <v>22.40566037735849</v>
      </c>
    </row>
    <row r="3316" spans="1:15" hidden="1" x14ac:dyDescent="0.25">
      <c r="A3316" s="10">
        <v>46133</v>
      </c>
      <c r="B3316" t="s">
        <v>20</v>
      </c>
      <c r="C3316" s="1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12">
        <v>23.77622377622378</v>
      </c>
    </row>
    <row r="3317" spans="1:15" hidden="1" x14ac:dyDescent="0.25">
      <c r="A3317" s="10">
        <v>46105</v>
      </c>
      <c r="B3317" t="s">
        <v>28</v>
      </c>
      <c r="C3317" s="1" t="s">
        <v>26</v>
      </c>
      <c r="D3317" s="3">
        <v>0</v>
      </c>
      <c r="E3317" s="3">
        <v>0</v>
      </c>
      <c r="F3317" s="3">
        <v>0</v>
      </c>
      <c r="G3317" s="3">
        <v>0</v>
      </c>
      <c r="H3317" s="3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 s="3">
        <v>0</v>
      </c>
      <c r="N3317" s="3">
        <v>100</v>
      </c>
      <c r="O3317" s="12">
        <v>15.38461538461539</v>
      </c>
    </row>
    <row r="3318" spans="1:15" hidden="1" x14ac:dyDescent="0.25">
      <c r="A3318" s="10">
        <v>46105</v>
      </c>
      <c r="B3318" t="s">
        <v>58</v>
      </c>
      <c r="C3318" s="1" t="s">
        <v>48</v>
      </c>
      <c r="D3318" s="3">
        <v>25</v>
      </c>
      <c r="E3318" s="3">
        <v>21</v>
      </c>
      <c r="F3318" s="3">
        <v>15</v>
      </c>
      <c r="G3318" s="3">
        <v>0</v>
      </c>
      <c r="H3318" s="3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 s="3">
        <v>20</v>
      </c>
      <c r="N3318" s="3">
        <v>100</v>
      </c>
      <c r="O3318" s="12">
        <v>27.514792899408281</v>
      </c>
    </row>
    <row r="3319" spans="1:15" hidden="1" x14ac:dyDescent="0.25">
      <c r="A3319" s="10">
        <v>46105</v>
      </c>
      <c r="B3319" t="s">
        <v>29</v>
      </c>
      <c r="C3319" s="1" t="s">
        <v>26</v>
      </c>
      <c r="D3319" s="3">
        <v>14</v>
      </c>
      <c r="E3319" s="3">
        <v>13</v>
      </c>
      <c r="F3319" s="3">
        <v>30.32</v>
      </c>
      <c r="G3319" s="3">
        <v>0</v>
      </c>
      <c r="H3319" s="3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 s="3">
        <v>12</v>
      </c>
      <c r="N3319" s="3">
        <v>100</v>
      </c>
      <c r="O3319" s="12">
        <v>24.875621890547269</v>
      </c>
    </row>
    <row r="3320" spans="1:15" hidden="1" x14ac:dyDescent="0.25">
      <c r="A3320" s="10">
        <v>46105</v>
      </c>
      <c r="B3320" t="s">
        <v>30</v>
      </c>
      <c r="C3320" s="1" t="s">
        <v>26</v>
      </c>
      <c r="D3320" s="3">
        <v>13</v>
      </c>
      <c r="E3320" s="3">
        <v>12</v>
      </c>
      <c r="F3320" s="3">
        <v>36.520000000000003</v>
      </c>
      <c r="G3320" s="3">
        <v>0</v>
      </c>
      <c r="H3320" s="3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 s="3">
        <v>8</v>
      </c>
      <c r="N3320" s="3">
        <v>100</v>
      </c>
      <c r="O3320" s="12">
        <v>28.108108108108109</v>
      </c>
    </row>
    <row r="3321" spans="1:15" hidden="1" x14ac:dyDescent="0.25">
      <c r="A3321" s="10">
        <v>46133</v>
      </c>
      <c r="B3321" t="s">
        <v>21</v>
      </c>
      <c r="C3321" s="1" t="s">
        <v>16</v>
      </c>
      <c r="D3321" s="3">
        <v>0</v>
      </c>
      <c r="E3321" s="3">
        <v>0</v>
      </c>
      <c r="F3321" s="3">
        <v>0</v>
      </c>
      <c r="G3321" s="3">
        <v>0</v>
      </c>
      <c r="H3321" s="3">
        <v>0</v>
      </c>
      <c r="I3321" s="3">
        <v>0</v>
      </c>
      <c r="J3321" s="3">
        <v>0</v>
      </c>
      <c r="K3321" s="3">
        <v>0</v>
      </c>
      <c r="M3321" s="3">
        <v>0</v>
      </c>
      <c r="N3321" s="3">
        <v>94.12</v>
      </c>
      <c r="O3321" s="12">
        <v>32.799999999999997</v>
      </c>
    </row>
    <row r="3322" spans="1:15" hidden="1" x14ac:dyDescent="0.25">
      <c r="A3322" s="10">
        <v>46105</v>
      </c>
      <c r="B3322" t="s">
        <v>63</v>
      </c>
      <c r="C3322" s="1" t="s">
        <v>23</v>
      </c>
      <c r="D3322" s="3">
        <v>30</v>
      </c>
      <c r="E3322" s="3">
        <v>25</v>
      </c>
      <c r="F3322" s="3">
        <v>20.05</v>
      </c>
      <c r="G3322" s="3">
        <v>0</v>
      </c>
      <c r="H3322" s="3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 s="3">
        <v>18</v>
      </c>
      <c r="N3322" s="3">
        <v>95.35</v>
      </c>
      <c r="O3322" s="12">
        <v>28.61538461538461</v>
      </c>
    </row>
    <row r="3323" spans="1:15" hidden="1" x14ac:dyDescent="0.25">
      <c r="A3323" s="10">
        <v>46105</v>
      </c>
      <c r="B3323" t="s">
        <v>45</v>
      </c>
      <c r="C3323" s="1" t="s">
        <v>32</v>
      </c>
      <c r="D3323" s="3">
        <v>37</v>
      </c>
      <c r="E3323" s="3">
        <v>34</v>
      </c>
      <c r="F3323" s="3">
        <v>15.27</v>
      </c>
      <c r="G3323" s="3">
        <v>0</v>
      </c>
      <c r="H3323" s="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 s="3">
        <v>25</v>
      </c>
      <c r="N3323" s="3">
        <v>98.26</v>
      </c>
      <c r="O3323" s="12">
        <v>27.54491017964072</v>
      </c>
    </row>
    <row r="3324" spans="1:15" hidden="1" x14ac:dyDescent="0.25">
      <c r="A3324" s="10">
        <v>46105</v>
      </c>
      <c r="B3324" t="s">
        <v>64</v>
      </c>
      <c r="C3324" s="1" t="s">
        <v>23</v>
      </c>
      <c r="D3324" s="3">
        <v>12</v>
      </c>
      <c r="E3324" s="3">
        <v>11</v>
      </c>
      <c r="F3324" s="3">
        <v>37.35</v>
      </c>
      <c r="G3324" s="3">
        <v>0</v>
      </c>
      <c r="H3324" s="3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 s="3">
        <v>12</v>
      </c>
      <c r="N3324" s="3">
        <v>98.55</v>
      </c>
      <c r="O3324" s="12">
        <v>25.337837837837839</v>
      </c>
    </row>
    <row r="3325" spans="1:15" hidden="1" x14ac:dyDescent="0.25">
      <c r="A3325" s="10">
        <v>46105</v>
      </c>
      <c r="B3325" t="s">
        <v>46</v>
      </c>
      <c r="C3325" s="1" t="s">
        <v>32</v>
      </c>
      <c r="D3325" s="3">
        <v>28</v>
      </c>
      <c r="E3325" s="3">
        <v>27</v>
      </c>
      <c r="F3325" s="3">
        <v>15.34</v>
      </c>
      <c r="G3325" s="3">
        <v>0</v>
      </c>
      <c r="H3325" s="3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 s="3">
        <v>26</v>
      </c>
      <c r="N3325" s="3">
        <v>98.39</v>
      </c>
      <c r="O3325" s="12">
        <v>25.563909774436091</v>
      </c>
    </row>
    <row r="3326" spans="1:15" hidden="1" x14ac:dyDescent="0.25">
      <c r="A3326" s="10">
        <v>46106</v>
      </c>
      <c r="B3326" t="s">
        <v>47</v>
      </c>
      <c r="C3326" s="1" t="s">
        <v>48</v>
      </c>
      <c r="D3326" s="3">
        <v>26</v>
      </c>
      <c r="E3326" s="3">
        <v>18</v>
      </c>
      <c r="F3326" s="3">
        <v>10.199999999999999</v>
      </c>
      <c r="G3326" s="3">
        <v>0</v>
      </c>
      <c r="H3326" s="3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 s="3">
        <v>13</v>
      </c>
      <c r="N3326" s="3">
        <v>94.29</v>
      </c>
      <c r="O3326" s="12">
        <v>25.647668393782389</v>
      </c>
    </row>
    <row r="3327" spans="1:15" hidden="1" x14ac:dyDescent="0.25">
      <c r="A3327" s="10">
        <v>46106</v>
      </c>
      <c r="B3327" t="s">
        <v>31</v>
      </c>
      <c r="C3327" s="1" t="s">
        <v>32</v>
      </c>
      <c r="D3327" s="3">
        <v>0</v>
      </c>
      <c r="E3327" s="3">
        <v>0</v>
      </c>
      <c r="F3327" s="3">
        <v>0</v>
      </c>
      <c r="G3327" s="3">
        <v>0</v>
      </c>
      <c r="H3327" s="3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 s="3">
        <v>18</v>
      </c>
      <c r="N3327" s="3">
        <v>98.26</v>
      </c>
      <c r="O3327" s="12">
        <v>26.666666666666671</v>
      </c>
    </row>
    <row r="3328" spans="1:15" hidden="1" x14ac:dyDescent="0.25">
      <c r="A3328" s="10">
        <v>46106</v>
      </c>
      <c r="B3328" t="s">
        <v>59</v>
      </c>
      <c r="C3328" s="1" t="s">
        <v>23</v>
      </c>
      <c r="D3328" s="3">
        <v>18</v>
      </c>
      <c r="E3328" s="3">
        <v>18</v>
      </c>
      <c r="F3328" s="3">
        <v>25.31</v>
      </c>
      <c r="G3328" s="3">
        <v>0</v>
      </c>
      <c r="H3328" s="3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 s="3">
        <v>16</v>
      </c>
      <c r="N3328" s="3">
        <v>98.2</v>
      </c>
      <c r="O3328" s="12">
        <v>23.37962962962963</v>
      </c>
    </row>
    <row r="3329" spans="1:15" hidden="1" x14ac:dyDescent="0.25">
      <c r="A3329" s="10">
        <v>46106</v>
      </c>
      <c r="B3329" t="s">
        <v>33</v>
      </c>
      <c r="C3329" s="1" t="s">
        <v>32</v>
      </c>
      <c r="D3329" s="3">
        <v>23</v>
      </c>
      <c r="E3329" s="3">
        <v>22</v>
      </c>
      <c r="F3329" s="3">
        <v>22.37</v>
      </c>
      <c r="G3329" s="3">
        <v>0</v>
      </c>
      <c r="H3329" s="3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 s="3">
        <v>23</v>
      </c>
      <c r="N3329" s="3">
        <v>97.3</v>
      </c>
      <c r="O3329" s="12">
        <v>23.84769539078156</v>
      </c>
    </row>
    <row r="3330" spans="1:15" hidden="1" x14ac:dyDescent="0.25">
      <c r="A3330" s="10">
        <v>46106</v>
      </c>
      <c r="B3330" t="s">
        <v>15</v>
      </c>
      <c r="C3330" s="1" t="s">
        <v>16</v>
      </c>
      <c r="D3330" s="3">
        <v>10</v>
      </c>
      <c r="E3330" s="3">
        <v>9</v>
      </c>
      <c r="F3330" s="3">
        <v>33.36</v>
      </c>
      <c r="G3330" s="3">
        <v>0</v>
      </c>
      <c r="H3330" s="3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 s="3">
        <v>8</v>
      </c>
      <c r="N3330" s="3">
        <v>100</v>
      </c>
      <c r="O3330" s="12">
        <v>25.268817204301079</v>
      </c>
    </row>
    <row r="3331" spans="1:15" hidden="1" x14ac:dyDescent="0.25">
      <c r="A3331" s="10">
        <v>46106</v>
      </c>
      <c r="B3331" t="s">
        <v>49</v>
      </c>
      <c r="C3331" s="1" t="s">
        <v>48</v>
      </c>
      <c r="D3331" s="3">
        <v>32</v>
      </c>
      <c r="E3331" s="3">
        <v>29</v>
      </c>
      <c r="F3331" s="3">
        <v>10.56</v>
      </c>
      <c r="G3331" s="3">
        <v>0</v>
      </c>
      <c r="H3331" s="3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 s="3">
        <v>32</v>
      </c>
      <c r="N3331" s="3">
        <v>99.32</v>
      </c>
      <c r="O3331" s="12">
        <v>22.822822822822818</v>
      </c>
    </row>
    <row r="3332" spans="1:15" hidden="1" x14ac:dyDescent="0.25">
      <c r="A3332" s="10">
        <v>46106</v>
      </c>
      <c r="B3332" t="s">
        <v>50</v>
      </c>
      <c r="C3332" s="1" t="s">
        <v>48</v>
      </c>
      <c r="D3332" s="3">
        <v>18</v>
      </c>
      <c r="E3332" s="3">
        <v>18</v>
      </c>
      <c r="F3332" s="3">
        <v>27.36</v>
      </c>
      <c r="G3332" s="3">
        <v>0</v>
      </c>
      <c r="H3332" s="3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 s="3">
        <v>20</v>
      </c>
      <c r="N3332" s="3">
        <v>100</v>
      </c>
      <c r="O3332" s="12">
        <v>27.966101694915249</v>
      </c>
    </row>
    <row r="3333" spans="1:15" hidden="1" x14ac:dyDescent="0.25">
      <c r="A3333" s="10">
        <v>46106</v>
      </c>
      <c r="B3333" t="s">
        <v>17</v>
      </c>
      <c r="C3333" s="1" t="s">
        <v>16</v>
      </c>
      <c r="D3333" s="3">
        <v>4</v>
      </c>
      <c r="E3333" s="3">
        <v>4</v>
      </c>
      <c r="F3333" s="3">
        <v>24.17</v>
      </c>
      <c r="G3333" s="3">
        <v>0</v>
      </c>
      <c r="H3333" s="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 s="3">
        <v>2</v>
      </c>
      <c r="N3333" s="3">
        <v>100</v>
      </c>
      <c r="O3333" s="12">
        <v>30.434782608695659</v>
      </c>
    </row>
    <row r="3334" spans="1:15" hidden="1" x14ac:dyDescent="0.25">
      <c r="A3334" s="10">
        <v>46106</v>
      </c>
      <c r="B3334" t="s">
        <v>60</v>
      </c>
      <c r="C3334" s="1" t="s">
        <v>23</v>
      </c>
      <c r="D3334" s="3">
        <v>20</v>
      </c>
      <c r="E3334" s="3">
        <v>20</v>
      </c>
      <c r="F3334" s="3">
        <v>21.42</v>
      </c>
      <c r="G3334" s="3">
        <v>0</v>
      </c>
      <c r="H3334" s="3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 s="3">
        <v>15</v>
      </c>
      <c r="N3334" s="3">
        <v>96.51</v>
      </c>
      <c r="O3334" s="12">
        <v>22.802850356294542</v>
      </c>
    </row>
    <row r="3335" spans="1:15" hidden="1" x14ac:dyDescent="0.25">
      <c r="A3335" s="10">
        <v>46106</v>
      </c>
      <c r="B3335" t="s">
        <v>34</v>
      </c>
      <c r="C3335" s="1" t="s">
        <v>32</v>
      </c>
      <c r="D3335" s="3">
        <v>30</v>
      </c>
      <c r="E3335" s="3">
        <v>27</v>
      </c>
      <c r="F3335" s="3">
        <v>12.2</v>
      </c>
      <c r="G3335" s="3">
        <v>0</v>
      </c>
      <c r="H3335" s="3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 s="3">
        <v>24</v>
      </c>
      <c r="N3335" s="3">
        <v>92.68</v>
      </c>
      <c r="O3335" s="12">
        <v>27.777777777777779</v>
      </c>
    </row>
    <row r="3336" spans="1:15" hidden="1" x14ac:dyDescent="0.25">
      <c r="A3336" s="10">
        <v>46106</v>
      </c>
      <c r="B3336" t="s">
        <v>51</v>
      </c>
      <c r="C3336" s="1" t="s">
        <v>48</v>
      </c>
      <c r="D3336" s="3">
        <v>31</v>
      </c>
      <c r="E3336" s="3">
        <v>26</v>
      </c>
      <c r="F3336" s="3">
        <v>15.43</v>
      </c>
      <c r="G3336" s="3">
        <v>0</v>
      </c>
      <c r="H3336" s="3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 s="3">
        <v>23</v>
      </c>
      <c r="N3336" s="3">
        <v>99.03</v>
      </c>
      <c r="O3336" s="12">
        <v>23.991507430997881</v>
      </c>
    </row>
    <row r="3337" spans="1:15" hidden="1" x14ac:dyDescent="0.25">
      <c r="A3337" s="10">
        <v>46106</v>
      </c>
      <c r="B3337" t="s">
        <v>61</v>
      </c>
      <c r="C3337" s="1" t="s">
        <v>23</v>
      </c>
      <c r="D3337" s="3">
        <v>20</v>
      </c>
      <c r="E3337" s="3">
        <v>20</v>
      </c>
      <c r="F3337" s="3">
        <v>23.46</v>
      </c>
      <c r="G3337" s="3">
        <v>0</v>
      </c>
      <c r="H3337" s="3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 s="3">
        <v>7</v>
      </c>
      <c r="N3337" s="3">
        <v>98.41</v>
      </c>
      <c r="O3337" s="12">
        <v>28.138528138528141</v>
      </c>
    </row>
    <row r="3338" spans="1:15" hidden="1" x14ac:dyDescent="0.25">
      <c r="A3338" s="10">
        <v>46106</v>
      </c>
      <c r="B3338" t="s">
        <v>35</v>
      </c>
      <c r="C3338" s="1" t="s">
        <v>32</v>
      </c>
      <c r="D3338" s="3">
        <v>15</v>
      </c>
      <c r="E3338" s="3">
        <v>14</v>
      </c>
      <c r="F3338" s="3">
        <v>33.35</v>
      </c>
      <c r="G3338" s="3">
        <v>0</v>
      </c>
      <c r="H3338" s="3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 s="3">
        <v>14</v>
      </c>
      <c r="N3338" s="3">
        <v>98.73</v>
      </c>
      <c r="O3338" s="12">
        <v>29.142857142857139</v>
      </c>
    </row>
    <row r="3339" spans="1:15" hidden="1" x14ac:dyDescent="0.25">
      <c r="A3339" s="10">
        <v>46106</v>
      </c>
      <c r="B3339" t="s">
        <v>18</v>
      </c>
      <c r="C3339" s="1" t="s">
        <v>16</v>
      </c>
      <c r="D3339" s="3">
        <v>7</v>
      </c>
      <c r="E3339" s="3">
        <v>7</v>
      </c>
      <c r="F3339" s="3">
        <v>43.54</v>
      </c>
      <c r="G3339" s="3">
        <v>0</v>
      </c>
      <c r="H3339" s="3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 s="3">
        <v>7</v>
      </c>
      <c r="N3339" s="3">
        <v>90.48</v>
      </c>
      <c r="O3339" s="12">
        <v>20.68965517241379</v>
      </c>
    </row>
    <row r="3340" spans="1:15" hidden="1" x14ac:dyDescent="0.25">
      <c r="A3340" s="10">
        <v>46106</v>
      </c>
      <c r="B3340" t="s">
        <v>52</v>
      </c>
      <c r="C3340" s="1" t="s">
        <v>48</v>
      </c>
      <c r="D3340" s="3">
        <v>23</v>
      </c>
      <c r="E3340" s="3">
        <v>23</v>
      </c>
      <c r="F3340" s="3">
        <v>20.329999999999998</v>
      </c>
      <c r="G3340" s="3">
        <v>0</v>
      </c>
      <c r="H3340" s="3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 s="3">
        <v>23</v>
      </c>
      <c r="N3340" s="3">
        <v>98.06</v>
      </c>
      <c r="O3340" s="12">
        <v>24.789915966386559</v>
      </c>
    </row>
    <row r="3341" spans="1:15" hidden="1" x14ac:dyDescent="0.25">
      <c r="A3341" s="10">
        <v>46106</v>
      </c>
      <c r="B3341" t="s">
        <v>36</v>
      </c>
      <c r="C3341" s="1" t="s">
        <v>32</v>
      </c>
      <c r="D3341" s="3">
        <v>20</v>
      </c>
      <c r="E3341" s="3">
        <v>19</v>
      </c>
      <c r="F3341" s="3">
        <v>18.57</v>
      </c>
      <c r="G3341" s="3">
        <v>0</v>
      </c>
      <c r="H3341" s="3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 s="3">
        <v>16</v>
      </c>
      <c r="N3341" s="3">
        <v>97.78</v>
      </c>
      <c r="O3341" s="12">
        <v>25.494071146245059</v>
      </c>
    </row>
    <row r="3342" spans="1:15" hidden="1" x14ac:dyDescent="0.25">
      <c r="A3342" s="10">
        <v>46106</v>
      </c>
      <c r="B3342" t="s">
        <v>53</v>
      </c>
      <c r="C3342" s="1" t="s">
        <v>48</v>
      </c>
      <c r="D3342" s="3">
        <v>19</v>
      </c>
      <c r="E3342" s="3">
        <v>17</v>
      </c>
      <c r="F3342" s="3">
        <v>23.57</v>
      </c>
      <c r="G3342" s="3">
        <v>0</v>
      </c>
      <c r="H3342" s="3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 s="3">
        <v>19</v>
      </c>
      <c r="N3342" s="3">
        <v>98.02</v>
      </c>
      <c r="O3342" s="12">
        <v>23.484848484848481</v>
      </c>
    </row>
    <row r="3343" spans="1:15" hidden="1" x14ac:dyDescent="0.25">
      <c r="A3343" s="7">
        <v>46161</v>
      </c>
      <c r="B3343" s="8" t="s">
        <v>35</v>
      </c>
      <c r="C3343" s="1" t="s">
        <v>32</v>
      </c>
      <c r="D3343" s="3">
        <v>0</v>
      </c>
      <c r="E3343" s="3">
        <v>0</v>
      </c>
      <c r="F3343" s="3">
        <v>0</v>
      </c>
      <c r="G3343" s="3">
        <v>0</v>
      </c>
      <c r="H3343" s="3">
        <v>0</v>
      </c>
      <c r="I3343" s="3">
        <f>E3343+G3343+H3343</f>
        <v>0</v>
      </c>
      <c r="J3343" s="3">
        <v>0</v>
      </c>
      <c r="K3343" s="3">
        <f>I3343-J3343</f>
        <v>0</v>
      </c>
      <c r="L3343" s="3" t="str">
        <f>IF(K3343&lt;-5,"CRÍTICO",IF(K3343&lt;0,"ATENÇÃO",IF(K3343&lt;=5,"OPORTUNO","MUITO BOM")))</f>
        <v>OPORTUNO</v>
      </c>
      <c r="M3343" s="3">
        <v>0</v>
      </c>
      <c r="N3343" s="3">
        <v>99.19</v>
      </c>
      <c r="O3343" s="12">
        <v>28.404669260700391</v>
      </c>
    </row>
    <row r="3344" spans="1:15" hidden="1" x14ac:dyDescent="0.25">
      <c r="A3344" s="10">
        <v>46106</v>
      </c>
      <c r="B3344" t="s">
        <v>54</v>
      </c>
      <c r="C3344" s="1" t="s">
        <v>48</v>
      </c>
      <c r="D3344" s="3">
        <v>23</v>
      </c>
      <c r="E3344" s="3">
        <v>20</v>
      </c>
      <c r="F3344" s="3">
        <v>23.53</v>
      </c>
      <c r="G3344" s="3">
        <v>0</v>
      </c>
      <c r="H3344" s="3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 s="3">
        <v>17</v>
      </c>
      <c r="N3344" s="3">
        <v>100</v>
      </c>
      <c r="O3344" s="12">
        <v>27.04918032786885</v>
      </c>
    </row>
    <row r="3345" spans="1:15" hidden="1" x14ac:dyDescent="0.25">
      <c r="A3345" s="10">
        <v>46106</v>
      </c>
      <c r="B3345" t="s">
        <v>37</v>
      </c>
      <c r="C3345" s="1" t="s">
        <v>32</v>
      </c>
      <c r="D3345" s="3">
        <v>34</v>
      </c>
      <c r="E3345" s="3">
        <v>29</v>
      </c>
      <c r="F3345" s="3">
        <v>13.28</v>
      </c>
      <c r="G3345" s="3">
        <v>0</v>
      </c>
      <c r="H3345" s="3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 s="3">
        <v>28</v>
      </c>
      <c r="N3345" s="3">
        <v>97.83</v>
      </c>
      <c r="O3345" s="12">
        <v>26.315789473684209</v>
      </c>
    </row>
    <row r="3346" spans="1:15" hidden="1" x14ac:dyDescent="0.25">
      <c r="A3346" s="10">
        <v>46106</v>
      </c>
      <c r="B3346" t="s">
        <v>38</v>
      </c>
      <c r="C3346" s="1" t="s">
        <v>32</v>
      </c>
      <c r="D3346" s="3">
        <v>16</v>
      </c>
      <c r="E3346" s="3">
        <v>15</v>
      </c>
      <c r="F3346" s="3">
        <v>18.52</v>
      </c>
      <c r="G3346" s="3">
        <v>0</v>
      </c>
      <c r="H3346" s="3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 s="3">
        <v>14</v>
      </c>
      <c r="N3346" s="3">
        <v>100</v>
      </c>
      <c r="O3346" s="12">
        <v>26.701570680628269</v>
      </c>
    </row>
    <row r="3347" spans="1:15" hidden="1" x14ac:dyDescent="0.25">
      <c r="A3347" s="10">
        <v>46106</v>
      </c>
      <c r="B3347" t="s">
        <v>55</v>
      </c>
      <c r="C3347" s="1" t="s">
        <v>48</v>
      </c>
      <c r="D3347" s="3">
        <v>0</v>
      </c>
      <c r="E3347" s="3">
        <v>0</v>
      </c>
      <c r="F3347" s="3">
        <v>0</v>
      </c>
      <c r="G3347" s="3">
        <v>0</v>
      </c>
      <c r="H3347" s="3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 s="3">
        <v>0</v>
      </c>
      <c r="N3347" s="3">
        <v>97.47</v>
      </c>
      <c r="O3347" s="12">
        <v>22.887323943661968</v>
      </c>
    </row>
    <row r="3348" spans="1:15" hidden="1" x14ac:dyDescent="0.25">
      <c r="A3348" s="10">
        <v>46106</v>
      </c>
      <c r="B3348" t="s">
        <v>39</v>
      </c>
      <c r="C3348" s="1" t="s">
        <v>32</v>
      </c>
      <c r="D3348" s="3">
        <v>0</v>
      </c>
      <c r="E3348" s="3">
        <v>0</v>
      </c>
      <c r="F3348" s="3">
        <v>0</v>
      </c>
      <c r="G3348" s="3">
        <v>0</v>
      </c>
      <c r="H3348" s="3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 s="3">
        <v>0</v>
      </c>
      <c r="N3348" s="3">
        <v>0</v>
      </c>
      <c r="O3348" s="12">
        <v>0</v>
      </c>
    </row>
    <row r="3349" spans="1:15" hidden="1" x14ac:dyDescent="0.25">
      <c r="A3349" s="10">
        <v>46106</v>
      </c>
      <c r="B3349" t="s">
        <v>25</v>
      </c>
      <c r="C3349" s="1" t="s">
        <v>26</v>
      </c>
      <c r="D3349" s="3">
        <v>15</v>
      </c>
      <c r="E3349" s="3">
        <v>14</v>
      </c>
      <c r="F3349" s="3">
        <v>21.47</v>
      </c>
      <c r="G3349" s="3">
        <v>0</v>
      </c>
      <c r="H3349" s="3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 s="3">
        <v>14</v>
      </c>
      <c r="N3349" s="3">
        <v>98.31</v>
      </c>
      <c r="O3349" s="12">
        <v>24.920127795527151</v>
      </c>
    </row>
    <row r="3350" spans="1:15" hidden="1" x14ac:dyDescent="0.25">
      <c r="A3350" s="10">
        <v>46106</v>
      </c>
      <c r="B3350" t="s">
        <v>40</v>
      </c>
      <c r="C3350" s="1" t="s">
        <v>32</v>
      </c>
      <c r="D3350" s="3">
        <v>19</v>
      </c>
      <c r="E3350" s="3">
        <v>18</v>
      </c>
      <c r="F3350" s="3">
        <v>20.45</v>
      </c>
      <c r="G3350" s="3">
        <v>0</v>
      </c>
      <c r="H3350" s="3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 s="3">
        <v>19</v>
      </c>
      <c r="N3350" s="3">
        <v>96.81</v>
      </c>
      <c r="O3350" s="12">
        <v>32.365145228215773</v>
      </c>
    </row>
    <row r="3351" spans="1:15" hidden="1" x14ac:dyDescent="0.25">
      <c r="A3351" s="10">
        <v>46106</v>
      </c>
      <c r="B3351" t="s">
        <v>27</v>
      </c>
      <c r="C3351" s="1" t="s">
        <v>26</v>
      </c>
      <c r="D3351" s="3">
        <v>15</v>
      </c>
      <c r="E3351" s="3">
        <v>15</v>
      </c>
      <c r="F3351" s="3">
        <v>21.58</v>
      </c>
      <c r="G3351" s="3">
        <v>0</v>
      </c>
      <c r="H3351" s="3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 s="3">
        <v>8</v>
      </c>
      <c r="N3351" s="3">
        <v>100</v>
      </c>
      <c r="O3351" s="12">
        <v>26.47058823529412</v>
      </c>
    </row>
    <row r="3352" spans="1:15" hidden="1" x14ac:dyDescent="0.25">
      <c r="A3352" s="10">
        <v>46106</v>
      </c>
      <c r="B3352" t="s">
        <v>41</v>
      </c>
      <c r="C3352" s="1" t="s">
        <v>32</v>
      </c>
      <c r="D3352" s="3">
        <v>28</v>
      </c>
      <c r="E3352" s="3">
        <v>24</v>
      </c>
      <c r="F3352" s="3">
        <v>15.3</v>
      </c>
      <c r="G3352" s="3">
        <v>0</v>
      </c>
      <c r="H3352" s="3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 s="3">
        <v>22</v>
      </c>
      <c r="N3352" s="3">
        <v>100</v>
      </c>
      <c r="O3352" s="12">
        <v>28.490028490028489</v>
      </c>
    </row>
    <row r="3353" spans="1:15" hidden="1" x14ac:dyDescent="0.25">
      <c r="A3353" s="10">
        <v>46106</v>
      </c>
      <c r="B3353" t="s">
        <v>56</v>
      </c>
      <c r="C3353" s="1" t="s">
        <v>48</v>
      </c>
      <c r="D3353" s="3">
        <v>24</v>
      </c>
      <c r="E3353" s="3">
        <v>23</v>
      </c>
      <c r="F3353" s="3">
        <v>21.48</v>
      </c>
      <c r="G3353" s="3">
        <v>0</v>
      </c>
      <c r="H3353" s="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 s="3">
        <v>18</v>
      </c>
      <c r="N3353" s="3">
        <v>99.14</v>
      </c>
      <c r="O3353" s="12">
        <v>27.2289156626506</v>
      </c>
    </row>
    <row r="3354" spans="1:15" hidden="1" x14ac:dyDescent="0.25">
      <c r="A3354" s="10">
        <v>46106</v>
      </c>
      <c r="B3354" t="s">
        <v>57</v>
      </c>
      <c r="C3354" s="1" t="s">
        <v>48</v>
      </c>
      <c r="D3354" s="3">
        <v>12</v>
      </c>
      <c r="E3354" s="3">
        <v>12</v>
      </c>
      <c r="F3354" s="3">
        <v>27.1</v>
      </c>
      <c r="G3354" s="3">
        <v>0</v>
      </c>
      <c r="H3354" s="3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 s="3">
        <v>9</v>
      </c>
      <c r="N3354" s="3">
        <v>97.52</v>
      </c>
      <c r="O3354" s="12">
        <v>28.205128205128201</v>
      </c>
    </row>
    <row r="3355" spans="1:15" hidden="1" x14ac:dyDescent="0.25">
      <c r="A3355" s="10">
        <v>46106</v>
      </c>
      <c r="B3355" t="s">
        <v>42</v>
      </c>
      <c r="C3355" s="1" t="s">
        <v>32</v>
      </c>
      <c r="D3355" s="3">
        <v>0</v>
      </c>
      <c r="E3355" s="3">
        <v>0</v>
      </c>
      <c r="F3355" s="3">
        <v>0</v>
      </c>
      <c r="G3355" s="3">
        <v>0</v>
      </c>
      <c r="H3355" s="3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 s="3">
        <v>0</v>
      </c>
      <c r="N3355" s="3">
        <v>90</v>
      </c>
      <c r="O3355" s="12">
        <v>24.186046511627911</v>
      </c>
    </row>
    <row r="3356" spans="1:15" hidden="1" x14ac:dyDescent="0.25">
      <c r="A3356" s="10">
        <v>46106</v>
      </c>
      <c r="B3356" t="s">
        <v>62</v>
      </c>
      <c r="C3356" s="1" t="s">
        <v>23</v>
      </c>
      <c r="D3356" s="3">
        <v>19</v>
      </c>
      <c r="E3356" s="3">
        <v>17</v>
      </c>
      <c r="F3356" s="3">
        <v>27.37</v>
      </c>
      <c r="G3356" s="3">
        <v>0</v>
      </c>
      <c r="H3356" s="3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 s="3">
        <v>14</v>
      </c>
      <c r="N3356" s="3">
        <v>98.9</v>
      </c>
      <c r="O3356" s="12">
        <v>26.763990267639901</v>
      </c>
    </row>
    <row r="3357" spans="1:15" hidden="1" x14ac:dyDescent="0.25">
      <c r="A3357" s="10">
        <v>46106</v>
      </c>
      <c r="B3357" t="s">
        <v>19</v>
      </c>
      <c r="C3357" s="1" t="s">
        <v>16</v>
      </c>
      <c r="D3357" s="3">
        <v>8</v>
      </c>
      <c r="E3357" s="3">
        <v>7</v>
      </c>
      <c r="F3357" s="3">
        <v>40.06</v>
      </c>
      <c r="G3357" s="3">
        <v>0</v>
      </c>
      <c r="H3357" s="3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 s="3">
        <v>6</v>
      </c>
      <c r="N3357" s="3">
        <v>88.89</v>
      </c>
      <c r="O3357" s="12">
        <v>25.263157894736839</v>
      </c>
    </row>
    <row r="3358" spans="1:15" hidden="1" x14ac:dyDescent="0.25">
      <c r="A3358" s="10">
        <v>46126</v>
      </c>
      <c r="B3358" t="s">
        <v>43</v>
      </c>
      <c r="C3358" s="1" t="s">
        <v>32</v>
      </c>
      <c r="D3358" s="3">
        <v>31</v>
      </c>
      <c r="E3358" s="3">
        <v>25</v>
      </c>
      <c r="F3358" s="3">
        <v>13.21</v>
      </c>
      <c r="G3358" s="3">
        <v>0</v>
      </c>
      <c r="H3358" s="3">
        <v>0</v>
      </c>
      <c r="I3358" s="3">
        <f>E3358+G3358+H3358</f>
        <v>25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30</v>
      </c>
      <c r="K3358" s="3">
        <f>I3358-J3358</f>
        <v>-5</v>
      </c>
      <c r="L3358" s="3" t="str">
        <f>IF(K3358&lt;-5,"CRÍTICO",IF(K3358&lt;0,"ATENÇÃO",IF(K3358&lt;=5,"OPORTUNO","MUITO BOM")))</f>
        <v>ATENÇÃO</v>
      </c>
      <c r="M3358" s="3">
        <v>31</v>
      </c>
      <c r="N3358" s="3">
        <v>100</v>
      </c>
      <c r="O3358" s="12">
        <v>23.9870340356564</v>
      </c>
    </row>
    <row r="3359" spans="1:15" hidden="1" x14ac:dyDescent="0.25">
      <c r="A3359" s="10">
        <v>46106</v>
      </c>
      <c r="B3359" t="s">
        <v>44</v>
      </c>
      <c r="C3359" s="1" t="s">
        <v>32</v>
      </c>
      <c r="D3359" s="3">
        <v>26</v>
      </c>
      <c r="E3359" s="3">
        <v>24</v>
      </c>
      <c r="F3359" s="3">
        <v>13.36</v>
      </c>
      <c r="G3359" s="3">
        <v>0</v>
      </c>
      <c r="H3359" s="3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 s="3">
        <v>19</v>
      </c>
      <c r="N3359" s="3">
        <v>98.06</v>
      </c>
      <c r="O3359" s="12">
        <v>22.40566037735849</v>
      </c>
    </row>
    <row r="3360" spans="1:15" hidden="1" x14ac:dyDescent="0.25">
      <c r="A3360" s="10">
        <v>46134</v>
      </c>
      <c r="B3360" t="s">
        <v>20</v>
      </c>
      <c r="C3360" s="1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>IF(K3360&lt;-5,"CRÍTICO",IF(K3360&lt;0,"ATENÇÃO",IF(K3360&lt;=5,"OPORTUNO","MUITO BOM")))</f>
        <v>MUITO BOM</v>
      </c>
      <c r="M3360" s="3">
        <v>9</v>
      </c>
      <c r="N3360" s="3">
        <v>100</v>
      </c>
      <c r="O3360" s="12">
        <v>23.77622377622378</v>
      </c>
    </row>
    <row r="3361" spans="1:15" hidden="1" x14ac:dyDescent="0.25">
      <c r="A3361" s="10">
        <v>46106</v>
      </c>
      <c r="B3361" t="s">
        <v>28</v>
      </c>
      <c r="C3361" s="1" t="s">
        <v>26</v>
      </c>
      <c r="D3361" s="3">
        <v>0</v>
      </c>
      <c r="E3361" s="3">
        <v>0</v>
      </c>
      <c r="F3361" s="3">
        <v>0</v>
      </c>
      <c r="G3361" s="3">
        <v>0</v>
      </c>
      <c r="H3361" s="3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 s="3">
        <v>0</v>
      </c>
      <c r="N3361" s="3">
        <v>100</v>
      </c>
      <c r="O3361" s="12">
        <v>15.38461538461539</v>
      </c>
    </row>
    <row r="3362" spans="1:15" hidden="1" x14ac:dyDescent="0.25">
      <c r="A3362" s="10">
        <v>46106</v>
      </c>
      <c r="B3362" t="s">
        <v>58</v>
      </c>
      <c r="C3362" s="1" t="s">
        <v>48</v>
      </c>
      <c r="D3362" s="3">
        <v>6</v>
      </c>
      <c r="E3362" s="3">
        <v>5</v>
      </c>
      <c r="F3362" s="3">
        <v>27.19</v>
      </c>
      <c r="G3362" s="3">
        <v>0</v>
      </c>
      <c r="H3362" s="3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 s="3">
        <v>4</v>
      </c>
      <c r="N3362" s="3">
        <v>100</v>
      </c>
      <c r="O3362" s="12">
        <v>27.514792899408281</v>
      </c>
    </row>
    <row r="3363" spans="1:15" hidden="1" x14ac:dyDescent="0.25">
      <c r="A3363" s="10">
        <v>46106</v>
      </c>
      <c r="B3363" t="s">
        <v>29</v>
      </c>
      <c r="C3363" s="1" t="s">
        <v>26</v>
      </c>
      <c r="D3363" s="3">
        <v>17</v>
      </c>
      <c r="E3363" s="3">
        <v>16</v>
      </c>
      <c r="F3363" s="3">
        <v>23.21</v>
      </c>
      <c r="G3363" s="3">
        <v>0</v>
      </c>
      <c r="H3363" s="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 s="3">
        <v>15</v>
      </c>
      <c r="N3363" s="3">
        <v>100</v>
      </c>
      <c r="O3363" s="12">
        <v>24.875621890547269</v>
      </c>
    </row>
    <row r="3364" spans="1:15" hidden="1" x14ac:dyDescent="0.25">
      <c r="A3364" s="10">
        <v>46106</v>
      </c>
      <c r="B3364" t="s">
        <v>30</v>
      </c>
      <c r="C3364" s="1" t="s">
        <v>26</v>
      </c>
      <c r="D3364" s="3">
        <v>16</v>
      </c>
      <c r="E3364" s="3">
        <v>16</v>
      </c>
      <c r="F3364" s="3">
        <v>32.090000000000003</v>
      </c>
      <c r="G3364" s="3">
        <v>0</v>
      </c>
      <c r="H3364" s="3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 s="3">
        <v>12</v>
      </c>
      <c r="N3364" s="3">
        <v>100</v>
      </c>
      <c r="O3364" s="12">
        <v>28.108108108108109</v>
      </c>
    </row>
    <row r="3365" spans="1:15" hidden="1" x14ac:dyDescent="0.25">
      <c r="A3365" s="10">
        <v>46134</v>
      </c>
      <c r="B3365" t="s">
        <v>21</v>
      </c>
      <c r="C3365" s="1" t="s">
        <v>16</v>
      </c>
      <c r="D3365" s="3">
        <v>7</v>
      </c>
      <c r="E3365" s="3">
        <v>7</v>
      </c>
      <c r="F3365" s="3">
        <v>30.53</v>
      </c>
      <c r="G3365" s="3">
        <v>0</v>
      </c>
      <c r="H3365" s="3">
        <v>0</v>
      </c>
      <c r="I3365" s="3">
        <f>E3365+G3365+H3365</f>
        <v>7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0</v>
      </c>
      <c r="L3365" s="3" t="str">
        <f>IF(K3365&lt;-5,"CRÍTICO",IF(K3365&lt;0,"ATENÇÃO",IF(K3365&lt;=5,"OPORTUNO","MUITO BOM")))</f>
        <v>OPORTUNO</v>
      </c>
      <c r="M3365" s="3">
        <v>5</v>
      </c>
      <c r="N3365" s="3">
        <v>94.12</v>
      </c>
      <c r="O3365" s="12">
        <v>32.799999999999997</v>
      </c>
    </row>
    <row r="3366" spans="1:15" hidden="1" x14ac:dyDescent="0.25">
      <c r="A3366" s="10">
        <v>46106</v>
      </c>
      <c r="B3366" t="s">
        <v>63</v>
      </c>
      <c r="C3366" s="1" t="s">
        <v>23</v>
      </c>
      <c r="D3366" s="3">
        <v>20</v>
      </c>
      <c r="E3366" s="3">
        <v>17</v>
      </c>
      <c r="F3366" s="3">
        <v>22.17</v>
      </c>
      <c r="G3366" s="3">
        <v>0</v>
      </c>
      <c r="H3366" s="3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 s="3">
        <v>10</v>
      </c>
      <c r="N3366" s="3">
        <v>95.35</v>
      </c>
      <c r="O3366" s="12">
        <v>28.61538461538461</v>
      </c>
    </row>
    <row r="3367" spans="1:15" hidden="1" x14ac:dyDescent="0.25">
      <c r="A3367" s="10">
        <v>46106</v>
      </c>
      <c r="B3367" t="s">
        <v>45</v>
      </c>
      <c r="C3367" s="1" t="s">
        <v>32</v>
      </c>
      <c r="D3367" s="3">
        <v>33</v>
      </c>
      <c r="E3367" s="3">
        <v>31</v>
      </c>
      <c r="F3367" s="3">
        <v>10.58</v>
      </c>
      <c r="G3367" s="3">
        <v>0</v>
      </c>
      <c r="H3367" s="3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 s="3">
        <v>20</v>
      </c>
      <c r="N3367" s="3">
        <v>98.26</v>
      </c>
      <c r="O3367" s="12">
        <v>27.54491017964072</v>
      </c>
    </row>
    <row r="3368" spans="1:15" hidden="1" x14ac:dyDescent="0.25">
      <c r="A3368" s="10">
        <v>46106</v>
      </c>
      <c r="B3368" t="s">
        <v>64</v>
      </c>
      <c r="C3368" s="1" t="s">
        <v>23</v>
      </c>
      <c r="D3368" s="3">
        <v>12</v>
      </c>
      <c r="E3368" s="3">
        <v>12</v>
      </c>
      <c r="F3368" s="3">
        <v>46.5</v>
      </c>
      <c r="G3368" s="3">
        <v>0</v>
      </c>
      <c r="H3368" s="3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 s="3">
        <v>9</v>
      </c>
      <c r="N3368" s="3">
        <v>98.55</v>
      </c>
      <c r="O3368" s="12">
        <v>25.337837837837839</v>
      </c>
    </row>
    <row r="3369" spans="1:15" hidden="1" x14ac:dyDescent="0.25">
      <c r="A3369" s="10">
        <v>46106</v>
      </c>
      <c r="B3369" t="s">
        <v>46</v>
      </c>
      <c r="C3369" s="1" t="s">
        <v>32</v>
      </c>
      <c r="D3369" s="3">
        <v>25</v>
      </c>
      <c r="E3369" s="3">
        <v>21</v>
      </c>
      <c r="F3369" s="3">
        <v>13.43</v>
      </c>
      <c r="G3369" s="3">
        <v>0</v>
      </c>
      <c r="H3369" s="3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 s="3">
        <v>17</v>
      </c>
      <c r="N3369" s="3">
        <v>98.39</v>
      </c>
      <c r="O3369" s="12">
        <v>25.563909774436091</v>
      </c>
    </row>
    <row r="3370" spans="1:15" hidden="1" x14ac:dyDescent="0.25">
      <c r="A3370" s="10">
        <v>46107</v>
      </c>
      <c r="B3370" t="s">
        <v>47</v>
      </c>
      <c r="C3370" s="1" t="s">
        <v>48</v>
      </c>
      <c r="D3370" s="3">
        <v>33</v>
      </c>
      <c r="E3370" s="3">
        <v>28</v>
      </c>
      <c r="F3370" s="3">
        <v>14.09</v>
      </c>
      <c r="G3370" s="3">
        <v>0</v>
      </c>
      <c r="H3370" s="3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 s="3">
        <v>23</v>
      </c>
      <c r="N3370" s="3">
        <v>94.29</v>
      </c>
      <c r="O3370" s="12">
        <v>25.647668393782389</v>
      </c>
    </row>
    <row r="3371" spans="1:15" hidden="1" x14ac:dyDescent="0.25">
      <c r="A3371" s="10">
        <v>46107</v>
      </c>
      <c r="B3371" t="s">
        <v>31</v>
      </c>
      <c r="C3371" s="1" t="s">
        <v>32</v>
      </c>
      <c r="D3371" s="3">
        <v>0</v>
      </c>
      <c r="E3371" s="3">
        <v>0</v>
      </c>
      <c r="F3371" s="3">
        <v>0</v>
      </c>
      <c r="G3371" s="3">
        <v>0</v>
      </c>
      <c r="H3371" s="3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 s="3">
        <v>30</v>
      </c>
      <c r="N3371" s="3">
        <v>98.26</v>
      </c>
      <c r="O3371" s="12">
        <v>26.666666666666671</v>
      </c>
    </row>
    <row r="3372" spans="1:15" hidden="1" x14ac:dyDescent="0.25">
      <c r="A3372" s="10">
        <v>46107</v>
      </c>
      <c r="B3372" t="s">
        <v>59</v>
      </c>
      <c r="C3372" s="1" t="s">
        <v>23</v>
      </c>
      <c r="D3372" s="3">
        <v>21</v>
      </c>
      <c r="E3372" s="3">
        <v>21</v>
      </c>
      <c r="F3372" s="3">
        <v>23.32</v>
      </c>
      <c r="G3372" s="3">
        <v>0</v>
      </c>
      <c r="H3372" s="3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 s="3">
        <v>16</v>
      </c>
      <c r="N3372" s="3">
        <v>98.2</v>
      </c>
      <c r="O3372" s="12">
        <v>23.37962962962963</v>
      </c>
    </row>
    <row r="3373" spans="1:15" hidden="1" x14ac:dyDescent="0.25">
      <c r="A3373" s="10">
        <v>46107</v>
      </c>
      <c r="B3373" t="s">
        <v>33</v>
      </c>
      <c r="C3373" s="1" t="s">
        <v>32</v>
      </c>
      <c r="D3373" s="3">
        <v>35</v>
      </c>
      <c r="E3373" s="3">
        <v>32</v>
      </c>
      <c r="F3373" s="3">
        <v>15.52</v>
      </c>
      <c r="G3373" s="3">
        <v>0</v>
      </c>
      <c r="H3373" s="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 s="3">
        <v>29</v>
      </c>
      <c r="N3373" s="3">
        <v>97.3</v>
      </c>
      <c r="O3373" s="12">
        <v>23.84769539078156</v>
      </c>
    </row>
    <row r="3374" spans="1:15" hidden="1" x14ac:dyDescent="0.25">
      <c r="A3374" s="10">
        <v>46107</v>
      </c>
      <c r="B3374" t="s">
        <v>15</v>
      </c>
      <c r="C3374" s="1" t="s">
        <v>16</v>
      </c>
      <c r="D3374" s="3">
        <v>21</v>
      </c>
      <c r="E3374" s="3">
        <v>20</v>
      </c>
      <c r="F3374" s="3">
        <v>15.55</v>
      </c>
      <c r="G3374" s="3">
        <v>0</v>
      </c>
      <c r="H3374" s="3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 s="3">
        <v>16</v>
      </c>
      <c r="N3374" s="3">
        <v>100</v>
      </c>
      <c r="O3374" s="12">
        <v>25.268817204301079</v>
      </c>
    </row>
    <row r="3375" spans="1:15" hidden="1" x14ac:dyDescent="0.25">
      <c r="A3375" s="10">
        <v>46107</v>
      </c>
      <c r="B3375" t="s">
        <v>49</v>
      </c>
      <c r="C3375" s="1" t="s">
        <v>48</v>
      </c>
      <c r="D3375" s="3">
        <v>35</v>
      </c>
      <c r="E3375" s="3">
        <v>31</v>
      </c>
      <c r="F3375" s="3">
        <v>15.38</v>
      </c>
      <c r="G3375" s="3">
        <v>0</v>
      </c>
      <c r="H3375" s="3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 s="3">
        <v>33</v>
      </c>
      <c r="N3375" s="3">
        <v>99.32</v>
      </c>
      <c r="O3375" s="12">
        <v>22.822822822822818</v>
      </c>
    </row>
    <row r="3376" spans="1:15" hidden="1" x14ac:dyDescent="0.25">
      <c r="A3376" s="10">
        <v>46107</v>
      </c>
      <c r="B3376" t="s">
        <v>50</v>
      </c>
      <c r="C3376" s="1" t="s">
        <v>48</v>
      </c>
      <c r="D3376" s="3">
        <v>18</v>
      </c>
      <c r="E3376" s="3">
        <v>18</v>
      </c>
      <c r="F3376" s="3">
        <v>27</v>
      </c>
      <c r="G3376" s="3">
        <v>0</v>
      </c>
      <c r="H3376" s="3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 s="3">
        <v>18</v>
      </c>
      <c r="N3376" s="3">
        <v>100</v>
      </c>
      <c r="O3376" s="12">
        <v>27.966101694915249</v>
      </c>
    </row>
    <row r="3377" spans="1:15" hidden="1" x14ac:dyDescent="0.25">
      <c r="A3377" s="10">
        <v>46107</v>
      </c>
      <c r="B3377" t="s">
        <v>17</v>
      </c>
      <c r="C3377" s="1" t="s">
        <v>16</v>
      </c>
      <c r="D3377" s="3">
        <v>8</v>
      </c>
      <c r="E3377" s="3">
        <v>7</v>
      </c>
      <c r="F3377" s="3">
        <v>25.28</v>
      </c>
      <c r="G3377" s="3">
        <v>0</v>
      </c>
      <c r="H3377" s="3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 s="3">
        <v>4</v>
      </c>
      <c r="N3377" s="3">
        <v>100</v>
      </c>
      <c r="O3377" s="12">
        <v>30.434782608695659</v>
      </c>
    </row>
    <row r="3378" spans="1:15" hidden="1" x14ac:dyDescent="0.25">
      <c r="A3378" s="10">
        <v>46107</v>
      </c>
      <c r="B3378" t="s">
        <v>60</v>
      </c>
      <c r="C3378" s="1" t="s">
        <v>23</v>
      </c>
      <c r="D3378" s="3">
        <v>22</v>
      </c>
      <c r="E3378" s="3">
        <v>22</v>
      </c>
      <c r="F3378" s="3">
        <v>21.58</v>
      </c>
      <c r="G3378" s="3">
        <v>0</v>
      </c>
      <c r="H3378" s="3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 s="3">
        <v>17</v>
      </c>
      <c r="N3378" s="3">
        <v>96.51</v>
      </c>
      <c r="O3378" s="12">
        <v>22.802850356294542</v>
      </c>
    </row>
    <row r="3379" spans="1:15" hidden="1" x14ac:dyDescent="0.25">
      <c r="A3379" s="10">
        <v>46107</v>
      </c>
      <c r="B3379" t="s">
        <v>34</v>
      </c>
      <c r="C3379" s="1" t="s">
        <v>32</v>
      </c>
      <c r="D3379" s="3">
        <v>36</v>
      </c>
      <c r="E3379" s="3">
        <v>33</v>
      </c>
      <c r="F3379" s="3">
        <v>13.27</v>
      </c>
      <c r="G3379" s="3">
        <v>0</v>
      </c>
      <c r="H3379" s="3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 s="3">
        <v>28</v>
      </c>
      <c r="N3379" s="3">
        <v>92.68</v>
      </c>
      <c r="O3379" s="12">
        <v>27.777777777777779</v>
      </c>
    </row>
    <row r="3380" spans="1:15" hidden="1" x14ac:dyDescent="0.25">
      <c r="A3380" s="10">
        <v>46107</v>
      </c>
      <c r="B3380" t="s">
        <v>51</v>
      </c>
      <c r="C3380" s="1" t="s">
        <v>48</v>
      </c>
      <c r="D3380" s="3">
        <v>40</v>
      </c>
      <c r="E3380" s="3">
        <v>35</v>
      </c>
      <c r="F3380" s="3">
        <v>14.12</v>
      </c>
      <c r="G3380" s="3">
        <v>0</v>
      </c>
      <c r="H3380" s="3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 s="3">
        <v>32</v>
      </c>
      <c r="N3380" s="3">
        <v>99.03</v>
      </c>
      <c r="O3380" s="12">
        <v>23.991507430997881</v>
      </c>
    </row>
    <row r="3381" spans="1:15" hidden="1" x14ac:dyDescent="0.25">
      <c r="A3381" s="10">
        <v>46107</v>
      </c>
      <c r="B3381" t="s">
        <v>61</v>
      </c>
      <c r="C3381" s="1" t="s">
        <v>23</v>
      </c>
      <c r="D3381" s="3">
        <v>17</v>
      </c>
      <c r="E3381" s="3">
        <v>17</v>
      </c>
      <c r="F3381" s="3">
        <v>25.03</v>
      </c>
      <c r="G3381" s="3">
        <v>0</v>
      </c>
      <c r="H3381" s="3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 s="3">
        <v>8</v>
      </c>
      <c r="N3381" s="3">
        <v>98.41</v>
      </c>
      <c r="O3381" s="12">
        <v>28.138528138528141</v>
      </c>
    </row>
    <row r="3382" spans="1:15" hidden="1" x14ac:dyDescent="0.25">
      <c r="A3382" s="10">
        <v>46107</v>
      </c>
      <c r="B3382" t="s">
        <v>35</v>
      </c>
      <c r="C3382" s="1" t="s">
        <v>32</v>
      </c>
      <c r="D3382" s="3">
        <v>21</v>
      </c>
      <c r="E3382" s="3">
        <v>21</v>
      </c>
      <c r="F3382" s="3">
        <v>26.42</v>
      </c>
      <c r="G3382" s="3">
        <v>0</v>
      </c>
      <c r="H3382" s="3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 s="3">
        <v>22</v>
      </c>
      <c r="N3382" s="3">
        <v>98.73</v>
      </c>
      <c r="O3382" s="12">
        <v>29.142857142857139</v>
      </c>
    </row>
    <row r="3383" spans="1:15" hidden="1" x14ac:dyDescent="0.25">
      <c r="A3383" s="10">
        <v>46107</v>
      </c>
      <c r="B3383" t="s">
        <v>18</v>
      </c>
      <c r="C3383" s="1" t="s">
        <v>16</v>
      </c>
      <c r="D3383" s="3">
        <v>15</v>
      </c>
      <c r="E3383" s="3">
        <v>13</v>
      </c>
      <c r="F3383" s="3">
        <v>20.47</v>
      </c>
      <c r="G3383" s="3">
        <v>0</v>
      </c>
      <c r="H3383" s="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 s="3">
        <v>9</v>
      </c>
      <c r="N3383" s="3">
        <v>90.48</v>
      </c>
      <c r="O3383" s="12">
        <v>20.68965517241379</v>
      </c>
    </row>
    <row r="3384" spans="1:15" hidden="1" x14ac:dyDescent="0.25">
      <c r="A3384" s="10">
        <v>46107</v>
      </c>
      <c r="B3384" t="s">
        <v>52</v>
      </c>
      <c r="C3384" s="1" t="s">
        <v>48</v>
      </c>
      <c r="D3384" s="3">
        <v>29</v>
      </c>
      <c r="E3384" s="3">
        <v>26</v>
      </c>
      <c r="F3384" s="3">
        <v>16.440000000000001</v>
      </c>
      <c r="G3384" s="3">
        <v>0</v>
      </c>
      <c r="H3384" s="3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 s="3">
        <v>23</v>
      </c>
      <c r="N3384" s="3">
        <v>98.06</v>
      </c>
      <c r="O3384" s="12">
        <v>24.789915966386559</v>
      </c>
    </row>
    <row r="3385" spans="1:15" hidden="1" x14ac:dyDescent="0.25">
      <c r="A3385" s="10">
        <v>46107</v>
      </c>
      <c r="B3385" t="s">
        <v>36</v>
      </c>
      <c r="C3385" s="1" t="s">
        <v>32</v>
      </c>
      <c r="D3385" s="3">
        <v>31</v>
      </c>
      <c r="E3385" s="3">
        <v>30</v>
      </c>
      <c r="F3385" s="3">
        <v>18.32</v>
      </c>
      <c r="G3385" s="3">
        <v>0</v>
      </c>
      <c r="H3385" s="3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 s="3">
        <v>30</v>
      </c>
      <c r="N3385" s="3">
        <v>97.78</v>
      </c>
      <c r="O3385" s="12">
        <v>25.494071146245059</v>
      </c>
    </row>
    <row r="3386" spans="1:15" hidden="1" x14ac:dyDescent="0.25">
      <c r="A3386" s="10">
        <v>46107</v>
      </c>
      <c r="B3386" t="s">
        <v>53</v>
      </c>
      <c r="C3386" s="1" t="s">
        <v>48</v>
      </c>
      <c r="D3386" s="3">
        <v>23</v>
      </c>
      <c r="E3386" s="3">
        <v>23</v>
      </c>
      <c r="F3386" s="3">
        <v>24.1</v>
      </c>
      <c r="G3386" s="3">
        <v>0</v>
      </c>
      <c r="H3386" s="3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 s="3">
        <v>22</v>
      </c>
      <c r="N3386" s="3">
        <v>98.02</v>
      </c>
      <c r="O3386" s="12">
        <v>23.484848484848481</v>
      </c>
    </row>
    <row r="3387" spans="1:15" hidden="1" x14ac:dyDescent="0.25">
      <c r="A3387" s="7">
        <v>46161</v>
      </c>
      <c r="B3387" s="8" t="s">
        <v>36</v>
      </c>
      <c r="C3387" s="1" t="s">
        <v>32</v>
      </c>
      <c r="D3387" s="3">
        <v>12</v>
      </c>
      <c r="E3387" s="3">
        <v>12</v>
      </c>
      <c r="F3387" s="3">
        <v>18.2</v>
      </c>
      <c r="G3387" s="3">
        <v>0</v>
      </c>
      <c r="H3387" s="3">
        <v>0</v>
      </c>
      <c r="I3387" s="3">
        <f>E3387+G3387+H3387</f>
        <v>12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29</v>
      </c>
      <c r="K3387" s="3">
        <f>I3387-J3387</f>
        <v>-17</v>
      </c>
      <c r="L3387" s="3" t="str">
        <f>IF(K3387&lt;-5,"CRÍTICO",IF(K3387&lt;0,"ATENÇÃO",IF(K3387&lt;=5,"OPORTUNO","MUITO BOM")))</f>
        <v>CRÍTICO</v>
      </c>
      <c r="M3387" s="3">
        <v>11</v>
      </c>
      <c r="N3387" s="3">
        <v>100</v>
      </c>
      <c r="O3387" s="12">
        <v>13.51351351351351</v>
      </c>
    </row>
    <row r="3388" spans="1:15" hidden="1" x14ac:dyDescent="0.25">
      <c r="A3388" s="10">
        <v>46107</v>
      </c>
      <c r="B3388" t="s">
        <v>54</v>
      </c>
      <c r="C3388" s="1" t="s">
        <v>48</v>
      </c>
      <c r="D3388" s="3">
        <v>25</v>
      </c>
      <c r="E3388" s="3">
        <v>23</v>
      </c>
      <c r="F3388" s="3">
        <v>20.399999999999999</v>
      </c>
      <c r="G3388" s="3">
        <v>0</v>
      </c>
      <c r="H3388" s="3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 s="3">
        <v>21</v>
      </c>
      <c r="N3388" s="3">
        <v>100</v>
      </c>
      <c r="O3388" s="12">
        <v>27.04918032786885</v>
      </c>
    </row>
    <row r="3389" spans="1:15" hidden="1" x14ac:dyDescent="0.25">
      <c r="A3389" s="10">
        <v>46107</v>
      </c>
      <c r="B3389" t="s">
        <v>37</v>
      </c>
      <c r="C3389" s="1" t="s">
        <v>32</v>
      </c>
      <c r="D3389" s="3">
        <v>40</v>
      </c>
      <c r="E3389" s="3">
        <v>38</v>
      </c>
      <c r="F3389" s="3">
        <v>14.19</v>
      </c>
      <c r="G3389" s="3">
        <v>0</v>
      </c>
      <c r="H3389" s="3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 s="3">
        <v>34</v>
      </c>
      <c r="N3389" s="3">
        <v>97.83</v>
      </c>
      <c r="O3389" s="12">
        <v>26.315789473684209</v>
      </c>
    </row>
    <row r="3390" spans="1:15" hidden="1" x14ac:dyDescent="0.25">
      <c r="A3390" s="10">
        <v>46107</v>
      </c>
      <c r="B3390" t="s">
        <v>38</v>
      </c>
      <c r="C3390" s="1" t="s">
        <v>32</v>
      </c>
      <c r="D3390" s="3">
        <v>24</v>
      </c>
      <c r="E3390" s="3">
        <v>21</v>
      </c>
      <c r="F3390" s="3">
        <v>13.26</v>
      </c>
      <c r="G3390" s="3">
        <v>0</v>
      </c>
      <c r="H3390" s="3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 s="3">
        <v>18</v>
      </c>
      <c r="N3390" s="3">
        <v>100</v>
      </c>
      <c r="O3390" s="12">
        <v>26.701570680628269</v>
      </c>
    </row>
    <row r="3391" spans="1:15" hidden="1" x14ac:dyDescent="0.25">
      <c r="A3391" s="10">
        <v>46107</v>
      </c>
      <c r="B3391" t="s">
        <v>55</v>
      </c>
      <c r="C3391" s="1" t="s">
        <v>48</v>
      </c>
      <c r="D3391" s="3">
        <v>0</v>
      </c>
      <c r="E3391" s="3">
        <v>0</v>
      </c>
      <c r="F3391" s="3">
        <v>0</v>
      </c>
      <c r="G3391" s="3">
        <v>0</v>
      </c>
      <c r="H3391" s="3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 s="3">
        <v>0</v>
      </c>
      <c r="N3391" s="3">
        <v>97.47</v>
      </c>
      <c r="O3391" s="12">
        <v>22.887323943661968</v>
      </c>
    </row>
    <row r="3392" spans="1:15" hidden="1" x14ac:dyDescent="0.25">
      <c r="A3392" s="10">
        <v>46107</v>
      </c>
      <c r="B3392" t="s">
        <v>39</v>
      </c>
      <c r="C3392" s="1" t="s">
        <v>32</v>
      </c>
      <c r="D3392" s="3">
        <v>0</v>
      </c>
      <c r="E3392" s="3">
        <v>0</v>
      </c>
      <c r="F3392" s="3">
        <v>0</v>
      </c>
      <c r="G3392" s="3">
        <v>0</v>
      </c>
      <c r="H3392" s="3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 s="3">
        <v>0</v>
      </c>
      <c r="N3392" s="3">
        <v>0</v>
      </c>
      <c r="O3392" s="12">
        <v>0</v>
      </c>
    </row>
    <row r="3393" spans="1:15" hidden="1" x14ac:dyDescent="0.25">
      <c r="A3393" s="10">
        <v>46107</v>
      </c>
      <c r="B3393" t="s">
        <v>25</v>
      </c>
      <c r="C3393" s="1" t="s">
        <v>26</v>
      </c>
      <c r="D3393" s="3">
        <v>23</v>
      </c>
      <c r="E3393" s="3">
        <v>22</v>
      </c>
      <c r="F3393" s="3">
        <v>24.15</v>
      </c>
      <c r="G3393" s="3">
        <v>0</v>
      </c>
      <c r="H3393" s="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 s="3">
        <v>20</v>
      </c>
      <c r="N3393" s="3">
        <v>98.31</v>
      </c>
      <c r="O3393" s="12">
        <v>24.920127795527151</v>
      </c>
    </row>
    <row r="3394" spans="1:15" hidden="1" x14ac:dyDescent="0.25">
      <c r="A3394" s="10">
        <v>46107</v>
      </c>
      <c r="B3394" t="s">
        <v>40</v>
      </c>
      <c r="C3394" s="1" t="s">
        <v>32</v>
      </c>
      <c r="D3394" s="3">
        <v>18</v>
      </c>
      <c r="E3394" s="3">
        <v>18</v>
      </c>
      <c r="F3394" s="3">
        <v>27.37</v>
      </c>
      <c r="G3394" s="3">
        <v>0</v>
      </c>
      <c r="H3394" s="3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 s="3">
        <v>19</v>
      </c>
      <c r="N3394" s="3">
        <v>96.81</v>
      </c>
      <c r="O3394" s="12">
        <v>32.365145228215773</v>
      </c>
    </row>
    <row r="3395" spans="1:15" hidden="1" x14ac:dyDescent="0.25">
      <c r="A3395" s="10">
        <v>46107</v>
      </c>
      <c r="B3395" t="s">
        <v>27</v>
      </c>
      <c r="C3395" s="1" t="s">
        <v>26</v>
      </c>
      <c r="D3395" s="3">
        <v>23</v>
      </c>
      <c r="E3395" s="3">
        <v>16</v>
      </c>
      <c r="F3395" s="3">
        <v>20.43</v>
      </c>
      <c r="G3395" s="3">
        <v>0</v>
      </c>
      <c r="H3395" s="3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 s="3">
        <v>12</v>
      </c>
      <c r="N3395" s="3">
        <v>100</v>
      </c>
      <c r="O3395" s="12">
        <v>26.47058823529412</v>
      </c>
    </row>
    <row r="3396" spans="1:15" hidden="1" x14ac:dyDescent="0.25">
      <c r="A3396" s="10">
        <v>46107</v>
      </c>
      <c r="B3396" t="s">
        <v>41</v>
      </c>
      <c r="C3396" s="1" t="s">
        <v>32</v>
      </c>
      <c r="D3396" s="3">
        <v>27</v>
      </c>
      <c r="E3396" s="3">
        <v>24</v>
      </c>
      <c r="F3396" s="3">
        <v>18.47</v>
      </c>
      <c r="G3396" s="3">
        <v>0</v>
      </c>
      <c r="H3396" s="3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 s="3">
        <v>23</v>
      </c>
      <c r="N3396" s="3">
        <v>100</v>
      </c>
      <c r="O3396" s="12">
        <v>28.490028490028489</v>
      </c>
    </row>
    <row r="3397" spans="1:15" hidden="1" x14ac:dyDescent="0.25">
      <c r="A3397" s="10">
        <v>46107</v>
      </c>
      <c r="B3397" t="s">
        <v>56</v>
      </c>
      <c r="C3397" s="1" t="s">
        <v>48</v>
      </c>
      <c r="D3397" s="3">
        <v>30</v>
      </c>
      <c r="E3397" s="3">
        <v>29</v>
      </c>
      <c r="F3397" s="3">
        <v>25.31</v>
      </c>
      <c r="G3397" s="3">
        <v>0</v>
      </c>
      <c r="H3397" s="3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 s="3">
        <v>11</v>
      </c>
      <c r="N3397" s="3">
        <v>99.14</v>
      </c>
      <c r="O3397" s="12">
        <v>27.2289156626506</v>
      </c>
    </row>
    <row r="3398" spans="1:15" hidden="1" x14ac:dyDescent="0.25">
      <c r="A3398" s="10">
        <v>46107</v>
      </c>
      <c r="B3398" t="s">
        <v>57</v>
      </c>
      <c r="C3398" s="1" t="s">
        <v>48</v>
      </c>
      <c r="D3398" s="3">
        <v>30</v>
      </c>
      <c r="E3398" s="3">
        <v>28</v>
      </c>
      <c r="F3398" s="3">
        <v>15.35</v>
      </c>
      <c r="G3398" s="3">
        <v>0</v>
      </c>
      <c r="H3398" s="3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 s="3">
        <v>25</v>
      </c>
      <c r="N3398" s="3">
        <v>97.52</v>
      </c>
      <c r="O3398" s="12">
        <v>28.205128205128201</v>
      </c>
    </row>
    <row r="3399" spans="1:15" hidden="1" x14ac:dyDescent="0.25">
      <c r="A3399" s="10">
        <v>46107</v>
      </c>
      <c r="B3399" t="s">
        <v>42</v>
      </c>
      <c r="C3399" s="1" t="s">
        <v>32</v>
      </c>
      <c r="D3399" s="3">
        <v>0</v>
      </c>
      <c r="E3399" s="3">
        <v>0</v>
      </c>
      <c r="F3399" s="3">
        <v>0</v>
      </c>
      <c r="G3399" s="3">
        <v>0</v>
      </c>
      <c r="H3399" s="3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 s="3">
        <v>0</v>
      </c>
      <c r="N3399" s="3">
        <v>90</v>
      </c>
      <c r="O3399" s="12">
        <v>24.186046511627911</v>
      </c>
    </row>
    <row r="3400" spans="1:15" hidden="1" x14ac:dyDescent="0.25">
      <c r="A3400" s="10">
        <v>46107</v>
      </c>
      <c r="B3400" t="s">
        <v>62</v>
      </c>
      <c r="C3400" s="1" t="s">
        <v>23</v>
      </c>
      <c r="D3400" s="3">
        <v>32</v>
      </c>
      <c r="E3400" s="3">
        <v>31</v>
      </c>
      <c r="F3400" s="3">
        <v>18.53</v>
      </c>
      <c r="G3400" s="3">
        <v>0</v>
      </c>
      <c r="H3400" s="3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 s="3">
        <v>24</v>
      </c>
      <c r="N3400" s="3">
        <v>98.9</v>
      </c>
      <c r="O3400" s="12">
        <v>26.763990267639901</v>
      </c>
    </row>
    <row r="3401" spans="1:15" hidden="1" x14ac:dyDescent="0.25">
      <c r="A3401" s="10">
        <v>46107</v>
      </c>
      <c r="B3401" t="s">
        <v>19</v>
      </c>
      <c r="C3401" s="1" t="s">
        <v>16</v>
      </c>
      <c r="D3401" s="3">
        <v>8</v>
      </c>
      <c r="E3401" s="3">
        <v>7</v>
      </c>
      <c r="F3401" s="3">
        <v>42.36</v>
      </c>
      <c r="G3401" s="3">
        <v>0</v>
      </c>
      <c r="H3401" s="3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 s="3">
        <v>6</v>
      </c>
      <c r="N3401" s="3">
        <v>88.89</v>
      </c>
      <c r="O3401" s="12">
        <v>25.263157894736839</v>
      </c>
    </row>
    <row r="3402" spans="1:15" hidden="1" x14ac:dyDescent="0.25">
      <c r="A3402" s="10">
        <v>46127</v>
      </c>
      <c r="B3402" t="s">
        <v>43</v>
      </c>
      <c r="C3402" s="1" t="s">
        <v>32</v>
      </c>
      <c r="D3402" s="3">
        <v>30</v>
      </c>
      <c r="E3402" s="3">
        <v>28</v>
      </c>
      <c r="F3402" s="3">
        <v>13.55</v>
      </c>
      <c r="G3402" s="3">
        <v>0</v>
      </c>
      <c r="H3402" s="3">
        <v>0</v>
      </c>
      <c r="I3402" s="3">
        <f>E3402+G3402+H3402</f>
        <v>28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32</v>
      </c>
      <c r="K3402" s="3">
        <f>I3402-J3402</f>
        <v>-4</v>
      </c>
      <c r="L3402" s="3" t="str">
        <f>IF(K3402&lt;-5,"CRÍTICO",IF(K3402&lt;0,"ATENÇÃO",IF(K3402&lt;=5,"OPORTUNO","MUITO BOM")))</f>
        <v>ATENÇÃO</v>
      </c>
      <c r="M3402" s="3">
        <v>39</v>
      </c>
      <c r="N3402" s="3">
        <v>100</v>
      </c>
      <c r="O3402" s="12">
        <v>23.9870340356564</v>
      </c>
    </row>
    <row r="3403" spans="1:15" hidden="1" x14ac:dyDescent="0.25">
      <c r="A3403" s="10">
        <v>46107</v>
      </c>
      <c r="B3403" t="s">
        <v>44</v>
      </c>
      <c r="C3403" s="1" t="s">
        <v>32</v>
      </c>
      <c r="D3403" s="3">
        <v>15</v>
      </c>
      <c r="E3403" s="3">
        <v>13</v>
      </c>
      <c r="F3403" s="3">
        <v>16.53</v>
      </c>
      <c r="G3403" s="3">
        <v>0</v>
      </c>
      <c r="H3403" s="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 s="3">
        <v>12</v>
      </c>
      <c r="N3403" s="3">
        <v>98.06</v>
      </c>
      <c r="O3403" s="12">
        <v>22.40566037735849</v>
      </c>
    </row>
    <row r="3404" spans="1:15" hidden="1" x14ac:dyDescent="0.25">
      <c r="A3404" s="10">
        <v>46135</v>
      </c>
      <c r="B3404" t="s">
        <v>20</v>
      </c>
      <c r="C3404" s="1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>IF(K3404&lt;-5,"CRÍTICO",IF(K3404&lt;0,"ATENÇÃO",IF(K3404&lt;=5,"OPORTUNO","MUITO BOM")))</f>
        <v>OPORTUNO</v>
      </c>
      <c r="M3404" s="3">
        <v>7</v>
      </c>
      <c r="N3404" s="3">
        <v>100</v>
      </c>
      <c r="O3404" s="12">
        <v>23.77622377622378</v>
      </c>
    </row>
    <row r="3405" spans="1:15" hidden="1" x14ac:dyDescent="0.25">
      <c r="A3405" s="10">
        <v>46107</v>
      </c>
      <c r="B3405" t="s">
        <v>28</v>
      </c>
      <c r="C3405" s="1" t="s">
        <v>26</v>
      </c>
      <c r="D3405" s="3">
        <v>0</v>
      </c>
      <c r="E3405" s="3">
        <v>0</v>
      </c>
      <c r="F3405" s="3">
        <v>0</v>
      </c>
      <c r="G3405" s="3">
        <v>0</v>
      </c>
      <c r="H3405" s="3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 s="3">
        <v>0</v>
      </c>
      <c r="N3405" s="3">
        <v>100</v>
      </c>
      <c r="O3405" s="12">
        <v>15.38461538461539</v>
      </c>
    </row>
    <row r="3406" spans="1:15" hidden="1" x14ac:dyDescent="0.25">
      <c r="A3406" s="10">
        <v>46107</v>
      </c>
      <c r="B3406" t="s">
        <v>58</v>
      </c>
      <c r="C3406" s="1" t="s">
        <v>48</v>
      </c>
      <c r="D3406" s="3">
        <v>7</v>
      </c>
      <c r="E3406" s="3">
        <v>6</v>
      </c>
      <c r="F3406" s="3">
        <v>8.5</v>
      </c>
      <c r="G3406" s="3">
        <v>0</v>
      </c>
      <c r="H3406" s="3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 s="3">
        <v>5</v>
      </c>
      <c r="N3406" s="3">
        <v>100</v>
      </c>
      <c r="O3406" s="12">
        <v>27.514792899408281</v>
      </c>
    </row>
    <row r="3407" spans="1:15" hidden="1" x14ac:dyDescent="0.25">
      <c r="A3407" s="10">
        <v>46107</v>
      </c>
      <c r="B3407" t="s">
        <v>29</v>
      </c>
      <c r="C3407" s="1" t="s">
        <v>26</v>
      </c>
      <c r="D3407" s="3">
        <v>20</v>
      </c>
      <c r="E3407" s="3">
        <v>20</v>
      </c>
      <c r="F3407" s="3">
        <v>18.29</v>
      </c>
      <c r="G3407" s="3">
        <v>0</v>
      </c>
      <c r="H3407" s="3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 s="3">
        <v>14</v>
      </c>
      <c r="N3407" s="3">
        <v>100</v>
      </c>
      <c r="O3407" s="12">
        <v>24.875621890547269</v>
      </c>
    </row>
    <row r="3408" spans="1:15" hidden="1" x14ac:dyDescent="0.25">
      <c r="A3408" s="10">
        <v>46107</v>
      </c>
      <c r="B3408" t="s">
        <v>30</v>
      </c>
      <c r="C3408" s="1" t="s">
        <v>26</v>
      </c>
      <c r="D3408" s="3">
        <v>11</v>
      </c>
      <c r="E3408" s="3">
        <v>11</v>
      </c>
      <c r="F3408" s="3">
        <v>42.36</v>
      </c>
      <c r="G3408" s="3">
        <v>0</v>
      </c>
      <c r="H3408" s="3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 s="3">
        <v>9</v>
      </c>
      <c r="N3408" s="3">
        <v>100</v>
      </c>
      <c r="O3408" s="12">
        <v>28.108108108108109</v>
      </c>
    </row>
    <row r="3409" spans="1:15" hidden="1" x14ac:dyDescent="0.25">
      <c r="A3409" s="10">
        <v>46135</v>
      </c>
      <c r="B3409" t="s">
        <v>21</v>
      </c>
      <c r="C3409" s="1" t="s">
        <v>16</v>
      </c>
      <c r="D3409" s="3">
        <v>5</v>
      </c>
      <c r="E3409" s="3">
        <v>5</v>
      </c>
      <c r="F3409" s="3">
        <v>23.21</v>
      </c>
      <c r="G3409" s="3">
        <v>0</v>
      </c>
      <c r="H3409" s="3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7</v>
      </c>
      <c r="K3409" s="3">
        <f>I3409-J3409</f>
        <v>-2</v>
      </c>
      <c r="L3409" s="3" t="str">
        <f>IF(K3409&lt;-5,"CRÍTICO",IF(K3409&lt;0,"ATENÇÃO",IF(K3409&lt;=5,"OPORTUNO","MUITO BOM")))</f>
        <v>ATENÇÃO</v>
      </c>
      <c r="M3409" s="3">
        <v>4</v>
      </c>
      <c r="N3409" s="3">
        <v>94.12</v>
      </c>
      <c r="O3409" s="12">
        <v>32.799999999999997</v>
      </c>
    </row>
    <row r="3410" spans="1:15" hidden="1" x14ac:dyDescent="0.25">
      <c r="A3410" s="10">
        <v>46107</v>
      </c>
      <c r="B3410" t="s">
        <v>63</v>
      </c>
      <c r="C3410" s="1" t="s">
        <v>23</v>
      </c>
      <c r="D3410" s="3">
        <v>24</v>
      </c>
      <c r="E3410" s="3">
        <v>20</v>
      </c>
      <c r="F3410" s="3">
        <v>20.399999999999999</v>
      </c>
      <c r="G3410" s="3">
        <v>0</v>
      </c>
      <c r="H3410" s="3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 s="3">
        <v>15</v>
      </c>
      <c r="N3410" s="3">
        <v>95.35</v>
      </c>
      <c r="O3410" s="12">
        <v>28.61538461538461</v>
      </c>
    </row>
    <row r="3411" spans="1:15" hidden="1" x14ac:dyDescent="0.25">
      <c r="A3411" s="10">
        <v>46107</v>
      </c>
      <c r="B3411" t="s">
        <v>45</v>
      </c>
      <c r="C3411" s="1" t="s">
        <v>32</v>
      </c>
      <c r="D3411" s="3">
        <v>27</v>
      </c>
      <c r="E3411" s="3">
        <v>25</v>
      </c>
      <c r="F3411" s="3">
        <v>18.27</v>
      </c>
      <c r="G3411" s="3">
        <v>0</v>
      </c>
      <c r="H3411" s="3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 s="3">
        <v>25</v>
      </c>
      <c r="N3411" s="3">
        <v>98.26</v>
      </c>
      <c r="O3411" s="12">
        <v>27.54491017964072</v>
      </c>
    </row>
    <row r="3412" spans="1:15" hidden="1" x14ac:dyDescent="0.25">
      <c r="A3412" s="10">
        <v>46107</v>
      </c>
      <c r="B3412" t="s">
        <v>64</v>
      </c>
      <c r="C3412" s="1" t="s">
        <v>23</v>
      </c>
      <c r="D3412" s="3">
        <v>11</v>
      </c>
      <c r="E3412" s="3">
        <v>11</v>
      </c>
      <c r="F3412" s="3">
        <v>35.36</v>
      </c>
      <c r="G3412" s="3">
        <v>0</v>
      </c>
      <c r="H3412" s="3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 s="3">
        <v>9</v>
      </c>
      <c r="N3412" s="3">
        <v>98.55</v>
      </c>
      <c r="O3412" s="12">
        <v>25.337837837837839</v>
      </c>
    </row>
    <row r="3413" spans="1:15" hidden="1" x14ac:dyDescent="0.25">
      <c r="A3413" s="10">
        <v>46107</v>
      </c>
      <c r="B3413" t="s">
        <v>46</v>
      </c>
      <c r="C3413" s="1" t="s">
        <v>32</v>
      </c>
      <c r="D3413" s="3">
        <v>28</v>
      </c>
      <c r="E3413" s="3">
        <v>27</v>
      </c>
      <c r="F3413" s="3">
        <v>17.03</v>
      </c>
      <c r="G3413" s="3">
        <v>0</v>
      </c>
      <c r="H3413" s="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 s="3">
        <v>26</v>
      </c>
      <c r="N3413" s="3">
        <v>98.39</v>
      </c>
      <c r="O3413" s="12">
        <v>25.563909774436091</v>
      </c>
    </row>
    <row r="3414" spans="1:15" hidden="1" x14ac:dyDescent="0.25">
      <c r="A3414" s="10">
        <v>46108</v>
      </c>
      <c r="B3414" t="s">
        <v>47</v>
      </c>
      <c r="C3414" s="1" t="s">
        <v>48</v>
      </c>
      <c r="D3414" s="3">
        <v>25</v>
      </c>
      <c r="E3414" s="3">
        <v>22</v>
      </c>
      <c r="F3414" s="3">
        <v>13.53</v>
      </c>
      <c r="G3414" s="3">
        <v>0</v>
      </c>
      <c r="H3414" s="3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 s="3">
        <v>19</v>
      </c>
      <c r="N3414" s="3">
        <v>94.29</v>
      </c>
      <c r="O3414" s="12">
        <v>25.647668393782389</v>
      </c>
    </row>
    <row r="3415" spans="1:15" hidden="1" x14ac:dyDescent="0.25">
      <c r="A3415" s="10">
        <v>46108</v>
      </c>
      <c r="B3415" t="s">
        <v>31</v>
      </c>
      <c r="C3415" s="1" t="s">
        <v>32</v>
      </c>
      <c r="D3415" s="3">
        <v>0</v>
      </c>
      <c r="E3415" s="3">
        <v>0</v>
      </c>
      <c r="F3415" s="3">
        <v>0</v>
      </c>
      <c r="G3415" s="3">
        <v>0</v>
      </c>
      <c r="H3415" s="3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 s="3">
        <v>24</v>
      </c>
      <c r="N3415" s="3">
        <v>98.26</v>
      </c>
      <c r="O3415" s="12">
        <v>26.666666666666671</v>
      </c>
    </row>
    <row r="3416" spans="1:15" hidden="1" x14ac:dyDescent="0.25">
      <c r="A3416" s="10">
        <v>46108</v>
      </c>
      <c r="B3416" t="s">
        <v>59</v>
      </c>
      <c r="C3416" s="1" t="s">
        <v>23</v>
      </c>
      <c r="D3416" s="3">
        <v>30</v>
      </c>
      <c r="E3416" s="3">
        <v>29</v>
      </c>
      <c r="F3416" s="3">
        <v>15.25</v>
      </c>
      <c r="G3416" s="3">
        <v>0</v>
      </c>
      <c r="H3416" s="3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 s="3">
        <v>26</v>
      </c>
      <c r="N3416" s="3">
        <v>98.2</v>
      </c>
      <c r="O3416" s="12">
        <v>23.37962962962963</v>
      </c>
    </row>
    <row r="3417" spans="1:15" hidden="1" x14ac:dyDescent="0.25">
      <c r="A3417" s="10">
        <v>46108</v>
      </c>
      <c r="B3417" t="s">
        <v>33</v>
      </c>
      <c r="C3417" s="1" t="s">
        <v>32</v>
      </c>
      <c r="D3417" s="3">
        <v>26</v>
      </c>
      <c r="E3417" s="3">
        <v>22</v>
      </c>
      <c r="F3417" s="3">
        <v>16.579999999999998</v>
      </c>
      <c r="G3417" s="3">
        <v>0</v>
      </c>
      <c r="H3417" s="3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 s="3">
        <v>19</v>
      </c>
      <c r="N3417" s="3">
        <v>97.3</v>
      </c>
      <c r="O3417" s="12">
        <v>23.84769539078156</v>
      </c>
    </row>
    <row r="3418" spans="1:15" hidden="1" x14ac:dyDescent="0.25">
      <c r="A3418" s="10">
        <v>46108</v>
      </c>
      <c r="B3418" t="s">
        <v>15</v>
      </c>
      <c r="C3418" s="1" t="s">
        <v>16</v>
      </c>
      <c r="D3418" s="3">
        <v>16</v>
      </c>
      <c r="E3418" s="3">
        <v>16</v>
      </c>
      <c r="F3418" s="3">
        <v>20.28</v>
      </c>
      <c r="G3418" s="3">
        <v>0</v>
      </c>
      <c r="H3418" s="3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 s="3">
        <v>15</v>
      </c>
      <c r="N3418" s="3">
        <v>100</v>
      </c>
      <c r="O3418" s="12">
        <v>25.268817204301079</v>
      </c>
    </row>
    <row r="3419" spans="1:15" hidden="1" x14ac:dyDescent="0.25">
      <c r="A3419" s="10">
        <v>46108</v>
      </c>
      <c r="B3419" t="s">
        <v>49</v>
      </c>
      <c r="C3419" s="1" t="s">
        <v>48</v>
      </c>
      <c r="D3419" s="3">
        <v>32</v>
      </c>
      <c r="E3419" s="3">
        <v>29</v>
      </c>
      <c r="F3419" s="3">
        <v>17.32</v>
      </c>
      <c r="G3419" s="3">
        <v>0</v>
      </c>
      <c r="H3419" s="3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 s="3">
        <v>28</v>
      </c>
      <c r="N3419" s="3">
        <v>99.32</v>
      </c>
      <c r="O3419" s="12">
        <v>22.822822822822818</v>
      </c>
    </row>
    <row r="3420" spans="1:15" hidden="1" x14ac:dyDescent="0.25">
      <c r="A3420" s="10">
        <v>46108</v>
      </c>
      <c r="B3420" t="s">
        <v>50</v>
      </c>
      <c r="C3420" s="1" t="s">
        <v>48</v>
      </c>
      <c r="D3420" s="3">
        <v>19</v>
      </c>
      <c r="E3420" s="3">
        <v>17</v>
      </c>
      <c r="F3420" s="3">
        <v>23.48</v>
      </c>
      <c r="G3420" s="3">
        <v>0</v>
      </c>
      <c r="H3420" s="3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 s="3">
        <v>18</v>
      </c>
      <c r="N3420" s="3">
        <v>100</v>
      </c>
      <c r="O3420" s="12">
        <v>27.966101694915249</v>
      </c>
    </row>
    <row r="3421" spans="1:15" hidden="1" x14ac:dyDescent="0.25">
      <c r="A3421" s="10">
        <v>46108</v>
      </c>
      <c r="B3421" t="s">
        <v>17</v>
      </c>
      <c r="C3421" s="1" t="s">
        <v>16</v>
      </c>
      <c r="D3421" s="3">
        <v>10</v>
      </c>
      <c r="E3421" s="3">
        <v>10</v>
      </c>
      <c r="F3421" s="3">
        <v>15.45</v>
      </c>
      <c r="G3421" s="3">
        <v>0</v>
      </c>
      <c r="H3421" s="3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 s="3">
        <v>6</v>
      </c>
      <c r="N3421" s="3">
        <v>100</v>
      </c>
      <c r="O3421" s="12">
        <v>30.434782608695659</v>
      </c>
    </row>
    <row r="3422" spans="1:15" hidden="1" x14ac:dyDescent="0.25">
      <c r="A3422" s="10">
        <v>46108</v>
      </c>
      <c r="B3422" t="s">
        <v>60</v>
      </c>
      <c r="C3422" s="1" t="s">
        <v>23</v>
      </c>
      <c r="D3422" s="3">
        <v>31</v>
      </c>
      <c r="E3422" s="3">
        <v>30</v>
      </c>
      <c r="F3422" s="3">
        <v>21.45</v>
      </c>
      <c r="G3422" s="3">
        <v>0</v>
      </c>
      <c r="H3422" s="3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 s="3">
        <v>31</v>
      </c>
      <c r="N3422" s="3">
        <v>96.51</v>
      </c>
      <c r="O3422" s="12">
        <v>22.802850356294542</v>
      </c>
    </row>
    <row r="3423" spans="1:15" hidden="1" x14ac:dyDescent="0.25">
      <c r="A3423" s="10">
        <v>46108</v>
      </c>
      <c r="B3423" t="s">
        <v>34</v>
      </c>
      <c r="C3423" s="1" t="s">
        <v>32</v>
      </c>
      <c r="D3423" s="3">
        <v>29</v>
      </c>
      <c r="E3423" s="3">
        <v>25</v>
      </c>
      <c r="F3423" s="3">
        <v>10.48</v>
      </c>
      <c r="G3423" s="3">
        <v>0</v>
      </c>
      <c r="H3423" s="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 s="3">
        <v>22</v>
      </c>
      <c r="N3423" s="3">
        <v>92.68</v>
      </c>
      <c r="O3423" s="12">
        <v>27.777777777777779</v>
      </c>
    </row>
    <row r="3424" spans="1:15" hidden="1" x14ac:dyDescent="0.25">
      <c r="A3424" s="10">
        <v>46108</v>
      </c>
      <c r="B3424" t="s">
        <v>51</v>
      </c>
      <c r="C3424" s="1" t="s">
        <v>48</v>
      </c>
      <c r="D3424" s="3">
        <v>16</v>
      </c>
      <c r="E3424" s="3">
        <v>13</v>
      </c>
      <c r="F3424" s="3">
        <v>10.34</v>
      </c>
      <c r="G3424" s="3">
        <v>0</v>
      </c>
      <c r="H3424" s="3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 s="3">
        <v>12</v>
      </c>
      <c r="N3424" s="3">
        <v>99.03</v>
      </c>
      <c r="O3424" s="12">
        <v>23.991507430997881</v>
      </c>
    </row>
    <row r="3425" spans="1:15" hidden="1" x14ac:dyDescent="0.25">
      <c r="A3425" s="10">
        <v>46108</v>
      </c>
      <c r="B3425" t="s">
        <v>61</v>
      </c>
      <c r="C3425" s="1" t="s">
        <v>23</v>
      </c>
      <c r="D3425" s="3">
        <v>19</v>
      </c>
      <c r="E3425" s="3">
        <v>17</v>
      </c>
      <c r="F3425" s="3">
        <v>20.48</v>
      </c>
      <c r="G3425" s="3">
        <v>0</v>
      </c>
      <c r="H3425" s="3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 s="3">
        <v>6</v>
      </c>
      <c r="N3425" s="3">
        <v>98.41</v>
      </c>
      <c r="O3425" s="12">
        <v>28.138528138528141</v>
      </c>
    </row>
    <row r="3426" spans="1:15" hidden="1" x14ac:dyDescent="0.25">
      <c r="A3426" s="10">
        <v>46108</v>
      </c>
      <c r="B3426" t="s">
        <v>35</v>
      </c>
      <c r="C3426" s="1" t="s">
        <v>32</v>
      </c>
      <c r="D3426" s="3">
        <v>17</v>
      </c>
      <c r="E3426" s="3">
        <v>17</v>
      </c>
      <c r="F3426" s="3">
        <v>33.450000000000003</v>
      </c>
      <c r="G3426" s="3">
        <v>0</v>
      </c>
      <c r="H3426" s="3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 s="3">
        <v>18</v>
      </c>
      <c r="N3426" s="3">
        <v>98.73</v>
      </c>
      <c r="O3426" s="12">
        <v>29.142857142857139</v>
      </c>
    </row>
    <row r="3427" spans="1:15" hidden="1" x14ac:dyDescent="0.25">
      <c r="A3427" s="10">
        <v>46108</v>
      </c>
      <c r="B3427" t="s">
        <v>18</v>
      </c>
      <c r="C3427" s="1" t="s">
        <v>16</v>
      </c>
      <c r="D3427" s="3">
        <v>10</v>
      </c>
      <c r="E3427" s="3">
        <v>8</v>
      </c>
      <c r="F3427" s="3">
        <v>27.39</v>
      </c>
      <c r="G3427" s="3">
        <v>0</v>
      </c>
      <c r="H3427" s="3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 s="3">
        <v>8</v>
      </c>
      <c r="N3427" s="3">
        <v>90.48</v>
      </c>
      <c r="O3427" s="12">
        <v>20.68965517241379</v>
      </c>
    </row>
    <row r="3428" spans="1:15" hidden="1" x14ac:dyDescent="0.25">
      <c r="A3428" s="10">
        <v>46108</v>
      </c>
      <c r="B3428" t="s">
        <v>52</v>
      </c>
      <c r="C3428" s="1" t="s">
        <v>48</v>
      </c>
      <c r="D3428" s="3">
        <v>23</v>
      </c>
      <c r="E3428" s="3">
        <v>23</v>
      </c>
      <c r="F3428" s="3">
        <v>16.47</v>
      </c>
      <c r="G3428" s="3">
        <v>0</v>
      </c>
      <c r="H3428" s="3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 s="3">
        <v>21</v>
      </c>
      <c r="N3428" s="3">
        <v>98.06</v>
      </c>
      <c r="O3428" s="12">
        <v>24.789915966386559</v>
      </c>
    </row>
    <row r="3429" spans="1:15" hidden="1" x14ac:dyDescent="0.25">
      <c r="A3429" s="10">
        <v>46108</v>
      </c>
      <c r="B3429" t="s">
        <v>36</v>
      </c>
      <c r="C3429" s="1" t="s">
        <v>32</v>
      </c>
      <c r="D3429" s="3">
        <v>20</v>
      </c>
      <c r="E3429" s="3">
        <v>19</v>
      </c>
      <c r="F3429" s="3">
        <v>16.399999999999999</v>
      </c>
      <c r="G3429" s="3">
        <v>0</v>
      </c>
      <c r="H3429" s="3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 s="3">
        <v>20</v>
      </c>
      <c r="N3429" s="3">
        <v>97.78</v>
      </c>
      <c r="O3429" s="12">
        <v>25.494071146245059</v>
      </c>
    </row>
    <row r="3430" spans="1:15" hidden="1" x14ac:dyDescent="0.25">
      <c r="A3430" s="10">
        <v>46108</v>
      </c>
      <c r="B3430" t="s">
        <v>53</v>
      </c>
      <c r="C3430" s="1" t="s">
        <v>48</v>
      </c>
      <c r="D3430" s="3">
        <v>25</v>
      </c>
      <c r="E3430" s="3">
        <v>20</v>
      </c>
      <c r="F3430" s="3">
        <v>23.59</v>
      </c>
      <c r="G3430" s="3">
        <v>0</v>
      </c>
      <c r="H3430" s="3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 s="3">
        <v>18</v>
      </c>
      <c r="N3430" s="3">
        <v>98.02</v>
      </c>
      <c r="O3430" s="12">
        <v>23.484848484848481</v>
      </c>
    </row>
    <row r="3431" spans="1:15" hidden="1" x14ac:dyDescent="0.25">
      <c r="A3431" s="7">
        <v>46161</v>
      </c>
      <c r="B3431" s="8" t="s">
        <v>37</v>
      </c>
      <c r="C3431" s="1" t="s">
        <v>32</v>
      </c>
      <c r="D3431" s="3">
        <v>43</v>
      </c>
      <c r="E3431" s="3">
        <v>39</v>
      </c>
      <c r="F3431" s="3">
        <v>13.55</v>
      </c>
      <c r="G3431" s="3">
        <v>3</v>
      </c>
      <c r="H3431" s="3">
        <v>0</v>
      </c>
      <c r="I3431" s="3">
        <f>E3431+G3431+H3431</f>
        <v>42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29</v>
      </c>
      <c r="K3431" s="3">
        <f>I3431-J3431</f>
        <v>13</v>
      </c>
      <c r="L3431" s="3" t="str">
        <f>IF(K3431&lt;-5,"CRÍTICO",IF(K3431&lt;0,"ATENÇÃO",IF(K3431&lt;=5,"OPORTUNO","MUITO BOM")))</f>
        <v>MUITO BOM</v>
      </c>
      <c r="M3431" s="3">
        <v>40</v>
      </c>
      <c r="N3431" s="3">
        <v>99</v>
      </c>
      <c r="O3431" s="12">
        <v>22.27414330218069</v>
      </c>
    </row>
    <row r="3432" spans="1:15" hidden="1" x14ac:dyDescent="0.25">
      <c r="A3432" s="10">
        <v>46108</v>
      </c>
      <c r="B3432" t="s">
        <v>54</v>
      </c>
      <c r="C3432" s="1" t="s">
        <v>48</v>
      </c>
      <c r="D3432" s="3">
        <v>22</v>
      </c>
      <c r="E3432" s="3">
        <v>22</v>
      </c>
      <c r="F3432" s="3">
        <v>20.03</v>
      </c>
      <c r="G3432" s="3">
        <v>0</v>
      </c>
      <c r="H3432" s="3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 s="3">
        <v>14</v>
      </c>
      <c r="N3432" s="3">
        <v>100</v>
      </c>
      <c r="O3432" s="12">
        <v>27.04918032786885</v>
      </c>
    </row>
    <row r="3433" spans="1:15" hidden="1" x14ac:dyDescent="0.25">
      <c r="A3433" s="10">
        <v>46108</v>
      </c>
      <c r="B3433" t="s">
        <v>37</v>
      </c>
      <c r="C3433" s="1" t="s">
        <v>32</v>
      </c>
      <c r="D3433" s="3">
        <v>42</v>
      </c>
      <c r="E3433" s="3">
        <v>39</v>
      </c>
      <c r="F3433" s="3">
        <v>14.16</v>
      </c>
      <c r="G3433" s="3">
        <v>0</v>
      </c>
      <c r="H3433" s="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 s="3">
        <v>38</v>
      </c>
      <c r="N3433" s="3">
        <v>97.83</v>
      </c>
      <c r="O3433" s="12">
        <v>26.315789473684209</v>
      </c>
    </row>
    <row r="3434" spans="1:15" hidden="1" x14ac:dyDescent="0.25">
      <c r="A3434" s="10">
        <v>46108</v>
      </c>
      <c r="B3434" t="s">
        <v>38</v>
      </c>
      <c r="C3434" s="1" t="s">
        <v>32</v>
      </c>
      <c r="D3434" s="3">
        <v>6</v>
      </c>
      <c r="E3434" s="3">
        <v>6</v>
      </c>
      <c r="F3434" s="3">
        <v>13.41</v>
      </c>
      <c r="G3434" s="3">
        <v>0</v>
      </c>
      <c r="H3434" s="3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 s="3">
        <v>5</v>
      </c>
      <c r="N3434" s="3">
        <v>100</v>
      </c>
      <c r="O3434" s="12">
        <v>26.701570680628269</v>
      </c>
    </row>
    <row r="3435" spans="1:15" hidden="1" x14ac:dyDescent="0.25">
      <c r="A3435" s="10">
        <v>46108</v>
      </c>
      <c r="B3435" t="s">
        <v>55</v>
      </c>
      <c r="C3435" s="1" t="s">
        <v>48</v>
      </c>
      <c r="D3435" s="3">
        <v>0</v>
      </c>
      <c r="E3435" s="3">
        <v>0</v>
      </c>
      <c r="F3435" s="3">
        <v>0</v>
      </c>
      <c r="G3435" s="3">
        <v>0</v>
      </c>
      <c r="H3435" s="3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 s="3">
        <v>0</v>
      </c>
      <c r="N3435" s="3">
        <v>97.47</v>
      </c>
      <c r="O3435" s="12">
        <v>22.887323943661968</v>
      </c>
    </row>
    <row r="3436" spans="1:15" hidden="1" x14ac:dyDescent="0.25">
      <c r="A3436" s="10">
        <v>46108</v>
      </c>
      <c r="B3436" t="s">
        <v>39</v>
      </c>
      <c r="C3436" s="1" t="s">
        <v>32</v>
      </c>
      <c r="D3436" s="3">
        <v>0</v>
      </c>
      <c r="E3436" s="3">
        <v>0</v>
      </c>
      <c r="F3436" s="3">
        <v>0</v>
      </c>
      <c r="G3436" s="3">
        <v>0</v>
      </c>
      <c r="H3436" s="3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 s="3">
        <v>0</v>
      </c>
      <c r="N3436" s="3">
        <v>0</v>
      </c>
      <c r="O3436" s="12">
        <v>0</v>
      </c>
    </row>
    <row r="3437" spans="1:15" hidden="1" x14ac:dyDescent="0.25">
      <c r="A3437" s="10">
        <v>46108</v>
      </c>
      <c r="B3437" t="s">
        <v>25</v>
      </c>
      <c r="C3437" s="1" t="s">
        <v>26</v>
      </c>
      <c r="D3437" s="3">
        <v>24</v>
      </c>
      <c r="E3437" s="3">
        <v>24</v>
      </c>
      <c r="F3437" s="3">
        <v>24.03</v>
      </c>
      <c r="G3437" s="3">
        <v>0</v>
      </c>
      <c r="H3437" s="3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 s="3">
        <v>23</v>
      </c>
      <c r="N3437" s="3">
        <v>98.31</v>
      </c>
      <c r="O3437" s="12">
        <v>24.920127795527151</v>
      </c>
    </row>
    <row r="3438" spans="1:15" hidden="1" x14ac:dyDescent="0.25">
      <c r="A3438" s="10">
        <v>46108</v>
      </c>
      <c r="B3438" t="s">
        <v>40</v>
      </c>
      <c r="C3438" s="1" t="s">
        <v>32</v>
      </c>
      <c r="D3438" s="3">
        <v>27</v>
      </c>
      <c r="E3438" s="3">
        <v>25</v>
      </c>
      <c r="F3438" s="3">
        <v>16.43</v>
      </c>
      <c r="G3438" s="3">
        <v>0</v>
      </c>
      <c r="H3438" s="3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 s="3">
        <v>25</v>
      </c>
      <c r="N3438" s="3">
        <v>96.81</v>
      </c>
      <c r="O3438" s="12">
        <v>32.365145228215773</v>
      </c>
    </row>
    <row r="3439" spans="1:15" hidden="1" x14ac:dyDescent="0.25">
      <c r="A3439" s="10">
        <v>46108</v>
      </c>
      <c r="B3439" t="s">
        <v>27</v>
      </c>
      <c r="C3439" s="1" t="s">
        <v>26</v>
      </c>
      <c r="D3439" s="3">
        <v>14</v>
      </c>
      <c r="E3439" s="3">
        <v>11</v>
      </c>
      <c r="F3439" s="3">
        <v>34.020000000000003</v>
      </c>
      <c r="G3439" s="3">
        <v>0</v>
      </c>
      <c r="H3439" s="3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 s="3">
        <v>9</v>
      </c>
      <c r="N3439" s="3">
        <v>100</v>
      </c>
      <c r="O3439" s="12">
        <v>26.47058823529412</v>
      </c>
    </row>
    <row r="3440" spans="1:15" hidden="1" x14ac:dyDescent="0.25">
      <c r="A3440" s="10">
        <v>46108</v>
      </c>
      <c r="B3440" t="s">
        <v>41</v>
      </c>
      <c r="C3440" s="1" t="s">
        <v>32</v>
      </c>
      <c r="D3440" s="3">
        <v>30</v>
      </c>
      <c r="E3440" s="3">
        <v>28</v>
      </c>
      <c r="F3440" s="3">
        <v>20.5</v>
      </c>
      <c r="G3440" s="3">
        <v>0</v>
      </c>
      <c r="H3440" s="3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 s="3">
        <v>26</v>
      </c>
      <c r="N3440" s="3">
        <v>100</v>
      </c>
      <c r="O3440" s="12">
        <v>28.490028490028489</v>
      </c>
    </row>
    <row r="3441" spans="1:15" hidden="1" x14ac:dyDescent="0.25">
      <c r="A3441" s="10">
        <v>46108</v>
      </c>
      <c r="B3441" t="s">
        <v>56</v>
      </c>
      <c r="C3441" s="1" t="s">
        <v>48</v>
      </c>
      <c r="D3441" s="3">
        <v>34</v>
      </c>
      <c r="E3441" s="3">
        <v>30</v>
      </c>
      <c r="F3441" s="3">
        <v>20.05</v>
      </c>
      <c r="G3441" s="3">
        <v>0</v>
      </c>
      <c r="H3441" s="3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 s="3">
        <v>15</v>
      </c>
      <c r="N3441" s="3">
        <v>99.14</v>
      </c>
      <c r="O3441" s="12">
        <v>27.2289156626506</v>
      </c>
    </row>
    <row r="3442" spans="1:15" hidden="1" x14ac:dyDescent="0.25">
      <c r="A3442" s="10">
        <v>46108</v>
      </c>
      <c r="B3442" t="s">
        <v>57</v>
      </c>
      <c r="C3442" s="1" t="s">
        <v>48</v>
      </c>
      <c r="D3442" s="3">
        <v>21</v>
      </c>
      <c r="E3442" s="3">
        <v>19</v>
      </c>
      <c r="F3442" s="3">
        <v>21.46</v>
      </c>
      <c r="G3442" s="3">
        <v>0</v>
      </c>
      <c r="H3442" s="3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 s="3">
        <v>18</v>
      </c>
      <c r="N3442" s="3">
        <v>97.52</v>
      </c>
      <c r="O3442" s="12">
        <v>28.205128205128201</v>
      </c>
    </row>
    <row r="3443" spans="1:15" hidden="1" x14ac:dyDescent="0.25">
      <c r="A3443" s="10">
        <v>46108</v>
      </c>
      <c r="B3443" t="s">
        <v>42</v>
      </c>
      <c r="C3443" s="1" t="s">
        <v>32</v>
      </c>
      <c r="D3443" s="3">
        <v>0</v>
      </c>
      <c r="E3443" s="3">
        <v>0</v>
      </c>
      <c r="F3443" s="3">
        <v>0</v>
      </c>
      <c r="G3443" s="3">
        <v>0</v>
      </c>
      <c r="H3443" s="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 s="3">
        <v>0</v>
      </c>
      <c r="N3443" s="3">
        <v>90</v>
      </c>
      <c r="O3443" s="12">
        <v>24.186046511627911</v>
      </c>
    </row>
    <row r="3444" spans="1:15" hidden="1" x14ac:dyDescent="0.25">
      <c r="A3444" s="10">
        <v>46108</v>
      </c>
      <c r="B3444" t="s">
        <v>62</v>
      </c>
      <c r="C3444" s="1" t="s">
        <v>23</v>
      </c>
      <c r="D3444" s="3">
        <v>25</v>
      </c>
      <c r="E3444" s="3">
        <v>23</v>
      </c>
      <c r="F3444" s="3">
        <v>20.170000000000002</v>
      </c>
      <c r="G3444" s="3">
        <v>0</v>
      </c>
      <c r="H3444" s="3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 s="3">
        <v>20</v>
      </c>
      <c r="N3444" s="3">
        <v>98.9</v>
      </c>
      <c r="O3444" s="12">
        <v>26.763990267639901</v>
      </c>
    </row>
    <row r="3445" spans="1:15" hidden="1" x14ac:dyDescent="0.25">
      <c r="A3445" s="10">
        <v>46108</v>
      </c>
      <c r="B3445" t="s">
        <v>19</v>
      </c>
      <c r="C3445" s="1" t="s">
        <v>16</v>
      </c>
      <c r="D3445" s="3">
        <v>8</v>
      </c>
      <c r="E3445" s="3">
        <v>7</v>
      </c>
      <c r="F3445" s="3">
        <v>33.32</v>
      </c>
      <c r="G3445" s="3">
        <v>0</v>
      </c>
      <c r="H3445" s="3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 s="3">
        <v>5</v>
      </c>
      <c r="N3445" s="3">
        <v>88.89</v>
      </c>
      <c r="O3445" s="12">
        <v>25.263157894736839</v>
      </c>
    </row>
    <row r="3446" spans="1:15" hidden="1" x14ac:dyDescent="0.25">
      <c r="A3446" s="10">
        <v>46128</v>
      </c>
      <c r="B3446" t="s">
        <v>43</v>
      </c>
      <c r="C3446" s="1" t="s">
        <v>32</v>
      </c>
      <c r="D3446" s="3">
        <v>27</v>
      </c>
      <c r="E3446" s="3">
        <v>24</v>
      </c>
      <c r="F3446" s="3">
        <v>17.28</v>
      </c>
      <c r="G3446" s="3">
        <v>0</v>
      </c>
      <c r="H3446" s="3">
        <v>0</v>
      </c>
      <c r="I3446" s="3">
        <f>E3446+G3446+H3446</f>
        <v>24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29</v>
      </c>
      <c r="K3446" s="3">
        <f>I3446-J3446</f>
        <v>-5</v>
      </c>
      <c r="L3446" s="3" t="str">
        <f>IF(K3446&lt;-5,"CRÍTICO",IF(K3446&lt;0,"ATENÇÃO",IF(K3446&lt;=5,"OPORTUNO","MUITO BOM")))</f>
        <v>ATENÇÃO</v>
      </c>
      <c r="M3446" s="3">
        <v>29</v>
      </c>
      <c r="N3446" s="3">
        <v>100</v>
      </c>
      <c r="O3446" s="12">
        <v>23.9870340356564</v>
      </c>
    </row>
    <row r="3447" spans="1:15" hidden="1" x14ac:dyDescent="0.25">
      <c r="A3447" s="10">
        <v>46108</v>
      </c>
      <c r="B3447" t="s">
        <v>44</v>
      </c>
      <c r="C3447" s="1" t="s">
        <v>32</v>
      </c>
      <c r="D3447" s="3">
        <v>0</v>
      </c>
      <c r="E3447" s="3">
        <v>0</v>
      </c>
      <c r="F3447" s="3">
        <v>0</v>
      </c>
      <c r="G3447" s="3">
        <v>0</v>
      </c>
      <c r="H3447" s="3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 s="3">
        <v>0</v>
      </c>
      <c r="N3447" s="3">
        <v>98.06</v>
      </c>
      <c r="O3447" s="12">
        <v>22.40566037735849</v>
      </c>
    </row>
    <row r="3448" spans="1:15" hidden="1" x14ac:dyDescent="0.25">
      <c r="A3448" s="10">
        <v>46136</v>
      </c>
      <c r="B3448" t="s">
        <v>20</v>
      </c>
      <c r="C3448" s="1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>IF(K3448&lt;-5,"CRÍTICO",IF(K3448&lt;0,"ATENÇÃO",IF(K3448&lt;=5,"OPORTUNO","MUITO BOM")))</f>
        <v>ATENÇÃO</v>
      </c>
      <c r="M3448" s="3">
        <v>3</v>
      </c>
      <c r="N3448" s="3">
        <v>100</v>
      </c>
      <c r="O3448" s="12">
        <v>23.77622377622378</v>
      </c>
    </row>
    <row r="3449" spans="1:15" hidden="1" x14ac:dyDescent="0.25">
      <c r="A3449" s="10">
        <v>46108</v>
      </c>
      <c r="B3449" t="s">
        <v>28</v>
      </c>
      <c r="C3449" s="1" t="s">
        <v>26</v>
      </c>
      <c r="D3449" s="3">
        <v>0</v>
      </c>
      <c r="E3449" s="3">
        <v>0</v>
      </c>
      <c r="F3449" s="3">
        <v>0</v>
      </c>
      <c r="G3449" s="3">
        <v>0</v>
      </c>
      <c r="H3449" s="3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 s="3">
        <v>1</v>
      </c>
      <c r="N3449" s="3">
        <v>100</v>
      </c>
      <c r="O3449" s="12">
        <v>15.38461538461539</v>
      </c>
    </row>
    <row r="3450" spans="1:15" hidden="1" x14ac:dyDescent="0.25">
      <c r="A3450" s="10">
        <v>46108</v>
      </c>
      <c r="B3450" t="s">
        <v>58</v>
      </c>
      <c r="C3450" s="1" t="s">
        <v>48</v>
      </c>
      <c r="D3450" s="3">
        <v>0</v>
      </c>
      <c r="E3450" s="3">
        <v>0</v>
      </c>
      <c r="F3450" s="3">
        <v>0</v>
      </c>
      <c r="G3450" s="3">
        <v>0</v>
      </c>
      <c r="H3450" s="3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 s="3">
        <v>0</v>
      </c>
      <c r="N3450" s="3">
        <v>100</v>
      </c>
      <c r="O3450" s="12">
        <v>27.514792899408281</v>
      </c>
    </row>
    <row r="3451" spans="1:15" hidden="1" x14ac:dyDescent="0.25">
      <c r="A3451" s="10">
        <v>46108</v>
      </c>
      <c r="B3451" t="s">
        <v>29</v>
      </c>
      <c r="C3451" s="1" t="s">
        <v>26</v>
      </c>
      <c r="D3451" s="3">
        <v>16</v>
      </c>
      <c r="E3451" s="3">
        <v>15</v>
      </c>
      <c r="F3451" s="3">
        <v>22.04</v>
      </c>
      <c r="G3451" s="3">
        <v>0</v>
      </c>
      <c r="H3451" s="3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 s="3">
        <v>12</v>
      </c>
      <c r="N3451" s="3">
        <v>100</v>
      </c>
      <c r="O3451" s="12">
        <v>24.875621890547269</v>
      </c>
    </row>
    <row r="3452" spans="1:15" hidden="1" x14ac:dyDescent="0.25">
      <c r="A3452" s="10">
        <v>46108</v>
      </c>
      <c r="B3452" t="s">
        <v>30</v>
      </c>
      <c r="C3452" s="1" t="s">
        <v>26</v>
      </c>
      <c r="D3452" s="3">
        <v>21</v>
      </c>
      <c r="E3452" s="3">
        <v>21</v>
      </c>
      <c r="F3452" s="3">
        <v>27.23</v>
      </c>
      <c r="G3452" s="3">
        <v>0</v>
      </c>
      <c r="H3452" s="3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 s="3">
        <v>18</v>
      </c>
      <c r="N3452" s="3">
        <v>100</v>
      </c>
      <c r="O3452" s="12">
        <v>28.108108108108109</v>
      </c>
    </row>
    <row r="3453" spans="1:15" hidden="1" x14ac:dyDescent="0.25">
      <c r="A3453" s="10">
        <v>46136</v>
      </c>
      <c r="B3453" t="s">
        <v>21</v>
      </c>
      <c r="C3453" s="1" t="s">
        <v>16</v>
      </c>
      <c r="D3453" s="3">
        <v>9</v>
      </c>
      <c r="E3453" s="3">
        <v>9</v>
      </c>
      <c r="F3453" s="3">
        <v>20.05</v>
      </c>
      <c r="G3453" s="3">
        <v>0</v>
      </c>
      <c r="H3453" s="3">
        <v>0</v>
      </c>
      <c r="I3453" s="3">
        <f>E3453+G3453+H3453</f>
        <v>9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6</v>
      </c>
      <c r="K3453" s="3">
        <f>I3453-J3453</f>
        <v>3</v>
      </c>
      <c r="L3453" s="3" t="str">
        <f>IF(K3453&lt;-5,"CRÍTICO",IF(K3453&lt;0,"ATENÇÃO",IF(K3453&lt;=5,"OPORTUNO","MUITO BOM")))</f>
        <v>OPORTUNO</v>
      </c>
      <c r="M3453" s="3">
        <v>4</v>
      </c>
      <c r="N3453" s="3">
        <v>94.12</v>
      </c>
      <c r="O3453" s="12">
        <v>32.799999999999997</v>
      </c>
    </row>
    <row r="3454" spans="1:15" hidden="1" x14ac:dyDescent="0.25">
      <c r="A3454" s="10">
        <v>46108</v>
      </c>
      <c r="B3454" t="s">
        <v>63</v>
      </c>
      <c r="C3454" s="1" t="s">
        <v>23</v>
      </c>
      <c r="D3454" s="3">
        <v>22</v>
      </c>
      <c r="E3454" s="3">
        <v>21</v>
      </c>
      <c r="F3454" s="3">
        <v>18.28</v>
      </c>
      <c r="G3454" s="3">
        <v>0</v>
      </c>
      <c r="H3454" s="3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 s="3">
        <v>18</v>
      </c>
      <c r="N3454" s="3">
        <v>95.35</v>
      </c>
      <c r="O3454" s="12">
        <v>28.61538461538461</v>
      </c>
    </row>
    <row r="3455" spans="1:15" hidden="1" x14ac:dyDescent="0.25">
      <c r="A3455" s="10">
        <v>46108</v>
      </c>
      <c r="B3455" t="s">
        <v>45</v>
      </c>
      <c r="C3455" s="1" t="s">
        <v>32</v>
      </c>
      <c r="D3455" s="3">
        <v>31</v>
      </c>
      <c r="E3455" s="3">
        <v>31</v>
      </c>
      <c r="F3455" s="3">
        <v>17.07</v>
      </c>
      <c r="G3455" s="3">
        <v>0</v>
      </c>
      <c r="H3455" s="3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 s="3">
        <v>30</v>
      </c>
      <c r="N3455" s="3">
        <v>98.26</v>
      </c>
      <c r="O3455" s="12">
        <v>27.54491017964072</v>
      </c>
    </row>
    <row r="3456" spans="1:15" hidden="1" x14ac:dyDescent="0.25">
      <c r="A3456" s="10">
        <v>46108</v>
      </c>
      <c r="B3456" t="s">
        <v>64</v>
      </c>
      <c r="C3456" s="1" t="s">
        <v>23</v>
      </c>
      <c r="D3456" s="3">
        <v>18</v>
      </c>
      <c r="E3456" s="3">
        <v>17</v>
      </c>
      <c r="F3456" s="3">
        <v>29</v>
      </c>
      <c r="G3456" s="3">
        <v>0</v>
      </c>
      <c r="H3456" s="3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 s="3">
        <v>14</v>
      </c>
      <c r="N3456" s="3">
        <v>98.55</v>
      </c>
      <c r="O3456" s="12">
        <v>25.337837837837839</v>
      </c>
    </row>
    <row r="3457" spans="1:15" hidden="1" x14ac:dyDescent="0.25">
      <c r="A3457" s="10">
        <v>46108</v>
      </c>
      <c r="B3457" t="s">
        <v>46</v>
      </c>
      <c r="C3457" s="1" t="s">
        <v>32</v>
      </c>
      <c r="D3457" s="3">
        <v>31</v>
      </c>
      <c r="E3457" s="3">
        <v>30</v>
      </c>
      <c r="F3457" s="3">
        <v>17.09</v>
      </c>
      <c r="G3457" s="3">
        <v>0</v>
      </c>
      <c r="H3457" s="3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 s="3">
        <v>22</v>
      </c>
      <c r="N3457" s="3">
        <v>98.39</v>
      </c>
      <c r="O3457" s="12">
        <v>25.563909774436091</v>
      </c>
    </row>
    <row r="3458" spans="1:15" hidden="1" x14ac:dyDescent="0.25">
      <c r="A3458" s="10">
        <v>46111</v>
      </c>
      <c r="B3458" t="s">
        <v>47</v>
      </c>
      <c r="C3458" s="1" t="s">
        <v>48</v>
      </c>
      <c r="D3458" s="3">
        <v>31</v>
      </c>
      <c r="E3458" s="3">
        <v>25</v>
      </c>
      <c r="F3458" s="3">
        <v>10.42</v>
      </c>
      <c r="G3458" s="3">
        <v>0</v>
      </c>
      <c r="H3458" s="3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 s="3">
        <v>20</v>
      </c>
      <c r="N3458" s="3">
        <v>94.29</v>
      </c>
      <c r="O3458" s="12">
        <v>25.647668393782389</v>
      </c>
    </row>
    <row r="3459" spans="1:15" hidden="1" x14ac:dyDescent="0.25">
      <c r="A3459" s="10">
        <v>46111</v>
      </c>
      <c r="B3459" t="s">
        <v>31</v>
      </c>
      <c r="C3459" s="1" t="s">
        <v>32</v>
      </c>
      <c r="D3459" s="3">
        <v>0</v>
      </c>
      <c r="E3459" s="3">
        <v>0</v>
      </c>
      <c r="F3459" s="3">
        <v>0</v>
      </c>
      <c r="G3459" s="3">
        <v>0</v>
      </c>
      <c r="H3459" s="3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 s="3">
        <v>25</v>
      </c>
      <c r="N3459" s="3">
        <v>98.26</v>
      </c>
      <c r="O3459" s="12">
        <v>26.666666666666671</v>
      </c>
    </row>
    <row r="3460" spans="1:15" hidden="1" x14ac:dyDescent="0.25">
      <c r="A3460" s="10">
        <v>46111</v>
      </c>
      <c r="B3460" t="s">
        <v>59</v>
      </c>
      <c r="C3460" s="1" t="s">
        <v>23</v>
      </c>
      <c r="D3460" s="3">
        <v>18</v>
      </c>
      <c r="E3460" s="3">
        <v>18</v>
      </c>
      <c r="F3460" s="3">
        <v>25.13</v>
      </c>
      <c r="G3460" s="3">
        <v>0</v>
      </c>
      <c r="H3460" s="3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 s="3">
        <v>18</v>
      </c>
      <c r="N3460" s="3">
        <v>98.2</v>
      </c>
      <c r="O3460" s="12">
        <v>23.37962962962963</v>
      </c>
    </row>
    <row r="3461" spans="1:15" hidden="1" x14ac:dyDescent="0.25">
      <c r="A3461" s="10">
        <v>46111</v>
      </c>
      <c r="B3461" t="s">
        <v>33</v>
      </c>
      <c r="C3461" s="1" t="s">
        <v>32</v>
      </c>
      <c r="D3461" s="3">
        <v>38</v>
      </c>
      <c r="E3461" s="3">
        <v>35</v>
      </c>
      <c r="F3461" s="3">
        <v>15.11</v>
      </c>
      <c r="G3461" s="3">
        <v>0</v>
      </c>
      <c r="H3461" s="3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 s="3">
        <v>31</v>
      </c>
      <c r="N3461" s="3">
        <v>97.3</v>
      </c>
      <c r="O3461" s="12">
        <v>23.84769539078156</v>
      </c>
    </row>
    <row r="3462" spans="1:15" hidden="1" x14ac:dyDescent="0.25">
      <c r="A3462" s="10">
        <v>46111</v>
      </c>
      <c r="B3462" t="s">
        <v>15</v>
      </c>
      <c r="C3462" s="1" t="s">
        <v>16</v>
      </c>
      <c r="D3462" s="3">
        <v>16</v>
      </c>
      <c r="E3462" s="3">
        <v>15</v>
      </c>
      <c r="F3462" s="3">
        <v>20.52</v>
      </c>
      <c r="G3462" s="3">
        <v>0</v>
      </c>
      <c r="H3462" s="3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 s="3">
        <v>13</v>
      </c>
      <c r="N3462" s="3">
        <v>100</v>
      </c>
      <c r="O3462" s="12">
        <v>25.268817204301079</v>
      </c>
    </row>
    <row r="3463" spans="1:15" hidden="1" x14ac:dyDescent="0.25">
      <c r="A3463" s="10">
        <v>46111</v>
      </c>
      <c r="B3463" t="s">
        <v>49</v>
      </c>
      <c r="C3463" s="1" t="s">
        <v>48</v>
      </c>
      <c r="D3463" s="3">
        <v>35</v>
      </c>
      <c r="E3463" s="3">
        <v>33</v>
      </c>
      <c r="F3463" s="3">
        <v>15.14</v>
      </c>
      <c r="G3463" s="3">
        <v>0</v>
      </c>
      <c r="H3463" s="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 s="3">
        <v>32</v>
      </c>
      <c r="N3463" s="3">
        <v>99.32</v>
      </c>
      <c r="O3463" s="12">
        <v>22.822822822822818</v>
      </c>
    </row>
    <row r="3464" spans="1:15" hidden="1" x14ac:dyDescent="0.25">
      <c r="A3464" s="10">
        <v>46111</v>
      </c>
      <c r="B3464" t="s">
        <v>50</v>
      </c>
      <c r="C3464" s="1" t="s">
        <v>48</v>
      </c>
      <c r="D3464" s="3">
        <v>26</v>
      </c>
      <c r="E3464" s="3">
        <v>24</v>
      </c>
      <c r="F3464" s="3">
        <v>21.53</v>
      </c>
      <c r="G3464" s="3">
        <v>0</v>
      </c>
      <c r="H3464" s="3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 s="3">
        <v>22</v>
      </c>
      <c r="N3464" s="3">
        <v>100</v>
      </c>
      <c r="O3464" s="12">
        <v>27.966101694915249</v>
      </c>
    </row>
    <row r="3465" spans="1:15" hidden="1" x14ac:dyDescent="0.25">
      <c r="A3465" s="10">
        <v>46111</v>
      </c>
      <c r="B3465" t="s">
        <v>17</v>
      </c>
      <c r="C3465" s="1" t="s">
        <v>16</v>
      </c>
      <c r="D3465" s="3">
        <v>2</v>
      </c>
      <c r="E3465" s="3">
        <v>2</v>
      </c>
      <c r="F3465" s="3">
        <v>35.36</v>
      </c>
      <c r="G3465" s="3">
        <v>0</v>
      </c>
      <c r="H3465" s="3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 s="3">
        <v>2</v>
      </c>
      <c r="N3465" s="3">
        <v>100</v>
      </c>
      <c r="O3465" s="12">
        <v>30.434782608695659</v>
      </c>
    </row>
    <row r="3466" spans="1:15" hidden="1" x14ac:dyDescent="0.25">
      <c r="A3466" s="10">
        <v>46111</v>
      </c>
      <c r="B3466" t="s">
        <v>60</v>
      </c>
      <c r="C3466" s="1" t="s">
        <v>23</v>
      </c>
      <c r="D3466" s="3">
        <v>28</v>
      </c>
      <c r="E3466" s="3">
        <v>25</v>
      </c>
      <c r="F3466" s="3">
        <v>18.489999999999998</v>
      </c>
      <c r="G3466" s="3">
        <v>0</v>
      </c>
      <c r="H3466" s="3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 s="3">
        <v>21</v>
      </c>
      <c r="N3466" s="3">
        <v>96.51</v>
      </c>
      <c r="O3466" s="12">
        <v>22.802850356294542</v>
      </c>
    </row>
    <row r="3467" spans="1:15" hidden="1" x14ac:dyDescent="0.25">
      <c r="A3467" s="10">
        <v>46111</v>
      </c>
      <c r="B3467" t="s">
        <v>34</v>
      </c>
      <c r="C3467" s="1" t="s">
        <v>32</v>
      </c>
      <c r="D3467" s="3">
        <v>0</v>
      </c>
      <c r="E3467" s="3">
        <v>0</v>
      </c>
      <c r="F3467" s="3">
        <v>0</v>
      </c>
      <c r="G3467" s="3">
        <v>0</v>
      </c>
      <c r="H3467" s="3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 s="3">
        <v>0</v>
      </c>
      <c r="N3467" s="3">
        <v>92.68</v>
      </c>
      <c r="O3467" s="12">
        <v>27.777777777777779</v>
      </c>
    </row>
    <row r="3468" spans="1:15" hidden="1" x14ac:dyDescent="0.25">
      <c r="A3468" s="10">
        <v>46111</v>
      </c>
      <c r="B3468" t="s">
        <v>51</v>
      </c>
      <c r="C3468" s="1" t="s">
        <v>48</v>
      </c>
      <c r="D3468" s="3">
        <v>38</v>
      </c>
      <c r="E3468" s="3">
        <v>33</v>
      </c>
      <c r="F3468" s="3">
        <v>14</v>
      </c>
      <c r="G3468" s="3">
        <v>0</v>
      </c>
      <c r="H3468" s="3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 s="3">
        <v>27</v>
      </c>
      <c r="N3468" s="3">
        <v>99.03</v>
      </c>
      <c r="O3468" s="12">
        <v>23.991507430997881</v>
      </c>
    </row>
    <row r="3469" spans="1:15" hidden="1" x14ac:dyDescent="0.25">
      <c r="A3469" s="10">
        <v>46111</v>
      </c>
      <c r="B3469" t="s">
        <v>61</v>
      </c>
      <c r="C3469" s="1" t="s">
        <v>23</v>
      </c>
      <c r="D3469" s="3">
        <v>19</v>
      </c>
      <c r="E3469" s="3">
        <v>19</v>
      </c>
      <c r="F3469" s="3">
        <v>25.08</v>
      </c>
      <c r="G3469" s="3">
        <v>0</v>
      </c>
      <c r="H3469" s="3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 s="3">
        <v>10</v>
      </c>
      <c r="N3469" s="3">
        <v>98.41</v>
      </c>
      <c r="O3469" s="12">
        <v>28.138528138528141</v>
      </c>
    </row>
    <row r="3470" spans="1:15" hidden="1" x14ac:dyDescent="0.25">
      <c r="A3470" s="10">
        <v>46111</v>
      </c>
      <c r="B3470" t="s">
        <v>35</v>
      </c>
      <c r="C3470" s="1" t="s">
        <v>32</v>
      </c>
      <c r="D3470" s="3">
        <v>30</v>
      </c>
      <c r="E3470" s="3">
        <v>30</v>
      </c>
      <c r="F3470" s="3">
        <v>20.23</v>
      </c>
      <c r="G3470" s="3">
        <v>0</v>
      </c>
      <c r="H3470" s="3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 s="3">
        <v>31</v>
      </c>
      <c r="N3470" s="3">
        <v>98.73</v>
      </c>
      <c r="O3470" s="12">
        <v>29.142857142857139</v>
      </c>
    </row>
    <row r="3471" spans="1:15" hidden="1" x14ac:dyDescent="0.25">
      <c r="A3471" s="10">
        <v>46111</v>
      </c>
      <c r="B3471" t="s">
        <v>18</v>
      </c>
      <c r="C3471" s="1" t="s">
        <v>16</v>
      </c>
      <c r="D3471" s="3">
        <v>11</v>
      </c>
      <c r="E3471" s="3">
        <v>10</v>
      </c>
      <c r="F3471" s="3">
        <v>26.5</v>
      </c>
      <c r="G3471" s="3">
        <v>0</v>
      </c>
      <c r="H3471" s="3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 s="3">
        <v>7</v>
      </c>
      <c r="N3471" s="3">
        <v>90.48</v>
      </c>
      <c r="O3471" s="12">
        <v>20.68965517241379</v>
      </c>
    </row>
    <row r="3472" spans="1:15" hidden="1" x14ac:dyDescent="0.25">
      <c r="A3472" s="10">
        <v>46111</v>
      </c>
      <c r="B3472" t="s">
        <v>52</v>
      </c>
      <c r="C3472" s="1" t="s">
        <v>48</v>
      </c>
      <c r="D3472" s="3">
        <v>32</v>
      </c>
      <c r="E3472" s="3">
        <v>31</v>
      </c>
      <c r="F3472" s="3">
        <v>16.43</v>
      </c>
      <c r="G3472" s="3">
        <v>0</v>
      </c>
      <c r="H3472" s="3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 s="3">
        <v>27</v>
      </c>
      <c r="N3472" s="3">
        <v>98.06</v>
      </c>
      <c r="O3472" s="12">
        <v>24.789915966386559</v>
      </c>
    </row>
    <row r="3473" spans="1:15" hidden="1" x14ac:dyDescent="0.25">
      <c r="A3473" s="10">
        <v>46111</v>
      </c>
      <c r="B3473" t="s">
        <v>36</v>
      </c>
      <c r="C3473" s="1" t="s">
        <v>32</v>
      </c>
      <c r="D3473" s="3">
        <v>0</v>
      </c>
      <c r="E3473" s="3">
        <v>0</v>
      </c>
      <c r="F3473" s="3">
        <v>0</v>
      </c>
      <c r="G3473" s="3">
        <v>0</v>
      </c>
      <c r="H3473" s="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 s="3">
        <v>0</v>
      </c>
      <c r="N3473" s="3">
        <v>97.78</v>
      </c>
      <c r="O3473" s="12">
        <v>25.494071146245059</v>
      </c>
    </row>
    <row r="3474" spans="1:15" hidden="1" x14ac:dyDescent="0.25">
      <c r="A3474" s="10">
        <v>46111</v>
      </c>
      <c r="B3474" t="s">
        <v>53</v>
      </c>
      <c r="C3474" s="1" t="s">
        <v>48</v>
      </c>
      <c r="D3474" s="3">
        <v>0</v>
      </c>
      <c r="E3474" s="3">
        <v>0</v>
      </c>
      <c r="F3474" s="3">
        <v>0</v>
      </c>
      <c r="G3474" s="3">
        <v>0</v>
      </c>
      <c r="H3474" s="3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 s="3">
        <v>0</v>
      </c>
      <c r="N3474" s="3">
        <v>98.02</v>
      </c>
      <c r="O3474" s="12">
        <v>23.484848484848481</v>
      </c>
    </row>
    <row r="3475" spans="1:15" hidden="1" x14ac:dyDescent="0.25">
      <c r="A3475" s="7">
        <v>46161</v>
      </c>
      <c r="B3475" s="8" t="s">
        <v>38</v>
      </c>
      <c r="C3475" s="1" t="s">
        <v>32</v>
      </c>
      <c r="D3475" s="3">
        <v>11</v>
      </c>
      <c r="E3475" s="3">
        <v>10</v>
      </c>
      <c r="F3475" s="3">
        <v>14.08</v>
      </c>
      <c r="G3475" s="3">
        <v>4</v>
      </c>
      <c r="H3475" s="3">
        <v>0</v>
      </c>
      <c r="I3475" s="3">
        <f>E3475+G3475+H3475</f>
        <v>14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29</v>
      </c>
      <c r="K3475" s="3">
        <f>I3475-J3475</f>
        <v>-15</v>
      </c>
      <c r="L3475" s="3" t="str">
        <f>IF(K3475&lt;-5,"CRÍTICO",IF(K3475&lt;0,"ATENÇÃO",IF(K3475&lt;=5,"OPORTUNO","MUITO BOM")))</f>
        <v>CRÍTICO</v>
      </c>
      <c r="M3475" s="3">
        <v>12</v>
      </c>
      <c r="N3475" s="3">
        <v>97.04</v>
      </c>
      <c r="O3475" s="12">
        <v>29.828850855745721</v>
      </c>
    </row>
    <row r="3476" spans="1:15" hidden="1" x14ac:dyDescent="0.25">
      <c r="A3476" s="10">
        <v>46111</v>
      </c>
      <c r="B3476" t="s">
        <v>54</v>
      </c>
      <c r="C3476" s="1" t="s">
        <v>48</v>
      </c>
      <c r="D3476" s="3">
        <v>31</v>
      </c>
      <c r="E3476" s="3">
        <v>28</v>
      </c>
      <c r="F3476" s="3">
        <v>19.170000000000002</v>
      </c>
      <c r="G3476" s="3">
        <v>0</v>
      </c>
      <c r="H3476" s="3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 s="3">
        <v>26</v>
      </c>
      <c r="N3476" s="3">
        <v>100</v>
      </c>
      <c r="O3476" s="12">
        <v>27.04918032786885</v>
      </c>
    </row>
    <row r="3477" spans="1:15" hidden="1" x14ac:dyDescent="0.25">
      <c r="A3477" s="10">
        <v>46111</v>
      </c>
      <c r="B3477" t="s">
        <v>37</v>
      </c>
      <c r="C3477" s="1" t="s">
        <v>32</v>
      </c>
      <c r="D3477" s="3">
        <v>44</v>
      </c>
      <c r="E3477" s="3">
        <v>40</v>
      </c>
      <c r="F3477" s="3">
        <v>17.170000000000002</v>
      </c>
      <c r="G3477" s="3">
        <v>0</v>
      </c>
      <c r="H3477" s="3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 s="3">
        <v>37</v>
      </c>
      <c r="N3477" s="3">
        <v>97.83</v>
      </c>
      <c r="O3477" s="12">
        <v>26.315789473684209</v>
      </c>
    </row>
    <row r="3478" spans="1:15" hidden="1" x14ac:dyDescent="0.25">
      <c r="A3478" s="10">
        <v>46111</v>
      </c>
      <c r="B3478" t="s">
        <v>38</v>
      </c>
      <c r="C3478" s="1" t="s">
        <v>32</v>
      </c>
      <c r="D3478" s="3">
        <v>8</v>
      </c>
      <c r="E3478" s="3">
        <v>8</v>
      </c>
      <c r="F3478" s="3">
        <v>23.44</v>
      </c>
      <c r="G3478" s="3">
        <v>0</v>
      </c>
      <c r="H3478" s="3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 s="3">
        <v>8</v>
      </c>
      <c r="N3478" s="3">
        <v>100</v>
      </c>
      <c r="O3478" s="12">
        <v>26.701570680628269</v>
      </c>
    </row>
    <row r="3479" spans="1:15" hidden="1" x14ac:dyDescent="0.25">
      <c r="A3479" s="10">
        <v>46111</v>
      </c>
      <c r="B3479" t="s">
        <v>55</v>
      </c>
      <c r="C3479" s="1" t="s">
        <v>48</v>
      </c>
      <c r="D3479" s="3">
        <v>0</v>
      </c>
      <c r="E3479" s="3">
        <v>0</v>
      </c>
      <c r="F3479" s="3">
        <v>0</v>
      </c>
      <c r="G3479" s="3">
        <v>0</v>
      </c>
      <c r="H3479" s="3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 s="3">
        <v>0</v>
      </c>
      <c r="N3479" s="3">
        <v>97.47</v>
      </c>
      <c r="O3479" s="12">
        <v>22.887323943661968</v>
      </c>
    </row>
    <row r="3480" spans="1:15" hidden="1" x14ac:dyDescent="0.25">
      <c r="A3480" s="10">
        <v>46111</v>
      </c>
      <c r="B3480" t="s">
        <v>39</v>
      </c>
      <c r="C3480" s="1" t="s">
        <v>32</v>
      </c>
      <c r="D3480" s="3">
        <v>0</v>
      </c>
      <c r="E3480" s="3">
        <v>0</v>
      </c>
      <c r="F3480" s="3">
        <v>0</v>
      </c>
      <c r="G3480" s="3">
        <v>0</v>
      </c>
      <c r="H3480" s="3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 s="3">
        <v>0</v>
      </c>
      <c r="N3480" s="3">
        <v>0</v>
      </c>
      <c r="O3480" s="12">
        <v>0</v>
      </c>
    </row>
    <row r="3481" spans="1:15" hidden="1" x14ac:dyDescent="0.25">
      <c r="A3481" s="10">
        <v>46111</v>
      </c>
      <c r="B3481" t="s">
        <v>25</v>
      </c>
      <c r="C3481" s="1" t="s">
        <v>26</v>
      </c>
      <c r="D3481" s="3">
        <v>19</v>
      </c>
      <c r="E3481" s="3">
        <v>19</v>
      </c>
      <c r="F3481" s="3">
        <v>29.13</v>
      </c>
      <c r="G3481" s="3">
        <v>0</v>
      </c>
      <c r="H3481" s="3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 s="3">
        <v>17</v>
      </c>
      <c r="N3481" s="3">
        <v>98.31</v>
      </c>
      <c r="O3481" s="12">
        <v>24.920127795527151</v>
      </c>
    </row>
    <row r="3482" spans="1:15" hidden="1" x14ac:dyDescent="0.25">
      <c r="A3482" s="10">
        <v>46111</v>
      </c>
      <c r="B3482" t="s">
        <v>40</v>
      </c>
      <c r="C3482" s="1" t="s">
        <v>32</v>
      </c>
      <c r="D3482" s="3">
        <v>4</v>
      </c>
      <c r="E3482" s="3">
        <v>4</v>
      </c>
      <c r="F3482" s="3">
        <v>35.58</v>
      </c>
      <c r="G3482" s="3">
        <v>0</v>
      </c>
      <c r="H3482" s="3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 s="3">
        <v>17</v>
      </c>
      <c r="N3482" s="3">
        <v>96.81</v>
      </c>
      <c r="O3482" s="12">
        <v>32.365145228215773</v>
      </c>
    </row>
    <row r="3483" spans="1:15" hidden="1" x14ac:dyDescent="0.25">
      <c r="A3483" s="10">
        <v>46111</v>
      </c>
      <c r="B3483" t="s">
        <v>27</v>
      </c>
      <c r="C3483" s="1" t="s">
        <v>26</v>
      </c>
      <c r="D3483" s="3">
        <v>18</v>
      </c>
      <c r="E3483" s="3">
        <v>14</v>
      </c>
      <c r="F3483" s="3">
        <v>32.35</v>
      </c>
      <c r="G3483" s="3">
        <v>0</v>
      </c>
      <c r="H3483" s="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 s="3">
        <v>14</v>
      </c>
      <c r="N3483" s="3">
        <v>100</v>
      </c>
      <c r="O3483" s="12">
        <v>26.47058823529412</v>
      </c>
    </row>
    <row r="3484" spans="1:15" hidden="1" x14ac:dyDescent="0.25">
      <c r="A3484" s="10">
        <v>46111</v>
      </c>
      <c r="B3484" t="s">
        <v>41</v>
      </c>
      <c r="C3484" s="1" t="s">
        <v>32</v>
      </c>
      <c r="D3484" s="3">
        <v>28</v>
      </c>
      <c r="E3484" s="3">
        <v>28</v>
      </c>
      <c r="F3484" s="3">
        <v>21.53</v>
      </c>
      <c r="G3484" s="3">
        <v>0</v>
      </c>
      <c r="H3484" s="3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 s="3">
        <v>26</v>
      </c>
      <c r="N3484" s="3">
        <v>100</v>
      </c>
      <c r="O3484" s="12">
        <v>28.490028490028489</v>
      </c>
    </row>
    <row r="3485" spans="1:15" hidden="1" x14ac:dyDescent="0.25">
      <c r="A3485" s="10">
        <v>46111</v>
      </c>
      <c r="B3485" t="s">
        <v>56</v>
      </c>
      <c r="C3485" s="1" t="s">
        <v>48</v>
      </c>
      <c r="D3485" s="3">
        <v>21</v>
      </c>
      <c r="E3485" s="3">
        <v>20</v>
      </c>
      <c r="F3485" s="3">
        <v>22.04</v>
      </c>
      <c r="G3485" s="3">
        <v>0</v>
      </c>
      <c r="H3485" s="3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 s="3">
        <v>25</v>
      </c>
      <c r="N3485" s="3">
        <v>99.14</v>
      </c>
      <c r="O3485" s="12">
        <v>27.2289156626506</v>
      </c>
    </row>
    <row r="3486" spans="1:15" hidden="1" x14ac:dyDescent="0.25">
      <c r="A3486" s="10">
        <v>46111</v>
      </c>
      <c r="B3486" t="s">
        <v>57</v>
      </c>
      <c r="C3486" s="1" t="s">
        <v>48</v>
      </c>
      <c r="D3486" s="3">
        <v>2</v>
      </c>
      <c r="E3486" s="3">
        <v>2</v>
      </c>
      <c r="F3486" s="3">
        <v>27.03</v>
      </c>
      <c r="G3486" s="3">
        <v>0</v>
      </c>
      <c r="H3486" s="3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 s="3">
        <v>1</v>
      </c>
      <c r="N3486" s="3">
        <v>97.52</v>
      </c>
      <c r="O3486" s="12">
        <v>28.205128205128201</v>
      </c>
    </row>
    <row r="3487" spans="1:15" hidden="1" x14ac:dyDescent="0.25">
      <c r="A3487" s="10">
        <v>46111</v>
      </c>
      <c r="B3487" t="s">
        <v>42</v>
      </c>
      <c r="C3487" s="1" t="s">
        <v>32</v>
      </c>
      <c r="D3487" s="3">
        <v>0</v>
      </c>
      <c r="E3487" s="3">
        <v>0</v>
      </c>
      <c r="F3487" s="3">
        <v>0</v>
      </c>
      <c r="G3487" s="3">
        <v>0</v>
      </c>
      <c r="H3487" s="3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 s="3">
        <v>0</v>
      </c>
      <c r="N3487" s="3">
        <v>90</v>
      </c>
      <c r="O3487" s="12">
        <v>24.186046511627911</v>
      </c>
    </row>
    <row r="3488" spans="1:15" hidden="1" x14ac:dyDescent="0.25">
      <c r="A3488" s="10">
        <v>46111</v>
      </c>
      <c r="B3488" t="s">
        <v>62</v>
      </c>
      <c r="C3488" s="1" t="s">
        <v>23</v>
      </c>
      <c r="D3488" s="3">
        <v>28</v>
      </c>
      <c r="E3488" s="3">
        <v>27</v>
      </c>
      <c r="F3488" s="3">
        <v>20.05</v>
      </c>
      <c r="G3488" s="3">
        <v>0</v>
      </c>
      <c r="H3488" s="3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 s="3">
        <v>23</v>
      </c>
      <c r="N3488" s="3">
        <v>98.9</v>
      </c>
      <c r="O3488" s="12">
        <v>26.763990267639901</v>
      </c>
    </row>
    <row r="3489" spans="1:15" hidden="1" x14ac:dyDescent="0.25">
      <c r="A3489" s="10">
        <v>46111</v>
      </c>
      <c r="B3489" t="s">
        <v>19</v>
      </c>
      <c r="C3489" s="1" t="s">
        <v>16</v>
      </c>
      <c r="D3489" s="3">
        <v>10</v>
      </c>
      <c r="E3489" s="3">
        <v>10</v>
      </c>
      <c r="F3489" s="3">
        <v>33.49</v>
      </c>
      <c r="G3489" s="3">
        <v>0</v>
      </c>
      <c r="H3489" s="3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 s="3">
        <v>8</v>
      </c>
      <c r="N3489" s="3">
        <v>88.89</v>
      </c>
      <c r="O3489" s="12">
        <v>25.263157894736839</v>
      </c>
    </row>
    <row r="3490" spans="1:15" hidden="1" x14ac:dyDescent="0.25">
      <c r="A3490" s="10">
        <v>46129</v>
      </c>
      <c r="B3490" t="s">
        <v>43</v>
      </c>
      <c r="C3490" s="1" t="s">
        <v>32</v>
      </c>
      <c r="D3490" s="3">
        <v>29</v>
      </c>
      <c r="E3490" s="3">
        <v>29</v>
      </c>
      <c r="F3490" s="3">
        <v>12.35</v>
      </c>
      <c r="G3490" s="3">
        <v>0</v>
      </c>
      <c r="H3490" s="3">
        <v>0</v>
      </c>
      <c r="I3490" s="3">
        <f>E3490+G3490+H3490</f>
        <v>29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2</v>
      </c>
      <c r="L3490" s="3" t="str">
        <f>IF(K3490&lt;-5,"CRÍTICO",IF(K3490&lt;0,"ATENÇÃO",IF(K3490&lt;=5,"OPORTUNO","MUITO BOM")))</f>
        <v>OPORTUNO</v>
      </c>
      <c r="M3490" s="3">
        <v>30</v>
      </c>
      <c r="N3490" s="3">
        <v>100</v>
      </c>
      <c r="O3490" s="12">
        <v>23.9870340356564</v>
      </c>
    </row>
    <row r="3491" spans="1:15" hidden="1" x14ac:dyDescent="0.25">
      <c r="A3491" s="10">
        <v>46111</v>
      </c>
      <c r="B3491" t="s">
        <v>44</v>
      </c>
      <c r="C3491" s="1" t="s">
        <v>32</v>
      </c>
      <c r="D3491" s="3">
        <v>32</v>
      </c>
      <c r="E3491" s="3">
        <v>29</v>
      </c>
      <c r="F3491" s="3">
        <v>13.31</v>
      </c>
      <c r="G3491" s="3">
        <v>0</v>
      </c>
      <c r="H3491" s="3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 s="3">
        <v>23</v>
      </c>
      <c r="N3491" s="3">
        <v>98.06</v>
      </c>
      <c r="O3491" s="12">
        <v>22.40566037735849</v>
      </c>
    </row>
    <row r="3492" spans="1:15" hidden="1" x14ac:dyDescent="0.25">
      <c r="A3492" s="10">
        <v>46139</v>
      </c>
      <c r="B3492" t="s">
        <v>20</v>
      </c>
      <c r="C3492" s="1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>E3492+G3492+H3492</f>
        <v>6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4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 s="3">
        <v>5</v>
      </c>
      <c r="N3492" s="3">
        <v>100</v>
      </c>
      <c r="O3492" s="12">
        <v>23.77622377622378</v>
      </c>
    </row>
    <row r="3493" spans="1:15" hidden="1" x14ac:dyDescent="0.25">
      <c r="A3493" s="10">
        <v>46111</v>
      </c>
      <c r="B3493" t="s">
        <v>28</v>
      </c>
      <c r="C3493" s="1" t="s">
        <v>26</v>
      </c>
      <c r="D3493" s="3">
        <v>24</v>
      </c>
      <c r="E3493" s="3">
        <v>23</v>
      </c>
      <c r="F3493" s="3">
        <v>27.17</v>
      </c>
      <c r="G3493" s="3">
        <v>0</v>
      </c>
      <c r="H3493" s="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 s="3">
        <v>11</v>
      </c>
      <c r="N3493" s="3">
        <v>100</v>
      </c>
      <c r="O3493" s="12">
        <v>15.38461538461539</v>
      </c>
    </row>
    <row r="3494" spans="1:15" hidden="1" x14ac:dyDescent="0.25">
      <c r="A3494" s="10">
        <v>46111</v>
      </c>
      <c r="B3494" t="s">
        <v>58</v>
      </c>
      <c r="C3494" s="1" t="s">
        <v>48</v>
      </c>
      <c r="D3494" s="3">
        <v>38</v>
      </c>
      <c r="E3494" s="3">
        <v>33</v>
      </c>
      <c r="F3494" s="3">
        <v>12.27</v>
      </c>
      <c r="G3494" s="3">
        <v>0</v>
      </c>
      <c r="H3494" s="3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 s="3">
        <v>32</v>
      </c>
      <c r="N3494" s="3">
        <v>100</v>
      </c>
      <c r="O3494" s="12">
        <v>27.514792899408281</v>
      </c>
    </row>
    <row r="3495" spans="1:15" hidden="1" x14ac:dyDescent="0.25">
      <c r="A3495" s="10">
        <v>46111</v>
      </c>
      <c r="B3495" t="s">
        <v>29</v>
      </c>
      <c r="C3495" s="1" t="s">
        <v>26</v>
      </c>
      <c r="D3495" s="3">
        <v>14</v>
      </c>
      <c r="E3495" s="3">
        <v>14</v>
      </c>
      <c r="F3495" s="3">
        <v>30.56</v>
      </c>
      <c r="G3495" s="3">
        <v>0</v>
      </c>
      <c r="H3495" s="3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 s="3">
        <v>12</v>
      </c>
      <c r="N3495" s="3">
        <v>100</v>
      </c>
      <c r="O3495" s="12">
        <v>24.875621890547269</v>
      </c>
    </row>
    <row r="3496" spans="1:15" hidden="1" x14ac:dyDescent="0.25">
      <c r="A3496" s="10">
        <v>46111</v>
      </c>
      <c r="B3496" t="s">
        <v>30</v>
      </c>
      <c r="C3496" s="1" t="s">
        <v>26</v>
      </c>
      <c r="D3496" s="3">
        <v>25</v>
      </c>
      <c r="E3496" s="3">
        <v>22</v>
      </c>
      <c r="F3496" s="3">
        <v>23.45</v>
      </c>
      <c r="G3496" s="3">
        <v>0</v>
      </c>
      <c r="H3496" s="3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 s="3">
        <v>17</v>
      </c>
      <c r="N3496" s="3">
        <v>100</v>
      </c>
      <c r="O3496" s="12">
        <v>28.108108108108109</v>
      </c>
    </row>
    <row r="3497" spans="1:15" hidden="1" x14ac:dyDescent="0.25">
      <c r="A3497" s="10">
        <v>46139</v>
      </c>
      <c r="B3497" t="s">
        <v>21</v>
      </c>
      <c r="C3497" s="1" t="s">
        <v>16</v>
      </c>
      <c r="D3497" s="3">
        <v>5</v>
      </c>
      <c r="E3497" s="3">
        <v>4</v>
      </c>
      <c r="F3497" s="3">
        <v>21.5</v>
      </c>
      <c r="G3497" s="3">
        <v>0</v>
      </c>
      <c r="H3497" s="3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4</v>
      </c>
      <c r="K3497" s="3">
        <f>I3497-J3497</f>
        <v>0</v>
      </c>
      <c r="L3497" s="3" t="str">
        <f>IF(K3497&lt;-5,"CRÍTICO",IF(K3497&lt;0,"ATENÇÃO",IF(K3497&lt;=5,"OPORTUNO","MUITO BOM")))</f>
        <v>OPORTUNO</v>
      </c>
      <c r="M3497" s="3">
        <v>4</v>
      </c>
      <c r="N3497" s="3">
        <v>94.12</v>
      </c>
      <c r="O3497" s="12">
        <v>32.799999999999997</v>
      </c>
    </row>
    <row r="3498" spans="1:15" hidden="1" x14ac:dyDescent="0.25">
      <c r="A3498" s="10">
        <v>46111</v>
      </c>
      <c r="B3498" t="s">
        <v>63</v>
      </c>
      <c r="C3498" s="1" t="s">
        <v>23</v>
      </c>
      <c r="D3498" s="3">
        <v>24</v>
      </c>
      <c r="E3498" s="3">
        <v>23</v>
      </c>
      <c r="F3498" s="3">
        <v>26.57</v>
      </c>
      <c r="G3498" s="3">
        <v>0</v>
      </c>
      <c r="H3498" s="3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 s="3">
        <v>14</v>
      </c>
      <c r="N3498" s="3">
        <v>95.35</v>
      </c>
      <c r="O3498" s="12">
        <v>28.61538461538461</v>
      </c>
    </row>
    <row r="3499" spans="1:15" hidden="1" x14ac:dyDescent="0.25">
      <c r="A3499" s="10">
        <v>46111</v>
      </c>
      <c r="B3499" t="s">
        <v>45</v>
      </c>
      <c r="C3499" s="1" t="s">
        <v>32</v>
      </c>
      <c r="D3499" s="3">
        <v>41</v>
      </c>
      <c r="E3499" s="3">
        <v>38</v>
      </c>
      <c r="F3499" s="3">
        <v>12.28</v>
      </c>
      <c r="G3499" s="3">
        <v>0</v>
      </c>
      <c r="H3499" s="3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 s="3">
        <v>32</v>
      </c>
      <c r="N3499" s="3">
        <v>98.26</v>
      </c>
      <c r="O3499" s="12">
        <v>27.54491017964072</v>
      </c>
    </row>
    <row r="3500" spans="1:15" hidden="1" x14ac:dyDescent="0.25">
      <c r="A3500" s="10">
        <v>46111</v>
      </c>
      <c r="B3500" t="s">
        <v>64</v>
      </c>
      <c r="C3500" s="1" t="s">
        <v>23</v>
      </c>
      <c r="D3500" s="3">
        <v>23</v>
      </c>
      <c r="E3500" s="3">
        <v>21</v>
      </c>
      <c r="F3500" s="3">
        <v>22.23</v>
      </c>
      <c r="G3500" s="3">
        <v>0</v>
      </c>
      <c r="H3500" s="3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 s="3">
        <v>19</v>
      </c>
      <c r="N3500" s="3">
        <v>98.55</v>
      </c>
      <c r="O3500" s="12">
        <v>25.337837837837839</v>
      </c>
    </row>
    <row r="3501" spans="1:15" hidden="1" x14ac:dyDescent="0.25">
      <c r="A3501" s="10">
        <v>46111</v>
      </c>
      <c r="B3501" t="s">
        <v>46</v>
      </c>
      <c r="C3501" s="1" t="s">
        <v>32</v>
      </c>
      <c r="D3501" s="3">
        <v>36</v>
      </c>
      <c r="E3501" s="3">
        <v>36</v>
      </c>
      <c r="F3501" s="3">
        <v>13.37</v>
      </c>
      <c r="G3501" s="3">
        <v>0</v>
      </c>
      <c r="H3501" s="3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 s="3">
        <v>30</v>
      </c>
      <c r="N3501" s="3">
        <v>98.39</v>
      </c>
      <c r="O3501" s="12">
        <v>25.563909774436091</v>
      </c>
    </row>
    <row r="3502" spans="1:15" hidden="1" x14ac:dyDescent="0.25">
      <c r="A3502" s="10">
        <v>46112</v>
      </c>
      <c r="B3502" t="s">
        <v>47</v>
      </c>
      <c r="C3502" s="1" t="s">
        <v>48</v>
      </c>
      <c r="D3502" s="3">
        <v>28</v>
      </c>
      <c r="E3502" s="3">
        <v>20</v>
      </c>
      <c r="F3502" s="3">
        <v>13.26</v>
      </c>
      <c r="G3502" s="3">
        <v>0</v>
      </c>
      <c r="H3502" s="3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 s="3">
        <v>10</v>
      </c>
      <c r="N3502" s="3">
        <v>94.29</v>
      </c>
      <c r="O3502" s="12">
        <v>25.647668393782389</v>
      </c>
    </row>
    <row r="3503" spans="1:15" hidden="1" x14ac:dyDescent="0.25">
      <c r="A3503" s="10">
        <v>46112</v>
      </c>
      <c r="B3503" t="s">
        <v>31</v>
      </c>
      <c r="C3503" s="1" t="s">
        <v>32</v>
      </c>
      <c r="D3503" s="3">
        <v>0</v>
      </c>
      <c r="E3503" s="3">
        <v>0</v>
      </c>
      <c r="F3503" s="3">
        <v>0</v>
      </c>
      <c r="G3503" s="3">
        <v>0</v>
      </c>
      <c r="H3503" s="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 s="3">
        <v>23</v>
      </c>
      <c r="N3503" s="3">
        <v>98.26</v>
      </c>
      <c r="O3503" s="12">
        <v>26.666666666666671</v>
      </c>
    </row>
    <row r="3504" spans="1:15" hidden="1" x14ac:dyDescent="0.25">
      <c r="A3504" s="10">
        <v>46112</v>
      </c>
      <c r="B3504" t="s">
        <v>59</v>
      </c>
      <c r="C3504" s="1" t="s">
        <v>23</v>
      </c>
      <c r="D3504" s="3">
        <v>26</v>
      </c>
      <c r="E3504" s="3">
        <v>22</v>
      </c>
      <c r="F3504" s="3">
        <v>15.31</v>
      </c>
      <c r="G3504" s="3">
        <v>0</v>
      </c>
      <c r="H3504" s="3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 s="3">
        <v>20</v>
      </c>
      <c r="N3504" s="3">
        <v>98.2</v>
      </c>
      <c r="O3504" s="12">
        <v>23.37962962962963</v>
      </c>
    </row>
    <row r="3505" spans="1:15" hidden="1" x14ac:dyDescent="0.25">
      <c r="A3505" s="10">
        <v>46112</v>
      </c>
      <c r="B3505" t="s">
        <v>33</v>
      </c>
      <c r="C3505" s="1" t="s">
        <v>32</v>
      </c>
      <c r="D3505" s="3">
        <v>30</v>
      </c>
      <c r="E3505" s="3">
        <v>27</v>
      </c>
      <c r="F3505" s="3">
        <v>15.15</v>
      </c>
      <c r="G3505" s="3">
        <v>0</v>
      </c>
      <c r="H3505" s="3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 s="3">
        <v>23</v>
      </c>
      <c r="N3505" s="3">
        <v>97.3</v>
      </c>
      <c r="O3505" s="12">
        <v>23.84769539078156</v>
      </c>
    </row>
    <row r="3506" spans="1:15" hidden="1" x14ac:dyDescent="0.25">
      <c r="A3506" s="10">
        <v>46112</v>
      </c>
      <c r="B3506" t="s">
        <v>15</v>
      </c>
      <c r="C3506" s="1" t="s">
        <v>16</v>
      </c>
      <c r="D3506" s="3">
        <v>21</v>
      </c>
      <c r="E3506" s="3">
        <v>21</v>
      </c>
      <c r="F3506" s="3">
        <v>15.48</v>
      </c>
      <c r="G3506" s="3">
        <v>0</v>
      </c>
      <c r="H3506" s="3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 s="3">
        <v>16</v>
      </c>
      <c r="N3506" s="3">
        <v>100</v>
      </c>
      <c r="O3506" s="12">
        <v>25.268817204301079</v>
      </c>
    </row>
    <row r="3507" spans="1:15" hidden="1" x14ac:dyDescent="0.25">
      <c r="A3507" s="10">
        <v>46112</v>
      </c>
      <c r="B3507" t="s">
        <v>49</v>
      </c>
      <c r="C3507" s="1" t="s">
        <v>48</v>
      </c>
      <c r="D3507" s="3">
        <v>31</v>
      </c>
      <c r="E3507" s="3">
        <v>27</v>
      </c>
      <c r="F3507" s="3">
        <v>19.02</v>
      </c>
      <c r="G3507" s="3">
        <v>0</v>
      </c>
      <c r="H3507" s="3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 s="3">
        <v>30</v>
      </c>
      <c r="N3507" s="3">
        <v>99.32</v>
      </c>
      <c r="O3507" s="12">
        <v>22.822822822822818</v>
      </c>
    </row>
    <row r="3508" spans="1:15" hidden="1" x14ac:dyDescent="0.25">
      <c r="A3508" s="10">
        <v>46112</v>
      </c>
      <c r="B3508" t="s">
        <v>50</v>
      </c>
      <c r="C3508" s="1" t="s">
        <v>48</v>
      </c>
      <c r="D3508" s="3">
        <v>28</v>
      </c>
      <c r="E3508" s="3">
        <v>27</v>
      </c>
      <c r="F3508" s="3">
        <v>21.4</v>
      </c>
      <c r="G3508" s="3">
        <v>0</v>
      </c>
      <c r="H3508" s="3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 s="3">
        <v>26</v>
      </c>
      <c r="N3508" s="3">
        <v>100</v>
      </c>
      <c r="O3508" s="12">
        <v>27.966101694915249</v>
      </c>
    </row>
    <row r="3509" spans="1:15" hidden="1" x14ac:dyDescent="0.25">
      <c r="A3509" s="10">
        <v>46112</v>
      </c>
      <c r="B3509" t="s">
        <v>17</v>
      </c>
      <c r="C3509" s="1" t="s">
        <v>16</v>
      </c>
      <c r="D3509" s="3">
        <v>10</v>
      </c>
      <c r="E3509" s="3">
        <v>10</v>
      </c>
      <c r="F3509" s="3">
        <v>25.03</v>
      </c>
      <c r="G3509" s="3">
        <v>0</v>
      </c>
      <c r="H3509" s="3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 s="3">
        <v>6</v>
      </c>
      <c r="N3509" s="3">
        <v>100</v>
      </c>
      <c r="O3509" s="12">
        <v>30.434782608695659</v>
      </c>
    </row>
    <row r="3510" spans="1:15" hidden="1" x14ac:dyDescent="0.25">
      <c r="A3510" s="10">
        <v>46112</v>
      </c>
      <c r="B3510" t="s">
        <v>60</v>
      </c>
      <c r="C3510" s="1" t="s">
        <v>23</v>
      </c>
      <c r="D3510" s="3">
        <v>12</v>
      </c>
      <c r="E3510" s="3">
        <v>12</v>
      </c>
      <c r="F3510" s="3">
        <v>18.3</v>
      </c>
      <c r="G3510" s="3">
        <v>0</v>
      </c>
      <c r="H3510" s="3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 s="3">
        <v>10</v>
      </c>
      <c r="N3510" s="3">
        <v>96.51</v>
      </c>
      <c r="O3510" s="12">
        <v>22.802850356294542</v>
      </c>
    </row>
    <row r="3511" spans="1:15" hidden="1" x14ac:dyDescent="0.25">
      <c r="A3511" s="10">
        <v>46112</v>
      </c>
      <c r="B3511" t="s">
        <v>34</v>
      </c>
      <c r="C3511" s="1" t="s">
        <v>32</v>
      </c>
      <c r="D3511" s="3">
        <v>33</v>
      </c>
      <c r="E3511" s="3">
        <v>30</v>
      </c>
      <c r="F3511" s="3">
        <v>12.05</v>
      </c>
      <c r="G3511" s="3">
        <v>0</v>
      </c>
      <c r="H3511" s="3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 s="3">
        <v>26</v>
      </c>
      <c r="N3511" s="3">
        <v>92.68</v>
      </c>
      <c r="O3511" s="12">
        <v>27.777777777777779</v>
      </c>
    </row>
    <row r="3512" spans="1:15" hidden="1" x14ac:dyDescent="0.25">
      <c r="A3512" s="10">
        <v>46112</v>
      </c>
      <c r="B3512" t="s">
        <v>51</v>
      </c>
      <c r="C3512" s="1" t="s">
        <v>48</v>
      </c>
      <c r="D3512" s="3">
        <v>14</v>
      </c>
      <c r="E3512" s="3">
        <v>12</v>
      </c>
      <c r="F3512" s="3">
        <v>16.420000000000002</v>
      </c>
      <c r="G3512" s="3">
        <v>0</v>
      </c>
      <c r="H3512" s="3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 s="3">
        <v>11</v>
      </c>
      <c r="N3512" s="3">
        <v>99.03</v>
      </c>
      <c r="O3512" s="12">
        <v>23.991507430997881</v>
      </c>
    </row>
    <row r="3513" spans="1:15" hidden="1" x14ac:dyDescent="0.25">
      <c r="A3513" s="10">
        <v>46112</v>
      </c>
      <c r="B3513" t="s">
        <v>61</v>
      </c>
      <c r="C3513" s="1" t="s">
        <v>23</v>
      </c>
      <c r="D3513" s="3">
        <v>19</v>
      </c>
      <c r="E3513" s="3">
        <v>18</v>
      </c>
      <c r="F3513" s="3">
        <v>23.52</v>
      </c>
      <c r="G3513" s="3">
        <v>0</v>
      </c>
      <c r="H3513" s="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 s="3">
        <v>8</v>
      </c>
      <c r="N3513" s="3">
        <v>98.41</v>
      </c>
      <c r="O3513" s="12">
        <v>28.138528138528141</v>
      </c>
    </row>
    <row r="3514" spans="1:15" hidden="1" x14ac:dyDescent="0.25">
      <c r="A3514" s="10">
        <v>46112</v>
      </c>
      <c r="B3514" t="s">
        <v>35</v>
      </c>
      <c r="C3514" s="1" t="s">
        <v>32</v>
      </c>
      <c r="D3514" s="3">
        <v>37</v>
      </c>
      <c r="E3514" s="3">
        <v>35</v>
      </c>
      <c r="F3514" s="3">
        <v>17.059999999999999</v>
      </c>
      <c r="G3514" s="3">
        <v>0</v>
      </c>
      <c r="H3514" s="3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 s="3">
        <v>35</v>
      </c>
      <c r="N3514" s="3">
        <v>98.73</v>
      </c>
      <c r="O3514" s="12">
        <v>29.142857142857139</v>
      </c>
    </row>
    <row r="3515" spans="1:15" hidden="1" x14ac:dyDescent="0.25">
      <c r="A3515" s="10">
        <v>46112</v>
      </c>
      <c r="B3515" t="s">
        <v>18</v>
      </c>
      <c r="C3515" s="1" t="s">
        <v>16</v>
      </c>
      <c r="D3515" s="3">
        <v>8</v>
      </c>
      <c r="E3515" s="3">
        <v>5</v>
      </c>
      <c r="F3515" s="3">
        <v>35.32</v>
      </c>
      <c r="G3515" s="3">
        <v>0</v>
      </c>
      <c r="H3515" s="3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 s="3">
        <v>3</v>
      </c>
      <c r="N3515" s="3">
        <v>90.48</v>
      </c>
      <c r="O3515" s="12">
        <v>20.68965517241379</v>
      </c>
    </row>
    <row r="3516" spans="1:15" hidden="1" x14ac:dyDescent="0.25">
      <c r="A3516" s="10">
        <v>46112</v>
      </c>
      <c r="B3516" t="s">
        <v>52</v>
      </c>
      <c r="C3516" s="1" t="s">
        <v>48</v>
      </c>
      <c r="D3516" s="3">
        <v>22</v>
      </c>
      <c r="E3516" s="3">
        <v>21</v>
      </c>
      <c r="F3516" s="3">
        <v>17.350000000000001</v>
      </c>
      <c r="G3516" s="3">
        <v>0</v>
      </c>
      <c r="H3516" s="3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 s="3">
        <v>18</v>
      </c>
      <c r="N3516" s="3">
        <v>98.06</v>
      </c>
      <c r="O3516" s="12">
        <v>24.789915966386559</v>
      </c>
    </row>
    <row r="3517" spans="1:15" hidden="1" x14ac:dyDescent="0.25">
      <c r="A3517" s="10">
        <v>46112</v>
      </c>
      <c r="B3517" t="s">
        <v>36</v>
      </c>
      <c r="C3517" s="1" t="s">
        <v>32</v>
      </c>
      <c r="D3517" s="3">
        <v>0</v>
      </c>
      <c r="E3517" s="3">
        <v>0</v>
      </c>
      <c r="F3517" s="3">
        <v>0</v>
      </c>
      <c r="G3517" s="3">
        <v>0</v>
      </c>
      <c r="H3517" s="3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 s="3">
        <v>0</v>
      </c>
      <c r="N3517" s="3">
        <v>97.78</v>
      </c>
      <c r="O3517" s="12">
        <v>25.494071146245059</v>
      </c>
    </row>
    <row r="3518" spans="1:15" hidden="1" x14ac:dyDescent="0.25">
      <c r="A3518" s="10">
        <v>46112</v>
      </c>
      <c r="B3518" t="s">
        <v>53</v>
      </c>
      <c r="C3518" s="1" t="s">
        <v>48</v>
      </c>
      <c r="D3518" s="3">
        <v>29</v>
      </c>
      <c r="E3518" s="3">
        <v>26</v>
      </c>
      <c r="F3518" s="3">
        <v>17.36</v>
      </c>
      <c r="G3518" s="3">
        <v>0</v>
      </c>
      <c r="H3518" s="3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 s="3">
        <v>22</v>
      </c>
      <c r="N3518" s="3">
        <v>98.02</v>
      </c>
      <c r="O3518" s="12">
        <v>23.484848484848481</v>
      </c>
    </row>
    <row r="3519" spans="1:15" hidden="1" x14ac:dyDescent="0.25">
      <c r="A3519" s="7">
        <v>46161</v>
      </c>
      <c r="B3519" s="8" t="s">
        <v>39</v>
      </c>
      <c r="C3519" s="1" t="s">
        <v>32</v>
      </c>
      <c r="D3519" s="3">
        <v>0</v>
      </c>
      <c r="E3519" s="3">
        <v>0</v>
      </c>
      <c r="F3519" s="3">
        <v>0</v>
      </c>
      <c r="G3519" s="3">
        <v>0</v>
      </c>
      <c r="H3519" s="3">
        <v>0</v>
      </c>
      <c r="I3519" s="3">
        <f>E3519+G3519+H3519</f>
        <v>0</v>
      </c>
      <c r="J3519" s="3">
        <v>0</v>
      </c>
      <c r="K3519" s="3">
        <f>I3519-J3519</f>
        <v>0</v>
      </c>
      <c r="L3519" s="3" t="str">
        <f>IF(K3519&lt;-5,"CRÍTICO",IF(K3519&lt;0,"ATENÇÃO",IF(K3519&lt;=5,"OPORTUNO","MUITO BOM")))</f>
        <v>OPORTUNO</v>
      </c>
      <c r="M3519" s="3">
        <v>0</v>
      </c>
      <c r="N3519" s="3">
        <v>0</v>
      </c>
      <c r="O3519" s="12">
        <v>0</v>
      </c>
    </row>
    <row r="3520" spans="1:15" hidden="1" x14ac:dyDescent="0.25">
      <c r="A3520" s="10">
        <v>46112</v>
      </c>
      <c r="B3520" t="s">
        <v>54</v>
      </c>
      <c r="C3520" s="1" t="s">
        <v>48</v>
      </c>
      <c r="D3520" s="3">
        <v>30</v>
      </c>
      <c r="E3520" s="3">
        <v>29</v>
      </c>
      <c r="F3520" s="3">
        <v>19.11</v>
      </c>
      <c r="G3520" s="3">
        <v>0</v>
      </c>
      <c r="H3520" s="3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 s="3">
        <v>29</v>
      </c>
      <c r="N3520" s="3">
        <v>100</v>
      </c>
      <c r="O3520" s="12">
        <v>27.04918032786885</v>
      </c>
    </row>
    <row r="3521" spans="1:15" hidden="1" x14ac:dyDescent="0.25">
      <c r="A3521" s="10">
        <v>46112</v>
      </c>
      <c r="B3521" t="s">
        <v>37</v>
      </c>
      <c r="C3521" s="1" t="s">
        <v>32</v>
      </c>
      <c r="D3521" s="3">
        <v>51</v>
      </c>
      <c r="E3521" s="3">
        <v>42</v>
      </c>
      <c r="F3521" s="3">
        <v>13.24</v>
      </c>
      <c r="G3521" s="3">
        <v>0</v>
      </c>
      <c r="H3521" s="3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 s="3">
        <v>45</v>
      </c>
      <c r="N3521" s="3">
        <v>97.83</v>
      </c>
      <c r="O3521" s="12">
        <v>26.315789473684209</v>
      </c>
    </row>
    <row r="3522" spans="1:15" hidden="1" x14ac:dyDescent="0.25">
      <c r="A3522" s="10">
        <v>46112</v>
      </c>
      <c r="B3522" t="s">
        <v>38</v>
      </c>
      <c r="C3522" s="1" t="s">
        <v>32</v>
      </c>
      <c r="D3522" s="3">
        <v>0</v>
      </c>
      <c r="E3522" s="3">
        <v>0</v>
      </c>
      <c r="F3522" s="3">
        <v>0</v>
      </c>
      <c r="G3522" s="3">
        <v>0</v>
      </c>
      <c r="H3522" s="3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 s="3">
        <v>0</v>
      </c>
      <c r="N3522" s="3">
        <v>100</v>
      </c>
      <c r="O3522" s="12">
        <v>26.701570680628269</v>
      </c>
    </row>
    <row r="3523" spans="1:15" hidden="1" x14ac:dyDescent="0.25">
      <c r="A3523" s="10">
        <v>46112</v>
      </c>
      <c r="B3523" t="s">
        <v>55</v>
      </c>
      <c r="C3523" s="1" t="s">
        <v>48</v>
      </c>
      <c r="D3523" s="3">
        <v>18</v>
      </c>
      <c r="E3523" s="3">
        <v>14</v>
      </c>
      <c r="F3523" s="3">
        <v>14.11</v>
      </c>
      <c r="G3523" s="3">
        <v>0</v>
      </c>
      <c r="H3523" s="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 s="3">
        <v>13</v>
      </c>
      <c r="N3523" s="3">
        <v>97.47</v>
      </c>
      <c r="O3523" s="12">
        <v>22.887323943661968</v>
      </c>
    </row>
    <row r="3524" spans="1:15" hidden="1" x14ac:dyDescent="0.25">
      <c r="A3524" s="10">
        <v>46112</v>
      </c>
      <c r="B3524" t="s">
        <v>39</v>
      </c>
      <c r="C3524" s="1" t="s">
        <v>32</v>
      </c>
      <c r="D3524" s="3">
        <v>0</v>
      </c>
      <c r="E3524" s="3">
        <v>0</v>
      </c>
      <c r="F3524" s="3">
        <v>0</v>
      </c>
      <c r="G3524" s="3">
        <v>0</v>
      </c>
      <c r="H3524" s="3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 s="3">
        <v>0</v>
      </c>
      <c r="N3524" s="3">
        <v>0</v>
      </c>
      <c r="O3524" s="12">
        <v>0</v>
      </c>
    </row>
    <row r="3525" spans="1:15" hidden="1" x14ac:dyDescent="0.25">
      <c r="A3525" s="10">
        <v>46112</v>
      </c>
      <c r="B3525" t="s">
        <v>25</v>
      </c>
      <c r="C3525" s="1" t="s">
        <v>26</v>
      </c>
      <c r="D3525" s="3">
        <v>23</v>
      </c>
      <c r="E3525" s="3">
        <v>21</v>
      </c>
      <c r="F3525" s="3">
        <v>21.5</v>
      </c>
      <c r="G3525" s="3">
        <v>0</v>
      </c>
      <c r="H3525" s="3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 s="3">
        <v>19</v>
      </c>
      <c r="N3525" s="3">
        <v>98.31</v>
      </c>
      <c r="O3525" s="12">
        <v>24.920127795527151</v>
      </c>
    </row>
    <row r="3526" spans="1:15" hidden="1" x14ac:dyDescent="0.25">
      <c r="A3526" s="10">
        <v>46112</v>
      </c>
      <c r="B3526" t="s">
        <v>40</v>
      </c>
      <c r="C3526" s="1" t="s">
        <v>32</v>
      </c>
      <c r="D3526" s="3">
        <v>6</v>
      </c>
      <c r="E3526" s="3">
        <v>6</v>
      </c>
      <c r="F3526" s="3">
        <v>53.36</v>
      </c>
      <c r="G3526" s="3">
        <v>0</v>
      </c>
      <c r="H3526" s="3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 s="3">
        <v>7</v>
      </c>
      <c r="N3526" s="3">
        <v>96.81</v>
      </c>
      <c r="O3526" s="12">
        <v>32.365145228215773</v>
      </c>
    </row>
    <row r="3527" spans="1:15" hidden="1" x14ac:dyDescent="0.25">
      <c r="A3527" s="10">
        <v>46112</v>
      </c>
      <c r="B3527" t="s">
        <v>27</v>
      </c>
      <c r="C3527" s="1" t="s">
        <v>26</v>
      </c>
      <c r="D3527" s="3">
        <v>18</v>
      </c>
      <c r="E3527" s="3">
        <v>18</v>
      </c>
      <c r="F3527" s="3">
        <v>18.420000000000002</v>
      </c>
      <c r="G3527" s="3">
        <v>0</v>
      </c>
      <c r="H3527" s="3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 s="3">
        <v>16</v>
      </c>
      <c r="N3527" s="3">
        <v>100</v>
      </c>
      <c r="O3527" s="12">
        <v>26.47058823529412</v>
      </c>
    </row>
    <row r="3528" spans="1:15" hidden="1" x14ac:dyDescent="0.25">
      <c r="A3528" s="10">
        <v>46112</v>
      </c>
      <c r="B3528" t="s">
        <v>41</v>
      </c>
      <c r="C3528" s="1" t="s">
        <v>32</v>
      </c>
      <c r="D3528" s="3">
        <v>33</v>
      </c>
      <c r="E3528" s="3">
        <v>29</v>
      </c>
      <c r="F3528" s="3">
        <v>15.08</v>
      </c>
      <c r="G3528" s="3">
        <v>0</v>
      </c>
      <c r="H3528" s="3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 s="3">
        <v>28</v>
      </c>
      <c r="N3528" s="3">
        <v>100</v>
      </c>
      <c r="O3528" s="12">
        <v>28.490028490028489</v>
      </c>
    </row>
    <row r="3529" spans="1:15" hidden="1" x14ac:dyDescent="0.25">
      <c r="A3529" s="10">
        <v>46112</v>
      </c>
      <c r="B3529" t="s">
        <v>56</v>
      </c>
      <c r="C3529" s="1" t="s">
        <v>48</v>
      </c>
      <c r="D3529" s="3">
        <v>26</v>
      </c>
      <c r="E3529" s="3">
        <v>23</v>
      </c>
      <c r="F3529" s="3">
        <v>20.36</v>
      </c>
      <c r="G3529" s="3">
        <v>0</v>
      </c>
      <c r="H3529" s="3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 s="3">
        <v>9</v>
      </c>
      <c r="N3529" s="3">
        <v>99.14</v>
      </c>
      <c r="O3529" s="12">
        <v>27.2289156626506</v>
      </c>
    </row>
    <row r="3530" spans="1:15" hidden="1" x14ac:dyDescent="0.25">
      <c r="A3530" s="10">
        <v>46112</v>
      </c>
      <c r="B3530" t="s">
        <v>57</v>
      </c>
      <c r="C3530" s="1" t="s">
        <v>48</v>
      </c>
      <c r="D3530" s="3">
        <v>6</v>
      </c>
      <c r="E3530" s="3">
        <v>6</v>
      </c>
      <c r="F3530" s="3">
        <v>16.47</v>
      </c>
      <c r="G3530" s="3">
        <v>0</v>
      </c>
      <c r="H3530" s="3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 s="3">
        <v>3</v>
      </c>
      <c r="N3530" s="3">
        <v>97.52</v>
      </c>
      <c r="O3530" s="12">
        <v>28.205128205128201</v>
      </c>
    </row>
    <row r="3531" spans="1:15" hidden="1" x14ac:dyDescent="0.25">
      <c r="A3531" s="10">
        <v>46112</v>
      </c>
      <c r="B3531" t="s">
        <v>42</v>
      </c>
      <c r="C3531" s="1" t="s">
        <v>32</v>
      </c>
      <c r="D3531" s="3">
        <v>41</v>
      </c>
      <c r="E3531" s="3">
        <v>36</v>
      </c>
      <c r="F3531" s="3">
        <v>17.23</v>
      </c>
      <c r="G3531" s="3">
        <v>0</v>
      </c>
      <c r="H3531" s="3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 s="3">
        <v>26</v>
      </c>
      <c r="N3531" s="3">
        <v>90</v>
      </c>
      <c r="O3531" s="12">
        <v>24.186046511627911</v>
      </c>
    </row>
    <row r="3532" spans="1:15" hidden="1" x14ac:dyDescent="0.25">
      <c r="A3532" s="10">
        <v>46112</v>
      </c>
      <c r="B3532" t="s">
        <v>62</v>
      </c>
      <c r="C3532" s="1" t="s">
        <v>23</v>
      </c>
      <c r="D3532" s="3">
        <v>29</v>
      </c>
      <c r="E3532" s="3">
        <v>28</v>
      </c>
      <c r="F3532" s="3">
        <v>15.59</v>
      </c>
      <c r="G3532" s="3">
        <v>0</v>
      </c>
      <c r="H3532" s="3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 s="3">
        <v>28</v>
      </c>
      <c r="N3532" s="3">
        <v>98.9</v>
      </c>
      <c r="O3532" s="12">
        <v>26.763990267639901</v>
      </c>
    </row>
    <row r="3533" spans="1:15" hidden="1" x14ac:dyDescent="0.25">
      <c r="A3533" s="10">
        <v>46112</v>
      </c>
      <c r="B3533" t="s">
        <v>19</v>
      </c>
      <c r="C3533" s="1" t="s">
        <v>16</v>
      </c>
      <c r="D3533" s="3">
        <v>8</v>
      </c>
      <c r="E3533" s="3">
        <v>8</v>
      </c>
      <c r="F3533" s="3">
        <v>40.1</v>
      </c>
      <c r="G3533" s="3">
        <v>0</v>
      </c>
      <c r="H3533" s="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 s="3">
        <v>7</v>
      </c>
      <c r="N3533" s="3">
        <v>88.89</v>
      </c>
      <c r="O3533" s="12">
        <v>25.263157894736839</v>
      </c>
    </row>
    <row r="3534" spans="1:15" hidden="1" x14ac:dyDescent="0.25">
      <c r="A3534" s="10">
        <v>46132</v>
      </c>
      <c r="B3534" t="s">
        <v>43</v>
      </c>
      <c r="C3534" s="1" t="s">
        <v>32</v>
      </c>
      <c r="D3534" s="3">
        <v>23</v>
      </c>
      <c r="E3534" s="3">
        <v>21</v>
      </c>
      <c r="F3534" s="3">
        <v>14.14</v>
      </c>
      <c r="G3534" s="3">
        <v>0</v>
      </c>
      <c r="H3534" s="3">
        <v>0</v>
      </c>
      <c r="I3534" s="3">
        <f>E3534+G3534+H3534</f>
        <v>21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21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 s="3">
        <v>23</v>
      </c>
      <c r="N3534" s="3">
        <v>100</v>
      </c>
      <c r="O3534" s="12">
        <v>23.9870340356564</v>
      </c>
    </row>
    <row r="3535" spans="1:15" hidden="1" x14ac:dyDescent="0.25">
      <c r="A3535" s="10">
        <v>46112</v>
      </c>
      <c r="B3535" t="s">
        <v>44</v>
      </c>
      <c r="C3535" s="1" t="s">
        <v>32</v>
      </c>
      <c r="D3535" s="3">
        <v>40</v>
      </c>
      <c r="E3535" s="3">
        <v>37</v>
      </c>
      <c r="F3535" s="3">
        <v>11.53</v>
      </c>
      <c r="G3535" s="3">
        <v>0</v>
      </c>
      <c r="H3535" s="3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 s="3">
        <v>25</v>
      </c>
      <c r="N3535" s="3">
        <v>98.06</v>
      </c>
      <c r="O3535" s="12">
        <v>22.40566037735849</v>
      </c>
    </row>
    <row r="3536" spans="1:15" hidden="1" x14ac:dyDescent="0.25">
      <c r="A3536" s="10">
        <v>46140</v>
      </c>
      <c r="B3536" t="s">
        <v>20</v>
      </c>
      <c r="C3536" s="1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>E3536+G3536+H3536</f>
        <v>13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10</v>
      </c>
      <c r="K3536" s="3">
        <f>I3536-J3536</f>
        <v>3</v>
      </c>
      <c r="L3536" s="3" t="str">
        <f>IF(K3536&lt;-5,"CRÍTICO",IF(K3536&lt;0,"ATENÇÃO",IF(K3536&lt;=5,"OPORTUNO","MUITO BOM")))</f>
        <v>OPORTUNO</v>
      </c>
      <c r="M3536" s="3">
        <v>10</v>
      </c>
      <c r="N3536" s="3">
        <v>100</v>
      </c>
      <c r="O3536" s="12">
        <v>23.77622377622378</v>
      </c>
    </row>
    <row r="3537" spans="1:15" hidden="1" x14ac:dyDescent="0.25">
      <c r="A3537" s="10">
        <v>46112</v>
      </c>
      <c r="B3537" t="s">
        <v>28</v>
      </c>
      <c r="C3537" s="1" t="s">
        <v>26</v>
      </c>
      <c r="D3537" s="3">
        <v>22</v>
      </c>
      <c r="E3537" s="3">
        <v>17</v>
      </c>
      <c r="F3537" s="3">
        <v>20.21</v>
      </c>
      <c r="G3537" s="3">
        <v>0</v>
      </c>
      <c r="H3537" s="3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 s="3">
        <v>14</v>
      </c>
      <c r="N3537" s="3">
        <v>100</v>
      </c>
      <c r="O3537" s="12">
        <v>15.38461538461539</v>
      </c>
    </row>
    <row r="3538" spans="1:15" hidden="1" x14ac:dyDescent="0.25">
      <c r="A3538" s="10">
        <v>46112</v>
      </c>
      <c r="B3538" t="s">
        <v>58</v>
      </c>
      <c r="C3538" s="1" t="s">
        <v>48</v>
      </c>
      <c r="D3538" s="3">
        <v>32</v>
      </c>
      <c r="E3538" s="3">
        <v>30</v>
      </c>
      <c r="F3538" s="3">
        <v>18.39</v>
      </c>
      <c r="G3538" s="3">
        <v>0</v>
      </c>
      <c r="H3538" s="3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 s="3">
        <v>20</v>
      </c>
      <c r="N3538" s="3">
        <v>100</v>
      </c>
      <c r="O3538" s="12">
        <v>27.514792899408281</v>
      </c>
    </row>
    <row r="3539" spans="1:15" hidden="1" x14ac:dyDescent="0.25">
      <c r="A3539" s="10">
        <v>46112</v>
      </c>
      <c r="B3539" t="s">
        <v>29</v>
      </c>
      <c r="C3539" s="1" t="s">
        <v>26</v>
      </c>
      <c r="D3539" s="3">
        <v>21</v>
      </c>
      <c r="E3539" s="3">
        <v>19</v>
      </c>
      <c r="F3539" s="3">
        <v>18.510000000000002</v>
      </c>
      <c r="G3539" s="3">
        <v>0</v>
      </c>
      <c r="H3539" s="3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 s="3">
        <v>12</v>
      </c>
      <c r="N3539" s="3">
        <v>100</v>
      </c>
      <c r="O3539" s="12">
        <v>24.875621890547269</v>
      </c>
    </row>
    <row r="3540" spans="1:15" hidden="1" x14ac:dyDescent="0.25">
      <c r="A3540" s="10">
        <v>46112</v>
      </c>
      <c r="B3540" t="s">
        <v>30</v>
      </c>
      <c r="C3540" s="1" t="s">
        <v>26</v>
      </c>
      <c r="D3540" s="3">
        <v>27</v>
      </c>
      <c r="E3540" s="3">
        <v>25</v>
      </c>
      <c r="F3540" s="3">
        <v>22.34</v>
      </c>
      <c r="G3540" s="3">
        <v>0</v>
      </c>
      <c r="H3540" s="3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 s="3">
        <v>19</v>
      </c>
      <c r="N3540" s="3">
        <v>100</v>
      </c>
      <c r="O3540" s="12">
        <v>28.108108108108109</v>
      </c>
    </row>
    <row r="3541" spans="1:15" hidden="1" x14ac:dyDescent="0.25">
      <c r="A3541" s="10">
        <v>46140</v>
      </c>
      <c r="B3541" t="s">
        <v>21</v>
      </c>
      <c r="C3541" s="1" t="s">
        <v>16</v>
      </c>
      <c r="D3541" s="3">
        <v>13</v>
      </c>
      <c r="E3541" s="3">
        <v>13</v>
      </c>
      <c r="F3541" s="3">
        <v>33.200000000000003</v>
      </c>
      <c r="G3541" s="3">
        <v>0</v>
      </c>
      <c r="H3541" s="3">
        <v>0</v>
      </c>
      <c r="I3541" s="3">
        <f>E3541+G3541+H3541</f>
        <v>13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10</v>
      </c>
      <c r="K3541" s="3">
        <f>I3541-J3541</f>
        <v>3</v>
      </c>
      <c r="L3541" s="3" t="str">
        <f>IF(K3541&lt;-5,"CRÍTICO",IF(K3541&lt;0,"ATENÇÃO",IF(K3541&lt;=5,"OPORTUNO","MUITO BOM")))</f>
        <v>OPORTUNO</v>
      </c>
      <c r="M3541" s="3">
        <v>9</v>
      </c>
      <c r="N3541" s="3">
        <v>94.12</v>
      </c>
      <c r="O3541" s="12">
        <v>32.799999999999997</v>
      </c>
    </row>
    <row r="3542" spans="1:15" hidden="1" x14ac:dyDescent="0.25">
      <c r="A3542" s="10">
        <v>46112</v>
      </c>
      <c r="B3542" t="s">
        <v>63</v>
      </c>
      <c r="C3542" s="1" t="s">
        <v>23</v>
      </c>
      <c r="D3542" s="3">
        <v>29</v>
      </c>
      <c r="E3542" s="3">
        <v>28</v>
      </c>
      <c r="F3542" s="3">
        <v>18.54</v>
      </c>
      <c r="G3542" s="3">
        <v>0</v>
      </c>
      <c r="H3542" s="3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 s="3">
        <v>17</v>
      </c>
      <c r="N3542" s="3">
        <v>95.35</v>
      </c>
      <c r="O3542" s="12">
        <v>28.61538461538461</v>
      </c>
    </row>
    <row r="3543" spans="1:15" hidden="1" x14ac:dyDescent="0.25">
      <c r="A3543" s="10">
        <v>46112</v>
      </c>
      <c r="B3543" t="s">
        <v>45</v>
      </c>
      <c r="C3543" s="1" t="s">
        <v>32</v>
      </c>
      <c r="D3543" s="3">
        <v>47</v>
      </c>
      <c r="E3543" s="3">
        <v>42</v>
      </c>
      <c r="F3543" s="3">
        <v>12.22</v>
      </c>
      <c r="G3543" s="3">
        <v>0</v>
      </c>
      <c r="H3543" s="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 s="3">
        <v>35</v>
      </c>
      <c r="N3543" s="3">
        <v>98.26</v>
      </c>
      <c r="O3543" s="12">
        <v>27.54491017964072</v>
      </c>
    </row>
    <row r="3544" spans="1:15" hidden="1" x14ac:dyDescent="0.25">
      <c r="A3544" s="10">
        <v>46112</v>
      </c>
      <c r="B3544" t="s">
        <v>64</v>
      </c>
      <c r="C3544" s="1" t="s">
        <v>23</v>
      </c>
      <c r="D3544" s="3">
        <v>17</v>
      </c>
      <c r="E3544" s="3">
        <v>16</v>
      </c>
      <c r="F3544" s="3">
        <v>33.590000000000003</v>
      </c>
      <c r="G3544" s="3">
        <v>0</v>
      </c>
      <c r="H3544" s="3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 s="3">
        <v>14</v>
      </c>
      <c r="N3544" s="3">
        <v>98.55</v>
      </c>
      <c r="O3544" s="12">
        <v>25.337837837837839</v>
      </c>
    </row>
    <row r="3545" spans="1:15" hidden="1" x14ac:dyDescent="0.25">
      <c r="A3545" s="10">
        <v>46112</v>
      </c>
      <c r="B3545" t="s">
        <v>46</v>
      </c>
      <c r="C3545" s="1" t="s">
        <v>32</v>
      </c>
      <c r="D3545" s="3">
        <v>35</v>
      </c>
      <c r="E3545" s="3">
        <v>33</v>
      </c>
      <c r="F3545" s="3">
        <v>15.24</v>
      </c>
      <c r="G3545" s="3">
        <v>0</v>
      </c>
      <c r="H3545" s="3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 s="3">
        <v>27</v>
      </c>
      <c r="N3545" s="3">
        <v>98.39</v>
      </c>
      <c r="O3545" s="12">
        <v>25.563909774436091</v>
      </c>
    </row>
    <row r="3546" spans="1:15" hidden="1" x14ac:dyDescent="0.25">
      <c r="A3546" s="10">
        <v>46113</v>
      </c>
      <c r="B3546" t="s">
        <v>47</v>
      </c>
      <c r="C3546" s="1" t="s">
        <v>48</v>
      </c>
      <c r="D3546" s="3">
        <v>17</v>
      </c>
      <c r="E3546" s="3">
        <v>15</v>
      </c>
      <c r="F3546" s="3">
        <v>18.22</v>
      </c>
      <c r="G3546" s="3">
        <v>0</v>
      </c>
      <c r="H3546" s="3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 s="3">
        <v>13</v>
      </c>
      <c r="N3546" s="3">
        <v>100</v>
      </c>
      <c r="O3546" s="12">
        <v>32.764505119453922</v>
      </c>
    </row>
    <row r="3547" spans="1:15" hidden="1" x14ac:dyDescent="0.25">
      <c r="A3547" s="10">
        <v>46113</v>
      </c>
      <c r="B3547" t="s">
        <v>31</v>
      </c>
      <c r="C3547" s="1" t="s">
        <v>32</v>
      </c>
      <c r="D3547" s="3">
        <v>0</v>
      </c>
      <c r="E3547" s="3">
        <v>0</v>
      </c>
      <c r="F3547" s="3">
        <v>0</v>
      </c>
      <c r="G3547" s="3">
        <v>0</v>
      </c>
      <c r="H3547" s="3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 s="3">
        <v>24</v>
      </c>
      <c r="N3547" s="3">
        <v>98.66</v>
      </c>
      <c r="O3547" s="12">
        <v>35.416666666666671</v>
      </c>
    </row>
    <row r="3548" spans="1:15" hidden="1" x14ac:dyDescent="0.25">
      <c r="A3548" s="10">
        <v>46113</v>
      </c>
      <c r="B3548" t="s">
        <v>59</v>
      </c>
      <c r="C3548" s="1" t="s">
        <v>23</v>
      </c>
      <c r="D3548" s="3">
        <v>26</v>
      </c>
      <c r="E3548" s="3">
        <v>26</v>
      </c>
      <c r="F3548" s="3">
        <v>21.52</v>
      </c>
      <c r="G3548" s="3">
        <v>0</v>
      </c>
      <c r="H3548" s="3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 s="3">
        <v>26</v>
      </c>
      <c r="N3548" s="3">
        <v>99.32</v>
      </c>
      <c r="O3548" s="12">
        <v>30.648330058939099</v>
      </c>
    </row>
    <row r="3549" spans="1:15" hidden="1" x14ac:dyDescent="0.25">
      <c r="A3549" s="10">
        <v>46113</v>
      </c>
      <c r="B3549" t="s">
        <v>33</v>
      </c>
      <c r="C3549" s="1" t="s">
        <v>32</v>
      </c>
      <c r="D3549" s="3">
        <v>22</v>
      </c>
      <c r="E3549" s="3">
        <v>21</v>
      </c>
      <c r="F3549" s="3">
        <v>26.55</v>
      </c>
      <c r="G3549" s="3">
        <v>0</v>
      </c>
      <c r="H3549" s="3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 s="3">
        <v>20</v>
      </c>
      <c r="N3549" s="3">
        <v>100</v>
      </c>
      <c r="O3549" s="12">
        <v>27.803738317757009</v>
      </c>
    </row>
    <row r="3550" spans="1:15" hidden="1" x14ac:dyDescent="0.25">
      <c r="A3550" s="10">
        <v>46113</v>
      </c>
      <c r="B3550" t="s">
        <v>15</v>
      </c>
      <c r="C3550" s="1" t="s">
        <v>16</v>
      </c>
      <c r="D3550" s="3">
        <v>17</v>
      </c>
      <c r="E3550" s="3">
        <v>16</v>
      </c>
      <c r="F3550" s="3">
        <v>20.010000000000002</v>
      </c>
      <c r="G3550" s="3">
        <v>0</v>
      </c>
      <c r="H3550" s="3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 s="3">
        <v>15</v>
      </c>
      <c r="N3550" s="3">
        <v>96.74</v>
      </c>
      <c r="O3550" s="12">
        <v>28.67647058823529</v>
      </c>
    </row>
    <row r="3551" spans="1:15" hidden="1" x14ac:dyDescent="0.25">
      <c r="A3551" s="10">
        <v>46113</v>
      </c>
      <c r="B3551" t="s">
        <v>49</v>
      </c>
      <c r="C3551" s="1" t="s">
        <v>48</v>
      </c>
      <c r="D3551" s="3">
        <v>44</v>
      </c>
      <c r="E3551" s="3">
        <v>36</v>
      </c>
      <c r="F3551" s="3">
        <v>13.25</v>
      </c>
      <c r="G3551" s="3">
        <v>0</v>
      </c>
      <c r="H3551" s="3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 s="3">
        <v>39</v>
      </c>
      <c r="N3551" s="3">
        <v>98.82</v>
      </c>
      <c r="O3551" s="12">
        <v>30.741410488245929</v>
      </c>
    </row>
    <row r="3552" spans="1:15" hidden="1" x14ac:dyDescent="0.25">
      <c r="A3552" s="10">
        <v>46113</v>
      </c>
      <c r="B3552" t="s">
        <v>50</v>
      </c>
      <c r="C3552" s="1" t="s">
        <v>48</v>
      </c>
      <c r="D3552" s="3">
        <v>21</v>
      </c>
      <c r="E3552" s="3">
        <v>20</v>
      </c>
      <c r="F3552" s="3">
        <v>27.38</v>
      </c>
      <c r="G3552" s="3">
        <v>0</v>
      </c>
      <c r="H3552" s="3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 s="3">
        <v>18</v>
      </c>
      <c r="N3552" s="3">
        <v>98.2</v>
      </c>
      <c r="O3552" s="12">
        <v>27.170868347338931</v>
      </c>
    </row>
    <row r="3553" spans="1:15" hidden="1" x14ac:dyDescent="0.25">
      <c r="A3553" s="10">
        <v>46113</v>
      </c>
      <c r="B3553" t="s">
        <v>17</v>
      </c>
      <c r="C3553" s="1" t="s">
        <v>16</v>
      </c>
      <c r="D3553" s="3">
        <v>9</v>
      </c>
      <c r="E3553" s="3">
        <v>9</v>
      </c>
      <c r="F3553" s="3">
        <v>28.3</v>
      </c>
      <c r="G3553" s="3">
        <v>0</v>
      </c>
      <c r="H3553" s="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 s="3">
        <v>9</v>
      </c>
      <c r="N3553" s="3">
        <v>100</v>
      </c>
      <c r="O3553" s="12">
        <v>23.134328358208951</v>
      </c>
    </row>
    <row r="3554" spans="1:15" hidden="1" x14ac:dyDescent="0.25">
      <c r="A3554" s="10">
        <v>46113</v>
      </c>
      <c r="B3554" t="s">
        <v>60</v>
      </c>
      <c r="C3554" s="1" t="s">
        <v>23</v>
      </c>
      <c r="D3554" s="3">
        <v>28</v>
      </c>
      <c r="E3554" s="3">
        <v>26</v>
      </c>
      <c r="F3554" s="3">
        <v>18.22</v>
      </c>
      <c r="G3554" s="3">
        <v>0</v>
      </c>
      <c r="H3554" s="3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 s="3">
        <v>26</v>
      </c>
      <c r="N3554" s="3">
        <v>96.3</v>
      </c>
      <c r="O3554" s="12">
        <v>32.219570405727922</v>
      </c>
    </row>
    <row r="3555" spans="1:15" hidden="1" x14ac:dyDescent="0.25">
      <c r="A3555" s="10">
        <v>46113</v>
      </c>
      <c r="B3555" t="s">
        <v>34</v>
      </c>
      <c r="C3555" s="1" t="s">
        <v>32</v>
      </c>
      <c r="D3555" s="3">
        <v>30</v>
      </c>
      <c r="E3555" s="3">
        <v>28</v>
      </c>
      <c r="F3555" s="3">
        <v>13.22</v>
      </c>
      <c r="G3555" s="3">
        <v>0</v>
      </c>
      <c r="H3555" s="3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 s="3">
        <v>25</v>
      </c>
      <c r="N3555" s="3">
        <v>93.75</v>
      </c>
      <c r="O3555" s="12">
        <v>26.819923371647509</v>
      </c>
    </row>
    <row r="3556" spans="1:15" hidden="1" x14ac:dyDescent="0.25">
      <c r="A3556" s="10">
        <v>46113</v>
      </c>
      <c r="B3556" t="s">
        <v>51</v>
      </c>
      <c r="C3556" s="1" t="s">
        <v>48</v>
      </c>
      <c r="D3556" s="3">
        <v>36</v>
      </c>
      <c r="E3556" s="3">
        <v>32</v>
      </c>
      <c r="F3556" s="3">
        <v>20.190000000000001</v>
      </c>
      <c r="G3556" s="3">
        <v>0</v>
      </c>
      <c r="H3556" s="3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 s="3">
        <v>28</v>
      </c>
      <c r="N3556" s="3">
        <v>97.86</v>
      </c>
      <c r="O3556" s="12">
        <v>31.018518518518519</v>
      </c>
    </row>
    <row r="3557" spans="1:15" hidden="1" x14ac:dyDescent="0.25">
      <c r="A3557" s="10">
        <v>46113</v>
      </c>
      <c r="B3557" t="s">
        <v>61</v>
      </c>
      <c r="C3557" s="1" t="s">
        <v>23</v>
      </c>
      <c r="D3557" s="3">
        <v>25</v>
      </c>
      <c r="E3557" s="3">
        <v>25</v>
      </c>
      <c r="F3557" s="3">
        <v>16.559999999999999</v>
      </c>
      <c r="G3557" s="3">
        <v>0</v>
      </c>
      <c r="H3557" s="3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 s="3">
        <v>7</v>
      </c>
      <c r="N3557" s="3">
        <v>100</v>
      </c>
      <c r="O3557" s="12">
        <v>36.594202898550733</v>
      </c>
    </row>
    <row r="3558" spans="1:15" hidden="1" x14ac:dyDescent="0.25">
      <c r="A3558" s="10">
        <v>46113</v>
      </c>
      <c r="B3558" t="s">
        <v>35</v>
      </c>
      <c r="C3558" s="1" t="s">
        <v>32</v>
      </c>
      <c r="D3558" s="3">
        <v>26</v>
      </c>
      <c r="E3558" s="3">
        <v>25</v>
      </c>
      <c r="F3558" s="3">
        <v>22.07</v>
      </c>
      <c r="G3558" s="3">
        <v>0</v>
      </c>
      <c r="H3558" s="3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 s="3">
        <v>25</v>
      </c>
      <c r="N3558" s="3">
        <v>100</v>
      </c>
      <c r="O3558" s="12">
        <v>38.653846153846153</v>
      </c>
    </row>
    <row r="3559" spans="1:15" hidden="1" x14ac:dyDescent="0.25">
      <c r="A3559" s="10">
        <v>46113</v>
      </c>
      <c r="B3559" t="s">
        <v>18</v>
      </c>
      <c r="C3559" s="1" t="s">
        <v>16</v>
      </c>
      <c r="D3559" s="3">
        <v>0</v>
      </c>
      <c r="E3559" s="3">
        <v>0</v>
      </c>
      <c r="F3559" s="3">
        <v>0</v>
      </c>
      <c r="G3559" s="3">
        <v>0</v>
      </c>
      <c r="H3559" s="3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 s="3">
        <v>0</v>
      </c>
      <c r="N3559" s="3">
        <v>100</v>
      </c>
      <c r="O3559" s="12">
        <v>27.368421052631579</v>
      </c>
    </row>
    <row r="3560" spans="1:15" hidden="1" x14ac:dyDescent="0.25">
      <c r="A3560" s="10">
        <v>46113</v>
      </c>
      <c r="B3560" t="s">
        <v>52</v>
      </c>
      <c r="C3560" s="1" t="s">
        <v>48</v>
      </c>
      <c r="D3560" s="3">
        <v>23</v>
      </c>
      <c r="E3560" s="3">
        <v>21</v>
      </c>
      <c r="F3560" s="3">
        <v>18.43</v>
      </c>
      <c r="G3560" s="3">
        <v>0</v>
      </c>
      <c r="H3560" s="3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 s="3">
        <v>22</v>
      </c>
      <c r="N3560" s="3">
        <v>97.83</v>
      </c>
      <c r="O3560" s="12">
        <v>28.35164835164835</v>
      </c>
    </row>
    <row r="3561" spans="1:15" hidden="1" x14ac:dyDescent="0.25">
      <c r="A3561" s="10">
        <v>46113</v>
      </c>
      <c r="B3561" t="s">
        <v>36</v>
      </c>
      <c r="C3561" s="1" t="s">
        <v>32</v>
      </c>
      <c r="D3561" s="3">
        <v>30</v>
      </c>
      <c r="E3561" s="3">
        <v>25</v>
      </c>
      <c r="F3561" s="3">
        <v>12.24</v>
      </c>
      <c r="G3561" s="3">
        <v>0</v>
      </c>
      <c r="H3561" s="3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 s="3">
        <v>25</v>
      </c>
      <c r="N3561" s="3">
        <v>99.26</v>
      </c>
      <c r="O3561" s="12">
        <v>29.766536964980549</v>
      </c>
    </row>
    <row r="3562" spans="1:15" hidden="1" x14ac:dyDescent="0.25">
      <c r="A3562" s="10">
        <v>46113</v>
      </c>
      <c r="B3562" t="s">
        <v>53</v>
      </c>
      <c r="C3562" s="1" t="s">
        <v>48</v>
      </c>
      <c r="D3562" s="3">
        <v>37</v>
      </c>
      <c r="E3562" s="3">
        <v>35</v>
      </c>
      <c r="F3562" s="3">
        <v>15.19</v>
      </c>
      <c r="G3562" s="3">
        <v>0</v>
      </c>
      <c r="H3562" s="3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 s="3">
        <v>37</v>
      </c>
      <c r="N3562" s="3">
        <v>99.19</v>
      </c>
      <c r="O3562" s="12">
        <v>29.462365591397852</v>
      </c>
    </row>
    <row r="3563" spans="1:15" hidden="1" x14ac:dyDescent="0.25">
      <c r="A3563" s="7">
        <v>46161</v>
      </c>
      <c r="B3563" s="8" t="s">
        <v>40</v>
      </c>
      <c r="C3563" s="1" t="s">
        <v>32</v>
      </c>
      <c r="D3563" s="3">
        <v>32</v>
      </c>
      <c r="E3563" s="3">
        <v>32</v>
      </c>
      <c r="F3563" s="3">
        <v>17.18</v>
      </c>
      <c r="G3563" s="3">
        <v>0</v>
      </c>
      <c r="H3563" s="3">
        <v>0</v>
      </c>
      <c r="I3563" s="3">
        <f>E3563+G3563+H3563</f>
        <v>32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3</v>
      </c>
      <c r="L3563" s="3" t="str">
        <f>IF(K3563&lt;-5,"CRÍTICO",IF(K3563&lt;0,"ATENÇÃO",IF(K3563&lt;=5,"OPORTUNO","MUITO BOM")))</f>
        <v>OPORTUNO</v>
      </c>
      <c r="M3563" s="3">
        <v>28</v>
      </c>
      <c r="N3563" s="3">
        <v>96.84</v>
      </c>
      <c r="O3563" s="12">
        <v>16.338028169014081</v>
      </c>
    </row>
    <row r="3564" spans="1:15" hidden="1" x14ac:dyDescent="0.25">
      <c r="A3564" s="10">
        <v>46113</v>
      </c>
      <c r="B3564" t="s">
        <v>54</v>
      </c>
      <c r="C3564" s="1" t="s">
        <v>48</v>
      </c>
      <c r="D3564" s="3">
        <v>36</v>
      </c>
      <c r="E3564" s="3">
        <v>35</v>
      </c>
      <c r="F3564" s="3">
        <v>17.12</v>
      </c>
      <c r="G3564" s="3">
        <v>0</v>
      </c>
      <c r="H3564" s="3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 s="3">
        <v>32</v>
      </c>
      <c r="N3564" s="3">
        <v>100</v>
      </c>
      <c r="O3564" s="12">
        <v>28.921568627450981</v>
      </c>
    </row>
    <row r="3565" spans="1:15" hidden="1" x14ac:dyDescent="0.25">
      <c r="A3565" s="10">
        <v>46113</v>
      </c>
      <c r="B3565" t="s">
        <v>37</v>
      </c>
      <c r="C3565" s="1" t="s">
        <v>32</v>
      </c>
      <c r="D3565" s="3">
        <v>45</v>
      </c>
      <c r="E3565" s="3">
        <v>41</v>
      </c>
      <c r="F3565" s="3">
        <v>12.26</v>
      </c>
      <c r="G3565" s="3">
        <v>0</v>
      </c>
      <c r="H3565" s="3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 s="3">
        <v>41</v>
      </c>
      <c r="N3565" s="3">
        <v>99.57</v>
      </c>
      <c r="O3565" s="12">
        <v>30.635838150289018</v>
      </c>
    </row>
    <row r="3566" spans="1:15" hidden="1" x14ac:dyDescent="0.25">
      <c r="A3566" s="10">
        <v>46113</v>
      </c>
      <c r="B3566" t="s">
        <v>38</v>
      </c>
      <c r="C3566" s="1" t="s">
        <v>32</v>
      </c>
      <c r="D3566" s="3">
        <v>2</v>
      </c>
      <c r="E3566" s="3">
        <v>2</v>
      </c>
      <c r="F3566" s="3">
        <v>20.07</v>
      </c>
      <c r="G3566" s="3">
        <v>0</v>
      </c>
      <c r="H3566" s="3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 s="3">
        <v>2</v>
      </c>
      <c r="N3566" s="3">
        <v>95.65</v>
      </c>
      <c r="O3566" s="12">
        <v>32.432432432432442</v>
      </c>
    </row>
    <row r="3567" spans="1:15" hidden="1" x14ac:dyDescent="0.25">
      <c r="A3567" s="10">
        <v>46113</v>
      </c>
      <c r="B3567" t="s">
        <v>55</v>
      </c>
      <c r="C3567" s="1" t="s">
        <v>48</v>
      </c>
      <c r="D3567" s="3">
        <v>28</v>
      </c>
      <c r="E3567" s="3">
        <v>25</v>
      </c>
      <c r="F3567" s="3">
        <v>21.55</v>
      </c>
      <c r="G3567" s="3">
        <v>0</v>
      </c>
      <c r="H3567" s="3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 s="3">
        <v>26</v>
      </c>
      <c r="N3567" s="3">
        <v>98.81</v>
      </c>
      <c r="O3567" s="12">
        <v>26.256983240223459</v>
      </c>
    </row>
    <row r="3568" spans="1:15" hidden="1" x14ac:dyDescent="0.25">
      <c r="A3568" s="10">
        <v>46113</v>
      </c>
      <c r="B3568" t="s">
        <v>39</v>
      </c>
      <c r="C3568" s="1" t="s">
        <v>32</v>
      </c>
      <c r="D3568" s="3">
        <v>0</v>
      </c>
      <c r="E3568" s="3">
        <v>0</v>
      </c>
      <c r="F3568" s="3">
        <v>0</v>
      </c>
      <c r="G3568" s="3">
        <v>0</v>
      </c>
      <c r="H3568" s="3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 s="3">
        <v>0</v>
      </c>
      <c r="N3568" s="3">
        <v>0</v>
      </c>
      <c r="O3568" s="12">
        <v>0</v>
      </c>
    </row>
    <row r="3569" spans="1:15" hidden="1" x14ac:dyDescent="0.25">
      <c r="A3569" s="10">
        <v>46113</v>
      </c>
      <c r="B3569" t="s">
        <v>25</v>
      </c>
      <c r="C3569" s="1" t="s">
        <v>26</v>
      </c>
      <c r="D3569" s="3">
        <v>22</v>
      </c>
      <c r="E3569" s="3">
        <v>18</v>
      </c>
      <c r="F3569" s="3">
        <v>19</v>
      </c>
      <c r="G3569" s="3">
        <v>0</v>
      </c>
      <c r="H3569" s="3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 s="3">
        <v>19</v>
      </c>
      <c r="N3569" s="3">
        <v>97.17</v>
      </c>
      <c r="O3569" s="12">
        <v>28.81844380403458</v>
      </c>
    </row>
    <row r="3570" spans="1:15" hidden="1" x14ac:dyDescent="0.25">
      <c r="A3570" s="10">
        <v>46113</v>
      </c>
      <c r="B3570" t="s">
        <v>40</v>
      </c>
      <c r="C3570" s="1" t="s">
        <v>32</v>
      </c>
      <c r="D3570" s="3">
        <v>19</v>
      </c>
      <c r="E3570" s="3">
        <v>19</v>
      </c>
      <c r="F3570" s="3">
        <v>12.21</v>
      </c>
      <c r="G3570" s="3">
        <v>0</v>
      </c>
      <c r="H3570" s="3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 s="3">
        <v>19</v>
      </c>
      <c r="N3570" s="3">
        <v>96.81</v>
      </c>
      <c r="O3570" s="12">
        <v>48.018648018648022</v>
      </c>
    </row>
    <row r="3571" spans="1:15" hidden="1" x14ac:dyDescent="0.25">
      <c r="A3571" s="10">
        <v>46113</v>
      </c>
      <c r="B3571" t="s">
        <v>27</v>
      </c>
      <c r="C3571" s="1" t="s">
        <v>26</v>
      </c>
      <c r="D3571" s="3">
        <v>14</v>
      </c>
      <c r="E3571" s="3">
        <v>14</v>
      </c>
      <c r="F3571" s="3">
        <v>33.520000000000003</v>
      </c>
      <c r="G3571" s="3">
        <v>0</v>
      </c>
      <c r="H3571" s="3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 s="3">
        <v>11</v>
      </c>
      <c r="N3571" s="3">
        <v>98.15</v>
      </c>
      <c r="O3571" s="12">
        <v>27.1551724137931</v>
      </c>
    </row>
    <row r="3572" spans="1:15" hidden="1" x14ac:dyDescent="0.25">
      <c r="A3572" s="10">
        <v>46113</v>
      </c>
      <c r="B3572" t="s">
        <v>41</v>
      </c>
      <c r="C3572" s="1" t="s">
        <v>32</v>
      </c>
      <c r="D3572" s="3">
        <v>24</v>
      </c>
      <c r="E3572" s="3">
        <v>24</v>
      </c>
      <c r="F3572" s="3">
        <v>21.48</v>
      </c>
      <c r="G3572" s="3">
        <v>0</v>
      </c>
      <c r="H3572" s="3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 s="3">
        <v>21</v>
      </c>
      <c r="N3572" s="3">
        <v>99.15</v>
      </c>
      <c r="O3572" s="12">
        <v>27.586206896551719</v>
      </c>
    </row>
    <row r="3573" spans="1:15" hidden="1" x14ac:dyDescent="0.25">
      <c r="A3573" s="10">
        <v>46113</v>
      </c>
      <c r="B3573" t="s">
        <v>56</v>
      </c>
      <c r="C3573" s="1" t="s">
        <v>48</v>
      </c>
      <c r="D3573" s="3">
        <v>26</v>
      </c>
      <c r="E3573" s="3">
        <v>24</v>
      </c>
      <c r="F3573" s="3">
        <v>20.29</v>
      </c>
      <c r="G3573" s="3">
        <v>0</v>
      </c>
      <c r="H3573" s="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 s="3">
        <v>23</v>
      </c>
      <c r="N3573" s="3">
        <v>99.17</v>
      </c>
      <c r="O3573" s="12">
        <v>29.75206611570248</v>
      </c>
    </row>
    <row r="3574" spans="1:15" hidden="1" x14ac:dyDescent="0.25">
      <c r="A3574" s="10">
        <v>46113</v>
      </c>
      <c r="B3574" t="s">
        <v>57</v>
      </c>
      <c r="C3574" s="1" t="s">
        <v>48</v>
      </c>
      <c r="D3574" s="3">
        <v>35</v>
      </c>
      <c r="E3574" s="3">
        <v>34</v>
      </c>
      <c r="F3574" s="3">
        <v>15.59</v>
      </c>
      <c r="G3574" s="3">
        <v>0</v>
      </c>
      <c r="H3574" s="3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 s="3">
        <v>33</v>
      </c>
      <c r="N3574" s="3">
        <v>98.73</v>
      </c>
      <c r="O3574" s="12">
        <v>28.961748633879779</v>
      </c>
    </row>
    <row r="3575" spans="1:15" hidden="1" x14ac:dyDescent="0.25">
      <c r="A3575" s="10">
        <v>46113</v>
      </c>
      <c r="B3575" t="s">
        <v>42</v>
      </c>
      <c r="C3575" s="1" t="s">
        <v>32</v>
      </c>
      <c r="D3575" s="3">
        <v>61</v>
      </c>
      <c r="E3575" s="3">
        <v>48</v>
      </c>
      <c r="F3575" s="3">
        <v>11.44</v>
      </c>
      <c r="G3575" s="3">
        <v>0</v>
      </c>
      <c r="H3575" s="3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 s="3">
        <v>39</v>
      </c>
      <c r="N3575" s="3">
        <v>88.68</v>
      </c>
      <c r="O3575" s="12">
        <v>22.03389830508474</v>
      </c>
    </row>
    <row r="3576" spans="1:15" hidden="1" x14ac:dyDescent="0.25">
      <c r="A3576" s="10">
        <v>46113</v>
      </c>
      <c r="B3576" t="s">
        <v>62</v>
      </c>
      <c r="C3576" s="1" t="s">
        <v>23</v>
      </c>
      <c r="D3576" s="3">
        <v>28</v>
      </c>
      <c r="E3576" s="3">
        <v>24</v>
      </c>
      <c r="F3576" s="3">
        <v>20.47</v>
      </c>
      <c r="G3576" s="3">
        <v>0</v>
      </c>
      <c r="H3576" s="3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 s="3">
        <v>27</v>
      </c>
      <c r="N3576" s="3">
        <v>97.37</v>
      </c>
      <c r="O3576" s="12">
        <v>25.76530612244898</v>
      </c>
    </row>
    <row r="3577" spans="1:15" hidden="1" x14ac:dyDescent="0.25">
      <c r="A3577" s="10">
        <v>46113</v>
      </c>
      <c r="B3577" t="s">
        <v>19</v>
      </c>
      <c r="C3577" s="1" t="s">
        <v>16</v>
      </c>
      <c r="D3577" s="3">
        <v>0</v>
      </c>
      <c r="E3577" s="3">
        <v>0</v>
      </c>
      <c r="F3577" s="3">
        <v>0</v>
      </c>
      <c r="G3577" s="3">
        <v>0</v>
      </c>
      <c r="H3577" s="3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 s="3">
        <v>0</v>
      </c>
      <c r="N3577" s="3">
        <v>100</v>
      </c>
      <c r="O3577" s="12">
        <v>25</v>
      </c>
    </row>
    <row r="3578" spans="1:15" hidden="1" x14ac:dyDescent="0.25">
      <c r="A3578" s="10">
        <v>46133</v>
      </c>
      <c r="B3578" t="s">
        <v>43</v>
      </c>
      <c r="C3578" s="1" t="s">
        <v>32</v>
      </c>
      <c r="D3578" s="3">
        <v>0</v>
      </c>
      <c r="E3578" s="3">
        <v>0</v>
      </c>
      <c r="F3578" s="3">
        <v>0</v>
      </c>
      <c r="G3578" s="3">
        <v>0</v>
      </c>
      <c r="H3578" s="3">
        <v>0</v>
      </c>
      <c r="I3578" s="3">
        <v>0</v>
      </c>
      <c r="J3578" s="3">
        <v>0</v>
      </c>
      <c r="K3578" s="3">
        <v>0</v>
      </c>
      <c r="M3578" s="3">
        <v>0</v>
      </c>
      <c r="N3578" s="3">
        <v>100</v>
      </c>
      <c r="O3578" s="12">
        <v>23.9870340356564</v>
      </c>
    </row>
    <row r="3579" spans="1:15" hidden="1" x14ac:dyDescent="0.25">
      <c r="A3579" s="10">
        <v>46113</v>
      </c>
      <c r="B3579" t="s">
        <v>44</v>
      </c>
      <c r="C3579" s="1" t="s">
        <v>32</v>
      </c>
      <c r="D3579" s="3">
        <v>35</v>
      </c>
      <c r="E3579" s="3">
        <v>31</v>
      </c>
      <c r="F3579" s="3">
        <v>12.33</v>
      </c>
      <c r="G3579" s="3">
        <v>0</v>
      </c>
      <c r="H3579" s="3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 s="3">
        <v>25</v>
      </c>
      <c r="N3579" s="3">
        <v>95.49</v>
      </c>
      <c r="O3579" s="12">
        <v>28.370221327967808</v>
      </c>
    </row>
    <row r="3580" spans="1:15" hidden="1" x14ac:dyDescent="0.25">
      <c r="A3580" s="10">
        <v>46141</v>
      </c>
      <c r="B3580" t="s">
        <v>20</v>
      </c>
      <c r="C3580" s="1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>E3580+G3580+H3580</f>
        <v>15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10</v>
      </c>
      <c r="K3580" s="3">
        <f>I3580-J3580</f>
        <v>5</v>
      </c>
      <c r="L3580" s="3" t="str">
        <f>IF(K3580&lt;-5,"CRÍTICO",IF(K3580&lt;0,"ATENÇÃO",IF(K3580&lt;=5,"OPORTUNO","MUITO BOM")))</f>
        <v>OPORTUNO</v>
      </c>
      <c r="M3580" s="3">
        <v>11</v>
      </c>
      <c r="N3580" s="3">
        <v>100</v>
      </c>
      <c r="O3580" s="12">
        <v>23.77622377622378</v>
      </c>
    </row>
    <row r="3581" spans="1:15" hidden="1" x14ac:dyDescent="0.25">
      <c r="A3581" s="10">
        <v>46113</v>
      </c>
      <c r="B3581" t="s">
        <v>28</v>
      </c>
      <c r="C3581" s="1" t="s">
        <v>26</v>
      </c>
      <c r="D3581" s="3">
        <v>27</v>
      </c>
      <c r="E3581" s="3">
        <v>23</v>
      </c>
      <c r="F3581" s="3">
        <v>18.55</v>
      </c>
      <c r="G3581" s="3">
        <v>0</v>
      </c>
      <c r="H3581" s="3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 s="3">
        <v>11</v>
      </c>
      <c r="N3581" s="3">
        <v>96.15</v>
      </c>
      <c r="O3581" s="12">
        <v>24.045801526717561</v>
      </c>
    </row>
    <row r="3582" spans="1:15" hidden="1" x14ac:dyDescent="0.25">
      <c r="A3582" s="10">
        <v>46113</v>
      </c>
      <c r="B3582" t="s">
        <v>58</v>
      </c>
      <c r="C3582" s="1" t="s">
        <v>48</v>
      </c>
      <c r="D3582" s="3">
        <v>24</v>
      </c>
      <c r="E3582" s="3">
        <v>21</v>
      </c>
      <c r="F3582" s="3">
        <v>23.41</v>
      </c>
      <c r="G3582" s="3">
        <v>0</v>
      </c>
      <c r="H3582" s="3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 s="3">
        <v>19</v>
      </c>
      <c r="N3582" s="3">
        <v>99.02</v>
      </c>
      <c r="O3582" s="12">
        <v>34.797297297297298</v>
      </c>
    </row>
    <row r="3583" spans="1:15" hidden="1" x14ac:dyDescent="0.25">
      <c r="A3583" s="10">
        <v>46113</v>
      </c>
      <c r="B3583" t="s">
        <v>29</v>
      </c>
      <c r="C3583" s="1" t="s">
        <v>26</v>
      </c>
      <c r="D3583" s="3">
        <v>21</v>
      </c>
      <c r="E3583" s="3">
        <v>21</v>
      </c>
      <c r="F3583" s="3">
        <v>16.510000000000002</v>
      </c>
      <c r="G3583" s="3">
        <v>0</v>
      </c>
      <c r="H3583" s="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 s="3">
        <v>16</v>
      </c>
      <c r="N3583" s="3">
        <v>98.84</v>
      </c>
      <c r="O3583" s="12">
        <v>31.868131868131869</v>
      </c>
    </row>
    <row r="3584" spans="1:15" hidden="1" x14ac:dyDescent="0.25">
      <c r="A3584" s="10">
        <v>46113</v>
      </c>
      <c r="B3584" t="s">
        <v>30</v>
      </c>
      <c r="C3584" s="1" t="s">
        <v>26</v>
      </c>
      <c r="D3584" s="3">
        <v>19</v>
      </c>
      <c r="E3584" s="3">
        <v>19</v>
      </c>
      <c r="F3584" s="3">
        <v>22.12</v>
      </c>
      <c r="G3584" s="3">
        <v>0</v>
      </c>
      <c r="H3584" s="3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 s="3">
        <v>18</v>
      </c>
      <c r="N3584" s="3">
        <v>100</v>
      </c>
      <c r="O3584" s="12">
        <v>34.666666666666671</v>
      </c>
    </row>
    <row r="3585" spans="1:15" hidden="1" x14ac:dyDescent="0.25">
      <c r="A3585" s="10">
        <v>46141</v>
      </c>
      <c r="B3585" t="s">
        <v>21</v>
      </c>
      <c r="C3585" s="1" t="s">
        <v>16</v>
      </c>
      <c r="D3585" s="3">
        <v>19</v>
      </c>
      <c r="E3585" s="3">
        <v>17</v>
      </c>
      <c r="F3585" s="3">
        <v>18.46</v>
      </c>
      <c r="G3585" s="3">
        <v>0</v>
      </c>
      <c r="H3585" s="3">
        <v>0</v>
      </c>
      <c r="I3585" s="3">
        <f>E3585+G3585+H3585</f>
        <v>17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10</v>
      </c>
      <c r="K3585" s="3">
        <f>I3585-J3585</f>
        <v>7</v>
      </c>
      <c r="L3585" s="3" t="str">
        <f>IF(K3585&lt;-5,"CRÍTICO",IF(K3585&lt;0,"ATENÇÃO",IF(K3585&lt;=5,"OPORTUNO","MUITO BOM")))</f>
        <v>MUITO BOM</v>
      </c>
      <c r="M3585" s="3">
        <v>11</v>
      </c>
      <c r="N3585" s="3">
        <v>94.12</v>
      </c>
      <c r="O3585" s="12">
        <v>32.799999999999997</v>
      </c>
    </row>
    <row r="3586" spans="1:15" hidden="1" x14ac:dyDescent="0.25">
      <c r="A3586" s="10">
        <v>46113</v>
      </c>
      <c r="B3586" t="s">
        <v>63</v>
      </c>
      <c r="C3586" s="1" t="s">
        <v>23</v>
      </c>
      <c r="D3586" s="3">
        <v>33</v>
      </c>
      <c r="E3586" s="3">
        <v>32</v>
      </c>
      <c r="F3586" s="3">
        <v>15.14</v>
      </c>
      <c r="G3586" s="3">
        <v>0</v>
      </c>
      <c r="H3586" s="3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 s="3">
        <v>28</v>
      </c>
      <c r="N3586" s="3">
        <v>98.32</v>
      </c>
      <c r="O3586" s="12">
        <v>26.858513189448441</v>
      </c>
    </row>
    <row r="3587" spans="1:15" hidden="1" x14ac:dyDescent="0.25">
      <c r="A3587" s="10">
        <v>46113</v>
      </c>
      <c r="B3587" t="s">
        <v>45</v>
      </c>
      <c r="C3587" s="1" t="s">
        <v>32</v>
      </c>
      <c r="D3587" s="3">
        <v>47</v>
      </c>
      <c r="E3587" s="3">
        <v>42</v>
      </c>
      <c r="F3587" s="3">
        <v>13.55</v>
      </c>
      <c r="G3587" s="3">
        <v>0</v>
      </c>
      <c r="H3587" s="3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 s="3">
        <v>37</v>
      </c>
      <c r="N3587" s="3">
        <v>100</v>
      </c>
      <c r="O3587" s="12">
        <v>31.135531135531139</v>
      </c>
    </row>
    <row r="3588" spans="1:15" hidden="1" x14ac:dyDescent="0.25">
      <c r="A3588" s="10">
        <v>46113</v>
      </c>
      <c r="B3588" t="s">
        <v>64</v>
      </c>
      <c r="C3588" s="1" t="s">
        <v>23</v>
      </c>
      <c r="D3588" s="3">
        <v>24</v>
      </c>
      <c r="E3588" s="3">
        <v>24</v>
      </c>
      <c r="F3588" s="3">
        <v>20.54</v>
      </c>
      <c r="G3588" s="3">
        <v>0</v>
      </c>
      <c r="H3588" s="3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 s="3">
        <v>26</v>
      </c>
      <c r="N3588" s="3">
        <v>100</v>
      </c>
      <c r="O3588" s="12">
        <v>26.36986301369863</v>
      </c>
    </row>
    <row r="3589" spans="1:15" hidden="1" x14ac:dyDescent="0.25">
      <c r="A3589" s="10">
        <v>46113</v>
      </c>
      <c r="B3589" t="s">
        <v>46</v>
      </c>
      <c r="C3589" s="1" t="s">
        <v>32</v>
      </c>
      <c r="D3589" s="3">
        <v>34</v>
      </c>
      <c r="E3589" s="3">
        <v>31</v>
      </c>
      <c r="F3589" s="3">
        <v>13.37</v>
      </c>
      <c r="G3589" s="3">
        <v>0</v>
      </c>
      <c r="H3589" s="3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 s="3">
        <v>31</v>
      </c>
      <c r="N3589" s="3">
        <v>99.21</v>
      </c>
      <c r="O3589" s="12">
        <v>25.188916876574311</v>
      </c>
    </row>
    <row r="3590" spans="1:15" hidden="1" x14ac:dyDescent="0.25">
      <c r="A3590" s="10">
        <v>46114</v>
      </c>
      <c r="B3590" t="s">
        <v>47</v>
      </c>
      <c r="C3590" s="1" t="s">
        <v>48</v>
      </c>
      <c r="D3590" s="3">
        <v>10</v>
      </c>
      <c r="E3590" s="3">
        <v>8</v>
      </c>
      <c r="F3590" s="3">
        <v>16.579999999999998</v>
      </c>
      <c r="G3590" s="3">
        <v>0</v>
      </c>
      <c r="H3590" s="3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 s="3">
        <v>4</v>
      </c>
      <c r="N3590" s="3">
        <v>100</v>
      </c>
      <c r="O3590" s="12">
        <v>32.764505119453922</v>
      </c>
    </row>
    <row r="3591" spans="1:15" hidden="1" x14ac:dyDescent="0.25">
      <c r="A3591" s="10">
        <v>46114</v>
      </c>
      <c r="B3591" t="s">
        <v>31</v>
      </c>
      <c r="C3591" s="1" t="s">
        <v>32</v>
      </c>
      <c r="D3591" s="3">
        <v>0</v>
      </c>
      <c r="E3591" s="3">
        <v>0</v>
      </c>
      <c r="F3591" s="3">
        <v>0</v>
      </c>
      <c r="G3591" s="3">
        <v>0</v>
      </c>
      <c r="H3591" s="3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 s="3">
        <v>31</v>
      </c>
      <c r="N3591" s="3">
        <v>98.66</v>
      </c>
      <c r="O3591" s="12">
        <v>35.416666666666671</v>
      </c>
    </row>
    <row r="3592" spans="1:15" hidden="1" x14ac:dyDescent="0.25">
      <c r="A3592" s="10">
        <v>46114</v>
      </c>
      <c r="B3592" t="s">
        <v>59</v>
      </c>
      <c r="C3592" s="1" t="s">
        <v>23</v>
      </c>
      <c r="D3592" s="3">
        <v>37</v>
      </c>
      <c r="E3592" s="3">
        <v>35</v>
      </c>
      <c r="F3592" s="3">
        <v>17</v>
      </c>
      <c r="G3592" s="3">
        <v>0</v>
      </c>
      <c r="H3592" s="3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 s="3">
        <v>31</v>
      </c>
      <c r="N3592" s="3">
        <v>99.32</v>
      </c>
      <c r="O3592" s="12">
        <v>30.648330058939099</v>
      </c>
    </row>
    <row r="3593" spans="1:15" hidden="1" x14ac:dyDescent="0.25">
      <c r="A3593" s="10">
        <v>46114</v>
      </c>
      <c r="B3593" t="s">
        <v>33</v>
      </c>
      <c r="C3593" s="1" t="s">
        <v>32</v>
      </c>
      <c r="D3593" s="3">
        <v>33</v>
      </c>
      <c r="E3593" s="3">
        <v>28</v>
      </c>
      <c r="F3593" s="3">
        <v>17.02</v>
      </c>
      <c r="G3593" s="3">
        <v>0</v>
      </c>
      <c r="H3593" s="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 s="3">
        <v>32</v>
      </c>
      <c r="N3593" s="3">
        <v>100</v>
      </c>
      <c r="O3593" s="12">
        <v>27.803738317757009</v>
      </c>
    </row>
    <row r="3594" spans="1:15" hidden="1" x14ac:dyDescent="0.25">
      <c r="A3594" s="10">
        <v>46114</v>
      </c>
      <c r="B3594" t="s">
        <v>15</v>
      </c>
      <c r="C3594" s="1" t="s">
        <v>16</v>
      </c>
      <c r="D3594" s="3">
        <v>13</v>
      </c>
      <c r="E3594" s="3">
        <v>13</v>
      </c>
      <c r="F3594" s="3">
        <v>20.260000000000002</v>
      </c>
      <c r="G3594" s="3">
        <v>0</v>
      </c>
      <c r="H3594" s="3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 s="3">
        <v>12</v>
      </c>
      <c r="N3594" s="3">
        <v>96.74</v>
      </c>
      <c r="O3594" s="12">
        <v>28.67647058823529</v>
      </c>
    </row>
    <row r="3595" spans="1:15" hidden="1" x14ac:dyDescent="0.25">
      <c r="A3595" s="10">
        <v>46114</v>
      </c>
      <c r="B3595" t="s">
        <v>49</v>
      </c>
      <c r="C3595" s="1" t="s">
        <v>48</v>
      </c>
      <c r="D3595" s="3">
        <v>38</v>
      </c>
      <c r="E3595" s="3">
        <v>31</v>
      </c>
      <c r="F3595" s="3">
        <v>12.16</v>
      </c>
      <c r="G3595" s="3">
        <v>0</v>
      </c>
      <c r="H3595" s="3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 s="3">
        <v>37</v>
      </c>
      <c r="N3595" s="3">
        <v>98.82</v>
      </c>
      <c r="O3595" s="12">
        <v>30.741410488245929</v>
      </c>
    </row>
    <row r="3596" spans="1:15" hidden="1" x14ac:dyDescent="0.25">
      <c r="A3596" s="10">
        <v>46114</v>
      </c>
      <c r="B3596" t="s">
        <v>50</v>
      </c>
      <c r="C3596" s="1" t="s">
        <v>48</v>
      </c>
      <c r="D3596" s="3">
        <v>31</v>
      </c>
      <c r="E3596" s="3">
        <v>28</v>
      </c>
      <c r="F3596" s="3">
        <v>15.36</v>
      </c>
      <c r="G3596" s="3">
        <v>0</v>
      </c>
      <c r="H3596" s="3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 s="3">
        <v>27</v>
      </c>
      <c r="N3596" s="3">
        <v>98.2</v>
      </c>
      <c r="O3596" s="12">
        <v>27.170868347338931</v>
      </c>
    </row>
    <row r="3597" spans="1:15" hidden="1" x14ac:dyDescent="0.25">
      <c r="A3597" s="10">
        <v>46114</v>
      </c>
      <c r="B3597" t="s">
        <v>17</v>
      </c>
      <c r="C3597" s="1" t="s">
        <v>16</v>
      </c>
      <c r="D3597" s="3">
        <v>11</v>
      </c>
      <c r="E3597" s="3">
        <v>10</v>
      </c>
      <c r="F3597" s="3">
        <v>26.42</v>
      </c>
      <c r="G3597" s="3">
        <v>0</v>
      </c>
      <c r="H3597" s="3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 s="3">
        <v>10</v>
      </c>
      <c r="N3597" s="3">
        <v>100</v>
      </c>
      <c r="O3597" s="12">
        <v>23.134328358208951</v>
      </c>
    </row>
    <row r="3598" spans="1:15" hidden="1" x14ac:dyDescent="0.25">
      <c r="A3598" s="10">
        <v>46114</v>
      </c>
      <c r="B3598" t="s">
        <v>60</v>
      </c>
      <c r="C3598" s="1" t="s">
        <v>23</v>
      </c>
      <c r="D3598" s="3">
        <v>27</v>
      </c>
      <c r="E3598" s="3">
        <v>21</v>
      </c>
      <c r="F3598" s="3">
        <v>16.45</v>
      </c>
      <c r="G3598" s="3">
        <v>0</v>
      </c>
      <c r="H3598" s="3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 s="3">
        <v>25</v>
      </c>
      <c r="N3598" s="3">
        <v>96.3</v>
      </c>
      <c r="O3598" s="12">
        <v>32.219570405727922</v>
      </c>
    </row>
    <row r="3599" spans="1:15" hidden="1" x14ac:dyDescent="0.25">
      <c r="A3599" s="10">
        <v>46114</v>
      </c>
      <c r="B3599" t="s">
        <v>34</v>
      </c>
      <c r="C3599" s="1" t="s">
        <v>32</v>
      </c>
      <c r="D3599" s="3">
        <v>47</v>
      </c>
      <c r="E3599" s="3">
        <v>42</v>
      </c>
      <c r="F3599" s="3">
        <v>12.35</v>
      </c>
      <c r="G3599" s="3">
        <v>0</v>
      </c>
      <c r="H3599" s="3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 s="3">
        <v>33</v>
      </c>
      <c r="N3599" s="3">
        <v>93.75</v>
      </c>
      <c r="O3599" s="12">
        <v>26.819923371647509</v>
      </c>
    </row>
    <row r="3600" spans="1:15" hidden="1" x14ac:dyDescent="0.25">
      <c r="A3600" s="10">
        <v>46114</v>
      </c>
      <c r="B3600" t="s">
        <v>51</v>
      </c>
      <c r="C3600" s="1" t="s">
        <v>48</v>
      </c>
      <c r="D3600" s="3">
        <v>25</v>
      </c>
      <c r="E3600" s="3">
        <v>21</v>
      </c>
      <c r="F3600" s="3">
        <v>23.35</v>
      </c>
      <c r="G3600" s="3">
        <v>0</v>
      </c>
      <c r="H3600" s="3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 s="3">
        <v>21</v>
      </c>
      <c r="N3600" s="3">
        <v>97.86</v>
      </c>
      <c r="O3600" s="12">
        <v>31.018518518518519</v>
      </c>
    </row>
    <row r="3601" spans="1:15" hidden="1" x14ac:dyDescent="0.25">
      <c r="A3601" s="10">
        <v>46114</v>
      </c>
      <c r="B3601" t="s">
        <v>61</v>
      </c>
      <c r="C3601" s="1" t="s">
        <v>23</v>
      </c>
      <c r="D3601" s="3">
        <v>18</v>
      </c>
      <c r="E3601" s="3">
        <v>18</v>
      </c>
      <c r="F3601" s="3">
        <v>23.57</v>
      </c>
      <c r="G3601" s="3">
        <v>0</v>
      </c>
      <c r="H3601" s="3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 s="3">
        <v>6</v>
      </c>
      <c r="N3601" s="3">
        <v>100</v>
      </c>
      <c r="O3601" s="12">
        <v>36.594202898550733</v>
      </c>
    </row>
    <row r="3602" spans="1:15" hidden="1" x14ac:dyDescent="0.25">
      <c r="A3602" s="10">
        <v>46114</v>
      </c>
      <c r="B3602" t="s">
        <v>35</v>
      </c>
      <c r="C3602" s="1" t="s">
        <v>32</v>
      </c>
      <c r="D3602" s="3">
        <v>35</v>
      </c>
      <c r="E3602" s="3">
        <v>33</v>
      </c>
      <c r="F3602" s="3">
        <v>18.2</v>
      </c>
      <c r="G3602" s="3">
        <v>0</v>
      </c>
      <c r="H3602" s="3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 s="3">
        <v>33</v>
      </c>
      <c r="N3602" s="3">
        <v>100</v>
      </c>
      <c r="O3602" s="12">
        <v>38.653846153846153</v>
      </c>
    </row>
    <row r="3603" spans="1:15" hidden="1" x14ac:dyDescent="0.25">
      <c r="A3603" s="10">
        <v>46114</v>
      </c>
      <c r="B3603" t="s">
        <v>18</v>
      </c>
      <c r="C3603" s="1" t="s">
        <v>16</v>
      </c>
      <c r="D3603" s="3">
        <v>6</v>
      </c>
      <c r="E3603" s="3">
        <v>6</v>
      </c>
      <c r="F3603" s="3">
        <v>54.12</v>
      </c>
      <c r="G3603" s="3">
        <v>0</v>
      </c>
      <c r="H3603" s="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 s="3">
        <v>5</v>
      </c>
      <c r="N3603" s="3">
        <v>100</v>
      </c>
      <c r="O3603" s="12">
        <v>27.368421052631579</v>
      </c>
    </row>
    <row r="3604" spans="1:15" hidden="1" x14ac:dyDescent="0.25">
      <c r="A3604" s="10">
        <v>46114</v>
      </c>
      <c r="B3604" t="s">
        <v>52</v>
      </c>
      <c r="C3604" s="1" t="s">
        <v>48</v>
      </c>
      <c r="D3604" s="3">
        <v>33</v>
      </c>
      <c r="E3604" s="3">
        <v>31</v>
      </c>
      <c r="F3604" s="3">
        <v>14.08</v>
      </c>
      <c r="G3604" s="3">
        <v>0</v>
      </c>
      <c r="H3604" s="3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 s="3">
        <v>24</v>
      </c>
      <c r="N3604" s="3">
        <v>97.83</v>
      </c>
      <c r="O3604" s="12">
        <v>28.35164835164835</v>
      </c>
    </row>
    <row r="3605" spans="1:15" hidden="1" x14ac:dyDescent="0.25">
      <c r="A3605" s="10">
        <v>46114</v>
      </c>
      <c r="B3605" t="s">
        <v>36</v>
      </c>
      <c r="C3605" s="1" t="s">
        <v>32</v>
      </c>
      <c r="D3605" s="3">
        <v>26</v>
      </c>
      <c r="E3605" s="3">
        <v>26</v>
      </c>
      <c r="F3605" s="3">
        <v>16.579999999999998</v>
      </c>
      <c r="G3605" s="3">
        <v>0</v>
      </c>
      <c r="H3605" s="3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 s="3">
        <v>26</v>
      </c>
      <c r="N3605" s="3">
        <v>99.26</v>
      </c>
      <c r="O3605" s="12">
        <v>29.766536964980549</v>
      </c>
    </row>
    <row r="3606" spans="1:15" hidden="1" x14ac:dyDescent="0.25">
      <c r="A3606" s="10">
        <v>46114</v>
      </c>
      <c r="B3606" t="s">
        <v>53</v>
      </c>
      <c r="C3606" s="1" t="s">
        <v>48</v>
      </c>
      <c r="D3606" s="3">
        <v>33</v>
      </c>
      <c r="E3606" s="3">
        <v>33</v>
      </c>
      <c r="F3606" s="3">
        <v>20.440000000000001</v>
      </c>
      <c r="G3606" s="3">
        <v>0</v>
      </c>
      <c r="H3606" s="3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 s="3">
        <v>29</v>
      </c>
      <c r="N3606" s="3">
        <v>99.19</v>
      </c>
      <c r="O3606" s="12">
        <v>29.462365591397852</v>
      </c>
    </row>
    <row r="3607" spans="1:15" hidden="1" x14ac:dyDescent="0.25">
      <c r="A3607" s="7">
        <v>46161</v>
      </c>
      <c r="B3607" s="8" t="s">
        <v>41</v>
      </c>
      <c r="C3607" s="1" t="s">
        <v>32</v>
      </c>
      <c r="D3607" s="3">
        <v>27</v>
      </c>
      <c r="E3607" s="3">
        <v>26</v>
      </c>
      <c r="F3607" s="3">
        <v>15.39</v>
      </c>
      <c r="G3607" s="3">
        <v>0</v>
      </c>
      <c r="H3607" s="3">
        <v>0</v>
      </c>
      <c r="I3607" s="3">
        <f>E3607+G3607+H3607</f>
        <v>26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29</v>
      </c>
      <c r="K3607" s="3">
        <f>I3607-J3607</f>
        <v>-3</v>
      </c>
      <c r="L3607" s="3" t="str">
        <f>IF(K3607&lt;-5,"CRÍTICO",IF(K3607&lt;0,"ATENÇÃO",IF(K3607&lt;=5,"OPORTUNO","MUITO BOM")))</f>
        <v>ATENÇÃO</v>
      </c>
      <c r="M3607" s="3">
        <v>24</v>
      </c>
      <c r="N3607" s="3">
        <v>100</v>
      </c>
      <c r="O3607" s="12">
        <v>18.244803695150122</v>
      </c>
    </row>
    <row r="3608" spans="1:15" hidden="1" x14ac:dyDescent="0.25">
      <c r="A3608" s="10">
        <v>46114</v>
      </c>
      <c r="B3608" t="s">
        <v>54</v>
      </c>
      <c r="C3608" s="1" t="s">
        <v>48</v>
      </c>
      <c r="D3608" s="3">
        <v>36</v>
      </c>
      <c r="E3608" s="3">
        <v>34</v>
      </c>
      <c r="F3608" s="3">
        <v>16.579999999999998</v>
      </c>
      <c r="G3608" s="3">
        <v>0</v>
      </c>
      <c r="H3608" s="3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 s="3">
        <v>30</v>
      </c>
      <c r="N3608" s="3">
        <v>100</v>
      </c>
      <c r="O3608" s="12">
        <v>28.921568627450981</v>
      </c>
    </row>
    <row r="3609" spans="1:15" hidden="1" x14ac:dyDescent="0.25">
      <c r="A3609" s="10">
        <v>46114</v>
      </c>
      <c r="B3609" t="s">
        <v>37</v>
      </c>
      <c r="C3609" s="1" t="s">
        <v>32</v>
      </c>
      <c r="D3609" s="3">
        <v>56</v>
      </c>
      <c r="E3609" s="3">
        <v>50</v>
      </c>
      <c r="F3609" s="3">
        <v>12.22</v>
      </c>
      <c r="G3609" s="3">
        <v>0</v>
      </c>
      <c r="H3609" s="3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 s="3">
        <v>49</v>
      </c>
      <c r="N3609" s="3">
        <v>99.57</v>
      </c>
      <c r="O3609" s="12">
        <v>30.635838150289018</v>
      </c>
    </row>
    <row r="3610" spans="1:15" hidden="1" x14ac:dyDescent="0.25">
      <c r="A3610" s="10">
        <v>46114</v>
      </c>
      <c r="B3610" t="s">
        <v>38</v>
      </c>
      <c r="C3610" s="1" t="s">
        <v>32</v>
      </c>
      <c r="D3610" s="3">
        <v>12</v>
      </c>
      <c r="E3610" s="3">
        <v>12</v>
      </c>
      <c r="F3610" s="3">
        <v>18.309999999999999</v>
      </c>
      <c r="G3610" s="3">
        <v>0</v>
      </c>
      <c r="H3610" s="3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 s="3">
        <v>10</v>
      </c>
      <c r="N3610" s="3">
        <v>95.65</v>
      </c>
      <c r="O3610" s="12">
        <v>32.432432432432442</v>
      </c>
    </row>
    <row r="3611" spans="1:15" hidden="1" x14ac:dyDescent="0.25">
      <c r="A3611" s="10">
        <v>46114</v>
      </c>
      <c r="B3611" t="s">
        <v>55</v>
      </c>
      <c r="C3611" s="1" t="s">
        <v>48</v>
      </c>
      <c r="D3611" s="3">
        <v>18</v>
      </c>
      <c r="E3611" s="3">
        <v>18</v>
      </c>
      <c r="F3611" s="3">
        <v>18.350000000000001</v>
      </c>
      <c r="G3611" s="3">
        <v>0</v>
      </c>
      <c r="H3611" s="3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 s="3">
        <v>15</v>
      </c>
      <c r="N3611" s="3">
        <v>98.81</v>
      </c>
      <c r="O3611" s="12">
        <v>26.256983240223459</v>
      </c>
    </row>
    <row r="3612" spans="1:15" hidden="1" x14ac:dyDescent="0.25">
      <c r="A3612" s="10">
        <v>46114</v>
      </c>
      <c r="B3612" t="s">
        <v>39</v>
      </c>
      <c r="C3612" s="1" t="s">
        <v>32</v>
      </c>
      <c r="D3612" s="3">
        <v>0</v>
      </c>
      <c r="E3612" s="3">
        <v>0</v>
      </c>
      <c r="F3612" s="3">
        <v>0</v>
      </c>
      <c r="G3612" s="3">
        <v>0</v>
      </c>
      <c r="H3612" s="3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 s="3">
        <v>0</v>
      </c>
      <c r="N3612" s="3">
        <v>0</v>
      </c>
      <c r="O3612" s="12">
        <v>0</v>
      </c>
    </row>
    <row r="3613" spans="1:15" hidden="1" x14ac:dyDescent="0.25">
      <c r="A3613" s="10">
        <v>46114</v>
      </c>
      <c r="B3613" t="s">
        <v>25</v>
      </c>
      <c r="C3613" s="1" t="s">
        <v>26</v>
      </c>
      <c r="D3613" s="3">
        <v>22</v>
      </c>
      <c r="E3613" s="3">
        <v>22</v>
      </c>
      <c r="F3613" s="3">
        <v>18.440000000000001</v>
      </c>
      <c r="G3613" s="3">
        <v>0</v>
      </c>
      <c r="H3613" s="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 s="3">
        <v>20</v>
      </c>
      <c r="N3613" s="3">
        <v>97.17</v>
      </c>
      <c r="O3613" s="12">
        <v>28.81844380403458</v>
      </c>
    </row>
    <row r="3614" spans="1:15" hidden="1" x14ac:dyDescent="0.25">
      <c r="A3614" s="10">
        <v>46114</v>
      </c>
      <c r="B3614" t="s">
        <v>40</v>
      </c>
      <c r="C3614" s="1" t="s">
        <v>32</v>
      </c>
      <c r="D3614" s="3">
        <v>6</v>
      </c>
      <c r="E3614" s="3">
        <v>6</v>
      </c>
      <c r="F3614" s="3">
        <v>24.18</v>
      </c>
      <c r="G3614" s="3">
        <v>0</v>
      </c>
      <c r="H3614" s="3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 s="3">
        <v>6</v>
      </c>
      <c r="N3614" s="3">
        <v>96.81</v>
      </c>
      <c r="O3614" s="12">
        <v>48.018648018648022</v>
      </c>
    </row>
    <row r="3615" spans="1:15" hidden="1" x14ac:dyDescent="0.25">
      <c r="A3615" s="10">
        <v>46114</v>
      </c>
      <c r="B3615" t="s">
        <v>27</v>
      </c>
      <c r="C3615" s="1" t="s">
        <v>26</v>
      </c>
      <c r="D3615" s="3">
        <v>22</v>
      </c>
      <c r="E3615" s="3">
        <v>21</v>
      </c>
      <c r="F3615" s="3">
        <v>25.36</v>
      </c>
      <c r="G3615" s="3">
        <v>0</v>
      </c>
      <c r="H3615" s="3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 s="3">
        <v>19</v>
      </c>
      <c r="N3615" s="3">
        <v>98.15</v>
      </c>
      <c r="O3615" s="12">
        <v>27.1551724137931</v>
      </c>
    </row>
    <row r="3616" spans="1:15" hidden="1" x14ac:dyDescent="0.25">
      <c r="A3616" s="10">
        <v>46114</v>
      </c>
      <c r="B3616" t="s">
        <v>41</v>
      </c>
      <c r="C3616" s="1" t="s">
        <v>32</v>
      </c>
      <c r="D3616" s="3">
        <v>40</v>
      </c>
      <c r="E3616" s="3">
        <v>38</v>
      </c>
      <c r="F3616" s="3">
        <v>13.41</v>
      </c>
      <c r="G3616" s="3">
        <v>0</v>
      </c>
      <c r="H3616" s="3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 s="3">
        <v>35</v>
      </c>
      <c r="N3616" s="3">
        <v>99.15</v>
      </c>
      <c r="O3616" s="12">
        <v>27.586206896551719</v>
      </c>
    </row>
    <row r="3617" spans="1:15" hidden="1" x14ac:dyDescent="0.25">
      <c r="A3617" s="10">
        <v>46114</v>
      </c>
      <c r="B3617" t="s">
        <v>56</v>
      </c>
      <c r="C3617" s="1" t="s">
        <v>48</v>
      </c>
      <c r="D3617" s="3">
        <v>37</v>
      </c>
      <c r="E3617" s="3">
        <v>35</v>
      </c>
      <c r="F3617" s="3">
        <v>20.239999999999998</v>
      </c>
      <c r="G3617" s="3">
        <v>0</v>
      </c>
      <c r="H3617" s="3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 s="3">
        <v>20</v>
      </c>
      <c r="N3617" s="3">
        <v>99.17</v>
      </c>
      <c r="O3617" s="12">
        <v>29.75206611570248</v>
      </c>
    </row>
    <row r="3618" spans="1:15" hidden="1" x14ac:dyDescent="0.25">
      <c r="A3618" s="10">
        <v>46114</v>
      </c>
      <c r="B3618" t="s">
        <v>57</v>
      </c>
      <c r="C3618" s="1" t="s">
        <v>48</v>
      </c>
      <c r="D3618" s="3">
        <v>45</v>
      </c>
      <c r="E3618" s="3">
        <v>42</v>
      </c>
      <c r="F3618" s="3">
        <v>16.47</v>
      </c>
      <c r="G3618" s="3">
        <v>0</v>
      </c>
      <c r="H3618" s="3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 s="3">
        <v>39</v>
      </c>
      <c r="N3618" s="3">
        <v>98.73</v>
      </c>
      <c r="O3618" s="12">
        <v>28.961748633879779</v>
      </c>
    </row>
    <row r="3619" spans="1:15" hidden="1" x14ac:dyDescent="0.25">
      <c r="A3619" s="10">
        <v>46114</v>
      </c>
      <c r="B3619" t="s">
        <v>42</v>
      </c>
      <c r="C3619" s="1" t="s">
        <v>32</v>
      </c>
      <c r="D3619" s="3">
        <v>44</v>
      </c>
      <c r="E3619" s="3">
        <v>32</v>
      </c>
      <c r="F3619" s="3">
        <v>14.1</v>
      </c>
      <c r="G3619" s="3">
        <v>0</v>
      </c>
      <c r="H3619" s="3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 s="3">
        <v>27</v>
      </c>
      <c r="N3619" s="3">
        <v>88.68</v>
      </c>
      <c r="O3619" s="12">
        <v>22.03389830508474</v>
      </c>
    </row>
    <row r="3620" spans="1:15" hidden="1" x14ac:dyDescent="0.25">
      <c r="A3620" s="10">
        <v>46114</v>
      </c>
      <c r="B3620" t="s">
        <v>62</v>
      </c>
      <c r="C3620" s="1" t="s">
        <v>23</v>
      </c>
      <c r="D3620" s="3">
        <v>28</v>
      </c>
      <c r="E3620" s="3">
        <v>27</v>
      </c>
      <c r="F3620" s="3">
        <v>15.3</v>
      </c>
      <c r="G3620" s="3">
        <v>0</v>
      </c>
      <c r="H3620" s="3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 s="3">
        <v>28</v>
      </c>
      <c r="N3620" s="3">
        <v>97.37</v>
      </c>
      <c r="O3620" s="12">
        <v>25.76530612244898</v>
      </c>
    </row>
    <row r="3621" spans="1:15" hidden="1" x14ac:dyDescent="0.25">
      <c r="A3621" s="10">
        <v>46114</v>
      </c>
      <c r="B3621" t="s">
        <v>19</v>
      </c>
      <c r="C3621" s="1" t="s">
        <v>16</v>
      </c>
      <c r="D3621" s="3">
        <v>10</v>
      </c>
      <c r="E3621" s="3">
        <v>10</v>
      </c>
      <c r="F3621" s="3">
        <v>23.32</v>
      </c>
      <c r="G3621" s="3">
        <v>0</v>
      </c>
      <c r="H3621" s="3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 s="3">
        <v>7</v>
      </c>
      <c r="N3621" s="3">
        <v>100</v>
      </c>
      <c r="O3621" s="12">
        <v>25</v>
      </c>
    </row>
    <row r="3622" spans="1:15" hidden="1" x14ac:dyDescent="0.25">
      <c r="A3622" s="10">
        <v>46134</v>
      </c>
      <c r="B3622" t="s">
        <v>43</v>
      </c>
      <c r="C3622" s="1" t="s">
        <v>32</v>
      </c>
      <c r="D3622" s="3">
        <v>22</v>
      </c>
      <c r="E3622" s="3">
        <v>21</v>
      </c>
      <c r="F3622" s="3">
        <v>14.13</v>
      </c>
      <c r="G3622" s="3">
        <v>0</v>
      </c>
      <c r="H3622" s="3">
        <v>0</v>
      </c>
      <c r="I3622" s="3">
        <f>E3622+G3622+H3622</f>
        <v>21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23</v>
      </c>
      <c r="K3622" s="3">
        <f>I3622-J3622</f>
        <v>-2</v>
      </c>
      <c r="L3622" s="3" t="str">
        <f>IF(K3622&lt;-5,"CRÍTICO",IF(K3622&lt;0,"ATENÇÃO",IF(K3622&lt;=5,"OPORTUNO","MUITO BOM")))</f>
        <v>ATENÇÃO</v>
      </c>
      <c r="M3622" s="3">
        <v>31</v>
      </c>
      <c r="N3622" s="3">
        <v>100</v>
      </c>
      <c r="O3622" s="12">
        <v>23.9870340356564</v>
      </c>
    </row>
    <row r="3623" spans="1:15" hidden="1" x14ac:dyDescent="0.25">
      <c r="A3623" s="10">
        <v>46114</v>
      </c>
      <c r="B3623" t="s">
        <v>44</v>
      </c>
      <c r="C3623" s="1" t="s">
        <v>32</v>
      </c>
      <c r="D3623" s="3">
        <v>38</v>
      </c>
      <c r="E3623" s="3">
        <v>32</v>
      </c>
      <c r="F3623" s="3">
        <v>12.01</v>
      </c>
      <c r="G3623" s="3">
        <v>0</v>
      </c>
      <c r="H3623" s="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 s="3">
        <v>29</v>
      </c>
      <c r="N3623" s="3">
        <v>95.49</v>
      </c>
      <c r="O3623" s="12">
        <v>28.370221327967808</v>
      </c>
    </row>
    <row r="3624" spans="1:15" hidden="1" x14ac:dyDescent="0.25">
      <c r="A3624" s="10">
        <v>46142</v>
      </c>
      <c r="B3624" t="s">
        <v>20</v>
      </c>
      <c r="C3624" s="1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>E3624+G3624+H3624</f>
        <v>17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9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 s="3">
        <v>7</v>
      </c>
      <c r="N3624" s="3">
        <v>100</v>
      </c>
      <c r="O3624" s="12">
        <v>23.77622377622378</v>
      </c>
    </row>
    <row r="3625" spans="1:15" hidden="1" x14ac:dyDescent="0.25">
      <c r="A3625" s="10">
        <v>46114</v>
      </c>
      <c r="B3625" t="s">
        <v>28</v>
      </c>
      <c r="C3625" s="1" t="s">
        <v>26</v>
      </c>
      <c r="D3625" s="3">
        <v>21</v>
      </c>
      <c r="E3625" s="3">
        <v>17</v>
      </c>
      <c r="F3625" s="3">
        <v>20.36</v>
      </c>
      <c r="G3625" s="3">
        <v>0</v>
      </c>
      <c r="H3625" s="3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 s="3">
        <v>16</v>
      </c>
      <c r="N3625" s="3">
        <v>96.15</v>
      </c>
      <c r="O3625" s="12">
        <v>24.045801526717561</v>
      </c>
    </row>
    <row r="3626" spans="1:15" hidden="1" x14ac:dyDescent="0.25">
      <c r="A3626" s="10">
        <v>46114</v>
      </c>
      <c r="B3626" t="s">
        <v>58</v>
      </c>
      <c r="C3626" s="1" t="s">
        <v>48</v>
      </c>
      <c r="D3626" s="3">
        <v>19</v>
      </c>
      <c r="E3626" s="3">
        <v>18</v>
      </c>
      <c r="F3626" s="3">
        <v>14.17</v>
      </c>
      <c r="G3626" s="3">
        <v>0</v>
      </c>
      <c r="H3626" s="3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 s="3">
        <v>15</v>
      </c>
      <c r="N3626" s="3">
        <v>99.02</v>
      </c>
      <c r="O3626" s="12">
        <v>34.797297297297298</v>
      </c>
    </row>
    <row r="3627" spans="1:15" hidden="1" x14ac:dyDescent="0.25">
      <c r="A3627" s="10">
        <v>46114</v>
      </c>
      <c r="B3627" t="s">
        <v>29</v>
      </c>
      <c r="C3627" s="1" t="s">
        <v>26</v>
      </c>
      <c r="D3627" s="3">
        <v>22</v>
      </c>
      <c r="E3627" s="3">
        <v>21</v>
      </c>
      <c r="F3627" s="3">
        <v>15.57</v>
      </c>
      <c r="G3627" s="3">
        <v>0</v>
      </c>
      <c r="H3627" s="3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 s="3">
        <v>18</v>
      </c>
      <c r="N3627" s="3">
        <v>98.84</v>
      </c>
      <c r="O3627" s="12">
        <v>31.868131868131869</v>
      </c>
    </row>
    <row r="3628" spans="1:15" hidden="1" x14ac:dyDescent="0.25">
      <c r="A3628" s="10">
        <v>46114</v>
      </c>
      <c r="B3628" t="s">
        <v>30</v>
      </c>
      <c r="C3628" s="1" t="s">
        <v>26</v>
      </c>
      <c r="D3628" s="3">
        <v>17</v>
      </c>
      <c r="E3628" s="3">
        <v>17</v>
      </c>
      <c r="F3628" s="3">
        <v>24.14</v>
      </c>
      <c r="G3628" s="3">
        <v>0</v>
      </c>
      <c r="H3628" s="3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 s="3">
        <v>15</v>
      </c>
      <c r="N3628" s="3">
        <v>100</v>
      </c>
      <c r="O3628" s="12">
        <v>34.666666666666671</v>
      </c>
    </row>
    <row r="3629" spans="1:15" hidden="1" x14ac:dyDescent="0.25">
      <c r="A3629" s="10">
        <v>46142</v>
      </c>
      <c r="B3629" t="s">
        <v>21</v>
      </c>
      <c r="C3629" s="1" t="s">
        <v>16</v>
      </c>
      <c r="D3629" s="3">
        <v>18</v>
      </c>
      <c r="E3629" s="3">
        <v>17</v>
      </c>
      <c r="F3629" s="3">
        <v>28.41</v>
      </c>
      <c r="G3629" s="3">
        <v>0</v>
      </c>
      <c r="H3629" s="3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9</v>
      </c>
      <c r="K3629" s="3">
        <f>I3629-J3629</f>
        <v>8</v>
      </c>
      <c r="L3629" s="3" t="str">
        <f>IF(K3629&lt;-5,"CRÍTICO",IF(K3629&lt;0,"ATENÇÃO",IF(K3629&lt;=5,"OPORTUNO","MUITO BOM")))</f>
        <v>MUITO BOM</v>
      </c>
      <c r="M3629" s="3">
        <v>13</v>
      </c>
      <c r="N3629" s="3">
        <v>94.12</v>
      </c>
      <c r="O3629" s="12">
        <v>32.799999999999997</v>
      </c>
    </row>
    <row r="3630" spans="1:15" hidden="1" x14ac:dyDescent="0.25">
      <c r="A3630" s="10">
        <v>46114</v>
      </c>
      <c r="B3630" t="s">
        <v>63</v>
      </c>
      <c r="C3630" s="1" t="s">
        <v>23</v>
      </c>
      <c r="D3630" s="3">
        <v>33</v>
      </c>
      <c r="E3630" s="3">
        <v>29</v>
      </c>
      <c r="F3630" s="3">
        <v>13.5</v>
      </c>
      <c r="G3630" s="3">
        <v>0</v>
      </c>
      <c r="H3630" s="3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 s="3">
        <v>23</v>
      </c>
      <c r="N3630" s="3">
        <v>98.32</v>
      </c>
      <c r="O3630" s="12">
        <v>26.858513189448441</v>
      </c>
    </row>
    <row r="3631" spans="1:15" hidden="1" x14ac:dyDescent="0.25">
      <c r="A3631" s="10">
        <v>46114</v>
      </c>
      <c r="B3631" t="s">
        <v>45</v>
      </c>
      <c r="C3631" s="1" t="s">
        <v>32</v>
      </c>
      <c r="D3631" s="3">
        <v>41</v>
      </c>
      <c r="E3631" s="3">
        <v>38</v>
      </c>
      <c r="F3631" s="3">
        <v>15.29</v>
      </c>
      <c r="G3631" s="3">
        <v>0</v>
      </c>
      <c r="H3631" s="3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 s="3">
        <v>35</v>
      </c>
      <c r="N3631" s="3">
        <v>100</v>
      </c>
      <c r="O3631" s="12">
        <v>31.135531135531139</v>
      </c>
    </row>
    <row r="3632" spans="1:15" hidden="1" x14ac:dyDescent="0.25">
      <c r="A3632" s="10">
        <v>46114</v>
      </c>
      <c r="B3632" t="s">
        <v>64</v>
      </c>
      <c r="C3632" s="1" t="s">
        <v>23</v>
      </c>
      <c r="D3632" s="3">
        <v>20</v>
      </c>
      <c r="E3632" s="3">
        <v>18</v>
      </c>
      <c r="F3632" s="3">
        <v>22.3</v>
      </c>
      <c r="G3632" s="3">
        <v>0</v>
      </c>
      <c r="H3632" s="3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 s="3">
        <v>17</v>
      </c>
      <c r="N3632" s="3">
        <v>100</v>
      </c>
      <c r="O3632" s="12">
        <v>26.36986301369863</v>
      </c>
    </row>
    <row r="3633" spans="1:15" hidden="1" x14ac:dyDescent="0.25">
      <c r="A3633" s="10">
        <v>46114</v>
      </c>
      <c r="B3633" t="s">
        <v>46</v>
      </c>
      <c r="C3633" s="1" t="s">
        <v>32</v>
      </c>
      <c r="D3633" s="3">
        <v>36</v>
      </c>
      <c r="E3633" s="3">
        <v>32</v>
      </c>
      <c r="F3633" s="3">
        <v>15.15</v>
      </c>
      <c r="G3633" s="3">
        <v>0</v>
      </c>
      <c r="H3633" s="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 s="3">
        <v>28</v>
      </c>
      <c r="N3633" s="3">
        <v>99.21</v>
      </c>
      <c r="O3633" s="12">
        <v>25.188916876574311</v>
      </c>
    </row>
    <row r="3634" spans="1:15" hidden="1" x14ac:dyDescent="0.25">
      <c r="A3634" s="10">
        <v>46115</v>
      </c>
      <c r="B3634" t="s">
        <v>47</v>
      </c>
      <c r="C3634" s="1" t="s">
        <v>48</v>
      </c>
      <c r="D3634" s="3">
        <v>0</v>
      </c>
      <c r="E3634" s="3">
        <v>0</v>
      </c>
      <c r="F3634" s="3">
        <v>0</v>
      </c>
      <c r="G3634" s="3">
        <v>0</v>
      </c>
      <c r="H3634" s="3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 s="3">
        <v>0</v>
      </c>
      <c r="N3634" s="3">
        <v>100</v>
      </c>
      <c r="O3634" s="12">
        <v>32.764505119453922</v>
      </c>
    </row>
    <row r="3635" spans="1:15" hidden="1" x14ac:dyDescent="0.25">
      <c r="A3635" s="10">
        <v>46115</v>
      </c>
      <c r="B3635" t="s">
        <v>31</v>
      </c>
      <c r="C3635" s="1" t="s">
        <v>32</v>
      </c>
      <c r="D3635" s="3">
        <v>0</v>
      </c>
      <c r="E3635" s="3">
        <v>0</v>
      </c>
      <c r="F3635" s="3">
        <v>0</v>
      </c>
      <c r="G3635" s="3">
        <v>0</v>
      </c>
      <c r="H3635" s="3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 s="3">
        <v>0</v>
      </c>
      <c r="N3635" s="3">
        <v>98.66</v>
      </c>
      <c r="O3635" s="12">
        <v>35.416666666666671</v>
      </c>
    </row>
    <row r="3636" spans="1:15" hidden="1" x14ac:dyDescent="0.25">
      <c r="A3636" s="10">
        <v>46115</v>
      </c>
      <c r="B3636" t="s">
        <v>59</v>
      </c>
      <c r="C3636" s="1" t="s">
        <v>23</v>
      </c>
      <c r="D3636" s="3">
        <v>0</v>
      </c>
      <c r="E3636" s="3">
        <v>0</v>
      </c>
      <c r="F3636" s="3">
        <v>0</v>
      </c>
      <c r="G3636" s="3">
        <v>0</v>
      </c>
      <c r="H3636" s="3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 s="3">
        <v>0</v>
      </c>
      <c r="N3636" s="3">
        <v>99.32</v>
      </c>
      <c r="O3636" s="12">
        <v>30.648330058939099</v>
      </c>
    </row>
    <row r="3637" spans="1:15" hidden="1" x14ac:dyDescent="0.25">
      <c r="A3637" s="10">
        <v>46115</v>
      </c>
      <c r="B3637" t="s">
        <v>33</v>
      </c>
      <c r="C3637" s="1" t="s">
        <v>32</v>
      </c>
      <c r="D3637" s="3">
        <v>0</v>
      </c>
      <c r="E3637" s="3">
        <v>0</v>
      </c>
      <c r="F3637" s="3">
        <v>0</v>
      </c>
      <c r="G3637" s="3">
        <v>0</v>
      </c>
      <c r="H3637" s="3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 s="3">
        <v>0</v>
      </c>
      <c r="N3637" s="3">
        <v>100</v>
      </c>
      <c r="O3637" s="12">
        <v>27.803738317757009</v>
      </c>
    </row>
    <row r="3638" spans="1:15" hidden="1" x14ac:dyDescent="0.25">
      <c r="A3638" s="10">
        <v>46115</v>
      </c>
      <c r="B3638" t="s">
        <v>15</v>
      </c>
      <c r="C3638" s="1" t="s">
        <v>16</v>
      </c>
      <c r="D3638" s="3">
        <v>0</v>
      </c>
      <c r="E3638" s="3">
        <v>0</v>
      </c>
      <c r="F3638" s="3">
        <v>0</v>
      </c>
      <c r="G3638" s="3">
        <v>0</v>
      </c>
      <c r="H3638" s="3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 s="3">
        <v>0</v>
      </c>
      <c r="N3638" s="3">
        <v>96.74</v>
      </c>
      <c r="O3638" s="12">
        <v>28.67647058823529</v>
      </c>
    </row>
    <row r="3639" spans="1:15" hidden="1" x14ac:dyDescent="0.25">
      <c r="A3639" s="10">
        <v>46115</v>
      </c>
      <c r="B3639" t="s">
        <v>49</v>
      </c>
      <c r="C3639" s="1" t="s">
        <v>48</v>
      </c>
      <c r="D3639" s="3">
        <v>0</v>
      </c>
      <c r="E3639" s="3">
        <v>0</v>
      </c>
      <c r="F3639" s="3">
        <v>0</v>
      </c>
      <c r="G3639" s="3">
        <v>0</v>
      </c>
      <c r="H3639" s="3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 s="3">
        <v>0</v>
      </c>
      <c r="N3639" s="3">
        <v>98.82</v>
      </c>
      <c r="O3639" s="12">
        <v>30.741410488245929</v>
      </c>
    </row>
    <row r="3640" spans="1:15" hidden="1" x14ac:dyDescent="0.25">
      <c r="A3640" s="10">
        <v>46115</v>
      </c>
      <c r="B3640" t="s">
        <v>50</v>
      </c>
      <c r="C3640" s="1" t="s">
        <v>48</v>
      </c>
      <c r="D3640" s="3">
        <v>0</v>
      </c>
      <c r="E3640" s="3">
        <v>0</v>
      </c>
      <c r="F3640" s="3">
        <v>0</v>
      </c>
      <c r="G3640" s="3">
        <v>0</v>
      </c>
      <c r="H3640" s="3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 s="3">
        <v>0</v>
      </c>
      <c r="N3640" s="3">
        <v>98.2</v>
      </c>
      <c r="O3640" s="12">
        <v>27.170868347338931</v>
      </c>
    </row>
    <row r="3641" spans="1:15" hidden="1" x14ac:dyDescent="0.25">
      <c r="A3641" s="10">
        <v>46115</v>
      </c>
      <c r="B3641" t="s">
        <v>17</v>
      </c>
      <c r="C3641" s="1" t="s">
        <v>16</v>
      </c>
      <c r="D3641" s="3">
        <v>0</v>
      </c>
      <c r="E3641" s="3">
        <v>0</v>
      </c>
      <c r="F3641" s="3">
        <v>0</v>
      </c>
      <c r="G3641" s="3">
        <v>0</v>
      </c>
      <c r="H3641" s="3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 s="3">
        <v>0</v>
      </c>
      <c r="N3641" s="3">
        <v>100</v>
      </c>
      <c r="O3641" s="12">
        <v>23.134328358208951</v>
      </c>
    </row>
    <row r="3642" spans="1:15" hidden="1" x14ac:dyDescent="0.25">
      <c r="A3642" s="10">
        <v>46115</v>
      </c>
      <c r="B3642" t="s">
        <v>60</v>
      </c>
      <c r="C3642" s="1" t="s">
        <v>23</v>
      </c>
      <c r="D3642" s="3">
        <v>0</v>
      </c>
      <c r="E3642" s="3">
        <v>0</v>
      </c>
      <c r="F3642" s="3">
        <v>0</v>
      </c>
      <c r="G3642" s="3">
        <v>0</v>
      </c>
      <c r="H3642" s="3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 s="3">
        <v>0</v>
      </c>
      <c r="N3642" s="3">
        <v>96.3</v>
      </c>
      <c r="O3642" s="12">
        <v>32.219570405727922</v>
      </c>
    </row>
    <row r="3643" spans="1:15" hidden="1" x14ac:dyDescent="0.25">
      <c r="A3643" s="10">
        <v>46115</v>
      </c>
      <c r="B3643" t="s">
        <v>34</v>
      </c>
      <c r="C3643" s="1" t="s">
        <v>32</v>
      </c>
      <c r="D3643" s="3">
        <v>0</v>
      </c>
      <c r="E3643" s="3">
        <v>0</v>
      </c>
      <c r="F3643" s="3">
        <v>0</v>
      </c>
      <c r="G3643" s="3">
        <v>0</v>
      </c>
      <c r="H3643" s="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 s="3">
        <v>0</v>
      </c>
      <c r="N3643" s="3">
        <v>93.75</v>
      </c>
      <c r="O3643" s="12">
        <v>26.819923371647509</v>
      </c>
    </row>
    <row r="3644" spans="1:15" hidden="1" x14ac:dyDescent="0.25">
      <c r="A3644" s="10">
        <v>46115</v>
      </c>
      <c r="B3644" t="s">
        <v>51</v>
      </c>
      <c r="C3644" s="1" t="s">
        <v>48</v>
      </c>
      <c r="D3644" s="3">
        <v>0</v>
      </c>
      <c r="E3644" s="3">
        <v>0</v>
      </c>
      <c r="F3644" s="3">
        <v>0</v>
      </c>
      <c r="G3644" s="3">
        <v>0</v>
      </c>
      <c r="H3644" s="3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 s="3">
        <v>0</v>
      </c>
      <c r="N3644" s="3">
        <v>97.86</v>
      </c>
      <c r="O3644" s="12">
        <v>31.018518518518519</v>
      </c>
    </row>
    <row r="3645" spans="1:15" hidden="1" x14ac:dyDescent="0.25">
      <c r="A3645" s="10">
        <v>46115</v>
      </c>
      <c r="B3645" t="s">
        <v>61</v>
      </c>
      <c r="C3645" s="1" t="s">
        <v>23</v>
      </c>
      <c r="D3645" s="3">
        <v>0</v>
      </c>
      <c r="E3645" s="3">
        <v>0</v>
      </c>
      <c r="F3645" s="3">
        <v>0</v>
      </c>
      <c r="G3645" s="3">
        <v>0</v>
      </c>
      <c r="H3645" s="3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 s="3">
        <v>0</v>
      </c>
      <c r="N3645" s="3">
        <v>100</v>
      </c>
      <c r="O3645" s="12">
        <v>36.594202898550733</v>
      </c>
    </row>
    <row r="3646" spans="1:15" hidden="1" x14ac:dyDescent="0.25">
      <c r="A3646" s="10">
        <v>46115</v>
      </c>
      <c r="B3646" t="s">
        <v>35</v>
      </c>
      <c r="C3646" s="1" t="s">
        <v>32</v>
      </c>
      <c r="D3646" s="3">
        <v>0</v>
      </c>
      <c r="E3646" s="3">
        <v>0</v>
      </c>
      <c r="F3646" s="3">
        <v>0</v>
      </c>
      <c r="G3646" s="3">
        <v>0</v>
      </c>
      <c r="H3646" s="3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 s="3">
        <v>0</v>
      </c>
      <c r="N3646" s="3">
        <v>100</v>
      </c>
      <c r="O3646" s="12">
        <v>38.653846153846153</v>
      </c>
    </row>
    <row r="3647" spans="1:15" hidden="1" x14ac:dyDescent="0.25">
      <c r="A3647" s="10">
        <v>46115</v>
      </c>
      <c r="B3647" t="s">
        <v>18</v>
      </c>
      <c r="C3647" s="1" t="s">
        <v>16</v>
      </c>
      <c r="D3647" s="3">
        <v>0</v>
      </c>
      <c r="E3647" s="3">
        <v>0</v>
      </c>
      <c r="F3647" s="3">
        <v>0</v>
      </c>
      <c r="G3647" s="3">
        <v>0</v>
      </c>
      <c r="H3647" s="3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 s="3">
        <v>0</v>
      </c>
      <c r="N3647" s="3">
        <v>100</v>
      </c>
      <c r="O3647" s="12">
        <v>27.368421052631579</v>
      </c>
    </row>
    <row r="3648" spans="1:15" hidden="1" x14ac:dyDescent="0.25">
      <c r="A3648" s="10">
        <v>46115</v>
      </c>
      <c r="B3648" t="s">
        <v>52</v>
      </c>
      <c r="C3648" s="1" t="s">
        <v>48</v>
      </c>
      <c r="D3648" s="3">
        <v>0</v>
      </c>
      <c r="E3648" s="3">
        <v>0</v>
      </c>
      <c r="F3648" s="3">
        <v>0</v>
      </c>
      <c r="G3648" s="3">
        <v>0</v>
      </c>
      <c r="H3648" s="3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 s="3">
        <v>0</v>
      </c>
      <c r="N3648" s="3">
        <v>97.83</v>
      </c>
      <c r="O3648" s="12">
        <v>28.35164835164835</v>
      </c>
    </row>
    <row r="3649" spans="1:15" hidden="1" x14ac:dyDescent="0.25">
      <c r="A3649" s="10">
        <v>46115</v>
      </c>
      <c r="B3649" t="s">
        <v>36</v>
      </c>
      <c r="C3649" s="1" t="s">
        <v>32</v>
      </c>
      <c r="D3649" s="3">
        <v>0</v>
      </c>
      <c r="E3649" s="3">
        <v>0</v>
      </c>
      <c r="F3649" s="3">
        <v>0</v>
      </c>
      <c r="G3649" s="3">
        <v>0</v>
      </c>
      <c r="H3649" s="3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 s="3">
        <v>0</v>
      </c>
      <c r="N3649" s="3">
        <v>99.26</v>
      </c>
      <c r="O3649" s="12">
        <v>29.766536964980549</v>
      </c>
    </row>
    <row r="3650" spans="1:15" hidden="1" x14ac:dyDescent="0.25">
      <c r="A3650" s="10">
        <v>46115</v>
      </c>
      <c r="B3650" t="s">
        <v>53</v>
      </c>
      <c r="C3650" s="1" t="s">
        <v>48</v>
      </c>
      <c r="D3650" s="3">
        <v>0</v>
      </c>
      <c r="E3650" s="3">
        <v>0</v>
      </c>
      <c r="F3650" s="3">
        <v>0</v>
      </c>
      <c r="G3650" s="3">
        <v>0</v>
      </c>
      <c r="H3650" s="3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 s="3">
        <v>0</v>
      </c>
      <c r="N3650" s="3">
        <v>99.19</v>
      </c>
      <c r="O3650" s="12">
        <v>29.462365591397852</v>
      </c>
    </row>
    <row r="3651" spans="1:15" hidden="1" x14ac:dyDescent="0.25">
      <c r="A3651" s="7">
        <v>46161</v>
      </c>
      <c r="B3651" s="8" t="s">
        <v>42</v>
      </c>
      <c r="C3651" s="1" t="s">
        <v>32</v>
      </c>
      <c r="D3651" s="3">
        <v>22</v>
      </c>
      <c r="E3651" s="3">
        <v>20</v>
      </c>
      <c r="F3651" s="3">
        <v>21.49</v>
      </c>
      <c r="G3651" s="3">
        <v>0</v>
      </c>
      <c r="H3651" s="3">
        <v>0</v>
      </c>
      <c r="I3651" s="3">
        <f>E3651+G3651+H3651</f>
        <v>20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-9</v>
      </c>
      <c r="L3651" s="3" t="str">
        <f>IF(K3651&lt;-5,"CRÍTICO",IF(K3651&lt;0,"ATENÇÃO",IF(K3651&lt;=5,"OPORTUNO","MUITO BOM")))</f>
        <v>CRÍTICO</v>
      </c>
      <c r="M3651" s="3">
        <v>18</v>
      </c>
      <c r="N3651" s="3">
        <v>100</v>
      </c>
      <c r="O3651" s="12">
        <v>15.789473684210529</v>
      </c>
    </row>
    <row r="3652" spans="1:15" hidden="1" x14ac:dyDescent="0.25">
      <c r="A3652" s="10">
        <v>46115</v>
      </c>
      <c r="B3652" t="s">
        <v>54</v>
      </c>
      <c r="C3652" s="1" t="s">
        <v>48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 s="3">
        <v>0</v>
      </c>
      <c r="N3652" s="3">
        <v>100</v>
      </c>
      <c r="O3652" s="12">
        <v>28.921568627450981</v>
      </c>
    </row>
    <row r="3653" spans="1:15" hidden="1" x14ac:dyDescent="0.25">
      <c r="A3653" s="10">
        <v>46115</v>
      </c>
      <c r="B3653" t="s">
        <v>37</v>
      </c>
      <c r="C3653" s="1" t="s">
        <v>32</v>
      </c>
      <c r="D3653" s="3">
        <v>0</v>
      </c>
      <c r="E3653" s="3">
        <v>0</v>
      </c>
      <c r="F3653" s="3">
        <v>0</v>
      </c>
      <c r="G3653" s="3">
        <v>0</v>
      </c>
      <c r="H3653" s="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 s="3">
        <v>0</v>
      </c>
      <c r="N3653" s="3">
        <v>99.57</v>
      </c>
      <c r="O3653" s="12">
        <v>30.635838150289018</v>
      </c>
    </row>
    <row r="3654" spans="1:15" hidden="1" x14ac:dyDescent="0.25">
      <c r="A3654" s="10">
        <v>46115</v>
      </c>
      <c r="B3654" t="s">
        <v>38</v>
      </c>
      <c r="C3654" s="1" t="s">
        <v>32</v>
      </c>
      <c r="D3654" s="3">
        <v>0</v>
      </c>
      <c r="E3654" s="3">
        <v>0</v>
      </c>
      <c r="F3654" s="3">
        <v>0</v>
      </c>
      <c r="G3654" s="3">
        <v>0</v>
      </c>
      <c r="H3654" s="3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 s="3">
        <v>0</v>
      </c>
      <c r="N3654" s="3">
        <v>95.65</v>
      </c>
      <c r="O3654" s="12">
        <v>32.432432432432442</v>
      </c>
    </row>
    <row r="3655" spans="1:15" hidden="1" x14ac:dyDescent="0.25">
      <c r="A3655" s="10">
        <v>46115</v>
      </c>
      <c r="B3655" t="s">
        <v>55</v>
      </c>
      <c r="C3655" s="1" t="s">
        <v>48</v>
      </c>
      <c r="D3655" s="3">
        <v>0</v>
      </c>
      <c r="E3655" s="3">
        <v>0</v>
      </c>
      <c r="F3655" s="3">
        <v>0</v>
      </c>
      <c r="G3655" s="3">
        <v>0</v>
      </c>
      <c r="H3655" s="3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 s="3">
        <v>0</v>
      </c>
      <c r="N3655" s="3">
        <v>98.81</v>
      </c>
      <c r="O3655" s="12">
        <v>26.256983240223459</v>
      </c>
    </row>
    <row r="3656" spans="1:15" hidden="1" x14ac:dyDescent="0.25">
      <c r="A3656" s="10">
        <v>46115</v>
      </c>
      <c r="B3656" t="s">
        <v>39</v>
      </c>
      <c r="C3656" s="1" t="s">
        <v>32</v>
      </c>
      <c r="D3656" s="3">
        <v>0</v>
      </c>
      <c r="E3656" s="3">
        <v>0</v>
      </c>
      <c r="F3656" s="3">
        <v>0</v>
      </c>
      <c r="G3656" s="3">
        <v>0</v>
      </c>
      <c r="H3656" s="3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 s="3">
        <v>0</v>
      </c>
      <c r="N3656" s="3">
        <v>0</v>
      </c>
      <c r="O3656" s="12">
        <v>0</v>
      </c>
    </row>
    <row r="3657" spans="1:15" hidden="1" x14ac:dyDescent="0.25">
      <c r="A3657" s="10">
        <v>46115</v>
      </c>
      <c r="B3657" t="s">
        <v>25</v>
      </c>
      <c r="C3657" s="1" t="s">
        <v>26</v>
      </c>
      <c r="D3657" s="3">
        <v>0</v>
      </c>
      <c r="E3657" s="3">
        <v>0</v>
      </c>
      <c r="F3657" s="3">
        <v>0</v>
      </c>
      <c r="G3657" s="3">
        <v>0</v>
      </c>
      <c r="H3657" s="3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 s="3">
        <v>0</v>
      </c>
      <c r="N3657" s="3">
        <v>97.17</v>
      </c>
      <c r="O3657" s="12">
        <v>28.81844380403458</v>
      </c>
    </row>
    <row r="3658" spans="1:15" hidden="1" x14ac:dyDescent="0.25">
      <c r="A3658" s="10">
        <v>46115</v>
      </c>
      <c r="B3658" t="s">
        <v>40</v>
      </c>
      <c r="C3658" s="1" t="s">
        <v>32</v>
      </c>
      <c r="D3658" s="3">
        <v>0</v>
      </c>
      <c r="E3658" s="3">
        <v>0</v>
      </c>
      <c r="F3658" s="3">
        <v>0</v>
      </c>
      <c r="G3658" s="3">
        <v>0</v>
      </c>
      <c r="H3658" s="3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 s="3">
        <v>0</v>
      </c>
      <c r="N3658" s="3">
        <v>96.81</v>
      </c>
      <c r="O3658" s="12">
        <v>48.018648018648022</v>
      </c>
    </row>
    <row r="3659" spans="1:15" hidden="1" x14ac:dyDescent="0.25">
      <c r="A3659" s="10">
        <v>46115</v>
      </c>
      <c r="B3659" t="s">
        <v>27</v>
      </c>
      <c r="C3659" s="1" t="s">
        <v>26</v>
      </c>
      <c r="D3659" s="3">
        <v>0</v>
      </c>
      <c r="E3659" s="3">
        <v>0</v>
      </c>
      <c r="F3659" s="3">
        <v>0</v>
      </c>
      <c r="G3659" s="3">
        <v>0</v>
      </c>
      <c r="H3659" s="3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 s="3">
        <v>0</v>
      </c>
      <c r="N3659" s="3">
        <v>98.15</v>
      </c>
      <c r="O3659" s="12">
        <v>27.1551724137931</v>
      </c>
    </row>
    <row r="3660" spans="1:15" hidden="1" x14ac:dyDescent="0.25">
      <c r="A3660" s="10">
        <v>46115</v>
      </c>
      <c r="B3660" t="s">
        <v>41</v>
      </c>
      <c r="C3660" s="1" t="s">
        <v>32</v>
      </c>
      <c r="D3660" s="3">
        <v>0</v>
      </c>
      <c r="E3660" s="3">
        <v>0</v>
      </c>
      <c r="F3660" s="3">
        <v>0</v>
      </c>
      <c r="G3660" s="3">
        <v>0</v>
      </c>
      <c r="H3660" s="3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 s="3">
        <v>0</v>
      </c>
      <c r="N3660" s="3">
        <v>99.15</v>
      </c>
      <c r="O3660" s="12">
        <v>27.586206896551719</v>
      </c>
    </row>
    <row r="3661" spans="1:15" hidden="1" x14ac:dyDescent="0.25">
      <c r="A3661" s="10">
        <v>46115</v>
      </c>
      <c r="B3661" t="s">
        <v>56</v>
      </c>
      <c r="C3661" s="1" t="s">
        <v>48</v>
      </c>
      <c r="D3661" s="3">
        <v>0</v>
      </c>
      <c r="E3661" s="3">
        <v>0</v>
      </c>
      <c r="F3661" s="3">
        <v>0</v>
      </c>
      <c r="G3661" s="3">
        <v>0</v>
      </c>
      <c r="H3661" s="3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 s="3">
        <v>10</v>
      </c>
      <c r="N3661" s="3">
        <v>99.17</v>
      </c>
      <c r="O3661" s="12">
        <v>29.75206611570248</v>
      </c>
    </row>
    <row r="3662" spans="1:15" hidden="1" x14ac:dyDescent="0.25">
      <c r="A3662" s="10">
        <v>46115</v>
      </c>
      <c r="B3662" t="s">
        <v>57</v>
      </c>
      <c r="C3662" s="1" t="s">
        <v>48</v>
      </c>
      <c r="D3662" s="3">
        <v>0</v>
      </c>
      <c r="E3662" s="3">
        <v>0</v>
      </c>
      <c r="F3662" s="3">
        <v>0</v>
      </c>
      <c r="G3662" s="3">
        <v>0</v>
      </c>
      <c r="H3662" s="3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 s="3">
        <v>0</v>
      </c>
      <c r="N3662" s="3">
        <v>98.73</v>
      </c>
      <c r="O3662" s="12">
        <v>28.961748633879779</v>
      </c>
    </row>
    <row r="3663" spans="1:15" hidden="1" x14ac:dyDescent="0.25">
      <c r="A3663" s="10">
        <v>46115</v>
      </c>
      <c r="B3663" t="s">
        <v>42</v>
      </c>
      <c r="C3663" s="1" t="s">
        <v>32</v>
      </c>
      <c r="D3663" s="3">
        <v>0</v>
      </c>
      <c r="E3663" s="3">
        <v>0</v>
      </c>
      <c r="F3663" s="3">
        <v>0</v>
      </c>
      <c r="G3663" s="3">
        <v>0</v>
      </c>
      <c r="H3663" s="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 s="3">
        <v>0</v>
      </c>
      <c r="N3663" s="3">
        <v>88.68</v>
      </c>
      <c r="O3663" s="12">
        <v>22.03389830508474</v>
      </c>
    </row>
    <row r="3664" spans="1:15" hidden="1" x14ac:dyDescent="0.25">
      <c r="A3664" s="10">
        <v>46115</v>
      </c>
      <c r="B3664" t="s">
        <v>62</v>
      </c>
      <c r="C3664" s="1" t="s">
        <v>23</v>
      </c>
      <c r="D3664" s="3">
        <v>0</v>
      </c>
      <c r="E3664" s="3">
        <v>0</v>
      </c>
      <c r="F3664" s="3">
        <v>0</v>
      </c>
      <c r="G3664" s="3">
        <v>0</v>
      </c>
      <c r="H3664" s="3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 s="3">
        <v>0</v>
      </c>
      <c r="N3664" s="3">
        <v>97.37</v>
      </c>
      <c r="O3664" s="12">
        <v>25.76530612244898</v>
      </c>
    </row>
    <row r="3665" spans="1:15" hidden="1" x14ac:dyDescent="0.25">
      <c r="A3665" s="10">
        <v>46115</v>
      </c>
      <c r="B3665" t="s">
        <v>19</v>
      </c>
      <c r="C3665" s="1" t="s">
        <v>16</v>
      </c>
      <c r="D3665" s="3">
        <v>0</v>
      </c>
      <c r="E3665" s="3">
        <v>0</v>
      </c>
      <c r="F3665" s="3">
        <v>0</v>
      </c>
      <c r="G3665" s="3">
        <v>0</v>
      </c>
      <c r="H3665" s="3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 s="3">
        <v>0</v>
      </c>
      <c r="N3665" s="3">
        <v>100</v>
      </c>
      <c r="O3665" s="12">
        <v>25</v>
      </c>
    </row>
    <row r="3666" spans="1:15" hidden="1" x14ac:dyDescent="0.25">
      <c r="A3666" s="10">
        <v>46135</v>
      </c>
      <c r="B3666" t="s">
        <v>43</v>
      </c>
      <c r="C3666" s="1" t="s">
        <v>32</v>
      </c>
      <c r="D3666" s="3">
        <v>19</v>
      </c>
      <c r="E3666" s="3">
        <v>17</v>
      </c>
      <c r="F3666" s="3">
        <v>12.26</v>
      </c>
      <c r="G3666" s="3">
        <v>0</v>
      </c>
      <c r="H3666" s="3">
        <v>0</v>
      </c>
      <c r="I3666" s="3">
        <f>E3666+G3666+H3666</f>
        <v>17</v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>25</v>
      </c>
      <c r="K3666" s="3">
        <f>I3666-J3666</f>
        <v>-8</v>
      </c>
      <c r="L3666" s="3" t="str">
        <f>IF(K3666&lt;-5,"CRÍTICO",IF(K3666&lt;0,"ATENÇÃO",IF(K3666&lt;=5,"OPORTUNO","MUITO BOM")))</f>
        <v>CRÍTICO</v>
      </c>
      <c r="M3666" s="3">
        <v>26</v>
      </c>
      <c r="N3666" s="3">
        <v>100</v>
      </c>
      <c r="O3666" s="12">
        <v>23.9870340356564</v>
      </c>
    </row>
    <row r="3667" spans="1:15" hidden="1" x14ac:dyDescent="0.25">
      <c r="A3667" s="10">
        <v>46115</v>
      </c>
      <c r="B3667" t="s">
        <v>44</v>
      </c>
      <c r="C3667" s="1" t="s">
        <v>32</v>
      </c>
      <c r="D3667" s="3">
        <v>0</v>
      </c>
      <c r="E3667" s="3">
        <v>0</v>
      </c>
      <c r="F3667" s="3">
        <v>0</v>
      </c>
      <c r="G3667" s="3">
        <v>0</v>
      </c>
      <c r="H3667" s="3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 s="3">
        <v>0</v>
      </c>
      <c r="N3667" s="3">
        <v>95.49</v>
      </c>
      <c r="O3667" s="12">
        <v>28.370221327967808</v>
      </c>
    </row>
    <row r="3668" spans="1:15" hidden="1" x14ac:dyDescent="0.25">
      <c r="A3668" s="7">
        <v>46161</v>
      </c>
      <c r="B3668" s="8" t="s">
        <v>44</v>
      </c>
      <c r="C3668" s="1" t="s">
        <v>32</v>
      </c>
      <c r="D3668" s="3">
        <v>35</v>
      </c>
      <c r="E3668" s="3">
        <v>31</v>
      </c>
      <c r="F3668" s="3">
        <v>10.43</v>
      </c>
      <c r="G3668" s="3">
        <v>4</v>
      </c>
      <c r="H3668" s="3">
        <v>0</v>
      </c>
      <c r="I3668" s="3">
        <f>E3668+G3668+H3668</f>
        <v>35</v>
      </c>
      <c r="J3668" s="3">
        <f>ROUND(MIN(IF(C3668="Técnico III",35,IF(C3668="Técnico II",28,IF(C3668="Técnico I",23,IF(C3668="JR",20,IF(C3668="Estágio",10,0))))),IF(C3668="Técnico III",SUMIFS($D:$D,$A:$A,$A3668,$B:$B,"&lt;&gt;Patrícia Karla de Sousa Araújo",$B:$B,"&lt;&gt;Lorena Dias de Araujo",$B:$B,"&lt;&gt;Lucas Luiz Romero")*(35/1083),IF(C3668="Técnico II",SUMIFS($D:$D,$A:$A,$A3668,$B:$B,"&lt;&gt;Patrícia Karla de Sousa Araújo",$B:$B,"&lt;&gt;Lorena Dias de Araujo",$B:$B,"&lt;&gt;Lucas Luiz Romero")*(28/1083),IF(C3668="Técnico I",SUMIFS($D:$D,$A:$A,$A3668,$B:$B,"&lt;&gt;Patrícia Karla de Sousa Araújo",$B:$B,"&lt;&gt;Lorena Dias de Araujo",$B:$B,"&lt;&gt;Lucas Luiz Romero")*(23/1083),IF(C3668="JR",SUMIFS($D:$D,$A:$A,$A3668,$B:$B,"&lt;&gt;Patrícia Karla de Sousa Araújo",$B:$B,"&lt;&gt;Lorena Dias de Araujo",$B:$B,"&lt;&gt;Lucas Luiz Romero")*(20/1083),IF(C3668="Estágio",SUMIFS($D:$D,$A:$A,$A3668,$B:$B,"&lt;&gt;Patrícia Karla de Sousa Araújo",$B:$B,"&lt;&gt;Lorena Dias de Araujo",$B:$B,"&lt;&gt;Lucas Luiz Romero")*(10/1083),0)))))),0)</f>
        <v>29</v>
      </c>
      <c r="K3668" s="3">
        <f>I3668-J3668</f>
        <v>6</v>
      </c>
      <c r="L3668" s="3" t="str">
        <f>IF(K3668&lt;-5,"CRÍTICO",IF(K3668&lt;0,"ATENÇÃO",IF(K3668&lt;=5,"OPORTUNO","MUITO BOM")))</f>
        <v>MUITO BOM</v>
      </c>
      <c r="M3668" s="3">
        <v>30</v>
      </c>
      <c r="N3668" s="3">
        <v>96.38</v>
      </c>
      <c r="O3668" s="12">
        <v>23.198198198198199</v>
      </c>
    </row>
    <row r="3669" spans="1:15" hidden="1" x14ac:dyDescent="0.25">
      <c r="A3669" s="10">
        <v>46115</v>
      </c>
      <c r="B3669" t="s">
        <v>28</v>
      </c>
      <c r="C3669" s="1" t="s">
        <v>26</v>
      </c>
      <c r="D3669" s="3">
        <v>0</v>
      </c>
      <c r="E3669" s="3">
        <v>0</v>
      </c>
      <c r="F3669" s="3">
        <v>0</v>
      </c>
      <c r="G3669" s="3">
        <v>0</v>
      </c>
      <c r="H3669" s="3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 s="3">
        <v>0</v>
      </c>
      <c r="N3669" s="3">
        <v>96.15</v>
      </c>
      <c r="O3669" s="12">
        <v>24.045801526717561</v>
      </c>
    </row>
    <row r="3670" spans="1:15" hidden="1" x14ac:dyDescent="0.25">
      <c r="A3670" s="10">
        <v>46115</v>
      </c>
      <c r="B3670" t="s">
        <v>58</v>
      </c>
      <c r="C3670" s="1" t="s">
        <v>48</v>
      </c>
      <c r="D3670" s="3">
        <v>0</v>
      </c>
      <c r="E3670" s="3">
        <v>0</v>
      </c>
      <c r="F3670" s="3">
        <v>0</v>
      </c>
      <c r="G3670" s="3">
        <v>0</v>
      </c>
      <c r="H3670" s="3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 s="3">
        <v>0</v>
      </c>
      <c r="N3670" s="3">
        <v>99.02</v>
      </c>
      <c r="O3670" s="12">
        <v>34.797297297297298</v>
      </c>
    </row>
    <row r="3671" spans="1:15" hidden="1" x14ac:dyDescent="0.25">
      <c r="A3671" s="10">
        <v>46115</v>
      </c>
      <c r="B3671" t="s">
        <v>29</v>
      </c>
      <c r="C3671" s="1" t="s">
        <v>26</v>
      </c>
      <c r="D3671" s="3">
        <v>0</v>
      </c>
      <c r="E3671" s="3">
        <v>0</v>
      </c>
      <c r="F3671" s="3">
        <v>0</v>
      </c>
      <c r="G3671" s="3">
        <v>0</v>
      </c>
      <c r="H3671" s="3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 s="3">
        <v>0</v>
      </c>
      <c r="N3671" s="3">
        <v>98.84</v>
      </c>
      <c r="O3671" s="12">
        <v>31.868131868131869</v>
      </c>
    </row>
    <row r="3672" spans="1:15" hidden="1" x14ac:dyDescent="0.25">
      <c r="A3672" s="10">
        <v>46115</v>
      </c>
      <c r="B3672" t="s">
        <v>30</v>
      </c>
      <c r="C3672" s="1" t="s">
        <v>26</v>
      </c>
      <c r="D3672" s="3">
        <v>0</v>
      </c>
      <c r="E3672" s="3">
        <v>0</v>
      </c>
      <c r="F3672" s="3">
        <v>0</v>
      </c>
      <c r="G3672" s="3">
        <v>0</v>
      </c>
      <c r="H3672" s="3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 s="3">
        <v>0</v>
      </c>
      <c r="N3672" s="3">
        <v>100</v>
      </c>
      <c r="O3672" s="12">
        <v>34.666666666666671</v>
      </c>
    </row>
    <row r="3673" spans="1:15" hidden="1" x14ac:dyDescent="0.25">
      <c r="A3673" s="7">
        <v>46161</v>
      </c>
      <c r="B3673" s="8" t="s">
        <v>45</v>
      </c>
      <c r="C3673" s="1" t="s">
        <v>32</v>
      </c>
      <c r="D3673" s="3">
        <v>39</v>
      </c>
      <c r="E3673" s="3">
        <v>35</v>
      </c>
      <c r="F3673" s="3">
        <v>10.55</v>
      </c>
      <c r="G3673" s="3">
        <v>3</v>
      </c>
      <c r="H3673" s="3">
        <v>0</v>
      </c>
      <c r="I3673" s="3">
        <f>E3673+G3673+H3673</f>
        <v>38</v>
      </c>
      <c r="J3673" s="3">
        <f>ROUND(MIN(IF(C3673="Técnico III",35,IF(C3673="Técnico II",28,IF(C3673="Técnico I",23,IF(C3673="JR",20,IF(C3673="Estágio",10,0))))),IF(C3673="Técnico III",SUMIFS($D:$D,$A:$A,$A3673,$B:$B,"&lt;&gt;Patrícia Karla de Sousa Araújo",$B:$B,"&lt;&gt;Lorena Dias de Araujo",$B:$B,"&lt;&gt;Lucas Luiz Romero")*(35/1083),IF(C3673="Técnico II",SUMIFS($D:$D,$A:$A,$A3673,$B:$B,"&lt;&gt;Patrícia Karla de Sousa Araújo",$B:$B,"&lt;&gt;Lorena Dias de Araujo",$B:$B,"&lt;&gt;Lucas Luiz Romero")*(28/1083),IF(C3673="Técnico I",SUMIFS($D:$D,$A:$A,$A3673,$B:$B,"&lt;&gt;Patrícia Karla de Sousa Araújo",$B:$B,"&lt;&gt;Lorena Dias de Araujo",$B:$B,"&lt;&gt;Lucas Luiz Romero")*(23/1083),IF(C3673="JR",SUMIFS($D:$D,$A:$A,$A3673,$B:$B,"&lt;&gt;Patrícia Karla de Sousa Araújo",$B:$B,"&lt;&gt;Lorena Dias de Araujo",$B:$B,"&lt;&gt;Lucas Luiz Romero")*(20/1083),IF(C3673="Estágio",SUMIFS($D:$D,$A:$A,$A3673,$B:$B,"&lt;&gt;Patrícia Karla de Sousa Araújo",$B:$B,"&lt;&gt;Lorena Dias de Araujo",$B:$B,"&lt;&gt;Lucas Luiz Romero")*(10/1083),0)))))),0)</f>
        <v>29</v>
      </c>
      <c r="K3673" s="3">
        <f>I3673-J3673</f>
        <v>9</v>
      </c>
      <c r="L3673" s="3" t="str">
        <f>IF(K3673&lt;-5,"CRÍTICO",IF(K3673&lt;0,"ATENÇÃO",IF(K3673&lt;=5,"OPORTUNO","MUITO BOM")))</f>
        <v>MUITO BOM</v>
      </c>
      <c r="M3673" s="3">
        <v>34</v>
      </c>
      <c r="N3673" s="3">
        <v>99.39</v>
      </c>
      <c r="O3673" s="12">
        <v>25.203252032520329</v>
      </c>
    </row>
    <row r="3674" spans="1:15" hidden="1" x14ac:dyDescent="0.25">
      <c r="A3674" s="10">
        <v>46115</v>
      </c>
      <c r="B3674" t="s">
        <v>63</v>
      </c>
      <c r="C3674" s="1" t="s">
        <v>23</v>
      </c>
      <c r="D3674" s="3">
        <v>0</v>
      </c>
      <c r="E3674" s="3">
        <v>0</v>
      </c>
      <c r="F3674" s="3">
        <v>0</v>
      </c>
      <c r="G3674" s="3">
        <v>0</v>
      </c>
      <c r="H3674" s="3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 s="3">
        <v>0</v>
      </c>
      <c r="N3674" s="3">
        <v>98.32</v>
      </c>
      <c r="O3674" s="12">
        <v>26.858513189448441</v>
      </c>
    </row>
    <row r="3675" spans="1:15" hidden="1" x14ac:dyDescent="0.25">
      <c r="A3675" s="10">
        <v>46115</v>
      </c>
      <c r="B3675" t="s">
        <v>45</v>
      </c>
      <c r="C3675" s="1" t="s">
        <v>32</v>
      </c>
      <c r="D3675" s="3">
        <v>0</v>
      </c>
      <c r="E3675" s="3">
        <v>0</v>
      </c>
      <c r="F3675" s="3">
        <v>0</v>
      </c>
      <c r="G3675" s="3">
        <v>0</v>
      </c>
      <c r="H3675" s="3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 s="3">
        <v>0</v>
      </c>
      <c r="N3675" s="3">
        <v>100</v>
      </c>
      <c r="O3675" s="12">
        <v>31.135531135531139</v>
      </c>
    </row>
    <row r="3676" spans="1:15" hidden="1" x14ac:dyDescent="0.25">
      <c r="A3676" s="10">
        <v>46115</v>
      </c>
      <c r="B3676" t="s">
        <v>64</v>
      </c>
      <c r="C3676" s="1" t="s">
        <v>23</v>
      </c>
      <c r="D3676" s="3">
        <v>0</v>
      </c>
      <c r="E3676" s="3">
        <v>0</v>
      </c>
      <c r="F3676" s="3">
        <v>0</v>
      </c>
      <c r="G3676" s="3">
        <v>0</v>
      </c>
      <c r="H3676" s="3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 s="3">
        <v>0</v>
      </c>
      <c r="N3676" s="3">
        <v>100</v>
      </c>
      <c r="O3676" s="12">
        <v>26.36986301369863</v>
      </c>
    </row>
    <row r="3677" spans="1:15" hidden="1" x14ac:dyDescent="0.25">
      <c r="A3677" s="10">
        <v>46115</v>
      </c>
      <c r="B3677" t="s">
        <v>46</v>
      </c>
      <c r="C3677" s="1" t="s">
        <v>32</v>
      </c>
      <c r="D3677" s="3">
        <v>0</v>
      </c>
      <c r="E3677" s="3">
        <v>0</v>
      </c>
      <c r="F3677" s="3">
        <v>0</v>
      </c>
      <c r="G3677" s="3">
        <v>0</v>
      </c>
      <c r="H3677" s="3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 s="3">
        <v>0</v>
      </c>
      <c r="N3677" s="3">
        <v>99.21</v>
      </c>
      <c r="O3677" s="12">
        <v>25.188916876574311</v>
      </c>
    </row>
    <row r="3678" spans="1:15" hidden="1" x14ac:dyDescent="0.25">
      <c r="A3678" s="10">
        <v>46118</v>
      </c>
      <c r="B3678" t="s">
        <v>47</v>
      </c>
      <c r="C3678" s="1" t="s">
        <v>48</v>
      </c>
      <c r="D3678" s="3">
        <v>18</v>
      </c>
      <c r="E3678" s="3">
        <v>14</v>
      </c>
      <c r="F3678" s="3">
        <v>20.28</v>
      </c>
      <c r="G3678" s="3">
        <v>0</v>
      </c>
      <c r="H3678" s="3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 s="3">
        <v>14</v>
      </c>
      <c r="N3678" s="3">
        <v>100</v>
      </c>
      <c r="O3678" s="12">
        <v>32.764505119453922</v>
      </c>
    </row>
    <row r="3679" spans="1:15" hidden="1" x14ac:dyDescent="0.25">
      <c r="A3679" s="10">
        <v>46118</v>
      </c>
      <c r="B3679" t="s">
        <v>31</v>
      </c>
      <c r="C3679" s="1" t="s">
        <v>32</v>
      </c>
      <c r="D3679" s="3">
        <v>0</v>
      </c>
      <c r="E3679" s="3">
        <v>0</v>
      </c>
      <c r="F3679" s="3">
        <v>0</v>
      </c>
      <c r="G3679" s="3">
        <v>0</v>
      </c>
      <c r="H3679" s="3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 s="3">
        <v>32</v>
      </c>
      <c r="N3679" s="3">
        <v>98.66</v>
      </c>
      <c r="O3679" s="12">
        <v>35.416666666666671</v>
      </c>
    </row>
    <row r="3680" spans="1:15" hidden="1" x14ac:dyDescent="0.25">
      <c r="A3680" s="10">
        <v>46118</v>
      </c>
      <c r="B3680" t="s">
        <v>59</v>
      </c>
      <c r="C3680" s="1" t="s">
        <v>23</v>
      </c>
      <c r="D3680" s="3">
        <v>29</v>
      </c>
      <c r="E3680" s="3">
        <v>25</v>
      </c>
      <c r="F3680" s="3">
        <v>17.36</v>
      </c>
      <c r="G3680" s="3">
        <v>0</v>
      </c>
      <c r="H3680" s="3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 s="3">
        <v>31</v>
      </c>
      <c r="N3680" s="3">
        <v>99.32</v>
      </c>
      <c r="O3680" s="12">
        <v>30.648330058939099</v>
      </c>
    </row>
    <row r="3681" spans="1:15" hidden="1" x14ac:dyDescent="0.25">
      <c r="A3681" s="10">
        <v>46118</v>
      </c>
      <c r="B3681" t="s">
        <v>33</v>
      </c>
      <c r="C3681" s="1" t="s">
        <v>32</v>
      </c>
      <c r="D3681" s="3">
        <v>49</v>
      </c>
      <c r="E3681" s="3">
        <v>41</v>
      </c>
      <c r="F3681" s="3">
        <v>12.04</v>
      </c>
      <c r="G3681" s="3">
        <v>0</v>
      </c>
      <c r="H3681" s="3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 s="3">
        <v>40</v>
      </c>
      <c r="N3681" s="3">
        <v>100</v>
      </c>
      <c r="O3681" s="12">
        <v>27.803738317757009</v>
      </c>
    </row>
    <row r="3682" spans="1:15" hidden="1" x14ac:dyDescent="0.25">
      <c r="A3682" s="10">
        <v>46118</v>
      </c>
      <c r="B3682" t="s">
        <v>15</v>
      </c>
      <c r="C3682" s="1" t="s">
        <v>16</v>
      </c>
      <c r="D3682" s="3">
        <v>25</v>
      </c>
      <c r="E3682" s="3">
        <v>21</v>
      </c>
      <c r="F3682" s="3">
        <v>12.25</v>
      </c>
      <c r="G3682" s="3">
        <v>0</v>
      </c>
      <c r="H3682" s="3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 s="3">
        <v>20</v>
      </c>
      <c r="N3682" s="3">
        <v>96.74</v>
      </c>
      <c r="O3682" s="12">
        <v>28.67647058823529</v>
      </c>
    </row>
    <row r="3683" spans="1:15" hidden="1" x14ac:dyDescent="0.25">
      <c r="A3683" s="10">
        <v>46118</v>
      </c>
      <c r="B3683" t="s">
        <v>49</v>
      </c>
      <c r="C3683" s="1" t="s">
        <v>48</v>
      </c>
      <c r="D3683" s="3">
        <v>42</v>
      </c>
      <c r="E3683" s="3">
        <v>36</v>
      </c>
      <c r="F3683" s="3">
        <v>15.1</v>
      </c>
      <c r="G3683" s="3">
        <v>0</v>
      </c>
      <c r="H3683" s="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 s="3">
        <v>38</v>
      </c>
      <c r="N3683" s="3">
        <v>98.82</v>
      </c>
      <c r="O3683" s="12">
        <v>30.741410488245929</v>
      </c>
    </row>
    <row r="3684" spans="1:15" hidden="1" x14ac:dyDescent="0.25">
      <c r="A3684" s="10">
        <v>46118</v>
      </c>
      <c r="B3684" t="s">
        <v>50</v>
      </c>
      <c r="C3684" s="1" t="s">
        <v>48</v>
      </c>
      <c r="D3684" s="3">
        <v>33</v>
      </c>
      <c r="E3684" s="3">
        <v>31</v>
      </c>
      <c r="F3684" s="3">
        <v>19.059999999999999</v>
      </c>
      <c r="G3684" s="3">
        <v>0</v>
      </c>
      <c r="H3684" s="3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 s="3">
        <v>28</v>
      </c>
      <c r="N3684" s="3">
        <v>98.2</v>
      </c>
      <c r="O3684" s="12">
        <v>27.170868347338931</v>
      </c>
    </row>
    <row r="3685" spans="1:15" hidden="1" x14ac:dyDescent="0.25">
      <c r="A3685" s="10">
        <v>46118</v>
      </c>
      <c r="B3685" t="s">
        <v>17</v>
      </c>
      <c r="C3685" s="1" t="s">
        <v>16</v>
      </c>
      <c r="D3685" s="3">
        <v>12</v>
      </c>
      <c r="E3685" s="3">
        <v>11</v>
      </c>
      <c r="F3685" s="3">
        <v>22.04</v>
      </c>
      <c r="G3685" s="3">
        <v>0</v>
      </c>
      <c r="H3685" s="3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 s="3">
        <v>11</v>
      </c>
      <c r="N3685" s="3">
        <v>100</v>
      </c>
      <c r="O3685" s="12">
        <v>23.134328358208951</v>
      </c>
    </row>
    <row r="3686" spans="1:15" hidden="1" x14ac:dyDescent="0.25">
      <c r="A3686" s="10">
        <v>46118</v>
      </c>
      <c r="B3686" t="s">
        <v>60</v>
      </c>
      <c r="C3686" s="1" t="s">
        <v>23</v>
      </c>
      <c r="D3686" s="3">
        <v>34</v>
      </c>
      <c r="E3686" s="3">
        <v>32</v>
      </c>
      <c r="F3686" s="3">
        <v>14.14</v>
      </c>
      <c r="G3686" s="3">
        <v>0</v>
      </c>
      <c r="H3686" s="3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 s="3">
        <v>32</v>
      </c>
      <c r="N3686" s="3">
        <v>96.3</v>
      </c>
      <c r="O3686" s="12">
        <v>32.219570405727922</v>
      </c>
    </row>
    <row r="3687" spans="1:15" hidden="1" x14ac:dyDescent="0.25">
      <c r="A3687" s="10">
        <v>46118</v>
      </c>
      <c r="B3687" t="s">
        <v>34</v>
      </c>
      <c r="C3687" s="1" t="s">
        <v>32</v>
      </c>
      <c r="D3687" s="3">
        <v>37</v>
      </c>
      <c r="E3687" s="3">
        <v>34</v>
      </c>
      <c r="F3687" s="3">
        <v>12.19</v>
      </c>
      <c r="G3687" s="3">
        <v>0</v>
      </c>
      <c r="H3687" s="3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 s="3">
        <v>35</v>
      </c>
      <c r="N3687" s="3">
        <v>93.75</v>
      </c>
      <c r="O3687" s="12">
        <v>26.819923371647509</v>
      </c>
    </row>
    <row r="3688" spans="1:15" hidden="1" x14ac:dyDescent="0.25">
      <c r="A3688" s="10">
        <v>46118</v>
      </c>
      <c r="B3688" t="s">
        <v>51</v>
      </c>
      <c r="C3688" s="1" t="s">
        <v>48</v>
      </c>
      <c r="D3688" s="3">
        <v>33</v>
      </c>
      <c r="E3688" s="3">
        <v>29</v>
      </c>
      <c r="F3688" s="3">
        <v>13.56</v>
      </c>
      <c r="G3688" s="3">
        <v>0</v>
      </c>
      <c r="H3688" s="3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 s="3">
        <v>28</v>
      </c>
      <c r="N3688" s="3">
        <v>97.86</v>
      </c>
      <c r="O3688" s="12">
        <v>31.018518518518519</v>
      </c>
    </row>
    <row r="3689" spans="1:15" hidden="1" x14ac:dyDescent="0.25">
      <c r="A3689" s="10">
        <v>46118</v>
      </c>
      <c r="B3689" t="s">
        <v>61</v>
      </c>
      <c r="C3689" s="1" t="s">
        <v>23</v>
      </c>
      <c r="D3689" s="3">
        <v>23</v>
      </c>
      <c r="E3689" s="3">
        <v>22</v>
      </c>
      <c r="F3689" s="3">
        <v>19.05</v>
      </c>
      <c r="G3689" s="3">
        <v>0</v>
      </c>
      <c r="H3689" s="3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 s="3">
        <v>12</v>
      </c>
      <c r="N3689" s="3">
        <v>100</v>
      </c>
      <c r="O3689" s="12">
        <v>36.594202898550733</v>
      </c>
    </row>
    <row r="3690" spans="1:15" hidden="1" x14ac:dyDescent="0.25">
      <c r="A3690" s="10">
        <v>46118</v>
      </c>
      <c r="B3690" t="s">
        <v>35</v>
      </c>
      <c r="C3690" s="1" t="s">
        <v>32</v>
      </c>
      <c r="D3690" s="3">
        <v>27</v>
      </c>
      <c r="E3690" s="3">
        <v>27</v>
      </c>
      <c r="F3690" s="3">
        <v>20.3</v>
      </c>
      <c r="G3690" s="3">
        <v>0</v>
      </c>
      <c r="H3690" s="3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 s="3">
        <v>35</v>
      </c>
      <c r="N3690" s="3">
        <v>100</v>
      </c>
      <c r="O3690" s="12">
        <v>38.653846153846153</v>
      </c>
    </row>
    <row r="3691" spans="1:15" hidden="1" x14ac:dyDescent="0.25">
      <c r="A3691" s="10">
        <v>46118</v>
      </c>
      <c r="B3691" t="s">
        <v>18</v>
      </c>
      <c r="C3691" s="1" t="s">
        <v>16</v>
      </c>
      <c r="D3691" s="3">
        <v>8</v>
      </c>
      <c r="E3691" s="3">
        <v>8</v>
      </c>
      <c r="F3691" s="3">
        <v>37.14</v>
      </c>
      <c r="G3691" s="3">
        <v>0</v>
      </c>
      <c r="H3691" s="3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 s="3">
        <v>8</v>
      </c>
      <c r="N3691" s="3">
        <v>100</v>
      </c>
      <c r="O3691" s="12">
        <v>27.368421052631579</v>
      </c>
    </row>
    <row r="3692" spans="1:15" hidden="1" x14ac:dyDescent="0.25">
      <c r="A3692" s="10">
        <v>46118</v>
      </c>
      <c r="B3692" t="s">
        <v>52</v>
      </c>
      <c r="C3692" s="1" t="s">
        <v>48</v>
      </c>
      <c r="D3692" s="3">
        <v>35</v>
      </c>
      <c r="E3692" s="3">
        <v>33</v>
      </c>
      <c r="F3692" s="3">
        <v>14.19</v>
      </c>
      <c r="G3692" s="3">
        <v>0</v>
      </c>
      <c r="H3692" s="3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 s="3">
        <v>31</v>
      </c>
      <c r="N3692" s="3">
        <v>97.83</v>
      </c>
      <c r="O3692" s="12">
        <v>28.35164835164835</v>
      </c>
    </row>
    <row r="3693" spans="1:15" hidden="1" x14ac:dyDescent="0.25">
      <c r="A3693" s="10">
        <v>46118</v>
      </c>
      <c r="B3693" t="s">
        <v>36</v>
      </c>
      <c r="C3693" s="1" t="s">
        <v>32</v>
      </c>
      <c r="D3693" s="3">
        <v>29</v>
      </c>
      <c r="E3693" s="3">
        <v>28</v>
      </c>
      <c r="F3693" s="3">
        <v>17.03</v>
      </c>
      <c r="G3693" s="3">
        <v>0</v>
      </c>
      <c r="H3693" s="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 s="3">
        <v>29</v>
      </c>
      <c r="N3693" s="3">
        <v>99.26</v>
      </c>
      <c r="O3693" s="12">
        <v>29.766536964980549</v>
      </c>
    </row>
    <row r="3694" spans="1:15" hidden="1" x14ac:dyDescent="0.25">
      <c r="A3694" s="10">
        <v>46118</v>
      </c>
      <c r="B3694" t="s">
        <v>53</v>
      </c>
      <c r="C3694" s="1" t="s">
        <v>48</v>
      </c>
      <c r="D3694" s="3">
        <v>34</v>
      </c>
      <c r="E3694" s="3">
        <v>30</v>
      </c>
      <c r="F3694" s="3">
        <v>20.59</v>
      </c>
      <c r="G3694" s="3">
        <v>0</v>
      </c>
      <c r="H3694" s="3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 s="3">
        <v>29</v>
      </c>
      <c r="N3694" s="3">
        <v>99.19</v>
      </c>
      <c r="O3694" s="12">
        <v>29.462365591397852</v>
      </c>
    </row>
    <row r="3695" spans="1:15" hidden="1" x14ac:dyDescent="0.25">
      <c r="A3695" s="7">
        <v>46161</v>
      </c>
      <c r="B3695" s="8" t="s">
        <v>46</v>
      </c>
      <c r="C3695" s="1" t="s">
        <v>32</v>
      </c>
      <c r="D3695" s="3">
        <v>25</v>
      </c>
      <c r="E3695" s="3">
        <v>24</v>
      </c>
      <c r="F3695" s="3">
        <v>18.25</v>
      </c>
      <c r="G3695" s="3">
        <v>3</v>
      </c>
      <c r="H3695" s="3">
        <v>0</v>
      </c>
      <c r="I3695" s="3">
        <f>E3695+G3695+H3695</f>
        <v>27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-2</v>
      </c>
      <c r="L3695" s="3" t="str">
        <f>IF(K3695&lt;-5,"CRÍTICO",IF(K3695&lt;0,"ATENÇÃO",IF(K3695&lt;=5,"OPORTUNO","MUITO BOM")))</f>
        <v>ATENÇÃO</v>
      </c>
      <c r="M3695" s="3">
        <v>21</v>
      </c>
      <c r="N3695" s="3">
        <v>97</v>
      </c>
      <c r="O3695" s="12">
        <v>20.325203252032519</v>
      </c>
    </row>
    <row r="3696" spans="1:15" hidden="1" x14ac:dyDescent="0.25">
      <c r="A3696" s="10">
        <v>46118</v>
      </c>
      <c r="B3696" t="s">
        <v>54</v>
      </c>
      <c r="C3696" s="1" t="s">
        <v>48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 s="3">
        <v>0</v>
      </c>
      <c r="N3696" s="3">
        <v>100</v>
      </c>
      <c r="O3696" s="12">
        <v>28.921568627450981</v>
      </c>
    </row>
    <row r="3697" spans="1:15" hidden="1" x14ac:dyDescent="0.25">
      <c r="A3697" s="10">
        <v>46118</v>
      </c>
      <c r="B3697" t="s">
        <v>37</v>
      </c>
      <c r="C3697" s="1" t="s">
        <v>32</v>
      </c>
      <c r="D3697" s="3">
        <v>46</v>
      </c>
      <c r="E3697" s="3">
        <v>46</v>
      </c>
      <c r="F3697" s="3">
        <v>13.59</v>
      </c>
      <c r="G3697" s="3">
        <v>0</v>
      </c>
      <c r="H3697" s="3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 s="3">
        <v>44</v>
      </c>
      <c r="N3697" s="3">
        <v>99.57</v>
      </c>
      <c r="O3697" s="12">
        <v>30.635838150289018</v>
      </c>
    </row>
    <row r="3698" spans="1:15" hidden="1" x14ac:dyDescent="0.25">
      <c r="A3698" s="10">
        <v>46118</v>
      </c>
      <c r="B3698" t="s">
        <v>38</v>
      </c>
      <c r="C3698" s="1" t="s">
        <v>32</v>
      </c>
      <c r="D3698" s="3">
        <v>0</v>
      </c>
      <c r="E3698" s="3">
        <v>0</v>
      </c>
      <c r="F3698" s="3">
        <v>0</v>
      </c>
      <c r="G3698" s="3">
        <v>0</v>
      </c>
      <c r="H3698" s="3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 s="3">
        <v>0</v>
      </c>
      <c r="N3698" s="3">
        <v>95.65</v>
      </c>
      <c r="O3698" s="12">
        <v>32.432432432432442</v>
      </c>
    </row>
    <row r="3699" spans="1:15" hidden="1" x14ac:dyDescent="0.25">
      <c r="A3699" s="10">
        <v>46118</v>
      </c>
      <c r="B3699" t="s">
        <v>55</v>
      </c>
      <c r="C3699" s="1" t="s">
        <v>48</v>
      </c>
      <c r="D3699" s="3">
        <v>12</v>
      </c>
      <c r="E3699" s="3">
        <v>12</v>
      </c>
      <c r="F3699" s="3">
        <v>16.45</v>
      </c>
      <c r="G3699" s="3">
        <v>0</v>
      </c>
      <c r="H3699" s="3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 s="3">
        <v>14</v>
      </c>
      <c r="N3699" s="3">
        <v>98.81</v>
      </c>
      <c r="O3699" s="12">
        <v>26.256983240223459</v>
      </c>
    </row>
    <row r="3700" spans="1:15" hidden="1" x14ac:dyDescent="0.25">
      <c r="A3700" s="10">
        <v>46118</v>
      </c>
      <c r="B3700" t="s">
        <v>39</v>
      </c>
      <c r="C3700" s="1" t="s">
        <v>32</v>
      </c>
      <c r="D3700" s="3">
        <v>0</v>
      </c>
      <c r="E3700" s="3">
        <v>0</v>
      </c>
      <c r="F3700" s="3">
        <v>0</v>
      </c>
      <c r="G3700" s="3">
        <v>0</v>
      </c>
      <c r="H3700" s="3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 s="3">
        <v>0</v>
      </c>
      <c r="N3700" s="3">
        <v>0</v>
      </c>
      <c r="O3700" s="12">
        <v>0</v>
      </c>
    </row>
    <row r="3701" spans="1:15" hidden="1" x14ac:dyDescent="0.25">
      <c r="A3701" s="10">
        <v>46118</v>
      </c>
      <c r="B3701" t="s">
        <v>25</v>
      </c>
      <c r="C3701" s="1" t="s">
        <v>26</v>
      </c>
      <c r="D3701" s="3">
        <v>19</v>
      </c>
      <c r="E3701" s="3">
        <v>17</v>
      </c>
      <c r="F3701" s="3">
        <v>23.21</v>
      </c>
      <c r="G3701" s="3">
        <v>0</v>
      </c>
      <c r="H3701" s="3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 s="3">
        <v>17</v>
      </c>
      <c r="N3701" s="3">
        <v>97.17</v>
      </c>
      <c r="O3701" s="12">
        <v>28.81844380403458</v>
      </c>
    </row>
    <row r="3702" spans="1:15" hidden="1" x14ac:dyDescent="0.25">
      <c r="A3702" s="10">
        <v>46118</v>
      </c>
      <c r="B3702" t="s">
        <v>40</v>
      </c>
      <c r="C3702" s="1" t="s">
        <v>32</v>
      </c>
      <c r="D3702" s="3">
        <v>11</v>
      </c>
      <c r="E3702" s="3">
        <v>9</v>
      </c>
      <c r="F3702" s="3">
        <v>21.4</v>
      </c>
      <c r="G3702" s="3">
        <v>0</v>
      </c>
      <c r="H3702" s="3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 s="3">
        <v>11</v>
      </c>
      <c r="N3702" s="3">
        <v>96.81</v>
      </c>
      <c r="O3702" s="12">
        <v>48.018648018648022</v>
      </c>
    </row>
    <row r="3703" spans="1:15" hidden="1" x14ac:dyDescent="0.25">
      <c r="A3703" s="10">
        <v>46118</v>
      </c>
      <c r="B3703" t="s">
        <v>27</v>
      </c>
      <c r="C3703" s="1" t="s">
        <v>26</v>
      </c>
      <c r="D3703" s="3">
        <v>15</v>
      </c>
      <c r="E3703" s="3">
        <v>12</v>
      </c>
      <c r="F3703" s="3">
        <v>29.11</v>
      </c>
      <c r="G3703" s="3">
        <v>0</v>
      </c>
      <c r="H3703" s="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 s="3">
        <v>12</v>
      </c>
      <c r="N3703" s="3">
        <v>98.15</v>
      </c>
      <c r="O3703" s="12">
        <v>27.1551724137931</v>
      </c>
    </row>
    <row r="3704" spans="1:15" hidden="1" x14ac:dyDescent="0.25">
      <c r="A3704" s="10">
        <v>46118</v>
      </c>
      <c r="B3704" t="s">
        <v>41</v>
      </c>
      <c r="C3704" s="1" t="s">
        <v>32</v>
      </c>
      <c r="D3704" s="3">
        <v>31</v>
      </c>
      <c r="E3704" s="3">
        <v>29</v>
      </c>
      <c r="F3704" s="3">
        <v>16.54</v>
      </c>
      <c r="G3704" s="3">
        <v>0</v>
      </c>
      <c r="H3704" s="3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 s="3">
        <v>29</v>
      </c>
      <c r="N3704" s="3">
        <v>99.15</v>
      </c>
      <c r="O3704" s="12">
        <v>27.586206896551719</v>
      </c>
    </row>
    <row r="3705" spans="1:15" hidden="1" x14ac:dyDescent="0.25">
      <c r="A3705" s="10">
        <v>46118</v>
      </c>
      <c r="B3705" t="s">
        <v>56</v>
      </c>
      <c r="C3705" s="1" t="s">
        <v>48</v>
      </c>
      <c r="D3705" s="3">
        <v>24</v>
      </c>
      <c r="E3705" s="3">
        <v>23</v>
      </c>
      <c r="F3705" s="3">
        <v>22.19</v>
      </c>
      <c r="G3705" s="3">
        <v>0</v>
      </c>
      <c r="H3705" s="3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 s="3">
        <v>10</v>
      </c>
      <c r="N3705" s="3">
        <v>99.17</v>
      </c>
      <c r="O3705" s="12">
        <v>29.75206611570248</v>
      </c>
    </row>
    <row r="3706" spans="1:15" hidden="1" x14ac:dyDescent="0.25">
      <c r="A3706" s="10">
        <v>46118</v>
      </c>
      <c r="B3706" t="s">
        <v>57</v>
      </c>
      <c r="C3706" s="1" t="s">
        <v>48</v>
      </c>
      <c r="D3706" s="3">
        <v>36</v>
      </c>
      <c r="E3706" s="3">
        <v>35</v>
      </c>
      <c r="F3706" s="3">
        <v>18.25</v>
      </c>
      <c r="G3706" s="3">
        <v>0</v>
      </c>
      <c r="H3706" s="3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 s="3">
        <v>31</v>
      </c>
      <c r="N3706" s="3">
        <v>98.73</v>
      </c>
      <c r="O3706" s="12">
        <v>28.961748633879779</v>
      </c>
    </row>
    <row r="3707" spans="1:15" hidden="1" x14ac:dyDescent="0.25">
      <c r="A3707" s="10">
        <v>46118</v>
      </c>
      <c r="B3707" t="s">
        <v>42</v>
      </c>
      <c r="C3707" s="1" t="s">
        <v>32</v>
      </c>
      <c r="D3707" s="3">
        <v>0</v>
      </c>
      <c r="E3707" s="3">
        <v>0</v>
      </c>
      <c r="F3707" s="3">
        <v>0</v>
      </c>
      <c r="G3707" s="3">
        <v>0</v>
      </c>
      <c r="H3707" s="3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 s="3">
        <v>0</v>
      </c>
      <c r="N3707" s="3">
        <v>88.68</v>
      </c>
      <c r="O3707" s="12">
        <v>22.03389830508474</v>
      </c>
    </row>
    <row r="3708" spans="1:15" hidden="1" x14ac:dyDescent="0.25">
      <c r="A3708" s="10">
        <v>46118</v>
      </c>
      <c r="B3708" t="s">
        <v>62</v>
      </c>
      <c r="C3708" s="1" t="s">
        <v>23</v>
      </c>
      <c r="D3708" s="3">
        <v>24</v>
      </c>
      <c r="E3708" s="3">
        <v>23</v>
      </c>
      <c r="F3708" s="3">
        <v>20.399999999999999</v>
      </c>
      <c r="G3708" s="3">
        <v>0</v>
      </c>
      <c r="H3708" s="3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 s="3">
        <v>21</v>
      </c>
      <c r="N3708" s="3">
        <v>97.37</v>
      </c>
      <c r="O3708" s="12">
        <v>25.76530612244898</v>
      </c>
    </row>
    <row r="3709" spans="1:15" hidden="1" x14ac:dyDescent="0.25">
      <c r="A3709" s="10">
        <v>46118</v>
      </c>
      <c r="B3709" t="s">
        <v>19</v>
      </c>
      <c r="C3709" s="1" t="s">
        <v>16</v>
      </c>
      <c r="D3709" s="3">
        <v>11</v>
      </c>
      <c r="E3709" s="3">
        <v>10</v>
      </c>
      <c r="F3709" s="3">
        <v>27.37</v>
      </c>
      <c r="G3709" s="3">
        <v>0</v>
      </c>
      <c r="H3709" s="3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 s="3">
        <v>9</v>
      </c>
      <c r="N3709" s="3">
        <v>100</v>
      </c>
      <c r="O3709" s="12">
        <v>25</v>
      </c>
    </row>
    <row r="3710" spans="1:15" hidden="1" x14ac:dyDescent="0.25">
      <c r="A3710" s="10">
        <v>46136</v>
      </c>
      <c r="B3710" t="s">
        <v>43</v>
      </c>
      <c r="C3710" s="1" t="s">
        <v>32</v>
      </c>
      <c r="D3710" s="3">
        <v>13</v>
      </c>
      <c r="E3710" s="3">
        <v>12</v>
      </c>
      <c r="F3710" s="3">
        <v>17.18</v>
      </c>
      <c r="G3710" s="3">
        <v>0</v>
      </c>
      <c r="H3710" s="3">
        <v>0</v>
      </c>
      <c r="I3710" s="3">
        <f>E3710+G3710+H3710</f>
        <v>12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23</v>
      </c>
      <c r="K3710" s="3">
        <f>I3710-J3710</f>
        <v>-11</v>
      </c>
      <c r="L3710" s="3" t="str">
        <f>IF(K3710&lt;-5,"CRÍTICO",IF(K3710&lt;0,"ATENÇÃO",IF(K3710&lt;=5,"OPORTUNO","MUITO BOM")))</f>
        <v>CRÍTICO</v>
      </c>
      <c r="M3710" s="3">
        <v>10</v>
      </c>
      <c r="N3710" s="3">
        <v>100</v>
      </c>
      <c r="O3710" s="12">
        <v>23.9870340356564</v>
      </c>
    </row>
    <row r="3711" spans="1:15" hidden="1" x14ac:dyDescent="0.25">
      <c r="A3711" s="10">
        <v>46118</v>
      </c>
      <c r="B3711" t="s">
        <v>44</v>
      </c>
      <c r="C3711" s="1" t="s">
        <v>32</v>
      </c>
      <c r="D3711" s="3">
        <v>27</v>
      </c>
      <c r="E3711" s="3">
        <v>25</v>
      </c>
      <c r="F3711" s="3">
        <v>18.48</v>
      </c>
      <c r="G3711" s="3">
        <v>0</v>
      </c>
      <c r="H3711" s="3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 s="3">
        <v>20</v>
      </c>
      <c r="N3711" s="3">
        <v>95.49</v>
      </c>
      <c r="O3711" s="12">
        <v>28.370221327967808</v>
      </c>
    </row>
    <row r="3712" spans="1:15" hidden="1" x14ac:dyDescent="0.25">
      <c r="A3712" s="7">
        <v>46161</v>
      </c>
      <c r="B3712" s="8" t="s">
        <v>47</v>
      </c>
      <c r="C3712" s="1" t="s">
        <v>48</v>
      </c>
      <c r="D3712" s="3">
        <v>38</v>
      </c>
      <c r="E3712" s="3">
        <v>33</v>
      </c>
      <c r="F3712" s="3">
        <v>12.17</v>
      </c>
      <c r="G3712" s="3">
        <v>1</v>
      </c>
      <c r="H3712" s="3">
        <v>0</v>
      </c>
      <c r="I3712" s="3">
        <f>E3712+G3712+H3712</f>
        <v>34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23</v>
      </c>
      <c r="K3712" s="3">
        <f>I3712-J3712</f>
        <v>11</v>
      </c>
      <c r="L3712" s="3" t="str">
        <f>IF(K3712&lt;-5,"CRÍTICO",IF(K3712&lt;0,"ATENÇÃO",IF(K3712&lt;=5,"OPORTUNO","MUITO BOM")))</f>
        <v>MUITO BOM</v>
      </c>
      <c r="M3712" s="3">
        <v>17</v>
      </c>
      <c r="N3712" s="3">
        <v>99.18</v>
      </c>
      <c r="O3712" s="12">
        <v>24.501424501424498</v>
      </c>
    </row>
    <row r="3713" spans="1:15" hidden="1" x14ac:dyDescent="0.25">
      <c r="A3713" s="10">
        <v>46118</v>
      </c>
      <c r="B3713" t="s">
        <v>28</v>
      </c>
      <c r="C3713" s="1" t="s">
        <v>26</v>
      </c>
      <c r="D3713" s="3">
        <v>27</v>
      </c>
      <c r="E3713" s="3">
        <v>23</v>
      </c>
      <c r="F3713" s="3">
        <v>23.53</v>
      </c>
      <c r="G3713" s="3">
        <v>0</v>
      </c>
      <c r="H3713" s="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 s="3">
        <v>16</v>
      </c>
      <c r="N3713" s="3">
        <v>96.15</v>
      </c>
      <c r="O3713" s="12">
        <v>24.045801526717561</v>
      </c>
    </row>
    <row r="3714" spans="1:15" hidden="1" x14ac:dyDescent="0.25">
      <c r="A3714" s="10">
        <v>46118</v>
      </c>
      <c r="B3714" t="s">
        <v>58</v>
      </c>
      <c r="C3714" s="1" t="s">
        <v>48</v>
      </c>
      <c r="D3714" s="3">
        <v>31</v>
      </c>
      <c r="E3714" s="3">
        <v>27</v>
      </c>
      <c r="F3714" s="3">
        <v>20.23</v>
      </c>
      <c r="G3714" s="3">
        <v>0</v>
      </c>
      <c r="H3714" s="3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 s="3">
        <v>24</v>
      </c>
      <c r="N3714" s="3">
        <v>99.02</v>
      </c>
      <c r="O3714" s="12">
        <v>34.797297297297298</v>
      </c>
    </row>
    <row r="3715" spans="1:15" hidden="1" x14ac:dyDescent="0.25">
      <c r="A3715" s="10">
        <v>46118</v>
      </c>
      <c r="B3715" t="s">
        <v>29</v>
      </c>
      <c r="C3715" s="1" t="s">
        <v>26</v>
      </c>
      <c r="D3715" s="3">
        <v>21</v>
      </c>
      <c r="E3715" s="3">
        <v>17</v>
      </c>
      <c r="F3715" s="3">
        <v>12.21</v>
      </c>
      <c r="G3715" s="3">
        <v>0</v>
      </c>
      <c r="H3715" s="3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 s="3">
        <v>18</v>
      </c>
      <c r="N3715" s="3">
        <v>98.84</v>
      </c>
      <c r="O3715" s="12">
        <v>31.868131868131869</v>
      </c>
    </row>
    <row r="3716" spans="1:15" hidden="1" x14ac:dyDescent="0.25">
      <c r="A3716" s="10">
        <v>46118</v>
      </c>
      <c r="B3716" t="s">
        <v>30</v>
      </c>
      <c r="C3716" s="1" t="s">
        <v>26</v>
      </c>
      <c r="D3716" s="3">
        <v>21</v>
      </c>
      <c r="E3716" s="3">
        <v>20</v>
      </c>
      <c r="F3716" s="3">
        <v>22.04</v>
      </c>
      <c r="G3716" s="3">
        <v>0</v>
      </c>
      <c r="H3716" s="3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 s="3">
        <v>21</v>
      </c>
      <c r="N3716" s="3">
        <v>100</v>
      </c>
      <c r="O3716" s="12">
        <v>34.666666666666671</v>
      </c>
    </row>
    <row r="3717" spans="1:15" hidden="1" x14ac:dyDescent="0.25">
      <c r="A3717" s="7">
        <v>46161</v>
      </c>
      <c r="B3717" s="8" t="s">
        <v>49</v>
      </c>
      <c r="C3717" s="1" t="s">
        <v>48</v>
      </c>
      <c r="D3717" s="3">
        <v>33</v>
      </c>
      <c r="E3717" s="3">
        <v>31</v>
      </c>
      <c r="F3717" s="3">
        <v>16.46</v>
      </c>
      <c r="G3717" s="3">
        <v>3</v>
      </c>
      <c r="H3717" s="3">
        <v>0</v>
      </c>
      <c r="I3717" s="3">
        <f>E3717+G3717+H3717</f>
        <v>34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23</v>
      </c>
      <c r="K3717" s="3">
        <f>I3717-J3717</f>
        <v>11</v>
      </c>
      <c r="L3717" s="3" t="str">
        <f>IF(K3717&lt;-5,"CRÍTICO",IF(K3717&lt;0,"ATENÇÃO",IF(K3717&lt;=5,"OPORTUNO","MUITO BOM")))</f>
        <v>MUITO BOM</v>
      </c>
      <c r="M3717" s="3">
        <v>33</v>
      </c>
      <c r="N3717" s="3">
        <v>99.35</v>
      </c>
      <c r="O3717" s="12">
        <v>19.852941176470591</v>
      </c>
    </row>
    <row r="3718" spans="1:15" hidden="1" x14ac:dyDescent="0.25">
      <c r="A3718" s="10">
        <v>46118</v>
      </c>
      <c r="B3718" t="s">
        <v>63</v>
      </c>
      <c r="C3718" s="1" t="s">
        <v>23</v>
      </c>
      <c r="D3718" s="3">
        <v>22</v>
      </c>
      <c r="E3718" s="3">
        <v>20</v>
      </c>
      <c r="F3718" s="3">
        <v>15.13</v>
      </c>
      <c r="G3718" s="3">
        <v>0</v>
      </c>
      <c r="H3718" s="3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 s="3">
        <v>16</v>
      </c>
      <c r="N3718" s="3">
        <v>98.32</v>
      </c>
      <c r="O3718" s="12">
        <v>26.858513189448441</v>
      </c>
    </row>
    <row r="3719" spans="1:15" hidden="1" x14ac:dyDescent="0.25">
      <c r="A3719" s="10">
        <v>46118</v>
      </c>
      <c r="B3719" t="s">
        <v>45</v>
      </c>
      <c r="C3719" s="1" t="s">
        <v>32</v>
      </c>
      <c r="D3719" s="3">
        <v>44</v>
      </c>
      <c r="E3719" s="3">
        <v>37</v>
      </c>
      <c r="F3719" s="3">
        <v>12</v>
      </c>
      <c r="G3719" s="3">
        <v>0</v>
      </c>
      <c r="H3719" s="3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 s="3">
        <v>33</v>
      </c>
      <c r="N3719" s="3">
        <v>100</v>
      </c>
      <c r="O3719" s="12">
        <v>31.135531135531139</v>
      </c>
    </row>
    <row r="3720" spans="1:15" hidden="1" x14ac:dyDescent="0.25">
      <c r="A3720" s="10">
        <v>46118</v>
      </c>
      <c r="B3720" t="s">
        <v>64</v>
      </c>
      <c r="C3720" s="1" t="s">
        <v>23</v>
      </c>
      <c r="D3720" s="3">
        <v>18</v>
      </c>
      <c r="E3720" s="3">
        <v>17</v>
      </c>
      <c r="F3720" s="3">
        <v>27.27</v>
      </c>
      <c r="G3720" s="3">
        <v>0</v>
      </c>
      <c r="H3720" s="3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 s="3">
        <v>14</v>
      </c>
      <c r="N3720" s="3">
        <v>100</v>
      </c>
      <c r="O3720" s="12">
        <v>26.36986301369863</v>
      </c>
    </row>
    <row r="3721" spans="1:15" hidden="1" x14ac:dyDescent="0.25">
      <c r="A3721" s="10">
        <v>46118</v>
      </c>
      <c r="B3721" t="s">
        <v>46</v>
      </c>
      <c r="C3721" s="1" t="s">
        <v>32</v>
      </c>
      <c r="D3721" s="3">
        <v>31</v>
      </c>
      <c r="E3721" s="3">
        <v>28</v>
      </c>
      <c r="F3721" s="3">
        <v>13.5</v>
      </c>
      <c r="G3721" s="3">
        <v>0</v>
      </c>
      <c r="H3721" s="3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 s="3">
        <v>24</v>
      </c>
      <c r="N3721" s="3">
        <v>99.21</v>
      </c>
      <c r="O3721" s="12">
        <v>25.188916876574311</v>
      </c>
    </row>
    <row r="3722" spans="1:15" hidden="1" x14ac:dyDescent="0.25">
      <c r="A3722" s="10">
        <v>46119</v>
      </c>
      <c r="B3722" t="s">
        <v>47</v>
      </c>
      <c r="C3722" s="1" t="s">
        <v>48</v>
      </c>
      <c r="D3722" s="3">
        <v>12</v>
      </c>
      <c r="E3722" s="3">
        <v>6</v>
      </c>
      <c r="F3722" s="3">
        <v>10.34</v>
      </c>
      <c r="G3722" s="3">
        <v>0</v>
      </c>
      <c r="H3722" s="3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 s="3">
        <v>3</v>
      </c>
      <c r="N3722" s="3">
        <v>100</v>
      </c>
      <c r="O3722" s="12">
        <v>32.764505119453922</v>
      </c>
    </row>
    <row r="3723" spans="1:15" hidden="1" x14ac:dyDescent="0.25">
      <c r="A3723" s="10">
        <v>46119</v>
      </c>
      <c r="B3723" t="s">
        <v>31</v>
      </c>
      <c r="C3723" s="1" t="s">
        <v>32</v>
      </c>
      <c r="D3723" s="3">
        <v>0</v>
      </c>
      <c r="E3723" s="3">
        <v>0</v>
      </c>
      <c r="F3723" s="3">
        <v>0</v>
      </c>
      <c r="G3723" s="3">
        <v>0</v>
      </c>
      <c r="H3723" s="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 s="3">
        <v>28</v>
      </c>
      <c r="N3723" s="3">
        <v>98.66</v>
      </c>
      <c r="O3723" s="12">
        <v>35.416666666666671</v>
      </c>
    </row>
    <row r="3724" spans="1:15" hidden="1" x14ac:dyDescent="0.25">
      <c r="A3724" s="10">
        <v>46119</v>
      </c>
      <c r="B3724" t="s">
        <v>59</v>
      </c>
      <c r="C3724" s="1" t="s">
        <v>23</v>
      </c>
      <c r="D3724" s="3">
        <v>36</v>
      </c>
      <c r="E3724" s="3">
        <v>33</v>
      </c>
      <c r="F3724" s="3">
        <v>19.010000000000002</v>
      </c>
      <c r="G3724" s="3">
        <v>0</v>
      </c>
      <c r="H3724" s="3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 s="3">
        <v>34</v>
      </c>
      <c r="N3724" s="3">
        <v>99.32</v>
      </c>
      <c r="O3724" s="12">
        <v>30.648330058939099</v>
      </c>
    </row>
    <row r="3725" spans="1:15" hidden="1" x14ac:dyDescent="0.25">
      <c r="A3725" s="10">
        <v>46119</v>
      </c>
      <c r="B3725" t="s">
        <v>33</v>
      </c>
      <c r="C3725" s="1" t="s">
        <v>32</v>
      </c>
      <c r="D3725" s="3">
        <v>30</v>
      </c>
      <c r="E3725" s="3">
        <v>28</v>
      </c>
      <c r="F3725" s="3">
        <v>23.42</v>
      </c>
      <c r="G3725" s="3">
        <v>0</v>
      </c>
      <c r="H3725" s="3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 s="3">
        <v>27</v>
      </c>
      <c r="N3725" s="3">
        <v>100</v>
      </c>
      <c r="O3725" s="12">
        <v>27.803738317757009</v>
      </c>
    </row>
    <row r="3726" spans="1:15" hidden="1" x14ac:dyDescent="0.25">
      <c r="A3726" s="10">
        <v>46119</v>
      </c>
      <c r="B3726" t="s">
        <v>15</v>
      </c>
      <c r="C3726" s="1" t="s">
        <v>16</v>
      </c>
      <c r="D3726" s="3">
        <v>25</v>
      </c>
      <c r="E3726" s="3">
        <v>23</v>
      </c>
      <c r="F3726" s="3">
        <v>12.33</v>
      </c>
      <c r="G3726" s="3">
        <v>0</v>
      </c>
      <c r="H3726" s="3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 s="3">
        <v>20</v>
      </c>
      <c r="N3726" s="3">
        <v>96.74</v>
      </c>
      <c r="O3726" s="12">
        <v>28.67647058823529</v>
      </c>
    </row>
    <row r="3727" spans="1:15" hidden="1" x14ac:dyDescent="0.25">
      <c r="A3727" s="10">
        <v>46119</v>
      </c>
      <c r="B3727" t="s">
        <v>49</v>
      </c>
      <c r="C3727" s="1" t="s">
        <v>48</v>
      </c>
      <c r="D3727" s="3">
        <v>41</v>
      </c>
      <c r="E3727" s="3">
        <v>38</v>
      </c>
      <c r="F3727" s="3">
        <v>19.13</v>
      </c>
      <c r="G3727" s="3">
        <v>0</v>
      </c>
      <c r="H3727" s="3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 s="3">
        <v>38</v>
      </c>
      <c r="N3727" s="3">
        <v>98.82</v>
      </c>
      <c r="O3727" s="12">
        <v>30.741410488245929</v>
      </c>
    </row>
    <row r="3728" spans="1:15" hidden="1" x14ac:dyDescent="0.25">
      <c r="A3728" s="10">
        <v>46119</v>
      </c>
      <c r="B3728" t="s">
        <v>50</v>
      </c>
      <c r="C3728" s="1" t="s">
        <v>48</v>
      </c>
      <c r="D3728" s="3">
        <v>28</v>
      </c>
      <c r="E3728" s="3">
        <v>28</v>
      </c>
      <c r="F3728" s="3">
        <v>23.32</v>
      </c>
      <c r="G3728" s="3">
        <v>0</v>
      </c>
      <c r="H3728" s="3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 s="3">
        <v>30</v>
      </c>
      <c r="N3728" s="3">
        <v>98.2</v>
      </c>
      <c r="O3728" s="12">
        <v>27.170868347338931</v>
      </c>
    </row>
    <row r="3729" spans="1:15" hidden="1" x14ac:dyDescent="0.25">
      <c r="A3729" s="10">
        <v>46119</v>
      </c>
      <c r="B3729" t="s">
        <v>17</v>
      </c>
      <c r="C3729" s="1" t="s">
        <v>16</v>
      </c>
      <c r="D3729" s="3">
        <v>13</v>
      </c>
      <c r="E3729" s="3">
        <v>10</v>
      </c>
      <c r="F3729" s="3">
        <v>17.32</v>
      </c>
      <c r="G3729" s="3">
        <v>0</v>
      </c>
      <c r="H3729" s="3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 s="3">
        <v>10</v>
      </c>
      <c r="N3729" s="3">
        <v>100</v>
      </c>
      <c r="O3729" s="12">
        <v>23.134328358208951</v>
      </c>
    </row>
    <row r="3730" spans="1:15" hidden="1" x14ac:dyDescent="0.25">
      <c r="A3730" s="10">
        <v>46119</v>
      </c>
      <c r="B3730" t="s">
        <v>60</v>
      </c>
      <c r="C3730" s="1" t="s">
        <v>23</v>
      </c>
      <c r="D3730" s="3">
        <v>26</v>
      </c>
      <c r="E3730" s="3">
        <v>24</v>
      </c>
      <c r="F3730" s="3">
        <v>20.11</v>
      </c>
      <c r="G3730" s="3">
        <v>0</v>
      </c>
      <c r="H3730" s="3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 s="3">
        <v>20</v>
      </c>
      <c r="N3730" s="3">
        <v>96.3</v>
      </c>
      <c r="O3730" s="12">
        <v>32.219570405727922</v>
      </c>
    </row>
    <row r="3731" spans="1:15" hidden="1" x14ac:dyDescent="0.25">
      <c r="A3731" s="10">
        <v>46119</v>
      </c>
      <c r="B3731" t="s">
        <v>34</v>
      </c>
      <c r="C3731" s="1" t="s">
        <v>32</v>
      </c>
      <c r="D3731" s="3">
        <v>46</v>
      </c>
      <c r="E3731" s="3">
        <v>39</v>
      </c>
      <c r="F3731" s="3">
        <v>10.37</v>
      </c>
      <c r="G3731" s="3">
        <v>0</v>
      </c>
      <c r="H3731" s="3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 s="3">
        <v>37</v>
      </c>
      <c r="N3731" s="3">
        <v>93.75</v>
      </c>
      <c r="O3731" s="12">
        <v>26.819923371647509</v>
      </c>
    </row>
    <row r="3732" spans="1:15" hidden="1" x14ac:dyDescent="0.25">
      <c r="A3732" s="10">
        <v>46119</v>
      </c>
      <c r="B3732" t="s">
        <v>51</v>
      </c>
      <c r="C3732" s="1" t="s">
        <v>48</v>
      </c>
      <c r="D3732" s="3">
        <v>33</v>
      </c>
      <c r="E3732" s="3">
        <v>31</v>
      </c>
      <c r="F3732" s="3">
        <v>15.14</v>
      </c>
      <c r="G3732" s="3">
        <v>0</v>
      </c>
      <c r="H3732" s="3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 s="3">
        <v>23</v>
      </c>
      <c r="N3732" s="3">
        <v>97.86</v>
      </c>
      <c r="O3732" s="12">
        <v>31.018518518518519</v>
      </c>
    </row>
    <row r="3733" spans="1:15" hidden="1" x14ac:dyDescent="0.25">
      <c r="A3733" s="10">
        <v>46119</v>
      </c>
      <c r="B3733" t="s">
        <v>61</v>
      </c>
      <c r="C3733" s="1" t="s">
        <v>23</v>
      </c>
      <c r="D3733" s="3">
        <v>31</v>
      </c>
      <c r="E3733" s="3">
        <v>28</v>
      </c>
      <c r="F3733" s="3">
        <v>14.15</v>
      </c>
      <c r="G3733" s="3">
        <v>0</v>
      </c>
      <c r="H3733" s="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 s="3">
        <v>23</v>
      </c>
      <c r="N3733" s="3">
        <v>100</v>
      </c>
      <c r="O3733" s="12">
        <v>36.594202898550733</v>
      </c>
    </row>
    <row r="3734" spans="1:15" hidden="1" x14ac:dyDescent="0.25">
      <c r="A3734" s="10">
        <v>46119</v>
      </c>
      <c r="B3734" t="s">
        <v>35</v>
      </c>
      <c r="C3734" s="1" t="s">
        <v>32</v>
      </c>
      <c r="D3734" s="3">
        <v>30</v>
      </c>
      <c r="E3734" s="3">
        <v>30</v>
      </c>
      <c r="F3734" s="3">
        <v>20.47</v>
      </c>
      <c r="G3734" s="3">
        <v>0</v>
      </c>
      <c r="H3734" s="3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 s="3">
        <v>29</v>
      </c>
      <c r="N3734" s="3">
        <v>100</v>
      </c>
      <c r="O3734" s="12">
        <v>38.653846153846153</v>
      </c>
    </row>
    <row r="3735" spans="1:15" hidden="1" x14ac:dyDescent="0.25">
      <c r="A3735" s="10">
        <v>46119</v>
      </c>
      <c r="B3735" t="s">
        <v>18</v>
      </c>
      <c r="C3735" s="1" t="s">
        <v>16</v>
      </c>
      <c r="D3735" s="3">
        <v>5</v>
      </c>
      <c r="E3735" s="3">
        <v>5</v>
      </c>
      <c r="F3735" s="3">
        <v>43.39</v>
      </c>
      <c r="G3735" s="3">
        <v>0</v>
      </c>
      <c r="H3735" s="3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 s="3">
        <v>5</v>
      </c>
      <c r="N3735" s="3">
        <v>100</v>
      </c>
      <c r="O3735" s="12">
        <v>27.368421052631579</v>
      </c>
    </row>
    <row r="3736" spans="1:15" hidden="1" x14ac:dyDescent="0.25">
      <c r="A3736" s="10">
        <v>46119</v>
      </c>
      <c r="B3736" t="s">
        <v>52</v>
      </c>
      <c r="C3736" s="1" t="s">
        <v>48</v>
      </c>
      <c r="D3736" s="3">
        <v>18</v>
      </c>
      <c r="E3736" s="3">
        <v>18</v>
      </c>
      <c r="F3736" s="3">
        <v>19.12</v>
      </c>
      <c r="G3736" s="3">
        <v>0</v>
      </c>
      <c r="H3736" s="3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 s="3">
        <v>19</v>
      </c>
      <c r="N3736" s="3">
        <v>97.83</v>
      </c>
      <c r="O3736" s="12">
        <v>28.35164835164835</v>
      </c>
    </row>
    <row r="3737" spans="1:15" hidden="1" x14ac:dyDescent="0.25">
      <c r="A3737" s="10">
        <v>46119</v>
      </c>
      <c r="B3737" t="s">
        <v>36</v>
      </c>
      <c r="C3737" s="1" t="s">
        <v>32</v>
      </c>
      <c r="D3737" s="3">
        <v>29</v>
      </c>
      <c r="E3737" s="3">
        <v>29</v>
      </c>
      <c r="F3737" s="3">
        <v>16.48</v>
      </c>
      <c r="G3737" s="3">
        <v>0</v>
      </c>
      <c r="H3737" s="3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 s="3">
        <v>29</v>
      </c>
      <c r="N3737" s="3">
        <v>99.26</v>
      </c>
      <c r="O3737" s="12">
        <v>29.766536964980549</v>
      </c>
    </row>
    <row r="3738" spans="1:15" hidden="1" x14ac:dyDescent="0.25">
      <c r="A3738" s="10">
        <v>46119</v>
      </c>
      <c r="B3738" t="s">
        <v>53</v>
      </c>
      <c r="C3738" s="1" t="s">
        <v>48</v>
      </c>
      <c r="D3738" s="3">
        <v>27</v>
      </c>
      <c r="E3738" s="3">
        <v>26</v>
      </c>
      <c r="F3738" s="3">
        <v>18.52</v>
      </c>
      <c r="G3738" s="3">
        <v>0</v>
      </c>
      <c r="H3738" s="3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 s="3">
        <v>24</v>
      </c>
      <c r="N3738" s="3">
        <v>99.19</v>
      </c>
      <c r="O3738" s="12">
        <v>29.462365591397852</v>
      </c>
    </row>
    <row r="3739" spans="1:15" x14ac:dyDescent="0.25">
      <c r="A3739" s="5">
        <v>46154</v>
      </c>
      <c r="B3739" s="6" t="s">
        <v>20</v>
      </c>
      <c r="C3739" s="1" t="s">
        <v>16</v>
      </c>
      <c r="D3739" s="3">
        <v>9</v>
      </c>
      <c r="E3739" s="3">
        <v>7</v>
      </c>
      <c r="F3739" s="3">
        <v>29.01</v>
      </c>
      <c r="G3739" s="3">
        <v>0</v>
      </c>
      <c r="H3739" s="3">
        <v>0</v>
      </c>
      <c r="I3739" s="3">
        <f>E3739+G3739+H3739</f>
        <v>7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9</v>
      </c>
      <c r="K3739" s="3">
        <f>I3739-J3739</f>
        <v>-2</v>
      </c>
      <c r="L3739" s="3" t="str">
        <f>IF(K3739&lt;-5,"CRÍTICO",IF(K3739&lt;0,"ATENÇÃO",IF(K3739&lt;=5,"OPORTUNO","MUITO BOM")))</f>
        <v>ATENÇÃO</v>
      </c>
      <c r="M3739" s="3">
        <v>4</v>
      </c>
      <c r="N3739" s="3">
        <v>100</v>
      </c>
      <c r="O3739" s="12">
        <v>17.1875</v>
      </c>
    </row>
    <row r="3740" spans="1:15" hidden="1" x14ac:dyDescent="0.25">
      <c r="A3740" s="10">
        <v>46119</v>
      </c>
      <c r="B3740" t="s">
        <v>54</v>
      </c>
      <c r="C3740" s="1" t="s">
        <v>48</v>
      </c>
      <c r="D3740" s="3">
        <v>0</v>
      </c>
      <c r="E3740" s="3">
        <v>0</v>
      </c>
      <c r="F3740" s="3">
        <v>0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 s="3">
        <v>0</v>
      </c>
      <c r="N3740" s="3">
        <v>100</v>
      </c>
      <c r="O3740" s="12">
        <v>28.921568627450981</v>
      </c>
    </row>
    <row r="3741" spans="1:15" hidden="1" x14ac:dyDescent="0.25">
      <c r="A3741" s="10">
        <v>46119</v>
      </c>
      <c r="B3741" t="s">
        <v>37</v>
      </c>
      <c r="C3741" s="1" t="s">
        <v>32</v>
      </c>
      <c r="D3741" s="3">
        <v>46</v>
      </c>
      <c r="E3741" s="3">
        <v>43</v>
      </c>
      <c r="F3741" s="3">
        <v>10.53</v>
      </c>
      <c r="G3741" s="3">
        <v>0</v>
      </c>
      <c r="H3741" s="3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 s="3">
        <v>48</v>
      </c>
      <c r="N3741" s="3">
        <v>99.57</v>
      </c>
      <c r="O3741" s="12">
        <v>30.635838150289018</v>
      </c>
    </row>
    <row r="3742" spans="1:15" hidden="1" x14ac:dyDescent="0.25">
      <c r="A3742" s="10">
        <v>46119</v>
      </c>
      <c r="B3742" t="s">
        <v>38</v>
      </c>
      <c r="C3742" s="1" t="s">
        <v>32</v>
      </c>
      <c r="D3742" s="3">
        <v>0</v>
      </c>
      <c r="E3742" s="3">
        <v>0</v>
      </c>
      <c r="F3742" s="3">
        <v>0</v>
      </c>
      <c r="G3742" s="3">
        <v>0</v>
      </c>
      <c r="H3742" s="3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 s="3">
        <v>0</v>
      </c>
      <c r="N3742" s="3">
        <v>95.65</v>
      </c>
      <c r="O3742" s="12">
        <v>32.432432432432442</v>
      </c>
    </row>
    <row r="3743" spans="1:15" hidden="1" x14ac:dyDescent="0.25">
      <c r="A3743" s="10">
        <v>46119</v>
      </c>
      <c r="B3743" t="s">
        <v>55</v>
      </c>
      <c r="C3743" s="1" t="s">
        <v>48</v>
      </c>
      <c r="D3743" s="3">
        <v>27</v>
      </c>
      <c r="E3743" s="3">
        <v>24</v>
      </c>
      <c r="F3743" s="3">
        <v>15.58</v>
      </c>
      <c r="G3743" s="3">
        <v>0</v>
      </c>
      <c r="H3743" s="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 s="3">
        <v>20</v>
      </c>
      <c r="N3743" s="3">
        <v>98.81</v>
      </c>
      <c r="O3743" s="12">
        <v>26.256983240223459</v>
      </c>
    </row>
    <row r="3744" spans="1:15" hidden="1" x14ac:dyDescent="0.25">
      <c r="A3744" s="10">
        <v>46119</v>
      </c>
      <c r="B3744" t="s">
        <v>39</v>
      </c>
      <c r="C3744" s="1" t="s">
        <v>32</v>
      </c>
      <c r="D3744" s="3">
        <v>0</v>
      </c>
      <c r="E3744" s="3">
        <v>0</v>
      </c>
      <c r="F3744" s="3">
        <v>0</v>
      </c>
      <c r="G3744" s="3">
        <v>0</v>
      </c>
      <c r="H3744" s="3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 s="3">
        <v>0</v>
      </c>
      <c r="N3744" s="3">
        <v>0</v>
      </c>
      <c r="O3744" s="12">
        <v>0</v>
      </c>
    </row>
    <row r="3745" spans="1:15" hidden="1" x14ac:dyDescent="0.25">
      <c r="A3745" s="10">
        <v>46119</v>
      </c>
      <c r="B3745" t="s">
        <v>25</v>
      </c>
      <c r="C3745" s="1" t="s">
        <v>26</v>
      </c>
      <c r="D3745" s="3">
        <v>24</v>
      </c>
      <c r="E3745" s="3">
        <v>24</v>
      </c>
      <c r="F3745" s="3">
        <v>19.190000000000001</v>
      </c>
      <c r="G3745" s="3">
        <v>0</v>
      </c>
      <c r="H3745" s="3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 s="3">
        <v>22</v>
      </c>
      <c r="N3745" s="3">
        <v>97.17</v>
      </c>
      <c r="O3745" s="12">
        <v>28.81844380403458</v>
      </c>
    </row>
    <row r="3746" spans="1:15" hidden="1" x14ac:dyDescent="0.25">
      <c r="A3746" s="10">
        <v>46119</v>
      </c>
      <c r="B3746" t="s">
        <v>40</v>
      </c>
      <c r="C3746" s="1" t="s">
        <v>32</v>
      </c>
      <c r="D3746" s="3">
        <v>24</v>
      </c>
      <c r="E3746" s="3">
        <v>24</v>
      </c>
      <c r="F3746" s="3">
        <v>19.14</v>
      </c>
      <c r="G3746" s="3">
        <v>0</v>
      </c>
      <c r="H3746" s="3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 s="3">
        <v>23</v>
      </c>
      <c r="N3746" s="3">
        <v>96.81</v>
      </c>
      <c r="O3746" s="12">
        <v>48.018648018648022</v>
      </c>
    </row>
    <row r="3747" spans="1:15" hidden="1" x14ac:dyDescent="0.25">
      <c r="A3747" s="10">
        <v>46119</v>
      </c>
      <c r="B3747" t="s">
        <v>27</v>
      </c>
      <c r="C3747" s="1" t="s">
        <v>26</v>
      </c>
      <c r="D3747" s="3">
        <v>18</v>
      </c>
      <c r="E3747" s="3">
        <v>16</v>
      </c>
      <c r="F3747" s="3">
        <v>23.54</v>
      </c>
      <c r="G3747" s="3">
        <v>0</v>
      </c>
      <c r="H3747" s="3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 s="3">
        <v>13</v>
      </c>
      <c r="N3747" s="3">
        <v>98.15</v>
      </c>
      <c r="O3747" s="12">
        <v>27.1551724137931</v>
      </c>
    </row>
    <row r="3748" spans="1:15" hidden="1" x14ac:dyDescent="0.25">
      <c r="A3748" s="10">
        <v>46119</v>
      </c>
      <c r="B3748" t="s">
        <v>41</v>
      </c>
      <c r="C3748" s="1" t="s">
        <v>32</v>
      </c>
      <c r="D3748" s="3">
        <v>28</v>
      </c>
      <c r="E3748" s="3">
        <v>25</v>
      </c>
      <c r="F3748" s="3">
        <v>15.2</v>
      </c>
      <c r="G3748" s="3">
        <v>0</v>
      </c>
      <c r="H3748" s="3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 s="3">
        <v>25</v>
      </c>
      <c r="N3748" s="3">
        <v>99.15</v>
      </c>
      <c r="O3748" s="12">
        <v>27.586206896551719</v>
      </c>
    </row>
    <row r="3749" spans="1:15" hidden="1" x14ac:dyDescent="0.25">
      <c r="A3749" s="10">
        <v>46119</v>
      </c>
      <c r="B3749" t="s">
        <v>56</v>
      </c>
      <c r="C3749" s="1" t="s">
        <v>48</v>
      </c>
      <c r="D3749" s="3">
        <v>30</v>
      </c>
      <c r="E3749" s="3">
        <v>29</v>
      </c>
      <c r="F3749" s="3">
        <v>20.48</v>
      </c>
      <c r="G3749" s="3">
        <v>0</v>
      </c>
      <c r="H3749" s="3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 s="3">
        <v>26</v>
      </c>
      <c r="N3749" s="3">
        <v>99.17</v>
      </c>
      <c r="O3749" s="12">
        <v>29.75206611570248</v>
      </c>
    </row>
    <row r="3750" spans="1:15" hidden="1" x14ac:dyDescent="0.25">
      <c r="A3750" s="10">
        <v>46119</v>
      </c>
      <c r="B3750" t="s">
        <v>57</v>
      </c>
      <c r="C3750" s="1" t="s">
        <v>48</v>
      </c>
      <c r="D3750" s="3">
        <v>37</v>
      </c>
      <c r="E3750" s="3">
        <v>34</v>
      </c>
      <c r="F3750" s="3">
        <v>16.52</v>
      </c>
      <c r="G3750" s="3">
        <v>0</v>
      </c>
      <c r="H3750" s="3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 s="3">
        <v>33</v>
      </c>
      <c r="N3750" s="3">
        <v>98.73</v>
      </c>
      <c r="O3750" s="12">
        <v>28.961748633879779</v>
      </c>
    </row>
    <row r="3751" spans="1:15" hidden="1" x14ac:dyDescent="0.25">
      <c r="A3751" s="10">
        <v>46119</v>
      </c>
      <c r="B3751" t="s">
        <v>42</v>
      </c>
      <c r="C3751" s="1" t="s">
        <v>32</v>
      </c>
      <c r="D3751" s="3">
        <v>35</v>
      </c>
      <c r="E3751" s="3">
        <v>30</v>
      </c>
      <c r="F3751" s="3">
        <v>20.04</v>
      </c>
      <c r="G3751" s="3">
        <v>0</v>
      </c>
      <c r="H3751" s="3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 s="3">
        <v>21</v>
      </c>
      <c r="N3751" s="3">
        <v>88.68</v>
      </c>
      <c r="O3751" s="12">
        <v>22.03389830508474</v>
      </c>
    </row>
    <row r="3752" spans="1:15" hidden="1" x14ac:dyDescent="0.25">
      <c r="A3752" s="10">
        <v>46119</v>
      </c>
      <c r="B3752" t="s">
        <v>62</v>
      </c>
      <c r="C3752" s="1" t="s">
        <v>23</v>
      </c>
      <c r="D3752" s="3">
        <v>12</v>
      </c>
      <c r="E3752" s="3">
        <v>12</v>
      </c>
      <c r="F3752" s="3">
        <v>20.14</v>
      </c>
      <c r="G3752" s="3">
        <v>0</v>
      </c>
      <c r="H3752" s="3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 s="3">
        <v>11</v>
      </c>
      <c r="N3752" s="3">
        <v>97.37</v>
      </c>
      <c r="O3752" s="12">
        <v>25.76530612244898</v>
      </c>
    </row>
    <row r="3753" spans="1:15" hidden="1" x14ac:dyDescent="0.25">
      <c r="A3753" s="10">
        <v>46119</v>
      </c>
      <c r="B3753" t="s">
        <v>19</v>
      </c>
      <c r="C3753" s="1" t="s">
        <v>16</v>
      </c>
      <c r="D3753" s="3">
        <v>11</v>
      </c>
      <c r="E3753" s="3">
        <v>10</v>
      </c>
      <c r="F3753" s="3">
        <v>33.31</v>
      </c>
      <c r="G3753" s="3">
        <v>0</v>
      </c>
      <c r="H3753" s="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 s="3">
        <v>7</v>
      </c>
      <c r="N3753" s="3">
        <v>100</v>
      </c>
      <c r="O3753" s="12">
        <v>25</v>
      </c>
    </row>
    <row r="3754" spans="1:15" hidden="1" x14ac:dyDescent="0.25">
      <c r="A3754" s="10">
        <v>46139</v>
      </c>
      <c r="B3754" t="s">
        <v>43</v>
      </c>
      <c r="C3754" s="1" t="s">
        <v>32</v>
      </c>
      <c r="D3754" s="3">
        <v>14</v>
      </c>
      <c r="E3754" s="3">
        <v>14</v>
      </c>
      <c r="F3754" s="3">
        <v>10.57</v>
      </c>
      <c r="G3754" s="3">
        <v>0</v>
      </c>
      <c r="H3754" s="3">
        <v>0</v>
      </c>
      <c r="I3754" s="3">
        <f>E3754+G3754+H3754</f>
        <v>14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14</v>
      </c>
      <c r="K3754" s="3">
        <f>I3754-J3754</f>
        <v>0</v>
      </c>
      <c r="L3754" s="3" t="str">
        <f>IF(K3754&lt;-5,"CRÍTICO",IF(K3754&lt;0,"ATENÇÃO",IF(K3754&lt;=5,"OPORTUNO","MUITO BOM")))</f>
        <v>OPORTUNO</v>
      </c>
      <c r="M3754" s="3">
        <v>40</v>
      </c>
      <c r="N3754" s="3">
        <v>100</v>
      </c>
      <c r="O3754" s="12">
        <v>23.9870340356564</v>
      </c>
    </row>
    <row r="3755" spans="1:15" hidden="1" x14ac:dyDescent="0.25">
      <c r="A3755" s="10">
        <v>46119</v>
      </c>
      <c r="B3755" t="s">
        <v>44</v>
      </c>
      <c r="C3755" s="1" t="s">
        <v>32</v>
      </c>
      <c r="D3755" s="3">
        <v>40</v>
      </c>
      <c r="E3755" s="3">
        <v>35</v>
      </c>
      <c r="F3755" s="3">
        <v>12.18</v>
      </c>
      <c r="G3755" s="3">
        <v>0</v>
      </c>
      <c r="H3755" s="3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 s="3">
        <v>27</v>
      </c>
      <c r="N3755" s="3">
        <v>95.49</v>
      </c>
      <c r="O3755" s="12">
        <v>28.370221327967808</v>
      </c>
    </row>
    <row r="3756" spans="1:15" x14ac:dyDescent="0.25">
      <c r="A3756" s="5">
        <v>46155</v>
      </c>
      <c r="B3756" s="6" t="s">
        <v>20</v>
      </c>
      <c r="C3756" s="1" t="s">
        <v>16</v>
      </c>
      <c r="D3756" s="3">
        <v>6</v>
      </c>
      <c r="E3756" s="3">
        <v>6</v>
      </c>
      <c r="F3756" s="3">
        <v>29.1</v>
      </c>
      <c r="G3756" s="3">
        <v>0</v>
      </c>
      <c r="H3756" s="3">
        <v>0</v>
      </c>
      <c r="I3756" s="3">
        <f>E3756+G3756+H3756</f>
        <v>6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8</v>
      </c>
      <c r="K3756" s="3">
        <f>I3756-J3756</f>
        <v>-2</v>
      </c>
      <c r="L3756" s="3" t="str">
        <f>IF(K3756&lt;-5,"CRÍTICO",IF(K3756&lt;0,"ATENÇÃO",IF(K3756&lt;=5,"OPORTUNO","MUITO BOM")))</f>
        <v>ATENÇÃO</v>
      </c>
      <c r="M3756" s="3">
        <v>5</v>
      </c>
      <c r="N3756" s="3">
        <v>100</v>
      </c>
      <c r="O3756" s="12">
        <v>17.1875</v>
      </c>
    </row>
    <row r="3757" spans="1:15" hidden="1" x14ac:dyDescent="0.25">
      <c r="A3757" s="10">
        <v>46119</v>
      </c>
      <c r="B3757" t="s">
        <v>28</v>
      </c>
      <c r="C3757" s="1" t="s">
        <v>26</v>
      </c>
      <c r="D3757" s="3">
        <v>23</v>
      </c>
      <c r="E3757" s="3">
        <v>19</v>
      </c>
      <c r="F3757" s="3">
        <v>23.44</v>
      </c>
      <c r="G3757" s="3">
        <v>0</v>
      </c>
      <c r="H3757" s="3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 s="3">
        <v>12</v>
      </c>
      <c r="N3757" s="3">
        <v>96.15</v>
      </c>
      <c r="O3757" s="12">
        <v>24.045801526717561</v>
      </c>
    </row>
    <row r="3758" spans="1:15" hidden="1" x14ac:dyDescent="0.25">
      <c r="A3758" s="10">
        <v>46119</v>
      </c>
      <c r="B3758" t="s">
        <v>58</v>
      </c>
      <c r="C3758" s="1" t="s">
        <v>48</v>
      </c>
      <c r="D3758" s="3">
        <v>19</v>
      </c>
      <c r="E3758" s="3">
        <v>19</v>
      </c>
      <c r="F3758" s="3">
        <v>23.54</v>
      </c>
      <c r="G3758" s="3">
        <v>0</v>
      </c>
      <c r="H3758" s="3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 s="3">
        <v>18</v>
      </c>
      <c r="N3758" s="3">
        <v>99.02</v>
      </c>
      <c r="O3758" s="12">
        <v>34.797297297297298</v>
      </c>
    </row>
    <row r="3759" spans="1:15" hidden="1" x14ac:dyDescent="0.25">
      <c r="A3759" s="10">
        <v>46119</v>
      </c>
      <c r="B3759" t="s">
        <v>29</v>
      </c>
      <c r="C3759" s="1" t="s">
        <v>26</v>
      </c>
      <c r="D3759" s="3">
        <v>16</v>
      </c>
      <c r="E3759" s="3">
        <v>16</v>
      </c>
      <c r="F3759" s="3">
        <v>17.36</v>
      </c>
      <c r="G3759" s="3">
        <v>0</v>
      </c>
      <c r="H3759" s="3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 s="3">
        <v>15</v>
      </c>
      <c r="N3759" s="3">
        <v>98.84</v>
      </c>
      <c r="O3759" s="12">
        <v>31.868131868131869</v>
      </c>
    </row>
    <row r="3760" spans="1:15" hidden="1" x14ac:dyDescent="0.25">
      <c r="A3760" s="10">
        <v>46119</v>
      </c>
      <c r="B3760" t="s">
        <v>30</v>
      </c>
      <c r="C3760" s="1" t="s">
        <v>26</v>
      </c>
      <c r="D3760" s="3">
        <v>18</v>
      </c>
      <c r="E3760" s="3">
        <v>16</v>
      </c>
      <c r="F3760" s="3">
        <v>20.14</v>
      </c>
      <c r="G3760" s="3">
        <v>0</v>
      </c>
      <c r="H3760" s="3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 s="3">
        <v>13</v>
      </c>
      <c r="N3760" s="3">
        <v>100</v>
      </c>
      <c r="O3760" s="12">
        <v>34.666666666666671</v>
      </c>
    </row>
    <row r="3761" spans="1:15" hidden="1" x14ac:dyDescent="0.25">
      <c r="A3761" s="7">
        <v>46161</v>
      </c>
      <c r="B3761" s="8" t="s">
        <v>50</v>
      </c>
      <c r="C3761" s="1" t="s">
        <v>48</v>
      </c>
      <c r="D3761" s="3">
        <v>33</v>
      </c>
      <c r="E3761" s="3">
        <v>32</v>
      </c>
      <c r="F3761" s="3">
        <v>16.54</v>
      </c>
      <c r="G3761" s="3">
        <v>2</v>
      </c>
      <c r="H3761" s="3">
        <v>0</v>
      </c>
      <c r="I3761" s="3">
        <f>E3761+G3761+H3761</f>
        <v>34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23</v>
      </c>
      <c r="K3761" s="3">
        <f>I3761-J3761</f>
        <v>11</v>
      </c>
      <c r="L3761" s="3" t="str">
        <f>IF(K3761&lt;-5,"CRÍTICO",IF(K3761&lt;0,"ATENÇÃO",IF(K3761&lt;=5,"OPORTUNO","MUITO BOM")))</f>
        <v>MUITO BOM</v>
      </c>
      <c r="M3761" s="3">
        <v>29</v>
      </c>
      <c r="N3761" s="3">
        <v>99.07</v>
      </c>
      <c r="O3761" s="12">
        <v>20.098039215686271</v>
      </c>
    </row>
    <row r="3762" spans="1:15" hidden="1" x14ac:dyDescent="0.25">
      <c r="A3762" s="10">
        <v>46119</v>
      </c>
      <c r="B3762" t="s">
        <v>63</v>
      </c>
      <c r="C3762" s="1" t="s">
        <v>23</v>
      </c>
      <c r="D3762" s="3">
        <v>36</v>
      </c>
      <c r="E3762" s="3">
        <v>31</v>
      </c>
      <c r="F3762" s="3">
        <v>13.3</v>
      </c>
      <c r="G3762" s="3">
        <v>0</v>
      </c>
      <c r="H3762" s="3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 s="3">
        <v>28</v>
      </c>
      <c r="N3762" s="3">
        <v>98.32</v>
      </c>
      <c r="O3762" s="12">
        <v>26.858513189448441</v>
      </c>
    </row>
    <row r="3763" spans="1:15" hidden="1" x14ac:dyDescent="0.25">
      <c r="A3763" s="10">
        <v>46119</v>
      </c>
      <c r="B3763" t="s">
        <v>45</v>
      </c>
      <c r="C3763" s="1" t="s">
        <v>32</v>
      </c>
      <c r="D3763" s="3">
        <v>45</v>
      </c>
      <c r="E3763" s="3">
        <v>39</v>
      </c>
      <c r="F3763" s="3">
        <v>12.37</v>
      </c>
      <c r="G3763" s="3">
        <v>0</v>
      </c>
      <c r="H3763" s="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 s="3">
        <v>31</v>
      </c>
      <c r="N3763" s="3">
        <v>100</v>
      </c>
      <c r="O3763" s="12">
        <v>31.135531135531139</v>
      </c>
    </row>
    <row r="3764" spans="1:15" hidden="1" x14ac:dyDescent="0.25">
      <c r="A3764" s="10">
        <v>46119</v>
      </c>
      <c r="B3764" t="s">
        <v>64</v>
      </c>
      <c r="C3764" s="1" t="s">
        <v>23</v>
      </c>
      <c r="D3764" s="3">
        <v>21</v>
      </c>
      <c r="E3764" s="3">
        <v>21</v>
      </c>
      <c r="F3764" s="3">
        <v>23.42</v>
      </c>
      <c r="G3764" s="3">
        <v>0</v>
      </c>
      <c r="H3764" s="3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 s="3">
        <v>20</v>
      </c>
      <c r="N3764" s="3">
        <v>100</v>
      </c>
      <c r="O3764" s="12">
        <v>26.36986301369863</v>
      </c>
    </row>
    <row r="3765" spans="1:15" hidden="1" x14ac:dyDescent="0.25">
      <c r="A3765" s="10">
        <v>46119</v>
      </c>
      <c r="B3765" t="s">
        <v>46</v>
      </c>
      <c r="C3765" s="1" t="s">
        <v>32</v>
      </c>
      <c r="D3765" s="3">
        <v>31</v>
      </c>
      <c r="E3765" s="3">
        <v>31</v>
      </c>
      <c r="F3765" s="3">
        <v>20.04</v>
      </c>
      <c r="G3765" s="3">
        <v>0</v>
      </c>
      <c r="H3765" s="3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 s="3">
        <v>26</v>
      </c>
      <c r="N3765" s="3">
        <v>99.21</v>
      </c>
      <c r="O3765" s="12">
        <v>25.188916876574311</v>
      </c>
    </row>
    <row r="3766" spans="1:15" hidden="1" x14ac:dyDescent="0.25">
      <c r="A3766" s="10">
        <v>46120</v>
      </c>
      <c r="B3766" t="s">
        <v>47</v>
      </c>
      <c r="C3766" s="1" t="s">
        <v>48</v>
      </c>
      <c r="D3766" s="3">
        <v>31</v>
      </c>
      <c r="E3766" s="3">
        <v>25</v>
      </c>
      <c r="F3766" s="3">
        <v>10.26</v>
      </c>
      <c r="G3766" s="3">
        <v>0</v>
      </c>
      <c r="H3766" s="3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 s="3">
        <v>15</v>
      </c>
      <c r="N3766" s="3">
        <v>100</v>
      </c>
      <c r="O3766" s="12">
        <v>32.764505119453922</v>
      </c>
    </row>
    <row r="3767" spans="1:15" hidden="1" x14ac:dyDescent="0.25">
      <c r="A3767" s="10">
        <v>46120</v>
      </c>
      <c r="B3767" t="s">
        <v>31</v>
      </c>
      <c r="C3767" s="1" t="s">
        <v>32</v>
      </c>
      <c r="D3767" s="3">
        <v>0</v>
      </c>
      <c r="E3767" s="3">
        <v>0</v>
      </c>
      <c r="F3767" s="3">
        <v>0</v>
      </c>
      <c r="G3767" s="3">
        <v>0</v>
      </c>
      <c r="H3767" s="3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 s="3">
        <v>26</v>
      </c>
      <c r="N3767" s="3">
        <v>98.66</v>
      </c>
      <c r="O3767" s="12">
        <v>35.416666666666671</v>
      </c>
    </row>
    <row r="3768" spans="1:15" hidden="1" x14ac:dyDescent="0.25">
      <c r="A3768" s="10">
        <v>46120</v>
      </c>
      <c r="B3768" t="s">
        <v>59</v>
      </c>
      <c r="C3768" s="1" t="s">
        <v>23</v>
      </c>
      <c r="D3768" s="3">
        <v>35</v>
      </c>
      <c r="E3768" s="3">
        <v>33</v>
      </c>
      <c r="F3768" s="3">
        <v>17.16</v>
      </c>
      <c r="G3768" s="3">
        <v>0</v>
      </c>
      <c r="H3768" s="3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 s="3">
        <v>32</v>
      </c>
      <c r="N3768" s="3">
        <v>99.32</v>
      </c>
      <c r="O3768" s="12">
        <v>30.648330058939099</v>
      </c>
    </row>
    <row r="3769" spans="1:15" hidden="1" x14ac:dyDescent="0.25">
      <c r="A3769" s="10">
        <v>46120</v>
      </c>
      <c r="B3769" t="s">
        <v>33</v>
      </c>
      <c r="C3769" s="1" t="s">
        <v>32</v>
      </c>
      <c r="D3769" s="3">
        <v>37</v>
      </c>
      <c r="E3769" s="3">
        <v>35</v>
      </c>
      <c r="F3769" s="3">
        <v>14.11</v>
      </c>
      <c r="G3769" s="3">
        <v>0</v>
      </c>
      <c r="H3769" s="3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 s="3">
        <v>31</v>
      </c>
      <c r="N3769" s="3">
        <v>100</v>
      </c>
      <c r="O3769" s="12">
        <v>27.803738317757009</v>
      </c>
    </row>
    <row r="3770" spans="1:15" hidden="1" x14ac:dyDescent="0.25">
      <c r="A3770" s="10">
        <v>46120</v>
      </c>
      <c r="B3770" t="s">
        <v>15</v>
      </c>
      <c r="C3770" s="1" t="s">
        <v>16</v>
      </c>
      <c r="D3770" s="3">
        <v>15</v>
      </c>
      <c r="E3770" s="3">
        <v>15</v>
      </c>
      <c r="F3770" s="3">
        <v>22.09</v>
      </c>
      <c r="G3770" s="3">
        <v>0</v>
      </c>
      <c r="H3770" s="3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 s="3">
        <v>13</v>
      </c>
      <c r="N3770" s="3">
        <v>96.74</v>
      </c>
      <c r="O3770" s="12">
        <v>28.67647058823529</v>
      </c>
    </row>
    <row r="3771" spans="1:15" hidden="1" x14ac:dyDescent="0.25">
      <c r="A3771" s="10">
        <v>46120</v>
      </c>
      <c r="B3771" t="s">
        <v>49</v>
      </c>
      <c r="C3771" s="1" t="s">
        <v>48</v>
      </c>
      <c r="D3771" s="3">
        <v>31</v>
      </c>
      <c r="E3771" s="3">
        <v>27</v>
      </c>
      <c r="F3771" s="3">
        <v>16.5</v>
      </c>
      <c r="G3771" s="3">
        <v>0</v>
      </c>
      <c r="H3771" s="3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 s="3">
        <v>29</v>
      </c>
      <c r="N3771" s="3">
        <v>98.82</v>
      </c>
      <c r="O3771" s="12">
        <v>30.741410488245929</v>
      </c>
    </row>
    <row r="3772" spans="1:15" hidden="1" x14ac:dyDescent="0.25">
      <c r="A3772" s="10">
        <v>46120</v>
      </c>
      <c r="B3772" t="s">
        <v>50</v>
      </c>
      <c r="C3772" s="1" t="s">
        <v>48</v>
      </c>
      <c r="D3772" s="3">
        <v>14</v>
      </c>
      <c r="E3772" s="3">
        <v>14</v>
      </c>
      <c r="F3772" s="3">
        <v>22.27</v>
      </c>
      <c r="G3772" s="3">
        <v>0</v>
      </c>
      <c r="H3772" s="3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 s="3">
        <v>18</v>
      </c>
      <c r="N3772" s="3">
        <v>98.2</v>
      </c>
      <c r="O3772" s="12">
        <v>27.170868347338931</v>
      </c>
    </row>
    <row r="3773" spans="1:15" hidden="1" x14ac:dyDescent="0.25">
      <c r="A3773" s="10">
        <v>46120</v>
      </c>
      <c r="B3773" t="s">
        <v>17</v>
      </c>
      <c r="C3773" s="1" t="s">
        <v>16</v>
      </c>
      <c r="D3773" s="3">
        <v>4</v>
      </c>
      <c r="E3773" s="3">
        <v>4</v>
      </c>
      <c r="F3773" s="3">
        <v>55.43</v>
      </c>
      <c r="G3773" s="3">
        <v>0</v>
      </c>
      <c r="H3773" s="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 s="3">
        <v>4</v>
      </c>
      <c r="N3773" s="3">
        <v>100</v>
      </c>
      <c r="O3773" s="12">
        <v>23.134328358208951</v>
      </c>
    </row>
    <row r="3774" spans="1:15" hidden="1" x14ac:dyDescent="0.25">
      <c r="A3774" s="10">
        <v>46120</v>
      </c>
      <c r="B3774" t="s">
        <v>60</v>
      </c>
      <c r="C3774" s="1" t="s">
        <v>23</v>
      </c>
      <c r="D3774" s="3">
        <v>23</v>
      </c>
      <c r="E3774" s="3">
        <v>22</v>
      </c>
      <c r="F3774" s="3">
        <v>15.5</v>
      </c>
      <c r="G3774" s="3">
        <v>0</v>
      </c>
      <c r="H3774" s="3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 s="3">
        <v>30</v>
      </c>
      <c r="N3774" s="3">
        <v>96.3</v>
      </c>
      <c r="O3774" s="12">
        <v>32.219570405727922</v>
      </c>
    </row>
    <row r="3775" spans="1:15" hidden="1" x14ac:dyDescent="0.25">
      <c r="A3775" s="10">
        <v>46120</v>
      </c>
      <c r="B3775" t="s">
        <v>34</v>
      </c>
      <c r="C3775" s="1" t="s">
        <v>32</v>
      </c>
      <c r="D3775" s="3">
        <v>24</v>
      </c>
      <c r="E3775" s="3">
        <v>21</v>
      </c>
      <c r="F3775" s="3">
        <v>11.54</v>
      </c>
      <c r="G3775" s="3">
        <v>0</v>
      </c>
      <c r="H3775" s="3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 s="3">
        <v>17</v>
      </c>
      <c r="N3775" s="3">
        <v>93.75</v>
      </c>
      <c r="O3775" s="12">
        <v>26.819923371647509</v>
      </c>
    </row>
    <row r="3776" spans="1:15" hidden="1" x14ac:dyDescent="0.25">
      <c r="A3776" s="10">
        <v>46120</v>
      </c>
      <c r="B3776" t="s">
        <v>51</v>
      </c>
      <c r="C3776" s="1" t="s">
        <v>48</v>
      </c>
      <c r="D3776" s="3">
        <v>37</v>
      </c>
      <c r="E3776" s="3">
        <v>33</v>
      </c>
      <c r="F3776" s="3">
        <v>15.35</v>
      </c>
      <c r="G3776" s="3">
        <v>0</v>
      </c>
      <c r="H3776" s="3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 s="3">
        <v>31</v>
      </c>
      <c r="N3776" s="3">
        <v>97.86</v>
      </c>
      <c r="O3776" s="12">
        <v>31.018518518518519</v>
      </c>
    </row>
    <row r="3777" spans="1:15" hidden="1" x14ac:dyDescent="0.25">
      <c r="A3777" s="10">
        <v>46120</v>
      </c>
      <c r="B3777" t="s">
        <v>61</v>
      </c>
      <c r="C3777" s="1" t="s">
        <v>23</v>
      </c>
      <c r="D3777" s="3">
        <v>30</v>
      </c>
      <c r="E3777" s="3">
        <v>28</v>
      </c>
      <c r="F3777" s="3">
        <v>15.05</v>
      </c>
      <c r="G3777" s="3">
        <v>0</v>
      </c>
      <c r="H3777" s="3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 s="3">
        <v>19</v>
      </c>
      <c r="N3777" s="3">
        <v>100</v>
      </c>
      <c r="O3777" s="12">
        <v>36.594202898550733</v>
      </c>
    </row>
    <row r="3778" spans="1:15" hidden="1" x14ac:dyDescent="0.25">
      <c r="A3778" s="10">
        <v>46120</v>
      </c>
      <c r="B3778" t="s">
        <v>35</v>
      </c>
      <c r="C3778" s="1" t="s">
        <v>32</v>
      </c>
      <c r="D3778" s="3">
        <v>34</v>
      </c>
      <c r="E3778" s="3">
        <v>34</v>
      </c>
      <c r="F3778" s="3">
        <v>19.03</v>
      </c>
      <c r="G3778" s="3">
        <v>0</v>
      </c>
      <c r="H3778" s="3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 s="3">
        <v>39</v>
      </c>
      <c r="N3778" s="3">
        <v>100</v>
      </c>
      <c r="O3778" s="12">
        <v>38.653846153846153</v>
      </c>
    </row>
    <row r="3779" spans="1:15" hidden="1" x14ac:dyDescent="0.25">
      <c r="A3779" s="10">
        <v>46120</v>
      </c>
      <c r="B3779" t="s">
        <v>18</v>
      </c>
      <c r="C3779" s="1" t="s">
        <v>16</v>
      </c>
      <c r="D3779" s="3">
        <v>5</v>
      </c>
      <c r="E3779" s="3">
        <v>4</v>
      </c>
      <c r="F3779" s="3">
        <v>23.29</v>
      </c>
      <c r="G3779" s="3">
        <v>0</v>
      </c>
      <c r="H3779" s="3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 s="3">
        <v>2</v>
      </c>
      <c r="N3779" s="3">
        <v>100</v>
      </c>
      <c r="O3779" s="12">
        <v>27.368421052631579</v>
      </c>
    </row>
    <row r="3780" spans="1:15" hidden="1" x14ac:dyDescent="0.25">
      <c r="A3780" s="10">
        <v>46120</v>
      </c>
      <c r="B3780" t="s">
        <v>52</v>
      </c>
      <c r="C3780" s="1" t="s">
        <v>48</v>
      </c>
      <c r="D3780" s="3">
        <v>29</v>
      </c>
      <c r="E3780" s="3">
        <v>27</v>
      </c>
      <c r="F3780" s="3">
        <v>17.09</v>
      </c>
      <c r="G3780" s="3">
        <v>0</v>
      </c>
      <c r="H3780" s="3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 s="3">
        <v>25</v>
      </c>
      <c r="N3780" s="3">
        <v>97.83</v>
      </c>
      <c r="O3780" s="12">
        <v>28.35164835164835</v>
      </c>
    </row>
    <row r="3781" spans="1:15" hidden="1" x14ac:dyDescent="0.25">
      <c r="A3781" s="10">
        <v>46120</v>
      </c>
      <c r="B3781" t="s">
        <v>36</v>
      </c>
      <c r="C3781" s="1" t="s">
        <v>32</v>
      </c>
      <c r="D3781" s="3">
        <v>28</v>
      </c>
      <c r="E3781" s="3">
        <v>26</v>
      </c>
      <c r="F3781" s="3">
        <v>17.25</v>
      </c>
      <c r="G3781" s="3">
        <v>0</v>
      </c>
      <c r="H3781" s="3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 s="3">
        <v>23</v>
      </c>
      <c r="N3781" s="3">
        <v>99.26</v>
      </c>
      <c r="O3781" s="12">
        <v>29.766536964980549</v>
      </c>
    </row>
    <row r="3782" spans="1:15" hidden="1" x14ac:dyDescent="0.25">
      <c r="A3782" s="10">
        <v>46120</v>
      </c>
      <c r="B3782" t="s">
        <v>53</v>
      </c>
      <c r="C3782" s="1" t="s">
        <v>48</v>
      </c>
      <c r="D3782" s="3">
        <v>34</v>
      </c>
      <c r="E3782" s="3">
        <v>33</v>
      </c>
      <c r="F3782" s="3">
        <v>18.46</v>
      </c>
      <c r="G3782" s="3">
        <v>0</v>
      </c>
      <c r="H3782" s="3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 s="3">
        <v>28</v>
      </c>
      <c r="N3782" s="3">
        <v>99.19</v>
      </c>
      <c r="O3782" s="12">
        <v>29.462365591397852</v>
      </c>
    </row>
    <row r="3783" spans="1:15" hidden="1" x14ac:dyDescent="0.25">
      <c r="A3783" s="7">
        <v>46161</v>
      </c>
      <c r="B3783" s="8" t="s">
        <v>51</v>
      </c>
      <c r="C3783" s="1" t="s">
        <v>48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f>E3783+G3783+H3783</f>
        <v>0</v>
      </c>
      <c r="J3783" s="3">
        <v>0</v>
      </c>
      <c r="K3783" s="3">
        <f>I3783-J3783</f>
        <v>0</v>
      </c>
      <c r="L3783" s="3" t="str">
        <f>IF(K3783&lt;-5,"CRÍTICO",IF(K3783&lt;0,"ATENÇÃO",IF(K3783&lt;=5,"OPORTUNO","MUITO BOM")))</f>
        <v>OPORTUNO</v>
      </c>
      <c r="M3783" s="3">
        <v>0</v>
      </c>
      <c r="N3783" s="3">
        <v>98.81</v>
      </c>
      <c r="O3783" s="12">
        <v>22.767857142857139</v>
      </c>
    </row>
    <row r="3784" spans="1:15" hidden="1" x14ac:dyDescent="0.25">
      <c r="A3784" s="10">
        <v>46120</v>
      </c>
      <c r="B3784" t="s">
        <v>54</v>
      </c>
      <c r="C3784" s="1" t="s">
        <v>48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 s="3">
        <v>0</v>
      </c>
      <c r="N3784" s="3">
        <v>100</v>
      </c>
      <c r="O3784" s="12">
        <v>28.921568627450981</v>
      </c>
    </row>
    <row r="3785" spans="1:15" hidden="1" x14ac:dyDescent="0.25">
      <c r="A3785" s="10">
        <v>46120</v>
      </c>
      <c r="B3785" t="s">
        <v>37</v>
      </c>
      <c r="C3785" s="1" t="s">
        <v>32</v>
      </c>
      <c r="D3785" s="3">
        <v>40</v>
      </c>
      <c r="E3785" s="3">
        <v>37</v>
      </c>
      <c r="F3785" s="3">
        <v>15.28</v>
      </c>
      <c r="G3785" s="3">
        <v>0</v>
      </c>
      <c r="H3785" s="3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 s="3">
        <v>37</v>
      </c>
      <c r="N3785" s="3">
        <v>99.57</v>
      </c>
      <c r="O3785" s="12">
        <v>30.635838150289018</v>
      </c>
    </row>
    <row r="3786" spans="1:15" hidden="1" x14ac:dyDescent="0.25">
      <c r="A3786" s="10">
        <v>46120</v>
      </c>
      <c r="B3786" t="s">
        <v>38</v>
      </c>
      <c r="C3786" s="1" t="s">
        <v>32</v>
      </c>
      <c r="D3786" s="3">
        <v>0</v>
      </c>
      <c r="E3786" s="3">
        <v>0</v>
      </c>
      <c r="F3786" s="3">
        <v>0</v>
      </c>
      <c r="G3786" s="3">
        <v>0</v>
      </c>
      <c r="H3786" s="3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 s="3">
        <v>0</v>
      </c>
      <c r="N3786" s="3">
        <v>95.65</v>
      </c>
      <c r="O3786" s="12">
        <v>32.432432432432442</v>
      </c>
    </row>
    <row r="3787" spans="1:15" hidden="1" x14ac:dyDescent="0.25">
      <c r="A3787" s="10">
        <v>46120</v>
      </c>
      <c r="B3787" t="s">
        <v>55</v>
      </c>
      <c r="C3787" s="1" t="s">
        <v>48</v>
      </c>
      <c r="D3787" s="3">
        <v>28</v>
      </c>
      <c r="E3787" s="3">
        <v>25</v>
      </c>
      <c r="F3787" s="3">
        <v>18.21</v>
      </c>
      <c r="G3787" s="3">
        <v>0</v>
      </c>
      <c r="H3787" s="3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 s="3">
        <v>24</v>
      </c>
      <c r="N3787" s="3">
        <v>98.81</v>
      </c>
      <c r="O3787" s="12">
        <v>26.256983240223459</v>
      </c>
    </row>
    <row r="3788" spans="1:15" hidden="1" x14ac:dyDescent="0.25">
      <c r="A3788" s="10">
        <v>46120</v>
      </c>
      <c r="B3788" t="s">
        <v>39</v>
      </c>
      <c r="C3788" s="1" t="s">
        <v>32</v>
      </c>
      <c r="D3788" s="3">
        <v>0</v>
      </c>
      <c r="E3788" s="3">
        <v>0</v>
      </c>
      <c r="F3788" s="3">
        <v>0</v>
      </c>
      <c r="G3788" s="3">
        <v>0</v>
      </c>
      <c r="H3788" s="3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 s="3">
        <v>0</v>
      </c>
      <c r="N3788" s="3">
        <v>0</v>
      </c>
      <c r="O3788" s="12">
        <v>0</v>
      </c>
    </row>
    <row r="3789" spans="1:15" hidden="1" x14ac:dyDescent="0.25">
      <c r="A3789" s="10">
        <v>46120</v>
      </c>
      <c r="B3789" t="s">
        <v>25</v>
      </c>
      <c r="C3789" s="1" t="s">
        <v>26</v>
      </c>
      <c r="D3789" s="3">
        <v>22</v>
      </c>
      <c r="E3789" s="3">
        <v>22</v>
      </c>
      <c r="F3789" s="3">
        <v>15.44</v>
      </c>
      <c r="G3789" s="3">
        <v>0</v>
      </c>
      <c r="H3789" s="3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 s="3">
        <v>14</v>
      </c>
      <c r="N3789" s="3">
        <v>97.17</v>
      </c>
      <c r="O3789" s="12">
        <v>28.81844380403458</v>
      </c>
    </row>
    <row r="3790" spans="1:15" hidden="1" x14ac:dyDescent="0.25">
      <c r="A3790" s="10">
        <v>46120</v>
      </c>
      <c r="B3790" t="s">
        <v>40</v>
      </c>
      <c r="C3790" s="1" t="s">
        <v>32</v>
      </c>
      <c r="D3790" s="3">
        <v>18</v>
      </c>
      <c r="E3790" s="3">
        <v>17</v>
      </c>
      <c r="F3790" s="3">
        <v>20.5</v>
      </c>
      <c r="G3790" s="3">
        <v>0</v>
      </c>
      <c r="H3790" s="3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 s="3">
        <v>18</v>
      </c>
      <c r="N3790" s="3">
        <v>96.81</v>
      </c>
      <c r="O3790" s="12">
        <v>48.018648018648022</v>
      </c>
    </row>
    <row r="3791" spans="1:15" hidden="1" x14ac:dyDescent="0.25">
      <c r="A3791" s="10">
        <v>46120</v>
      </c>
      <c r="B3791" t="s">
        <v>27</v>
      </c>
      <c r="C3791" s="1" t="s">
        <v>26</v>
      </c>
      <c r="D3791" s="3">
        <v>20</v>
      </c>
      <c r="E3791" s="3">
        <v>17</v>
      </c>
      <c r="F3791" s="3">
        <v>19.13</v>
      </c>
      <c r="G3791" s="3">
        <v>0</v>
      </c>
      <c r="H3791" s="3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 s="3">
        <v>13</v>
      </c>
      <c r="N3791" s="3">
        <v>98.15</v>
      </c>
      <c r="O3791" s="12">
        <v>27.1551724137931</v>
      </c>
    </row>
    <row r="3792" spans="1:15" hidden="1" x14ac:dyDescent="0.25">
      <c r="A3792" s="10">
        <v>46120</v>
      </c>
      <c r="B3792" t="s">
        <v>41</v>
      </c>
      <c r="C3792" s="1" t="s">
        <v>32</v>
      </c>
      <c r="D3792" s="3">
        <v>30</v>
      </c>
      <c r="E3792" s="3">
        <v>29</v>
      </c>
      <c r="F3792" s="3">
        <v>11.46</v>
      </c>
      <c r="G3792" s="3">
        <v>0</v>
      </c>
      <c r="H3792" s="3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 s="3">
        <v>28</v>
      </c>
      <c r="N3792" s="3">
        <v>99.15</v>
      </c>
      <c r="O3792" s="12">
        <v>27.586206896551719</v>
      </c>
    </row>
    <row r="3793" spans="1:15" hidden="1" x14ac:dyDescent="0.25">
      <c r="A3793" s="10">
        <v>46120</v>
      </c>
      <c r="B3793" t="s">
        <v>56</v>
      </c>
      <c r="C3793" s="1" t="s">
        <v>48</v>
      </c>
      <c r="D3793" s="3">
        <v>26</v>
      </c>
      <c r="E3793" s="3">
        <v>24</v>
      </c>
      <c r="F3793" s="3">
        <v>18.36</v>
      </c>
      <c r="G3793" s="3">
        <v>0</v>
      </c>
      <c r="H3793" s="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 s="3">
        <v>13</v>
      </c>
      <c r="N3793" s="3">
        <v>99.17</v>
      </c>
      <c r="O3793" s="12">
        <v>29.75206611570248</v>
      </c>
    </row>
    <row r="3794" spans="1:15" hidden="1" x14ac:dyDescent="0.25">
      <c r="A3794" s="10">
        <v>46120</v>
      </c>
      <c r="B3794" t="s">
        <v>57</v>
      </c>
      <c r="C3794" s="1" t="s">
        <v>48</v>
      </c>
      <c r="D3794" s="3">
        <v>21</v>
      </c>
      <c r="E3794" s="3">
        <v>20</v>
      </c>
      <c r="F3794" s="3">
        <v>21.5</v>
      </c>
      <c r="G3794" s="3">
        <v>0</v>
      </c>
      <c r="H3794" s="3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 s="3">
        <v>23</v>
      </c>
      <c r="N3794" s="3">
        <v>98.73</v>
      </c>
      <c r="O3794" s="12">
        <v>28.961748633879779</v>
      </c>
    </row>
    <row r="3795" spans="1:15" hidden="1" x14ac:dyDescent="0.25">
      <c r="A3795" s="10">
        <v>46120</v>
      </c>
      <c r="B3795" t="s">
        <v>42</v>
      </c>
      <c r="C3795" s="1" t="s">
        <v>32</v>
      </c>
      <c r="D3795" s="3">
        <v>43</v>
      </c>
      <c r="E3795" s="3">
        <v>36</v>
      </c>
      <c r="F3795" s="3">
        <v>13.47</v>
      </c>
      <c r="G3795" s="3">
        <v>0</v>
      </c>
      <c r="H3795" s="3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 s="3">
        <v>21</v>
      </c>
      <c r="N3795" s="3">
        <v>88.68</v>
      </c>
      <c r="O3795" s="12">
        <v>22.03389830508474</v>
      </c>
    </row>
    <row r="3796" spans="1:15" hidden="1" x14ac:dyDescent="0.25">
      <c r="A3796" s="10">
        <v>46120</v>
      </c>
      <c r="B3796" t="s">
        <v>62</v>
      </c>
      <c r="C3796" s="1" t="s">
        <v>23</v>
      </c>
      <c r="D3796" s="3">
        <v>32</v>
      </c>
      <c r="E3796" s="3">
        <v>26</v>
      </c>
      <c r="F3796" s="3">
        <v>13.59</v>
      </c>
      <c r="G3796" s="3">
        <v>0</v>
      </c>
      <c r="H3796" s="3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 s="3">
        <v>28</v>
      </c>
      <c r="N3796" s="3">
        <v>97.37</v>
      </c>
      <c r="O3796" s="12">
        <v>25.76530612244898</v>
      </c>
    </row>
    <row r="3797" spans="1:15" hidden="1" x14ac:dyDescent="0.25">
      <c r="A3797" s="10">
        <v>46120</v>
      </c>
      <c r="B3797" t="s">
        <v>19</v>
      </c>
      <c r="C3797" s="1" t="s">
        <v>16</v>
      </c>
      <c r="D3797" s="3">
        <v>0</v>
      </c>
      <c r="E3797" s="3">
        <v>0</v>
      </c>
      <c r="F3797" s="3">
        <v>0</v>
      </c>
      <c r="G3797" s="3">
        <v>0</v>
      </c>
      <c r="H3797" s="3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 s="3">
        <v>0</v>
      </c>
      <c r="N3797" s="3">
        <v>100</v>
      </c>
      <c r="O3797" s="12">
        <v>25</v>
      </c>
    </row>
    <row r="3798" spans="1:15" hidden="1" x14ac:dyDescent="0.25">
      <c r="A3798" s="10">
        <v>46140</v>
      </c>
      <c r="B3798" t="s">
        <v>43</v>
      </c>
      <c r="C3798" s="1" t="s">
        <v>32</v>
      </c>
      <c r="D3798" s="3">
        <v>35</v>
      </c>
      <c r="E3798" s="3">
        <v>34</v>
      </c>
      <c r="F3798" s="3">
        <v>15.13</v>
      </c>
      <c r="G3798" s="3">
        <v>0</v>
      </c>
      <c r="H3798" s="3">
        <v>0</v>
      </c>
      <c r="I3798" s="3">
        <f>E3798+G3798+H3798</f>
        <v>34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34</v>
      </c>
      <c r="K3798" s="3">
        <f>I3798-J3798</f>
        <v>0</v>
      </c>
      <c r="L3798" s="3" t="str">
        <f>IF(K3798&lt;-5,"CRÍTICO",IF(K3798&lt;0,"ATENÇÃO",IF(K3798&lt;=5,"OPORTUNO","MUITO BOM")))</f>
        <v>OPORTUNO</v>
      </c>
      <c r="M3798" s="3">
        <v>45</v>
      </c>
      <c r="N3798" s="3">
        <v>100</v>
      </c>
      <c r="O3798" s="12">
        <v>23.9870340356564</v>
      </c>
    </row>
    <row r="3799" spans="1:15" hidden="1" x14ac:dyDescent="0.25">
      <c r="A3799" s="10">
        <v>46120</v>
      </c>
      <c r="B3799" t="s">
        <v>44</v>
      </c>
      <c r="C3799" s="1" t="s">
        <v>32</v>
      </c>
      <c r="D3799" s="3">
        <v>40</v>
      </c>
      <c r="E3799" s="3">
        <v>37</v>
      </c>
      <c r="F3799" s="3">
        <v>14.15</v>
      </c>
      <c r="G3799" s="3">
        <v>0</v>
      </c>
      <c r="H3799" s="3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 s="3">
        <v>32</v>
      </c>
      <c r="N3799" s="3">
        <v>95.49</v>
      </c>
      <c r="O3799" s="12">
        <v>28.370221327967808</v>
      </c>
    </row>
    <row r="3800" spans="1:15" hidden="1" x14ac:dyDescent="0.25">
      <c r="A3800" s="7">
        <v>46161</v>
      </c>
      <c r="B3800" s="8" t="s">
        <v>52</v>
      </c>
      <c r="C3800" s="1" t="s">
        <v>48</v>
      </c>
      <c r="D3800" s="3">
        <v>23</v>
      </c>
      <c r="E3800" s="3">
        <v>22</v>
      </c>
      <c r="F3800" s="3">
        <v>13.4</v>
      </c>
      <c r="G3800" s="3">
        <v>2</v>
      </c>
      <c r="H3800" s="3">
        <v>0</v>
      </c>
      <c r="I3800" s="3">
        <f>E3800+G3800+H3800</f>
        <v>24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23</v>
      </c>
      <c r="K3800" s="3">
        <f>I3800-J3800</f>
        <v>1</v>
      </c>
      <c r="L3800" s="3" t="str">
        <f>IF(K3800&lt;-5,"CRÍTICO",IF(K3800&lt;0,"ATENÇÃO",IF(K3800&lt;=5,"OPORTUNO","MUITO BOM")))</f>
        <v>OPORTUNO</v>
      </c>
      <c r="M3800" s="3">
        <v>23</v>
      </c>
      <c r="N3800" s="3">
        <v>99.01</v>
      </c>
      <c r="O3800" s="12">
        <v>17.766497461928939</v>
      </c>
    </row>
    <row r="3801" spans="1:15" hidden="1" x14ac:dyDescent="0.25">
      <c r="A3801" s="10">
        <v>46120</v>
      </c>
      <c r="B3801" t="s">
        <v>28</v>
      </c>
      <c r="C3801" s="1" t="s">
        <v>26</v>
      </c>
      <c r="D3801" s="3">
        <v>37</v>
      </c>
      <c r="E3801" s="3">
        <v>30</v>
      </c>
      <c r="F3801" s="3">
        <v>15.08</v>
      </c>
      <c r="G3801" s="3">
        <v>0</v>
      </c>
      <c r="H3801" s="3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 s="3">
        <v>23</v>
      </c>
      <c r="N3801" s="3">
        <v>96.15</v>
      </c>
      <c r="O3801" s="12">
        <v>24.045801526717561</v>
      </c>
    </row>
    <row r="3802" spans="1:15" hidden="1" x14ac:dyDescent="0.25">
      <c r="A3802" s="10">
        <v>46120</v>
      </c>
      <c r="B3802" t="s">
        <v>58</v>
      </c>
      <c r="C3802" s="1" t="s">
        <v>48</v>
      </c>
      <c r="D3802" s="3">
        <v>8</v>
      </c>
      <c r="E3802" s="3">
        <v>8</v>
      </c>
      <c r="F3802" s="3">
        <v>33.5</v>
      </c>
      <c r="G3802" s="3">
        <v>0</v>
      </c>
      <c r="H3802" s="3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 s="3">
        <v>8</v>
      </c>
      <c r="N3802" s="3">
        <v>99.02</v>
      </c>
      <c r="O3802" s="12">
        <v>34.797297297297298</v>
      </c>
    </row>
    <row r="3803" spans="1:15" hidden="1" x14ac:dyDescent="0.25">
      <c r="A3803" s="10">
        <v>46120</v>
      </c>
      <c r="B3803" t="s">
        <v>29</v>
      </c>
      <c r="C3803" s="1" t="s">
        <v>26</v>
      </c>
      <c r="D3803" s="3">
        <v>17</v>
      </c>
      <c r="E3803" s="3">
        <v>17</v>
      </c>
      <c r="F3803" s="3">
        <v>15.54</v>
      </c>
      <c r="G3803" s="3">
        <v>0</v>
      </c>
      <c r="H3803" s="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 s="3">
        <v>13</v>
      </c>
      <c r="N3803" s="3">
        <v>98.84</v>
      </c>
      <c r="O3803" s="12">
        <v>31.868131868131869</v>
      </c>
    </row>
    <row r="3804" spans="1:15" hidden="1" x14ac:dyDescent="0.25">
      <c r="A3804" s="10">
        <v>46120</v>
      </c>
      <c r="B3804" t="s">
        <v>30</v>
      </c>
      <c r="C3804" s="1" t="s">
        <v>26</v>
      </c>
      <c r="D3804" s="3">
        <v>19</v>
      </c>
      <c r="E3804" s="3">
        <v>18</v>
      </c>
      <c r="F3804" s="3">
        <v>19.02</v>
      </c>
      <c r="G3804" s="3">
        <v>0</v>
      </c>
      <c r="H3804" s="3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 s="3">
        <v>18</v>
      </c>
      <c r="N3804" s="3">
        <v>100</v>
      </c>
      <c r="O3804" s="12">
        <v>34.666666666666671</v>
      </c>
    </row>
    <row r="3805" spans="1:15" hidden="1" x14ac:dyDescent="0.25">
      <c r="A3805" s="7">
        <v>46161</v>
      </c>
      <c r="B3805" s="8" t="s">
        <v>53</v>
      </c>
      <c r="C3805" s="1" t="s">
        <v>48</v>
      </c>
      <c r="D3805" s="3">
        <v>0</v>
      </c>
      <c r="E3805" s="3">
        <v>0</v>
      </c>
      <c r="F3805" s="3">
        <v>0</v>
      </c>
      <c r="G3805" s="3">
        <v>0</v>
      </c>
      <c r="H3805" s="3">
        <v>0</v>
      </c>
      <c r="I3805" s="3">
        <f>E3805+G3805+H3805</f>
        <v>0</v>
      </c>
      <c r="J3805" s="3">
        <v>0</v>
      </c>
      <c r="K3805" s="3">
        <f>I3805-J3805</f>
        <v>0</v>
      </c>
      <c r="L3805" s="3" t="str">
        <f>IF(K3805&lt;-5,"CRÍTICO",IF(K3805&lt;0,"ATENÇÃO",IF(K3805&lt;=5,"OPORTUNO","MUITO BOM")))</f>
        <v>OPORTUNO</v>
      </c>
      <c r="M3805" s="3">
        <v>0</v>
      </c>
      <c r="N3805" s="3">
        <v>100</v>
      </c>
      <c r="O3805" s="12">
        <v>17.241379310344829</v>
      </c>
    </row>
    <row r="3806" spans="1:15" hidden="1" x14ac:dyDescent="0.25">
      <c r="A3806" s="10">
        <v>46120</v>
      </c>
      <c r="B3806" t="s">
        <v>63</v>
      </c>
      <c r="C3806" s="1" t="s">
        <v>23</v>
      </c>
      <c r="D3806" s="3">
        <v>30</v>
      </c>
      <c r="E3806" s="3">
        <v>29</v>
      </c>
      <c r="F3806" s="3">
        <v>10.56</v>
      </c>
      <c r="G3806" s="3">
        <v>0</v>
      </c>
      <c r="H3806" s="3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 s="3">
        <v>25</v>
      </c>
      <c r="N3806" s="3">
        <v>98.32</v>
      </c>
      <c r="O3806" s="12">
        <v>26.858513189448441</v>
      </c>
    </row>
    <row r="3807" spans="1:15" hidden="1" x14ac:dyDescent="0.25">
      <c r="A3807" s="10">
        <v>46120</v>
      </c>
      <c r="B3807" t="s">
        <v>45</v>
      </c>
      <c r="C3807" s="1" t="s">
        <v>32</v>
      </c>
      <c r="D3807" s="3">
        <v>45</v>
      </c>
      <c r="E3807" s="3">
        <v>39</v>
      </c>
      <c r="F3807" s="3">
        <v>11.49</v>
      </c>
      <c r="G3807" s="3">
        <v>0</v>
      </c>
      <c r="H3807" s="3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 s="3">
        <v>30</v>
      </c>
      <c r="N3807" s="3">
        <v>100</v>
      </c>
      <c r="O3807" s="12">
        <v>31.135531135531139</v>
      </c>
    </row>
    <row r="3808" spans="1:15" hidden="1" x14ac:dyDescent="0.25">
      <c r="A3808" s="10">
        <v>46120</v>
      </c>
      <c r="B3808" t="s">
        <v>64</v>
      </c>
      <c r="C3808" s="1" t="s">
        <v>23</v>
      </c>
      <c r="D3808" s="3">
        <v>24</v>
      </c>
      <c r="E3808" s="3">
        <v>23</v>
      </c>
      <c r="F3808" s="3">
        <v>24.07</v>
      </c>
      <c r="G3808" s="3">
        <v>0</v>
      </c>
      <c r="H3808" s="3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 s="3">
        <v>16</v>
      </c>
      <c r="N3808" s="3">
        <v>100</v>
      </c>
      <c r="O3808" s="12">
        <v>26.36986301369863</v>
      </c>
    </row>
    <row r="3809" spans="1:15" hidden="1" x14ac:dyDescent="0.25">
      <c r="A3809" s="10">
        <v>46120</v>
      </c>
      <c r="B3809" t="s">
        <v>46</v>
      </c>
      <c r="C3809" s="1" t="s">
        <v>32</v>
      </c>
      <c r="D3809" s="3">
        <v>26</v>
      </c>
      <c r="E3809" s="3">
        <v>25</v>
      </c>
      <c r="F3809" s="3">
        <v>18.420000000000002</v>
      </c>
      <c r="G3809" s="3">
        <v>0</v>
      </c>
      <c r="H3809" s="3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 s="3">
        <v>21</v>
      </c>
      <c r="N3809" s="3">
        <v>99.21</v>
      </c>
      <c r="O3809" s="12">
        <v>25.188916876574311</v>
      </c>
    </row>
    <row r="3810" spans="1:15" hidden="1" x14ac:dyDescent="0.25">
      <c r="A3810" s="10">
        <v>46121</v>
      </c>
      <c r="B3810" t="s">
        <v>47</v>
      </c>
      <c r="C3810" s="1" t="s">
        <v>48</v>
      </c>
      <c r="D3810" s="3">
        <v>15</v>
      </c>
      <c r="E3810" s="3">
        <v>11</v>
      </c>
      <c r="F3810" s="3">
        <v>15.24</v>
      </c>
      <c r="G3810" s="3">
        <v>0</v>
      </c>
      <c r="H3810" s="3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 s="3">
        <v>11</v>
      </c>
      <c r="N3810" s="3">
        <v>100</v>
      </c>
      <c r="O3810" s="12">
        <v>32.764505119453922</v>
      </c>
    </row>
    <row r="3811" spans="1:15" hidden="1" x14ac:dyDescent="0.25">
      <c r="A3811" s="10">
        <v>46121</v>
      </c>
      <c r="B3811" t="s">
        <v>31</v>
      </c>
      <c r="C3811" s="1" t="s">
        <v>32</v>
      </c>
      <c r="D3811" s="3">
        <v>0</v>
      </c>
      <c r="E3811" s="3">
        <v>0</v>
      </c>
      <c r="F3811" s="3">
        <v>0</v>
      </c>
      <c r="G3811" s="3">
        <v>0</v>
      </c>
      <c r="H3811" s="3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 s="3">
        <v>15</v>
      </c>
      <c r="N3811" s="3">
        <v>98.66</v>
      </c>
      <c r="O3811" s="12">
        <v>35.416666666666671</v>
      </c>
    </row>
    <row r="3812" spans="1:15" hidden="1" x14ac:dyDescent="0.25">
      <c r="A3812" s="10">
        <v>46121</v>
      </c>
      <c r="B3812" t="s">
        <v>59</v>
      </c>
      <c r="C3812" s="1" t="s">
        <v>23</v>
      </c>
      <c r="D3812" s="3">
        <v>24</v>
      </c>
      <c r="E3812" s="3">
        <v>20</v>
      </c>
      <c r="F3812" s="3">
        <v>17.11</v>
      </c>
      <c r="G3812" s="3">
        <v>0</v>
      </c>
      <c r="H3812" s="3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 s="3">
        <v>20</v>
      </c>
      <c r="N3812" s="3">
        <v>99.32</v>
      </c>
      <c r="O3812" s="12">
        <v>30.648330058939099</v>
      </c>
    </row>
    <row r="3813" spans="1:15" hidden="1" x14ac:dyDescent="0.25">
      <c r="A3813" s="10">
        <v>46121</v>
      </c>
      <c r="B3813" t="s">
        <v>33</v>
      </c>
      <c r="C3813" s="1" t="s">
        <v>32</v>
      </c>
      <c r="D3813" s="3">
        <v>23</v>
      </c>
      <c r="E3813" s="3">
        <v>21</v>
      </c>
      <c r="F3813" s="3">
        <v>11.42</v>
      </c>
      <c r="G3813" s="3">
        <v>0</v>
      </c>
      <c r="H3813" s="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 s="3">
        <v>25</v>
      </c>
      <c r="N3813" s="3">
        <v>100</v>
      </c>
      <c r="O3813" s="12">
        <v>27.803738317757009</v>
      </c>
    </row>
    <row r="3814" spans="1:15" hidden="1" x14ac:dyDescent="0.25">
      <c r="A3814" s="10">
        <v>46121</v>
      </c>
      <c r="B3814" t="s">
        <v>15</v>
      </c>
      <c r="C3814" s="1" t="s">
        <v>16</v>
      </c>
      <c r="D3814" s="3">
        <v>17</v>
      </c>
      <c r="E3814" s="3">
        <v>17</v>
      </c>
      <c r="F3814" s="3">
        <v>13.5</v>
      </c>
      <c r="G3814" s="3">
        <v>0</v>
      </c>
      <c r="H3814" s="3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 s="3">
        <v>17</v>
      </c>
      <c r="N3814" s="3">
        <v>96.74</v>
      </c>
      <c r="O3814" s="12">
        <v>28.67647058823529</v>
      </c>
    </row>
    <row r="3815" spans="1:15" hidden="1" x14ac:dyDescent="0.25">
      <c r="A3815" s="10">
        <v>46121</v>
      </c>
      <c r="B3815" t="s">
        <v>49</v>
      </c>
      <c r="C3815" s="1" t="s">
        <v>48</v>
      </c>
      <c r="D3815" s="3">
        <v>40</v>
      </c>
      <c r="E3815" s="3">
        <v>34</v>
      </c>
      <c r="F3815" s="3">
        <v>15.01</v>
      </c>
      <c r="G3815" s="3">
        <v>0</v>
      </c>
      <c r="H3815" s="3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 s="3">
        <v>32</v>
      </c>
      <c r="N3815" s="3">
        <v>98.82</v>
      </c>
      <c r="O3815" s="12">
        <v>30.741410488245929</v>
      </c>
    </row>
    <row r="3816" spans="1:15" hidden="1" x14ac:dyDescent="0.25">
      <c r="A3816" s="10">
        <v>46121</v>
      </c>
      <c r="B3816" t="s">
        <v>50</v>
      </c>
      <c r="C3816" s="1" t="s">
        <v>48</v>
      </c>
      <c r="D3816" s="3">
        <v>20</v>
      </c>
      <c r="E3816" s="3">
        <v>19</v>
      </c>
      <c r="F3816" s="3">
        <v>30.22</v>
      </c>
      <c r="G3816" s="3">
        <v>0</v>
      </c>
      <c r="H3816" s="3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 s="3">
        <v>19</v>
      </c>
      <c r="N3816" s="3">
        <v>98.2</v>
      </c>
      <c r="O3816" s="12">
        <v>27.170868347338931</v>
      </c>
    </row>
    <row r="3817" spans="1:15" hidden="1" x14ac:dyDescent="0.25">
      <c r="A3817" s="10">
        <v>46121</v>
      </c>
      <c r="B3817" t="s">
        <v>17</v>
      </c>
      <c r="C3817" s="1" t="s">
        <v>16</v>
      </c>
      <c r="D3817" s="3">
        <v>7</v>
      </c>
      <c r="E3817" s="3">
        <v>6</v>
      </c>
      <c r="F3817" s="3">
        <v>38.4</v>
      </c>
      <c r="G3817" s="3">
        <v>0</v>
      </c>
      <c r="H3817" s="3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 s="3">
        <v>6</v>
      </c>
      <c r="N3817" s="3">
        <v>100</v>
      </c>
      <c r="O3817" s="12">
        <v>23.134328358208951</v>
      </c>
    </row>
    <row r="3818" spans="1:15" hidden="1" x14ac:dyDescent="0.25">
      <c r="A3818" s="10">
        <v>46121</v>
      </c>
      <c r="B3818" t="s">
        <v>60</v>
      </c>
      <c r="C3818" s="1" t="s">
        <v>23</v>
      </c>
      <c r="D3818" s="3">
        <v>22</v>
      </c>
      <c r="E3818" s="3">
        <v>22</v>
      </c>
      <c r="F3818" s="3">
        <v>21.57</v>
      </c>
      <c r="G3818" s="3">
        <v>0</v>
      </c>
      <c r="H3818" s="3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 s="3">
        <v>20</v>
      </c>
      <c r="N3818" s="3">
        <v>96.3</v>
      </c>
      <c r="O3818" s="12">
        <v>32.219570405727922</v>
      </c>
    </row>
    <row r="3819" spans="1:15" hidden="1" x14ac:dyDescent="0.25">
      <c r="A3819" s="10">
        <v>46121</v>
      </c>
      <c r="B3819" t="s">
        <v>34</v>
      </c>
      <c r="C3819" s="1" t="s">
        <v>32</v>
      </c>
      <c r="D3819" s="3">
        <v>20</v>
      </c>
      <c r="E3819" s="3">
        <v>17</v>
      </c>
      <c r="F3819" s="3">
        <v>12.38</v>
      </c>
      <c r="G3819" s="3">
        <v>0</v>
      </c>
      <c r="H3819" s="3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 s="3">
        <v>16</v>
      </c>
      <c r="N3819" s="3">
        <v>93.75</v>
      </c>
      <c r="O3819" s="12">
        <v>26.819923371647509</v>
      </c>
    </row>
    <row r="3820" spans="1:15" hidden="1" x14ac:dyDescent="0.25">
      <c r="A3820" s="10">
        <v>46121</v>
      </c>
      <c r="B3820" t="s">
        <v>51</v>
      </c>
      <c r="C3820" s="1" t="s">
        <v>48</v>
      </c>
      <c r="D3820" s="3">
        <v>25</v>
      </c>
      <c r="E3820" s="3">
        <v>20</v>
      </c>
      <c r="F3820" s="3">
        <v>18.260000000000002</v>
      </c>
      <c r="G3820" s="3">
        <v>0</v>
      </c>
      <c r="H3820" s="3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 s="3">
        <v>17</v>
      </c>
      <c r="N3820" s="3">
        <v>97.86</v>
      </c>
      <c r="O3820" s="12">
        <v>31.018518518518519</v>
      </c>
    </row>
    <row r="3821" spans="1:15" hidden="1" x14ac:dyDescent="0.25">
      <c r="A3821" s="10">
        <v>46121</v>
      </c>
      <c r="B3821" t="s">
        <v>61</v>
      </c>
      <c r="C3821" s="1" t="s">
        <v>23</v>
      </c>
      <c r="D3821" s="3">
        <v>23</v>
      </c>
      <c r="E3821" s="3">
        <v>22</v>
      </c>
      <c r="F3821" s="3">
        <v>17.2</v>
      </c>
      <c r="G3821" s="3">
        <v>0</v>
      </c>
      <c r="H3821" s="3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 s="3">
        <v>15</v>
      </c>
      <c r="N3821" s="3">
        <v>100</v>
      </c>
      <c r="O3821" s="12">
        <v>36.594202898550733</v>
      </c>
    </row>
    <row r="3822" spans="1:15" hidden="1" x14ac:dyDescent="0.25">
      <c r="A3822" s="10">
        <v>46121</v>
      </c>
      <c r="B3822" t="s">
        <v>35</v>
      </c>
      <c r="C3822" s="1" t="s">
        <v>32</v>
      </c>
      <c r="D3822" s="3">
        <v>30</v>
      </c>
      <c r="E3822" s="3">
        <v>29</v>
      </c>
      <c r="F3822" s="3">
        <v>22.26</v>
      </c>
      <c r="G3822" s="3">
        <v>0</v>
      </c>
      <c r="H3822" s="3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 s="3">
        <v>28</v>
      </c>
      <c r="N3822" s="3">
        <v>100</v>
      </c>
      <c r="O3822" s="12">
        <v>38.653846153846153</v>
      </c>
    </row>
    <row r="3823" spans="1:15" hidden="1" x14ac:dyDescent="0.25">
      <c r="A3823" s="10">
        <v>46121</v>
      </c>
      <c r="B3823" t="s">
        <v>18</v>
      </c>
      <c r="C3823" s="1" t="s">
        <v>16</v>
      </c>
      <c r="D3823" s="3">
        <v>21</v>
      </c>
      <c r="E3823" s="3">
        <v>13</v>
      </c>
      <c r="F3823" s="3">
        <v>9.1</v>
      </c>
      <c r="G3823" s="3">
        <v>0</v>
      </c>
      <c r="H3823" s="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 s="3">
        <v>5</v>
      </c>
      <c r="N3823" s="3">
        <v>100</v>
      </c>
      <c r="O3823" s="12">
        <v>27.368421052631579</v>
      </c>
    </row>
    <row r="3824" spans="1:15" hidden="1" x14ac:dyDescent="0.25">
      <c r="A3824" s="10">
        <v>46121</v>
      </c>
      <c r="B3824" t="s">
        <v>52</v>
      </c>
      <c r="C3824" s="1" t="s">
        <v>48</v>
      </c>
      <c r="D3824" s="3">
        <v>23</v>
      </c>
      <c r="E3824" s="3">
        <v>22</v>
      </c>
      <c r="F3824" s="3">
        <v>18.38</v>
      </c>
      <c r="G3824" s="3">
        <v>0</v>
      </c>
      <c r="H3824" s="3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 s="3">
        <v>19</v>
      </c>
      <c r="N3824" s="3">
        <v>97.83</v>
      </c>
      <c r="O3824" s="12">
        <v>28.35164835164835</v>
      </c>
    </row>
    <row r="3825" spans="1:15" hidden="1" x14ac:dyDescent="0.25">
      <c r="A3825" s="10">
        <v>46121</v>
      </c>
      <c r="B3825" t="s">
        <v>36</v>
      </c>
      <c r="C3825" s="1" t="s">
        <v>32</v>
      </c>
      <c r="D3825" s="3">
        <v>25</v>
      </c>
      <c r="E3825" s="3">
        <v>22</v>
      </c>
      <c r="F3825" s="3">
        <v>17.079999999999998</v>
      </c>
      <c r="G3825" s="3">
        <v>0</v>
      </c>
      <c r="H3825" s="3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 s="3">
        <v>20</v>
      </c>
      <c r="N3825" s="3">
        <v>99.26</v>
      </c>
      <c r="O3825" s="12">
        <v>29.766536964980549</v>
      </c>
    </row>
    <row r="3826" spans="1:15" hidden="1" x14ac:dyDescent="0.25">
      <c r="A3826" s="10">
        <v>46121</v>
      </c>
      <c r="B3826" t="s">
        <v>53</v>
      </c>
      <c r="C3826" s="1" t="s">
        <v>48</v>
      </c>
      <c r="D3826" s="3">
        <v>12</v>
      </c>
      <c r="E3826" s="3">
        <v>12</v>
      </c>
      <c r="F3826" s="3">
        <v>20.25</v>
      </c>
      <c r="G3826" s="3">
        <v>0</v>
      </c>
      <c r="H3826" s="3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 s="3">
        <v>17</v>
      </c>
      <c r="N3826" s="3">
        <v>99.19</v>
      </c>
      <c r="O3826" s="12">
        <v>29.462365591397852</v>
      </c>
    </row>
    <row r="3827" spans="1:15" hidden="1" x14ac:dyDescent="0.25">
      <c r="A3827" s="7">
        <v>46161</v>
      </c>
      <c r="B3827" s="8" t="s">
        <v>54</v>
      </c>
      <c r="C3827" s="1" t="s">
        <v>48</v>
      </c>
      <c r="D3827" s="3">
        <v>28</v>
      </c>
      <c r="E3827" s="3">
        <v>25</v>
      </c>
      <c r="F3827" s="3">
        <v>16.55</v>
      </c>
      <c r="G3827" s="3">
        <v>0</v>
      </c>
      <c r="H3827" s="3">
        <v>0</v>
      </c>
      <c r="I3827" s="3">
        <f>E3827+G3827+H3827</f>
        <v>25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23</v>
      </c>
      <c r="K3827" s="3">
        <f>I3827-J3827</f>
        <v>2</v>
      </c>
      <c r="L3827" s="3" t="str">
        <f>IF(K3827&lt;-5,"CRÍTICO",IF(K3827&lt;0,"ATENÇÃO",IF(K3827&lt;=5,"OPORTUNO","MUITO BOM")))</f>
        <v>OPORTUNO</v>
      </c>
      <c r="M3827" s="3">
        <v>22</v>
      </c>
      <c r="N3827" s="3">
        <v>98.98</v>
      </c>
      <c r="O3827" s="12">
        <v>19.35483870967742</v>
      </c>
    </row>
    <row r="3828" spans="1:15" hidden="1" x14ac:dyDescent="0.25">
      <c r="A3828" s="10">
        <v>46121</v>
      </c>
      <c r="B3828" t="s">
        <v>54</v>
      </c>
      <c r="C3828" s="1" t="s">
        <v>48</v>
      </c>
      <c r="D3828" s="3">
        <v>0</v>
      </c>
      <c r="E3828" s="3">
        <v>0</v>
      </c>
      <c r="F3828" s="3">
        <v>0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 s="3">
        <v>0</v>
      </c>
      <c r="N3828" s="3">
        <v>100</v>
      </c>
      <c r="O3828" s="12">
        <v>28.921568627450981</v>
      </c>
    </row>
    <row r="3829" spans="1:15" hidden="1" x14ac:dyDescent="0.25">
      <c r="A3829" s="10">
        <v>46121</v>
      </c>
      <c r="B3829" t="s">
        <v>37</v>
      </c>
      <c r="C3829" s="1" t="s">
        <v>32</v>
      </c>
      <c r="D3829" s="3">
        <v>36</v>
      </c>
      <c r="E3829" s="3">
        <v>32</v>
      </c>
      <c r="F3829" s="3">
        <v>15.2</v>
      </c>
      <c r="G3829" s="3">
        <v>0</v>
      </c>
      <c r="H3829" s="3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 s="3">
        <v>29</v>
      </c>
      <c r="N3829" s="3">
        <v>99.57</v>
      </c>
      <c r="O3829" s="12">
        <v>30.635838150289018</v>
      </c>
    </row>
    <row r="3830" spans="1:15" hidden="1" x14ac:dyDescent="0.25">
      <c r="A3830" s="10">
        <v>46121</v>
      </c>
      <c r="B3830" t="s">
        <v>38</v>
      </c>
      <c r="C3830" s="1" t="s">
        <v>32</v>
      </c>
      <c r="D3830" s="3">
        <v>0</v>
      </c>
      <c r="E3830" s="3">
        <v>0</v>
      </c>
      <c r="F3830" s="3">
        <v>0</v>
      </c>
      <c r="G3830" s="3">
        <v>0</v>
      </c>
      <c r="H3830" s="3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 s="3">
        <v>0</v>
      </c>
      <c r="N3830" s="3">
        <v>95.65</v>
      </c>
      <c r="O3830" s="12">
        <v>32.432432432432442</v>
      </c>
    </row>
    <row r="3831" spans="1:15" hidden="1" x14ac:dyDescent="0.25">
      <c r="A3831" s="10">
        <v>46121</v>
      </c>
      <c r="B3831" t="s">
        <v>55</v>
      </c>
      <c r="C3831" s="1" t="s">
        <v>48</v>
      </c>
      <c r="D3831" s="3">
        <v>24</v>
      </c>
      <c r="E3831" s="3">
        <v>21</v>
      </c>
      <c r="F3831" s="3">
        <v>22.22</v>
      </c>
      <c r="G3831" s="3">
        <v>0</v>
      </c>
      <c r="H3831" s="3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 s="3">
        <v>19</v>
      </c>
      <c r="N3831" s="3">
        <v>98.81</v>
      </c>
      <c r="O3831" s="12">
        <v>26.256983240223459</v>
      </c>
    </row>
    <row r="3832" spans="1:15" hidden="1" x14ac:dyDescent="0.25">
      <c r="A3832" s="10">
        <v>46121</v>
      </c>
      <c r="B3832" t="s">
        <v>39</v>
      </c>
      <c r="C3832" s="1" t="s">
        <v>32</v>
      </c>
      <c r="D3832" s="3">
        <v>0</v>
      </c>
      <c r="E3832" s="3">
        <v>0</v>
      </c>
      <c r="F3832" s="3">
        <v>0</v>
      </c>
      <c r="G3832" s="3">
        <v>0</v>
      </c>
      <c r="H3832" s="3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 s="3">
        <v>0</v>
      </c>
      <c r="N3832" s="3">
        <v>0</v>
      </c>
      <c r="O3832" s="12">
        <v>0</v>
      </c>
    </row>
    <row r="3833" spans="1:15" hidden="1" x14ac:dyDescent="0.25">
      <c r="A3833" s="10">
        <v>46121</v>
      </c>
      <c r="B3833" t="s">
        <v>25</v>
      </c>
      <c r="C3833" s="1" t="s">
        <v>26</v>
      </c>
      <c r="D3833" s="3">
        <v>28</v>
      </c>
      <c r="E3833" s="3">
        <v>28</v>
      </c>
      <c r="F3833" s="3">
        <v>17.239999999999998</v>
      </c>
      <c r="G3833" s="3">
        <v>0</v>
      </c>
      <c r="H3833" s="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 s="3">
        <v>24</v>
      </c>
      <c r="N3833" s="3">
        <v>97.17</v>
      </c>
      <c r="O3833" s="12">
        <v>28.81844380403458</v>
      </c>
    </row>
    <row r="3834" spans="1:15" hidden="1" x14ac:dyDescent="0.25">
      <c r="A3834" s="10">
        <v>46121</v>
      </c>
      <c r="B3834" t="s">
        <v>40</v>
      </c>
      <c r="C3834" s="1" t="s">
        <v>32</v>
      </c>
      <c r="D3834" s="3">
        <v>16</v>
      </c>
      <c r="E3834" s="3">
        <v>15</v>
      </c>
      <c r="F3834" s="3">
        <v>23.53</v>
      </c>
      <c r="G3834" s="3">
        <v>0</v>
      </c>
      <c r="H3834" s="3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 s="3">
        <v>16</v>
      </c>
      <c r="N3834" s="3">
        <v>96.81</v>
      </c>
      <c r="O3834" s="12">
        <v>48.018648018648022</v>
      </c>
    </row>
    <row r="3835" spans="1:15" hidden="1" x14ac:dyDescent="0.25">
      <c r="A3835" s="10">
        <v>46121</v>
      </c>
      <c r="B3835" t="s">
        <v>27</v>
      </c>
      <c r="C3835" s="1" t="s">
        <v>26</v>
      </c>
      <c r="D3835" s="3">
        <v>16</v>
      </c>
      <c r="E3835" s="3">
        <v>15</v>
      </c>
      <c r="F3835" s="3">
        <v>30.05</v>
      </c>
      <c r="G3835" s="3">
        <v>0</v>
      </c>
      <c r="H3835" s="3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 s="3">
        <v>11</v>
      </c>
      <c r="N3835" s="3">
        <v>98.15</v>
      </c>
      <c r="O3835" s="12">
        <v>27.1551724137931</v>
      </c>
    </row>
    <row r="3836" spans="1:15" hidden="1" x14ac:dyDescent="0.25">
      <c r="A3836" s="10">
        <v>46121</v>
      </c>
      <c r="B3836" t="s">
        <v>41</v>
      </c>
      <c r="C3836" s="1" t="s">
        <v>32</v>
      </c>
      <c r="D3836" s="3">
        <v>12</v>
      </c>
      <c r="E3836" s="3">
        <v>12</v>
      </c>
      <c r="F3836" s="3">
        <v>17.27</v>
      </c>
      <c r="G3836" s="3">
        <v>0</v>
      </c>
      <c r="H3836" s="3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 s="3">
        <v>8</v>
      </c>
      <c r="N3836" s="3">
        <v>99.15</v>
      </c>
      <c r="O3836" s="12">
        <v>27.586206896551719</v>
      </c>
    </row>
    <row r="3837" spans="1:15" hidden="1" x14ac:dyDescent="0.25">
      <c r="A3837" s="10">
        <v>46121</v>
      </c>
      <c r="B3837" t="s">
        <v>56</v>
      </c>
      <c r="C3837" s="1" t="s">
        <v>48</v>
      </c>
      <c r="D3837" s="3">
        <v>21</v>
      </c>
      <c r="E3837" s="3">
        <v>18</v>
      </c>
      <c r="F3837" s="3">
        <v>22.11</v>
      </c>
      <c r="G3837" s="3">
        <v>0</v>
      </c>
      <c r="H3837" s="3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 s="3">
        <v>28</v>
      </c>
      <c r="N3837" s="3">
        <v>99.17</v>
      </c>
      <c r="O3837" s="12">
        <v>29.75206611570248</v>
      </c>
    </row>
    <row r="3838" spans="1:15" hidden="1" x14ac:dyDescent="0.25">
      <c r="A3838" s="10">
        <v>46121</v>
      </c>
      <c r="B3838" t="s">
        <v>57</v>
      </c>
      <c r="C3838" s="1" t="s">
        <v>48</v>
      </c>
      <c r="D3838" s="3">
        <v>22</v>
      </c>
      <c r="E3838" s="3">
        <v>21</v>
      </c>
      <c r="F3838" s="3">
        <v>25.13</v>
      </c>
      <c r="G3838" s="3">
        <v>0</v>
      </c>
      <c r="H3838" s="3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 s="3">
        <v>16</v>
      </c>
      <c r="N3838" s="3">
        <v>98.73</v>
      </c>
      <c r="O3838" s="12">
        <v>28.961748633879779</v>
      </c>
    </row>
    <row r="3839" spans="1:15" hidden="1" x14ac:dyDescent="0.25">
      <c r="A3839" s="10">
        <v>46121</v>
      </c>
      <c r="B3839" t="s">
        <v>42</v>
      </c>
      <c r="C3839" s="1" t="s">
        <v>32</v>
      </c>
      <c r="D3839" s="3">
        <v>37</v>
      </c>
      <c r="E3839" s="3">
        <v>30</v>
      </c>
      <c r="F3839" s="3">
        <v>15.56</v>
      </c>
      <c r="G3839" s="3">
        <v>0</v>
      </c>
      <c r="H3839" s="3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 s="3">
        <v>17</v>
      </c>
      <c r="N3839" s="3">
        <v>88.68</v>
      </c>
      <c r="O3839" s="12">
        <v>22.03389830508474</v>
      </c>
    </row>
    <row r="3840" spans="1:15" hidden="1" x14ac:dyDescent="0.25">
      <c r="A3840" s="10">
        <v>46121</v>
      </c>
      <c r="B3840" t="s">
        <v>62</v>
      </c>
      <c r="C3840" s="1" t="s">
        <v>23</v>
      </c>
      <c r="D3840" s="3">
        <v>27</v>
      </c>
      <c r="E3840" s="3">
        <v>23</v>
      </c>
      <c r="F3840" s="3">
        <v>14.04</v>
      </c>
      <c r="G3840" s="3">
        <v>0</v>
      </c>
      <c r="H3840" s="3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 s="3">
        <v>23</v>
      </c>
      <c r="N3840" s="3">
        <v>97.37</v>
      </c>
      <c r="O3840" s="12">
        <v>25.76530612244898</v>
      </c>
    </row>
    <row r="3841" spans="1:15" hidden="1" x14ac:dyDescent="0.25">
      <c r="A3841" s="10">
        <v>46121</v>
      </c>
      <c r="B3841" t="s">
        <v>19</v>
      </c>
      <c r="C3841" s="1" t="s">
        <v>16</v>
      </c>
      <c r="D3841" s="3">
        <v>9</v>
      </c>
      <c r="E3841" s="3">
        <v>9</v>
      </c>
      <c r="F3841" s="3">
        <v>43.54</v>
      </c>
      <c r="G3841" s="3">
        <v>0</v>
      </c>
      <c r="H3841" s="3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 s="3">
        <v>6</v>
      </c>
      <c r="N3841" s="3">
        <v>100</v>
      </c>
      <c r="O3841" s="12">
        <v>25</v>
      </c>
    </row>
    <row r="3842" spans="1:15" hidden="1" x14ac:dyDescent="0.25">
      <c r="A3842" s="10">
        <v>46141</v>
      </c>
      <c r="B3842" t="s">
        <v>43</v>
      </c>
      <c r="C3842" s="1" t="s">
        <v>32</v>
      </c>
      <c r="D3842" s="3">
        <v>26</v>
      </c>
      <c r="E3842" s="3">
        <v>23</v>
      </c>
      <c r="F3842" s="3">
        <v>11.5</v>
      </c>
      <c r="G3842" s="3">
        <v>0</v>
      </c>
      <c r="H3842" s="3">
        <v>0</v>
      </c>
      <c r="I3842" s="3">
        <f>E3842+G3842+H3842</f>
        <v>23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35</v>
      </c>
      <c r="K3842" s="3">
        <f>I3842-J3842</f>
        <v>-12</v>
      </c>
      <c r="L3842" s="3" t="str">
        <f>IF(K3842&lt;-5,"CRÍTICO",IF(K3842&lt;0,"ATENÇÃO",IF(K3842&lt;=5,"OPORTUNO","MUITO BOM")))</f>
        <v>CRÍTICO</v>
      </c>
      <c r="M3842" s="3">
        <v>33</v>
      </c>
      <c r="N3842" s="3">
        <v>100</v>
      </c>
      <c r="O3842" s="12">
        <v>23.9870340356564</v>
      </c>
    </row>
    <row r="3843" spans="1:15" hidden="1" x14ac:dyDescent="0.25">
      <c r="A3843" s="10">
        <v>46121</v>
      </c>
      <c r="B3843" t="s">
        <v>44</v>
      </c>
      <c r="C3843" s="1" t="s">
        <v>32</v>
      </c>
      <c r="D3843" s="3">
        <v>30</v>
      </c>
      <c r="E3843" s="3">
        <v>30</v>
      </c>
      <c r="F3843" s="3">
        <v>19.03</v>
      </c>
      <c r="G3843" s="3">
        <v>0</v>
      </c>
      <c r="H3843" s="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 s="3">
        <v>27</v>
      </c>
      <c r="N3843" s="3">
        <v>95.49</v>
      </c>
      <c r="O3843" s="12">
        <v>28.370221327967808</v>
      </c>
    </row>
    <row r="3844" spans="1:15" hidden="1" x14ac:dyDescent="0.25">
      <c r="A3844" s="7">
        <v>46161</v>
      </c>
      <c r="B3844" s="8" t="s">
        <v>55</v>
      </c>
      <c r="C3844" s="1" t="s">
        <v>48</v>
      </c>
      <c r="D3844" s="3">
        <v>24</v>
      </c>
      <c r="E3844" s="3">
        <v>20</v>
      </c>
      <c r="F3844" s="3">
        <v>17</v>
      </c>
      <c r="G3844" s="3">
        <v>2</v>
      </c>
      <c r="H3844" s="3">
        <v>0</v>
      </c>
      <c r="I3844" s="3">
        <f>E3844+G3844+H3844</f>
        <v>22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23</v>
      </c>
      <c r="K3844" s="3">
        <f>I3844-J3844</f>
        <v>-1</v>
      </c>
      <c r="L3844" s="3" t="str">
        <f>IF(K3844&lt;-5,"CRÍTICO",IF(K3844&lt;0,"ATENÇÃO",IF(K3844&lt;=5,"OPORTUNO","MUITO BOM")))</f>
        <v>ATENÇÃO</v>
      </c>
      <c r="M3844" s="3">
        <v>16</v>
      </c>
      <c r="N3844" s="3">
        <v>98.94</v>
      </c>
      <c r="O3844" s="12">
        <v>21.270718232044199</v>
      </c>
    </row>
    <row r="3845" spans="1:15" hidden="1" x14ac:dyDescent="0.25">
      <c r="A3845" s="10">
        <v>46121</v>
      </c>
      <c r="B3845" t="s">
        <v>28</v>
      </c>
      <c r="C3845" s="1" t="s">
        <v>26</v>
      </c>
      <c r="D3845" s="3">
        <v>17</v>
      </c>
      <c r="E3845" s="3">
        <v>15</v>
      </c>
      <c r="F3845" s="3">
        <v>22.32</v>
      </c>
      <c r="G3845" s="3">
        <v>0</v>
      </c>
      <c r="H3845" s="3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 s="3">
        <v>12</v>
      </c>
      <c r="N3845" s="3">
        <v>96.15</v>
      </c>
      <c r="O3845" s="12">
        <v>24.045801526717561</v>
      </c>
    </row>
    <row r="3846" spans="1:15" hidden="1" x14ac:dyDescent="0.25">
      <c r="A3846" s="10">
        <v>46121</v>
      </c>
      <c r="B3846" t="s">
        <v>58</v>
      </c>
      <c r="C3846" s="1" t="s">
        <v>48</v>
      </c>
      <c r="D3846" s="3">
        <v>25</v>
      </c>
      <c r="E3846" s="3">
        <v>25</v>
      </c>
      <c r="F3846" s="3">
        <v>19.149999999999999</v>
      </c>
      <c r="G3846" s="3">
        <v>0</v>
      </c>
      <c r="H3846" s="3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 s="3">
        <v>22</v>
      </c>
      <c r="N3846" s="3">
        <v>99.02</v>
      </c>
      <c r="O3846" s="12">
        <v>34.797297297297298</v>
      </c>
    </row>
    <row r="3847" spans="1:15" hidden="1" x14ac:dyDescent="0.25">
      <c r="A3847" s="10">
        <v>46121</v>
      </c>
      <c r="B3847" t="s">
        <v>29</v>
      </c>
      <c r="C3847" s="1" t="s">
        <v>26</v>
      </c>
      <c r="D3847" s="3">
        <v>19</v>
      </c>
      <c r="E3847" s="3">
        <v>18</v>
      </c>
      <c r="F3847" s="3">
        <v>18.41</v>
      </c>
      <c r="G3847" s="3">
        <v>0</v>
      </c>
      <c r="H3847" s="3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 s="3">
        <v>12</v>
      </c>
      <c r="N3847" s="3">
        <v>98.84</v>
      </c>
      <c r="O3847" s="12">
        <v>31.868131868131869</v>
      </c>
    </row>
    <row r="3848" spans="1:15" hidden="1" x14ac:dyDescent="0.25">
      <c r="A3848" s="10">
        <v>46121</v>
      </c>
      <c r="B3848" t="s">
        <v>30</v>
      </c>
      <c r="C3848" s="1" t="s">
        <v>26</v>
      </c>
      <c r="D3848" s="3">
        <v>21</v>
      </c>
      <c r="E3848" s="3">
        <v>21</v>
      </c>
      <c r="F3848" s="3">
        <v>18.48</v>
      </c>
      <c r="G3848" s="3">
        <v>0</v>
      </c>
      <c r="H3848" s="3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 s="3">
        <v>18</v>
      </c>
      <c r="N3848" s="3">
        <v>100</v>
      </c>
      <c r="O3848" s="12">
        <v>34.666666666666671</v>
      </c>
    </row>
    <row r="3849" spans="1:15" hidden="1" x14ac:dyDescent="0.25">
      <c r="A3849" s="7">
        <v>46161</v>
      </c>
      <c r="B3849" s="8" t="s">
        <v>56</v>
      </c>
      <c r="C3849" s="1" t="s">
        <v>48</v>
      </c>
      <c r="D3849" s="3">
        <v>28</v>
      </c>
      <c r="E3849" s="3">
        <v>25</v>
      </c>
      <c r="F3849" s="3">
        <v>19.03</v>
      </c>
      <c r="G3849" s="3">
        <v>3</v>
      </c>
      <c r="H3849" s="3">
        <v>0</v>
      </c>
      <c r="I3849" s="3">
        <f>E3849+G3849+H3849</f>
        <v>28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23</v>
      </c>
      <c r="K3849" s="3">
        <f>I3849-J3849</f>
        <v>5</v>
      </c>
      <c r="L3849" s="3" t="str">
        <f>IF(K3849&lt;-5,"CRÍTICO",IF(K3849&lt;0,"ATENÇÃO",IF(K3849&lt;=5,"OPORTUNO","MUITO BOM")))</f>
        <v>OPORTUNO</v>
      </c>
      <c r="M3849" s="3">
        <v>45</v>
      </c>
      <c r="N3849" s="3">
        <v>99</v>
      </c>
      <c r="O3849" s="12">
        <v>22.010869565217391</v>
      </c>
    </row>
    <row r="3850" spans="1:15" hidden="1" x14ac:dyDescent="0.25">
      <c r="A3850" s="10">
        <v>46121</v>
      </c>
      <c r="B3850" t="s">
        <v>63</v>
      </c>
      <c r="C3850" s="1" t="s">
        <v>23</v>
      </c>
      <c r="D3850" s="3">
        <v>33</v>
      </c>
      <c r="E3850" s="3">
        <v>31</v>
      </c>
      <c r="F3850" s="3">
        <v>12.37</v>
      </c>
      <c r="G3850" s="3">
        <v>0</v>
      </c>
      <c r="H3850" s="3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 s="3">
        <v>24</v>
      </c>
      <c r="N3850" s="3">
        <v>98.32</v>
      </c>
      <c r="O3850" s="12">
        <v>26.858513189448441</v>
      </c>
    </row>
    <row r="3851" spans="1:15" hidden="1" x14ac:dyDescent="0.25">
      <c r="A3851" s="10">
        <v>46121</v>
      </c>
      <c r="B3851" t="s">
        <v>45</v>
      </c>
      <c r="C3851" s="1" t="s">
        <v>32</v>
      </c>
      <c r="D3851" s="3">
        <v>35</v>
      </c>
      <c r="E3851" s="3">
        <v>30</v>
      </c>
      <c r="F3851" s="3">
        <v>12.16</v>
      </c>
      <c r="G3851" s="3">
        <v>0</v>
      </c>
      <c r="H3851" s="3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 s="3">
        <v>30</v>
      </c>
      <c r="N3851" s="3">
        <v>100</v>
      </c>
      <c r="O3851" s="12">
        <v>31.135531135531139</v>
      </c>
    </row>
    <row r="3852" spans="1:15" hidden="1" x14ac:dyDescent="0.25">
      <c r="A3852" s="10">
        <v>46121</v>
      </c>
      <c r="B3852" t="s">
        <v>64</v>
      </c>
      <c r="C3852" s="1" t="s">
        <v>23</v>
      </c>
      <c r="D3852" s="3">
        <v>15</v>
      </c>
      <c r="E3852" s="3">
        <v>15</v>
      </c>
      <c r="F3852" s="3">
        <v>29.1</v>
      </c>
      <c r="G3852" s="3">
        <v>0</v>
      </c>
      <c r="H3852" s="3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 s="3">
        <v>17</v>
      </c>
      <c r="N3852" s="3">
        <v>100</v>
      </c>
      <c r="O3852" s="12">
        <v>26.36986301369863</v>
      </c>
    </row>
    <row r="3853" spans="1:15" hidden="1" x14ac:dyDescent="0.25">
      <c r="A3853" s="10">
        <v>46121</v>
      </c>
      <c r="B3853" t="s">
        <v>46</v>
      </c>
      <c r="C3853" s="1" t="s">
        <v>32</v>
      </c>
      <c r="D3853" s="3">
        <v>31</v>
      </c>
      <c r="E3853" s="3">
        <v>30</v>
      </c>
      <c r="F3853" s="3">
        <v>18.28</v>
      </c>
      <c r="G3853" s="3">
        <v>0</v>
      </c>
      <c r="H3853" s="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 s="3">
        <v>23</v>
      </c>
      <c r="N3853" s="3">
        <v>99.21</v>
      </c>
      <c r="O3853" s="12">
        <v>25.188916876574311</v>
      </c>
    </row>
    <row r="3854" spans="1:15" hidden="1" x14ac:dyDescent="0.25">
      <c r="A3854" s="10">
        <v>46122</v>
      </c>
      <c r="B3854" t="s">
        <v>47</v>
      </c>
      <c r="C3854" s="1" t="s">
        <v>48</v>
      </c>
      <c r="D3854" s="3">
        <v>12</v>
      </c>
      <c r="E3854" s="3">
        <v>8</v>
      </c>
      <c r="F3854" s="3">
        <v>15.43</v>
      </c>
      <c r="G3854" s="3">
        <v>0</v>
      </c>
      <c r="H3854" s="3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 s="3">
        <v>10</v>
      </c>
      <c r="N3854" s="3">
        <v>100</v>
      </c>
      <c r="O3854" s="12">
        <v>32.764505119453922</v>
      </c>
    </row>
    <row r="3855" spans="1:15" hidden="1" x14ac:dyDescent="0.25">
      <c r="A3855" s="10">
        <v>46122</v>
      </c>
      <c r="B3855" t="s">
        <v>31</v>
      </c>
      <c r="C3855" s="1" t="s">
        <v>32</v>
      </c>
      <c r="D3855" s="3">
        <v>0</v>
      </c>
      <c r="E3855" s="3">
        <v>0</v>
      </c>
      <c r="F3855" s="3">
        <v>0</v>
      </c>
      <c r="G3855" s="3">
        <v>0</v>
      </c>
      <c r="H3855" s="3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 s="3">
        <v>14</v>
      </c>
      <c r="N3855" s="3">
        <v>98.66</v>
      </c>
      <c r="O3855" s="12">
        <v>35.416666666666671</v>
      </c>
    </row>
    <row r="3856" spans="1:15" hidden="1" x14ac:dyDescent="0.25">
      <c r="A3856" s="10">
        <v>46122</v>
      </c>
      <c r="B3856" t="s">
        <v>59</v>
      </c>
      <c r="C3856" s="1" t="s">
        <v>23</v>
      </c>
      <c r="D3856" s="3">
        <v>34</v>
      </c>
      <c r="E3856" s="3">
        <v>34</v>
      </c>
      <c r="F3856" s="3">
        <v>18.239999999999998</v>
      </c>
      <c r="G3856" s="3">
        <v>0</v>
      </c>
      <c r="H3856" s="3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 s="3">
        <v>32</v>
      </c>
      <c r="N3856" s="3">
        <v>99.32</v>
      </c>
      <c r="O3856" s="12">
        <v>30.648330058939099</v>
      </c>
    </row>
    <row r="3857" spans="1:15" hidden="1" x14ac:dyDescent="0.25">
      <c r="A3857" s="10">
        <v>46122</v>
      </c>
      <c r="B3857" t="s">
        <v>33</v>
      </c>
      <c r="C3857" s="1" t="s">
        <v>32</v>
      </c>
      <c r="D3857" s="3">
        <v>35</v>
      </c>
      <c r="E3857" s="3">
        <v>31</v>
      </c>
      <c r="F3857" s="3">
        <v>14.08</v>
      </c>
      <c r="G3857" s="3">
        <v>0</v>
      </c>
      <c r="H3857" s="3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 s="3">
        <v>30</v>
      </c>
      <c r="N3857" s="3">
        <v>100</v>
      </c>
      <c r="O3857" s="12">
        <v>27.803738317757009</v>
      </c>
    </row>
    <row r="3858" spans="1:15" hidden="1" x14ac:dyDescent="0.25">
      <c r="A3858" s="10">
        <v>46122</v>
      </c>
      <c r="B3858" t="s">
        <v>15</v>
      </c>
      <c r="C3858" s="1" t="s">
        <v>16</v>
      </c>
      <c r="D3858" s="3">
        <v>14</v>
      </c>
      <c r="E3858" s="3">
        <v>14</v>
      </c>
      <c r="F3858" s="3">
        <v>18.22</v>
      </c>
      <c r="G3858" s="3">
        <v>0</v>
      </c>
      <c r="H3858" s="3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 s="3">
        <v>12</v>
      </c>
      <c r="N3858" s="3">
        <v>96.74</v>
      </c>
      <c r="O3858" s="12">
        <v>28.67647058823529</v>
      </c>
    </row>
    <row r="3859" spans="1:15" hidden="1" x14ac:dyDescent="0.25">
      <c r="A3859" s="10">
        <v>46122</v>
      </c>
      <c r="B3859" t="s">
        <v>49</v>
      </c>
      <c r="C3859" s="1" t="s">
        <v>48</v>
      </c>
      <c r="D3859" s="3">
        <v>33</v>
      </c>
      <c r="E3859" s="3">
        <v>32</v>
      </c>
      <c r="F3859" s="3">
        <v>15.01</v>
      </c>
      <c r="G3859" s="3">
        <v>0</v>
      </c>
      <c r="H3859" s="3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 s="3">
        <v>30</v>
      </c>
      <c r="N3859" s="3">
        <v>98.82</v>
      </c>
      <c r="O3859" s="12">
        <v>30.741410488245929</v>
      </c>
    </row>
    <row r="3860" spans="1:15" hidden="1" x14ac:dyDescent="0.25">
      <c r="A3860" s="10">
        <v>46122</v>
      </c>
      <c r="B3860" t="s">
        <v>50</v>
      </c>
      <c r="C3860" s="1" t="s">
        <v>48</v>
      </c>
      <c r="D3860" s="3">
        <v>22</v>
      </c>
      <c r="E3860" s="3">
        <v>21</v>
      </c>
      <c r="F3860" s="3">
        <v>22.23</v>
      </c>
      <c r="G3860" s="3">
        <v>0</v>
      </c>
      <c r="H3860" s="3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 s="3">
        <v>18</v>
      </c>
      <c r="N3860" s="3">
        <v>98.2</v>
      </c>
      <c r="O3860" s="12">
        <v>27.170868347338931</v>
      </c>
    </row>
    <row r="3861" spans="1:15" hidden="1" x14ac:dyDescent="0.25">
      <c r="A3861" s="10">
        <v>46122</v>
      </c>
      <c r="B3861" t="s">
        <v>17</v>
      </c>
      <c r="C3861" s="1" t="s">
        <v>16</v>
      </c>
      <c r="D3861" s="3">
        <v>6</v>
      </c>
      <c r="E3861" s="3">
        <v>6</v>
      </c>
      <c r="F3861" s="3">
        <v>23.44</v>
      </c>
      <c r="G3861" s="3">
        <v>0</v>
      </c>
      <c r="H3861" s="3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 s="3">
        <v>5</v>
      </c>
      <c r="N3861" s="3">
        <v>100</v>
      </c>
      <c r="O3861" s="12">
        <v>23.134328358208951</v>
      </c>
    </row>
    <row r="3862" spans="1:15" hidden="1" x14ac:dyDescent="0.25">
      <c r="A3862" s="10">
        <v>46122</v>
      </c>
      <c r="B3862" t="s">
        <v>60</v>
      </c>
      <c r="C3862" s="1" t="s">
        <v>23</v>
      </c>
      <c r="D3862" s="3">
        <v>30</v>
      </c>
      <c r="E3862" s="3">
        <v>30</v>
      </c>
      <c r="F3862" s="3">
        <v>22.19</v>
      </c>
      <c r="G3862" s="3">
        <v>0</v>
      </c>
      <c r="H3862" s="3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 s="3">
        <v>29</v>
      </c>
      <c r="N3862" s="3">
        <v>96.3</v>
      </c>
      <c r="O3862" s="12">
        <v>32.219570405727922</v>
      </c>
    </row>
    <row r="3863" spans="1:15" hidden="1" x14ac:dyDescent="0.25">
      <c r="A3863" s="10">
        <v>46122</v>
      </c>
      <c r="B3863" t="s">
        <v>34</v>
      </c>
      <c r="C3863" s="1" t="s">
        <v>32</v>
      </c>
      <c r="D3863" s="3">
        <v>23</v>
      </c>
      <c r="E3863" s="3">
        <v>21</v>
      </c>
      <c r="F3863" s="3">
        <v>13.32</v>
      </c>
      <c r="G3863" s="3">
        <v>0</v>
      </c>
      <c r="H3863" s="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 s="3">
        <v>20</v>
      </c>
      <c r="N3863" s="3">
        <v>93.75</v>
      </c>
      <c r="O3863" s="12">
        <v>26.819923371647509</v>
      </c>
    </row>
    <row r="3864" spans="1:15" hidden="1" x14ac:dyDescent="0.25">
      <c r="A3864" s="10">
        <v>46122</v>
      </c>
      <c r="B3864" t="s">
        <v>51</v>
      </c>
      <c r="C3864" s="1" t="s">
        <v>48</v>
      </c>
      <c r="D3864" s="3">
        <v>31</v>
      </c>
      <c r="E3864" s="3">
        <v>27</v>
      </c>
      <c r="F3864" s="3">
        <v>16.5</v>
      </c>
      <c r="G3864" s="3">
        <v>0</v>
      </c>
      <c r="H3864" s="3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 s="3">
        <v>28</v>
      </c>
      <c r="N3864" s="3">
        <v>97.86</v>
      </c>
      <c r="O3864" s="12">
        <v>31.018518518518519</v>
      </c>
    </row>
    <row r="3865" spans="1:15" hidden="1" x14ac:dyDescent="0.25">
      <c r="A3865" s="10">
        <v>46122</v>
      </c>
      <c r="B3865" t="s">
        <v>61</v>
      </c>
      <c r="C3865" s="1" t="s">
        <v>23</v>
      </c>
      <c r="D3865" s="3">
        <v>18</v>
      </c>
      <c r="E3865" s="3">
        <v>18</v>
      </c>
      <c r="F3865" s="3">
        <v>17.09</v>
      </c>
      <c r="G3865" s="3">
        <v>0</v>
      </c>
      <c r="H3865" s="3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 s="3">
        <v>13</v>
      </c>
      <c r="N3865" s="3">
        <v>100</v>
      </c>
      <c r="O3865" s="12">
        <v>36.594202898550733</v>
      </c>
    </row>
    <row r="3866" spans="1:15" hidden="1" x14ac:dyDescent="0.25">
      <c r="A3866" s="10">
        <v>46122</v>
      </c>
      <c r="B3866" t="s">
        <v>35</v>
      </c>
      <c r="C3866" s="1" t="s">
        <v>32</v>
      </c>
      <c r="D3866" s="3">
        <v>26</v>
      </c>
      <c r="E3866" s="3">
        <v>26</v>
      </c>
      <c r="F3866" s="3">
        <v>21.59</v>
      </c>
      <c r="G3866" s="3">
        <v>0</v>
      </c>
      <c r="H3866" s="3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 s="3">
        <v>27</v>
      </c>
      <c r="N3866" s="3">
        <v>100</v>
      </c>
      <c r="O3866" s="12">
        <v>38.653846153846153</v>
      </c>
    </row>
    <row r="3867" spans="1:15" hidden="1" x14ac:dyDescent="0.25">
      <c r="A3867" s="10">
        <v>46122</v>
      </c>
      <c r="B3867" t="s">
        <v>18</v>
      </c>
      <c r="C3867" s="1" t="s">
        <v>16</v>
      </c>
      <c r="D3867" s="3">
        <v>4</v>
      </c>
      <c r="E3867" s="3">
        <v>4</v>
      </c>
      <c r="F3867" s="3">
        <v>60.55</v>
      </c>
      <c r="G3867" s="3">
        <v>0</v>
      </c>
      <c r="H3867" s="3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 s="3">
        <v>3</v>
      </c>
      <c r="N3867" s="3">
        <v>100</v>
      </c>
      <c r="O3867" s="12">
        <v>27.368421052631579</v>
      </c>
    </row>
    <row r="3868" spans="1:15" hidden="1" x14ac:dyDescent="0.25">
      <c r="A3868" s="10">
        <v>46122</v>
      </c>
      <c r="B3868" t="s">
        <v>52</v>
      </c>
      <c r="C3868" s="1" t="s">
        <v>48</v>
      </c>
      <c r="D3868" s="3">
        <v>24</v>
      </c>
      <c r="E3868" s="3">
        <v>23</v>
      </c>
      <c r="F3868" s="3">
        <v>20.32</v>
      </c>
      <c r="G3868" s="3">
        <v>0</v>
      </c>
      <c r="H3868" s="3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 s="3">
        <v>22</v>
      </c>
      <c r="N3868" s="3">
        <v>97.83</v>
      </c>
      <c r="O3868" s="12">
        <v>28.35164835164835</v>
      </c>
    </row>
    <row r="3869" spans="1:15" hidden="1" x14ac:dyDescent="0.25">
      <c r="A3869" s="10">
        <v>46122</v>
      </c>
      <c r="B3869" t="s">
        <v>36</v>
      </c>
      <c r="C3869" s="1" t="s">
        <v>32</v>
      </c>
      <c r="D3869" s="3">
        <v>32</v>
      </c>
      <c r="E3869" s="3">
        <v>31</v>
      </c>
      <c r="F3869" s="3">
        <v>11.47</v>
      </c>
      <c r="G3869" s="3">
        <v>0</v>
      </c>
      <c r="H3869" s="3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 s="3">
        <v>32</v>
      </c>
      <c r="N3869" s="3">
        <v>99.26</v>
      </c>
      <c r="O3869" s="12">
        <v>29.766536964980549</v>
      </c>
    </row>
    <row r="3870" spans="1:15" hidden="1" x14ac:dyDescent="0.25">
      <c r="A3870" s="10">
        <v>46122</v>
      </c>
      <c r="B3870" t="s">
        <v>53</v>
      </c>
      <c r="C3870" s="1" t="s">
        <v>48</v>
      </c>
      <c r="D3870" s="3">
        <v>21</v>
      </c>
      <c r="E3870" s="3">
        <v>21</v>
      </c>
      <c r="F3870" s="3">
        <v>28.27</v>
      </c>
      <c r="G3870" s="3">
        <v>0</v>
      </c>
      <c r="H3870" s="3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 s="3">
        <v>14</v>
      </c>
      <c r="N3870" s="3">
        <v>99.19</v>
      </c>
      <c r="O3870" s="12">
        <v>29.462365591397852</v>
      </c>
    </row>
    <row r="3871" spans="1:15" hidden="1" x14ac:dyDescent="0.25">
      <c r="A3871" s="7">
        <v>46161</v>
      </c>
      <c r="B3871" s="8" t="s">
        <v>57</v>
      </c>
      <c r="C3871" s="1" t="s">
        <v>48</v>
      </c>
      <c r="D3871" s="3">
        <v>22</v>
      </c>
      <c r="E3871" s="3">
        <v>21</v>
      </c>
      <c r="F3871" s="3">
        <v>24.02</v>
      </c>
      <c r="G3871" s="3">
        <v>0</v>
      </c>
      <c r="H3871" s="3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23</v>
      </c>
      <c r="K3871" s="3">
        <f>I3871-J3871</f>
        <v>-2</v>
      </c>
      <c r="L3871" s="3" t="str">
        <f>IF(K3871&lt;-5,"CRÍTICO",IF(K3871&lt;0,"ATENÇÃO",IF(K3871&lt;=5,"OPORTUNO","MUITO BOM")))</f>
        <v>ATENÇÃO</v>
      </c>
      <c r="M3871" s="3">
        <v>19</v>
      </c>
      <c r="N3871" s="3">
        <v>100</v>
      </c>
      <c r="O3871" s="12">
        <v>25</v>
      </c>
    </row>
    <row r="3872" spans="1:15" hidden="1" x14ac:dyDescent="0.25">
      <c r="A3872" s="10">
        <v>46122</v>
      </c>
      <c r="B3872" t="s">
        <v>54</v>
      </c>
      <c r="C3872" s="1" t="s">
        <v>48</v>
      </c>
      <c r="D3872" s="3">
        <v>0</v>
      </c>
      <c r="E3872" s="3">
        <v>0</v>
      </c>
      <c r="F3872" s="3">
        <v>0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 s="3">
        <v>1</v>
      </c>
      <c r="N3872" s="3">
        <v>100</v>
      </c>
      <c r="O3872" s="12">
        <v>28.921568627450981</v>
      </c>
    </row>
    <row r="3873" spans="1:15" hidden="1" x14ac:dyDescent="0.25">
      <c r="A3873" s="10">
        <v>46122</v>
      </c>
      <c r="B3873" t="s">
        <v>37</v>
      </c>
      <c r="C3873" s="1" t="s">
        <v>32</v>
      </c>
      <c r="D3873" s="3">
        <v>33</v>
      </c>
      <c r="E3873" s="3">
        <v>32</v>
      </c>
      <c r="F3873" s="3">
        <v>15.4</v>
      </c>
      <c r="G3873" s="3">
        <v>0</v>
      </c>
      <c r="H3873" s="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 s="3">
        <v>31</v>
      </c>
      <c r="N3873" s="3">
        <v>99.57</v>
      </c>
      <c r="O3873" s="12">
        <v>30.635838150289018</v>
      </c>
    </row>
    <row r="3874" spans="1:15" hidden="1" x14ac:dyDescent="0.25">
      <c r="A3874" s="10">
        <v>46122</v>
      </c>
      <c r="B3874" t="s">
        <v>38</v>
      </c>
      <c r="C3874" s="1" t="s">
        <v>32</v>
      </c>
      <c r="D3874" s="3">
        <v>0</v>
      </c>
      <c r="E3874" s="3">
        <v>0</v>
      </c>
      <c r="F3874" s="3">
        <v>0</v>
      </c>
      <c r="G3874" s="3">
        <v>0</v>
      </c>
      <c r="H3874" s="3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 s="3">
        <v>0</v>
      </c>
      <c r="N3874" s="3">
        <v>95.65</v>
      </c>
      <c r="O3874" s="12">
        <v>32.432432432432442</v>
      </c>
    </row>
    <row r="3875" spans="1:15" hidden="1" x14ac:dyDescent="0.25">
      <c r="A3875" s="10">
        <v>46122</v>
      </c>
      <c r="B3875" t="s">
        <v>55</v>
      </c>
      <c r="C3875" s="1" t="s">
        <v>48</v>
      </c>
      <c r="D3875" s="3">
        <v>20</v>
      </c>
      <c r="E3875" s="3">
        <v>17</v>
      </c>
      <c r="F3875" s="3">
        <v>20</v>
      </c>
      <c r="G3875" s="3">
        <v>0</v>
      </c>
      <c r="H3875" s="3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 s="3">
        <v>16</v>
      </c>
      <c r="N3875" s="3">
        <v>98.81</v>
      </c>
      <c r="O3875" s="12">
        <v>26.256983240223459</v>
      </c>
    </row>
    <row r="3876" spans="1:15" hidden="1" x14ac:dyDescent="0.25">
      <c r="A3876" s="10">
        <v>46122</v>
      </c>
      <c r="B3876" t="s">
        <v>39</v>
      </c>
      <c r="C3876" s="1" t="s">
        <v>32</v>
      </c>
      <c r="D3876" s="3">
        <v>0</v>
      </c>
      <c r="E3876" s="3">
        <v>0</v>
      </c>
      <c r="F3876" s="3">
        <v>0</v>
      </c>
      <c r="G3876" s="3">
        <v>0</v>
      </c>
      <c r="H3876" s="3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 s="3">
        <v>0</v>
      </c>
      <c r="N3876" s="3">
        <v>0</v>
      </c>
      <c r="O3876" s="12">
        <v>0</v>
      </c>
    </row>
    <row r="3877" spans="1:15" hidden="1" x14ac:dyDescent="0.25">
      <c r="A3877" s="10">
        <v>46122</v>
      </c>
      <c r="B3877" t="s">
        <v>25</v>
      </c>
      <c r="C3877" s="1" t="s">
        <v>26</v>
      </c>
      <c r="D3877" s="3">
        <v>17</v>
      </c>
      <c r="E3877" s="3">
        <v>16</v>
      </c>
      <c r="F3877" s="3">
        <v>22.3</v>
      </c>
      <c r="G3877" s="3">
        <v>0</v>
      </c>
      <c r="H3877" s="3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 s="3">
        <v>15</v>
      </c>
      <c r="N3877" s="3">
        <v>97.17</v>
      </c>
      <c r="O3877" s="12">
        <v>28.81844380403458</v>
      </c>
    </row>
    <row r="3878" spans="1:15" hidden="1" x14ac:dyDescent="0.25">
      <c r="A3878" s="10">
        <v>46122</v>
      </c>
      <c r="B3878" t="s">
        <v>40</v>
      </c>
      <c r="C3878" s="1" t="s">
        <v>32</v>
      </c>
      <c r="D3878" s="3">
        <v>16</v>
      </c>
      <c r="E3878" s="3">
        <v>15</v>
      </c>
      <c r="F3878" s="3">
        <v>21.46</v>
      </c>
      <c r="G3878" s="3">
        <v>0</v>
      </c>
      <c r="H3878" s="3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 s="3">
        <v>14</v>
      </c>
      <c r="N3878" s="3">
        <v>96.81</v>
      </c>
      <c r="O3878" s="12">
        <v>48.018648018648022</v>
      </c>
    </row>
    <row r="3879" spans="1:15" hidden="1" x14ac:dyDescent="0.25">
      <c r="A3879" s="10">
        <v>46122</v>
      </c>
      <c r="B3879" t="s">
        <v>27</v>
      </c>
      <c r="C3879" s="1" t="s">
        <v>26</v>
      </c>
      <c r="D3879" s="3">
        <v>12</v>
      </c>
      <c r="E3879" s="3">
        <v>11</v>
      </c>
      <c r="F3879" s="3">
        <v>26.5</v>
      </c>
      <c r="G3879" s="3">
        <v>0</v>
      </c>
      <c r="H3879" s="3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 s="3">
        <v>8</v>
      </c>
      <c r="N3879" s="3">
        <v>98.15</v>
      </c>
      <c r="O3879" s="12">
        <v>27.1551724137931</v>
      </c>
    </row>
    <row r="3880" spans="1:15" hidden="1" x14ac:dyDescent="0.25">
      <c r="A3880" s="10">
        <v>46122</v>
      </c>
      <c r="B3880" t="s">
        <v>41</v>
      </c>
      <c r="C3880" s="1" t="s">
        <v>32</v>
      </c>
      <c r="D3880" s="3">
        <v>27</v>
      </c>
      <c r="E3880" s="3">
        <v>26</v>
      </c>
      <c r="F3880" s="3">
        <v>14.11</v>
      </c>
      <c r="G3880" s="3">
        <v>0</v>
      </c>
      <c r="H3880" s="3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 s="3">
        <v>26</v>
      </c>
      <c r="N3880" s="3">
        <v>99.15</v>
      </c>
      <c r="O3880" s="12">
        <v>27.586206896551719</v>
      </c>
    </row>
    <row r="3881" spans="1:15" hidden="1" x14ac:dyDescent="0.25">
      <c r="A3881" s="10">
        <v>46122</v>
      </c>
      <c r="B3881" t="s">
        <v>56</v>
      </c>
      <c r="C3881" s="1" t="s">
        <v>48</v>
      </c>
      <c r="D3881" s="3">
        <v>24</v>
      </c>
      <c r="E3881" s="3">
        <v>19</v>
      </c>
      <c r="F3881" s="3">
        <v>17.28</v>
      </c>
      <c r="G3881" s="3">
        <v>0</v>
      </c>
      <c r="H3881" s="3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 s="3">
        <v>16</v>
      </c>
      <c r="N3881" s="3">
        <v>99.17</v>
      </c>
      <c r="O3881" s="12">
        <v>29.75206611570248</v>
      </c>
    </row>
    <row r="3882" spans="1:15" hidden="1" x14ac:dyDescent="0.25">
      <c r="A3882" s="10">
        <v>46122</v>
      </c>
      <c r="B3882" t="s">
        <v>57</v>
      </c>
      <c r="C3882" s="1" t="s">
        <v>48</v>
      </c>
      <c r="D3882" s="3">
        <v>11</v>
      </c>
      <c r="E3882" s="3">
        <v>10</v>
      </c>
      <c r="F3882" s="3">
        <v>22.28</v>
      </c>
      <c r="G3882" s="3">
        <v>0</v>
      </c>
      <c r="H3882" s="3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 s="3">
        <v>8</v>
      </c>
      <c r="N3882" s="3">
        <v>98.73</v>
      </c>
      <c r="O3882" s="12">
        <v>28.961748633879779</v>
      </c>
    </row>
    <row r="3883" spans="1:15" hidden="1" x14ac:dyDescent="0.25">
      <c r="A3883" s="10">
        <v>46122</v>
      </c>
      <c r="B3883" t="s">
        <v>42</v>
      </c>
      <c r="C3883" s="1" t="s">
        <v>32</v>
      </c>
      <c r="D3883" s="3">
        <v>40</v>
      </c>
      <c r="E3883" s="3">
        <v>37</v>
      </c>
      <c r="F3883" s="3">
        <v>12.14</v>
      </c>
      <c r="G3883" s="3">
        <v>0</v>
      </c>
      <c r="H3883" s="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 s="3">
        <v>28</v>
      </c>
      <c r="N3883" s="3">
        <v>88.68</v>
      </c>
      <c r="O3883" s="12">
        <v>22.03389830508474</v>
      </c>
    </row>
    <row r="3884" spans="1:15" hidden="1" x14ac:dyDescent="0.25">
      <c r="A3884" s="10">
        <v>46122</v>
      </c>
      <c r="B3884" t="s">
        <v>62</v>
      </c>
      <c r="C3884" s="1" t="s">
        <v>23</v>
      </c>
      <c r="D3884" s="3">
        <v>19</v>
      </c>
      <c r="E3884" s="3">
        <v>18</v>
      </c>
      <c r="F3884" s="3">
        <v>20.5</v>
      </c>
      <c r="G3884" s="3">
        <v>0</v>
      </c>
      <c r="H3884" s="3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 s="3">
        <v>21</v>
      </c>
      <c r="N3884" s="3">
        <v>97.37</v>
      </c>
      <c r="O3884" s="12">
        <v>25.76530612244898</v>
      </c>
    </row>
    <row r="3885" spans="1:15" hidden="1" x14ac:dyDescent="0.25">
      <c r="A3885" s="10">
        <v>46122</v>
      </c>
      <c r="B3885" t="s">
        <v>19</v>
      </c>
      <c r="C3885" s="1" t="s">
        <v>16</v>
      </c>
      <c r="D3885" s="3">
        <v>18</v>
      </c>
      <c r="E3885" s="3">
        <v>18</v>
      </c>
      <c r="F3885" s="3">
        <v>25.36</v>
      </c>
      <c r="G3885" s="3">
        <v>0</v>
      </c>
      <c r="H3885" s="3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 s="3">
        <v>15</v>
      </c>
      <c r="N3885" s="3">
        <v>100</v>
      </c>
      <c r="O3885" s="12">
        <v>25</v>
      </c>
    </row>
    <row r="3886" spans="1:15" hidden="1" x14ac:dyDescent="0.25">
      <c r="A3886" s="10">
        <v>46142</v>
      </c>
      <c r="B3886" t="s">
        <v>43</v>
      </c>
      <c r="C3886" s="1" t="s">
        <v>32</v>
      </c>
      <c r="D3886" s="3">
        <v>15</v>
      </c>
      <c r="E3886" s="3">
        <v>13</v>
      </c>
      <c r="F3886" s="3">
        <v>11.57</v>
      </c>
      <c r="G3886" s="3">
        <v>0</v>
      </c>
      <c r="H3886" s="3">
        <v>0</v>
      </c>
      <c r="I3886" s="3">
        <f>E3886+G3886+H3886</f>
        <v>13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32</v>
      </c>
      <c r="K3886" s="3">
        <f>I3886-J3886</f>
        <v>-19</v>
      </c>
      <c r="L3886" s="3" t="str">
        <f>IF(K3886&lt;-5,"CRÍTICO",IF(K3886&lt;0,"ATENÇÃO",IF(K3886&lt;=5,"OPORTUNO","MUITO BOM")))</f>
        <v>CRÍTICO</v>
      </c>
      <c r="M3886" s="3">
        <v>33</v>
      </c>
      <c r="N3886" s="3">
        <v>100</v>
      </c>
      <c r="O3886" s="12">
        <v>23.9870340356564</v>
      </c>
    </row>
    <row r="3887" spans="1:15" hidden="1" x14ac:dyDescent="0.25">
      <c r="A3887" s="10">
        <v>46122</v>
      </c>
      <c r="B3887" t="s">
        <v>44</v>
      </c>
      <c r="C3887" s="1" t="s">
        <v>32</v>
      </c>
      <c r="D3887" s="3">
        <v>26</v>
      </c>
      <c r="E3887" s="3">
        <v>23</v>
      </c>
      <c r="F3887" s="3">
        <v>16.52</v>
      </c>
      <c r="G3887" s="3">
        <v>0</v>
      </c>
      <c r="H3887" s="3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 s="3">
        <v>22</v>
      </c>
      <c r="N3887" s="3">
        <v>95.49</v>
      </c>
      <c r="O3887" s="12">
        <v>28.370221327967808</v>
      </c>
    </row>
    <row r="3888" spans="1:15" hidden="1" x14ac:dyDescent="0.25">
      <c r="A3888" s="7">
        <v>46161</v>
      </c>
      <c r="B3888" s="8" t="s">
        <v>58</v>
      </c>
      <c r="C3888" s="1" t="s">
        <v>48</v>
      </c>
      <c r="D3888" s="3">
        <v>25</v>
      </c>
      <c r="E3888" s="3">
        <v>23</v>
      </c>
      <c r="F3888" s="3">
        <v>17.03</v>
      </c>
      <c r="G3888" s="3">
        <v>0</v>
      </c>
      <c r="H3888" s="3">
        <v>0</v>
      </c>
      <c r="I3888" s="3">
        <f>E3888+G3888+H3888</f>
        <v>23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23</v>
      </c>
      <c r="K3888" s="3">
        <f>I3888-J3888</f>
        <v>0</v>
      </c>
      <c r="L3888" s="3" t="str">
        <f>IF(K3888&lt;-5,"CRÍTICO",IF(K3888&lt;0,"ATENÇÃO",IF(K3888&lt;=5,"OPORTUNO","MUITO BOM")))</f>
        <v>OPORTUNO</v>
      </c>
      <c r="M3888" s="3">
        <v>22</v>
      </c>
      <c r="N3888" s="3">
        <v>100</v>
      </c>
      <c r="O3888" s="12">
        <v>20.183486238532112</v>
      </c>
    </row>
    <row r="3889" spans="1:15" hidden="1" x14ac:dyDescent="0.25">
      <c r="A3889" s="10">
        <v>46122</v>
      </c>
      <c r="B3889" t="s">
        <v>28</v>
      </c>
      <c r="C3889" s="1" t="s">
        <v>26</v>
      </c>
      <c r="D3889" s="3">
        <v>36</v>
      </c>
      <c r="E3889" s="3">
        <v>31</v>
      </c>
      <c r="F3889" s="3">
        <v>15.02</v>
      </c>
      <c r="G3889" s="3">
        <v>0</v>
      </c>
      <c r="H3889" s="3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 s="3">
        <v>20</v>
      </c>
      <c r="N3889" s="3">
        <v>96.15</v>
      </c>
      <c r="O3889" s="12">
        <v>24.045801526717561</v>
      </c>
    </row>
    <row r="3890" spans="1:15" hidden="1" x14ac:dyDescent="0.25">
      <c r="A3890" s="10">
        <v>46122</v>
      </c>
      <c r="B3890" t="s">
        <v>58</v>
      </c>
      <c r="C3890" s="1" t="s">
        <v>48</v>
      </c>
      <c r="D3890" s="3">
        <v>19</v>
      </c>
      <c r="E3890" s="3">
        <v>18</v>
      </c>
      <c r="F3890" s="3">
        <v>28.28</v>
      </c>
      <c r="G3890" s="3">
        <v>0</v>
      </c>
      <c r="H3890" s="3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 s="3">
        <v>16</v>
      </c>
      <c r="N3890" s="3">
        <v>99.02</v>
      </c>
      <c r="O3890" s="12">
        <v>34.797297297297298</v>
      </c>
    </row>
    <row r="3891" spans="1:15" hidden="1" x14ac:dyDescent="0.25">
      <c r="A3891" s="10">
        <v>46122</v>
      </c>
      <c r="B3891" t="s">
        <v>29</v>
      </c>
      <c r="C3891" s="1" t="s">
        <v>26</v>
      </c>
      <c r="D3891" s="3">
        <v>15</v>
      </c>
      <c r="E3891" s="3">
        <v>12</v>
      </c>
      <c r="F3891" s="3">
        <v>20.53</v>
      </c>
      <c r="G3891" s="3">
        <v>0</v>
      </c>
      <c r="H3891" s="3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 s="3">
        <v>11</v>
      </c>
      <c r="N3891" s="3">
        <v>98.84</v>
      </c>
      <c r="O3891" s="12">
        <v>31.868131868131869</v>
      </c>
    </row>
    <row r="3892" spans="1:15" hidden="1" x14ac:dyDescent="0.25">
      <c r="A3892" s="10">
        <v>46122</v>
      </c>
      <c r="B3892" t="s">
        <v>30</v>
      </c>
      <c r="C3892" s="1" t="s">
        <v>26</v>
      </c>
      <c r="D3892" s="3">
        <v>21</v>
      </c>
      <c r="E3892" s="3">
        <v>20</v>
      </c>
      <c r="F3892" s="3">
        <v>14.01</v>
      </c>
      <c r="G3892" s="3">
        <v>0</v>
      </c>
      <c r="H3892" s="3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 s="3">
        <v>18</v>
      </c>
      <c r="N3892" s="3">
        <v>100</v>
      </c>
      <c r="O3892" s="12">
        <v>34.666666666666671</v>
      </c>
    </row>
    <row r="3893" spans="1:15" hidden="1" x14ac:dyDescent="0.25">
      <c r="A3893" s="7">
        <v>46161</v>
      </c>
      <c r="B3893" s="8" t="s">
        <v>59</v>
      </c>
      <c r="C3893" s="1" t="s">
        <v>23</v>
      </c>
      <c r="D3893" s="3">
        <v>30</v>
      </c>
      <c r="E3893" s="3">
        <v>29</v>
      </c>
      <c r="F3893" s="3">
        <v>15.36</v>
      </c>
      <c r="G3893" s="3">
        <v>1</v>
      </c>
      <c r="H3893" s="3">
        <v>0</v>
      </c>
      <c r="I3893" s="3">
        <f>E3893+G3893+H3893</f>
        <v>30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19</v>
      </c>
      <c r="K3893" s="3">
        <f>I3893-J3893</f>
        <v>11</v>
      </c>
      <c r="L3893" s="3" t="str">
        <f>IF(K3893&lt;-5,"CRÍTICO",IF(K3893&lt;0,"ATENÇÃO",IF(K3893&lt;=5,"OPORTUNO","MUITO BOM")))</f>
        <v>MUITO BOM</v>
      </c>
      <c r="M3893" s="3">
        <v>29</v>
      </c>
      <c r="N3893" s="3">
        <v>96.25</v>
      </c>
      <c r="O3893" s="12">
        <v>25.586353944562902</v>
      </c>
    </row>
    <row r="3894" spans="1:15" hidden="1" x14ac:dyDescent="0.25">
      <c r="A3894" s="10">
        <v>46122</v>
      </c>
      <c r="B3894" t="s">
        <v>63</v>
      </c>
      <c r="C3894" s="1" t="s">
        <v>23</v>
      </c>
      <c r="D3894" s="3">
        <v>27</v>
      </c>
      <c r="E3894" s="3">
        <v>25</v>
      </c>
      <c r="F3894" s="3">
        <v>10.57</v>
      </c>
      <c r="G3894" s="3">
        <v>0</v>
      </c>
      <c r="H3894" s="3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 s="3">
        <v>19</v>
      </c>
      <c r="N3894" s="3">
        <v>98.32</v>
      </c>
      <c r="O3894" s="12">
        <v>26.858513189448441</v>
      </c>
    </row>
    <row r="3895" spans="1:15" hidden="1" x14ac:dyDescent="0.25">
      <c r="A3895" s="10">
        <v>46122</v>
      </c>
      <c r="B3895" t="s">
        <v>45</v>
      </c>
      <c r="C3895" s="1" t="s">
        <v>32</v>
      </c>
      <c r="D3895" s="3">
        <v>37</v>
      </c>
      <c r="E3895" s="3">
        <v>34</v>
      </c>
      <c r="F3895" s="3">
        <v>13.45</v>
      </c>
      <c r="G3895" s="3">
        <v>0</v>
      </c>
      <c r="H3895" s="3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 s="3">
        <v>32</v>
      </c>
      <c r="N3895" s="3">
        <v>100</v>
      </c>
      <c r="O3895" s="12">
        <v>31.135531135531139</v>
      </c>
    </row>
    <row r="3896" spans="1:15" hidden="1" x14ac:dyDescent="0.25">
      <c r="A3896" s="10">
        <v>46122</v>
      </c>
      <c r="B3896" t="s">
        <v>64</v>
      </c>
      <c r="C3896" s="1" t="s">
        <v>23</v>
      </c>
      <c r="D3896" s="3">
        <v>14</v>
      </c>
      <c r="E3896" s="3">
        <v>13</v>
      </c>
      <c r="F3896" s="3">
        <v>38.409999999999997</v>
      </c>
      <c r="G3896" s="3">
        <v>0</v>
      </c>
      <c r="H3896" s="3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 s="3">
        <v>12</v>
      </c>
      <c r="N3896" s="3">
        <v>100</v>
      </c>
      <c r="O3896" s="12">
        <v>26.36986301369863</v>
      </c>
    </row>
    <row r="3897" spans="1:15" hidden="1" x14ac:dyDescent="0.25">
      <c r="A3897" s="10">
        <v>46122</v>
      </c>
      <c r="B3897" t="s">
        <v>46</v>
      </c>
      <c r="C3897" s="1" t="s">
        <v>32</v>
      </c>
      <c r="D3897" s="3">
        <v>13</v>
      </c>
      <c r="E3897" s="3">
        <v>11</v>
      </c>
      <c r="F3897" s="3">
        <v>12.26</v>
      </c>
      <c r="G3897" s="3">
        <v>0</v>
      </c>
      <c r="H3897" s="3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 s="3">
        <v>11</v>
      </c>
      <c r="N3897" s="3">
        <v>99.21</v>
      </c>
      <c r="O3897" s="12">
        <v>25.188916876574311</v>
      </c>
    </row>
    <row r="3898" spans="1:15" hidden="1" x14ac:dyDescent="0.25">
      <c r="A3898" s="10">
        <v>46125</v>
      </c>
      <c r="B3898" t="s">
        <v>47</v>
      </c>
      <c r="C3898" s="1" t="s">
        <v>48</v>
      </c>
      <c r="D3898" s="3">
        <v>26</v>
      </c>
      <c r="E3898" s="3">
        <v>15</v>
      </c>
      <c r="F3898" s="3">
        <v>13.33</v>
      </c>
      <c r="G3898" s="3">
        <v>0</v>
      </c>
      <c r="H3898" s="3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 s="3">
        <v>9</v>
      </c>
      <c r="N3898" s="3">
        <v>100</v>
      </c>
      <c r="O3898" s="12">
        <v>32.764505119453922</v>
      </c>
    </row>
    <row r="3899" spans="1:15" hidden="1" x14ac:dyDescent="0.25">
      <c r="A3899" s="10">
        <v>46125</v>
      </c>
      <c r="B3899" t="s">
        <v>31</v>
      </c>
      <c r="C3899" s="1" t="s">
        <v>32</v>
      </c>
      <c r="D3899" s="3">
        <v>0</v>
      </c>
      <c r="E3899" s="3">
        <v>0</v>
      </c>
      <c r="F3899" s="3">
        <v>0</v>
      </c>
      <c r="G3899" s="3">
        <v>0</v>
      </c>
      <c r="H3899" s="3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 s="3">
        <v>19</v>
      </c>
      <c r="N3899" s="3">
        <v>98.66</v>
      </c>
      <c r="O3899" s="12">
        <v>35.416666666666671</v>
      </c>
    </row>
    <row r="3900" spans="1:15" hidden="1" x14ac:dyDescent="0.25">
      <c r="A3900" s="10">
        <v>46125</v>
      </c>
      <c r="B3900" t="s">
        <v>59</v>
      </c>
      <c r="C3900" s="1" t="s">
        <v>23</v>
      </c>
      <c r="D3900" s="3">
        <v>30</v>
      </c>
      <c r="E3900" s="3">
        <v>29</v>
      </c>
      <c r="F3900" s="3">
        <v>23.23</v>
      </c>
      <c r="G3900" s="3">
        <v>0</v>
      </c>
      <c r="H3900" s="3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 s="3">
        <v>20</v>
      </c>
      <c r="N3900" s="3">
        <v>99.32</v>
      </c>
      <c r="O3900" s="12">
        <v>30.648330058939099</v>
      </c>
    </row>
    <row r="3901" spans="1:15" hidden="1" x14ac:dyDescent="0.25">
      <c r="A3901" s="10">
        <v>46125</v>
      </c>
      <c r="B3901" t="s">
        <v>33</v>
      </c>
      <c r="C3901" s="1" t="s">
        <v>32</v>
      </c>
      <c r="D3901" s="3">
        <v>13</v>
      </c>
      <c r="E3901" s="3">
        <v>13</v>
      </c>
      <c r="F3901" s="3">
        <v>12.23</v>
      </c>
      <c r="G3901" s="3">
        <v>0</v>
      </c>
      <c r="H3901" s="3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 s="3">
        <v>14</v>
      </c>
      <c r="N3901" s="3">
        <v>100</v>
      </c>
      <c r="O3901" s="12">
        <v>27.803738317757009</v>
      </c>
    </row>
    <row r="3902" spans="1:15" hidden="1" x14ac:dyDescent="0.25">
      <c r="A3902" s="10">
        <v>46125</v>
      </c>
      <c r="B3902" t="s">
        <v>15</v>
      </c>
      <c r="C3902" s="1" t="s">
        <v>16</v>
      </c>
      <c r="D3902" s="3">
        <v>27</v>
      </c>
      <c r="E3902" s="3">
        <v>25</v>
      </c>
      <c r="F3902" s="3">
        <v>17.12</v>
      </c>
      <c r="G3902" s="3">
        <v>0</v>
      </c>
      <c r="H3902" s="3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 s="3">
        <v>22</v>
      </c>
      <c r="N3902" s="3">
        <v>96.74</v>
      </c>
      <c r="O3902" s="12">
        <v>28.67647058823529</v>
      </c>
    </row>
    <row r="3903" spans="1:15" hidden="1" x14ac:dyDescent="0.25">
      <c r="A3903" s="10">
        <v>46125</v>
      </c>
      <c r="B3903" t="s">
        <v>49</v>
      </c>
      <c r="C3903" s="1" t="s">
        <v>48</v>
      </c>
      <c r="D3903" s="3">
        <v>28</v>
      </c>
      <c r="E3903" s="3">
        <v>27</v>
      </c>
      <c r="F3903" s="3">
        <v>20.170000000000002</v>
      </c>
      <c r="G3903" s="3">
        <v>0</v>
      </c>
      <c r="H3903" s="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 s="3">
        <v>23</v>
      </c>
      <c r="N3903" s="3">
        <v>98.82</v>
      </c>
      <c r="O3903" s="12">
        <v>30.741410488245929</v>
      </c>
    </row>
    <row r="3904" spans="1:15" hidden="1" x14ac:dyDescent="0.25">
      <c r="A3904" s="10">
        <v>46125</v>
      </c>
      <c r="B3904" t="s">
        <v>50</v>
      </c>
      <c r="C3904" s="1" t="s">
        <v>48</v>
      </c>
      <c r="D3904" s="3">
        <v>14</v>
      </c>
      <c r="E3904" s="3">
        <v>14</v>
      </c>
      <c r="F3904" s="3">
        <v>24.19</v>
      </c>
      <c r="G3904" s="3">
        <v>0</v>
      </c>
      <c r="H3904" s="3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 s="3">
        <v>11</v>
      </c>
      <c r="N3904" s="3">
        <v>98.2</v>
      </c>
      <c r="O3904" s="12">
        <v>27.170868347338931</v>
      </c>
    </row>
    <row r="3905" spans="1:15" hidden="1" x14ac:dyDescent="0.25">
      <c r="A3905" s="10">
        <v>46125</v>
      </c>
      <c r="B3905" t="s">
        <v>17</v>
      </c>
      <c r="C3905" s="1" t="s">
        <v>16</v>
      </c>
      <c r="D3905" s="3">
        <v>12</v>
      </c>
      <c r="E3905" s="3">
        <v>10</v>
      </c>
      <c r="F3905" s="3">
        <v>18.34</v>
      </c>
      <c r="G3905" s="3">
        <v>0</v>
      </c>
      <c r="H3905" s="3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 s="3">
        <v>8</v>
      </c>
      <c r="N3905" s="3">
        <v>100</v>
      </c>
      <c r="O3905" s="12">
        <v>23.134328358208951</v>
      </c>
    </row>
    <row r="3906" spans="1:15" hidden="1" x14ac:dyDescent="0.25">
      <c r="A3906" s="10">
        <v>46125</v>
      </c>
      <c r="B3906" t="s">
        <v>60</v>
      </c>
      <c r="C3906" s="1" t="s">
        <v>23</v>
      </c>
      <c r="D3906" s="3">
        <v>28</v>
      </c>
      <c r="E3906" s="3">
        <v>28</v>
      </c>
      <c r="F3906" s="3">
        <v>18.3</v>
      </c>
      <c r="G3906" s="3">
        <v>0</v>
      </c>
      <c r="H3906" s="3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 s="3">
        <v>24</v>
      </c>
      <c r="N3906" s="3">
        <v>96.3</v>
      </c>
      <c r="O3906" s="12">
        <v>32.219570405727922</v>
      </c>
    </row>
    <row r="3907" spans="1:15" hidden="1" x14ac:dyDescent="0.25">
      <c r="A3907" s="10">
        <v>46125</v>
      </c>
      <c r="B3907" t="s">
        <v>34</v>
      </c>
      <c r="C3907" s="1" t="s">
        <v>32</v>
      </c>
      <c r="D3907" s="3">
        <v>30</v>
      </c>
      <c r="E3907" s="3">
        <v>28</v>
      </c>
      <c r="F3907" s="3">
        <v>13.2</v>
      </c>
      <c r="G3907" s="3">
        <v>0</v>
      </c>
      <c r="H3907" s="3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 s="3">
        <v>29</v>
      </c>
      <c r="N3907" s="3">
        <v>93.75</v>
      </c>
      <c r="O3907" s="12">
        <v>26.819923371647509</v>
      </c>
    </row>
    <row r="3908" spans="1:15" hidden="1" x14ac:dyDescent="0.25">
      <c r="A3908" s="10">
        <v>46125</v>
      </c>
      <c r="B3908" t="s">
        <v>51</v>
      </c>
      <c r="C3908" s="1" t="s">
        <v>48</v>
      </c>
      <c r="D3908" s="3">
        <v>22</v>
      </c>
      <c r="E3908" s="3">
        <v>15</v>
      </c>
      <c r="F3908" s="3">
        <v>15.01</v>
      </c>
      <c r="G3908" s="3">
        <v>0</v>
      </c>
      <c r="H3908" s="3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 s="3">
        <v>17</v>
      </c>
      <c r="N3908" s="3">
        <v>97.86</v>
      </c>
      <c r="O3908" s="12">
        <v>31.018518518518519</v>
      </c>
    </row>
    <row r="3909" spans="1:15" hidden="1" x14ac:dyDescent="0.25">
      <c r="A3909" s="10">
        <v>46125</v>
      </c>
      <c r="B3909" t="s">
        <v>61</v>
      </c>
      <c r="C3909" s="1" t="s">
        <v>23</v>
      </c>
      <c r="D3909" s="3">
        <v>7</v>
      </c>
      <c r="E3909" s="3">
        <v>7</v>
      </c>
      <c r="F3909" s="3">
        <v>15.2</v>
      </c>
      <c r="G3909" s="3">
        <v>0</v>
      </c>
      <c r="H3909" s="3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 s="3">
        <v>9</v>
      </c>
      <c r="N3909" s="3">
        <v>100</v>
      </c>
      <c r="O3909" s="12">
        <v>36.594202898550733</v>
      </c>
    </row>
    <row r="3910" spans="1:15" hidden="1" x14ac:dyDescent="0.25">
      <c r="A3910" s="10">
        <v>46125</v>
      </c>
      <c r="B3910" t="s">
        <v>35</v>
      </c>
      <c r="C3910" s="1" t="s">
        <v>32</v>
      </c>
      <c r="D3910" s="3">
        <v>25</v>
      </c>
      <c r="E3910" s="3">
        <v>23</v>
      </c>
      <c r="F3910" s="3">
        <v>20.399999999999999</v>
      </c>
      <c r="G3910" s="3">
        <v>0</v>
      </c>
      <c r="H3910" s="3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 s="3">
        <v>24</v>
      </c>
      <c r="N3910" s="3">
        <v>100</v>
      </c>
      <c r="O3910" s="12">
        <v>38.653846153846153</v>
      </c>
    </row>
    <row r="3911" spans="1:15" hidden="1" x14ac:dyDescent="0.25">
      <c r="A3911" s="10">
        <v>46125</v>
      </c>
      <c r="B3911" t="s">
        <v>18</v>
      </c>
      <c r="C3911" s="1" t="s">
        <v>16</v>
      </c>
      <c r="D3911" s="3">
        <v>5</v>
      </c>
      <c r="E3911" s="3">
        <v>4</v>
      </c>
      <c r="F3911" s="3">
        <v>35.18</v>
      </c>
      <c r="G3911" s="3">
        <v>0</v>
      </c>
      <c r="H3911" s="3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 s="3">
        <v>3</v>
      </c>
      <c r="N3911" s="3">
        <v>100</v>
      </c>
      <c r="O3911" s="12">
        <v>27.368421052631579</v>
      </c>
    </row>
    <row r="3912" spans="1:15" hidden="1" x14ac:dyDescent="0.25">
      <c r="A3912" s="10">
        <v>46125</v>
      </c>
      <c r="B3912" t="s">
        <v>52</v>
      </c>
      <c r="C3912" s="1" t="s">
        <v>48</v>
      </c>
      <c r="D3912" s="3">
        <v>27</v>
      </c>
      <c r="E3912" s="3">
        <v>26</v>
      </c>
      <c r="F3912" s="3">
        <v>15.35</v>
      </c>
      <c r="G3912" s="3">
        <v>0</v>
      </c>
      <c r="H3912" s="3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 s="3">
        <v>23</v>
      </c>
      <c r="N3912" s="3">
        <v>97.83</v>
      </c>
      <c r="O3912" s="12">
        <v>28.35164835164835</v>
      </c>
    </row>
    <row r="3913" spans="1:15" hidden="1" x14ac:dyDescent="0.25">
      <c r="A3913" s="10">
        <v>46125</v>
      </c>
      <c r="B3913" t="s">
        <v>36</v>
      </c>
      <c r="C3913" s="1" t="s">
        <v>32</v>
      </c>
      <c r="D3913" s="3">
        <v>28</v>
      </c>
      <c r="E3913" s="3">
        <v>28</v>
      </c>
      <c r="F3913" s="3">
        <v>14</v>
      </c>
      <c r="G3913" s="3">
        <v>0</v>
      </c>
      <c r="H3913" s="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 s="3">
        <v>29</v>
      </c>
      <c r="N3913" s="3">
        <v>99.26</v>
      </c>
      <c r="O3913" s="12">
        <v>29.766536964980549</v>
      </c>
    </row>
    <row r="3914" spans="1:15" hidden="1" x14ac:dyDescent="0.25">
      <c r="A3914" s="10">
        <v>46125</v>
      </c>
      <c r="B3914" t="s">
        <v>53</v>
      </c>
      <c r="C3914" s="1" t="s">
        <v>48</v>
      </c>
      <c r="D3914" s="3">
        <v>21</v>
      </c>
      <c r="E3914" s="3">
        <v>18</v>
      </c>
      <c r="F3914" s="3">
        <v>15.43</v>
      </c>
      <c r="G3914" s="3">
        <v>0</v>
      </c>
      <c r="H3914" s="3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 s="3">
        <v>15</v>
      </c>
      <c r="N3914" s="3">
        <v>99.19</v>
      </c>
      <c r="O3914" s="12">
        <v>29.462365591397852</v>
      </c>
    </row>
    <row r="3915" spans="1:15" hidden="1" x14ac:dyDescent="0.25">
      <c r="A3915" s="7">
        <v>46161</v>
      </c>
      <c r="B3915" s="8" t="s">
        <v>60</v>
      </c>
      <c r="C3915" s="1" t="s">
        <v>23</v>
      </c>
      <c r="D3915" s="3">
        <v>26</v>
      </c>
      <c r="E3915" s="3">
        <v>25</v>
      </c>
      <c r="F3915" s="3">
        <v>15.02</v>
      </c>
      <c r="G3915" s="3">
        <v>1</v>
      </c>
      <c r="H3915" s="3">
        <v>0</v>
      </c>
      <c r="I3915" s="3">
        <f>E3915+G3915+H3915</f>
        <v>26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19</v>
      </c>
      <c r="K3915" s="3">
        <f>I3915-J3915</f>
        <v>7</v>
      </c>
      <c r="L3915" s="3" t="str">
        <f>IF(K3915&lt;-5,"CRÍTICO",IF(K3915&lt;0,"ATENÇÃO",IF(K3915&lt;=5,"OPORTUNO","MUITO BOM")))</f>
        <v>MUITO BOM</v>
      </c>
      <c r="M3915" s="3">
        <v>19</v>
      </c>
      <c r="N3915" s="3">
        <v>97.48</v>
      </c>
      <c r="O3915" s="12">
        <v>22.99465240641711</v>
      </c>
    </row>
    <row r="3916" spans="1:15" hidden="1" x14ac:dyDescent="0.25">
      <c r="A3916" s="10">
        <v>46125</v>
      </c>
      <c r="B3916" t="s">
        <v>54</v>
      </c>
      <c r="C3916" s="1" t="s">
        <v>48</v>
      </c>
      <c r="D3916" s="3">
        <v>0</v>
      </c>
      <c r="E3916" s="3">
        <v>0</v>
      </c>
      <c r="F3916" s="3">
        <v>0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 s="3">
        <v>0</v>
      </c>
      <c r="N3916" s="3">
        <v>100</v>
      </c>
      <c r="O3916" s="12">
        <v>28.921568627450981</v>
      </c>
    </row>
    <row r="3917" spans="1:15" hidden="1" x14ac:dyDescent="0.25">
      <c r="A3917" s="10">
        <v>46125</v>
      </c>
      <c r="B3917" t="s">
        <v>37</v>
      </c>
      <c r="C3917" s="1" t="s">
        <v>32</v>
      </c>
      <c r="D3917" s="3">
        <v>39</v>
      </c>
      <c r="E3917" s="3">
        <v>35</v>
      </c>
      <c r="F3917" s="3">
        <v>12.12</v>
      </c>
      <c r="G3917" s="3">
        <v>0</v>
      </c>
      <c r="H3917" s="3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 s="3">
        <v>37</v>
      </c>
      <c r="N3917" s="3">
        <v>99.57</v>
      </c>
      <c r="O3917" s="12">
        <v>30.635838150289018</v>
      </c>
    </row>
    <row r="3918" spans="1:15" hidden="1" x14ac:dyDescent="0.25">
      <c r="A3918" s="10">
        <v>46125</v>
      </c>
      <c r="B3918" t="s">
        <v>38</v>
      </c>
      <c r="C3918" s="1" t="s">
        <v>32</v>
      </c>
      <c r="D3918" s="3">
        <v>0</v>
      </c>
      <c r="E3918" s="3">
        <v>0</v>
      </c>
      <c r="F3918" s="3">
        <v>0</v>
      </c>
      <c r="G3918" s="3">
        <v>0</v>
      </c>
      <c r="H3918" s="3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 s="3">
        <v>0</v>
      </c>
      <c r="N3918" s="3">
        <v>95.65</v>
      </c>
      <c r="O3918" s="12">
        <v>32.432432432432442</v>
      </c>
    </row>
    <row r="3919" spans="1:15" hidden="1" x14ac:dyDescent="0.25">
      <c r="A3919" s="10">
        <v>46125</v>
      </c>
      <c r="B3919" t="s">
        <v>55</v>
      </c>
      <c r="C3919" s="1" t="s">
        <v>48</v>
      </c>
      <c r="D3919" s="3">
        <v>24</v>
      </c>
      <c r="E3919" s="3">
        <v>22</v>
      </c>
      <c r="F3919" s="3">
        <v>19.13</v>
      </c>
      <c r="G3919" s="3">
        <v>0</v>
      </c>
      <c r="H3919" s="3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 s="3">
        <v>18</v>
      </c>
      <c r="N3919" s="3">
        <v>98.81</v>
      </c>
      <c r="O3919" s="12">
        <v>26.256983240223459</v>
      </c>
    </row>
    <row r="3920" spans="1:15" hidden="1" x14ac:dyDescent="0.25">
      <c r="A3920" s="10">
        <v>46125</v>
      </c>
      <c r="B3920" t="s">
        <v>39</v>
      </c>
      <c r="C3920" s="1" t="s">
        <v>32</v>
      </c>
      <c r="D3920" s="3">
        <v>0</v>
      </c>
      <c r="E3920" s="3">
        <v>0</v>
      </c>
      <c r="F3920" s="3">
        <v>0</v>
      </c>
      <c r="G3920" s="3">
        <v>0</v>
      </c>
      <c r="H3920" s="3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 s="3">
        <v>0</v>
      </c>
      <c r="N3920" s="3">
        <v>0</v>
      </c>
      <c r="O3920" s="12">
        <v>0</v>
      </c>
    </row>
    <row r="3921" spans="1:15" hidden="1" x14ac:dyDescent="0.25">
      <c r="A3921" s="10">
        <v>46125</v>
      </c>
      <c r="B3921" t="s">
        <v>25</v>
      </c>
      <c r="C3921" s="1" t="s">
        <v>26</v>
      </c>
      <c r="D3921" s="3">
        <v>22</v>
      </c>
      <c r="E3921" s="3">
        <v>21</v>
      </c>
      <c r="F3921" s="3">
        <v>19.02</v>
      </c>
      <c r="G3921" s="3">
        <v>0</v>
      </c>
      <c r="H3921" s="3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 s="3">
        <v>24</v>
      </c>
      <c r="N3921" s="3">
        <v>97.17</v>
      </c>
      <c r="O3921" s="12">
        <v>28.81844380403458</v>
      </c>
    </row>
    <row r="3922" spans="1:15" hidden="1" x14ac:dyDescent="0.25">
      <c r="A3922" s="10">
        <v>46125</v>
      </c>
      <c r="B3922" t="s">
        <v>40</v>
      </c>
      <c r="C3922" s="1" t="s">
        <v>32</v>
      </c>
      <c r="D3922" s="3">
        <v>15</v>
      </c>
      <c r="E3922" s="3">
        <v>15</v>
      </c>
      <c r="F3922" s="3">
        <v>25.06</v>
      </c>
      <c r="G3922" s="3">
        <v>0</v>
      </c>
      <c r="H3922" s="3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 s="3">
        <v>18</v>
      </c>
      <c r="N3922" s="3">
        <v>96.81</v>
      </c>
      <c r="O3922" s="12">
        <v>48.018648018648022</v>
      </c>
    </row>
    <row r="3923" spans="1:15" hidden="1" x14ac:dyDescent="0.25">
      <c r="A3923" s="10">
        <v>46125</v>
      </c>
      <c r="B3923" t="s">
        <v>27</v>
      </c>
      <c r="C3923" s="1" t="s">
        <v>26</v>
      </c>
      <c r="D3923" s="3">
        <v>19</v>
      </c>
      <c r="E3923" s="3">
        <v>17</v>
      </c>
      <c r="F3923" s="3">
        <v>20.57</v>
      </c>
      <c r="G3923" s="3">
        <v>0</v>
      </c>
      <c r="H3923" s="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 s="3">
        <v>14</v>
      </c>
      <c r="N3923" s="3">
        <v>98.15</v>
      </c>
      <c r="O3923" s="12">
        <v>27.1551724137931</v>
      </c>
    </row>
    <row r="3924" spans="1:15" hidden="1" x14ac:dyDescent="0.25">
      <c r="A3924" s="10">
        <v>46125</v>
      </c>
      <c r="B3924" t="s">
        <v>41</v>
      </c>
      <c r="C3924" s="1" t="s">
        <v>32</v>
      </c>
      <c r="D3924" s="3">
        <v>22</v>
      </c>
      <c r="E3924" s="3">
        <v>21</v>
      </c>
      <c r="F3924" s="3">
        <v>25.24</v>
      </c>
      <c r="G3924" s="3">
        <v>0</v>
      </c>
      <c r="H3924" s="3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 s="3">
        <v>17</v>
      </c>
      <c r="N3924" s="3">
        <v>99.15</v>
      </c>
      <c r="O3924" s="12">
        <v>27.586206896551719</v>
      </c>
    </row>
    <row r="3925" spans="1:15" hidden="1" x14ac:dyDescent="0.25">
      <c r="A3925" s="10">
        <v>46125</v>
      </c>
      <c r="B3925" t="s">
        <v>56</v>
      </c>
      <c r="C3925" s="1" t="s">
        <v>48</v>
      </c>
      <c r="D3925" s="3">
        <v>28</v>
      </c>
      <c r="E3925" s="3">
        <v>22</v>
      </c>
      <c r="F3925" s="3">
        <v>20.38</v>
      </c>
      <c r="G3925" s="3">
        <v>0</v>
      </c>
      <c r="H3925" s="3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 s="3">
        <v>17</v>
      </c>
      <c r="N3925" s="3">
        <v>99.17</v>
      </c>
      <c r="O3925" s="12">
        <v>29.75206611570248</v>
      </c>
    </row>
    <row r="3926" spans="1:15" hidden="1" x14ac:dyDescent="0.25">
      <c r="A3926" s="10">
        <v>46125</v>
      </c>
      <c r="B3926" t="s">
        <v>57</v>
      </c>
      <c r="C3926" s="1" t="s">
        <v>48</v>
      </c>
      <c r="D3926" s="3">
        <v>0</v>
      </c>
      <c r="E3926" s="3">
        <v>0</v>
      </c>
      <c r="F3926" s="3">
        <v>0</v>
      </c>
      <c r="G3926" s="3">
        <v>0</v>
      </c>
      <c r="H3926" s="3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 s="3">
        <v>0</v>
      </c>
      <c r="N3926" s="3">
        <v>98.73</v>
      </c>
      <c r="O3926" s="12">
        <v>28.961748633879779</v>
      </c>
    </row>
    <row r="3927" spans="1:15" hidden="1" x14ac:dyDescent="0.25">
      <c r="A3927" s="10">
        <v>46125</v>
      </c>
      <c r="B3927" t="s">
        <v>42</v>
      </c>
      <c r="C3927" s="1" t="s">
        <v>32</v>
      </c>
      <c r="D3927" s="3">
        <v>44</v>
      </c>
      <c r="E3927" s="3">
        <v>31</v>
      </c>
      <c r="F3927" s="3">
        <v>10.220000000000001</v>
      </c>
      <c r="G3927" s="3">
        <v>0</v>
      </c>
      <c r="H3927" s="3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 s="3">
        <v>25</v>
      </c>
      <c r="N3927" s="3">
        <v>88.68</v>
      </c>
      <c r="O3927" s="12">
        <v>22.03389830508474</v>
      </c>
    </row>
    <row r="3928" spans="1:15" hidden="1" x14ac:dyDescent="0.25">
      <c r="A3928" s="10">
        <v>46125</v>
      </c>
      <c r="B3928" t="s">
        <v>62</v>
      </c>
      <c r="C3928" s="1" t="s">
        <v>23</v>
      </c>
      <c r="D3928" s="3">
        <v>26</v>
      </c>
      <c r="E3928" s="3">
        <v>25</v>
      </c>
      <c r="F3928" s="3">
        <v>15.12</v>
      </c>
      <c r="G3928" s="3">
        <v>0</v>
      </c>
      <c r="H3928" s="3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 s="3">
        <v>24</v>
      </c>
      <c r="N3928" s="3">
        <v>97.37</v>
      </c>
      <c r="O3928" s="12">
        <v>25.76530612244898</v>
      </c>
    </row>
    <row r="3929" spans="1:15" hidden="1" x14ac:dyDescent="0.25">
      <c r="A3929" s="10">
        <v>46125</v>
      </c>
      <c r="B3929" t="s">
        <v>19</v>
      </c>
      <c r="C3929" s="1" t="s">
        <v>16</v>
      </c>
      <c r="D3929" s="3">
        <v>0</v>
      </c>
      <c r="E3929" s="3">
        <v>0</v>
      </c>
      <c r="F3929" s="3">
        <v>0</v>
      </c>
      <c r="G3929" s="3">
        <v>0</v>
      </c>
      <c r="H3929" s="3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 s="3">
        <v>0</v>
      </c>
      <c r="N3929" s="3">
        <v>100</v>
      </c>
      <c r="O3929" s="12">
        <v>25</v>
      </c>
    </row>
    <row r="3930" spans="1:15" hidden="1" x14ac:dyDescent="0.25">
      <c r="A3930" s="7">
        <v>46161</v>
      </c>
      <c r="B3930" s="8" t="s">
        <v>61</v>
      </c>
      <c r="C3930" s="1" t="s">
        <v>23</v>
      </c>
      <c r="D3930" s="3">
        <v>21</v>
      </c>
      <c r="E3930" s="3">
        <v>20</v>
      </c>
      <c r="F3930" s="3">
        <v>12.3</v>
      </c>
      <c r="G3930" s="3">
        <v>1</v>
      </c>
      <c r="H3930" s="3">
        <v>0</v>
      </c>
      <c r="I3930" s="3">
        <f>E3930+G3930+H3930</f>
        <v>21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19</v>
      </c>
      <c r="K3930" s="3">
        <f>I3930-J3930</f>
        <v>2</v>
      </c>
      <c r="L3930" s="3" t="str">
        <f>IF(K3930&lt;-5,"CRÍTICO",IF(K3930&lt;0,"ATENÇÃO",IF(K3930&lt;=5,"OPORTUNO","MUITO BOM")))</f>
        <v>OPORTUNO</v>
      </c>
      <c r="M3930" s="3">
        <v>15</v>
      </c>
      <c r="N3930" s="3">
        <v>100</v>
      </c>
      <c r="O3930" s="12">
        <v>20.788530465949819</v>
      </c>
    </row>
    <row r="3931" spans="1:15" hidden="1" x14ac:dyDescent="0.25">
      <c r="A3931" s="10">
        <v>46125</v>
      </c>
      <c r="B3931" t="s">
        <v>44</v>
      </c>
      <c r="C3931" s="1" t="s">
        <v>32</v>
      </c>
      <c r="D3931" s="3">
        <v>34</v>
      </c>
      <c r="E3931" s="3">
        <v>29</v>
      </c>
      <c r="F3931" s="3">
        <v>11.43</v>
      </c>
      <c r="G3931" s="3">
        <v>0</v>
      </c>
      <c r="H3931" s="3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 s="3">
        <v>29</v>
      </c>
      <c r="N3931" s="3">
        <v>95.49</v>
      </c>
      <c r="O3931" s="12">
        <v>28.370221327967808</v>
      </c>
    </row>
    <row r="3932" spans="1:15" hidden="1" x14ac:dyDescent="0.25">
      <c r="A3932" s="7">
        <v>46161</v>
      </c>
      <c r="B3932" s="8" t="s">
        <v>62</v>
      </c>
      <c r="C3932" s="1" t="s">
        <v>23</v>
      </c>
      <c r="D3932" s="3">
        <v>18</v>
      </c>
      <c r="E3932" s="3">
        <v>17</v>
      </c>
      <c r="F3932" s="3">
        <v>25.09</v>
      </c>
      <c r="G3932" s="3">
        <v>2</v>
      </c>
      <c r="H3932" s="3">
        <v>0</v>
      </c>
      <c r="I3932" s="3">
        <f>E3932+G3932+H3932</f>
        <v>19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19</v>
      </c>
      <c r="K3932" s="3">
        <f>I3932-J3932</f>
        <v>0</v>
      </c>
      <c r="L3932" s="3" t="str">
        <f>IF(K3932&lt;-5,"CRÍTICO",IF(K3932&lt;0,"ATENÇÃO",IF(K3932&lt;=5,"OPORTUNO","MUITO BOM")))</f>
        <v>OPORTUNO</v>
      </c>
      <c r="M3932" s="3">
        <v>18</v>
      </c>
      <c r="N3932" s="3">
        <v>94.55</v>
      </c>
      <c r="O3932" s="12">
        <v>23.450134770889491</v>
      </c>
    </row>
    <row r="3933" spans="1:15" hidden="1" x14ac:dyDescent="0.25">
      <c r="A3933" s="10">
        <v>46125</v>
      </c>
      <c r="B3933" t="s">
        <v>28</v>
      </c>
      <c r="C3933" s="1" t="s">
        <v>26</v>
      </c>
      <c r="D3933" s="3">
        <v>25</v>
      </c>
      <c r="E3933" s="3">
        <v>22</v>
      </c>
      <c r="F3933" s="3">
        <v>22.22</v>
      </c>
      <c r="G3933" s="3">
        <v>0</v>
      </c>
      <c r="H3933" s="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 s="3">
        <v>17</v>
      </c>
      <c r="N3933" s="3">
        <v>96.15</v>
      </c>
      <c r="O3933" s="12">
        <v>24.045801526717561</v>
      </c>
    </row>
    <row r="3934" spans="1:15" hidden="1" x14ac:dyDescent="0.25">
      <c r="A3934" s="10">
        <v>46125</v>
      </c>
      <c r="B3934" t="s">
        <v>58</v>
      </c>
      <c r="C3934" s="1" t="s">
        <v>48</v>
      </c>
      <c r="D3934" s="3">
        <v>20</v>
      </c>
      <c r="E3934" s="3">
        <v>19</v>
      </c>
      <c r="F3934" s="3">
        <v>15.27</v>
      </c>
      <c r="G3934" s="3">
        <v>0</v>
      </c>
      <c r="H3934" s="3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 s="3">
        <v>20</v>
      </c>
      <c r="N3934" s="3">
        <v>99.02</v>
      </c>
      <c r="O3934" s="12">
        <v>34.797297297297298</v>
      </c>
    </row>
    <row r="3935" spans="1:15" hidden="1" x14ac:dyDescent="0.25">
      <c r="A3935" s="10">
        <v>46125</v>
      </c>
      <c r="B3935" t="s">
        <v>29</v>
      </c>
      <c r="C3935" s="1" t="s">
        <v>26</v>
      </c>
      <c r="D3935" s="3">
        <v>18</v>
      </c>
      <c r="E3935" s="3">
        <v>17</v>
      </c>
      <c r="F3935" s="3">
        <v>17.03</v>
      </c>
      <c r="G3935" s="3">
        <v>0</v>
      </c>
      <c r="H3935" s="3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 s="3">
        <v>13</v>
      </c>
      <c r="N3935" s="3">
        <v>98.84</v>
      </c>
      <c r="O3935" s="12">
        <v>31.868131868131869</v>
      </c>
    </row>
    <row r="3936" spans="1:15" hidden="1" x14ac:dyDescent="0.25">
      <c r="A3936" s="10">
        <v>46125</v>
      </c>
      <c r="B3936" t="s">
        <v>30</v>
      </c>
      <c r="C3936" s="1" t="s">
        <v>26</v>
      </c>
      <c r="D3936" s="3">
        <v>23</v>
      </c>
      <c r="E3936" s="3">
        <v>22</v>
      </c>
      <c r="F3936" s="3">
        <v>15.45</v>
      </c>
      <c r="G3936" s="3">
        <v>0</v>
      </c>
      <c r="H3936" s="3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 s="3">
        <v>18</v>
      </c>
      <c r="N3936" s="3">
        <v>100</v>
      </c>
      <c r="O3936" s="12">
        <v>34.666666666666671</v>
      </c>
    </row>
    <row r="3937" spans="1:15" hidden="1" x14ac:dyDescent="0.25">
      <c r="A3937" s="7">
        <v>46161</v>
      </c>
      <c r="B3937" s="8" t="s">
        <v>63</v>
      </c>
      <c r="C3937" s="1" t="s">
        <v>23</v>
      </c>
      <c r="D3937" s="3">
        <v>35</v>
      </c>
      <c r="E3937" s="3">
        <v>31</v>
      </c>
      <c r="F3937" s="3">
        <v>13.24</v>
      </c>
      <c r="G3937" s="3">
        <v>2</v>
      </c>
      <c r="H3937" s="3">
        <v>0</v>
      </c>
      <c r="I3937" s="3">
        <f>E3937+G3937+H3937</f>
        <v>33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19</v>
      </c>
      <c r="K3937" s="3">
        <f>I3937-J3937</f>
        <v>14</v>
      </c>
      <c r="L3937" s="3" t="str">
        <f>IF(K3937&lt;-5,"CRÍTICO",IF(K3937&lt;0,"ATENÇÃO",IF(K3937&lt;=5,"OPORTUNO","MUITO BOM")))</f>
        <v>MUITO BOM</v>
      </c>
      <c r="M3937" s="3">
        <v>26</v>
      </c>
      <c r="N3937" s="3">
        <v>98</v>
      </c>
      <c r="O3937" s="12">
        <v>20.73490813648294</v>
      </c>
    </row>
    <row r="3938" spans="1:15" hidden="1" x14ac:dyDescent="0.25">
      <c r="A3938" s="10">
        <v>46125</v>
      </c>
      <c r="B3938" t="s">
        <v>63</v>
      </c>
      <c r="C3938" s="1" t="s">
        <v>23</v>
      </c>
      <c r="D3938" s="3">
        <v>22</v>
      </c>
      <c r="E3938" s="3">
        <v>20</v>
      </c>
      <c r="F3938" s="3">
        <v>12.14</v>
      </c>
      <c r="G3938" s="3">
        <v>0</v>
      </c>
      <c r="H3938" s="3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 s="3">
        <v>18</v>
      </c>
      <c r="N3938" s="3">
        <v>98.32</v>
      </c>
      <c r="O3938" s="12">
        <v>26.858513189448441</v>
      </c>
    </row>
    <row r="3939" spans="1:15" hidden="1" x14ac:dyDescent="0.25">
      <c r="A3939" s="10">
        <v>46125</v>
      </c>
      <c r="B3939" t="s">
        <v>45</v>
      </c>
      <c r="C3939" s="1" t="s">
        <v>32</v>
      </c>
      <c r="D3939" s="3">
        <v>28</v>
      </c>
      <c r="E3939" s="3">
        <v>25</v>
      </c>
      <c r="F3939" s="3">
        <v>17.16</v>
      </c>
      <c r="G3939" s="3">
        <v>0</v>
      </c>
      <c r="H3939" s="3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 s="3">
        <v>16</v>
      </c>
      <c r="N3939" s="3">
        <v>100</v>
      </c>
      <c r="O3939" s="12">
        <v>31.135531135531139</v>
      </c>
    </row>
    <row r="3940" spans="1:15" hidden="1" x14ac:dyDescent="0.25">
      <c r="A3940" s="10">
        <v>46125</v>
      </c>
      <c r="B3940" t="s">
        <v>64</v>
      </c>
      <c r="C3940" s="1" t="s">
        <v>23</v>
      </c>
      <c r="D3940" s="3">
        <v>13</v>
      </c>
      <c r="E3940" s="3">
        <v>13</v>
      </c>
      <c r="F3940" s="3">
        <v>38.44</v>
      </c>
      <c r="G3940" s="3">
        <v>0</v>
      </c>
      <c r="H3940" s="3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 s="3">
        <v>12</v>
      </c>
      <c r="N3940" s="3">
        <v>100</v>
      </c>
      <c r="O3940" s="12">
        <v>26.36986301369863</v>
      </c>
    </row>
    <row r="3941" spans="1:15" hidden="1" x14ac:dyDescent="0.25">
      <c r="A3941" s="10">
        <v>46125</v>
      </c>
      <c r="B3941" t="s">
        <v>46</v>
      </c>
      <c r="C3941" s="1" t="s">
        <v>32</v>
      </c>
      <c r="D3941" s="3">
        <v>20</v>
      </c>
      <c r="E3941" s="3">
        <v>20</v>
      </c>
      <c r="F3941" s="3">
        <v>23.5</v>
      </c>
      <c r="G3941" s="3">
        <v>0</v>
      </c>
      <c r="H3941" s="3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 s="3">
        <v>18</v>
      </c>
      <c r="N3941" s="3">
        <v>99.21</v>
      </c>
      <c r="O3941" s="12">
        <v>25.188916876574311</v>
      </c>
    </row>
    <row r="3942" spans="1:15" hidden="1" x14ac:dyDescent="0.25">
      <c r="A3942" s="10">
        <v>46126</v>
      </c>
      <c r="B3942" t="s">
        <v>47</v>
      </c>
      <c r="C3942" s="1" t="s">
        <v>48</v>
      </c>
      <c r="D3942" s="3">
        <v>17</v>
      </c>
      <c r="E3942" s="3">
        <v>12</v>
      </c>
      <c r="F3942" s="3">
        <v>14.1</v>
      </c>
      <c r="G3942" s="3">
        <v>0</v>
      </c>
      <c r="H3942" s="3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 s="3">
        <v>8</v>
      </c>
      <c r="N3942" s="3">
        <v>100</v>
      </c>
      <c r="O3942" s="12">
        <v>32.764505119453922</v>
      </c>
    </row>
    <row r="3943" spans="1:15" hidden="1" x14ac:dyDescent="0.25">
      <c r="A3943" s="10">
        <v>46126</v>
      </c>
      <c r="B3943" t="s">
        <v>31</v>
      </c>
      <c r="C3943" s="1" t="s">
        <v>32</v>
      </c>
      <c r="D3943" s="3">
        <v>0</v>
      </c>
      <c r="E3943" s="3">
        <v>0</v>
      </c>
      <c r="F3943" s="3">
        <v>0</v>
      </c>
      <c r="G3943" s="3">
        <v>0</v>
      </c>
      <c r="H3943" s="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 s="3">
        <v>19</v>
      </c>
      <c r="N3943" s="3">
        <v>98.66</v>
      </c>
      <c r="O3943" s="12">
        <v>35.416666666666671</v>
      </c>
    </row>
    <row r="3944" spans="1:15" hidden="1" x14ac:dyDescent="0.25">
      <c r="A3944" s="10">
        <v>46126</v>
      </c>
      <c r="B3944" t="s">
        <v>59</v>
      </c>
      <c r="C3944" s="1" t="s">
        <v>23</v>
      </c>
      <c r="D3944" s="3">
        <v>18</v>
      </c>
      <c r="E3944" s="3">
        <v>15</v>
      </c>
      <c r="F3944" s="3">
        <v>20.59</v>
      </c>
      <c r="G3944" s="3">
        <v>0</v>
      </c>
      <c r="H3944" s="3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 s="3">
        <v>19</v>
      </c>
      <c r="N3944" s="3">
        <v>99.32</v>
      </c>
      <c r="O3944" s="12">
        <v>30.648330058939099</v>
      </c>
    </row>
    <row r="3945" spans="1:15" hidden="1" x14ac:dyDescent="0.25">
      <c r="A3945" s="10">
        <v>46126</v>
      </c>
      <c r="B3945" t="s">
        <v>33</v>
      </c>
      <c r="C3945" s="1" t="s">
        <v>32</v>
      </c>
      <c r="D3945" s="3">
        <v>36</v>
      </c>
      <c r="E3945" s="3">
        <v>34</v>
      </c>
      <c r="F3945" s="3">
        <v>17.190000000000001</v>
      </c>
      <c r="G3945" s="3">
        <v>0</v>
      </c>
      <c r="H3945" s="3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 s="3">
        <v>30</v>
      </c>
      <c r="N3945" s="3">
        <v>100</v>
      </c>
      <c r="O3945" s="12">
        <v>27.803738317757009</v>
      </c>
    </row>
    <row r="3946" spans="1:15" hidden="1" x14ac:dyDescent="0.25">
      <c r="A3946" s="10">
        <v>46126</v>
      </c>
      <c r="B3946" t="s">
        <v>15</v>
      </c>
      <c r="C3946" s="1" t="s">
        <v>16</v>
      </c>
      <c r="D3946" s="3">
        <v>34</v>
      </c>
      <c r="E3946" s="3">
        <v>32</v>
      </c>
      <c r="F3946" s="3">
        <v>17.260000000000002</v>
      </c>
      <c r="G3946" s="3">
        <v>0</v>
      </c>
      <c r="H3946" s="3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 s="3">
        <v>30</v>
      </c>
      <c r="N3946" s="3">
        <v>96.74</v>
      </c>
      <c r="O3946" s="12">
        <v>28.67647058823529</v>
      </c>
    </row>
    <row r="3947" spans="1:15" hidden="1" x14ac:dyDescent="0.25">
      <c r="A3947" s="10">
        <v>46126</v>
      </c>
      <c r="B3947" t="s">
        <v>49</v>
      </c>
      <c r="C3947" s="1" t="s">
        <v>48</v>
      </c>
      <c r="D3947" s="3">
        <v>31</v>
      </c>
      <c r="E3947" s="3">
        <v>31</v>
      </c>
      <c r="F3947" s="3">
        <v>13.59</v>
      </c>
      <c r="G3947" s="3">
        <v>0</v>
      </c>
      <c r="H3947" s="3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 s="3">
        <v>35</v>
      </c>
      <c r="N3947" s="3">
        <v>98.82</v>
      </c>
      <c r="O3947" s="12">
        <v>30.741410488245929</v>
      </c>
    </row>
    <row r="3948" spans="1:15" hidden="1" x14ac:dyDescent="0.25">
      <c r="A3948" s="10">
        <v>46126</v>
      </c>
      <c r="B3948" t="s">
        <v>50</v>
      </c>
      <c r="C3948" s="1" t="s">
        <v>48</v>
      </c>
      <c r="D3948" s="3">
        <v>17</v>
      </c>
      <c r="E3948" s="3">
        <v>16</v>
      </c>
      <c r="F3948" s="3">
        <v>30.14</v>
      </c>
      <c r="G3948" s="3">
        <v>0</v>
      </c>
      <c r="H3948" s="3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 s="3">
        <v>17</v>
      </c>
      <c r="N3948" s="3">
        <v>98.2</v>
      </c>
      <c r="O3948" s="12">
        <v>27.170868347338931</v>
      </c>
    </row>
    <row r="3949" spans="1:15" hidden="1" x14ac:dyDescent="0.25">
      <c r="A3949" s="10">
        <v>46126</v>
      </c>
      <c r="B3949" t="s">
        <v>17</v>
      </c>
      <c r="C3949" s="1" t="s">
        <v>16</v>
      </c>
      <c r="D3949" s="3">
        <v>9</v>
      </c>
      <c r="E3949" s="3">
        <v>6</v>
      </c>
      <c r="F3949" s="3">
        <v>30.39</v>
      </c>
      <c r="G3949" s="3">
        <v>0</v>
      </c>
      <c r="H3949" s="3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 s="3">
        <v>5</v>
      </c>
      <c r="N3949" s="3">
        <v>100</v>
      </c>
      <c r="O3949" s="12">
        <v>23.134328358208951</v>
      </c>
    </row>
    <row r="3950" spans="1:15" hidden="1" x14ac:dyDescent="0.25">
      <c r="A3950" s="10">
        <v>46126</v>
      </c>
      <c r="B3950" t="s">
        <v>60</v>
      </c>
      <c r="C3950" s="1" t="s">
        <v>23</v>
      </c>
      <c r="D3950" s="3">
        <v>26</v>
      </c>
      <c r="E3950" s="3">
        <v>25</v>
      </c>
      <c r="F3950" s="3">
        <v>18.5</v>
      </c>
      <c r="G3950" s="3">
        <v>0</v>
      </c>
      <c r="H3950" s="3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 s="3">
        <v>23</v>
      </c>
      <c r="N3950" s="3">
        <v>96.3</v>
      </c>
      <c r="O3950" s="12">
        <v>32.219570405727922</v>
      </c>
    </row>
    <row r="3951" spans="1:15" hidden="1" x14ac:dyDescent="0.25">
      <c r="A3951" s="10">
        <v>46126</v>
      </c>
      <c r="B3951" t="s">
        <v>34</v>
      </c>
      <c r="C3951" s="1" t="s">
        <v>32</v>
      </c>
      <c r="D3951" s="3">
        <v>42</v>
      </c>
      <c r="E3951" s="3">
        <v>38</v>
      </c>
      <c r="F3951" s="3">
        <v>9.14</v>
      </c>
      <c r="G3951" s="3">
        <v>0</v>
      </c>
      <c r="H3951" s="3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 s="3">
        <v>36</v>
      </c>
      <c r="N3951" s="3">
        <v>93.75</v>
      </c>
      <c r="O3951" s="12">
        <v>26.819923371647509</v>
      </c>
    </row>
    <row r="3952" spans="1:15" hidden="1" x14ac:dyDescent="0.25">
      <c r="A3952" s="10">
        <v>46126</v>
      </c>
      <c r="B3952" t="s">
        <v>51</v>
      </c>
      <c r="C3952" s="1" t="s">
        <v>48</v>
      </c>
      <c r="D3952" s="3">
        <v>25</v>
      </c>
      <c r="E3952" s="3">
        <v>22</v>
      </c>
      <c r="F3952" s="3">
        <v>23.3</v>
      </c>
      <c r="G3952" s="3">
        <v>0</v>
      </c>
      <c r="H3952" s="3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 s="3">
        <v>20</v>
      </c>
      <c r="N3952" s="3">
        <v>97.86</v>
      </c>
      <c r="O3952" s="12">
        <v>31.018518518518519</v>
      </c>
    </row>
    <row r="3953" spans="1:15" hidden="1" x14ac:dyDescent="0.25">
      <c r="A3953" s="10">
        <v>46126</v>
      </c>
      <c r="B3953" t="s">
        <v>61</v>
      </c>
      <c r="C3953" s="1" t="s">
        <v>23</v>
      </c>
      <c r="D3953" s="3">
        <v>19</v>
      </c>
      <c r="E3953" s="3">
        <v>17</v>
      </c>
      <c r="F3953" s="3">
        <v>18.440000000000001</v>
      </c>
      <c r="G3953" s="3">
        <v>0</v>
      </c>
      <c r="H3953" s="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 s="3">
        <v>15</v>
      </c>
      <c r="N3953" s="3">
        <v>100</v>
      </c>
      <c r="O3953" s="12">
        <v>36.594202898550733</v>
      </c>
    </row>
    <row r="3954" spans="1:15" hidden="1" x14ac:dyDescent="0.25">
      <c r="A3954" s="10">
        <v>46126</v>
      </c>
      <c r="B3954" t="s">
        <v>35</v>
      </c>
      <c r="C3954" s="1" t="s">
        <v>32</v>
      </c>
      <c r="D3954" s="3">
        <v>23</v>
      </c>
      <c r="E3954" s="3">
        <v>22</v>
      </c>
      <c r="F3954" s="3">
        <v>27.14</v>
      </c>
      <c r="G3954" s="3">
        <v>0</v>
      </c>
      <c r="H3954" s="3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 s="3">
        <v>23</v>
      </c>
      <c r="N3954" s="3">
        <v>100</v>
      </c>
      <c r="O3954" s="12">
        <v>38.653846153846153</v>
      </c>
    </row>
    <row r="3955" spans="1:15" hidden="1" x14ac:dyDescent="0.25">
      <c r="A3955" s="10">
        <v>46126</v>
      </c>
      <c r="B3955" t="s">
        <v>18</v>
      </c>
      <c r="C3955" s="1" t="s">
        <v>16</v>
      </c>
      <c r="D3955" s="3">
        <v>14</v>
      </c>
      <c r="E3955" s="3">
        <v>10</v>
      </c>
      <c r="F3955" s="3">
        <v>20.440000000000001</v>
      </c>
      <c r="G3955" s="3">
        <v>0</v>
      </c>
      <c r="H3955" s="3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 s="3">
        <v>6</v>
      </c>
      <c r="N3955" s="3">
        <v>100</v>
      </c>
      <c r="O3955" s="12">
        <v>27.368421052631579</v>
      </c>
    </row>
    <row r="3956" spans="1:15" hidden="1" x14ac:dyDescent="0.25">
      <c r="A3956" s="10">
        <v>46126</v>
      </c>
      <c r="B3956" t="s">
        <v>52</v>
      </c>
      <c r="C3956" s="1" t="s">
        <v>48</v>
      </c>
      <c r="D3956" s="3">
        <v>19</v>
      </c>
      <c r="E3956" s="3">
        <v>18</v>
      </c>
      <c r="F3956" s="3">
        <v>23.37</v>
      </c>
      <c r="G3956" s="3">
        <v>0</v>
      </c>
      <c r="H3956" s="3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 s="3">
        <v>16</v>
      </c>
      <c r="N3956" s="3">
        <v>97.83</v>
      </c>
      <c r="O3956" s="12">
        <v>28.35164835164835</v>
      </c>
    </row>
    <row r="3957" spans="1:15" hidden="1" x14ac:dyDescent="0.25">
      <c r="A3957" s="10">
        <v>46126</v>
      </c>
      <c r="B3957" t="s">
        <v>36</v>
      </c>
      <c r="C3957" s="1" t="s">
        <v>32</v>
      </c>
      <c r="D3957" s="3">
        <v>32</v>
      </c>
      <c r="E3957" s="3">
        <v>31</v>
      </c>
      <c r="F3957" s="3">
        <v>15.08</v>
      </c>
      <c r="G3957" s="3">
        <v>0</v>
      </c>
      <c r="H3957" s="3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 s="3">
        <v>31</v>
      </c>
      <c r="N3957" s="3">
        <v>99.26</v>
      </c>
      <c r="O3957" s="12">
        <v>29.766536964980549</v>
      </c>
    </row>
    <row r="3958" spans="1:15" hidden="1" x14ac:dyDescent="0.25">
      <c r="A3958" s="10">
        <v>46126</v>
      </c>
      <c r="B3958" t="s">
        <v>53</v>
      </c>
      <c r="C3958" s="1" t="s">
        <v>48</v>
      </c>
      <c r="D3958" s="3">
        <v>34</v>
      </c>
      <c r="E3958" s="3">
        <v>31</v>
      </c>
      <c r="F3958" s="3">
        <v>19.12</v>
      </c>
      <c r="G3958" s="3">
        <v>0</v>
      </c>
      <c r="H3958" s="3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 s="3">
        <v>27</v>
      </c>
      <c r="N3958" s="3">
        <v>99.19</v>
      </c>
      <c r="O3958" s="12">
        <v>29.462365591397852</v>
      </c>
    </row>
    <row r="3959" spans="1:15" hidden="1" x14ac:dyDescent="0.25">
      <c r="A3959" s="7">
        <v>46161</v>
      </c>
      <c r="B3959" s="8" t="s">
        <v>64</v>
      </c>
      <c r="C3959" s="1" t="s">
        <v>23</v>
      </c>
      <c r="D3959" s="3">
        <v>18</v>
      </c>
      <c r="E3959" s="3">
        <v>18</v>
      </c>
      <c r="F3959" s="3">
        <v>25.39</v>
      </c>
      <c r="G3959" s="3">
        <v>0</v>
      </c>
      <c r="H3959" s="3">
        <v>0</v>
      </c>
      <c r="I3959" s="3">
        <f>E3959+G3959+H3959</f>
        <v>18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19</v>
      </c>
      <c r="K3959" s="3">
        <f>I3959-J3959</f>
        <v>-1</v>
      </c>
      <c r="L3959" s="3" t="str">
        <f>IF(K3959&lt;-5,"CRÍTICO",IF(K3959&lt;0,"ATENÇÃO",IF(K3959&lt;=5,"OPORTUNO","MUITO BOM")))</f>
        <v>ATENÇÃO</v>
      </c>
      <c r="M3959" s="3">
        <v>17</v>
      </c>
      <c r="N3959" s="3">
        <v>100</v>
      </c>
      <c r="O3959" s="12">
        <v>18</v>
      </c>
    </row>
    <row r="3960" spans="1:15" hidden="1" x14ac:dyDescent="0.25">
      <c r="A3960" s="10">
        <v>46126</v>
      </c>
      <c r="B3960" t="s">
        <v>54</v>
      </c>
      <c r="C3960" s="1" t="s">
        <v>48</v>
      </c>
      <c r="D3960" s="3">
        <v>0</v>
      </c>
      <c r="E3960" s="3">
        <v>0</v>
      </c>
      <c r="F3960" s="3">
        <v>0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 s="3">
        <v>0</v>
      </c>
      <c r="N3960" s="3">
        <v>100</v>
      </c>
      <c r="O3960" s="12">
        <v>28.921568627450981</v>
      </c>
    </row>
    <row r="3961" spans="1:15" hidden="1" x14ac:dyDescent="0.25">
      <c r="A3961" s="10">
        <v>46126</v>
      </c>
      <c r="B3961" t="s">
        <v>37</v>
      </c>
      <c r="C3961" s="1" t="s">
        <v>32</v>
      </c>
      <c r="D3961" s="3">
        <v>34</v>
      </c>
      <c r="E3961" s="3">
        <v>30</v>
      </c>
      <c r="F3961" s="3">
        <v>17.309999999999999</v>
      </c>
      <c r="G3961" s="3">
        <v>0</v>
      </c>
      <c r="H3961" s="3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 s="3">
        <v>33</v>
      </c>
      <c r="N3961" s="3">
        <v>99.57</v>
      </c>
      <c r="O3961" s="12">
        <v>30.635838150289018</v>
      </c>
    </row>
    <row r="3962" spans="1:15" hidden="1" x14ac:dyDescent="0.25">
      <c r="A3962" s="10">
        <v>46126</v>
      </c>
      <c r="B3962" t="s">
        <v>38</v>
      </c>
      <c r="C3962" s="1" t="s">
        <v>32</v>
      </c>
      <c r="D3962" s="3">
        <v>0</v>
      </c>
      <c r="E3962" s="3">
        <v>0</v>
      </c>
      <c r="F3962" s="3">
        <v>0</v>
      </c>
      <c r="G3962" s="3">
        <v>0</v>
      </c>
      <c r="H3962" s="3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 s="3">
        <v>0</v>
      </c>
      <c r="N3962" s="3">
        <v>95.65</v>
      </c>
      <c r="O3962" s="12">
        <v>32.432432432432442</v>
      </c>
    </row>
    <row r="3963" spans="1:15" hidden="1" x14ac:dyDescent="0.25">
      <c r="A3963" s="10">
        <v>46126</v>
      </c>
      <c r="B3963" t="s">
        <v>55</v>
      </c>
      <c r="C3963" s="1" t="s">
        <v>48</v>
      </c>
      <c r="D3963" s="3">
        <v>19</v>
      </c>
      <c r="E3963" s="3">
        <v>12</v>
      </c>
      <c r="F3963" s="3">
        <v>15.44</v>
      </c>
      <c r="G3963" s="3">
        <v>0</v>
      </c>
      <c r="H3963" s="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 s="3">
        <v>10</v>
      </c>
      <c r="N3963" s="3">
        <v>98.81</v>
      </c>
      <c r="O3963" s="12">
        <v>26.256983240223459</v>
      </c>
    </row>
    <row r="3964" spans="1:15" hidden="1" x14ac:dyDescent="0.25">
      <c r="A3964" s="10">
        <v>46126</v>
      </c>
      <c r="B3964" t="s">
        <v>39</v>
      </c>
      <c r="C3964" s="1" t="s">
        <v>32</v>
      </c>
      <c r="D3964" s="3">
        <v>0</v>
      </c>
      <c r="E3964" s="3">
        <v>0</v>
      </c>
      <c r="F3964" s="3">
        <v>0</v>
      </c>
      <c r="G3964" s="3">
        <v>0</v>
      </c>
      <c r="H3964" s="3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 s="3">
        <v>0</v>
      </c>
      <c r="N3964" s="3">
        <v>0</v>
      </c>
      <c r="O3964" s="12">
        <v>0</v>
      </c>
    </row>
    <row r="3965" spans="1:15" hidden="1" x14ac:dyDescent="0.25">
      <c r="A3965" s="10">
        <v>46126</v>
      </c>
      <c r="B3965" t="s">
        <v>25</v>
      </c>
      <c r="C3965" s="1" t="s">
        <v>26</v>
      </c>
      <c r="D3965" s="3">
        <v>27</v>
      </c>
      <c r="E3965" s="3">
        <v>25</v>
      </c>
      <c r="F3965" s="3">
        <v>20.45</v>
      </c>
      <c r="G3965" s="3">
        <v>0</v>
      </c>
      <c r="H3965" s="3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 s="3">
        <v>21</v>
      </c>
      <c r="N3965" s="3">
        <v>97.17</v>
      </c>
      <c r="O3965" s="12">
        <v>28.81844380403458</v>
      </c>
    </row>
    <row r="3966" spans="1:15" hidden="1" x14ac:dyDescent="0.25">
      <c r="A3966" s="10">
        <v>46126</v>
      </c>
      <c r="B3966" t="s">
        <v>40</v>
      </c>
      <c r="C3966" s="1" t="s">
        <v>32</v>
      </c>
      <c r="D3966" s="3">
        <v>23</v>
      </c>
      <c r="E3966" s="3">
        <v>22</v>
      </c>
      <c r="F3966" s="3">
        <v>18.55</v>
      </c>
      <c r="G3966" s="3">
        <v>0</v>
      </c>
      <c r="H3966" s="3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 s="3">
        <v>23</v>
      </c>
      <c r="N3966" s="3">
        <v>96.81</v>
      </c>
      <c r="O3966" s="12">
        <v>48.018648018648022</v>
      </c>
    </row>
    <row r="3967" spans="1:15" hidden="1" x14ac:dyDescent="0.25">
      <c r="A3967" s="10">
        <v>46126</v>
      </c>
      <c r="B3967" t="s">
        <v>27</v>
      </c>
      <c r="C3967" s="1" t="s">
        <v>26</v>
      </c>
      <c r="D3967" s="3">
        <v>18</v>
      </c>
      <c r="E3967" s="3">
        <v>15</v>
      </c>
      <c r="F3967" s="3">
        <v>17.37</v>
      </c>
      <c r="G3967" s="3">
        <v>0</v>
      </c>
      <c r="H3967" s="3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 s="3">
        <v>10</v>
      </c>
      <c r="N3967" s="3">
        <v>98.15</v>
      </c>
      <c r="O3967" s="12">
        <v>27.1551724137931</v>
      </c>
    </row>
    <row r="3968" spans="1:15" hidden="1" x14ac:dyDescent="0.25">
      <c r="A3968" s="10">
        <v>46126</v>
      </c>
      <c r="B3968" t="s">
        <v>41</v>
      </c>
      <c r="C3968" s="1" t="s">
        <v>32</v>
      </c>
      <c r="D3968" s="3">
        <v>29</v>
      </c>
      <c r="E3968" s="3">
        <v>28</v>
      </c>
      <c r="F3968" s="3">
        <v>17</v>
      </c>
      <c r="G3968" s="3">
        <v>0</v>
      </c>
      <c r="H3968" s="3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 s="3">
        <v>25</v>
      </c>
      <c r="N3968" s="3">
        <v>99.15</v>
      </c>
      <c r="O3968" s="12">
        <v>27.586206896551719</v>
      </c>
    </row>
    <row r="3969" spans="1:15" hidden="1" x14ac:dyDescent="0.25">
      <c r="A3969" s="10">
        <v>46126</v>
      </c>
      <c r="B3969" t="s">
        <v>56</v>
      </c>
      <c r="C3969" s="1" t="s">
        <v>48</v>
      </c>
      <c r="D3969" s="3">
        <v>40</v>
      </c>
      <c r="E3969" s="3">
        <v>30</v>
      </c>
      <c r="F3969" s="3">
        <v>13.23</v>
      </c>
      <c r="G3969" s="3">
        <v>0</v>
      </c>
      <c r="H3969" s="3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 s="3">
        <v>16</v>
      </c>
      <c r="N3969" s="3">
        <v>99.17</v>
      </c>
      <c r="O3969" s="12">
        <v>29.75206611570248</v>
      </c>
    </row>
    <row r="3970" spans="1:15" hidden="1" x14ac:dyDescent="0.25">
      <c r="A3970" s="10">
        <v>46126</v>
      </c>
      <c r="B3970" t="s">
        <v>57</v>
      </c>
      <c r="C3970" s="1" t="s">
        <v>48</v>
      </c>
      <c r="D3970" s="3">
        <v>0</v>
      </c>
      <c r="E3970" s="3">
        <v>0</v>
      </c>
      <c r="F3970" s="3">
        <v>0</v>
      </c>
      <c r="G3970" s="3">
        <v>0</v>
      </c>
      <c r="H3970" s="3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 s="3">
        <v>0</v>
      </c>
      <c r="N3970" s="3">
        <v>98.73</v>
      </c>
      <c r="O3970" s="12">
        <v>28.961748633879779</v>
      </c>
    </row>
    <row r="3971" spans="1:15" hidden="1" x14ac:dyDescent="0.25">
      <c r="A3971" s="10">
        <v>46126</v>
      </c>
      <c r="B3971" t="s">
        <v>42</v>
      </c>
      <c r="C3971" s="1" t="s">
        <v>32</v>
      </c>
      <c r="D3971" s="3">
        <v>36</v>
      </c>
      <c r="E3971" s="3">
        <v>25</v>
      </c>
      <c r="F3971" s="3">
        <v>15.12</v>
      </c>
      <c r="G3971" s="3">
        <v>0</v>
      </c>
      <c r="H3971" s="3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 s="3">
        <v>20</v>
      </c>
      <c r="N3971" s="3">
        <v>88.68</v>
      </c>
      <c r="O3971" s="12">
        <v>22.03389830508474</v>
      </c>
    </row>
    <row r="3972" spans="1:15" hidden="1" x14ac:dyDescent="0.25">
      <c r="A3972" s="10">
        <v>46126</v>
      </c>
      <c r="B3972" t="s">
        <v>62</v>
      </c>
      <c r="C3972" s="1" t="s">
        <v>23</v>
      </c>
      <c r="D3972" s="3">
        <v>24</v>
      </c>
      <c r="E3972" s="3">
        <v>20</v>
      </c>
      <c r="F3972" s="3">
        <v>20.34</v>
      </c>
      <c r="G3972" s="3">
        <v>0</v>
      </c>
      <c r="H3972" s="3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 s="3">
        <v>18</v>
      </c>
      <c r="N3972" s="3">
        <v>97.37</v>
      </c>
      <c r="O3972" s="12">
        <v>25.76530612244898</v>
      </c>
    </row>
    <row r="3973" spans="1:15" hidden="1" x14ac:dyDescent="0.25">
      <c r="A3973" s="10">
        <v>46126</v>
      </c>
      <c r="B3973" t="s">
        <v>19</v>
      </c>
      <c r="C3973" s="1" t="s">
        <v>16</v>
      </c>
      <c r="D3973" s="3">
        <v>11</v>
      </c>
      <c r="E3973" s="3">
        <v>10</v>
      </c>
      <c r="F3973" s="3">
        <v>32.28</v>
      </c>
      <c r="G3973" s="3">
        <v>0</v>
      </c>
      <c r="H3973" s="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 s="3">
        <v>7</v>
      </c>
      <c r="N3973" s="3">
        <v>100</v>
      </c>
      <c r="O3973" s="12">
        <v>25</v>
      </c>
    </row>
    <row r="3974" spans="1:15" hidden="1" x14ac:dyDescent="0.25">
      <c r="A3974" s="7">
        <v>46161</v>
      </c>
      <c r="B3974" s="8" t="s">
        <v>22</v>
      </c>
      <c r="C3974" s="1" t="s">
        <v>23</v>
      </c>
      <c r="D3974" s="3">
        <v>19</v>
      </c>
      <c r="E3974" s="3">
        <v>18</v>
      </c>
      <c r="F3974" s="3">
        <v>21.58</v>
      </c>
      <c r="G3974" s="3">
        <v>3</v>
      </c>
      <c r="H3974" s="3">
        <v>3</v>
      </c>
      <c r="I3974" s="3">
        <f>E3974+G3974+H3974</f>
        <v>24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19</v>
      </c>
      <c r="K3974" s="3">
        <f>I3974-J3974</f>
        <v>5</v>
      </c>
      <c r="L3974" s="3" t="str">
        <f>IF(K3974&lt;-5,"CRÍTICO",IF(K3974&lt;0,"ATENÇÃO",IF(K3974&lt;=5,"OPORTUNO","MUITO BOM")))</f>
        <v>OPORTUNO</v>
      </c>
      <c r="M3974" s="3">
        <v>20</v>
      </c>
      <c r="N3974" s="3">
        <v>99.06</v>
      </c>
      <c r="O3974" s="12">
        <v>19.417475728155338</v>
      </c>
    </row>
    <row r="3975" spans="1:15" hidden="1" x14ac:dyDescent="0.25">
      <c r="A3975" s="10">
        <v>46126</v>
      </c>
      <c r="B3975" t="s">
        <v>44</v>
      </c>
      <c r="C3975" s="1" t="s">
        <v>32</v>
      </c>
      <c r="D3975" s="3">
        <v>39</v>
      </c>
      <c r="E3975" s="3">
        <v>37</v>
      </c>
      <c r="F3975" s="3">
        <v>12.02</v>
      </c>
      <c r="G3975" s="3">
        <v>0</v>
      </c>
      <c r="H3975" s="3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 s="3">
        <v>3</v>
      </c>
      <c r="N3975" s="3">
        <v>95.49</v>
      </c>
      <c r="O3975" s="12">
        <v>28.370221327967808</v>
      </c>
    </row>
    <row r="3976" spans="1:15" hidden="1" x14ac:dyDescent="0.25">
      <c r="A3976" s="7">
        <v>46161</v>
      </c>
      <c r="B3976" s="8" t="s">
        <v>43</v>
      </c>
      <c r="C3976" s="1" t="s">
        <v>32</v>
      </c>
      <c r="D3976" s="3">
        <v>0</v>
      </c>
      <c r="E3976" s="3">
        <v>0</v>
      </c>
      <c r="F3976" s="3">
        <v>0</v>
      </c>
      <c r="G3976" s="3">
        <v>0</v>
      </c>
      <c r="H3976" s="3">
        <v>33</v>
      </c>
      <c r="I3976" s="3">
        <f>E3976+G3976+H3976</f>
        <v>33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29</v>
      </c>
      <c r="K3976" s="3">
        <f>I3976-J3976</f>
        <v>4</v>
      </c>
      <c r="L3976" s="3" t="str">
        <f>IF(K3976&lt;-5,"CRÍTICO",IF(K3976&lt;0,"ATENÇÃO",IF(K3976&lt;=5,"OPORTUNO","MUITO BOM")))</f>
        <v>OPORTUNO</v>
      </c>
      <c r="M3976" s="3">
        <v>14</v>
      </c>
      <c r="N3976" s="3">
        <v>98.39</v>
      </c>
      <c r="O3976" s="12">
        <v>8.7999999999999989</v>
      </c>
    </row>
    <row r="3977" spans="1:15" hidden="1" x14ac:dyDescent="0.25">
      <c r="A3977" s="10">
        <v>46126</v>
      </c>
      <c r="B3977" t="s">
        <v>28</v>
      </c>
      <c r="C3977" s="1" t="s">
        <v>26</v>
      </c>
      <c r="D3977" s="3">
        <v>39</v>
      </c>
      <c r="E3977" s="3">
        <v>35</v>
      </c>
      <c r="F3977" s="3">
        <v>13.33</v>
      </c>
      <c r="G3977" s="3">
        <v>0</v>
      </c>
      <c r="H3977" s="3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 s="3">
        <v>20</v>
      </c>
      <c r="N3977" s="3">
        <v>96.15</v>
      </c>
      <c r="O3977" s="12">
        <v>24.045801526717561</v>
      </c>
    </row>
    <row r="3978" spans="1:15" hidden="1" x14ac:dyDescent="0.25">
      <c r="A3978" s="10">
        <v>46126</v>
      </c>
      <c r="B3978" t="s">
        <v>58</v>
      </c>
      <c r="C3978" s="1" t="s">
        <v>48</v>
      </c>
      <c r="D3978" s="3">
        <v>32</v>
      </c>
      <c r="E3978" s="3">
        <v>30</v>
      </c>
      <c r="F3978" s="3">
        <v>16.52</v>
      </c>
      <c r="G3978" s="3">
        <v>0</v>
      </c>
      <c r="H3978" s="3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 s="3">
        <v>22</v>
      </c>
      <c r="N3978" s="3">
        <v>99.02</v>
      </c>
      <c r="O3978" s="12">
        <v>34.797297297297298</v>
      </c>
    </row>
    <row r="3979" spans="1:15" hidden="1" x14ac:dyDescent="0.25">
      <c r="A3979" s="10">
        <v>46126</v>
      </c>
      <c r="B3979" t="s">
        <v>29</v>
      </c>
      <c r="C3979" s="1" t="s">
        <v>26</v>
      </c>
      <c r="D3979" s="3">
        <v>24</v>
      </c>
      <c r="E3979" s="3">
        <v>24</v>
      </c>
      <c r="F3979" s="3">
        <v>15.58</v>
      </c>
      <c r="G3979" s="3">
        <v>0</v>
      </c>
      <c r="H3979" s="3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 s="3">
        <v>19</v>
      </c>
      <c r="N3979" s="3">
        <v>98.84</v>
      </c>
      <c r="O3979" s="12">
        <v>31.868131868131869</v>
      </c>
    </row>
    <row r="3980" spans="1:15" hidden="1" x14ac:dyDescent="0.25">
      <c r="A3980" s="10">
        <v>46126</v>
      </c>
      <c r="B3980" t="s">
        <v>30</v>
      </c>
      <c r="C3980" s="1" t="s">
        <v>26</v>
      </c>
      <c r="D3980" s="3">
        <v>19</v>
      </c>
      <c r="E3980" s="3">
        <v>19</v>
      </c>
      <c r="F3980" s="3">
        <v>18.559999999999999</v>
      </c>
      <c r="G3980" s="3">
        <v>0</v>
      </c>
      <c r="H3980" s="3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 s="3">
        <v>15</v>
      </c>
      <c r="N3980" s="3">
        <v>100</v>
      </c>
      <c r="O3980" s="12">
        <v>34.666666666666671</v>
      </c>
    </row>
    <row r="3981" spans="1:15" x14ac:dyDescent="0.25">
      <c r="A3981" s="5">
        <v>46156</v>
      </c>
      <c r="B3981" s="6" t="s">
        <v>20</v>
      </c>
      <c r="C3981" s="1" t="s">
        <v>16</v>
      </c>
      <c r="D3981" s="3">
        <v>4</v>
      </c>
      <c r="E3981" s="3">
        <v>4</v>
      </c>
      <c r="F3981" s="3">
        <v>54.06</v>
      </c>
      <c r="G3981" s="3">
        <v>0</v>
      </c>
      <c r="H3981" s="3">
        <v>0</v>
      </c>
      <c r="I3981" s="3">
        <f>E3981+G3981+H3981</f>
        <v>4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8</v>
      </c>
      <c r="K3981" s="3">
        <f>I3981-J3981</f>
        <v>-4</v>
      </c>
      <c r="L3981" s="3" t="str">
        <f>IF(K3981&lt;-5,"CRÍTICO",IF(K3981&lt;0,"ATENÇÃO",IF(K3981&lt;=5,"OPORTUNO","MUITO BOM")))</f>
        <v>ATENÇÃO</v>
      </c>
      <c r="M3981" s="3">
        <v>3</v>
      </c>
      <c r="N3981" s="3">
        <v>100</v>
      </c>
      <c r="O3981" s="12">
        <v>17.1875</v>
      </c>
    </row>
    <row r="3982" spans="1:15" hidden="1" x14ac:dyDescent="0.25">
      <c r="A3982" s="10">
        <v>46126</v>
      </c>
      <c r="B3982" t="s">
        <v>63</v>
      </c>
      <c r="C3982" s="1" t="s">
        <v>23</v>
      </c>
      <c r="D3982" s="3">
        <v>30</v>
      </c>
      <c r="E3982" s="3">
        <v>29</v>
      </c>
      <c r="F3982" s="3">
        <v>15.13</v>
      </c>
      <c r="G3982" s="3">
        <v>0</v>
      </c>
      <c r="H3982" s="3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 s="3">
        <v>26</v>
      </c>
      <c r="N3982" s="3">
        <v>98.32</v>
      </c>
      <c r="O3982" s="12">
        <v>26.858513189448441</v>
      </c>
    </row>
    <row r="3983" spans="1:15" hidden="1" x14ac:dyDescent="0.25">
      <c r="A3983" s="10">
        <v>46126</v>
      </c>
      <c r="B3983" t="s">
        <v>45</v>
      </c>
      <c r="C3983" s="1" t="s">
        <v>32</v>
      </c>
      <c r="D3983" s="3">
        <v>43</v>
      </c>
      <c r="E3983" s="3">
        <v>36</v>
      </c>
      <c r="F3983" s="3">
        <v>12.13</v>
      </c>
      <c r="G3983" s="3">
        <v>0</v>
      </c>
      <c r="H3983" s="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 s="3">
        <v>29</v>
      </c>
      <c r="N3983" s="3">
        <v>100</v>
      </c>
      <c r="O3983" s="12">
        <v>31.135531135531139</v>
      </c>
    </row>
    <row r="3984" spans="1:15" hidden="1" x14ac:dyDescent="0.25">
      <c r="A3984" s="10">
        <v>46126</v>
      </c>
      <c r="B3984" t="s">
        <v>64</v>
      </c>
      <c r="C3984" s="1" t="s">
        <v>23</v>
      </c>
      <c r="D3984" s="3">
        <v>20</v>
      </c>
      <c r="E3984" s="3">
        <v>19</v>
      </c>
      <c r="F3984" s="3">
        <v>30.37</v>
      </c>
      <c r="G3984" s="3">
        <v>0</v>
      </c>
      <c r="H3984" s="3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 s="3">
        <v>17</v>
      </c>
      <c r="N3984" s="3">
        <v>100</v>
      </c>
      <c r="O3984" s="12">
        <v>26.36986301369863</v>
      </c>
    </row>
    <row r="3985" spans="1:15" hidden="1" x14ac:dyDescent="0.25">
      <c r="A3985" s="10">
        <v>46126</v>
      </c>
      <c r="B3985" t="s">
        <v>46</v>
      </c>
      <c r="C3985" s="1" t="s">
        <v>32</v>
      </c>
      <c r="D3985" s="3">
        <v>24</v>
      </c>
      <c r="E3985" s="3">
        <v>22</v>
      </c>
      <c r="F3985" s="3">
        <v>15.09</v>
      </c>
      <c r="G3985" s="3">
        <v>0</v>
      </c>
      <c r="H3985" s="3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 s="3">
        <v>21</v>
      </c>
      <c r="N3985" s="3">
        <v>99.21</v>
      </c>
      <c r="O3985" s="12">
        <v>25.188916876574311</v>
      </c>
    </row>
    <row r="3986" spans="1:15" hidden="1" x14ac:dyDescent="0.25">
      <c r="A3986" s="10">
        <v>46127</v>
      </c>
      <c r="B3986" t="s">
        <v>47</v>
      </c>
      <c r="C3986" s="1" t="s">
        <v>48</v>
      </c>
      <c r="D3986" s="3">
        <v>31</v>
      </c>
      <c r="E3986" s="3">
        <v>26</v>
      </c>
      <c r="F3986" s="3">
        <v>15.24</v>
      </c>
      <c r="G3986" s="3">
        <v>0</v>
      </c>
      <c r="H3986" s="3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 s="3">
        <v>12</v>
      </c>
      <c r="N3986" s="3">
        <v>100</v>
      </c>
      <c r="O3986" s="12">
        <v>32.764505119453922</v>
      </c>
    </row>
    <row r="3987" spans="1:15" hidden="1" x14ac:dyDescent="0.25">
      <c r="A3987" s="10">
        <v>46127</v>
      </c>
      <c r="B3987" t="s">
        <v>31</v>
      </c>
      <c r="C3987" s="1" t="s">
        <v>32</v>
      </c>
      <c r="D3987" s="3">
        <v>0</v>
      </c>
      <c r="E3987" s="3">
        <v>0</v>
      </c>
      <c r="F3987" s="3">
        <v>0</v>
      </c>
      <c r="G3987" s="3">
        <v>0</v>
      </c>
      <c r="H3987" s="3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 s="3">
        <v>30</v>
      </c>
      <c r="N3987" s="3">
        <v>98.66</v>
      </c>
      <c r="O3987" s="12">
        <v>35.416666666666671</v>
      </c>
    </row>
    <row r="3988" spans="1:15" hidden="1" x14ac:dyDescent="0.25">
      <c r="A3988" s="10">
        <v>46127</v>
      </c>
      <c r="B3988" t="s">
        <v>59</v>
      </c>
      <c r="C3988" s="1" t="s">
        <v>23</v>
      </c>
      <c r="D3988" s="3">
        <v>34</v>
      </c>
      <c r="E3988" s="3">
        <v>31</v>
      </c>
      <c r="F3988" s="3">
        <v>17.05</v>
      </c>
      <c r="G3988" s="3">
        <v>0</v>
      </c>
      <c r="H3988" s="3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 s="3">
        <v>32</v>
      </c>
      <c r="N3988" s="3">
        <v>99.32</v>
      </c>
      <c r="O3988" s="12">
        <v>30.648330058939099</v>
      </c>
    </row>
    <row r="3989" spans="1:15" hidden="1" x14ac:dyDescent="0.25">
      <c r="A3989" s="10">
        <v>46127</v>
      </c>
      <c r="B3989" t="s">
        <v>33</v>
      </c>
      <c r="C3989" s="1" t="s">
        <v>32</v>
      </c>
      <c r="D3989" s="3">
        <v>34</v>
      </c>
      <c r="E3989" s="3">
        <v>32</v>
      </c>
      <c r="F3989" s="3">
        <v>15.01</v>
      </c>
      <c r="G3989" s="3">
        <v>0</v>
      </c>
      <c r="H3989" s="3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 s="3">
        <v>29</v>
      </c>
      <c r="N3989" s="3">
        <v>100</v>
      </c>
      <c r="O3989" s="12">
        <v>27.803738317757009</v>
      </c>
    </row>
    <row r="3990" spans="1:15" hidden="1" x14ac:dyDescent="0.25">
      <c r="A3990" s="10">
        <v>46127</v>
      </c>
      <c r="B3990" t="s">
        <v>15</v>
      </c>
      <c r="C3990" s="1" t="s">
        <v>16</v>
      </c>
      <c r="D3990" s="3">
        <v>34</v>
      </c>
      <c r="E3990" s="3">
        <v>32</v>
      </c>
      <c r="F3990" s="3">
        <v>15.51</v>
      </c>
      <c r="G3990" s="3">
        <v>0</v>
      </c>
      <c r="H3990" s="3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 s="3">
        <v>30</v>
      </c>
      <c r="N3990" s="3">
        <v>96.74</v>
      </c>
      <c r="O3990" s="12">
        <v>28.67647058823529</v>
      </c>
    </row>
    <row r="3991" spans="1:15" hidden="1" x14ac:dyDescent="0.25">
      <c r="A3991" s="10">
        <v>46127</v>
      </c>
      <c r="B3991" t="s">
        <v>49</v>
      </c>
      <c r="C3991" s="1" t="s">
        <v>48</v>
      </c>
      <c r="D3991" s="3">
        <v>39</v>
      </c>
      <c r="E3991" s="3">
        <v>36</v>
      </c>
      <c r="F3991" s="3">
        <v>15.53</v>
      </c>
      <c r="G3991" s="3">
        <v>0</v>
      </c>
      <c r="H3991" s="3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 s="3">
        <v>37</v>
      </c>
      <c r="N3991" s="3">
        <v>98.82</v>
      </c>
      <c r="O3991" s="12">
        <v>30.741410488245929</v>
      </c>
    </row>
    <row r="3992" spans="1:15" hidden="1" x14ac:dyDescent="0.25">
      <c r="A3992" s="10">
        <v>46127</v>
      </c>
      <c r="B3992" t="s">
        <v>50</v>
      </c>
      <c r="C3992" s="1" t="s">
        <v>48</v>
      </c>
      <c r="D3992" s="3">
        <v>20</v>
      </c>
      <c r="E3992" s="3">
        <v>20</v>
      </c>
      <c r="F3992" s="3">
        <v>34.04</v>
      </c>
      <c r="G3992" s="3">
        <v>0</v>
      </c>
      <c r="H3992" s="3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 s="3">
        <v>17</v>
      </c>
      <c r="N3992" s="3">
        <v>98.2</v>
      </c>
      <c r="O3992" s="12">
        <v>27.170868347338931</v>
      </c>
    </row>
    <row r="3993" spans="1:15" hidden="1" x14ac:dyDescent="0.25">
      <c r="A3993" s="10">
        <v>46127</v>
      </c>
      <c r="B3993" t="s">
        <v>17</v>
      </c>
      <c r="C3993" s="1" t="s">
        <v>16</v>
      </c>
      <c r="D3993" s="3">
        <v>10</v>
      </c>
      <c r="E3993" s="3">
        <v>8</v>
      </c>
      <c r="F3993" s="3">
        <v>17.12</v>
      </c>
      <c r="G3993" s="3">
        <v>0</v>
      </c>
      <c r="H3993" s="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 s="3">
        <v>6</v>
      </c>
      <c r="N3993" s="3">
        <v>100</v>
      </c>
      <c r="O3993" s="12">
        <v>23.134328358208951</v>
      </c>
    </row>
    <row r="3994" spans="1:15" hidden="1" x14ac:dyDescent="0.25">
      <c r="A3994" s="10">
        <v>46127</v>
      </c>
      <c r="B3994" t="s">
        <v>60</v>
      </c>
      <c r="C3994" s="1" t="s">
        <v>23</v>
      </c>
      <c r="D3994" s="3">
        <v>27</v>
      </c>
      <c r="E3994" s="3">
        <v>22</v>
      </c>
      <c r="F3994" s="3">
        <v>14.14</v>
      </c>
      <c r="G3994" s="3">
        <v>0</v>
      </c>
      <c r="H3994" s="3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 s="3">
        <v>24</v>
      </c>
      <c r="N3994" s="3">
        <v>96.3</v>
      </c>
      <c r="O3994" s="12">
        <v>32.219570405727922</v>
      </c>
    </row>
    <row r="3995" spans="1:15" hidden="1" x14ac:dyDescent="0.25">
      <c r="A3995" s="10">
        <v>46127</v>
      </c>
      <c r="B3995" t="s">
        <v>34</v>
      </c>
      <c r="C3995" s="1" t="s">
        <v>32</v>
      </c>
      <c r="D3995" s="3">
        <v>46</v>
      </c>
      <c r="E3995" s="3">
        <v>41</v>
      </c>
      <c r="F3995" s="3">
        <v>10.199999999999999</v>
      </c>
      <c r="G3995" s="3">
        <v>0</v>
      </c>
      <c r="H3995" s="3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 s="3">
        <v>39</v>
      </c>
      <c r="N3995" s="3">
        <v>93.75</v>
      </c>
      <c r="O3995" s="12">
        <v>26.819923371647509</v>
      </c>
    </row>
    <row r="3996" spans="1:15" hidden="1" x14ac:dyDescent="0.25">
      <c r="A3996" s="10">
        <v>46127</v>
      </c>
      <c r="B3996" t="s">
        <v>51</v>
      </c>
      <c r="C3996" s="1" t="s">
        <v>48</v>
      </c>
      <c r="D3996" s="3">
        <v>26</v>
      </c>
      <c r="E3996" s="3">
        <v>23</v>
      </c>
      <c r="F3996" s="3">
        <v>17.079999999999998</v>
      </c>
      <c r="G3996" s="3">
        <v>0</v>
      </c>
      <c r="H3996" s="3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 s="3">
        <v>23</v>
      </c>
      <c r="N3996" s="3">
        <v>97.86</v>
      </c>
      <c r="O3996" s="12">
        <v>31.018518518518519</v>
      </c>
    </row>
    <row r="3997" spans="1:15" hidden="1" x14ac:dyDescent="0.25">
      <c r="A3997" s="10">
        <v>46127</v>
      </c>
      <c r="B3997" t="s">
        <v>61</v>
      </c>
      <c r="C3997" s="1" t="s">
        <v>23</v>
      </c>
      <c r="D3997" s="3">
        <v>28</v>
      </c>
      <c r="E3997" s="3">
        <v>28</v>
      </c>
      <c r="F3997" s="3">
        <v>15.24</v>
      </c>
      <c r="G3997" s="3">
        <v>0</v>
      </c>
      <c r="H3997" s="3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 s="3">
        <v>16</v>
      </c>
      <c r="N3997" s="3">
        <v>100</v>
      </c>
      <c r="O3997" s="12">
        <v>36.594202898550733</v>
      </c>
    </row>
    <row r="3998" spans="1:15" hidden="1" x14ac:dyDescent="0.25">
      <c r="A3998" s="10">
        <v>46127</v>
      </c>
      <c r="B3998" t="s">
        <v>35</v>
      </c>
      <c r="C3998" s="1" t="s">
        <v>32</v>
      </c>
      <c r="D3998" s="3">
        <v>34</v>
      </c>
      <c r="E3998" s="3">
        <v>34</v>
      </c>
      <c r="F3998" s="3">
        <v>17.25</v>
      </c>
      <c r="G3998" s="3">
        <v>0</v>
      </c>
      <c r="H3998" s="3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 s="3">
        <v>32</v>
      </c>
      <c r="N3998" s="3">
        <v>100</v>
      </c>
      <c r="O3998" s="12">
        <v>38.653846153846153</v>
      </c>
    </row>
    <row r="3999" spans="1:15" hidden="1" x14ac:dyDescent="0.25">
      <c r="A3999" s="10">
        <v>46127</v>
      </c>
      <c r="B3999" t="s">
        <v>18</v>
      </c>
      <c r="C3999" s="1" t="s">
        <v>16</v>
      </c>
      <c r="D3999" s="3">
        <v>8</v>
      </c>
      <c r="E3999" s="3">
        <v>8</v>
      </c>
      <c r="F3999" s="3">
        <v>48.21</v>
      </c>
      <c r="G3999" s="3">
        <v>0</v>
      </c>
      <c r="H3999" s="3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 s="3">
        <v>6</v>
      </c>
      <c r="N3999" s="3">
        <v>100</v>
      </c>
      <c r="O3999" s="12">
        <v>27.368421052631579</v>
      </c>
    </row>
    <row r="4000" spans="1:15" hidden="1" x14ac:dyDescent="0.25">
      <c r="A4000" s="10">
        <v>46127</v>
      </c>
      <c r="B4000" t="s">
        <v>52</v>
      </c>
      <c r="C4000" s="1" t="s">
        <v>48</v>
      </c>
      <c r="D4000" s="3">
        <v>24</v>
      </c>
      <c r="E4000" s="3">
        <v>24</v>
      </c>
      <c r="F4000" s="3">
        <v>20.2</v>
      </c>
      <c r="G4000" s="3">
        <v>0</v>
      </c>
      <c r="H4000" s="3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 s="3">
        <v>20</v>
      </c>
      <c r="N4000" s="3">
        <v>97.83</v>
      </c>
      <c r="O4000" s="12">
        <v>28.35164835164835</v>
      </c>
    </row>
    <row r="4001" spans="1:15" hidden="1" x14ac:dyDescent="0.25">
      <c r="A4001" s="10">
        <v>46127</v>
      </c>
      <c r="B4001" t="s">
        <v>36</v>
      </c>
      <c r="C4001" s="1" t="s">
        <v>32</v>
      </c>
      <c r="D4001" s="3">
        <v>28</v>
      </c>
      <c r="E4001" s="3">
        <v>27</v>
      </c>
      <c r="F4001" s="3">
        <v>15.54</v>
      </c>
      <c r="G4001" s="3">
        <v>0</v>
      </c>
      <c r="H4001" s="3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 s="3">
        <v>28</v>
      </c>
      <c r="N4001" s="3">
        <v>99.26</v>
      </c>
      <c r="O4001" s="12">
        <v>29.766536964980549</v>
      </c>
    </row>
    <row r="4002" spans="1:15" hidden="1" x14ac:dyDescent="0.25">
      <c r="A4002" s="10">
        <v>46127</v>
      </c>
      <c r="B4002" t="s">
        <v>53</v>
      </c>
      <c r="C4002" s="1" t="s">
        <v>48</v>
      </c>
      <c r="D4002" s="3">
        <v>28</v>
      </c>
      <c r="E4002" s="3">
        <v>26</v>
      </c>
      <c r="F4002" s="3">
        <v>22.11</v>
      </c>
      <c r="G4002" s="3">
        <v>0</v>
      </c>
      <c r="H4002" s="3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 s="3">
        <v>27</v>
      </c>
      <c r="N4002" s="3">
        <v>99.19</v>
      </c>
      <c r="O4002" s="12">
        <v>29.462365591397852</v>
      </c>
    </row>
    <row r="4003" spans="1:15" x14ac:dyDescent="0.25">
      <c r="A4003" s="5">
        <v>46157</v>
      </c>
      <c r="B4003" s="6" t="s">
        <v>20</v>
      </c>
      <c r="C4003" s="1" t="s">
        <v>16</v>
      </c>
      <c r="D4003" s="3">
        <v>9</v>
      </c>
      <c r="E4003" s="3">
        <v>8</v>
      </c>
      <c r="F4003" s="3">
        <v>39.06</v>
      </c>
      <c r="G4003" s="3">
        <v>0</v>
      </c>
      <c r="H4003" s="3">
        <v>0</v>
      </c>
      <c r="I4003" s="3">
        <f>E4003+G4003+H4003</f>
        <v>8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8</v>
      </c>
      <c r="K4003" s="3">
        <f>I4003-J4003</f>
        <v>0</v>
      </c>
      <c r="L4003" s="3" t="str">
        <f>IF(K4003&lt;-5,"CRÍTICO",IF(K4003&lt;0,"ATENÇÃO",IF(K4003&lt;=5,"OPORTUNO","MUITO BOM")))</f>
        <v>OPORTUNO</v>
      </c>
      <c r="M4003" s="3">
        <v>7</v>
      </c>
      <c r="N4003" s="3">
        <v>100</v>
      </c>
      <c r="O4003" s="12">
        <v>17.1875</v>
      </c>
    </row>
    <row r="4004" spans="1:15" hidden="1" x14ac:dyDescent="0.25">
      <c r="A4004" s="10">
        <v>46127</v>
      </c>
      <c r="B4004" t="s">
        <v>54</v>
      </c>
      <c r="C4004" s="1" t="s">
        <v>48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 s="3">
        <v>0</v>
      </c>
      <c r="N4004" s="3">
        <v>100</v>
      </c>
      <c r="O4004" s="12">
        <v>28.921568627450981</v>
      </c>
    </row>
    <row r="4005" spans="1:15" hidden="1" x14ac:dyDescent="0.25">
      <c r="A4005" s="10">
        <v>46127</v>
      </c>
      <c r="B4005" t="s">
        <v>37</v>
      </c>
      <c r="C4005" s="1" t="s">
        <v>32</v>
      </c>
      <c r="D4005" s="3">
        <v>42</v>
      </c>
      <c r="E4005" s="3">
        <v>42</v>
      </c>
      <c r="F4005" s="3">
        <v>13.59</v>
      </c>
      <c r="G4005" s="3">
        <v>0</v>
      </c>
      <c r="H4005" s="3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 s="3">
        <v>37</v>
      </c>
      <c r="N4005" s="3">
        <v>99.57</v>
      </c>
      <c r="O4005" s="12">
        <v>30.635838150289018</v>
      </c>
    </row>
    <row r="4006" spans="1:15" hidden="1" x14ac:dyDescent="0.25">
      <c r="A4006" s="10">
        <v>46127</v>
      </c>
      <c r="B4006" t="s">
        <v>38</v>
      </c>
      <c r="C4006" s="1" t="s">
        <v>32</v>
      </c>
      <c r="D4006" s="3">
        <v>0</v>
      </c>
      <c r="E4006" s="3">
        <v>0</v>
      </c>
      <c r="F4006" s="3">
        <v>0</v>
      </c>
      <c r="G4006" s="3">
        <v>0</v>
      </c>
      <c r="H4006" s="3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 s="3">
        <v>0</v>
      </c>
      <c r="N4006" s="3">
        <v>95.65</v>
      </c>
      <c r="O4006" s="12">
        <v>32.432432432432442</v>
      </c>
    </row>
    <row r="4007" spans="1:15" hidden="1" x14ac:dyDescent="0.25">
      <c r="A4007" s="10">
        <v>46127</v>
      </c>
      <c r="B4007" t="s">
        <v>55</v>
      </c>
      <c r="C4007" s="1" t="s">
        <v>48</v>
      </c>
      <c r="D4007" s="3">
        <v>27</v>
      </c>
      <c r="E4007" s="3">
        <v>24</v>
      </c>
      <c r="F4007" s="3">
        <v>19.04</v>
      </c>
      <c r="G4007" s="3">
        <v>0</v>
      </c>
      <c r="H4007" s="3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 s="3">
        <v>23</v>
      </c>
      <c r="N4007" s="3">
        <v>98.81</v>
      </c>
      <c r="O4007" s="12">
        <v>26.256983240223459</v>
      </c>
    </row>
    <row r="4008" spans="1:15" hidden="1" x14ac:dyDescent="0.25">
      <c r="A4008" s="10">
        <v>46127</v>
      </c>
      <c r="B4008" t="s">
        <v>39</v>
      </c>
      <c r="C4008" s="1" t="s">
        <v>32</v>
      </c>
      <c r="D4008" s="3">
        <v>0</v>
      </c>
      <c r="E4008" s="3">
        <v>0</v>
      </c>
      <c r="F4008" s="3">
        <v>0</v>
      </c>
      <c r="G4008" s="3">
        <v>0</v>
      </c>
      <c r="H4008" s="3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 s="3">
        <v>0</v>
      </c>
      <c r="N4008" s="3">
        <v>0</v>
      </c>
      <c r="O4008" s="12">
        <v>0</v>
      </c>
    </row>
    <row r="4009" spans="1:15" hidden="1" x14ac:dyDescent="0.25">
      <c r="A4009" s="10">
        <v>46127</v>
      </c>
      <c r="B4009" t="s">
        <v>25</v>
      </c>
      <c r="C4009" s="1" t="s">
        <v>26</v>
      </c>
      <c r="D4009" s="3">
        <v>26</v>
      </c>
      <c r="E4009" s="3">
        <v>21</v>
      </c>
      <c r="F4009" s="3">
        <v>21.48</v>
      </c>
      <c r="G4009" s="3">
        <v>0</v>
      </c>
      <c r="H4009" s="3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 s="3">
        <v>23</v>
      </c>
      <c r="N4009" s="3">
        <v>97.17</v>
      </c>
      <c r="O4009" s="12">
        <v>28.81844380403458</v>
      </c>
    </row>
    <row r="4010" spans="1:15" hidden="1" x14ac:dyDescent="0.25">
      <c r="A4010" s="10">
        <v>46127</v>
      </c>
      <c r="B4010" t="s">
        <v>40</v>
      </c>
      <c r="C4010" s="1" t="s">
        <v>32</v>
      </c>
      <c r="D4010" s="3">
        <v>0</v>
      </c>
      <c r="E4010" s="3">
        <v>0</v>
      </c>
      <c r="F4010" s="3">
        <v>0</v>
      </c>
      <c r="G4010" s="3">
        <v>0</v>
      </c>
      <c r="H4010" s="3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 s="3">
        <v>44</v>
      </c>
      <c r="N4010" s="3">
        <v>96.81</v>
      </c>
      <c r="O4010" s="12">
        <v>48.018648018648022</v>
      </c>
    </row>
    <row r="4011" spans="1:15" hidden="1" x14ac:dyDescent="0.25">
      <c r="A4011" s="10">
        <v>46127</v>
      </c>
      <c r="B4011" t="s">
        <v>27</v>
      </c>
      <c r="C4011" s="1" t="s">
        <v>26</v>
      </c>
      <c r="D4011" s="3">
        <v>14</v>
      </c>
      <c r="E4011" s="3">
        <v>13</v>
      </c>
      <c r="F4011" s="3">
        <v>33.31</v>
      </c>
      <c r="G4011" s="3">
        <v>0</v>
      </c>
      <c r="H4011" s="3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 s="3">
        <v>12</v>
      </c>
      <c r="N4011" s="3">
        <v>98.15</v>
      </c>
      <c r="O4011" s="12">
        <v>27.1551724137931</v>
      </c>
    </row>
    <row r="4012" spans="1:15" hidden="1" x14ac:dyDescent="0.25">
      <c r="A4012" s="10">
        <v>46127</v>
      </c>
      <c r="B4012" t="s">
        <v>41</v>
      </c>
      <c r="C4012" s="1" t="s">
        <v>32</v>
      </c>
      <c r="D4012" s="3">
        <v>28</v>
      </c>
      <c r="E4012" s="3">
        <v>28</v>
      </c>
      <c r="F4012" s="3">
        <v>18.45</v>
      </c>
      <c r="G4012" s="3">
        <v>0</v>
      </c>
      <c r="H4012" s="3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 s="3">
        <v>25</v>
      </c>
      <c r="N4012" s="3">
        <v>99.15</v>
      </c>
      <c r="O4012" s="12">
        <v>27.586206896551719</v>
      </c>
    </row>
    <row r="4013" spans="1:15" hidden="1" x14ac:dyDescent="0.25">
      <c r="A4013" s="10">
        <v>46127</v>
      </c>
      <c r="B4013" t="s">
        <v>56</v>
      </c>
      <c r="C4013" s="1" t="s">
        <v>48</v>
      </c>
      <c r="D4013" s="3">
        <v>30</v>
      </c>
      <c r="E4013" s="3">
        <v>27</v>
      </c>
      <c r="F4013" s="3">
        <v>13.33</v>
      </c>
      <c r="G4013" s="3">
        <v>0</v>
      </c>
      <c r="H4013" s="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 s="3">
        <v>32</v>
      </c>
      <c r="N4013" s="3">
        <v>99.17</v>
      </c>
      <c r="O4013" s="12">
        <v>29.75206611570248</v>
      </c>
    </row>
    <row r="4014" spans="1:15" hidden="1" x14ac:dyDescent="0.25">
      <c r="A4014" s="10">
        <v>46127</v>
      </c>
      <c r="B4014" t="s">
        <v>57</v>
      </c>
      <c r="C4014" s="1" t="s">
        <v>48</v>
      </c>
      <c r="D4014" s="3">
        <v>0</v>
      </c>
      <c r="E4014" s="3">
        <v>0</v>
      </c>
      <c r="F4014" s="3">
        <v>0</v>
      </c>
      <c r="G4014" s="3">
        <v>0</v>
      </c>
      <c r="H4014" s="3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 s="3">
        <v>0</v>
      </c>
      <c r="N4014" s="3">
        <v>98.73</v>
      </c>
      <c r="O4014" s="12">
        <v>28.961748633879779</v>
      </c>
    </row>
    <row r="4015" spans="1:15" hidden="1" x14ac:dyDescent="0.25">
      <c r="A4015" s="10">
        <v>46127</v>
      </c>
      <c r="B4015" t="s">
        <v>42</v>
      </c>
      <c r="C4015" s="1" t="s">
        <v>32</v>
      </c>
      <c r="D4015" s="3">
        <v>39</v>
      </c>
      <c r="E4015" s="3">
        <v>33</v>
      </c>
      <c r="F4015" s="3">
        <v>16.559999999999999</v>
      </c>
      <c r="G4015" s="3">
        <v>0</v>
      </c>
      <c r="H4015" s="3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 s="3">
        <v>27</v>
      </c>
      <c r="N4015" s="3">
        <v>88.68</v>
      </c>
      <c r="O4015" s="12">
        <v>22.03389830508474</v>
      </c>
    </row>
    <row r="4016" spans="1:15" hidden="1" x14ac:dyDescent="0.25">
      <c r="A4016" s="10">
        <v>46127</v>
      </c>
      <c r="B4016" t="s">
        <v>62</v>
      </c>
      <c r="C4016" s="1" t="s">
        <v>23</v>
      </c>
      <c r="D4016" s="3">
        <v>21</v>
      </c>
      <c r="E4016" s="3">
        <v>20</v>
      </c>
      <c r="F4016" s="3">
        <v>33.46</v>
      </c>
      <c r="G4016" s="3">
        <v>0</v>
      </c>
      <c r="H4016" s="3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 s="3">
        <v>17</v>
      </c>
      <c r="N4016" s="3">
        <v>97.37</v>
      </c>
      <c r="O4016" s="12">
        <v>25.76530612244898</v>
      </c>
    </row>
    <row r="4017" spans="1:15" hidden="1" x14ac:dyDescent="0.25">
      <c r="A4017" s="10">
        <v>46127</v>
      </c>
      <c r="B4017" t="s">
        <v>19</v>
      </c>
      <c r="C4017" s="1" t="s">
        <v>16</v>
      </c>
      <c r="D4017" s="3">
        <v>36</v>
      </c>
      <c r="E4017" s="3">
        <v>18</v>
      </c>
      <c r="F4017" s="3">
        <v>7.05</v>
      </c>
      <c r="G4017" s="3">
        <v>0</v>
      </c>
      <c r="H4017" s="3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 s="3">
        <v>6</v>
      </c>
      <c r="N4017" s="3">
        <v>100</v>
      </c>
      <c r="O4017" s="12">
        <v>25</v>
      </c>
    </row>
    <row r="4018" spans="1:15" x14ac:dyDescent="0.25">
      <c r="A4018" s="5">
        <v>46160</v>
      </c>
      <c r="B4018" s="6" t="s">
        <v>20</v>
      </c>
      <c r="C4018" s="1" t="s">
        <v>16</v>
      </c>
      <c r="D4018" s="3">
        <v>7</v>
      </c>
      <c r="E4018" s="3">
        <v>7</v>
      </c>
      <c r="F4018" s="3">
        <v>30.49</v>
      </c>
      <c r="G4018" s="3">
        <v>0</v>
      </c>
      <c r="H4018" s="3">
        <v>0</v>
      </c>
      <c r="I4018" s="3">
        <f>E4018+G4018+H4018</f>
        <v>7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8</v>
      </c>
      <c r="K4018" s="3">
        <f>I4018-J4018</f>
        <v>-1</v>
      </c>
      <c r="L4018" s="3" t="str">
        <f>IF(K4018&lt;-5,"CRÍTICO",IF(K4018&lt;0,"ATENÇÃO",IF(K4018&lt;=5,"OPORTUNO","MUITO BOM")))</f>
        <v>ATENÇÃO</v>
      </c>
      <c r="M4018" s="3">
        <v>6</v>
      </c>
      <c r="N4018" s="3">
        <v>100</v>
      </c>
      <c r="O4018" s="12">
        <v>17.1875</v>
      </c>
    </row>
    <row r="4019" spans="1:15" hidden="1" x14ac:dyDescent="0.25">
      <c r="A4019" s="10">
        <v>46127</v>
      </c>
      <c r="B4019" t="s">
        <v>44</v>
      </c>
      <c r="C4019" s="1" t="s">
        <v>32</v>
      </c>
      <c r="D4019" s="3">
        <v>36</v>
      </c>
      <c r="E4019" s="3">
        <v>34</v>
      </c>
      <c r="F4019" s="3">
        <v>15.23</v>
      </c>
      <c r="G4019" s="3">
        <v>0</v>
      </c>
      <c r="H4019" s="3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 s="3">
        <v>51</v>
      </c>
      <c r="N4019" s="3">
        <v>95.49</v>
      </c>
      <c r="O4019" s="12">
        <v>28.370221327967808</v>
      </c>
    </row>
    <row r="4020" spans="1:15" x14ac:dyDescent="0.25">
      <c r="A4020" s="7">
        <v>46161</v>
      </c>
      <c r="B4020" s="8" t="s">
        <v>20</v>
      </c>
      <c r="C4020" s="1" t="s">
        <v>16</v>
      </c>
      <c r="D4020" s="3">
        <v>15</v>
      </c>
      <c r="E4020" s="3">
        <v>13</v>
      </c>
      <c r="F4020" s="3">
        <v>21.51</v>
      </c>
      <c r="G4020" s="3">
        <v>0</v>
      </c>
      <c r="H4020" s="3">
        <v>0</v>
      </c>
      <c r="I4020" s="3">
        <f>E4020+G4020+H4020</f>
        <v>13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8</v>
      </c>
      <c r="K4020" s="3">
        <f>I4020-J4020</f>
        <v>5</v>
      </c>
      <c r="L4020" s="3" t="str">
        <f>IF(K4020&lt;-5,"CRÍTICO",IF(K4020&lt;0,"ATENÇÃO",IF(K4020&lt;=5,"OPORTUNO","MUITO BOM")))</f>
        <v>OPORTUNO</v>
      </c>
      <c r="M4020" s="3">
        <v>9</v>
      </c>
      <c r="N4020" s="3">
        <v>100</v>
      </c>
      <c r="O4020" s="12">
        <v>17.1875</v>
      </c>
    </row>
    <row r="4021" spans="1:15" hidden="1" x14ac:dyDescent="0.25">
      <c r="A4021" s="10">
        <v>46127</v>
      </c>
      <c r="B4021" t="s">
        <v>28</v>
      </c>
      <c r="C4021" s="1" t="s">
        <v>26</v>
      </c>
      <c r="D4021" s="3">
        <v>28</v>
      </c>
      <c r="E4021" s="3">
        <v>22</v>
      </c>
      <c r="F4021" s="3">
        <v>18.5</v>
      </c>
      <c r="G4021" s="3">
        <v>0</v>
      </c>
      <c r="H4021" s="3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 s="3">
        <v>18</v>
      </c>
      <c r="N4021" s="3">
        <v>96.15</v>
      </c>
      <c r="O4021" s="12">
        <v>24.045801526717561</v>
      </c>
    </row>
    <row r="4022" spans="1:15" hidden="1" x14ac:dyDescent="0.25">
      <c r="A4022" s="10">
        <v>46127</v>
      </c>
      <c r="B4022" t="s">
        <v>58</v>
      </c>
      <c r="C4022" s="1" t="s">
        <v>48</v>
      </c>
      <c r="D4022" s="3">
        <v>27</v>
      </c>
      <c r="E4022" s="3">
        <v>25</v>
      </c>
      <c r="F4022" s="3">
        <v>20.41</v>
      </c>
      <c r="G4022" s="3">
        <v>0</v>
      </c>
      <c r="H4022" s="3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 s="3">
        <v>22</v>
      </c>
      <c r="N4022" s="3">
        <v>99.02</v>
      </c>
      <c r="O4022" s="12">
        <v>34.797297297297298</v>
      </c>
    </row>
    <row r="4023" spans="1:15" hidden="1" x14ac:dyDescent="0.25">
      <c r="A4023" s="10">
        <v>46127</v>
      </c>
      <c r="B4023" t="s">
        <v>29</v>
      </c>
      <c r="C4023" s="1" t="s">
        <v>26</v>
      </c>
      <c r="D4023" s="3">
        <v>27</v>
      </c>
      <c r="E4023" s="3">
        <v>26</v>
      </c>
      <c r="F4023" s="3">
        <v>15.04</v>
      </c>
      <c r="G4023" s="3">
        <v>0</v>
      </c>
      <c r="H4023" s="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 s="3">
        <v>21</v>
      </c>
      <c r="N4023" s="3">
        <v>98.84</v>
      </c>
      <c r="O4023" s="12">
        <v>31.868131868131869</v>
      </c>
    </row>
    <row r="4024" spans="1:15" hidden="1" x14ac:dyDescent="0.25">
      <c r="A4024" s="10">
        <v>46127</v>
      </c>
      <c r="B4024" t="s">
        <v>30</v>
      </c>
      <c r="C4024" s="1" t="s">
        <v>26</v>
      </c>
      <c r="D4024" s="3">
        <v>25</v>
      </c>
      <c r="E4024" s="3">
        <v>22</v>
      </c>
      <c r="F4024" s="3">
        <v>17.13</v>
      </c>
      <c r="G4024" s="3">
        <v>0</v>
      </c>
      <c r="H4024" s="3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 s="3">
        <v>21</v>
      </c>
      <c r="N4024" s="3">
        <v>100</v>
      </c>
      <c r="O4024" s="12">
        <v>34.666666666666671</v>
      </c>
    </row>
    <row r="4025" spans="1:15" x14ac:dyDescent="0.25">
      <c r="A4025" s="7">
        <v>46162</v>
      </c>
      <c r="B4025" s="8" t="s">
        <v>20</v>
      </c>
      <c r="C4025" s="1" t="s">
        <v>16</v>
      </c>
      <c r="D4025" s="3">
        <v>19</v>
      </c>
      <c r="E4025" s="3">
        <v>17</v>
      </c>
      <c r="F4025" s="3">
        <v>22.03</v>
      </c>
      <c r="G4025" s="3">
        <v>0</v>
      </c>
      <c r="H4025" s="3">
        <v>0</v>
      </c>
      <c r="I4025" s="3">
        <f>E4025+G4025+H4025</f>
        <v>17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7</v>
      </c>
      <c r="K4025" s="3">
        <f>I4025-J4025</f>
        <v>10</v>
      </c>
      <c r="L4025" s="3" t="str">
        <f>IF(K4025&lt;-5,"CRÍTICO",IF(K4025&lt;0,"ATENÇÃO",IF(K4025&lt;=5,"OPORTUNO","MUITO BOM")))</f>
        <v>MUITO BOM</v>
      </c>
      <c r="M4025" s="3">
        <v>14</v>
      </c>
      <c r="N4025" s="3">
        <v>100</v>
      </c>
      <c r="O4025" s="12">
        <v>17.1875</v>
      </c>
    </row>
    <row r="4026" spans="1:15" hidden="1" x14ac:dyDescent="0.25">
      <c r="A4026" s="10">
        <v>46127</v>
      </c>
      <c r="B4026" t="s">
        <v>63</v>
      </c>
      <c r="C4026" s="1" t="s">
        <v>23</v>
      </c>
      <c r="D4026" s="3">
        <v>23</v>
      </c>
      <c r="E4026" s="3">
        <v>23</v>
      </c>
      <c r="F4026" s="3">
        <v>16.52</v>
      </c>
      <c r="G4026" s="3">
        <v>0</v>
      </c>
      <c r="H4026" s="3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 s="3">
        <v>21</v>
      </c>
      <c r="N4026" s="3">
        <v>98.32</v>
      </c>
      <c r="O4026" s="12">
        <v>26.858513189448441</v>
      </c>
    </row>
    <row r="4027" spans="1:15" hidden="1" x14ac:dyDescent="0.25">
      <c r="A4027" s="10">
        <v>46127</v>
      </c>
      <c r="B4027" t="s">
        <v>45</v>
      </c>
      <c r="C4027" s="1" t="s">
        <v>32</v>
      </c>
      <c r="D4027" s="3">
        <v>29</v>
      </c>
      <c r="E4027" s="3">
        <v>24</v>
      </c>
      <c r="F4027" s="3">
        <v>15.04</v>
      </c>
      <c r="G4027" s="3">
        <v>0</v>
      </c>
      <c r="H4027" s="3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 s="3">
        <v>22</v>
      </c>
      <c r="N4027" s="3">
        <v>100</v>
      </c>
      <c r="O4027" s="12">
        <v>31.135531135531139</v>
      </c>
    </row>
    <row r="4028" spans="1:15" hidden="1" x14ac:dyDescent="0.25">
      <c r="A4028" s="10">
        <v>46127</v>
      </c>
      <c r="B4028" t="s">
        <v>64</v>
      </c>
      <c r="C4028" s="1" t="s">
        <v>23</v>
      </c>
      <c r="D4028" s="3">
        <v>12</v>
      </c>
      <c r="E4028" s="3">
        <v>12</v>
      </c>
      <c r="F4028" s="3">
        <v>45.09</v>
      </c>
      <c r="G4028" s="3">
        <v>0</v>
      </c>
      <c r="H4028" s="3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 s="3">
        <v>11</v>
      </c>
      <c r="N4028" s="3">
        <v>100</v>
      </c>
      <c r="O4028" s="12">
        <v>26.36986301369863</v>
      </c>
    </row>
    <row r="4029" spans="1:15" hidden="1" x14ac:dyDescent="0.25">
      <c r="A4029" s="10">
        <v>46127</v>
      </c>
      <c r="B4029" t="s">
        <v>46</v>
      </c>
      <c r="C4029" s="1" t="s">
        <v>32</v>
      </c>
      <c r="D4029" s="3">
        <v>34</v>
      </c>
      <c r="E4029" s="3">
        <v>33</v>
      </c>
      <c r="F4029" s="3">
        <v>15.06</v>
      </c>
      <c r="G4029" s="3">
        <v>0</v>
      </c>
      <c r="H4029" s="3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 s="3">
        <v>28</v>
      </c>
      <c r="N4029" s="3">
        <v>99.21</v>
      </c>
      <c r="O4029" s="12">
        <v>25.188916876574311</v>
      </c>
    </row>
    <row r="4030" spans="1:15" hidden="1" x14ac:dyDescent="0.25">
      <c r="A4030" s="10">
        <v>46128</v>
      </c>
      <c r="B4030" t="s">
        <v>47</v>
      </c>
      <c r="C4030" s="1" t="s">
        <v>48</v>
      </c>
      <c r="D4030" s="3">
        <v>15</v>
      </c>
      <c r="E4030" s="3">
        <v>13</v>
      </c>
      <c r="F4030" s="3">
        <v>22.21</v>
      </c>
      <c r="G4030" s="3">
        <v>0</v>
      </c>
      <c r="H4030" s="3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 s="3">
        <v>11</v>
      </c>
      <c r="N4030" s="3">
        <v>100</v>
      </c>
      <c r="O4030" s="12">
        <v>32.764505119453922</v>
      </c>
    </row>
    <row r="4031" spans="1:15" hidden="1" x14ac:dyDescent="0.25">
      <c r="A4031" s="10">
        <v>46128</v>
      </c>
      <c r="B4031" t="s">
        <v>31</v>
      </c>
      <c r="C4031" s="1" t="s">
        <v>32</v>
      </c>
      <c r="D4031" s="3">
        <v>0</v>
      </c>
      <c r="E4031" s="3">
        <v>0</v>
      </c>
      <c r="F4031" s="3">
        <v>0</v>
      </c>
      <c r="G4031" s="3">
        <v>0</v>
      </c>
      <c r="H4031" s="3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 s="3">
        <v>21</v>
      </c>
      <c r="N4031" s="3">
        <v>98.66</v>
      </c>
      <c r="O4031" s="12">
        <v>35.416666666666671</v>
      </c>
    </row>
    <row r="4032" spans="1:15" hidden="1" x14ac:dyDescent="0.25">
      <c r="A4032" s="10">
        <v>46128</v>
      </c>
      <c r="B4032" t="s">
        <v>59</v>
      </c>
      <c r="C4032" s="1" t="s">
        <v>23</v>
      </c>
      <c r="D4032" s="3">
        <v>23</v>
      </c>
      <c r="E4032" s="3">
        <v>22</v>
      </c>
      <c r="F4032" s="3">
        <v>24.16</v>
      </c>
      <c r="G4032" s="3">
        <v>0</v>
      </c>
      <c r="H4032" s="3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 s="3">
        <v>24</v>
      </c>
      <c r="N4032" s="3">
        <v>99.32</v>
      </c>
      <c r="O4032" s="12">
        <v>30.648330058939099</v>
      </c>
    </row>
    <row r="4033" spans="1:15" hidden="1" x14ac:dyDescent="0.25">
      <c r="A4033" s="10">
        <v>46128</v>
      </c>
      <c r="B4033" t="s">
        <v>33</v>
      </c>
      <c r="C4033" s="1" t="s">
        <v>32</v>
      </c>
      <c r="D4033" s="3">
        <v>19</v>
      </c>
      <c r="E4033" s="3">
        <v>16</v>
      </c>
      <c r="F4033" s="3">
        <v>20.58</v>
      </c>
      <c r="G4033" s="3">
        <v>0</v>
      </c>
      <c r="H4033" s="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 s="3">
        <v>23</v>
      </c>
      <c r="N4033" s="3">
        <v>100</v>
      </c>
      <c r="O4033" s="12">
        <v>27.803738317757009</v>
      </c>
    </row>
    <row r="4034" spans="1:15" hidden="1" x14ac:dyDescent="0.25">
      <c r="A4034" s="10">
        <v>46128</v>
      </c>
      <c r="B4034" t="s">
        <v>15</v>
      </c>
      <c r="C4034" s="1" t="s">
        <v>16</v>
      </c>
      <c r="D4034" s="3">
        <v>29</v>
      </c>
      <c r="E4034" s="3">
        <v>27</v>
      </c>
      <c r="F4034" s="3">
        <v>20.49</v>
      </c>
      <c r="G4034" s="3">
        <v>0</v>
      </c>
      <c r="H4034" s="3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 s="3">
        <v>25</v>
      </c>
      <c r="N4034" s="3">
        <v>96.74</v>
      </c>
      <c r="O4034" s="12">
        <v>28.67647058823529</v>
      </c>
    </row>
    <row r="4035" spans="1:15" hidden="1" x14ac:dyDescent="0.25">
      <c r="A4035" s="10">
        <v>46128</v>
      </c>
      <c r="B4035" t="s">
        <v>49</v>
      </c>
      <c r="C4035" s="1" t="s">
        <v>48</v>
      </c>
      <c r="D4035" s="3">
        <v>44</v>
      </c>
      <c r="E4035" s="3">
        <v>42</v>
      </c>
      <c r="F4035" s="3">
        <v>12.21</v>
      </c>
      <c r="G4035" s="3">
        <v>0</v>
      </c>
      <c r="H4035" s="3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 s="3">
        <v>43</v>
      </c>
      <c r="N4035" s="3">
        <v>98.82</v>
      </c>
      <c r="O4035" s="12">
        <v>30.741410488245929</v>
      </c>
    </row>
    <row r="4036" spans="1:15" hidden="1" x14ac:dyDescent="0.25">
      <c r="A4036" s="10">
        <v>46128</v>
      </c>
      <c r="B4036" t="s">
        <v>50</v>
      </c>
      <c r="C4036" s="1" t="s">
        <v>48</v>
      </c>
      <c r="D4036" s="3">
        <v>25</v>
      </c>
      <c r="E4036" s="3">
        <v>24</v>
      </c>
      <c r="F4036" s="3">
        <v>21.56</v>
      </c>
      <c r="G4036" s="3">
        <v>0</v>
      </c>
      <c r="H4036" s="3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 s="3">
        <v>26</v>
      </c>
      <c r="N4036" s="3">
        <v>98.2</v>
      </c>
      <c r="O4036" s="12">
        <v>27.170868347338931</v>
      </c>
    </row>
    <row r="4037" spans="1:15" hidden="1" x14ac:dyDescent="0.25">
      <c r="A4037" s="10">
        <v>46128</v>
      </c>
      <c r="B4037" t="s">
        <v>17</v>
      </c>
      <c r="C4037" s="1" t="s">
        <v>16</v>
      </c>
      <c r="D4037" s="3">
        <v>11</v>
      </c>
      <c r="E4037" s="3">
        <v>9</v>
      </c>
      <c r="F4037" s="3">
        <v>32.01</v>
      </c>
      <c r="G4037" s="3">
        <v>0</v>
      </c>
      <c r="H4037" s="3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 s="3">
        <v>7</v>
      </c>
      <c r="N4037" s="3">
        <v>100</v>
      </c>
      <c r="O4037" s="12">
        <v>23.134328358208951</v>
      </c>
    </row>
    <row r="4038" spans="1:15" hidden="1" x14ac:dyDescent="0.25">
      <c r="A4038" s="10">
        <v>46128</v>
      </c>
      <c r="B4038" t="s">
        <v>60</v>
      </c>
      <c r="C4038" s="1" t="s">
        <v>23</v>
      </c>
      <c r="D4038" s="3">
        <v>12</v>
      </c>
      <c r="E4038" s="3">
        <v>11</v>
      </c>
      <c r="F4038" s="3">
        <v>18.309999999999999</v>
      </c>
      <c r="G4038" s="3">
        <v>0</v>
      </c>
      <c r="H4038" s="3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 s="3">
        <v>11</v>
      </c>
      <c r="N4038" s="3">
        <v>96.3</v>
      </c>
      <c r="O4038" s="12">
        <v>32.219570405727922</v>
      </c>
    </row>
    <row r="4039" spans="1:15" hidden="1" x14ac:dyDescent="0.25">
      <c r="A4039" s="10">
        <v>46128</v>
      </c>
      <c r="B4039" t="s">
        <v>34</v>
      </c>
      <c r="C4039" s="1" t="s">
        <v>32</v>
      </c>
      <c r="D4039" s="3">
        <v>30</v>
      </c>
      <c r="E4039" s="3">
        <v>26</v>
      </c>
      <c r="F4039" s="3">
        <v>13.3</v>
      </c>
      <c r="G4039" s="3">
        <v>0</v>
      </c>
      <c r="H4039" s="3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 s="3">
        <v>26</v>
      </c>
      <c r="N4039" s="3">
        <v>93.75</v>
      </c>
      <c r="O4039" s="12">
        <v>26.819923371647509</v>
      </c>
    </row>
    <row r="4040" spans="1:15" hidden="1" x14ac:dyDescent="0.25">
      <c r="A4040" s="10">
        <v>46128</v>
      </c>
      <c r="B4040" t="s">
        <v>51</v>
      </c>
      <c r="C4040" s="1" t="s">
        <v>48</v>
      </c>
      <c r="D4040" s="3">
        <v>35</v>
      </c>
      <c r="E4040" s="3">
        <v>25</v>
      </c>
      <c r="F4040" s="3">
        <v>15.05</v>
      </c>
      <c r="G4040" s="3">
        <v>0</v>
      </c>
      <c r="H4040" s="3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 s="3">
        <v>29</v>
      </c>
      <c r="N4040" s="3">
        <v>97.86</v>
      </c>
      <c r="O4040" s="12">
        <v>31.018518518518519</v>
      </c>
    </row>
    <row r="4041" spans="1:15" hidden="1" x14ac:dyDescent="0.25">
      <c r="A4041" s="10">
        <v>46128</v>
      </c>
      <c r="B4041" t="s">
        <v>61</v>
      </c>
      <c r="C4041" s="1" t="s">
        <v>23</v>
      </c>
      <c r="D4041" s="3">
        <v>22</v>
      </c>
      <c r="E4041" s="3">
        <v>22</v>
      </c>
      <c r="F4041" s="3">
        <v>17.27</v>
      </c>
      <c r="G4041" s="3">
        <v>0</v>
      </c>
      <c r="H4041" s="3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 s="3">
        <v>23</v>
      </c>
      <c r="N4041" s="3">
        <v>100</v>
      </c>
      <c r="O4041" s="12">
        <v>36.594202898550733</v>
      </c>
    </row>
    <row r="4042" spans="1:15" hidden="1" x14ac:dyDescent="0.25">
      <c r="A4042" s="10">
        <v>46128</v>
      </c>
      <c r="B4042" t="s">
        <v>35</v>
      </c>
      <c r="C4042" s="1" t="s">
        <v>32</v>
      </c>
      <c r="D4042" s="3">
        <v>8</v>
      </c>
      <c r="E4042" s="3">
        <v>8</v>
      </c>
      <c r="F4042" s="3">
        <v>35.44</v>
      </c>
      <c r="G4042" s="3">
        <v>0</v>
      </c>
      <c r="H4042" s="3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 s="3">
        <v>12</v>
      </c>
      <c r="N4042" s="3">
        <v>100</v>
      </c>
      <c r="O4042" s="12">
        <v>38.653846153846153</v>
      </c>
    </row>
    <row r="4043" spans="1:15" hidden="1" x14ac:dyDescent="0.25">
      <c r="A4043" s="10">
        <v>46128</v>
      </c>
      <c r="B4043" t="s">
        <v>18</v>
      </c>
      <c r="C4043" s="1" t="s">
        <v>16</v>
      </c>
      <c r="D4043" s="3">
        <v>6</v>
      </c>
      <c r="E4043" s="3">
        <v>5</v>
      </c>
      <c r="F4043" s="3">
        <v>27.29</v>
      </c>
      <c r="G4043" s="3">
        <v>0</v>
      </c>
      <c r="H4043" s="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 s="3">
        <v>3</v>
      </c>
      <c r="N4043" s="3">
        <v>100</v>
      </c>
      <c r="O4043" s="12">
        <v>27.368421052631579</v>
      </c>
    </row>
    <row r="4044" spans="1:15" hidden="1" x14ac:dyDescent="0.25">
      <c r="A4044" s="10">
        <v>46128</v>
      </c>
      <c r="B4044" t="s">
        <v>52</v>
      </c>
      <c r="C4044" s="1" t="s">
        <v>48</v>
      </c>
      <c r="D4044" s="3">
        <v>27</v>
      </c>
      <c r="E4044" s="3">
        <v>25</v>
      </c>
      <c r="F4044" s="3">
        <v>17.27</v>
      </c>
      <c r="G4044" s="3">
        <v>0</v>
      </c>
      <c r="H4044" s="3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 s="3">
        <v>24</v>
      </c>
      <c r="N4044" s="3">
        <v>97.83</v>
      </c>
      <c r="O4044" s="12">
        <v>28.35164835164835</v>
      </c>
    </row>
    <row r="4045" spans="1:15" hidden="1" x14ac:dyDescent="0.25">
      <c r="A4045" s="10">
        <v>46128</v>
      </c>
      <c r="B4045" t="s">
        <v>36</v>
      </c>
      <c r="C4045" s="1" t="s">
        <v>32</v>
      </c>
      <c r="D4045" s="3">
        <v>21</v>
      </c>
      <c r="E4045" s="3">
        <v>19</v>
      </c>
      <c r="F4045" s="3">
        <v>20.100000000000001</v>
      </c>
      <c r="G4045" s="3">
        <v>0</v>
      </c>
      <c r="H4045" s="3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 s="3">
        <v>22</v>
      </c>
      <c r="N4045" s="3">
        <v>99.26</v>
      </c>
      <c r="O4045" s="12">
        <v>29.766536964980549</v>
      </c>
    </row>
    <row r="4046" spans="1:15" hidden="1" x14ac:dyDescent="0.25">
      <c r="A4046" s="10">
        <v>46128</v>
      </c>
      <c r="B4046" t="s">
        <v>53</v>
      </c>
      <c r="C4046" s="1" t="s">
        <v>48</v>
      </c>
      <c r="D4046" s="3">
        <v>27</v>
      </c>
      <c r="E4046" s="3">
        <v>26</v>
      </c>
      <c r="F4046" s="3">
        <v>28.54</v>
      </c>
      <c r="G4046" s="3">
        <v>0</v>
      </c>
      <c r="H4046" s="3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 s="3">
        <v>22</v>
      </c>
      <c r="N4046" s="3">
        <v>99.19</v>
      </c>
      <c r="O4046" s="12">
        <v>29.462365591397852</v>
      </c>
    </row>
    <row r="4047" spans="1:15" x14ac:dyDescent="0.25">
      <c r="A4047" s="5">
        <v>46163</v>
      </c>
      <c r="B4047" s="6" t="s">
        <v>20</v>
      </c>
      <c r="C4047" s="1" t="s">
        <v>16</v>
      </c>
      <c r="D4047" s="3">
        <v>14</v>
      </c>
      <c r="E4047" s="3">
        <v>13</v>
      </c>
      <c r="F4047" s="3">
        <v>33.54</v>
      </c>
      <c r="G4047" s="3">
        <v>0</v>
      </c>
      <c r="H4047" s="3">
        <v>0</v>
      </c>
      <c r="I4047" s="3">
        <f>E4047+G4047+H4047</f>
        <v>13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6</v>
      </c>
      <c r="K4047" s="3">
        <f>I4047-J4047</f>
        <v>7</v>
      </c>
      <c r="L4047" s="3" t="str">
        <f>IF(K4047&lt;-5,"CRÍTICO",IF(K4047&lt;0,"ATENÇÃO",IF(K4047&lt;=5,"OPORTUNO","MUITO BOM")))</f>
        <v>MUITO BOM</v>
      </c>
      <c r="M4047" s="3">
        <v>8</v>
      </c>
      <c r="N4047" s="3">
        <v>100</v>
      </c>
      <c r="O4047" s="12">
        <v>17.1875</v>
      </c>
    </row>
    <row r="4048" spans="1:15" hidden="1" x14ac:dyDescent="0.25">
      <c r="A4048" s="10">
        <v>46128</v>
      </c>
      <c r="B4048" t="s">
        <v>54</v>
      </c>
      <c r="C4048" s="1" t="s">
        <v>48</v>
      </c>
      <c r="D4048" s="3">
        <v>0</v>
      </c>
      <c r="E4048" s="3">
        <v>0</v>
      </c>
      <c r="F4048" s="3">
        <v>0</v>
      </c>
      <c r="G4048" s="3">
        <v>0</v>
      </c>
      <c r="H4048" s="3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 s="3">
        <v>0</v>
      </c>
      <c r="N4048" s="3">
        <v>100</v>
      </c>
      <c r="O4048" s="12">
        <v>28.921568627450981</v>
      </c>
    </row>
    <row r="4049" spans="1:15" hidden="1" x14ac:dyDescent="0.25">
      <c r="A4049" s="10">
        <v>46128</v>
      </c>
      <c r="B4049" t="s">
        <v>37</v>
      </c>
      <c r="C4049" s="1" t="s">
        <v>32</v>
      </c>
      <c r="D4049" s="3">
        <v>38</v>
      </c>
      <c r="E4049" s="3">
        <v>34</v>
      </c>
      <c r="F4049" s="3">
        <v>14.17</v>
      </c>
      <c r="G4049" s="3">
        <v>0</v>
      </c>
      <c r="H4049" s="3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 s="3">
        <v>31</v>
      </c>
      <c r="N4049" s="3">
        <v>99.57</v>
      </c>
      <c r="O4049" s="12">
        <v>30.635838150289018</v>
      </c>
    </row>
    <row r="4050" spans="1:15" hidden="1" x14ac:dyDescent="0.25">
      <c r="A4050" s="10">
        <v>46128</v>
      </c>
      <c r="B4050" t="s">
        <v>38</v>
      </c>
      <c r="C4050" s="1" t="s">
        <v>32</v>
      </c>
      <c r="D4050" s="3">
        <v>0</v>
      </c>
      <c r="E4050" s="3">
        <v>0</v>
      </c>
      <c r="F4050" s="3">
        <v>0</v>
      </c>
      <c r="G4050" s="3">
        <v>0</v>
      </c>
      <c r="H4050" s="3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 s="3">
        <v>0</v>
      </c>
      <c r="N4050" s="3">
        <v>95.65</v>
      </c>
      <c r="O4050" s="12">
        <v>32.432432432432442</v>
      </c>
    </row>
    <row r="4051" spans="1:15" hidden="1" x14ac:dyDescent="0.25">
      <c r="A4051" s="10">
        <v>46128</v>
      </c>
      <c r="B4051" t="s">
        <v>55</v>
      </c>
      <c r="C4051" s="1" t="s">
        <v>48</v>
      </c>
      <c r="D4051" s="3">
        <v>11</v>
      </c>
      <c r="E4051" s="3">
        <v>10</v>
      </c>
      <c r="F4051" s="3">
        <v>17.239999999999998</v>
      </c>
      <c r="G4051" s="3">
        <v>0</v>
      </c>
      <c r="H4051" s="3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 s="3">
        <v>9</v>
      </c>
      <c r="N4051" s="3">
        <v>98.81</v>
      </c>
      <c r="O4051" s="12">
        <v>26.256983240223459</v>
      </c>
    </row>
    <row r="4052" spans="1:15" hidden="1" x14ac:dyDescent="0.25">
      <c r="A4052" s="10">
        <v>46128</v>
      </c>
      <c r="B4052" t="s">
        <v>39</v>
      </c>
      <c r="C4052" s="1" t="s">
        <v>32</v>
      </c>
      <c r="D4052" s="3">
        <v>0</v>
      </c>
      <c r="E4052" s="3">
        <v>0</v>
      </c>
      <c r="F4052" s="3">
        <v>0</v>
      </c>
      <c r="G4052" s="3">
        <v>0</v>
      </c>
      <c r="H4052" s="3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 s="3">
        <v>0</v>
      </c>
      <c r="N4052" s="3">
        <v>0</v>
      </c>
      <c r="O4052" s="12">
        <v>0</v>
      </c>
    </row>
    <row r="4053" spans="1:15" hidden="1" x14ac:dyDescent="0.25">
      <c r="A4053" s="10">
        <v>46128</v>
      </c>
      <c r="B4053" t="s">
        <v>25</v>
      </c>
      <c r="C4053" s="1" t="s">
        <v>26</v>
      </c>
      <c r="D4053" s="3">
        <v>21</v>
      </c>
      <c r="E4053" s="3">
        <v>19</v>
      </c>
      <c r="F4053" s="3">
        <v>18.54</v>
      </c>
      <c r="G4053" s="3">
        <v>0</v>
      </c>
      <c r="H4053" s="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 s="3">
        <v>20</v>
      </c>
      <c r="N4053" s="3">
        <v>97.17</v>
      </c>
      <c r="O4053" s="12">
        <v>28.81844380403458</v>
      </c>
    </row>
    <row r="4054" spans="1:15" hidden="1" x14ac:dyDescent="0.25">
      <c r="A4054" s="10">
        <v>46128</v>
      </c>
      <c r="B4054" t="s">
        <v>40</v>
      </c>
      <c r="C4054" s="1" t="s">
        <v>32</v>
      </c>
      <c r="D4054" s="3">
        <v>0</v>
      </c>
      <c r="E4054" s="3">
        <v>0</v>
      </c>
      <c r="F4054" s="3">
        <v>0</v>
      </c>
      <c r="G4054" s="3">
        <v>0</v>
      </c>
      <c r="H4054" s="3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 s="3">
        <v>22</v>
      </c>
      <c r="N4054" s="3">
        <v>96.81</v>
      </c>
      <c r="O4054" s="12">
        <v>48.018648018648022</v>
      </c>
    </row>
    <row r="4055" spans="1:15" hidden="1" x14ac:dyDescent="0.25">
      <c r="A4055" s="10">
        <v>46128</v>
      </c>
      <c r="B4055" t="s">
        <v>27</v>
      </c>
      <c r="C4055" s="1" t="s">
        <v>26</v>
      </c>
      <c r="D4055" s="3">
        <v>17</v>
      </c>
      <c r="E4055" s="3">
        <v>13</v>
      </c>
      <c r="F4055" s="3">
        <v>24.14</v>
      </c>
      <c r="G4055" s="3">
        <v>0</v>
      </c>
      <c r="H4055" s="3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 s="3">
        <v>11</v>
      </c>
      <c r="N4055" s="3">
        <v>98.15</v>
      </c>
      <c r="O4055" s="12">
        <v>27.1551724137931</v>
      </c>
    </row>
    <row r="4056" spans="1:15" hidden="1" x14ac:dyDescent="0.25">
      <c r="A4056" s="10">
        <v>46128</v>
      </c>
      <c r="B4056" t="s">
        <v>41</v>
      </c>
      <c r="C4056" s="1" t="s">
        <v>32</v>
      </c>
      <c r="D4056" s="3">
        <v>23</v>
      </c>
      <c r="E4056" s="3">
        <v>19</v>
      </c>
      <c r="F4056" s="3">
        <v>17.29</v>
      </c>
      <c r="G4056" s="3">
        <v>0</v>
      </c>
      <c r="H4056" s="3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 s="3">
        <v>19</v>
      </c>
      <c r="N4056" s="3">
        <v>99.15</v>
      </c>
      <c r="O4056" s="12">
        <v>27.586206896551719</v>
      </c>
    </row>
    <row r="4057" spans="1:15" hidden="1" x14ac:dyDescent="0.25">
      <c r="A4057" s="10">
        <v>46128</v>
      </c>
      <c r="B4057" t="s">
        <v>56</v>
      </c>
      <c r="C4057" s="1" t="s">
        <v>48</v>
      </c>
      <c r="D4057" s="3">
        <v>30</v>
      </c>
      <c r="E4057" s="3">
        <v>29</v>
      </c>
      <c r="F4057" s="3">
        <v>20.16</v>
      </c>
      <c r="G4057" s="3">
        <v>0</v>
      </c>
      <c r="H4057" s="3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 s="3">
        <v>17</v>
      </c>
      <c r="N4057" s="3">
        <v>99.17</v>
      </c>
      <c r="O4057" s="12">
        <v>29.75206611570248</v>
      </c>
    </row>
    <row r="4058" spans="1:15" hidden="1" x14ac:dyDescent="0.25">
      <c r="A4058" s="10">
        <v>46128</v>
      </c>
      <c r="B4058" t="s">
        <v>57</v>
      </c>
      <c r="C4058" s="1" t="s">
        <v>48</v>
      </c>
      <c r="D4058" s="3">
        <v>0</v>
      </c>
      <c r="E4058" s="3">
        <v>0</v>
      </c>
      <c r="F4058" s="3">
        <v>0</v>
      </c>
      <c r="G4058" s="3">
        <v>0</v>
      </c>
      <c r="H4058" s="3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 s="3">
        <v>0</v>
      </c>
      <c r="N4058" s="3">
        <v>98.73</v>
      </c>
      <c r="O4058" s="12">
        <v>28.961748633879779</v>
      </c>
    </row>
    <row r="4059" spans="1:15" hidden="1" x14ac:dyDescent="0.25">
      <c r="A4059" s="10">
        <v>46128</v>
      </c>
      <c r="B4059" t="s">
        <v>42</v>
      </c>
      <c r="C4059" s="1" t="s">
        <v>32</v>
      </c>
      <c r="D4059" s="3">
        <v>16</v>
      </c>
      <c r="E4059" s="3">
        <v>14</v>
      </c>
      <c r="F4059" s="3">
        <v>15.23</v>
      </c>
      <c r="G4059" s="3">
        <v>0</v>
      </c>
      <c r="H4059" s="3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 s="3">
        <v>11</v>
      </c>
      <c r="N4059" s="3">
        <v>88.68</v>
      </c>
      <c r="O4059" s="12">
        <v>22.03389830508474</v>
      </c>
    </row>
    <row r="4060" spans="1:15" hidden="1" x14ac:dyDescent="0.25">
      <c r="A4060" s="10">
        <v>46128</v>
      </c>
      <c r="B4060" t="s">
        <v>62</v>
      </c>
      <c r="C4060" s="1" t="s">
        <v>23</v>
      </c>
      <c r="D4060" s="3">
        <v>19</v>
      </c>
      <c r="E4060" s="3">
        <v>18</v>
      </c>
      <c r="F4060" s="3">
        <v>25.17</v>
      </c>
      <c r="G4060" s="3">
        <v>0</v>
      </c>
      <c r="H4060" s="3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 s="3">
        <v>20</v>
      </c>
      <c r="N4060" s="3">
        <v>97.37</v>
      </c>
      <c r="O4060" s="12">
        <v>25.76530612244898</v>
      </c>
    </row>
    <row r="4061" spans="1:15" hidden="1" x14ac:dyDescent="0.25">
      <c r="A4061" s="10">
        <v>46128</v>
      </c>
      <c r="B4061" t="s">
        <v>19</v>
      </c>
      <c r="C4061" s="1" t="s">
        <v>16</v>
      </c>
      <c r="D4061" s="3">
        <v>75</v>
      </c>
      <c r="E4061" s="3">
        <v>29</v>
      </c>
      <c r="F4061" s="3">
        <v>7.09</v>
      </c>
      <c r="G4061" s="3">
        <v>0</v>
      </c>
      <c r="H4061" s="3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 s="3">
        <v>4</v>
      </c>
      <c r="N4061" s="3">
        <v>100</v>
      </c>
      <c r="O4061" s="12">
        <v>25</v>
      </c>
    </row>
    <row r="4062" spans="1:15" x14ac:dyDescent="0.25">
      <c r="A4062" s="9">
        <v>46164</v>
      </c>
      <c r="B4062" s="6" t="s">
        <v>20</v>
      </c>
      <c r="C4062" s="1" t="s">
        <v>16</v>
      </c>
      <c r="D4062" s="3">
        <v>15</v>
      </c>
      <c r="E4062" s="3">
        <v>14</v>
      </c>
      <c r="F4062" s="3">
        <v>31.4</v>
      </c>
      <c r="G4062" s="3">
        <v>0</v>
      </c>
      <c r="H4062" s="3">
        <v>0</v>
      </c>
      <c r="I4062" s="3">
        <f>E4062+G4062+H4062</f>
        <v>14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6</v>
      </c>
      <c r="K4062" s="3">
        <f>I4062-J4062</f>
        <v>8</v>
      </c>
      <c r="L4062" s="3" t="str">
        <f>IF(K4062&lt;-5,"CRÍTICO",IF(K4062&lt;0,"ATENÇÃO",IF(K4062&lt;=5,"OPORTUNO","MUITO BOM")))</f>
        <v>MUITO BOM</v>
      </c>
      <c r="M4062" s="3">
        <v>11</v>
      </c>
      <c r="N4062" s="3">
        <v>100</v>
      </c>
      <c r="O4062" s="12">
        <v>17.1875</v>
      </c>
    </row>
    <row r="4063" spans="1:15" hidden="1" x14ac:dyDescent="0.25">
      <c r="A4063" s="10">
        <v>46128</v>
      </c>
      <c r="B4063" t="s">
        <v>44</v>
      </c>
      <c r="C4063" s="1" t="s">
        <v>32</v>
      </c>
      <c r="D4063" s="3">
        <v>36</v>
      </c>
      <c r="E4063" s="3">
        <v>34</v>
      </c>
      <c r="F4063" s="3">
        <v>15.11</v>
      </c>
      <c r="G4063" s="3">
        <v>0</v>
      </c>
      <c r="H4063" s="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 s="3">
        <v>34</v>
      </c>
      <c r="N4063" s="3">
        <v>95.49</v>
      </c>
      <c r="O4063" s="12">
        <v>28.370221327967808</v>
      </c>
    </row>
    <row r="4064" spans="1:15" x14ac:dyDescent="0.25">
      <c r="A4064" s="10">
        <v>46167</v>
      </c>
      <c r="B4064" t="s">
        <v>20</v>
      </c>
      <c r="C4064" s="1" t="s">
        <v>16</v>
      </c>
      <c r="D4064" s="3">
        <v>5</v>
      </c>
      <c r="E4064" s="3">
        <v>5</v>
      </c>
      <c r="F4064" s="3">
        <v>54.07</v>
      </c>
      <c r="G4064" s="3">
        <v>0</v>
      </c>
      <c r="H4064" s="3">
        <v>0</v>
      </c>
      <c r="I4064" s="3">
        <f>E4064+G4064+H4064</f>
        <v>5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6</v>
      </c>
      <c r="K4064" s="3">
        <f>I4064-J4064</f>
        <v>-1</v>
      </c>
      <c r="L4064" s="3" t="str">
        <f>IF(K4064&lt;-5,"CRÍTICO",IF(K4064&lt;0,"ATENÇÃO",IF(K4064&lt;=5,"OPORTUNO","MUITO BOM")))</f>
        <v>ATENÇÃO</v>
      </c>
      <c r="M4064" s="3">
        <v>5</v>
      </c>
      <c r="N4064" s="3">
        <v>100</v>
      </c>
      <c r="O4064" s="12">
        <v>17.1875</v>
      </c>
    </row>
    <row r="4065" spans="1:15" hidden="1" x14ac:dyDescent="0.25">
      <c r="A4065" s="10">
        <v>46128</v>
      </c>
      <c r="B4065" t="s">
        <v>28</v>
      </c>
      <c r="C4065" s="1" t="s">
        <v>26</v>
      </c>
      <c r="D4065" s="3">
        <v>30</v>
      </c>
      <c r="E4065" s="3">
        <v>25</v>
      </c>
      <c r="F4065" s="3">
        <v>17</v>
      </c>
      <c r="G4065" s="3">
        <v>0</v>
      </c>
      <c r="H4065" s="3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 s="3">
        <v>15</v>
      </c>
      <c r="N4065" s="3">
        <v>96.15</v>
      </c>
      <c r="O4065" s="12">
        <v>24.045801526717561</v>
      </c>
    </row>
    <row r="4066" spans="1:15" hidden="1" x14ac:dyDescent="0.25">
      <c r="A4066" s="10">
        <v>46128</v>
      </c>
      <c r="B4066" t="s">
        <v>58</v>
      </c>
      <c r="C4066" s="1" t="s">
        <v>48</v>
      </c>
      <c r="D4066" s="3">
        <v>21</v>
      </c>
      <c r="E4066" s="3">
        <v>19</v>
      </c>
      <c r="F4066" s="3">
        <v>25.38</v>
      </c>
      <c r="G4066" s="3">
        <v>0</v>
      </c>
      <c r="H4066" s="3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 s="3">
        <v>16</v>
      </c>
      <c r="N4066" s="3">
        <v>99.02</v>
      </c>
      <c r="O4066" s="12">
        <v>34.797297297297298</v>
      </c>
    </row>
    <row r="4067" spans="1:15" hidden="1" x14ac:dyDescent="0.25">
      <c r="A4067" s="10">
        <v>46128</v>
      </c>
      <c r="B4067" t="s">
        <v>29</v>
      </c>
      <c r="C4067" s="1" t="s">
        <v>26</v>
      </c>
      <c r="D4067" s="3">
        <v>11</v>
      </c>
      <c r="E4067" s="3">
        <v>11</v>
      </c>
      <c r="F4067" s="3">
        <v>18.41</v>
      </c>
      <c r="G4067" s="3">
        <v>0</v>
      </c>
      <c r="H4067" s="3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 s="3">
        <v>13</v>
      </c>
      <c r="N4067" s="3">
        <v>98.84</v>
      </c>
      <c r="O4067" s="12">
        <v>31.868131868131869</v>
      </c>
    </row>
    <row r="4068" spans="1:15" hidden="1" x14ac:dyDescent="0.25">
      <c r="A4068" s="10">
        <v>46128</v>
      </c>
      <c r="B4068" t="s">
        <v>30</v>
      </c>
      <c r="C4068" s="1" t="s">
        <v>26</v>
      </c>
      <c r="D4068" s="3">
        <v>16</v>
      </c>
      <c r="E4068" s="3">
        <v>14</v>
      </c>
      <c r="F4068" s="3">
        <v>15.51</v>
      </c>
      <c r="G4068" s="3">
        <v>0</v>
      </c>
      <c r="H4068" s="3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 s="3">
        <v>13</v>
      </c>
      <c r="N4068" s="3">
        <v>100</v>
      </c>
      <c r="O4068" s="12">
        <v>34.666666666666671</v>
      </c>
    </row>
    <row r="4069" spans="1:15" x14ac:dyDescent="0.25">
      <c r="A4069" s="10">
        <v>46168</v>
      </c>
      <c r="B4069" t="s">
        <v>20</v>
      </c>
      <c r="C4069" s="1" t="s">
        <v>16</v>
      </c>
      <c r="D4069" s="3">
        <v>15</v>
      </c>
      <c r="E4069" s="3">
        <v>15</v>
      </c>
      <c r="F4069" s="3">
        <v>32.39</v>
      </c>
      <c r="G4069" s="3">
        <v>0</v>
      </c>
      <c r="H4069" s="3">
        <v>0</v>
      </c>
      <c r="I4069" s="3">
        <f>E4069+G4069+H4069</f>
        <v>15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7</v>
      </c>
      <c r="L4069" s="3" t="str">
        <f>IF(K4069&lt;-5,"CRÍTICO",IF(K4069&lt;0,"ATENÇÃO",IF(K4069&lt;=5,"OPORTUNO","MUITO BOM")))</f>
        <v>MUITO BOM</v>
      </c>
      <c r="M4069" s="3">
        <v>10</v>
      </c>
      <c r="N4069" s="3">
        <v>100</v>
      </c>
      <c r="O4069" s="12">
        <v>17.96875</v>
      </c>
    </row>
    <row r="4070" spans="1:15" hidden="1" x14ac:dyDescent="0.25">
      <c r="A4070" s="10">
        <v>46128</v>
      </c>
      <c r="B4070" t="s">
        <v>63</v>
      </c>
      <c r="C4070" s="1" t="s">
        <v>23</v>
      </c>
      <c r="D4070" s="3">
        <v>38</v>
      </c>
      <c r="E4070" s="3">
        <v>36</v>
      </c>
      <c r="F4070" s="3">
        <v>11.53</v>
      </c>
      <c r="G4070" s="3">
        <v>0</v>
      </c>
      <c r="H4070" s="3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 s="3">
        <v>32</v>
      </c>
      <c r="N4070" s="3">
        <v>98.32</v>
      </c>
      <c r="O4070" s="12">
        <v>26.858513189448441</v>
      </c>
    </row>
    <row r="4071" spans="1:15" hidden="1" x14ac:dyDescent="0.25">
      <c r="A4071" s="10">
        <v>46128</v>
      </c>
      <c r="B4071" t="s">
        <v>45</v>
      </c>
      <c r="C4071" s="1" t="s">
        <v>32</v>
      </c>
      <c r="D4071" s="3">
        <v>38</v>
      </c>
      <c r="E4071" s="3">
        <v>34</v>
      </c>
      <c r="F4071" s="3">
        <v>13.27</v>
      </c>
      <c r="G4071" s="3">
        <v>0</v>
      </c>
      <c r="H4071" s="3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 s="3">
        <v>27</v>
      </c>
      <c r="N4071" s="3">
        <v>100</v>
      </c>
      <c r="O4071" s="12">
        <v>31.135531135531139</v>
      </c>
    </row>
    <row r="4072" spans="1:15" hidden="1" x14ac:dyDescent="0.25">
      <c r="A4072" s="10">
        <v>46128</v>
      </c>
      <c r="B4072" t="s">
        <v>64</v>
      </c>
      <c r="C4072" s="1" t="s">
        <v>23</v>
      </c>
      <c r="D4072" s="3">
        <v>19</v>
      </c>
      <c r="E4072" s="3">
        <v>18</v>
      </c>
      <c r="F4072" s="3">
        <v>24.08</v>
      </c>
      <c r="G4072" s="3">
        <v>0</v>
      </c>
      <c r="H4072" s="3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 s="3">
        <v>14</v>
      </c>
      <c r="N4072" s="3">
        <v>100</v>
      </c>
      <c r="O4072" s="12">
        <v>26.36986301369863</v>
      </c>
    </row>
    <row r="4073" spans="1:15" hidden="1" x14ac:dyDescent="0.25">
      <c r="A4073" s="10">
        <v>46128</v>
      </c>
      <c r="B4073" t="s">
        <v>46</v>
      </c>
      <c r="C4073" s="1" t="s">
        <v>32</v>
      </c>
      <c r="D4073" s="3">
        <v>29</v>
      </c>
      <c r="E4073" s="3">
        <v>28</v>
      </c>
      <c r="F4073" s="3">
        <v>17.079999999999998</v>
      </c>
      <c r="G4073" s="3">
        <v>0</v>
      </c>
      <c r="H4073" s="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 s="3">
        <v>25</v>
      </c>
      <c r="N4073" s="3">
        <v>99.21</v>
      </c>
      <c r="O4073" s="12">
        <v>25.188916876574311</v>
      </c>
    </row>
    <row r="4074" spans="1:15" hidden="1" x14ac:dyDescent="0.25">
      <c r="A4074" s="10">
        <v>46129</v>
      </c>
      <c r="B4074" t="s">
        <v>47</v>
      </c>
      <c r="C4074" s="1" t="s">
        <v>48</v>
      </c>
      <c r="D4074" s="3">
        <v>25</v>
      </c>
      <c r="E4074" s="3">
        <v>21</v>
      </c>
      <c r="F4074" s="3">
        <v>12.19</v>
      </c>
      <c r="G4074" s="3">
        <v>0</v>
      </c>
      <c r="H4074" s="3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 s="3">
        <v>4</v>
      </c>
      <c r="N4074" s="3">
        <v>100</v>
      </c>
      <c r="O4074" s="12">
        <v>32.764505119453922</v>
      </c>
    </row>
    <row r="4075" spans="1:15" hidden="1" x14ac:dyDescent="0.25">
      <c r="A4075" s="10">
        <v>46129</v>
      </c>
      <c r="B4075" t="s">
        <v>31</v>
      </c>
      <c r="C4075" s="1" t="s">
        <v>32</v>
      </c>
      <c r="D4075" s="3">
        <v>0</v>
      </c>
      <c r="E4075" s="3">
        <v>0</v>
      </c>
      <c r="F4075" s="3">
        <v>0</v>
      </c>
      <c r="G4075" s="3">
        <v>0</v>
      </c>
      <c r="H4075" s="3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 s="3">
        <v>30</v>
      </c>
      <c r="N4075" s="3">
        <v>98.66</v>
      </c>
      <c r="O4075" s="12">
        <v>35.416666666666671</v>
      </c>
    </row>
    <row r="4076" spans="1:15" hidden="1" x14ac:dyDescent="0.25">
      <c r="A4076" s="10">
        <v>46129</v>
      </c>
      <c r="B4076" t="s">
        <v>59</v>
      </c>
      <c r="C4076" s="1" t="s">
        <v>23</v>
      </c>
      <c r="D4076" s="3">
        <v>22</v>
      </c>
      <c r="E4076" s="3">
        <v>22</v>
      </c>
      <c r="F4076" s="3">
        <v>27.15</v>
      </c>
      <c r="G4076" s="3">
        <v>0</v>
      </c>
      <c r="H4076" s="3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 s="3">
        <v>21</v>
      </c>
      <c r="N4076" s="3">
        <v>99.32</v>
      </c>
      <c r="O4076" s="12">
        <v>30.648330058939099</v>
      </c>
    </row>
    <row r="4077" spans="1:15" hidden="1" x14ac:dyDescent="0.25">
      <c r="A4077" s="10">
        <v>46129</v>
      </c>
      <c r="B4077" t="s">
        <v>33</v>
      </c>
      <c r="C4077" s="1" t="s">
        <v>32</v>
      </c>
      <c r="D4077" s="3">
        <v>28</v>
      </c>
      <c r="E4077" s="3">
        <v>23</v>
      </c>
      <c r="F4077" s="3">
        <v>18.2</v>
      </c>
      <c r="G4077" s="3">
        <v>0</v>
      </c>
      <c r="H4077" s="3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 s="3">
        <v>20</v>
      </c>
      <c r="N4077" s="3">
        <v>100</v>
      </c>
      <c r="O4077" s="12">
        <v>27.803738317757009</v>
      </c>
    </row>
    <row r="4078" spans="1:15" hidden="1" x14ac:dyDescent="0.25">
      <c r="A4078" s="10">
        <v>46129</v>
      </c>
      <c r="B4078" t="s">
        <v>15</v>
      </c>
      <c r="C4078" s="1" t="s">
        <v>16</v>
      </c>
      <c r="D4078" s="3">
        <v>0</v>
      </c>
      <c r="E4078" s="3">
        <v>0</v>
      </c>
      <c r="F4078" s="3">
        <v>0</v>
      </c>
      <c r="G4078" s="3">
        <v>0</v>
      </c>
      <c r="H4078" s="3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 s="3">
        <v>0</v>
      </c>
      <c r="N4078" s="3">
        <v>96.74</v>
      </c>
      <c r="O4078" s="12">
        <v>28.67647058823529</v>
      </c>
    </row>
    <row r="4079" spans="1:15" hidden="1" x14ac:dyDescent="0.25">
      <c r="A4079" s="10">
        <v>46129</v>
      </c>
      <c r="B4079" t="s">
        <v>49</v>
      </c>
      <c r="C4079" s="1" t="s">
        <v>48</v>
      </c>
      <c r="D4079" s="3">
        <v>36</v>
      </c>
      <c r="E4079" s="3">
        <v>32</v>
      </c>
      <c r="F4079" s="3">
        <v>15.03</v>
      </c>
      <c r="G4079" s="3">
        <v>0</v>
      </c>
      <c r="H4079" s="3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 s="3">
        <v>31</v>
      </c>
      <c r="N4079" s="3">
        <v>98.82</v>
      </c>
      <c r="O4079" s="12">
        <v>30.741410488245929</v>
      </c>
    </row>
    <row r="4080" spans="1:15" hidden="1" x14ac:dyDescent="0.25">
      <c r="A4080" s="10">
        <v>46129</v>
      </c>
      <c r="B4080" t="s">
        <v>50</v>
      </c>
      <c r="C4080" s="1" t="s">
        <v>48</v>
      </c>
      <c r="D4080" s="3">
        <v>16</v>
      </c>
      <c r="E4080" s="3">
        <v>16</v>
      </c>
      <c r="F4080" s="3">
        <v>38.22</v>
      </c>
      <c r="G4080" s="3">
        <v>0</v>
      </c>
      <c r="H4080" s="3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 s="3">
        <v>14</v>
      </c>
      <c r="N4080" s="3">
        <v>98.2</v>
      </c>
      <c r="O4080" s="12">
        <v>27.170868347338931</v>
      </c>
    </row>
    <row r="4081" spans="1:15" hidden="1" x14ac:dyDescent="0.25">
      <c r="A4081" s="10">
        <v>46129</v>
      </c>
      <c r="B4081" t="s">
        <v>17</v>
      </c>
      <c r="C4081" s="1" t="s">
        <v>16</v>
      </c>
      <c r="D4081" s="3">
        <v>7</v>
      </c>
      <c r="E4081" s="3">
        <v>6</v>
      </c>
      <c r="F4081" s="3">
        <v>39.08</v>
      </c>
      <c r="G4081" s="3">
        <v>0</v>
      </c>
      <c r="H4081" s="3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 s="3">
        <v>6</v>
      </c>
      <c r="N4081" s="3">
        <v>100</v>
      </c>
      <c r="O4081" s="12">
        <v>23.134328358208951</v>
      </c>
    </row>
    <row r="4082" spans="1:15" hidden="1" x14ac:dyDescent="0.25">
      <c r="A4082" s="10">
        <v>46129</v>
      </c>
      <c r="B4082" t="s">
        <v>60</v>
      </c>
      <c r="C4082" s="1" t="s">
        <v>23</v>
      </c>
      <c r="D4082" s="3">
        <v>29</v>
      </c>
      <c r="E4082" s="3">
        <v>26</v>
      </c>
      <c r="F4082" s="3">
        <v>15.35</v>
      </c>
      <c r="G4082" s="3">
        <v>0</v>
      </c>
      <c r="H4082" s="3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 s="3">
        <v>29</v>
      </c>
      <c r="N4082" s="3">
        <v>96.3</v>
      </c>
      <c r="O4082" s="12">
        <v>32.219570405727922</v>
      </c>
    </row>
    <row r="4083" spans="1:15" hidden="1" x14ac:dyDescent="0.25">
      <c r="A4083" s="10">
        <v>46129</v>
      </c>
      <c r="B4083" t="s">
        <v>34</v>
      </c>
      <c r="C4083" s="1" t="s">
        <v>32</v>
      </c>
      <c r="D4083" s="3">
        <v>30</v>
      </c>
      <c r="E4083" s="3">
        <v>27</v>
      </c>
      <c r="F4083" s="3">
        <v>12.3</v>
      </c>
      <c r="G4083" s="3">
        <v>0</v>
      </c>
      <c r="H4083" s="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 s="3">
        <v>26</v>
      </c>
      <c r="N4083" s="3">
        <v>93.75</v>
      </c>
      <c r="O4083" s="12">
        <v>26.819923371647509</v>
      </c>
    </row>
    <row r="4084" spans="1:15" hidden="1" x14ac:dyDescent="0.25">
      <c r="A4084" s="10">
        <v>46129</v>
      </c>
      <c r="B4084" t="s">
        <v>51</v>
      </c>
      <c r="C4084" s="1" t="s">
        <v>48</v>
      </c>
      <c r="D4084" s="3">
        <v>30</v>
      </c>
      <c r="E4084" s="3">
        <v>25</v>
      </c>
      <c r="F4084" s="3">
        <v>20.39</v>
      </c>
      <c r="G4084" s="3">
        <v>0</v>
      </c>
      <c r="H4084" s="3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 s="3">
        <v>20</v>
      </c>
      <c r="N4084" s="3">
        <v>97.86</v>
      </c>
      <c r="O4084" s="12">
        <v>31.018518518518519</v>
      </c>
    </row>
    <row r="4085" spans="1:15" hidden="1" x14ac:dyDescent="0.25">
      <c r="A4085" s="10">
        <v>46129</v>
      </c>
      <c r="B4085" t="s">
        <v>61</v>
      </c>
      <c r="C4085" s="1" t="s">
        <v>23</v>
      </c>
      <c r="D4085" s="3">
        <v>23</v>
      </c>
      <c r="E4085" s="3">
        <v>23</v>
      </c>
      <c r="F4085" s="3">
        <v>19.18</v>
      </c>
      <c r="G4085" s="3">
        <v>0</v>
      </c>
      <c r="H4085" s="3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 s="3">
        <v>15</v>
      </c>
      <c r="N4085" s="3">
        <v>100</v>
      </c>
      <c r="O4085" s="12">
        <v>36.594202898550733</v>
      </c>
    </row>
    <row r="4086" spans="1:15" hidden="1" x14ac:dyDescent="0.25">
      <c r="A4086" s="10">
        <v>46129</v>
      </c>
      <c r="B4086" t="s">
        <v>35</v>
      </c>
      <c r="C4086" s="1" t="s">
        <v>32</v>
      </c>
      <c r="D4086" s="3">
        <v>28</v>
      </c>
      <c r="E4086" s="3">
        <v>27</v>
      </c>
      <c r="F4086" s="3">
        <v>20.11</v>
      </c>
      <c r="G4086" s="3">
        <v>0</v>
      </c>
      <c r="H4086" s="3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 s="3">
        <v>28</v>
      </c>
      <c r="N4086" s="3">
        <v>100</v>
      </c>
      <c r="O4086" s="12">
        <v>38.653846153846153</v>
      </c>
    </row>
    <row r="4087" spans="1:15" hidden="1" x14ac:dyDescent="0.25">
      <c r="A4087" s="10">
        <v>46129</v>
      </c>
      <c r="B4087" t="s">
        <v>18</v>
      </c>
      <c r="C4087" s="1" t="s">
        <v>16</v>
      </c>
      <c r="D4087" s="3">
        <v>13</v>
      </c>
      <c r="E4087" s="3">
        <v>11</v>
      </c>
      <c r="F4087" s="3">
        <v>13.5</v>
      </c>
      <c r="G4087" s="3">
        <v>0</v>
      </c>
      <c r="H4087" s="3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 s="3">
        <v>7</v>
      </c>
      <c r="N4087" s="3">
        <v>100</v>
      </c>
      <c r="O4087" s="12">
        <v>27.368421052631579</v>
      </c>
    </row>
    <row r="4088" spans="1:15" hidden="1" x14ac:dyDescent="0.25">
      <c r="A4088" s="10">
        <v>46129</v>
      </c>
      <c r="B4088" t="s">
        <v>52</v>
      </c>
      <c r="C4088" s="1" t="s">
        <v>48</v>
      </c>
      <c r="D4088" s="3">
        <v>27</v>
      </c>
      <c r="E4088" s="3">
        <v>25</v>
      </c>
      <c r="F4088" s="3">
        <v>17.03</v>
      </c>
      <c r="G4088" s="3">
        <v>0</v>
      </c>
      <c r="H4088" s="3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 s="3">
        <v>25</v>
      </c>
      <c r="N4088" s="3">
        <v>97.83</v>
      </c>
      <c r="O4088" s="12">
        <v>28.35164835164835</v>
      </c>
    </row>
    <row r="4089" spans="1:15" hidden="1" x14ac:dyDescent="0.25">
      <c r="A4089" s="10">
        <v>46129</v>
      </c>
      <c r="B4089" t="s">
        <v>36</v>
      </c>
      <c r="C4089" s="1" t="s">
        <v>32</v>
      </c>
      <c r="D4089" s="3">
        <v>30</v>
      </c>
      <c r="E4089" s="3">
        <v>27</v>
      </c>
      <c r="F4089" s="3">
        <v>14.08</v>
      </c>
      <c r="G4089" s="3">
        <v>0</v>
      </c>
      <c r="H4089" s="3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 s="3">
        <v>30</v>
      </c>
      <c r="N4089" s="3">
        <v>99.26</v>
      </c>
      <c r="O4089" s="12">
        <v>29.766536964980549</v>
      </c>
    </row>
    <row r="4090" spans="1:15" hidden="1" x14ac:dyDescent="0.25">
      <c r="A4090" s="10">
        <v>46129</v>
      </c>
      <c r="B4090" t="s">
        <v>53</v>
      </c>
      <c r="C4090" s="1" t="s">
        <v>48</v>
      </c>
      <c r="D4090" s="3">
        <v>31</v>
      </c>
      <c r="E4090" s="3">
        <v>28</v>
      </c>
      <c r="F4090" s="3">
        <v>15.49</v>
      </c>
      <c r="G4090" s="3">
        <v>0</v>
      </c>
      <c r="H4090" s="3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 s="3">
        <v>23</v>
      </c>
      <c r="N4090" s="3">
        <v>99.19</v>
      </c>
      <c r="O4090" s="12">
        <v>29.462365591397852</v>
      </c>
    </row>
    <row r="4091" spans="1:15" x14ac:dyDescent="0.25">
      <c r="A4091" s="10">
        <v>46169</v>
      </c>
      <c r="B4091" t="s">
        <v>20</v>
      </c>
      <c r="C4091" s="1" t="s">
        <v>16</v>
      </c>
      <c r="D4091" s="3">
        <v>17</v>
      </c>
      <c r="E4091" s="3">
        <v>16</v>
      </c>
      <c r="F4091" s="3">
        <v>27.24</v>
      </c>
      <c r="G4091" s="3">
        <v>0</v>
      </c>
      <c r="H4091" s="3">
        <v>0</v>
      </c>
      <c r="I4091" s="3">
        <f>E4091+G4091+H4091</f>
        <v>16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8</v>
      </c>
      <c r="K4091" s="3">
        <f>I4091-J4091</f>
        <v>8</v>
      </c>
      <c r="L4091" s="3" t="str">
        <f>IF(K4091&lt;-5,"CRÍTICO",IF(K4091&lt;0,"ATENÇÃO",IF(K4091&lt;=5,"OPORTUNO","MUITO BOM")))</f>
        <v>MUITO BOM</v>
      </c>
      <c r="M4091" s="3">
        <v>11</v>
      </c>
      <c r="N4091" s="3">
        <v>100</v>
      </c>
      <c r="O4091" s="12">
        <v>16.546762589928061</v>
      </c>
    </row>
    <row r="4092" spans="1:15" hidden="1" x14ac:dyDescent="0.25">
      <c r="A4092" s="10">
        <v>46129</v>
      </c>
      <c r="B4092" t="s">
        <v>54</v>
      </c>
      <c r="C4092" s="1" t="s">
        <v>48</v>
      </c>
      <c r="D4092" s="3">
        <v>0</v>
      </c>
      <c r="E4092" s="3">
        <v>0</v>
      </c>
      <c r="F4092" s="3">
        <v>0</v>
      </c>
      <c r="G4092" s="3">
        <v>0</v>
      </c>
      <c r="H4092" s="3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 s="3">
        <v>0</v>
      </c>
      <c r="N4092" s="3">
        <v>100</v>
      </c>
      <c r="O4092" s="12">
        <v>28.921568627450981</v>
      </c>
    </row>
    <row r="4093" spans="1:15" hidden="1" x14ac:dyDescent="0.25">
      <c r="A4093" s="10">
        <v>46129</v>
      </c>
      <c r="B4093" t="s">
        <v>37</v>
      </c>
      <c r="C4093" s="1" t="s">
        <v>32</v>
      </c>
      <c r="D4093" s="3">
        <v>32</v>
      </c>
      <c r="E4093" s="3">
        <v>28</v>
      </c>
      <c r="F4093" s="3">
        <v>11.51</v>
      </c>
      <c r="G4093" s="3">
        <v>0</v>
      </c>
      <c r="H4093" s="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 s="3">
        <v>31</v>
      </c>
      <c r="N4093" s="3">
        <v>99.57</v>
      </c>
      <c r="O4093" s="12">
        <v>30.635838150289018</v>
      </c>
    </row>
    <row r="4094" spans="1:15" hidden="1" x14ac:dyDescent="0.25">
      <c r="A4094" s="10">
        <v>46129</v>
      </c>
      <c r="B4094" t="s">
        <v>38</v>
      </c>
      <c r="C4094" s="1" t="s">
        <v>32</v>
      </c>
      <c r="D4094" s="3">
        <v>0</v>
      </c>
      <c r="E4094" s="3">
        <v>0</v>
      </c>
      <c r="F4094" s="3">
        <v>0</v>
      </c>
      <c r="G4094" s="3">
        <v>0</v>
      </c>
      <c r="H4094" s="3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 s="3">
        <v>0</v>
      </c>
      <c r="N4094" s="3">
        <v>95.65</v>
      </c>
      <c r="O4094" s="12">
        <v>32.432432432432442</v>
      </c>
    </row>
    <row r="4095" spans="1:15" hidden="1" x14ac:dyDescent="0.25">
      <c r="A4095" s="10">
        <v>46129</v>
      </c>
      <c r="B4095" t="s">
        <v>55</v>
      </c>
      <c r="C4095" s="1" t="s">
        <v>48</v>
      </c>
      <c r="D4095" s="3">
        <v>26</v>
      </c>
      <c r="E4095" s="3">
        <v>21</v>
      </c>
      <c r="F4095" s="3">
        <v>22.33</v>
      </c>
      <c r="G4095" s="3">
        <v>0</v>
      </c>
      <c r="H4095" s="3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 s="3">
        <v>16</v>
      </c>
      <c r="N4095" s="3">
        <v>98.81</v>
      </c>
      <c r="O4095" s="12">
        <v>26.256983240223459</v>
      </c>
    </row>
    <row r="4096" spans="1:15" hidden="1" x14ac:dyDescent="0.25">
      <c r="A4096" s="10">
        <v>46129</v>
      </c>
      <c r="B4096" t="s">
        <v>39</v>
      </c>
      <c r="C4096" s="1" t="s">
        <v>32</v>
      </c>
      <c r="D4096" s="3">
        <v>0</v>
      </c>
      <c r="E4096" s="3">
        <v>0</v>
      </c>
      <c r="F4096" s="3">
        <v>0</v>
      </c>
      <c r="G4096" s="3">
        <v>0</v>
      </c>
      <c r="H4096" s="3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 s="3">
        <v>0</v>
      </c>
      <c r="N4096" s="3">
        <v>0</v>
      </c>
      <c r="O4096" s="12">
        <v>0</v>
      </c>
    </row>
    <row r="4097" spans="1:15" hidden="1" x14ac:dyDescent="0.25">
      <c r="A4097" s="10">
        <v>46129</v>
      </c>
      <c r="B4097" t="s">
        <v>25</v>
      </c>
      <c r="C4097" s="1" t="s">
        <v>26</v>
      </c>
      <c r="D4097" s="3">
        <v>21</v>
      </c>
      <c r="E4097" s="3">
        <v>21</v>
      </c>
      <c r="F4097" s="3">
        <v>20.14</v>
      </c>
      <c r="G4097" s="3">
        <v>0</v>
      </c>
      <c r="H4097" s="3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 s="3">
        <v>21</v>
      </c>
      <c r="N4097" s="3">
        <v>97.17</v>
      </c>
      <c r="O4097" s="12">
        <v>28.81844380403458</v>
      </c>
    </row>
    <row r="4098" spans="1:15" hidden="1" x14ac:dyDescent="0.25">
      <c r="A4098" s="10">
        <v>46129</v>
      </c>
      <c r="B4098" t="s">
        <v>40</v>
      </c>
      <c r="C4098" s="1" t="s">
        <v>32</v>
      </c>
      <c r="D4098" s="3">
        <v>0</v>
      </c>
      <c r="E4098" s="3">
        <v>0</v>
      </c>
      <c r="F4098" s="3">
        <v>0</v>
      </c>
      <c r="G4098" s="3">
        <v>0</v>
      </c>
      <c r="H4098" s="3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 s="3">
        <v>22</v>
      </c>
      <c r="N4098" s="3">
        <v>96.81</v>
      </c>
      <c r="O4098" s="12">
        <v>48.018648018648022</v>
      </c>
    </row>
    <row r="4099" spans="1:15" hidden="1" x14ac:dyDescent="0.25">
      <c r="A4099" s="10">
        <v>46129</v>
      </c>
      <c r="B4099" t="s">
        <v>27</v>
      </c>
      <c r="C4099" s="1" t="s">
        <v>26</v>
      </c>
      <c r="D4099" s="3">
        <v>12</v>
      </c>
      <c r="E4099" s="3">
        <v>8</v>
      </c>
      <c r="F4099" s="3">
        <v>19.05</v>
      </c>
      <c r="G4099" s="3">
        <v>0</v>
      </c>
      <c r="H4099" s="3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 s="3">
        <v>6</v>
      </c>
      <c r="N4099" s="3">
        <v>98.15</v>
      </c>
      <c r="O4099" s="12">
        <v>27.1551724137931</v>
      </c>
    </row>
    <row r="4100" spans="1:15" hidden="1" x14ac:dyDescent="0.25">
      <c r="A4100" s="10">
        <v>46129</v>
      </c>
      <c r="B4100" t="s">
        <v>41</v>
      </c>
      <c r="C4100" s="1" t="s">
        <v>32</v>
      </c>
      <c r="D4100" s="3">
        <v>24</v>
      </c>
      <c r="E4100" s="3">
        <v>22</v>
      </c>
      <c r="F4100" s="3">
        <v>15.56</v>
      </c>
      <c r="G4100" s="3">
        <v>0</v>
      </c>
      <c r="H4100" s="3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 s="3">
        <v>23</v>
      </c>
      <c r="N4100" s="3">
        <v>99.15</v>
      </c>
      <c r="O4100" s="12">
        <v>27.586206896551719</v>
      </c>
    </row>
    <row r="4101" spans="1:15" hidden="1" x14ac:dyDescent="0.25">
      <c r="A4101" s="10">
        <v>46129</v>
      </c>
      <c r="B4101" t="s">
        <v>56</v>
      </c>
      <c r="C4101" s="1" t="s">
        <v>48</v>
      </c>
      <c r="D4101" s="3">
        <v>27</v>
      </c>
      <c r="E4101" s="3">
        <v>27</v>
      </c>
      <c r="F4101" s="3">
        <v>20.28</v>
      </c>
      <c r="G4101" s="3">
        <v>0</v>
      </c>
      <c r="H4101" s="3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 s="3">
        <v>18</v>
      </c>
      <c r="N4101" s="3">
        <v>99.17</v>
      </c>
      <c r="O4101" s="12">
        <v>29.75206611570248</v>
      </c>
    </row>
    <row r="4102" spans="1:15" hidden="1" x14ac:dyDescent="0.25">
      <c r="A4102" s="10">
        <v>46129</v>
      </c>
      <c r="B4102" t="s">
        <v>57</v>
      </c>
      <c r="C4102" s="1" t="s">
        <v>48</v>
      </c>
      <c r="D4102" s="3">
        <v>0</v>
      </c>
      <c r="E4102" s="3">
        <v>0</v>
      </c>
      <c r="F4102" s="3">
        <v>0</v>
      </c>
      <c r="G4102" s="3">
        <v>0</v>
      </c>
      <c r="H4102" s="3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 s="3">
        <v>0</v>
      </c>
      <c r="N4102" s="3">
        <v>98.73</v>
      </c>
      <c r="O4102" s="12">
        <v>28.961748633879779</v>
      </c>
    </row>
    <row r="4103" spans="1:15" hidden="1" x14ac:dyDescent="0.25">
      <c r="A4103" s="10">
        <v>46129</v>
      </c>
      <c r="B4103" t="s">
        <v>42</v>
      </c>
      <c r="C4103" s="1" t="s">
        <v>32</v>
      </c>
      <c r="D4103" s="3">
        <v>0</v>
      </c>
      <c r="E4103" s="3">
        <v>0</v>
      </c>
      <c r="F4103" s="3">
        <v>0</v>
      </c>
      <c r="G4103" s="3">
        <v>0</v>
      </c>
      <c r="H4103" s="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 s="3">
        <v>0</v>
      </c>
      <c r="N4103" s="3">
        <v>88.68</v>
      </c>
      <c r="O4103" s="12">
        <v>22.03389830508474</v>
      </c>
    </row>
    <row r="4104" spans="1:15" hidden="1" x14ac:dyDescent="0.25">
      <c r="A4104" s="10">
        <v>46129</v>
      </c>
      <c r="B4104" t="s">
        <v>62</v>
      </c>
      <c r="C4104" s="1" t="s">
        <v>23</v>
      </c>
      <c r="D4104" s="3">
        <v>20</v>
      </c>
      <c r="E4104" s="3">
        <v>20</v>
      </c>
      <c r="F4104" s="3">
        <v>25.26</v>
      </c>
      <c r="G4104" s="3">
        <v>0</v>
      </c>
      <c r="H4104" s="3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 s="3">
        <v>19</v>
      </c>
      <c r="N4104" s="3">
        <v>97.37</v>
      </c>
      <c r="O4104" s="12">
        <v>25.76530612244898</v>
      </c>
    </row>
    <row r="4105" spans="1:15" hidden="1" x14ac:dyDescent="0.25">
      <c r="A4105" s="10">
        <v>46129</v>
      </c>
      <c r="B4105" t="s">
        <v>19</v>
      </c>
      <c r="C4105" s="1" t="s">
        <v>16</v>
      </c>
      <c r="D4105" s="3">
        <v>39</v>
      </c>
      <c r="E4105" s="3">
        <v>28</v>
      </c>
      <c r="F4105" s="3">
        <v>12.3</v>
      </c>
      <c r="G4105" s="3">
        <v>0</v>
      </c>
      <c r="H4105" s="3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 s="3">
        <v>7</v>
      </c>
      <c r="N4105" s="3">
        <v>100</v>
      </c>
      <c r="O4105" s="12">
        <v>25</v>
      </c>
    </row>
    <row r="4106" spans="1:15" x14ac:dyDescent="0.25">
      <c r="A4106" s="10">
        <v>46170</v>
      </c>
      <c r="B4106" t="s">
        <v>20</v>
      </c>
      <c r="C4106" s="1" t="s">
        <v>16</v>
      </c>
      <c r="D4106" s="3">
        <v>14</v>
      </c>
      <c r="E4106" s="3">
        <v>13</v>
      </c>
      <c r="F4106" s="3">
        <v>32.159999999999997</v>
      </c>
      <c r="G4106" s="3">
        <v>0</v>
      </c>
      <c r="H4106" s="3">
        <v>0</v>
      </c>
      <c r="I4106" s="3">
        <f>E4106+G4106+H4106</f>
        <v>13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8</v>
      </c>
      <c r="K4106" s="3">
        <f>I4106-J4106</f>
        <v>5</v>
      </c>
      <c r="L4106" s="3" t="str">
        <f>IF(K4106&lt;-5,"CRÍTICO",IF(K4106&lt;0,"ATENÇÃO",IF(K4106&lt;=5,"OPORTUNO","MUITO BOM")))</f>
        <v>OPORTUNO</v>
      </c>
      <c r="M4106" s="3">
        <v>10</v>
      </c>
      <c r="N4106" s="3">
        <v>100</v>
      </c>
      <c r="O4106" s="12">
        <v>16.107382550335569</v>
      </c>
    </row>
    <row r="4107" spans="1:15" hidden="1" x14ac:dyDescent="0.25">
      <c r="A4107" s="10">
        <v>46129</v>
      </c>
      <c r="B4107" t="s">
        <v>44</v>
      </c>
      <c r="C4107" s="1" t="s">
        <v>32</v>
      </c>
      <c r="D4107" s="3">
        <v>32</v>
      </c>
      <c r="E4107" s="3">
        <v>28</v>
      </c>
      <c r="F4107" s="3">
        <v>13.48</v>
      </c>
      <c r="G4107" s="3">
        <v>0</v>
      </c>
      <c r="H4107" s="3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 s="3">
        <v>22</v>
      </c>
      <c r="N4107" s="3">
        <v>95.49</v>
      </c>
      <c r="O4107" s="12">
        <v>28.370221327967808</v>
      </c>
    </row>
    <row r="4108" spans="1:15" x14ac:dyDescent="0.25">
      <c r="A4108" s="10">
        <v>46171</v>
      </c>
      <c r="B4108" t="s">
        <v>20</v>
      </c>
      <c r="C4108" s="1" t="s">
        <v>16</v>
      </c>
      <c r="D4108" s="3">
        <v>9</v>
      </c>
      <c r="E4108" s="3">
        <v>7</v>
      </c>
      <c r="F4108" s="3">
        <v>20.45</v>
      </c>
      <c r="G4108" s="3">
        <v>0</v>
      </c>
      <c r="H4108" s="3">
        <v>0</v>
      </c>
      <c r="I4108" s="3">
        <f>E4108+G4108+H4108</f>
        <v>7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-1</v>
      </c>
      <c r="L4108" s="3" t="str">
        <f>IF(K4108&lt;-5,"CRÍTICO",IF(K4108&lt;0,"ATENÇÃO",IF(K4108&lt;=5,"OPORTUNO","MUITO BOM")))</f>
        <v>ATENÇÃO</v>
      </c>
      <c r="M4108" s="3">
        <v>0</v>
      </c>
      <c r="N4108" s="3">
        <v>100</v>
      </c>
      <c r="O4108" s="12">
        <v>16.107382550335569</v>
      </c>
    </row>
    <row r="4109" spans="1:15" hidden="1" x14ac:dyDescent="0.25">
      <c r="A4109" s="10">
        <v>46129</v>
      </c>
      <c r="B4109" t="s">
        <v>28</v>
      </c>
      <c r="C4109" s="1" t="s">
        <v>26</v>
      </c>
      <c r="D4109" s="3">
        <v>35</v>
      </c>
      <c r="E4109" s="3">
        <v>31</v>
      </c>
      <c r="F4109" s="3">
        <v>17.329999999999998</v>
      </c>
      <c r="G4109" s="3">
        <v>0</v>
      </c>
      <c r="H4109" s="3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 s="3">
        <v>16</v>
      </c>
      <c r="N4109" s="3">
        <v>96.15</v>
      </c>
      <c r="O4109" s="12">
        <v>24.045801526717561</v>
      </c>
    </row>
    <row r="4110" spans="1:15" hidden="1" x14ac:dyDescent="0.25">
      <c r="A4110" s="10">
        <v>46129</v>
      </c>
      <c r="B4110" t="s">
        <v>58</v>
      </c>
      <c r="C4110" s="1" t="s">
        <v>48</v>
      </c>
      <c r="D4110" s="3">
        <v>27</v>
      </c>
      <c r="E4110" s="3">
        <v>25</v>
      </c>
      <c r="F4110" s="3">
        <v>20.190000000000001</v>
      </c>
      <c r="G4110" s="3">
        <v>0</v>
      </c>
      <c r="H4110" s="3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 s="3">
        <v>24</v>
      </c>
      <c r="N4110" s="3">
        <v>99.02</v>
      </c>
      <c r="O4110" s="12">
        <v>34.797297297297298</v>
      </c>
    </row>
    <row r="4111" spans="1:15" hidden="1" x14ac:dyDescent="0.25">
      <c r="A4111" s="10">
        <v>46129</v>
      </c>
      <c r="B4111" t="s">
        <v>29</v>
      </c>
      <c r="C4111" s="1" t="s">
        <v>26</v>
      </c>
      <c r="D4111" s="3">
        <v>19</v>
      </c>
      <c r="E4111" s="3">
        <v>17</v>
      </c>
      <c r="F4111" s="3">
        <v>17.059999999999999</v>
      </c>
      <c r="G4111" s="3">
        <v>0</v>
      </c>
      <c r="H4111" s="3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 s="3">
        <v>17</v>
      </c>
      <c r="N4111" s="3">
        <v>98.84</v>
      </c>
      <c r="O4111" s="12">
        <v>31.868131868131869</v>
      </c>
    </row>
    <row r="4112" spans="1:15" hidden="1" x14ac:dyDescent="0.25">
      <c r="A4112" s="10">
        <v>46129</v>
      </c>
      <c r="B4112" t="s">
        <v>30</v>
      </c>
      <c r="C4112" s="1" t="s">
        <v>26</v>
      </c>
      <c r="D4112" s="3">
        <v>15</v>
      </c>
      <c r="E4112" s="3">
        <v>14</v>
      </c>
      <c r="F4112" s="3">
        <v>18.489999999999998</v>
      </c>
      <c r="G4112" s="3">
        <v>0</v>
      </c>
      <c r="H4112" s="3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 s="3">
        <v>15</v>
      </c>
      <c r="N4112" s="3">
        <v>100</v>
      </c>
      <c r="O4112" s="12">
        <v>34.666666666666671</v>
      </c>
    </row>
    <row r="4113" spans="1:15" hidden="1" x14ac:dyDescent="0.25">
      <c r="A4113" s="7">
        <v>46162</v>
      </c>
      <c r="B4113" s="8" t="s">
        <v>31</v>
      </c>
      <c r="C4113" s="1" t="s">
        <v>32</v>
      </c>
      <c r="D4113" s="3">
        <v>0</v>
      </c>
      <c r="E4113" s="3">
        <v>0</v>
      </c>
      <c r="F4113" s="3">
        <v>0</v>
      </c>
      <c r="G4113" s="3">
        <v>0</v>
      </c>
      <c r="H4113" s="3">
        <v>0</v>
      </c>
      <c r="I4113" s="3">
        <f>E4113+G4113+H4113</f>
        <v>0</v>
      </c>
      <c r="J4113" s="3">
        <v>0</v>
      </c>
      <c r="K4113" s="3">
        <f>I4113-J4113</f>
        <v>0</v>
      </c>
      <c r="L4113" s="3" t="str">
        <f>IF(K4113&lt;-5,"CRÍTICO",IF(K4113&lt;0,"ATENÇÃO",IF(K4113&lt;=5,"OPORTUNO","MUITO BOM")))</f>
        <v>OPORTUNO</v>
      </c>
      <c r="M4113" s="3">
        <v>0</v>
      </c>
      <c r="N4113" s="3">
        <v>100</v>
      </c>
      <c r="O4113" s="12">
        <v>0</v>
      </c>
    </row>
    <row r="4114" spans="1:15" hidden="1" x14ac:dyDescent="0.25">
      <c r="A4114" s="10">
        <v>46129</v>
      </c>
      <c r="B4114" t="s">
        <v>63</v>
      </c>
      <c r="C4114" s="1" t="s">
        <v>23</v>
      </c>
      <c r="D4114" s="3">
        <v>28</v>
      </c>
      <c r="E4114" s="3">
        <v>26</v>
      </c>
      <c r="F4114" s="3">
        <v>15.33</v>
      </c>
      <c r="G4114" s="3">
        <v>0</v>
      </c>
      <c r="H4114" s="3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 s="3">
        <v>21</v>
      </c>
      <c r="N4114" s="3">
        <v>98.32</v>
      </c>
      <c r="O4114" s="12">
        <v>26.858513189448441</v>
      </c>
    </row>
    <row r="4115" spans="1:15" hidden="1" x14ac:dyDescent="0.25">
      <c r="A4115" s="10">
        <v>46129</v>
      </c>
      <c r="B4115" t="s">
        <v>45</v>
      </c>
      <c r="C4115" s="1" t="s">
        <v>32</v>
      </c>
      <c r="D4115" s="3">
        <v>35</v>
      </c>
      <c r="E4115" s="3">
        <v>31</v>
      </c>
      <c r="F4115" s="3">
        <v>12.08</v>
      </c>
      <c r="G4115" s="3">
        <v>0</v>
      </c>
      <c r="H4115" s="3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 s="3">
        <v>31</v>
      </c>
      <c r="N4115" s="3">
        <v>100</v>
      </c>
      <c r="O4115" s="12">
        <v>31.135531135531139</v>
      </c>
    </row>
    <row r="4116" spans="1:15" hidden="1" x14ac:dyDescent="0.25">
      <c r="A4116" s="10">
        <v>46129</v>
      </c>
      <c r="B4116" t="s">
        <v>64</v>
      </c>
      <c r="C4116" s="1" t="s">
        <v>23</v>
      </c>
      <c r="D4116" s="3">
        <v>18</v>
      </c>
      <c r="E4116" s="3">
        <v>17</v>
      </c>
      <c r="F4116" s="3">
        <v>23.58</v>
      </c>
      <c r="G4116" s="3">
        <v>0</v>
      </c>
      <c r="H4116" s="3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 s="3">
        <v>16</v>
      </c>
      <c r="N4116" s="3">
        <v>100</v>
      </c>
      <c r="O4116" s="12">
        <v>26.36986301369863</v>
      </c>
    </row>
    <row r="4117" spans="1:15" hidden="1" x14ac:dyDescent="0.25">
      <c r="A4117" s="10">
        <v>46129</v>
      </c>
      <c r="B4117" t="s">
        <v>46</v>
      </c>
      <c r="C4117" s="1" t="s">
        <v>32</v>
      </c>
      <c r="D4117" s="3">
        <v>0</v>
      </c>
      <c r="E4117" s="3">
        <v>0</v>
      </c>
      <c r="F4117" s="3">
        <v>0</v>
      </c>
      <c r="G4117" s="3">
        <v>0</v>
      </c>
      <c r="H4117" s="3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 s="3">
        <v>0</v>
      </c>
      <c r="N4117" s="3">
        <v>99.21</v>
      </c>
      <c r="O4117" s="12">
        <v>25.188916876574311</v>
      </c>
    </row>
    <row r="4118" spans="1:15" hidden="1" x14ac:dyDescent="0.25">
      <c r="A4118" s="10">
        <v>46132</v>
      </c>
      <c r="B4118" t="s">
        <v>47</v>
      </c>
      <c r="C4118" s="1" t="s">
        <v>48</v>
      </c>
      <c r="D4118" s="3">
        <v>35</v>
      </c>
      <c r="E4118" s="3">
        <v>27</v>
      </c>
      <c r="F4118" s="3">
        <v>10.199999999999999</v>
      </c>
      <c r="G4118" s="3">
        <v>0</v>
      </c>
      <c r="H4118" s="3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 s="3">
        <v>18</v>
      </c>
      <c r="N4118" s="3">
        <v>100</v>
      </c>
      <c r="O4118" s="12">
        <v>32.764505119453922</v>
      </c>
    </row>
    <row r="4119" spans="1:15" hidden="1" x14ac:dyDescent="0.25">
      <c r="A4119" s="10">
        <v>46132</v>
      </c>
      <c r="B4119" t="s">
        <v>31</v>
      </c>
      <c r="C4119" s="1" t="s">
        <v>32</v>
      </c>
      <c r="D4119" s="3">
        <v>0</v>
      </c>
      <c r="E4119" s="3">
        <v>0</v>
      </c>
      <c r="F4119" s="3">
        <v>0</v>
      </c>
      <c r="G4119" s="3">
        <v>0</v>
      </c>
      <c r="H4119" s="3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 s="3">
        <v>11</v>
      </c>
      <c r="N4119" s="3">
        <v>98.66</v>
      </c>
      <c r="O4119" s="12">
        <v>35.416666666666671</v>
      </c>
    </row>
    <row r="4120" spans="1:15" hidden="1" x14ac:dyDescent="0.25">
      <c r="A4120" s="10">
        <v>46132</v>
      </c>
      <c r="B4120" t="s">
        <v>59</v>
      </c>
      <c r="C4120" s="1" t="s">
        <v>23</v>
      </c>
      <c r="D4120" s="3">
        <v>24</v>
      </c>
      <c r="E4120" s="3">
        <v>24</v>
      </c>
      <c r="F4120" s="3">
        <v>17.28</v>
      </c>
      <c r="G4120" s="3">
        <v>0</v>
      </c>
      <c r="H4120" s="3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 s="3">
        <v>24</v>
      </c>
      <c r="N4120" s="3">
        <v>99.32</v>
      </c>
      <c r="O4120" s="12">
        <v>30.648330058939099</v>
      </c>
    </row>
    <row r="4121" spans="1:15" hidden="1" x14ac:dyDescent="0.25">
      <c r="A4121" s="10">
        <v>46132</v>
      </c>
      <c r="B4121" t="s">
        <v>33</v>
      </c>
      <c r="C4121" s="1" t="s">
        <v>32</v>
      </c>
      <c r="D4121" s="3">
        <v>16</v>
      </c>
      <c r="E4121" s="3">
        <v>15</v>
      </c>
      <c r="F4121" s="3">
        <v>22.26</v>
      </c>
      <c r="G4121" s="3">
        <v>0</v>
      </c>
      <c r="H4121" s="3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 s="3">
        <v>17</v>
      </c>
      <c r="N4121" s="3">
        <v>100</v>
      </c>
      <c r="O4121" s="12">
        <v>27.803738317757009</v>
      </c>
    </row>
    <row r="4122" spans="1:15" hidden="1" x14ac:dyDescent="0.25">
      <c r="A4122" s="10">
        <v>46132</v>
      </c>
      <c r="B4122" t="s">
        <v>15</v>
      </c>
      <c r="C4122" s="1" t="s">
        <v>16</v>
      </c>
      <c r="D4122" s="3">
        <v>12</v>
      </c>
      <c r="E4122" s="3">
        <v>11</v>
      </c>
      <c r="F4122" s="3">
        <v>17.010000000000002</v>
      </c>
      <c r="G4122" s="3">
        <v>0</v>
      </c>
      <c r="H4122" s="3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 s="3">
        <v>11</v>
      </c>
      <c r="N4122" s="3">
        <v>96.74</v>
      </c>
      <c r="O4122" s="12">
        <v>28.67647058823529</v>
      </c>
    </row>
    <row r="4123" spans="1:15" hidden="1" x14ac:dyDescent="0.25">
      <c r="A4123" s="10">
        <v>46132</v>
      </c>
      <c r="B4123" t="s">
        <v>49</v>
      </c>
      <c r="C4123" s="1" t="s">
        <v>48</v>
      </c>
      <c r="D4123" s="3">
        <v>35</v>
      </c>
      <c r="E4123" s="3">
        <v>30</v>
      </c>
      <c r="F4123" s="3">
        <v>8.51</v>
      </c>
      <c r="G4123" s="3">
        <v>0</v>
      </c>
      <c r="H4123" s="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 s="3">
        <v>32</v>
      </c>
      <c r="N4123" s="3">
        <v>98.82</v>
      </c>
      <c r="O4123" s="12">
        <v>30.741410488245929</v>
      </c>
    </row>
    <row r="4124" spans="1:15" hidden="1" x14ac:dyDescent="0.25">
      <c r="A4124" s="10">
        <v>46132</v>
      </c>
      <c r="B4124" t="s">
        <v>50</v>
      </c>
      <c r="C4124" s="1" t="s">
        <v>48</v>
      </c>
      <c r="D4124" s="3">
        <v>25</v>
      </c>
      <c r="E4124" s="3">
        <v>25</v>
      </c>
      <c r="F4124" s="3">
        <v>20.399999999999999</v>
      </c>
      <c r="G4124" s="3">
        <v>0</v>
      </c>
      <c r="H4124" s="3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 s="3">
        <v>24</v>
      </c>
      <c r="N4124" s="3">
        <v>98.2</v>
      </c>
      <c r="O4124" s="12">
        <v>27.170868347338931</v>
      </c>
    </row>
    <row r="4125" spans="1:15" hidden="1" x14ac:dyDescent="0.25">
      <c r="A4125" s="10">
        <v>46132</v>
      </c>
      <c r="B4125" t="s">
        <v>17</v>
      </c>
      <c r="C4125" s="1" t="s">
        <v>16</v>
      </c>
      <c r="D4125" s="3">
        <v>1</v>
      </c>
      <c r="E4125" s="3">
        <v>1</v>
      </c>
      <c r="F4125" s="3">
        <v>199.04</v>
      </c>
      <c r="G4125" s="3">
        <v>0</v>
      </c>
      <c r="H4125" s="3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 s="3">
        <v>1</v>
      </c>
      <c r="N4125" s="3">
        <v>100</v>
      </c>
      <c r="O4125" s="12">
        <v>23.134328358208951</v>
      </c>
    </row>
    <row r="4126" spans="1:15" hidden="1" x14ac:dyDescent="0.25">
      <c r="A4126" s="10">
        <v>46132</v>
      </c>
      <c r="B4126" t="s">
        <v>60</v>
      </c>
      <c r="C4126" s="1" t="s">
        <v>23</v>
      </c>
      <c r="D4126" s="3">
        <v>22</v>
      </c>
      <c r="E4126" s="3">
        <v>19</v>
      </c>
      <c r="F4126" s="3">
        <v>15.12</v>
      </c>
      <c r="G4126" s="3">
        <v>0</v>
      </c>
      <c r="H4126" s="3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 s="3">
        <v>19</v>
      </c>
      <c r="N4126" s="3">
        <v>96.3</v>
      </c>
      <c r="O4126" s="12">
        <v>32.219570405727922</v>
      </c>
    </row>
    <row r="4127" spans="1:15" hidden="1" x14ac:dyDescent="0.25">
      <c r="A4127" s="10">
        <v>46132</v>
      </c>
      <c r="B4127" t="s">
        <v>34</v>
      </c>
      <c r="C4127" s="1" t="s">
        <v>32</v>
      </c>
      <c r="D4127" s="3">
        <v>22</v>
      </c>
      <c r="E4127" s="3">
        <v>21</v>
      </c>
      <c r="F4127" s="3">
        <v>12.09</v>
      </c>
      <c r="G4127" s="3">
        <v>0</v>
      </c>
      <c r="H4127" s="3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 s="3">
        <v>16</v>
      </c>
      <c r="N4127" s="3">
        <v>93.75</v>
      </c>
      <c r="O4127" s="12">
        <v>26.819923371647509</v>
      </c>
    </row>
    <row r="4128" spans="1:15" hidden="1" x14ac:dyDescent="0.25">
      <c r="A4128" s="10">
        <v>46132</v>
      </c>
      <c r="B4128" t="s">
        <v>51</v>
      </c>
      <c r="C4128" s="1" t="s">
        <v>48</v>
      </c>
      <c r="D4128" s="3">
        <v>24</v>
      </c>
      <c r="E4128" s="3">
        <v>22</v>
      </c>
      <c r="F4128" s="3">
        <v>18.3</v>
      </c>
      <c r="G4128" s="3">
        <v>0</v>
      </c>
      <c r="H4128" s="3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 s="3">
        <v>24</v>
      </c>
      <c r="N4128" s="3">
        <v>97.86</v>
      </c>
      <c r="O4128" s="12">
        <v>31.018518518518519</v>
      </c>
    </row>
    <row r="4129" spans="1:15" hidden="1" x14ac:dyDescent="0.25">
      <c r="A4129" s="10">
        <v>46132</v>
      </c>
      <c r="B4129" t="s">
        <v>61</v>
      </c>
      <c r="C4129" s="1" t="s">
        <v>23</v>
      </c>
      <c r="D4129" s="3">
        <v>17</v>
      </c>
      <c r="E4129" s="3">
        <v>17</v>
      </c>
      <c r="F4129" s="3">
        <v>20.170000000000002</v>
      </c>
      <c r="G4129" s="3">
        <v>0</v>
      </c>
      <c r="H4129" s="3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 s="3">
        <v>11</v>
      </c>
      <c r="N4129" s="3">
        <v>100</v>
      </c>
      <c r="O4129" s="12">
        <v>36.594202898550733</v>
      </c>
    </row>
    <row r="4130" spans="1:15" hidden="1" x14ac:dyDescent="0.25">
      <c r="A4130" s="10">
        <v>46132</v>
      </c>
      <c r="B4130" t="s">
        <v>35</v>
      </c>
      <c r="C4130" s="1" t="s">
        <v>32</v>
      </c>
      <c r="D4130" s="3">
        <v>24</v>
      </c>
      <c r="E4130" s="3">
        <v>23</v>
      </c>
      <c r="F4130" s="3">
        <v>19.12</v>
      </c>
      <c r="G4130" s="3">
        <v>0</v>
      </c>
      <c r="H4130" s="3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 s="3">
        <v>23</v>
      </c>
      <c r="N4130" s="3">
        <v>100</v>
      </c>
      <c r="O4130" s="12">
        <v>38.653846153846153</v>
      </c>
    </row>
    <row r="4131" spans="1:15" hidden="1" x14ac:dyDescent="0.25">
      <c r="A4131" s="10">
        <v>46132</v>
      </c>
      <c r="B4131" t="s">
        <v>18</v>
      </c>
      <c r="C4131" s="1" t="s">
        <v>16</v>
      </c>
      <c r="D4131" s="3">
        <v>7</v>
      </c>
      <c r="E4131" s="3">
        <v>6</v>
      </c>
      <c r="F4131" s="3">
        <v>27.23</v>
      </c>
      <c r="G4131" s="3">
        <v>0</v>
      </c>
      <c r="H4131" s="3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 s="3">
        <v>4</v>
      </c>
      <c r="N4131" s="3">
        <v>100</v>
      </c>
      <c r="O4131" s="12">
        <v>27.368421052631579</v>
      </c>
    </row>
    <row r="4132" spans="1:15" hidden="1" x14ac:dyDescent="0.25">
      <c r="A4132" s="10">
        <v>46132</v>
      </c>
      <c r="B4132" t="s">
        <v>52</v>
      </c>
      <c r="C4132" s="1" t="s">
        <v>48</v>
      </c>
      <c r="D4132" s="3">
        <v>26</v>
      </c>
      <c r="E4132" s="3">
        <v>25</v>
      </c>
      <c r="F4132" s="3">
        <v>18.510000000000002</v>
      </c>
      <c r="G4132" s="3">
        <v>0</v>
      </c>
      <c r="H4132" s="3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 s="3">
        <v>22</v>
      </c>
      <c r="N4132" s="3">
        <v>97.83</v>
      </c>
      <c r="O4132" s="12">
        <v>28.35164835164835</v>
      </c>
    </row>
    <row r="4133" spans="1:15" hidden="1" x14ac:dyDescent="0.25">
      <c r="A4133" s="10">
        <v>46132</v>
      </c>
      <c r="B4133" t="s">
        <v>36</v>
      </c>
      <c r="C4133" s="1" t="s">
        <v>32</v>
      </c>
      <c r="D4133" s="3">
        <v>25</v>
      </c>
      <c r="E4133" s="3">
        <v>23</v>
      </c>
      <c r="F4133" s="3">
        <v>15.58</v>
      </c>
      <c r="G4133" s="3">
        <v>0</v>
      </c>
      <c r="H4133" s="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 s="3">
        <v>24</v>
      </c>
      <c r="N4133" s="3">
        <v>99.26</v>
      </c>
      <c r="O4133" s="12">
        <v>29.766536964980549</v>
      </c>
    </row>
    <row r="4134" spans="1:15" hidden="1" x14ac:dyDescent="0.25">
      <c r="A4134" s="10">
        <v>46132</v>
      </c>
      <c r="B4134" t="s">
        <v>53</v>
      </c>
      <c r="C4134" s="1" t="s">
        <v>48</v>
      </c>
      <c r="D4134" s="3">
        <v>9</v>
      </c>
      <c r="E4134" s="3">
        <v>9</v>
      </c>
      <c r="F4134" s="3">
        <v>23.51</v>
      </c>
      <c r="G4134" s="3">
        <v>0</v>
      </c>
      <c r="H4134" s="3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 s="3">
        <v>7</v>
      </c>
      <c r="N4134" s="3">
        <v>99.19</v>
      </c>
      <c r="O4134" s="12">
        <v>29.462365591397852</v>
      </c>
    </row>
    <row r="4135" spans="1:15" hidden="1" x14ac:dyDescent="0.25">
      <c r="A4135" s="7">
        <v>46162</v>
      </c>
      <c r="B4135" s="8" t="s">
        <v>33</v>
      </c>
      <c r="C4135" s="1" t="s">
        <v>32</v>
      </c>
      <c r="D4135" s="3">
        <v>22</v>
      </c>
      <c r="E4135" s="3">
        <v>21</v>
      </c>
      <c r="F4135" s="3">
        <v>18.34</v>
      </c>
      <c r="G4135" s="3">
        <v>1</v>
      </c>
      <c r="H4135" s="3">
        <v>0</v>
      </c>
      <c r="I4135" s="3">
        <f>E4135+G4135+H4135</f>
        <v>22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26</v>
      </c>
      <c r="K4135" s="3">
        <f>I4135-J4135</f>
        <v>-4</v>
      </c>
      <c r="L4135" s="3" t="str">
        <f>IF(K4135&lt;-5,"CRÍTICO",IF(K4135&lt;0,"ATENÇÃO",IF(K4135&lt;=5,"OPORTUNO","MUITO BOM")))</f>
        <v>ATENÇÃO</v>
      </c>
      <c r="M4135" s="3">
        <v>18</v>
      </c>
      <c r="N4135" s="3">
        <v>96.94</v>
      </c>
      <c r="O4135" s="12">
        <v>19.613259668508292</v>
      </c>
    </row>
    <row r="4136" spans="1:15" hidden="1" x14ac:dyDescent="0.25">
      <c r="A4136" s="10">
        <v>46132</v>
      </c>
      <c r="B4136" t="s">
        <v>54</v>
      </c>
      <c r="C4136" s="1" t="s">
        <v>48</v>
      </c>
      <c r="D4136" s="3">
        <v>0</v>
      </c>
      <c r="E4136" s="3">
        <v>0</v>
      </c>
      <c r="F4136" s="3">
        <v>0</v>
      </c>
      <c r="G4136" s="3">
        <v>0</v>
      </c>
      <c r="H4136" s="3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 s="3">
        <v>0</v>
      </c>
      <c r="N4136" s="3">
        <v>100</v>
      </c>
      <c r="O4136" s="12">
        <v>28.921568627450981</v>
      </c>
    </row>
    <row r="4137" spans="1:15" hidden="1" x14ac:dyDescent="0.25">
      <c r="A4137" s="10">
        <v>46132</v>
      </c>
      <c r="B4137" t="s">
        <v>37</v>
      </c>
      <c r="C4137" s="1" t="s">
        <v>32</v>
      </c>
      <c r="D4137" s="3">
        <v>30</v>
      </c>
      <c r="E4137" s="3">
        <v>30</v>
      </c>
      <c r="F4137" s="3">
        <v>13.56</v>
      </c>
      <c r="G4137" s="3">
        <v>0</v>
      </c>
      <c r="H4137" s="3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 s="3">
        <v>27</v>
      </c>
      <c r="N4137" s="3">
        <v>99.57</v>
      </c>
      <c r="O4137" s="12">
        <v>30.635838150289018</v>
      </c>
    </row>
    <row r="4138" spans="1:15" hidden="1" x14ac:dyDescent="0.25">
      <c r="A4138" s="10">
        <v>46132</v>
      </c>
      <c r="B4138" t="s">
        <v>38</v>
      </c>
      <c r="C4138" s="1" t="s">
        <v>32</v>
      </c>
      <c r="D4138" s="3">
        <v>0</v>
      </c>
      <c r="E4138" s="3">
        <v>0</v>
      </c>
      <c r="F4138" s="3">
        <v>0</v>
      </c>
      <c r="G4138" s="3">
        <v>0</v>
      </c>
      <c r="H4138" s="3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 s="3">
        <v>0</v>
      </c>
      <c r="N4138" s="3">
        <v>95.65</v>
      </c>
      <c r="O4138" s="12">
        <v>32.432432432432442</v>
      </c>
    </row>
    <row r="4139" spans="1:15" hidden="1" x14ac:dyDescent="0.25">
      <c r="A4139" s="10">
        <v>46132</v>
      </c>
      <c r="B4139" t="s">
        <v>55</v>
      </c>
      <c r="C4139" s="1" t="s">
        <v>48</v>
      </c>
      <c r="D4139" s="3">
        <v>28</v>
      </c>
      <c r="E4139" s="3">
        <v>23</v>
      </c>
      <c r="F4139" s="3">
        <v>16.489999999999998</v>
      </c>
      <c r="G4139" s="3">
        <v>0</v>
      </c>
      <c r="H4139" s="3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 s="3">
        <v>19</v>
      </c>
      <c r="N4139" s="3">
        <v>98.81</v>
      </c>
      <c r="O4139" s="12">
        <v>26.256983240223459</v>
      </c>
    </row>
    <row r="4140" spans="1:15" hidden="1" x14ac:dyDescent="0.25">
      <c r="A4140" s="10">
        <v>46132</v>
      </c>
      <c r="B4140" t="s">
        <v>39</v>
      </c>
      <c r="C4140" s="1" t="s">
        <v>32</v>
      </c>
      <c r="D4140" s="3">
        <v>0</v>
      </c>
      <c r="E4140" s="3">
        <v>0</v>
      </c>
      <c r="F4140" s="3">
        <v>0</v>
      </c>
      <c r="G4140" s="3">
        <v>0</v>
      </c>
      <c r="H4140" s="3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 s="3">
        <v>0</v>
      </c>
      <c r="N4140" s="3">
        <v>0</v>
      </c>
      <c r="O4140" s="12">
        <v>0</v>
      </c>
    </row>
    <row r="4141" spans="1:15" hidden="1" x14ac:dyDescent="0.25">
      <c r="A4141" s="10">
        <v>46132</v>
      </c>
      <c r="B4141" t="s">
        <v>25</v>
      </c>
      <c r="C4141" s="1" t="s">
        <v>26</v>
      </c>
      <c r="D4141" s="3">
        <v>6</v>
      </c>
      <c r="E4141" s="3">
        <v>6</v>
      </c>
      <c r="F4141" s="3">
        <v>24.11</v>
      </c>
      <c r="G4141" s="3">
        <v>0</v>
      </c>
      <c r="H4141" s="3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 s="3">
        <v>5</v>
      </c>
      <c r="N4141" s="3">
        <v>97.17</v>
      </c>
      <c r="O4141" s="12">
        <v>28.81844380403458</v>
      </c>
    </row>
    <row r="4142" spans="1:15" hidden="1" x14ac:dyDescent="0.25">
      <c r="A4142" s="10">
        <v>46132</v>
      </c>
      <c r="B4142" t="s">
        <v>40</v>
      </c>
      <c r="C4142" s="1" t="s">
        <v>32</v>
      </c>
      <c r="D4142" s="3">
        <v>0</v>
      </c>
      <c r="E4142" s="3">
        <v>0</v>
      </c>
      <c r="F4142" s="3">
        <v>0</v>
      </c>
      <c r="G4142" s="3">
        <v>0</v>
      </c>
      <c r="H4142" s="3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 s="3">
        <v>17</v>
      </c>
      <c r="N4142" s="3">
        <v>96.81</v>
      </c>
      <c r="O4142" s="12">
        <v>48.018648018648022</v>
      </c>
    </row>
    <row r="4143" spans="1:15" hidden="1" x14ac:dyDescent="0.25">
      <c r="A4143" s="10">
        <v>46132</v>
      </c>
      <c r="B4143" t="s">
        <v>27</v>
      </c>
      <c r="C4143" s="1" t="s">
        <v>26</v>
      </c>
      <c r="D4143" s="3">
        <v>8</v>
      </c>
      <c r="E4143" s="3">
        <v>8</v>
      </c>
      <c r="F4143" s="3">
        <v>22.12</v>
      </c>
      <c r="G4143" s="3">
        <v>0</v>
      </c>
      <c r="H4143" s="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 s="3">
        <v>6</v>
      </c>
      <c r="N4143" s="3">
        <v>98.15</v>
      </c>
      <c r="O4143" s="12">
        <v>27.1551724137931</v>
      </c>
    </row>
    <row r="4144" spans="1:15" hidden="1" x14ac:dyDescent="0.25">
      <c r="A4144" s="10">
        <v>46132</v>
      </c>
      <c r="B4144" t="s">
        <v>41</v>
      </c>
      <c r="C4144" s="1" t="s">
        <v>32</v>
      </c>
      <c r="D4144" s="3">
        <v>27</v>
      </c>
      <c r="E4144" s="3">
        <v>23</v>
      </c>
      <c r="F4144" s="3">
        <v>16.420000000000002</v>
      </c>
      <c r="G4144" s="3">
        <v>0</v>
      </c>
      <c r="H4144" s="3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 s="3">
        <v>22</v>
      </c>
      <c r="N4144" s="3">
        <v>99.15</v>
      </c>
      <c r="O4144" s="12">
        <v>27.586206896551719</v>
      </c>
    </row>
    <row r="4145" spans="1:15" hidden="1" x14ac:dyDescent="0.25">
      <c r="A4145" s="10">
        <v>46132</v>
      </c>
      <c r="B4145" t="s">
        <v>56</v>
      </c>
      <c r="C4145" s="1" t="s">
        <v>48</v>
      </c>
      <c r="D4145" s="3">
        <v>19</v>
      </c>
      <c r="E4145" s="3">
        <v>19</v>
      </c>
      <c r="F4145" s="3">
        <v>20.49</v>
      </c>
      <c r="G4145" s="3">
        <v>0</v>
      </c>
      <c r="H4145" s="3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 s="3">
        <v>9</v>
      </c>
      <c r="N4145" s="3">
        <v>99.17</v>
      </c>
      <c r="O4145" s="12">
        <v>29.75206611570248</v>
      </c>
    </row>
    <row r="4146" spans="1:15" hidden="1" x14ac:dyDescent="0.25">
      <c r="A4146" s="10">
        <v>46132</v>
      </c>
      <c r="B4146" t="s">
        <v>57</v>
      </c>
      <c r="C4146" s="1" t="s">
        <v>48</v>
      </c>
      <c r="D4146" s="3">
        <v>0</v>
      </c>
      <c r="E4146" s="3">
        <v>0</v>
      </c>
      <c r="F4146" s="3">
        <v>0</v>
      </c>
      <c r="G4146" s="3">
        <v>0</v>
      </c>
      <c r="H4146" s="3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 s="3">
        <v>0</v>
      </c>
      <c r="N4146" s="3">
        <v>98.73</v>
      </c>
      <c r="O4146" s="12">
        <v>28.961748633879779</v>
      </c>
    </row>
    <row r="4147" spans="1:15" hidden="1" x14ac:dyDescent="0.25">
      <c r="A4147" s="10">
        <v>46132</v>
      </c>
      <c r="B4147" t="s">
        <v>42</v>
      </c>
      <c r="C4147" s="1" t="s">
        <v>32</v>
      </c>
      <c r="D4147" s="3">
        <v>0</v>
      </c>
      <c r="E4147" s="3">
        <v>0</v>
      </c>
      <c r="F4147" s="3">
        <v>0</v>
      </c>
      <c r="G4147" s="3">
        <v>0</v>
      </c>
      <c r="H4147" s="3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 s="3">
        <v>0</v>
      </c>
      <c r="N4147" s="3">
        <v>88.68</v>
      </c>
      <c r="O4147" s="12">
        <v>22.03389830508474</v>
      </c>
    </row>
    <row r="4148" spans="1:15" hidden="1" x14ac:dyDescent="0.25">
      <c r="A4148" s="10">
        <v>46132</v>
      </c>
      <c r="B4148" t="s">
        <v>62</v>
      </c>
      <c r="C4148" s="1" t="s">
        <v>23</v>
      </c>
      <c r="D4148" s="3">
        <v>13</v>
      </c>
      <c r="E4148" s="3">
        <v>11</v>
      </c>
      <c r="F4148" s="3">
        <v>18.36</v>
      </c>
      <c r="G4148" s="3">
        <v>0</v>
      </c>
      <c r="H4148" s="3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 s="3">
        <v>13</v>
      </c>
      <c r="N4148" s="3">
        <v>97.37</v>
      </c>
      <c r="O4148" s="12">
        <v>25.76530612244898</v>
      </c>
    </row>
    <row r="4149" spans="1:15" hidden="1" x14ac:dyDescent="0.25">
      <c r="A4149" s="10">
        <v>46132</v>
      </c>
      <c r="B4149" t="s">
        <v>19</v>
      </c>
      <c r="C4149" s="1" t="s">
        <v>16</v>
      </c>
      <c r="D4149" s="3">
        <v>10</v>
      </c>
      <c r="E4149" s="3">
        <v>10</v>
      </c>
      <c r="F4149" s="3">
        <v>25.55</v>
      </c>
      <c r="G4149" s="3">
        <v>0</v>
      </c>
      <c r="H4149" s="3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 s="3">
        <v>8</v>
      </c>
      <c r="N4149" s="3">
        <v>100</v>
      </c>
      <c r="O4149" s="12">
        <v>25</v>
      </c>
    </row>
    <row r="4150" spans="1:15" hidden="1" x14ac:dyDescent="0.25">
      <c r="A4150" s="7">
        <v>46162</v>
      </c>
      <c r="B4150" s="8" t="s">
        <v>34</v>
      </c>
      <c r="C4150" s="1" t="s">
        <v>32</v>
      </c>
      <c r="D4150" s="3">
        <v>31</v>
      </c>
      <c r="E4150" s="3">
        <v>26</v>
      </c>
      <c r="F4150" s="3">
        <v>14</v>
      </c>
      <c r="G4150" s="3">
        <v>0</v>
      </c>
      <c r="H4150" s="3">
        <v>0</v>
      </c>
      <c r="I4150" s="3">
        <f>E4150+G4150+H4150</f>
        <v>26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26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 s="3">
        <v>21</v>
      </c>
      <c r="N4150" s="3">
        <v>92.81</v>
      </c>
      <c r="O4150" s="12">
        <v>25.477707006369432</v>
      </c>
    </row>
    <row r="4151" spans="1:15" hidden="1" x14ac:dyDescent="0.25">
      <c r="A4151" s="10">
        <v>46132</v>
      </c>
      <c r="B4151" t="s">
        <v>44</v>
      </c>
      <c r="C4151" s="1" t="s">
        <v>32</v>
      </c>
      <c r="D4151" s="3">
        <v>27</v>
      </c>
      <c r="E4151" s="3">
        <v>26</v>
      </c>
      <c r="F4151" s="3">
        <v>15.38</v>
      </c>
      <c r="G4151" s="3">
        <v>0</v>
      </c>
      <c r="H4151" s="3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 s="3">
        <v>22</v>
      </c>
      <c r="N4151" s="3">
        <v>95.49</v>
      </c>
      <c r="O4151" s="12">
        <v>28.370221327967808</v>
      </c>
    </row>
    <row r="4152" spans="1:15" hidden="1" x14ac:dyDescent="0.25">
      <c r="A4152" s="7">
        <v>46162</v>
      </c>
      <c r="B4152" s="8" t="s">
        <v>35</v>
      </c>
      <c r="C4152" s="1" t="s">
        <v>32</v>
      </c>
      <c r="D4152" s="3">
        <v>0</v>
      </c>
      <c r="E4152" s="3">
        <v>0</v>
      </c>
      <c r="F4152" s="3">
        <v>0</v>
      </c>
      <c r="G4152" s="3">
        <v>0</v>
      </c>
      <c r="H4152" s="3">
        <v>0</v>
      </c>
      <c r="I4152" s="3">
        <f>E4152+G4152+H4152</f>
        <v>0</v>
      </c>
      <c r="J4152" s="3">
        <v>0</v>
      </c>
      <c r="K4152" s="3">
        <f>I4152-J4152</f>
        <v>0</v>
      </c>
      <c r="L4152" s="3" t="str">
        <f>IF(K4152&lt;-5,"CRÍTICO",IF(K4152&lt;0,"ATENÇÃO",IF(K4152&lt;=5,"OPORTUNO","MUITO BOM")))</f>
        <v>OPORTUNO</v>
      </c>
      <c r="M4152" s="3">
        <v>0</v>
      </c>
      <c r="N4152" s="3">
        <v>99.19</v>
      </c>
      <c r="O4152" s="12">
        <v>28.404669260700391</v>
      </c>
    </row>
    <row r="4153" spans="1:15" hidden="1" x14ac:dyDescent="0.25">
      <c r="A4153" s="10">
        <v>46132</v>
      </c>
      <c r="B4153" t="s">
        <v>28</v>
      </c>
      <c r="C4153" s="1" t="s">
        <v>26</v>
      </c>
      <c r="D4153" s="3">
        <v>10</v>
      </c>
      <c r="E4153" s="3">
        <v>8</v>
      </c>
      <c r="F4153" s="3">
        <v>15.55</v>
      </c>
      <c r="G4153" s="3">
        <v>0</v>
      </c>
      <c r="H4153" s="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 s="3">
        <v>7</v>
      </c>
      <c r="N4153" s="3">
        <v>96.15</v>
      </c>
      <c r="O4153" s="12">
        <v>24.045801526717561</v>
      </c>
    </row>
    <row r="4154" spans="1:15" hidden="1" x14ac:dyDescent="0.25">
      <c r="A4154" s="10">
        <v>46132</v>
      </c>
      <c r="B4154" t="s">
        <v>58</v>
      </c>
      <c r="C4154" s="1" t="s">
        <v>48</v>
      </c>
      <c r="D4154" s="3">
        <v>16</v>
      </c>
      <c r="E4154" s="3">
        <v>12</v>
      </c>
      <c r="F4154" s="3">
        <v>20.079999999999998</v>
      </c>
      <c r="G4154" s="3">
        <v>0</v>
      </c>
      <c r="H4154" s="3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 s="3">
        <v>14</v>
      </c>
      <c r="N4154" s="3">
        <v>99.02</v>
      </c>
      <c r="O4154" s="12">
        <v>34.797297297297298</v>
      </c>
    </row>
    <row r="4155" spans="1:15" hidden="1" x14ac:dyDescent="0.25">
      <c r="A4155" s="10">
        <v>46132</v>
      </c>
      <c r="B4155" t="s">
        <v>29</v>
      </c>
      <c r="C4155" s="1" t="s">
        <v>26</v>
      </c>
      <c r="D4155" s="3">
        <v>10</v>
      </c>
      <c r="E4155" s="3">
        <v>10</v>
      </c>
      <c r="F4155" s="3">
        <v>13.27</v>
      </c>
      <c r="G4155" s="3">
        <v>0</v>
      </c>
      <c r="H4155" s="3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 s="3">
        <v>10</v>
      </c>
      <c r="N4155" s="3">
        <v>98.84</v>
      </c>
      <c r="O4155" s="12">
        <v>31.868131868131869</v>
      </c>
    </row>
    <row r="4156" spans="1:15" hidden="1" x14ac:dyDescent="0.25">
      <c r="A4156" s="10">
        <v>46132</v>
      </c>
      <c r="B4156" t="s">
        <v>30</v>
      </c>
      <c r="C4156" s="1" t="s">
        <v>26</v>
      </c>
      <c r="D4156" s="3">
        <v>9</v>
      </c>
      <c r="E4156" s="3">
        <v>9</v>
      </c>
      <c r="F4156" s="3">
        <v>18.37</v>
      </c>
      <c r="G4156" s="3">
        <v>0</v>
      </c>
      <c r="H4156" s="3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 s="3">
        <v>8</v>
      </c>
      <c r="N4156" s="3">
        <v>100</v>
      </c>
      <c r="O4156" s="12">
        <v>34.666666666666671</v>
      </c>
    </row>
    <row r="4157" spans="1:15" hidden="1" x14ac:dyDescent="0.25">
      <c r="A4157" s="7">
        <v>46162</v>
      </c>
      <c r="B4157" s="8" t="s">
        <v>36</v>
      </c>
      <c r="C4157" s="1" t="s">
        <v>32</v>
      </c>
      <c r="D4157" s="3">
        <v>0</v>
      </c>
      <c r="E4157" s="3">
        <v>0</v>
      </c>
      <c r="F4157" s="3">
        <v>0</v>
      </c>
      <c r="G4157" s="3">
        <v>0</v>
      </c>
      <c r="H4157" s="3">
        <v>0</v>
      </c>
      <c r="I4157" s="3">
        <f>E4157+G4157+H4157</f>
        <v>0</v>
      </c>
      <c r="J4157" s="3">
        <v>0</v>
      </c>
      <c r="K4157" s="3">
        <f>I4157-J4157</f>
        <v>0</v>
      </c>
      <c r="L4157" s="3" t="str">
        <f>IF(K4157&lt;-5,"CRÍTICO",IF(K4157&lt;0,"ATENÇÃO",IF(K4157&lt;=5,"OPORTUNO","MUITO BOM")))</f>
        <v>OPORTUNO</v>
      </c>
      <c r="M4157" s="3">
        <v>0</v>
      </c>
      <c r="N4157" s="3">
        <v>100</v>
      </c>
      <c r="O4157" s="12">
        <v>13.51351351351351</v>
      </c>
    </row>
    <row r="4158" spans="1:15" hidden="1" x14ac:dyDescent="0.25">
      <c r="A4158" s="10">
        <v>46132</v>
      </c>
      <c r="B4158" t="s">
        <v>63</v>
      </c>
      <c r="C4158" s="1" t="s">
        <v>23</v>
      </c>
      <c r="D4158" s="3">
        <v>11</v>
      </c>
      <c r="E4158" s="3">
        <v>11</v>
      </c>
      <c r="F4158" s="3">
        <v>13.35</v>
      </c>
      <c r="G4158" s="3">
        <v>0</v>
      </c>
      <c r="H4158" s="3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 s="3">
        <v>6</v>
      </c>
      <c r="N4158" s="3">
        <v>98.32</v>
      </c>
      <c r="O4158" s="12">
        <v>26.858513189448441</v>
      </c>
    </row>
    <row r="4159" spans="1:15" hidden="1" x14ac:dyDescent="0.25">
      <c r="A4159" s="10">
        <v>46132</v>
      </c>
      <c r="B4159" t="s">
        <v>45</v>
      </c>
      <c r="C4159" s="1" t="s">
        <v>32</v>
      </c>
      <c r="D4159" s="3">
        <v>32</v>
      </c>
      <c r="E4159" s="3">
        <v>30</v>
      </c>
      <c r="F4159" s="3">
        <v>11.55</v>
      </c>
      <c r="G4159" s="3">
        <v>0</v>
      </c>
      <c r="H4159" s="3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 s="3">
        <v>19</v>
      </c>
      <c r="N4159" s="3">
        <v>100</v>
      </c>
      <c r="O4159" s="12">
        <v>31.135531135531139</v>
      </c>
    </row>
    <row r="4160" spans="1:15" hidden="1" x14ac:dyDescent="0.25">
      <c r="A4160" s="10">
        <v>46132</v>
      </c>
      <c r="B4160" t="s">
        <v>64</v>
      </c>
      <c r="C4160" s="1" t="s">
        <v>23</v>
      </c>
      <c r="D4160" s="3">
        <v>7</v>
      </c>
      <c r="E4160" s="3">
        <v>7</v>
      </c>
      <c r="F4160" s="3">
        <v>24.17</v>
      </c>
      <c r="G4160" s="3">
        <v>0</v>
      </c>
      <c r="H4160" s="3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 s="3">
        <v>7</v>
      </c>
      <c r="N4160" s="3">
        <v>100</v>
      </c>
      <c r="O4160" s="12">
        <v>26.36986301369863</v>
      </c>
    </row>
    <row r="4161" spans="1:15" hidden="1" x14ac:dyDescent="0.25">
      <c r="A4161" s="10">
        <v>46132</v>
      </c>
      <c r="B4161" t="s">
        <v>46</v>
      </c>
      <c r="C4161" s="1" t="s">
        <v>32</v>
      </c>
      <c r="D4161" s="3">
        <v>26</v>
      </c>
      <c r="E4161" s="3">
        <v>23</v>
      </c>
      <c r="F4161" s="3">
        <v>15.04</v>
      </c>
      <c r="G4161" s="3">
        <v>0</v>
      </c>
      <c r="H4161" s="3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 s="3">
        <v>19</v>
      </c>
      <c r="N4161" s="3">
        <v>99.21</v>
      </c>
      <c r="O4161" s="12">
        <v>25.188916876574311</v>
      </c>
    </row>
    <row r="4162" spans="1:15" hidden="1" x14ac:dyDescent="0.25">
      <c r="A4162" s="10">
        <v>46134</v>
      </c>
      <c r="B4162" t="s">
        <v>47</v>
      </c>
      <c r="C4162" s="1" t="s">
        <v>48</v>
      </c>
      <c r="D4162" s="3">
        <v>42</v>
      </c>
      <c r="E4162" s="3">
        <v>38</v>
      </c>
      <c r="F4162" s="3">
        <v>10.58</v>
      </c>
      <c r="G4162" s="3">
        <v>0</v>
      </c>
      <c r="H4162" s="3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 s="3">
        <v>30</v>
      </c>
      <c r="N4162" s="3">
        <v>100</v>
      </c>
      <c r="O4162" s="12">
        <v>32.764505119453922</v>
      </c>
    </row>
    <row r="4163" spans="1:15" hidden="1" x14ac:dyDescent="0.25">
      <c r="A4163" s="10">
        <v>46134</v>
      </c>
      <c r="B4163" t="s">
        <v>31</v>
      </c>
      <c r="C4163" s="1" t="s">
        <v>32</v>
      </c>
      <c r="D4163" s="3">
        <v>0</v>
      </c>
      <c r="E4163" s="3">
        <v>0</v>
      </c>
      <c r="F4163" s="3">
        <v>0</v>
      </c>
      <c r="G4163" s="3">
        <v>0</v>
      </c>
      <c r="H4163" s="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 s="3">
        <v>21</v>
      </c>
      <c r="N4163" s="3">
        <v>98.66</v>
      </c>
      <c r="O4163" s="12">
        <v>35.416666666666671</v>
      </c>
    </row>
    <row r="4164" spans="1:15" hidden="1" x14ac:dyDescent="0.25">
      <c r="A4164" s="10">
        <v>46134</v>
      </c>
      <c r="B4164" t="s">
        <v>59</v>
      </c>
      <c r="C4164" s="1" t="s">
        <v>23</v>
      </c>
      <c r="D4164" s="3">
        <v>33</v>
      </c>
      <c r="E4164" s="3">
        <v>30</v>
      </c>
      <c r="F4164" s="3">
        <v>12.16</v>
      </c>
      <c r="G4164" s="3">
        <v>0</v>
      </c>
      <c r="H4164" s="3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 s="3">
        <v>32</v>
      </c>
      <c r="N4164" s="3">
        <v>99.32</v>
      </c>
      <c r="O4164" s="12">
        <v>30.648330058939099</v>
      </c>
    </row>
    <row r="4165" spans="1:15" hidden="1" x14ac:dyDescent="0.25">
      <c r="A4165" s="10">
        <v>46134</v>
      </c>
      <c r="B4165" t="s">
        <v>33</v>
      </c>
      <c r="C4165" s="1" t="s">
        <v>32</v>
      </c>
      <c r="D4165" s="3">
        <v>16</v>
      </c>
      <c r="E4165" s="3">
        <v>15</v>
      </c>
      <c r="F4165" s="3">
        <v>26.58</v>
      </c>
      <c r="G4165" s="3">
        <v>0</v>
      </c>
      <c r="H4165" s="3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 s="3">
        <v>13</v>
      </c>
      <c r="N4165" s="3">
        <v>100</v>
      </c>
      <c r="O4165" s="12">
        <v>27.803738317757009</v>
      </c>
    </row>
    <row r="4166" spans="1:15" hidden="1" x14ac:dyDescent="0.25">
      <c r="A4166" s="10">
        <v>46134</v>
      </c>
      <c r="B4166" t="s">
        <v>15</v>
      </c>
      <c r="C4166" s="1" t="s">
        <v>16</v>
      </c>
      <c r="D4166" s="3">
        <v>28</v>
      </c>
      <c r="E4166" s="3">
        <v>25</v>
      </c>
      <c r="F4166" s="3">
        <v>14.12</v>
      </c>
      <c r="G4166" s="3">
        <v>0</v>
      </c>
      <c r="H4166" s="3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 s="3">
        <v>22</v>
      </c>
      <c r="N4166" s="3">
        <v>96.74</v>
      </c>
      <c r="O4166" s="12">
        <v>28.67647058823529</v>
      </c>
    </row>
    <row r="4167" spans="1:15" hidden="1" x14ac:dyDescent="0.25">
      <c r="A4167" s="10">
        <v>46134</v>
      </c>
      <c r="B4167" t="s">
        <v>49</v>
      </c>
      <c r="C4167" s="1" t="s">
        <v>48</v>
      </c>
      <c r="D4167" s="3">
        <v>0</v>
      </c>
      <c r="E4167" s="3">
        <v>0</v>
      </c>
      <c r="F4167" s="3">
        <v>0</v>
      </c>
      <c r="G4167" s="3">
        <v>0</v>
      </c>
      <c r="H4167" s="3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 s="3">
        <v>0</v>
      </c>
      <c r="N4167" s="3">
        <v>98.82</v>
      </c>
      <c r="O4167" s="12">
        <v>30.741410488245929</v>
      </c>
    </row>
    <row r="4168" spans="1:15" hidden="1" x14ac:dyDescent="0.25">
      <c r="A4168" s="10">
        <v>46134</v>
      </c>
      <c r="B4168" t="s">
        <v>50</v>
      </c>
      <c r="C4168" s="1" t="s">
        <v>48</v>
      </c>
      <c r="D4168" s="3">
        <v>0</v>
      </c>
      <c r="E4168" s="3">
        <v>0</v>
      </c>
      <c r="F4168" s="3">
        <v>0</v>
      </c>
      <c r="G4168" s="3">
        <v>0</v>
      </c>
      <c r="H4168" s="3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 s="3">
        <v>0</v>
      </c>
      <c r="N4168" s="3">
        <v>98.2</v>
      </c>
      <c r="O4168" s="12">
        <v>27.170868347338931</v>
      </c>
    </row>
    <row r="4169" spans="1:15" hidden="1" x14ac:dyDescent="0.25">
      <c r="A4169" s="10">
        <v>46134</v>
      </c>
      <c r="B4169" t="s">
        <v>17</v>
      </c>
      <c r="C4169" s="1" t="s">
        <v>16</v>
      </c>
      <c r="D4169" s="3">
        <v>5</v>
      </c>
      <c r="E4169" s="3">
        <v>5</v>
      </c>
      <c r="F4169" s="3">
        <v>33.49</v>
      </c>
      <c r="G4169" s="3">
        <v>0</v>
      </c>
      <c r="H4169" s="3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 s="3">
        <v>4</v>
      </c>
      <c r="N4169" s="3">
        <v>100</v>
      </c>
      <c r="O4169" s="12">
        <v>23.134328358208951</v>
      </c>
    </row>
    <row r="4170" spans="1:15" hidden="1" x14ac:dyDescent="0.25">
      <c r="A4170" s="10">
        <v>46134</v>
      </c>
      <c r="B4170" t="s">
        <v>60</v>
      </c>
      <c r="C4170" s="1" t="s">
        <v>23</v>
      </c>
      <c r="D4170" s="3">
        <v>16</v>
      </c>
      <c r="E4170" s="3">
        <v>13</v>
      </c>
      <c r="F4170" s="3">
        <v>15.45</v>
      </c>
      <c r="G4170" s="3">
        <v>0</v>
      </c>
      <c r="H4170" s="3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 s="3">
        <v>13</v>
      </c>
      <c r="N4170" s="3">
        <v>96.3</v>
      </c>
      <c r="O4170" s="12">
        <v>32.219570405727922</v>
      </c>
    </row>
    <row r="4171" spans="1:15" hidden="1" x14ac:dyDescent="0.25">
      <c r="A4171" s="10">
        <v>46134</v>
      </c>
      <c r="B4171" t="s">
        <v>34</v>
      </c>
      <c r="C4171" s="1" t="s">
        <v>32</v>
      </c>
      <c r="D4171" s="3">
        <v>24</v>
      </c>
      <c r="E4171" s="3">
        <v>23</v>
      </c>
      <c r="F4171" s="3">
        <v>16.43</v>
      </c>
      <c r="G4171" s="3">
        <v>0</v>
      </c>
      <c r="H4171" s="3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 s="3">
        <v>19</v>
      </c>
      <c r="N4171" s="3">
        <v>93.75</v>
      </c>
      <c r="O4171" s="12">
        <v>26.819923371647509</v>
      </c>
    </row>
    <row r="4172" spans="1:15" hidden="1" x14ac:dyDescent="0.25">
      <c r="A4172" s="10">
        <v>46134</v>
      </c>
      <c r="B4172" t="s">
        <v>51</v>
      </c>
      <c r="C4172" s="1" t="s">
        <v>48</v>
      </c>
      <c r="D4172" s="3">
        <v>26</v>
      </c>
      <c r="E4172" s="3">
        <v>25</v>
      </c>
      <c r="F4172" s="3">
        <v>20.07</v>
      </c>
      <c r="G4172" s="3">
        <v>0</v>
      </c>
      <c r="H4172" s="3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 s="3">
        <v>21</v>
      </c>
      <c r="N4172" s="3">
        <v>97.86</v>
      </c>
      <c r="O4172" s="12">
        <v>31.018518518518519</v>
      </c>
    </row>
    <row r="4173" spans="1:15" hidden="1" x14ac:dyDescent="0.25">
      <c r="A4173" s="10">
        <v>46134</v>
      </c>
      <c r="B4173" t="s">
        <v>61</v>
      </c>
      <c r="C4173" s="1" t="s">
        <v>23</v>
      </c>
      <c r="D4173" s="3">
        <v>18</v>
      </c>
      <c r="E4173" s="3">
        <v>16</v>
      </c>
      <c r="F4173" s="3">
        <v>22.13</v>
      </c>
      <c r="G4173" s="3">
        <v>0</v>
      </c>
      <c r="H4173" s="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 s="3">
        <v>8</v>
      </c>
      <c r="N4173" s="3">
        <v>100</v>
      </c>
      <c r="O4173" s="12">
        <v>36.594202898550733</v>
      </c>
    </row>
    <row r="4174" spans="1:15" hidden="1" x14ac:dyDescent="0.25">
      <c r="A4174" s="10">
        <v>46134</v>
      </c>
      <c r="B4174" t="s">
        <v>35</v>
      </c>
      <c r="C4174" s="1" t="s">
        <v>32</v>
      </c>
      <c r="D4174" s="3">
        <v>17</v>
      </c>
      <c r="E4174" s="3">
        <v>16</v>
      </c>
      <c r="F4174" s="3">
        <v>31.59</v>
      </c>
      <c r="G4174" s="3">
        <v>0</v>
      </c>
      <c r="H4174" s="3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 s="3">
        <v>16</v>
      </c>
      <c r="N4174" s="3">
        <v>100</v>
      </c>
      <c r="O4174" s="12">
        <v>38.653846153846153</v>
      </c>
    </row>
    <row r="4175" spans="1:15" hidden="1" x14ac:dyDescent="0.25">
      <c r="A4175" s="10">
        <v>46134</v>
      </c>
      <c r="B4175" t="s">
        <v>18</v>
      </c>
      <c r="C4175" s="1" t="s">
        <v>16</v>
      </c>
      <c r="D4175" s="3">
        <v>7</v>
      </c>
      <c r="E4175" s="3">
        <v>7</v>
      </c>
      <c r="F4175" s="3">
        <v>30.04</v>
      </c>
      <c r="G4175" s="3">
        <v>0</v>
      </c>
      <c r="H4175" s="3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 s="3">
        <v>5</v>
      </c>
      <c r="N4175" s="3">
        <v>100</v>
      </c>
      <c r="O4175" s="12">
        <v>27.368421052631579</v>
      </c>
    </row>
    <row r="4176" spans="1:15" hidden="1" x14ac:dyDescent="0.25">
      <c r="A4176" s="10">
        <v>46134</v>
      </c>
      <c r="B4176" t="s">
        <v>52</v>
      </c>
      <c r="C4176" s="1" t="s">
        <v>48</v>
      </c>
      <c r="D4176" s="3">
        <v>30</v>
      </c>
      <c r="E4176" s="3">
        <v>29</v>
      </c>
      <c r="F4176" s="3">
        <v>14.13</v>
      </c>
      <c r="G4176" s="3">
        <v>0</v>
      </c>
      <c r="H4176" s="3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 s="3">
        <v>27</v>
      </c>
      <c r="N4176" s="3">
        <v>97.83</v>
      </c>
      <c r="O4176" s="12">
        <v>28.35164835164835</v>
      </c>
    </row>
    <row r="4177" spans="1:15" hidden="1" x14ac:dyDescent="0.25">
      <c r="A4177" s="10">
        <v>46134</v>
      </c>
      <c r="B4177" t="s">
        <v>36</v>
      </c>
      <c r="C4177" s="1" t="s">
        <v>32</v>
      </c>
      <c r="D4177" s="3">
        <v>19</v>
      </c>
      <c r="E4177" s="3">
        <v>19</v>
      </c>
      <c r="F4177" s="3">
        <v>18.3</v>
      </c>
      <c r="G4177" s="3">
        <v>0</v>
      </c>
      <c r="H4177" s="3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 s="3">
        <v>19</v>
      </c>
      <c r="N4177" s="3">
        <v>99.26</v>
      </c>
      <c r="O4177" s="12">
        <v>29.766536964980549</v>
      </c>
    </row>
    <row r="4178" spans="1:15" hidden="1" x14ac:dyDescent="0.25">
      <c r="A4178" s="10">
        <v>46134</v>
      </c>
      <c r="B4178" t="s">
        <v>53</v>
      </c>
      <c r="C4178" s="1" t="s">
        <v>48</v>
      </c>
      <c r="D4178" s="3">
        <v>21</v>
      </c>
      <c r="E4178" s="3">
        <v>19</v>
      </c>
      <c r="F4178" s="3">
        <v>20.57</v>
      </c>
      <c r="G4178" s="3">
        <v>0</v>
      </c>
      <c r="H4178" s="3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 s="3">
        <v>17</v>
      </c>
      <c r="N4178" s="3">
        <v>99.19</v>
      </c>
      <c r="O4178" s="12">
        <v>29.462365591397852</v>
      </c>
    </row>
    <row r="4179" spans="1:15" hidden="1" x14ac:dyDescent="0.25">
      <c r="A4179" s="7">
        <v>46162</v>
      </c>
      <c r="B4179" s="8" t="s">
        <v>37</v>
      </c>
      <c r="C4179" s="1" t="s">
        <v>32</v>
      </c>
      <c r="D4179" s="3">
        <v>38</v>
      </c>
      <c r="E4179" s="3">
        <v>35</v>
      </c>
      <c r="F4179" s="3">
        <v>13.25</v>
      </c>
      <c r="G4179" s="3">
        <v>3</v>
      </c>
      <c r="H4179" s="3">
        <v>0</v>
      </c>
      <c r="I4179" s="3">
        <f>E4179+G4179+H4179</f>
        <v>38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26</v>
      </c>
      <c r="K4179" s="3">
        <f>I4179-J4179</f>
        <v>12</v>
      </c>
      <c r="L4179" s="3" t="str">
        <f>IF(K4179&lt;-5,"CRÍTICO",IF(K4179&lt;0,"ATENÇÃO",IF(K4179&lt;=5,"OPORTUNO","MUITO BOM")))</f>
        <v>MUITO BOM</v>
      </c>
      <c r="M4179" s="3">
        <v>34</v>
      </c>
      <c r="N4179" s="3">
        <v>99</v>
      </c>
      <c r="O4179" s="12">
        <v>22.27414330218069</v>
      </c>
    </row>
    <row r="4180" spans="1:15" hidden="1" x14ac:dyDescent="0.25">
      <c r="A4180" s="10">
        <v>46134</v>
      </c>
      <c r="B4180" t="s">
        <v>54</v>
      </c>
      <c r="C4180" s="1" t="s">
        <v>48</v>
      </c>
      <c r="D4180" s="3">
        <v>19</v>
      </c>
      <c r="E4180" s="3">
        <v>18</v>
      </c>
      <c r="F4180" s="3">
        <v>26.53</v>
      </c>
      <c r="G4180" s="3">
        <v>0</v>
      </c>
      <c r="H4180" s="3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 s="3">
        <v>20</v>
      </c>
      <c r="N4180" s="3">
        <v>100</v>
      </c>
      <c r="O4180" s="12">
        <v>28.921568627450981</v>
      </c>
    </row>
    <row r="4181" spans="1:15" hidden="1" x14ac:dyDescent="0.25">
      <c r="A4181" s="10">
        <v>46134</v>
      </c>
      <c r="B4181" t="s">
        <v>37</v>
      </c>
      <c r="C4181" s="1" t="s">
        <v>32</v>
      </c>
      <c r="D4181" s="3">
        <v>33</v>
      </c>
      <c r="E4181" s="3">
        <v>30</v>
      </c>
      <c r="F4181" s="3">
        <v>15.55</v>
      </c>
      <c r="G4181" s="3">
        <v>0</v>
      </c>
      <c r="H4181" s="3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 s="3">
        <v>27</v>
      </c>
      <c r="N4181" s="3">
        <v>99.57</v>
      </c>
      <c r="O4181" s="12">
        <v>30.635838150289018</v>
      </c>
    </row>
    <row r="4182" spans="1:15" hidden="1" x14ac:dyDescent="0.25">
      <c r="A4182" s="10">
        <v>46134</v>
      </c>
      <c r="B4182" t="s">
        <v>38</v>
      </c>
      <c r="C4182" s="1" t="s">
        <v>32</v>
      </c>
      <c r="D4182" s="3">
        <v>0</v>
      </c>
      <c r="E4182" s="3">
        <v>0</v>
      </c>
      <c r="F4182" s="3">
        <v>0</v>
      </c>
      <c r="G4182" s="3">
        <v>0</v>
      </c>
      <c r="H4182" s="3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 s="3">
        <v>0</v>
      </c>
      <c r="N4182" s="3">
        <v>95.65</v>
      </c>
      <c r="O4182" s="12">
        <v>32.432432432432442</v>
      </c>
    </row>
    <row r="4183" spans="1:15" hidden="1" x14ac:dyDescent="0.25">
      <c r="A4183" s="10">
        <v>46134</v>
      </c>
      <c r="B4183" t="s">
        <v>55</v>
      </c>
      <c r="C4183" s="1" t="s">
        <v>48</v>
      </c>
      <c r="D4183" s="3">
        <v>27</v>
      </c>
      <c r="E4183" s="3">
        <v>21</v>
      </c>
      <c r="F4183" s="3">
        <v>13.34</v>
      </c>
      <c r="G4183" s="3">
        <v>0</v>
      </c>
      <c r="H4183" s="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 s="3">
        <v>20</v>
      </c>
      <c r="N4183" s="3">
        <v>98.81</v>
      </c>
      <c r="O4183" s="12">
        <v>26.256983240223459</v>
      </c>
    </row>
    <row r="4184" spans="1:15" hidden="1" x14ac:dyDescent="0.25">
      <c r="A4184" s="10">
        <v>46134</v>
      </c>
      <c r="B4184" t="s">
        <v>39</v>
      </c>
      <c r="C4184" s="1" t="s">
        <v>32</v>
      </c>
      <c r="D4184" s="3">
        <v>0</v>
      </c>
      <c r="E4184" s="3">
        <v>0</v>
      </c>
      <c r="F4184" s="3">
        <v>0</v>
      </c>
      <c r="G4184" s="3">
        <v>0</v>
      </c>
      <c r="H4184" s="3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 s="3">
        <v>0</v>
      </c>
      <c r="N4184" s="3">
        <v>0</v>
      </c>
      <c r="O4184" s="12">
        <v>0</v>
      </c>
    </row>
    <row r="4185" spans="1:15" hidden="1" x14ac:dyDescent="0.25">
      <c r="A4185" s="10">
        <v>46134</v>
      </c>
      <c r="B4185" t="s">
        <v>25</v>
      </c>
      <c r="C4185" s="1" t="s">
        <v>26</v>
      </c>
      <c r="D4185" s="3">
        <v>10</v>
      </c>
      <c r="E4185" s="3">
        <v>9</v>
      </c>
      <c r="F4185" s="3">
        <v>34.119999999999997</v>
      </c>
      <c r="G4185" s="3">
        <v>0</v>
      </c>
      <c r="H4185" s="3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 s="3">
        <v>10</v>
      </c>
      <c r="N4185" s="3">
        <v>97.17</v>
      </c>
      <c r="O4185" s="12">
        <v>28.81844380403458</v>
      </c>
    </row>
    <row r="4186" spans="1:15" hidden="1" x14ac:dyDescent="0.25">
      <c r="A4186" s="10">
        <v>46134</v>
      </c>
      <c r="B4186" t="s">
        <v>40</v>
      </c>
      <c r="C4186" s="1" t="s">
        <v>32</v>
      </c>
      <c r="D4186" s="3">
        <v>0</v>
      </c>
      <c r="E4186" s="3">
        <v>0</v>
      </c>
      <c r="F4186" s="3">
        <v>0</v>
      </c>
      <c r="G4186" s="3">
        <v>0</v>
      </c>
      <c r="H4186" s="3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 s="3">
        <v>20</v>
      </c>
      <c r="N4186" s="3">
        <v>96.81</v>
      </c>
      <c r="O4186" s="12">
        <v>48.018648018648022</v>
      </c>
    </row>
    <row r="4187" spans="1:15" hidden="1" x14ac:dyDescent="0.25">
      <c r="A4187" s="10">
        <v>46134</v>
      </c>
      <c r="B4187" t="s">
        <v>27</v>
      </c>
      <c r="C4187" s="1" t="s">
        <v>26</v>
      </c>
      <c r="D4187" s="3">
        <v>6</v>
      </c>
      <c r="E4187" s="3">
        <v>5</v>
      </c>
      <c r="F4187" s="3">
        <v>52.11</v>
      </c>
      <c r="G4187" s="3">
        <v>0</v>
      </c>
      <c r="H4187" s="3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 s="3">
        <v>5</v>
      </c>
      <c r="N4187" s="3">
        <v>98.15</v>
      </c>
      <c r="O4187" s="12">
        <v>27.1551724137931</v>
      </c>
    </row>
    <row r="4188" spans="1:15" hidden="1" x14ac:dyDescent="0.25">
      <c r="A4188" s="10">
        <v>46134</v>
      </c>
      <c r="B4188" t="s">
        <v>41</v>
      </c>
      <c r="C4188" s="1" t="s">
        <v>32</v>
      </c>
      <c r="D4188" s="3">
        <v>26</v>
      </c>
      <c r="E4188" s="3">
        <v>23</v>
      </c>
      <c r="F4188" s="3">
        <v>12.33</v>
      </c>
      <c r="G4188" s="3">
        <v>0</v>
      </c>
      <c r="H4188" s="3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 s="3">
        <v>25</v>
      </c>
      <c r="N4188" s="3">
        <v>99.15</v>
      </c>
      <c r="O4188" s="12">
        <v>27.586206896551719</v>
      </c>
    </row>
    <row r="4189" spans="1:15" hidden="1" x14ac:dyDescent="0.25">
      <c r="A4189" s="10">
        <v>46134</v>
      </c>
      <c r="B4189" t="s">
        <v>56</v>
      </c>
      <c r="C4189" s="1" t="s">
        <v>48</v>
      </c>
      <c r="D4189" s="3">
        <v>25</v>
      </c>
      <c r="E4189" s="3">
        <v>21</v>
      </c>
      <c r="F4189" s="3">
        <v>15.41</v>
      </c>
      <c r="G4189" s="3">
        <v>0</v>
      </c>
      <c r="H4189" s="3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 s="3">
        <v>21</v>
      </c>
      <c r="N4189" s="3">
        <v>99.17</v>
      </c>
      <c r="O4189" s="12">
        <v>29.75206611570248</v>
      </c>
    </row>
    <row r="4190" spans="1:15" hidden="1" x14ac:dyDescent="0.25">
      <c r="A4190" s="10">
        <v>46134</v>
      </c>
      <c r="B4190" t="s">
        <v>57</v>
      </c>
      <c r="C4190" s="1" t="s">
        <v>48</v>
      </c>
      <c r="D4190" s="3">
        <v>0</v>
      </c>
      <c r="E4190" s="3">
        <v>0</v>
      </c>
      <c r="F4190" s="3">
        <v>0</v>
      </c>
      <c r="G4190" s="3">
        <v>0</v>
      </c>
      <c r="H4190" s="3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 s="3">
        <v>0</v>
      </c>
      <c r="N4190" s="3">
        <v>98.73</v>
      </c>
      <c r="O4190" s="12">
        <v>28.961748633879779</v>
      </c>
    </row>
    <row r="4191" spans="1:15" hidden="1" x14ac:dyDescent="0.25">
      <c r="A4191" s="10">
        <v>46134</v>
      </c>
      <c r="B4191" t="s">
        <v>42</v>
      </c>
      <c r="C4191" s="1" t="s">
        <v>32</v>
      </c>
      <c r="D4191" s="3">
        <v>0</v>
      </c>
      <c r="E4191" s="3">
        <v>0</v>
      </c>
      <c r="F4191" s="3">
        <v>0</v>
      </c>
      <c r="G4191" s="3">
        <v>0</v>
      </c>
      <c r="H4191" s="3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 s="3">
        <v>0</v>
      </c>
      <c r="N4191" s="3">
        <v>88.68</v>
      </c>
      <c r="O4191" s="12">
        <v>22.03389830508474</v>
      </c>
    </row>
    <row r="4192" spans="1:15" hidden="1" x14ac:dyDescent="0.25">
      <c r="A4192" s="10">
        <v>46134</v>
      </c>
      <c r="B4192" t="s">
        <v>62</v>
      </c>
      <c r="C4192" s="1" t="s">
        <v>23</v>
      </c>
      <c r="D4192" s="3">
        <v>19</v>
      </c>
      <c r="E4192" s="3">
        <v>19</v>
      </c>
      <c r="F4192" s="3">
        <v>20.37</v>
      </c>
      <c r="G4192" s="3">
        <v>0</v>
      </c>
      <c r="H4192" s="3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 s="3">
        <v>15</v>
      </c>
      <c r="N4192" s="3">
        <v>97.37</v>
      </c>
      <c r="O4192" s="12">
        <v>25.76530612244898</v>
      </c>
    </row>
    <row r="4193" spans="1:15" hidden="1" x14ac:dyDescent="0.25">
      <c r="A4193" s="10">
        <v>46134</v>
      </c>
      <c r="B4193" t="s">
        <v>19</v>
      </c>
      <c r="C4193" s="1" t="s">
        <v>16</v>
      </c>
      <c r="D4193" s="3">
        <v>6</v>
      </c>
      <c r="E4193" s="3">
        <v>2</v>
      </c>
      <c r="F4193" s="3">
        <v>2.34</v>
      </c>
      <c r="G4193" s="3">
        <v>0</v>
      </c>
      <c r="H4193" s="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 s="3">
        <v>0</v>
      </c>
      <c r="N4193" s="3">
        <v>100</v>
      </c>
      <c r="O4193" s="12">
        <v>25</v>
      </c>
    </row>
    <row r="4194" spans="1:15" hidden="1" x14ac:dyDescent="0.25">
      <c r="A4194" s="7">
        <v>46162</v>
      </c>
      <c r="B4194" s="8" t="s">
        <v>38</v>
      </c>
      <c r="C4194" s="1" t="s">
        <v>32</v>
      </c>
      <c r="D4194" s="3">
        <v>24</v>
      </c>
      <c r="E4194" s="3">
        <v>21</v>
      </c>
      <c r="F4194" s="3">
        <v>15.53</v>
      </c>
      <c r="G4194" s="3">
        <v>2</v>
      </c>
      <c r="H4194" s="3">
        <v>0</v>
      </c>
      <c r="I4194" s="3">
        <f>E4194+G4194+H4194</f>
        <v>23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26</v>
      </c>
      <c r="K4194" s="3">
        <f>I4194-J4194</f>
        <v>-3</v>
      </c>
      <c r="L4194" s="3" t="str">
        <f>IF(K4194&lt;-5,"CRÍTICO",IF(K4194&lt;0,"ATENÇÃO",IF(K4194&lt;=5,"OPORTUNO","MUITO BOM")))</f>
        <v>ATENÇÃO</v>
      </c>
      <c r="M4194" s="3">
        <v>19</v>
      </c>
      <c r="N4194" s="3">
        <v>97.04</v>
      </c>
      <c r="O4194" s="12">
        <v>29.828850855745721</v>
      </c>
    </row>
    <row r="4195" spans="1:15" hidden="1" x14ac:dyDescent="0.25">
      <c r="A4195" s="10">
        <v>46134</v>
      </c>
      <c r="B4195" t="s">
        <v>44</v>
      </c>
      <c r="C4195" s="1" t="s">
        <v>32</v>
      </c>
      <c r="D4195" s="3">
        <v>28</v>
      </c>
      <c r="E4195" s="3">
        <v>23</v>
      </c>
      <c r="F4195" s="3">
        <v>11.51</v>
      </c>
      <c r="G4195" s="3">
        <v>0</v>
      </c>
      <c r="H4195" s="3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 s="3">
        <v>16</v>
      </c>
      <c r="N4195" s="3">
        <v>95.49</v>
      </c>
      <c r="O4195" s="12">
        <v>28.370221327967808</v>
      </c>
    </row>
    <row r="4196" spans="1:15" hidden="1" x14ac:dyDescent="0.25">
      <c r="A4196" s="7">
        <v>46162</v>
      </c>
      <c r="B4196" s="8" t="s">
        <v>39</v>
      </c>
      <c r="C4196" s="1" t="s">
        <v>32</v>
      </c>
      <c r="D4196" s="3">
        <v>0</v>
      </c>
      <c r="E4196" s="3">
        <v>0</v>
      </c>
      <c r="F4196" s="3">
        <v>0</v>
      </c>
      <c r="G4196" s="3">
        <v>0</v>
      </c>
      <c r="H4196" s="3">
        <v>0</v>
      </c>
      <c r="I4196" s="3">
        <f>E4196+G4196+H4196</f>
        <v>0</v>
      </c>
      <c r="J4196" s="3">
        <v>0</v>
      </c>
      <c r="K4196" s="3">
        <f>I4196-J4196</f>
        <v>0</v>
      </c>
      <c r="L4196" s="3" t="str">
        <f>IF(K4196&lt;-5,"CRÍTICO",IF(K4196&lt;0,"ATENÇÃO",IF(K4196&lt;=5,"OPORTUNO","MUITO BOM")))</f>
        <v>OPORTUNO</v>
      </c>
      <c r="M4196" s="3">
        <v>0</v>
      </c>
      <c r="N4196" s="3">
        <v>0</v>
      </c>
      <c r="O4196" s="12">
        <v>0</v>
      </c>
    </row>
    <row r="4197" spans="1:15" hidden="1" x14ac:dyDescent="0.25">
      <c r="A4197" s="10">
        <v>46134</v>
      </c>
      <c r="B4197" t="s">
        <v>28</v>
      </c>
      <c r="C4197" s="1" t="s">
        <v>26</v>
      </c>
      <c r="D4197" s="3">
        <v>31</v>
      </c>
      <c r="E4197" s="3">
        <v>18</v>
      </c>
      <c r="F4197" s="3">
        <v>8.5399999999999991</v>
      </c>
      <c r="G4197" s="3">
        <v>0</v>
      </c>
      <c r="H4197" s="3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 s="3">
        <v>10</v>
      </c>
      <c r="N4197" s="3">
        <v>96.15</v>
      </c>
      <c r="O4197" s="12">
        <v>24.045801526717561</v>
      </c>
    </row>
    <row r="4198" spans="1:15" hidden="1" x14ac:dyDescent="0.25">
      <c r="A4198" s="10">
        <v>46134</v>
      </c>
      <c r="B4198" t="s">
        <v>58</v>
      </c>
      <c r="C4198" s="1" t="s">
        <v>48</v>
      </c>
      <c r="D4198" s="3">
        <v>9</v>
      </c>
      <c r="E4198" s="3">
        <v>8</v>
      </c>
      <c r="F4198" s="3">
        <v>20.21</v>
      </c>
      <c r="G4198" s="3">
        <v>0</v>
      </c>
      <c r="H4198" s="3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 s="3">
        <v>8</v>
      </c>
      <c r="N4198" s="3">
        <v>99.02</v>
      </c>
      <c r="O4198" s="12">
        <v>34.797297297297298</v>
      </c>
    </row>
    <row r="4199" spans="1:15" hidden="1" x14ac:dyDescent="0.25">
      <c r="A4199" s="10">
        <v>46134</v>
      </c>
      <c r="B4199" t="s">
        <v>29</v>
      </c>
      <c r="C4199" s="1" t="s">
        <v>26</v>
      </c>
      <c r="D4199" s="3">
        <v>4</v>
      </c>
      <c r="E4199" s="3">
        <v>4</v>
      </c>
      <c r="F4199" s="3">
        <v>32.340000000000003</v>
      </c>
      <c r="G4199" s="3">
        <v>0</v>
      </c>
      <c r="H4199" s="3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 s="3">
        <v>3</v>
      </c>
      <c r="N4199" s="3">
        <v>98.84</v>
      </c>
      <c r="O4199" s="12">
        <v>31.868131868131869</v>
      </c>
    </row>
    <row r="4200" spans="1:15" hidden="1" x14ac:dyDescent="0.25">
      <c r="A4200" s="10">
        <v>46134</v>
      </c>
      <c r="B4200" t="s">
        <v>30</v>
      </c>
      <c r="C4200" s="1" t="s">
        <v>26</v>
      </c>
      <c r="D4200" s="3">
        <v>7</v>
      </c>
      <c r="E4200" s="3">
        <v>7</v>
      </c>
      <c r="F4200" s="3">
        <v>18.420000000000002</v>
      </c>
      <c r="G4200" s="3">
        <v>0</v>
      </c>
      <c r="H4200" s="3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 s="3">
        <v>8</v>
      </c>
      <c r="N4200" s="3">
        <v>100</v>
      </c>
      <c r="O4200" s="12">
        <v>34.666666666666671</v>
      </c>
    </row>
    <row r="4201" spans="1:15" hidden="1" x14ac:dyDescent="0.25">
      <c r="A4201" s="7">
        <v>46162</v>
      </c>
      <c r="B4201" s="8" t="s">
        <v>40</v>
      </c>
      <c r="C4201" s="1" t="s">
        <v>32</v>
      </c>
      <c r="D4201" s="3">
        <v>17</v>
      </c>
      <c r="E4201" s="3">
        <v>16</v>
      </c>
      <c r="F4201" s="3">
        <v>23.31</v>
      </c>
      <c r="G4201" s="3">
        <v>1</v>
      </c>
      <c r="H4201" s="3">
        <v>0</v>
      </c>
      <c r="I4201" s="3">
        <f>E4201+G4201+H4201</f>
        <v>17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26</v>
      </c>
      <c r="K4201" s="3">
        <f>I4201-J4201</f>
        <v>-9</v>
      </c>
      <c r="L4201" s="3" t="str">
        <f>IF(K4201&lt;-5,"CRÍTICO",IF(K4201&lt;0,"ATENÇÃO",IF(K4201&lt;=5,"OPORTUNO","MUITO BOM")))</f>
        <v>CRÍTICO</v>
      </c>
      <c r="M4201" s="3">
        <v>18</v>
      </c>
      <c r="N4201" s="3">
        <v>96.84</v>
      </c>
      <c r="O4201" s="12">
        <v>16.338028169014081</v>
      </c>
    </row>
    <row r="4202" spans="1:15" hidden="1" x14ac:dyDescent="0.25">
      <c r="A4202" s="10">
        <v>46134</v>
      </c>
      <c r="B4202" t="s">
        <v>63</v>
      </c>
      <c r="C4202" s="1" t="s">
        <v>23</v>
      </c>
      <c r="D4202" s="3">
        <v>21</v>
      </c>
      <c r="E4202" s="3">
        <v>18</v>
      </c>
      <c r="F4202" s="3">
        <v>12.11</v>
      </c>
      <c r="G4202" s="3">
        <v>0</v>
      </c>
      <c r="H4202" s="3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 s="3">
        <v>16</v>
      </c>
      <c r="N4202" s="3">
        <v>98.32</v>
      </c>
      <c r="O4202" s="12">
        <v>26.858513189448441</v>
      </c>
    </row>
    <row r="4203" spans="1:15" hidden="1" x14ac:dyDescent="0.25">
      <c r="A4203" s="10">
        <v>46134</v>
      </c>
      <c r="B4203" t="s">
        <v>45</v>
      </c>
      <c r="C4203" s="1" t="s">
        <v>32</v>
      </c>
      <c r="D4203" s="3">
        <v>33</v>
      </c>
      <c r="E4203" s="3">
        <v>28</v>
      </c>
      <c r="F4203" s="3">
        <v>11.53</v>
      </c>
      <c r="G4203" s="3">
        <v>0</v>
      </c>
      <c r="H4203" s="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 s="3">
        <v>19</v>
      </c>
      <c r="N4203" s="3">
        <v>100</v>
      </c>
      <c r="O4203" s="12">
        <v>31.135531135531139</v>
      </c>
    </row>
    <row r="4204" spans="1:15" hidden="1" x14ac:dyDescent="0.25">
      <c r="A4204" s="10">
        <v>46134</v>
      </c>
      <c r="B4204" t="s">
        <v>64</v>
      </c>
      <c r="C4204" s="1" t="s">
        <v>23</v>
      </c>
      <c r="D4204" s="3">
        <v>17</v>
      </c>
      <c r="E4204" s="3">
        <v>17</v>
      </c>
      <c r="F4204" s="3">
        <v>19.03</v>
      </c>
      <c r="G4204" s="3">
        <v>0</v>
      </c>
      <c r="H4204" s="3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 s="3">
        <v>12</v>
      </c>
      <c r="N4204" s="3">
        <v>100</v>
      </c>
      <c r="O4204" s="12">
        <v>26.36986301369863</v>
      </c>
    </row>
    <row r="4205" spans="1:15" hidden="1" x14ac:dyDescent="0.25">
      <c r="A4205" s="10">
        <v>46134</v>
      </c>
      <c r="B4205" t="s">
        <v>46</v>
      </c>
      <c r="C4205" s="1" t="s">
        <v>32</v>
      </c>
      <c r="D4205" s="3">
        <v>24</v>
      </c>
      <c r="E4205" s="3">
        <v>23</v>
      </c>
      <c r="F4205" s="3">
        <v>19.16</v>
      </c>
      <c r="G4205" s="3">
        <v>0</v>
      </c>
      <c r="H4205" s="3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 s="3">
        <v>16</v>
      </c>
      <c r="N4205" s="3">
        <v>99.21</v>
      </c>
      <c r="O4205" s="12">
        <v>25.188916876574311</v>
      </c>
    </row>
    <row r="4206" spans="1:15" hidden="1" x14ac:dyDescent="0.25">
      <c r="A4206" s="10">
        <v>46135</v>
      </c>
      <c r="B4206" t="s">
        <v>47</v>
      </c>
      <c r="C4206" s="1" t="s">
        <v>48</v>
      </c>
      <c r="D4206" s="3">
        <v>27</v>
      </c>
      <c r="E4206" s="3">
        <v>24</v>
      </c>
      <c r="F4206" s="3">
        <v>13.44</v>
      </c>
      <c r="G4206" s="3">
        <v>0</v>
      </c>
      <c r="H4206" s="3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 s="3">
        <v>22</v>
      </c>
      <c r="N4206" s="3">
        <v>100</v>
      </c>
      <c r="O4206" s="12">
        <v>32.764505119453922</v>
      </c>
    </row>
    <row r="4207" spans="1:15" hidden="1" x14ac:dyDescent="0.25">
      <c r="A4207" s="10">
        <v>46135</v>
      </c>
      <c r="B4207" t="s">
        <v>31</v>
      </c>
      <c r="C4207" s="1" t="s">
        <v>32</v>
      </c>
      <c r="D4207" s="3">
        <v>0</v>
      </c>
      <c r="E4207" s="3">
        <v>0</v>
      </c>
      <c r="F4207" s="3">
        <v>0</v>
      </c>
      <c r="G4207" s="3">
        <v>0</v>
      </c>
      <c r="H4207" s="3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 s="3">
        <v>18</v>
      </c>
      <c r="N4207" s="3">
        <v>98.66</v>
      </c>
      <c r="O4207" s="12">
        <v>35.416666666666671</v>
      </c>
    </row>
    <row r="4208" spans="1:15" hidden="1" x14ac:dyDescent="0.25">
      <c r="A4208" s="10">
        <v>46135</v>
      </c>
      <c r="B4208" t="s">
        <v>59</v>
      </c>
      <c r="C4208" s="1" t="s">
        <v>23</v>
      </c>
      <c r="D4208" s="3">
        <v>31</v>
      </c>
      <c r="E4208" s="3">
        <v>27</v>
      </c>
      <c r="F4208" s="3">
        <v>14.15</v>
      </c>
      <c r="G4208" s="3">
        <v>0</v>
      </c>
      <c r="H4208" s="3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 s="3">
        <v>21</v>
      </c>
      <c r="N4208" s="3">
        <v>99.32</v>
      </c>
      <c r="O4208" s="12">
        <v>30.648330058939099</v>
      </c>
    </row>
    <row r="4209" spans="1:15" hidden="1" x14ac:dyDescent="0.25">
      <c r="A4209" s="10">
        <v>46135</v>
      </c>
      <c r="B4209" t="s">
        <v>33</v>
      </c>
      <c r="C4209" s="1" t="s">
        <v>32</v>
      </c>
      <c r="D4209" s="3">
        <v>21</v>
      </c>
      <c r="E4209" s="3">
        <v>19</v>
      </c>
      <c r="F4209" s="3">
        <v>21.51</v>
      </c>
      <c r="G4209" s="3">
        <v>0</v>
      </c>
      <c r="H4209" s="3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 s="3">
        <v>19</v>
      </c>
      <c r="N4209" s="3">
        <v>100</v>
      </c>
      <c r="O4209" s="12">
        <v>27.803738317757009</v>
      </c>
    </row>
    <row r="4210" spans="1:15" hidden="1" x14ac:dyDescent="0.25">
      <c r="A4210" s="10">
        <v>46135</v>
      </c>
      <c r="B4210" t="s">
        <v>15</v>
      </c>
      <c r="C4210" s="1" t="s">
        <v>16</v>
      </c>
      <c r="D4210" s="3">
        <v>34</v>
      </c>
      <c r="E4210" s="3">
        <v>29</v>
      </c>
      <c r="F4210" s="3">
        <v>15.51</v>
      </c>
      <c r="G4210" s="3">
        <v>0</v>
      </c>
      <c r="H4210" s="3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 s="3">
        <v>30</v>
      </c>
      <c r="N4210" s="3">
        <v>96.74</v>
      </c>
      <c r="O4210" s="12">
        <v>28.67647058823529</v>
      </c>
    </row>
    <row r="4211" spans="1:15" hidden="1" x14ac:dyDescent="0.25">
      <c r="A4211" s="10">
        <v>46135</v>
      </c>
      <c r="B4211" t="s">
        <v>49</v>
      </c>
      <c r="C4211" s="1" t="s">
        <v>48</v>
      </c>
      <c r="D4211" s="3">
        <v>0</v>
      </c>
      <c r="E4211" s="3">
        <v>0</v>
      </c>
      <c r="F4211" s="3">
        <v>0</v>
      </c>
      <c r="G4211" s="3">
        <v>0</v>
      </c>
      <c r="H4211" s="3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 s="3">
        <v>0</v>
      </c>
      <c r="N4211" s="3">
        <v>98.82</v>
      </c>
      <c r="O4211" s="12">
        <v>30.741410488245929</v>
      </c>
    </row>
    <row r="4212" spans="1:15" hidden="1" x14ac:dyDescent="0.25">
      <c r="A4212" s="10">
        <v>46135</v>
      </c>
      <c r="B4212" t="s">
        <v>50</v>
      </c>
      <c r="C4212" s="1" t="s">
        <v>48</v>
      </c>
      <c r="D4212" s="3">
        <v>0</v>
      </c>
      <c r="E4212" s="3">
        <v>0</v>
      </c>
      <c r="F4212" s="3">
        <v>0</v>
      </c>
      <c r="G4212" s="3">
        <v>0</v>
      </c>
      <c r="H4212" s="3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 s="3">
        <v>0</v>
      </c>
      <c r="N4212" s="3">
        <v>98.2</v>
      </c>
      <c r="O4212" s="12">
        <v>27.170868347338931</v>
      </c>
    </row>
    <row r="4213" spans="1:15" hidden="1" x14ac:dyDescent="0.25">
      <c r="A4213" s="10">
        <v>46135</v>
      </c>
      <c r="B4213" t="s">
        <v>17</v>
      </c>
      <c r="C4213" s="1" t="s">
        <v>16</v>
      </c>
      <c r="D4213" s="3">
        <v>9</v>
      </c>
      <c r="E4213" s="3">
        <v>7</v>
      </c>
      <c r="F4213" s="3">
        <v>17.05</v>
      </c>
      <c r="G4213" s="3">
        <v>0</v>
      </c>
      <c r="H4213" s="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 s="3">
        <v>6</v>
      </c>
      <c r="N4213" s="3">
        <v>100</v>
      </c>
      <c r="O4213" s="12">
        <v>23.134328358208951</v>
      </c>
    </row>
    <row r="4214" spans="1:15" hidden="1" x14ac:dyDescent="0.25">
      <c r="A4214" s="10">
        <v>46135</v>
      </c>
      <c r="B4214" t="s">
        <v>60</v>
      </c>
      <c r="C4214" s="1" t="s">
        <v>23</v>
      </c>
      <c r="D4214" s="3">
        <v>13</v>
      </c>
      <c r="E4214" s="3">
        <v>13</v>
      </c>
      <c r="F4214" s="3">
        <v>20.260000000000002</v>
      </c>
      <c r="G4214" s="3">
        <v>0</v>
      </c>
      <c r="H4214" s="3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 s="3">
        <v>13</v>
      </c>
      <c r="N4214" s="3">
        <v>96.3</v>
      </c>
      <c r="O4214" s="12">
        <v>32.219570405727922</v>
      </c>
    </row>
    <row r="4215" spans="1:15" hidden="1" x14ac:dyDescent="0.25">
      <c r="A4215" s="10">
        <v>46135</v>
      </c>
      <c r="B4215" t="s">
        <v>34</v>
      </c>
      <c r="C4215" s="1" t="s">
        <v>32</v>
      </c>
      <c r="D4215" s="3">
        <v>25</v>
      </c>
      <c r="E4215" s="3">
        <v>21</v>
      </c>
      <c r="F4215" s="3">
        <v>12.06</v>
      </c>
      <c r="G4215" s="3">
        <v>0</v>
      </c>
      <c r="H4215" s="3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 s="3">
        <v>17</v>
      </c>
      <c r="N4215" s="3">
        <v>93.75</v>
      </c>
      <c r="O4215" s="12">
        <v>26.819923371647509</v>
      </c>
    </row>
    <row r="4216" spans="1:15" hidden="1" x14ac:dyDescent="0.25">
      <c r="A4216" s="10">
        <v>46135</v>
      </c>
      <c r="B4216" t="s">
        <v>51</v>
      </c>
      <c r="C4216" s="1" t="s">
        <v>48</v>
      </c>
      <c r="D4216" s="3">
        <v>28</v>
      </c>
      <c r="E4216" s="3">
        <v>23</v>
      </c>
      <c r="F4216" s="3">
        <v>18.420000000000002</v>
      </c>
      <c r="G4216" s="3">
        <v>0</v>
      </c>
      <c r="H4216" s="3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 s="3">
        <v>22</v>
      </c>
      <c r="N4216" s="3">
        <v>97.86</v>
      </c>
      <c r="O4216" s="12">
        <v>31.018518518518519</v>
      </c>
    </row>
    <row r="4217" spans="1:15" hidden="1" x14ac:dyDescent="0.25">
      <c r="A4217" s="10">
        <v>46135</v>
      </c>
      <c r="B4217" t="s">
        <v>61</v>
      </c>
      <c r="C4217" s="1" t="s">
        <v>23</v>
      </c>
      <c r="D4217" s="3">
        <v>18</v>
      </c>
      <c r="E4217" s="3">
        <v>18</v>
      </c>
      <c r="F4217" s="3">
        <v>16.579999999999998</v>
      </c>
      <c r="G4217" s="3">
        <v>0</v>
      </c>
      <c r="H4217" s="3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 s="3">
        <v>15</v>
      </c>
      <c r="N4217" s="3">
        <v>100</v>
      </c>
      <c r="O4217" s="12">
        <v>36.594202898550733</v>
      </c>
    </row>
    <row r="4218" spans="1:15" hidden="1" x14ac:dyDescent="0.25">
      <c r="A4218" s="10">
        <v>46135</v>
      </c>
      <c r="B4218" t="s">
        <v>35</v>
      </c>
      <c r="C4218" s="1" t="s">
        <v>32</v>
      </c>
      <c r="D4218" s="3">
        <v>16</v>
      </c>
      <c r="E4218" s="3">
        <v>15</v>
      </c>
      <c r="F4218" s="3">
        <v>22.2</v>
      </c>
      <c r="G4218" s="3">
        <v>0</v>
      </c>
      <c r="H4218" s="3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 s="3">
        <v>16</v>
      </c>
      <c r="N4218" s="3">
        <v>100</v>
      </c>
      <c r="O4218" s="12">
        <v>38.653846153846153</v>
      </c>
    </row>
    <row r="4219" spans="1:15" hidden="1" x14ac:dyDescent="0.25">
      <c r="A4219" s="10">
        <v>46135</v>
      </c>
      <c r="B4219" t="s">
        <v>18</v>
      </c>
      <c r="C4219" s="1" t="s">
        <v>16</v>
      </c>
      <c r="D4219" s="3">
        <v>9</v>
      </c>
      <c r="E4219" s="3">
        <v>9</v>
      </c>
      <c r="F4219" s="3">
        <v>34.17</v>
      </c>
      <c r="G4219" s="3">
        <v>0</v>
      </c>
      <c r="H4219" s="3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 s="3">
        <v>8</v>
      </c>
      <c r="N4219" s="3">
        <v>100</v>
      </c>
      <c r="O4219" s="12">
        <v>27.368421052631579</v>
      </c>
    </row>
    <row r="4220" spans="1:15" hidden="1" x14ac:dyDescent="0.25">
      <c r="A4220" s="10">
        <v>46135</v>
      </c>
      <c r="B4220" t="s">
        <v>52</v>
      </c>
      <c r="C4220" s="1" t="s">
        <v>48</v>
      </c>
      <c r="D4220" s="3">
        <v>24</v>
      </c>
      <c r="E4220" s="3">
        <v>22</v>
      </c>
      <c r="F4220" s="3">
        <v>17.34</v>
      </c>
      <c r="G4220" s="3">
        <v>0</v>
      </c>
      <c r="H4220" s="3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 s="3">
        <v>24</v>
      </c>
      <c r="N4220" s="3">
        <v>97.83</v>
      </c>
      <c r="O4220" s="12">
        <v>28.35164835164835</v>
      </c>
    </row>
    <row r="4221" spans="1:15" hidden="1" x14ac:dyDescent="0.25">
      <c r="A4221" s="10">
        <v>46135</v>
      </c>
      <c r="B4221" t="s">
        <v>36</v>
      </c>
      <c r="C4221" s="1" t="s">
        <v>32</v>
      </c>
      <c r="D4221" s="3">
        <v>27</v>
      </c>
      <c r="E4221" s="3">
        <v>25</v>
      </c>
      <c r="F4221" s="3">
        <v>15.16</v>
      </c>
      <c r="G4221" s="3">
        <v>0</v>
      </c>
      <c r="H4221" s="3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 s="3">
        <v>25</v>
      </c>
      <c r="N4221" s="3">
        <v>99.26</v>
      </c>
      <c r="O4221" s="12">
        <v>29.766536964980549</v>
      </c>
    </row>
    <row r="4222" spans="1:15" hidden="1" x14ac:dyDescent="0.25">
      <c r="A4222" s="10">
        <v>46135</v>
      </c>
      <c r="B4222" t="s">
        <v>53</v>
      </c>
      <c r="C4222" s="1" t="s">
        <v>48</v>
      </c>
      <c r="D4222" s="3">
        <v>37</v>
      </c>
      <c r="E4222" s="3">
        <v>32</v>
      </c>
      <c r="F4222" s="3">
        <v>15.21</v>
      </c>
      <c r="G4222" s="3">
        <v>0</v>
      </c>
      <c r="H4222" s="3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 s="3">
        <v>24</v>
      </c>
      <c r="N4222" s="3">
        <v>99.19</v>
      </c>
      <c r="O4222" s="12">
        <v>29.462365591397852</v>
      </c>
    </row>
    <row r="4223" spans="1:15" hidden="1" x14ac:dyDescent="0.25">
      <c r="A4223" s="7">
        <v>46162</v>
      </c>
      <c r="B4223" s="8" t="s">
        <v>41</v>
      </c>
      <c r="C4223" s="1" t="s">
        <v>32</v>
      </c>
      <c r="D4223" s="3">
        <v>34</v>
      </c>
      <c r="E4223" s="3">
        <v>29</v>
      </c>
      <c r="F4223" s="3">
        <v>12.33</v>
      </c>
      <c r="G4223" s="3">
        <v>0</v>
      </c>
      <c r="H4223" s="3">
        <v>0</v>
      </c>
      <c r="I4223" s="3">
        <f>E4223+G4223+H4223</f>
        <v>29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26</v>
      </c>
      <c r="K4223" s="3">
        <f>I4223-J4223</f>
        <v>3</v>
      </c>
      <c r="L4223" s="3" t="str">
        <f>IF(K4223&lt;-5,"CRÍTICO",IF(K4223&lt;0,"ATENÇÃO",IF(K4223&lt;=5,"OPORTUNO","MUITO BOM")))</f>
        <v>OPORTUNO</v>
      </c>
      <c r="M4223" s="3">
        <v>28</v>
      </c>
      <c r="N4223" s="3">
        <v>100</v>
      </c>
      <c r="O4223" s="12">
        <v>18.244803695150122</v>
      </c>
    </row>
    <row r="4224" spans="1:15" hidden="1" x14ac:dyDescent="0.25">
      <c r="A4224" s="10">
        <v>46135</v>
      </c>
      <c r="B4224" t="s">
        <v>54</v>
      </c>
      <c r="C4224" s="1" t="s">
        <v>48</v>
      </c>
      <c r="D4224" s="3">
        <v>20</v>
      </c>
      <c r="E4224" s="3">
        <v>18</v>
      </c>
      <c r="F4224" s="3">
        <v>18.23</v>
      </c>
      <c r="G4224" s="3">
        <v>0</v>
      </c>
      <c r="H4224" s="3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 s="3">
        <v>16</v>
      </c>
      <c r="N4224" s="3">
        <v>100</v>
      </c>
      <c r="O4224" s="12">
        <v>28.921568627450981</v>
      </c>
    </row>
    <row r="4225" spans="1:15" hidden="1" x14ac:dyDescent="0.25">
      <c r="A4225" s="10">
        <v>46135</v>
      </c>
      <c r="B4225" t="s">
        <v>37</v>
      </c>
      <c r="C4225" s="1" t="s">
        <v>32</v>
      </c>
      <c r="D4225" s="3">
        <v>29</v>
      </c>
      <c r="E4225" s="3">
        <v>28</v>
      </c>
      <c r="F4225" s="3">
        <v>14.14</v>
      </c>
      <c r="G4225" s="3">
        <v>0</v>
      </c>
      <c r="H4225" s="3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 s="3">
        <v>31</v>
      </c>
      <c r="N4225" s="3">
        <v>99.57</v>
      </c>
      <c r="O4225" s="12">
        <v>30.635838150289018</v>
      </c>
    </row>
    <row r="4226" spans="1:15" hidden="1" x14ac:dyDescent="0.25">
      <c r="A4226" s="10">
        <v>46135</v>
      </c>
      <c r="B4226" t="s">
        <v>38</v>
      </c>
      <c r="C4226" s="1" t="s">
        <v>32</v>
      </c>
      <c r="D4226" s="3">
        <v>0</v>
      </c>
      <c r="E4226" s="3">
        <v>0</v>
      </c>
      <c r="F4226" s="3">
        <v>0</v>
      </c>
      <c r="G4226" s="3">
        <v>0</v>
      </c>
      <c r="H4226" s="3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 s="3">
        <v>0</v>
      </c>
      <c r="N4226" s="3">
        <v>95.65</v>
      </c>
      <c r="O4226" s="12">
        <v>32.432432432432442</v>
      </c>
    </row>
    <row r="4227" spans="1:15" hidden="1" x14ac:dyDescent="0.25">
      <c r="A4227" s="10">
        <v>46135</v>
      </c>
      <c r="B4227" t="s">
        <v>55</v>
      </c>
      <c r="C4227" s="1" t="s">
        <v>48</v>
      </c>
      <c r="D4227" s="3">
        <v>26</v>
      </c>
      <c r="E4227" s="3">
        <v>23</v>
      </c>
      <c r="F4227" s="3">
        <v>12.11</v>
      </c>
      <c r="G4227" s="3">
        <v>0</v>
      </c>
      <c r="H4227" s="3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 s="3">
        <v>20</v>
      </c>
      <c r="N4227" s="3">
        <v>98.81</v>
      </c>
      <c r="O4227" s="12">
        <v>26.256983240223459</v>
      </c>
    </row>
    <row r="4228" spans="1:15" hidden="1" x14ac:dyDescent="0.25">
      <c r="A4228" s="10">
        <v>46135</v>
      </c>
      <c r="B4228" t="s">
        <v>39</v>
      </c>
      <c r="C4228" s="1" t="s">
        <v>32</v>
      </c>
      <c r="D4228" s="3">
        <v>0</v>
      </c>
      <c r="E4228" s="3">
        <v>0</v>
      </c>
      <c r="F4228" s="3">
        <v>0</v>
      </c>
      <c r="G4228" s="3">
        <v>0</v>
      </c>
      <c r="H4228" s="3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 s="3">
        <v>0</v>
      </c>
      <c r="N4228" s="3">
        <v>0</v>
      </c>
      <c r="O4228" s="12">
        <v>0</v>
      </c>
    </row>
    <row r="4229" spans="1:15" hidden="1" x14ac:dyDescent="0.25">
      <c r="A4229" s="10">
        <v>46135</v>
      </c>
      <c r="B4229" t="s">
        <v>25</v>
      </c>
      <c r="C4229" s="1" t="s">
        <v>26</v>
      </c>
      <c r="D4229" s="3">
        <v>7</v>
      </c>
      <c r="E4229" s="3">
        <v>7</v>
      </c>
      <c r="F4229" s="3">
        <v>32.380000000000003</v>
      </c>
      <c r="G4229" s="3">
        <v>0</v>
      </c>
      <c r="H4229" s="3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 s="3">
        <v>7</v>
      </c>
      <c r="N4229" s="3">
        <v>97.17</v>
      </c>
      <c r="O4229" s="12">
        <v>28.81844380403458</v>
      </c>
    </row>
    <row r="4230" spans="1:15" hidden="1" x14ac:dyDescent="0.25">
      <c r="A4230" s="10">
        <v>46135</v>
      </c>
      <c r="B4230" t="s">
        <v>40</v>
      </c>
      <c r="C4230" s="1" t="s">
        <v>32</v>
      </c>
      <c r="D4230" s="3">
        <v>0</v>
      </c>
      <c r="E4230" s="3">
        <v>0</v>
      </c>
      <c r="F4230" s="3">
        <v>0</v>
      </c>
      <c r="G4230" s="3">
        <v>0</v>
      </c>
      <c r="H4230" s="3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 s="3">
        <v>30</v>
      </c>
      <c r="N4230" s="3">
        <v>96.81</v>
      </c>
      <c r="O4230" s="12">
        <v>48.018648018648022</v>
      </c>
    </row>
    <row r="4231" spans="1:15" hidden="1" x14ac:dyDescent="0.25">
      <c r="A4231" s="10">
        <v>46135</v>
      </c>
      <c r="B4231" t="s">
        <v>27</v>
      </c>
      <c r="C4231" s="1" t="s">
        <v>26</v>
      </c>
      <c r="D4231" s="3">
        <v>20</v>
      </c>
      <c r="E4231" s="3">
        <v>18</v>
      </c>
      <c r="F4231" s="3">
        <v>17.09</v>
      </c>
      <c r="G4231" s="3">
        <v>0</v>
      </c>
      <c r="H4231" s="3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 s="3">
        <v>18</v>
      </c>
      <c r="N4231" s="3">
        <v>98.15</v>
      </c>
      <c r="O4231" s="12">
        <v>27.1551724137931</v>
      </c>
    </row>
    <row r="4232" spans="1:15" hidden="1" x14ac:dyDescent="0.25">
      <c r="A4232" s="10">
        <v>46135</v>
      </c>
      <c r="B4232" t="s">
        <v>41</v>
      </c>
      <c r="C4232" s="1" t="s">
        <v>32</v>
      </c>
      <c r="D4232" s="3">
        <v>24</v>
      </c>
      <c r="E4232" s="3">
        <v>22</v>
      </c>
      <c r="F4232" s="3">
        <v>17.04</v>
      </c>
      <c r="G4232" s="3">
        <v>0</v>
      </c>
      <c r="H4232" s="3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 s="3">
        <v>20</v>
      </c>
      <c r="N4232" s="3">
        <v>99.15</v>
      </c>
      <c r="O4232" s="12">
        <v>27.586206896551719</v>
      </c>
    </row>
    <row r="4233" spans="1:15" hidden="1" x14ac:dyDescent="0.25">
      <c r="A4233" s="10">
        <v>46135</v>
      </c>
      <c r="B4233" t="s">
        <v>56</v>
      </c>
      <c r="C4233" s="1" t="s">
        <v>48</v>
      </c>
      <c r="D4233" s="3">
        <v>23</v>
      </c>
      <c r="E4233" s="3">
        <v>21</v>
      </c>
      <c r="F4233" s="3">
        <v>20.36</v>
      </c>
      <c r="G4233" s="3">
        <v>0</v>
      </c>
      <c r="H4233" s="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 s="3">
        <v>17</v>
      </c>
      <c r="N4233" s="3">
        <v>99.17</v>
      </c>
      <c r="O4233" s="12">
        <v>29.75206611570248</v>
      </c>
    </row>
    <row r="4234" spans="1:15" hidden="1" x14ac:dyDescent="0.25">
      <c r="A4234" s="10">
        <v>46135</v>
      </c>
      <c r="B4234" t="s">
        <v>57</v>
      </c>
      <c r="C4234" s="1" t="s">
        <v>48</v>
      </c>
      <c r="D4234" s="3">
        <v>0</v>
      </c>
      <c r="E4234" s="3">
        <v>0</v>
      </c>
      <c r="F4234" s="3">
        <v>0</v>
      </c>
      <c r="G4234" s="3">
        <v>0</v>
      </c>
      <c r="H4234" s="3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 s="3">
        <v>0</v>
      </c>
      <c r="N4234" s="3">
        <v>98.73</v>
      </c>
      <c r="O4234" s="12">
        <v>28.961748633879779</v>
      </c>
    </row>
    <row r="4235" spans="1:15" hidden="1" x14ac:dyDescent="0.25">
      <c r="A4235" s="10">
        <v>46135</v>
      </c>
      <c r="B4235" t="s">
        <v>42</v>
      </c>
      <c r="C4235" s="1" t="s">
        <v>32</v>
      </c>
      <c r="D4235" s="3">
        <v>0</v>
      </c>
      <c r="E4235" s="3">
        <v>0</v>
      </c>
      <c r="F4235" s="3">
        <v>0</v>
      </c>
      <c r="G4235" s="3">
        <v>0</v>
      </c>
      <c r="H4235" s="3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 s="3">
        <v>0</v>
      </c>
      <c r="N4235" s="3">
        <v>88.68</v>
      </c>
      <c r="O4235" s="12">
        <v>22.03389830508474</v>
      </c>
    </row>
    <row r="4236" spans="1:15" hidden="1" x14ac:dyDescent="0.25">
      <c r="A4236" s="10">
        <v>46135</v>
      </c>
      <c r="B4236" t="s">
        <v>62</v>
      </c>
      <c r="C4236" s="1" t="s">
        <v>23</v>
      </c>
      <c r="D4236" s="3">
        <v>21</v>
      </c>
      <c r="E4236" s="3">
        <v>20</v>
      </c>
      <c r="F4236" s="3">
        <v>20.13</v>
      </c>
      <c r="G4236" s="3">
        <v>0</v>
      </c>
      <c r="H4236" s="3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 s="3">
        <v>22</v>
      </c>
      <c r="N4236" s="3">
        <v>97.37</v>
      </c>
      <c r="O4236" s="12">
        <v>25.76530612244898</v>
      </c>
    </row>
    <row r="4237" spans="1:15" hidden="1" x14ac:dyDescent="0.25">
      <c r="A4237" s="10">
        <v>46135</v>
      </c>
      <c r="B4237" t="s">
        <v>19</v>
      </c>
      <c r="C4237" s="1" t="s">
        <v>16</v>
      </c>
      <c r="D4237" s="3">
        <v>35</v>
      </c>
      <c r="E4237" s="3">
        <v>16</v>
      </c>
      <c r="F4237" s="3">
        <v>3.4</v>
      </c>
      <c r="G4237" s="3">
        <v>0</v>
      </c>
      <c r="H4237" s="3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 s="3">
        <v>0</v>
      </c>
      <c r="N4237" s="3">
        <v>100</v>
      </c>
      <c r="O4237" s="12">
        <v>25</v>
      </c>
    </row>
    <row r="4238" spans="1:15" hidden="1" x14ac:dyDescent="0.25">
      <c r="A4238" s="7">
        <v>46162</v>
      </c>
      <c r="B4238" s="8" t="s">
        <v>42</v>
      </c>
      <c r="C4238" s="1" t="s">
        <v>32</v>
      </c>
      <c r="D4238" s="3">
        <v>26</v>
      </c>
      <c r="E4238" s="3">
        <v>21</v>
      </c>
      <c r="F4238" s="3">
        <v>15.25</v>
      </c>
      <c r="G4238" s="3">
        <v>0</v>
      </c>
      <c r="H4238" s="3">
        <v>0</v>
      </c>
      <c r="I4238" s="3">
        <f>E4238+G4238+H4238</f>
        <v>21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26</v>
      </c>
      <c r="K4238" s="3">
        <f>I4238-J4238</f>
        <v>-5</v>
      </c>
      <c r="L4238" s="3" t="str">
        <f>IF(K4238&lt;-5,"CRÍTICO",IF(K4238&lt;0,"ATENÇÃO",IF(K4238&lt;=5,"OPORTUNO","MUITO BOM")))</f>
        <v>ATENÇÃO</v>
      </c>
      <c r="M4238" s="3">
        <v>18</v>
      </c>
      <c r="N4238" s="3">
        <v>100</v>
      </c>
      <c r="O4238" s="12">
        <v>15.789473684210529</v>
      </c>
    </row>
    <row r="4239" spans="1:15" hidden="1" x14ac:dyDescent="0.25">
      <c r="A4239" s="10">
        <v>46135</v>
      </c>
      <c r="B4239" t="s">
        <v>44</v>
      </c>
      <c r="C4239" s="1" t="s">
        <v>32</v>
      </c>
      <c r="D4239" s="3">
        <v>23</v>
      </c>
      <c r="E4239" s="3">
        <v>23</v>
      </c>
      <c r="F4239" s="3">
        <v>15.14</v>
      </c>
      <c r="G4239" s="3">
        <v>0</v>
      </c>
      <c r="H4239" s="3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 s="3">
        <v>20</v>
      </c>
      <c r="N4239" s="3">
        <v>95.49</v>
      </c>
      <c r="O4239" s="12">
        <v>28.370221327967808</v>
      </c>
    </row>
    <row r="4240" spans="1:15" hidden="1" x14ac:dyDescent="0.25">
      <c r="A4240" s="7">
        <v>46162</v>
      </c>
      <c r="B4240" s="8" t="s">
        <v>44</v>
      </c>
      <c r="C4240" s="1" t="s">
        <v>32</v>
      </c>
      <c r="D4240" s="3">
        <v>27</v>
      </c>
      <c r="E4240" s="3">
        <v>25</v>
      </c>
      <c r="F4240" s="3">
        <v>15.01</v>
      </c>
      <c r="G4240" s="3">
        <v>2</v>
      </c>
      <c r="H4240" s="3">
        <v>0</v>
      </c>
      <c r="I4240" s="3">
        <f>E4240+G4240+H4240</f>
        <v>27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26</v>
      </c>
      <c r="K4240" s="3">
        <f>I4240-J4240</f>
        <v>1</v>
      </c>
      <c r="L4240" s="3" t="str">
        <f>IF(K4240&lt;-5,"CRÍTICO",IF(K4240&lt;0,"ATENÇÃO",IF(K4240&lt;=5,"OPORTUNO","MUITO BOM")))</f>
        <v>OPORTUNO</v>
      </c>
      <c r="M4240" s="3">
        <v>23</v>
      </c>
      <c r="N4240" s="3">
        <v>96.38</v>
      </c>
      <c r="O4240" s="12">
        <v>23.198198198198199</v>
      </c>
    </row>
    <row r="4241" spans="1:15" hidden="1" x14ac:dyDescent="0.25">
      <c r="A4241" s="10">
        <v>46135</v>
      </c>
      <c r="B4241" t="s">
        <v>28</v>
      </c>
      <c r="C4241" s="1" t="s">
        <v>26</v>
      </c>
      <c r="D4241" s="3">
        <v>34</v>
      </c>
      <c r="E4241" s="3">
        <v>19</v>
      </c>
      <c r="F4241" s="3">
        <v>9.1</v>
      </c>
      <c r="G4241" s="3">
        <v>0</v>
      </c>
      <c r="H4241" s="3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 s="3">
        <v>16</v>
      </c>
      <c r="N4241" s="3">
        <v>96.15</v>
      </c>
      <c r="O4241" s="12">
        <v>24.045801526717561</v>
      </c>
    </row>
    <row r="4242" spans="1:15" hidden="1" x14ac:dyDescent="0.25">
      <c r="A4242" s="10">
        <v>46135</v>
      </c>
      <c r="B4242" t="s">
        <v>58</v>
      </c>
      <c r="C4242" s="1" t="s">
        <v>48</v>
      </c>
      <c r="D4242" s="3">
        <v>0</v>
      </c>
      <c r="E4242" s="3">
        <v>0</v>
      </c>
      <c r="F4242" s="3">
        <v>0</v>
      </c>
      <c r="G4242" s="3">
        <v>0</v>
      </c>
      <c r="H4242" s="3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 s="3">
        <v>0</v>
      </c>
      <c r="N4242" s="3">
        <v>99.02</v>
      </c>
      <c r="O4242" s="12">
        <v>34.797297297297298</v>
      </c>
    </row>
    <row r="4243" spans="1:15" hidden="1" x14ac:dyDescent="0.25">
      <c r="A4243" s="10">
        <v>46135</v>
      </c>
      <c r="B4243" t="s">
        <v>29</v>
      </c>
      <c r="C4243" s="1" t="s">
        <v>26</v>
      </c>
      <c r="D4243" s="3">
        <v>0</v>
      </c>
      <c r="E4243" s="3">
        <v>0</v>
      </c>
      <c r="F4243" s="3">
        <v>0</v>
      </c>
      <c r="G4243" s="3">
        <v>0</v>
      </c>
      <c r="H4243" s="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 s="3">
        <v>0</v>
      </c>
      <c r="N4243" s="3">
        <v>98.84</v>
      </c>
      <c r="O4243" s="12">
        <v>31.868131868131869</v>
      </c>
    </row>
    <row r="4244" spans="1:15" hidden="1" x14ac:dyDescent="0.25">
      <c r="A4244" s="10">
        <v>46135</v>
      </c>
      <c r="B4244" t="s">
        <v>30</v>
      </c>
      <c r="C4244" s="1" t="s">
        <v>26</v>
      </c>
      <c r="D4244" s="3">
        <v>12</v>
      </c>
      <c r="E4244" s="3">
        <v>11</v>
      </c>
      <c r="F4244" s="3">
        <v>21.54</v>
      </c>
      <c r="G4244" s="3">
        <v>0</v>
      </c>
      <c r="H4244" s="3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 s="3">
        <v>10</v>
      </c>
      <c r="N4244" s="3">
        <v>100</v>
      </c>
      <c r="O4244" s="12">
        <v>34.666666666666671</v>
      </c>
    </row>
    <row r="4245" spans="1:15" hidden="1" x14ac:dyDescent="0.25">
      <c r="A4245" s="7">
        <v>46162</v>
      </c>
      <c r="B4245" s="8" t="s">
        <v>45</v>
      </c>
      <c r="C4245" s="1" t="s">
        <v>32</v>
      </c>
      <c r="D4245" s="3">
        <v>37</v>
      </c>
      <c r="E4245" s="3">
        <v>33</v>
      </c>
      <c r="F4245" s="3">
        <v>15.26</v>
      </c>
      <c r="G4245" s="3">
        <v>0</v>
      </c>
      <c r="H4245" s="3">
        <v>0</v>
      </c>
      <c r="I4245" s="3">
        <f>E4245+G4245+H4245</f>
        <v>33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26</v>
      </c>
      <c r="K4245" s="3">
        <f>I4245-J4245</f>
        <v>7</v>
      </c>
      <c r="L4245" s="3" t="str">
        <f>IF(K4245&lt;-5,"CRÍTICO",IF(K4245&lt;0,"ATENÇÃO",IF(K4245&lt;=5,"OPORTUNO","MUITO BOM")))</f>
        <v>MUITO BOM</v>
      </c>
      <c r="M4245" s="3">
        <v>28</v>
      </c>
      <c r="N4245" s="3">
        <v>99.39</v>
      </c>
      <c r="O4245" s="12">
        <v>25.203252032520329</v>
      </c>
    </row>
    <row r="4246" spans="1:15" hidden="1" x14ac:dyDescent="0.25">
      <c r="A4246" s="10">
        <v>46135</v>
      </c>
      <c r="B4246" t="s">
        <v>63</v>
      </c>
      <c r="C4246" s="1" t="s">
        <v>23</v>
      </c>
      <c r="D4246" s="3">
        <v>30</v>
      </c>
      <c r="E4246" s="3">
        <v>27</v>
      </c>
      <c r="F4246" s="3">
        <v>11.43</v>
      </c>
      <c r="G4246" s="3">
        <v>0</v>
      </c>
      <c r="H4246" s="3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 s="3">
        <v>23</v>
      </c>
      <c r="N4246" s="3">
        <v>98.32</v>
      </c>
      <c r="O4246" s="12">
        <v>26.858513189448441</v>
      </c>
    </row>
    <row r="4247" spans="1:15" hidden="1" x14ac:dyDescent="0.25">
      <c r="A4247" s="10">
        <v>46135</v>
      </c>
      <c r="B4247" t="s">
        <v>45</v>
      </c>
      <c r="C4247" s="1" t="s">
        <v>32</v>
      </c>
      <c r="D4247" s="3">
        <v>32</v>
      </c>
      <c r="E4247" s="3">
        <v>30</v>
      </c>
      <c r="F4247" s="3">
        <v>15.17</v>
      </c>
      <c r="G4247" s="3">
        <v>0</v>
      </c>
      <c r="H4247" s="3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 s="3">
        <v>20</v>
      </c>
      <c r="N4247" s="3">
        <v>100</v>
      </c>
      <c r="O4247" s="12">
        <v>31.135531135531139</v>
      </c>
    </row>
    <row r="4248" spans="1:15" hidden="1" x14ac:dyDescent="0.25">
      <c r="A4248" s="10">
        <v>46135</v>
      </c>
      <c r="B4248" t="s">
        <v>64</v>
      </c>
      <c r="C4248" s="1" t="s">
        <v>23</v>
      </c>
      <c r="D4248" s="3">
        <v>21</v>
      </c>
      <c r="E4248" s="3">
        <v>17</v>
      </c>
      <c r="F4248" s="3">
        <v>13.43</v>
      </c>
      <c r="G4248" s="3">
        <v>0</v>
      </c>
      <c r="H4248" s="3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 s="3">
        <v>19</v>
      </c>
      <c r="N4248" s="3">
        <v>100</v>
      </c>
      <c r="O4248" s="12">
        <v>26.36986301369863</v>
      </c>
    </row>
    <row r="4249" spans="1:15" hidden="1" x14ac:dyDescent="0.25">
      <c r="A4249" s="10">
        <v>46135</v>
      </c>
      <c r="B4249" t="s">
        <v>46</v>
      </c>
      <c r="C4249" s="1" t="s">
        <v>32</v>
      </c>
      <c r="D4249" s="3">
        <v>25</v>
      </c>
      <c r="E4249" s="3">
        <v>23</v>
      </c>
      <c r="F4249" s="3">
        <v>23.59</v>
      </c>
      <c r="G4249" s="3">
        <v>0</v>
      </c>
      <c r="H4249" s="3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 s="3">
        <v>21</v>
      </c>
      <c r="N4249" s="3">
        <v>99.21</v>
      </c>
      <c r="O4249" s="12">
        <v>25.188916876574311</v>
      </c>
    </row>
    <row r="4250" spans="1:15" hidden="1" x14ac:dyDescent="0.25">
      <c r="A4250" s="10">
        <v>46136</v>
      </c>
      <c r="B4250" t="s">
        <v>47</v>
      </c>
      <c r="C4250" s="1" t="s">
        <v>48</v>
      </c>
      <c r="D4250" s="3">
        <v>39</v>
      </c>
      <c r="E4250" s="3">
        <v>28</v>
      </c>
      <c r="F4250" s="3">
        <v>10.5</v>
      </c>
      <c r="G4250" s="3">
        <v>0</v>
      </c>
      <c r="H4250" s="3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 s="3">
        <v>24</v>
      </c>
      <c r="N4250" s="3">
        <v>100</v>
      </c>
      <c r="O4250" s="12">
        <v>32.764505119453922</v>
      </c>
    </row>
    <row r="4251" spans="1:15" hidden="1" x14ac:dyDescent="0.25">
      <c r="A4251" s="10">
        <v>46136</v>
      </c>
      <c r="B4251" t="s">
        <v>31</v>
      </c>
      <c r="C4251" s="1" t="s">
        <v>32</v>
      </c>
      <c r="D4251" s="3">
        <v>0</v>
      </c>
      <c r="E4251" s="3">
        <v>0</v>
      </c>
      <c r="F4251" s="3">
        <v>0</v>
      </c>
      <c r="G4251" s="3">
        <v>0</v>
      </c>
      <c r="H4251" s="3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 s="3">
        <v>14</v>
      </c>
      <c r="N4251" s="3">
        <v>98.66</v>
      </c>
      <c r="O4251" s="12">
        <v>35.416666666666671</v>
      </c>
    </row>
    <row r="4252" spans="1:15" hidden="1" x14ac:dyDescent="0.25">
      <c r="A4252" s="10">
        <v>46136</v>
      </c>
      <c r="B4252" t="s">
        <v>59</v>
      </c>
      <c r="C4252" s="1" t="s">
        <v>23</v>
      </c>
      <c r="D4252" s="3">
        <v>23</v>
      </c>
      <c r="E4252" s="3">
        <v>23</v>
      </c>
      <c r="F4252" s="3">
        <v>21.42</v>
      </c>
      <c r="G4252" s="3">
        <v>0</v>
      </c>
      <c r="H4252" s="3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 s="3">
        <v>24</v>
      </c>
      <c r="N4252" s="3">
        <v>99.32</v>
      </c>
      <c r="O4252" s="12">
        <v>30.648330058939099</v>
      </c>
    </row>
    <row r="4253" spans="1:15" hidden="1" x14ac:dyDescent="0.25">
      <c r="A4253" s="10">
        <v>46136</v>
      </c>
      <c r="B4253" t="s">
        <v>33</v>
      </c>
      <c r="C4253" s="1" t="s">
        <v>32</v>
      </c>
      <c r="D4253" s="3">
        <v>25</v>
      </c>
      <c r="E4253" s="3">
        <v>22</v>
      </c>
      <c r="F4253" s="3">
        <v>15.15</v>
      </c>
      <c r="G4253" s="3">
        <v>0</v>
      </c>
      <c r="H4253" s="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 s="3">
        <v>21</v>
      </c>
      <c r="N4253" s="3">
        <v>100</v>
      </c>
      <c r="O4253" s="12">
        <v>27.803738317757009</v>
      </c>
    </row>
    <row r="4254" spans="1:15" hidden="1" x14ac:dyDescent="0.25">
      <c r="A4254" s="10">
        <v>46136</v>
      </c>
      <c r="B4254" t="s">
        <v>15</v>
      </c>
      <c r="C4254" s="1" t="s">
        <v>16</v>
      </c>
      <c r="D4254" s="3">
        <v>32</v>
      </c>
      <c r="E4254" s="3">
        <v>31</v>
      </c>
      <c r="F4254" s="3">
        <v>13.52</v>
      </c>
      <c r="G4254" s="3">
        <v>0</v>
      </c>
      <c r="H4254" s="3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 s="3">
        <v>29</v>
      </c>
      <c r="N4254" s="3">
        <v>96.74</v>
      </c>
      <c r="O4254" s="12">
        <v>28.67647058823529</v>
      </c>
    </row>
    <row r="4255" spans="1:15" hidden="1" x14ac:dyDescent="0.25">
      <c r="A4255" s="10">
        <v>46136</v>
      </c>
      <c r="B4255" t="s">
        <v>49</v>
      </c>
      <c r="C4255" s="1" t="s">
        <v>48</v>
      </c>
      <c r="D4255" s="3">
        <v>0</v>
      </c>
      <c r="E4255" s="3">
        <v>0</v>
      </c>
      <c r="F4255" s="3">
        <v>0</v>
      </c>
      <c r="G4255" s="3">
        <v>0</v>
      </c>
      <c r="H4255" s="3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 s="3">
        <v>0</v>
      </c>
      <c r="N4255" s="3">
        <v>98.82</v>
      </c>
      <c r="O4255" s="12">
        <v>30.741410488245929</v>
      </c>
    </row>
    <row r="4256" spans="1:15" hidden="1" x14ac:dyDescent="0.25">
      <c r="A4256" s="10">
        <v>46136</v>
      </c>
      <c r="B4256" t="s">
        <v>50</v>
      </c>
      <c r="C4256" s="1" t="s">
        <v>48</v>
      </c>
      <c r="D4256" s="3">
        <v>0</v>
      </c>
      <c r="E4256" s="3">
        <v>0</v>
      </c>
      <c r="F4256" s="3">
        <v>0</v>
      </c>
      <c r="G4256" s="3">
        <v>0</v>
      </c>
      <c r="H4256" s="3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 s="3">
        <v>2</v>
      </c>
      <c r="N4256" s="3">
        <v>98.2</v>
      </c>
      <c r="O4256" s="12">
        <v>27.170868347338931</v>
      </c>
    </row>
    <row r="4257" spans="1:15" hidden="1" x14ac:dyDescent="0.25">
      <c r="A4257" s="10">
        <v>46136</v>
      </c>
      <c r="B4257" t="s">
        <v>17</v>
      </c>
      <c r="C4257" s="1" t="s">
        <v>16</v>
      </c>
      <c r="D4257" s="3">
        <v>10</v>
      </c>
      <c r="E4257" s="3">
        <v>10</v>
      </c>
      <c r="F4257" s="3">
        <v>15.43</v>
      </c>
      <c r="G4257" s="3">
        <v>0</v>
      </c>
      <c r="H4257" s="3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 s="3">
        <v>7</v>
      </c>
      <c r="N4257" s="3">
        <v>100</v>
      </c>
      <c r="O4257" s="12">
        <v>23.134328358208951</v>
      </c>
    </row>
    <row r="4258" spans="1:15" hidden="1" x14ac:dyDescent="0.25">
      <c r="A4258" s="10">
        <v>46136</v>
      </c>
      <c r="B4258" t="s">
        <v>60</v>
      </c>
      <c r="C4258" s="1" t="s">
        <v>23</v>
      </c>
      <c r="D4258" s="3">
        <v>15</v>
      </c>
      <c r="E4258" s="3">
        <v>12</v>
      </c>
      <c r="F4258" s="3">
        <v>16.5</v>
      </c>
      <c r="G4258" s="3">
        <v>0</v>
      </c>
      <c r="H4258" s="3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 s="3">
        <v>14</v>
      </c>
      <c r="N4258" s="3">
        <v>96.3</v>
      </c>
      <c r="O4258" s="12">
        <v>32.219570405727922</v>
      </c>
    </row>
    <row r="4259" spans="1:15" hidden="1" x14ac:dyDescent="0.25">
      <c r="A4259" s="10">
        <v>46136</v>
      </c>
      <c r="B4259" t="s">
        <v>34</v>
      </c>
      <c r="C4259" s="1" t="s">
        <v>32</v>
      </c>
      <c r="D4259" s="3">
        <v>23</v>
      </c>
      <c r="E4259" s="3">
        <v>23</v>
      </c>
      <c r="F4259" s="3">
        <v>13.21</v>
      </c>
      <c r="G4259" s="3">
        <v>0</v>
      </c>
      <c r="H4259" s="3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 s="3">
        <v>23</v>
      </c>
      <c r="N4259" s="3">
        <v>93.75</v>
      </c>
      <c r="O4259" s="12">
        <v>26.819923371647509</v>
      </c>
    </row>
    <row r="4260" spans="1:15" hidden="1" x14ac:dyDescent="0.25">
      <c r="A4260" s="10">
        <v>46136</v>
      </c>
      <c r="B4260" t="s">
        <v>51</v>
      </c>
      <c r="C4260" s="1" t="s">
        <v>48</v>
      </c>
      <c r="D4260" s="3">
        <v>0</v>
      </c>
      <c r="E4260" s="3">
        <v>0</v>
      </c>
      <c r="F4260" s="3">
        <v>0</v>
      </c>
      <c r="G4260" s="3">
        <v>0</v>
      </c>
      <c r="H4260" s="3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 s="3">
        <v>0</v>
      </c>
      <c r="N4260" s="3">
        <v>97.86</v>
      </c>
      <c r="O4260" s="12">
        <v>31.018518518518519</v>
      </c>
    </row>
    <row r="4261" spans="1:15" hidden="1" x14ac:dyDescent="0.25">
      <c r="A4261" s="10">
        <v>46136</v>
      </c>
      <c r="B4261" t="s">
        <v>61</v>
      </c>
      <c r="C4261" s="1" t="s">
        <v>23</v>
      </c>
      <c r="D4261" s="3">
        <v>25</v>
      </c>
      <c r="E4261" s="3">
        <v>23</v>
      </c>
      <c r="F4261" s="3">
        <v>13.59</v>
      </c>
      <c r="G4261" s="3">
        <v>0</v>
      </c>
      <c r="H4261" s="3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 s="3">
        <v>10</v>
      </c>
      <c r="N4261" s="3">
        <v>100</v>
      </c>
      <c r="O4261" s="12">
        <v>36.594202898550733</v>
      </c>
    </row>
    <row r="4262" spans="1:15" hidden="1" x14ac:dyDescent="0.25">
      <c r="A4262" s="10">
        <v>46136</v>
      </c>
      <c r="B4262" t="s">
        <v>35</v>
      </c>
      <c r="C4262" s="1" t="s">
        <v>32</v>
      </c>
      <c r="D4262" s="3">
        <v>22</v>
      </c>
      <c r="E4262" s="3">
        <v>22</v>
      </c>
      <c r="F4262" s="3">
        <v>22.04</v>
      </c>
      <c r="G4262" s="3">
        <v>0</v>
      </c>
      <c r="H4262" s="3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 s="3">
        <v>23</v>
      </c>
      <c r="N4262" s="3">
        <v>100</v>
      </c>
      <c r="O4262" s="12">
        <v>38.653846153846153</v>
      </c>
    </row>
    <row r="4263" spans="1:15" hidden="1" x14ac:dyDescent="0.25">
      <c r="A4263" s="10">
        <v>46136</v>
      </c>
      <c r="B4263" t="s">
        <v>18</v>
      </c>
      <c r="C4263" s="1" t="s">
        <v>16</v>
      </c>
      <c r="D4263" s="3">
        <v>9</v>
      </c>
      <c r="E4263" s="3">
        <v>8</v>
      </c>
      <c r="F4263" s="3">
        <v>23.56</v>
      </c>
      <c r="G4263" s="3">
        <v>0</v>
      </c>
      <c r="H4263" s="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 s="3">
        <v>5</v>
      </c>
      <c r="N4263" s="3">
        <v>100</v>
      </c>
      <c r="O4263" s="12">
        <v>27.368421052631579</v>
      </c>
    </row>
    <row r="4264" spans="1:15" hidden="1" x14ac:dyDescent="0.25">
      <c r="A4264" s="10">
        <v>46136</v>
      </c>
      <c r="B4264" t="s">
        <v>52</v>
      </c>
      <c r="C4264" s="1" t="s">
        <v>48</v>
      </c>
      <c r="D4264" s="3">
        <v>24</v>
      </c>
      <c r="E4264" s="3">
        <v>23</v>
      </c>
      <c r="F4264" s="3">
        <v>17.21</v>
      </c>
      <c r="G4264" s="3">
        <v>0</v>
      </c>
      <c r="H4264" s="3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 s="3">
        <v>19</v>
      </c>
      <c r="N4264" s="3">
        <v>97.83</v>
      </c>
      <c r="O4264" s="12">
        <v>28.35164835164835</v>
      </c>
    </row>
    <row r="4265" spans="1:15" hidden="1" x14ac:dyDescent="0.25">
      <c r="A4265" s="10">
        <v>46136</v>
      </c>
      <c r="B4265" t="s">
        <v>36</v>
      </c>
      <c r="C4265" s="1" t="s">
        <v>32</v>
      </c>
      <c r="D4265" s="3">
        <v>24</v>
      </c>
      <c r="E4265" s="3">
        <v>23</v>
      </c>
      <c r="F4265" s="3">
        <v>15.15</v>
      </c>
      <c r="G4265" s="3">
        <v>0</v>
      </c>
      <c r="H4265" s="3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 s="3">
        <v>22</v>
      </c>
      <c r="N4265" s="3">
        <v>99.26</v>
      </c>
      <c r="O4265" s="12">
        <v>29.766536964980549</v>
      </c>
    </row>
    <row r="4266" spans="1:15" hidden="1" x14ac:dyDescent="0.25">
      <c r="A4266" s="10">
        <v>46136</v>
      </c>
      <c r="B4266" t="s">
        <v>53</v>
      </c>
      <c r="C4266" s="1" t="s">
        <v>48</v>
      </c>
      <c r="D4266" s="3">
        <v>26</v>
      </c>
      <c r="E4266" s="3">
        <v>25</v>
      </c>
      <c r="F4266" s="3">
        <v>18.38</v>
      </c>
      <c r="G4266" s="3">
        <v>0</v>
      </c>
      <c r="H4266" s="3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 s="3">
        <v>24</v>
      </c>
      <c r="N4266" s="3">
        <v>99.19</v>
      </c>
      <c r="O4266" s="12">
        <v>29.462365591397852</v>
      </c>
    </row>
    <row r="4267" spans="1:15" hidden="1" x14ac:dyDescent="0.25">
      <c r="A4267" s="7">
        <v>46162</v>
      </c>
      <c r="B4267" s="8" t="s">
        <v>46</v>
      </c>
      <c r="C4267" s="1" t="s">
        <v>32</v>
      </c>
      <c r="D4267" s="3">
        <v>25</v>
      </c>
      <c r="E4267" s="3">
        <v>23</v>
      </c>
      <c r="F4267" s="3">
        <v>12.07</v>
      </c>
      <c r="G4267" s="3">
        <v>1</v>
      </c>
      <c r="H4267" s="3">
        <v>0</v>
      </c>
      <c r="I4267" s="3">
        <f>E4267+G4267+H4267</f>
        <v>24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26</v>
      </c>
      <c r="K4267" s="3">
        <f>I4267-J4267</f>
        <v>-2</v>
      </c>
      <c r="L4267" s="3" t="str">
        <f>IF(K4267&lt;-5,"CRÍTICO",IF(K4267&lt;0,"ATENÇÃO",IF(K4267&lt;=5,"OPORTUNO","MUITO BOM")))</f>
        <v>ATENÇÃO</v>
      </c>
      <c r="M4267" s="3">
        <v>21</v>
      </c>
      <c r="N4267" s="3">
        <v>97</v>
      </c>
      <c r="O4267" s="12">
        <v>20.325203252032519</v>
      </c>
    </row>
    <row r="4268" spans="1:15" hidden="1" x14ac:dyDescent="0.25">
      <c r="A4268" s="10">
        <v>46136</v>
      </c>
      <c r="B4268" t="s">
        <v>54</v>
      </c>
      <c r="C4268" s="1" t="s">
        <v>48</v>
      </c>
      <c r="D4268" s="3">
        <v>22</v>
      </c>
      <c r="E4268" s="3">
        <v>19</v>
      </c>
      <c r="F4268" s="3">
        <v>21.45</v>
      </c>
      <c r="G4268" s="3">
        <v>0</v>
      </c>
      <c r="H4268" s="3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 s="3">
        <v>19</v>
      </c>
      <c r="N4268" s="3">
        <v>100</v>
      </c>
      <c r="O4268" s="12">
        <v>28.921568627450981</v>
      </c>
    </row>
    <row r="4269" spans="1:15" hidden="1" x14ac:dyDescent="0.25">
      <c r="A4269" s="10">
        <v>46136</v>
      </c>
      <c r="B4269" t="s">
        <v>37</v>
      </c>
      <c r="C4269" s="1" t="s">
        <v>32</v>
      </c>
      <c r="D4269" s="3">
        <v>39</v>
      </c>
      <c r="E4269" s="3">
        <v>35</v>
      </c>
      <c r="F4269" s="3">
        <v>11.57</v>
      </c>
      <c r="G4269" s="3">
        <v>0</v>
      </c>
      <c r="H4269" s="3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 s="3">
        <v>28</v>
      </c>
      <c r="N4269" s="3">
        <v>99.57</v>
      </c>
      <c r="O4269" s="12">
        <v>30.635838150289018</v>
      </c>
    </row>
    <row r="4270" spans="1:15" hidden="1" x14ac:dyDescent="0.25">
      <c r="A4270" s="10">
        <v>46136</v>
      </c>
      <c r="B4270" t="s">
        <v>38</v>
      </c>
      <c r="C4270" s="1" t="s">
        <v>32</v>
      </c>
      <c r="D4270" s="3">
        <v>0</v>
      </c>
      <c r="E4270" s="3">
        <v>0</v>
      </c>
      <c r="F4270" s="3">
        <v>0</v>
      </c>
      <c r="G4270" s="3">
        <v>0</v>
      </c>
      <c r="H4270" s="3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 s="3">
        <v>0</v>
      </c>
      <c r="N4270" s="3">
        <v>95.65</v>
      </c>
      <c r="O4270" s="12">
        <v>32.432432432432442</v>
      </c>
    </row>
    <row r="4271" spans="1:15" hidden="1" x14ac:dyDescent="0.25">
      <c r="A4271" s="10">
        <v>46136</v>
      </c>
      <c r="B4271" t="s">
        <v>55</v>
      </c>
      <c r="C4271" s="1" t="s">
        <v>48</v>
      </c>
      <c r="D4271" s="3">
        <v>24</v>
      </c>
      <c r="E4271" s="3">
        <v>17</v>
      </c>
      <c r="F4271" s="3">
        <v>17.29</v>
      </c>
      <c r="G4271" s="3">
        <v>0</v>
      </c>
      <c r="H4271" s="3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 s="3">
        <v>14</v>
      </c>
      <c r="N4271" s="3">
        <v>98.81</v>
      </c>
      <c r="O4271" s="12">
        <v>26.256983240223459</v>
      </c>
    </row>
    <row r="4272" spans="1:15" hidden="1" x14ac:dyDescent="0.25">
      <c r="A4272" s="10">
        <v>46136</v>
      </c>
      <c r="B4272" t="s">
        <v>39</v>
      </c>
      <c r="C4272" s="1" t="s">
        <v>32</v>
      </c>
      <c r="D4272" s="3">
        <v>0</v>
      </c>
      <c r="E4272" s="3">
        <v>0</v>
      </c>
      <c r="F4272" s="3">
        <v>0</v>
      </c>
      <c r="G4272" s="3">
        <v>0</v>
      </c>
      <c r="H4272" s="3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 s="3">
        <v>0</v>
      </c>
      <c r="N4272" s="3">
        <v>0</v>
      </c>
      <c r="O4272" s="12">
        <v>0</v>
      </c>
    </row>
    <row r="4273" spans="1:15" hidden="1" x14ac:dyDescent="0.25">
      <c r="A4273" s="10">
        <v>46136</v>
      </c>
      <c r="B4273" t="s">
        <v>25</v>
      </c>
      <c r="C4273" s="1" t="s">
        <v>26</v>
      </c>
      <c r="D4273" s="3">
        <v>15</v>
      </c>
      <c r="E4273" s="3">
        <v>15</v>
      </c>
      <c r="F4273" s="3">
        <v>17.25</v>
      </c>
      <c r="G4273" s="3">
        <v>0</v>
      </c>
      <c r="H4273" s="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 s="3">
        <v>14</v>
      </c>
      <c r="N4273" s="3">
        <v>97.17</v>
      </c>
      <c r="O4273" s="12">
        <v>28.81844380403458</v>
      </c>
    </row>
    <row r="4274" spans="1:15" hidden="1" x14ac:dyDescent="0.25">
      <c r="A4274" s="10">
        <v>46136</v>
      </c>
      <c r="B4274" t="s">
        <v>40</v>
      </c>
      <c r="C4274" s="1" t="s">
        <v>32</v>
      </c>
      <c r="D4274" s="3">
        <v>0</v>
      </c>
      <c r="E4274" s="3">
        <v>0</v>
      </c>
      <c r="F4274" s="3">
        <v>0</v>
      </c>
      <c r="G4274" s="3">
        <v>0</v>
      </c>
      <c r="H4274" s="3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 s="3">
        <v>28</v>
      </c>
      <c r="N4274" s="3">
        <v>96.81</v>
      </c>
      <c r="O4274" s="12">
        <v>48.018648018648022</v>
      </c>
    </row>
    <row r="4275" spans="1:15" hidden="1" x14ac:dyDescent="0.25">
      <c r="A4275" s="10">
        <v>46136</v>
      </c>
      <c r="B4275" t="s">
        <v>27</v>
      </c>
      <c r="C4275" s="1" t="s">
        <v>26</v>
      </c>
      <c r="D4275" s="3">
        <v>11</v>
      </c>
      <c r="E4275" s="3">
        <v>11</v>
      </c>
      <c r="F4275" s="3">
        <v>42.04</v>
      </c>
      <c r="G4275" s="3">
        <v>0</v>
      </c>
      <c r="H4275" s="3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 s="3">
        <v>11</v>
      </c>
      <c r="N4275" s="3">
        <v>98.15</v>
      </c>
      <c r="O4275" s="12">
        <v>27.1551724137931</v>
      </c>
    </row>
    <row r="4276" spans="1:15" hidden="1" x14ac:dyDescent="0.25">
      <c r="A4276" s="10">
        <v>46136</v>
      </c>
      <c r="B4276" t="s">
        <v>41</v>
      </c>
      <c r="C4276" s="1" t="s">
        <v>32</v>
      </c>
      <c r="D4276" s="3">
        <v>21</v>
      </c>
      <c r="E4276" s="3">
        <v>19</v>
      </c>
      <c r="F4276" s="3">
        <v>25.15</v>
      </c>
      <c r="G4276" s="3">
        <v>0</v>
      </c>
      <c r="H4276" s="3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 s="3">
        <v>19</v>
      </c>
      <c r="N4276" s="3">
        <v>99.15</v>
      </c>
      <c r="O4276" s="12">
        <v>27.586206896551719</v>
      </c>
    </row>
    <row r="4277" spans="1:15" hidden="1" x14ac:dyDescent="0.25">
      <c r="A4277" s="10">
        <v>46136</v>
      </c>
      <c r="B4277" t="s">
        <v>56</v>
      </c>
      <c r="C4277" s="1" t="s">
        <v>48</v>
      </c>
      <c r="D4277" s="3">
        <v>22</v>
      </c>
      <c r="E4277" s="3">
        <v>19</v>
      </c>
      <c r="F4277" s="3">
        <v>15.3</v>
      </c>
      <c r="G4277" s="3">
        <v>0</v>
      </c>
      <c r="H4277" s="3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 s="3">
        <v>9</v>
      </c>
      <c r="N4277" s="3">
        <v>99.17</v>
      </c>
      <c r="O4277" s="12">
        <v>29.75206611570248</v>
      </c>
    </row>
    <row r="4278" spans="1:15" hidden="1" x14ac:dyDescent="0.25">
      <c r="A4278" s="10">
        <v>46136</v>
      </c>
      <c r="B4278" t="s">
        <v>57</v>
      </c>
      <c r="C4278" s="1" t="s">
        <v>48</v>
      </c>
      <c r="D4278" s="3">
        <v>0</v>
      </c>
      <c r="E4278" s="3">
        <v>0</v>
      </c>
      <c r="F4278" s="3">
        <v>0</v>
      </c>
      <c r="G4278" s="3">
        <v>0</v>
      </c>
      <c r="H4278" s="3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 s="3">
        <v>0</v>
      </c>
      <c r="N4278" s="3">
        <v>98.73</v>
      </c>
      <c r="O4278" s="12">
        <v>28.961748633879779</v>
      </c>
    </row>
    <row r="4279" spans="1:15" hidden="1" x14ac:dyDescent="0.25">
      <c r="A4279" s="10">
        <v>46136</v>
      </c>
      <c r="B4279" t="s">
        <v>42</v>
      </c>
      <c r="C4279" s="1" t="s">
        <v>32</v>
      </c>
      <c r="D4279" s="3">
        <v>0</v>
      </c>
      <c r="E4279" s="3">
        <v>0</v>
      </c>
      <c r="F4279" s="3">
        <v>0</v>
      </c>
      <c r="G4279" s="3">
        <v>0</v>
      </c>
      <c r="H4279" s="3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 s="3">
        <v>0</v>
      </c>
      <c r="N4279" s="3">
        <v>88.68</v>
      </c>
      <c r="O4279" s="12">
        <v>22.03389830508474</v>
      </c>
    </row>
    <row r="4280" spans="1:15" hidden="1" x14ac:dyDescent="0.25">
      <c r="A4280" s="10">
        <v>46136</v>
      </c>
      <c r="B4280" t="s">
        <v>62</v>
      </c>
      <c r="C4280" s="1" t="s">
        <v>23</v>
      </c>
      <c r="D4280" s="3">
        <v>12</v>
      </c>
      <c r="E4280" s="3">
        <v>12</v>
      </c>
      <c r="F4280" s="3">
        <v>27.07</v>
      </c>
      <c r="G4280" s="3">
        <v>0</v>
      </c>
      <c r="H4280" s="3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 s="3">
        <v>14</v>
      </c>
      <c r="N4280" s="3">
        <v>97.37</v>
      </c>
      <c r="O4280" s="12">
        <v>25.76530612244898</v>
      </c>
    </row>
    <row r="4281" spans="1:15" hidden="1" x14ac:dyDescent="0.25">
      <c r="A4281" s="10">
        <v>46136</v>
      </c>
      <c r="B4281" t="s">
        <v>19</v>
      </c>
      <c r="C4281" s="1" t="s">
        <v>16</v>
      </c>
      <c r="D4281" s="3">
        <v>25</v>
      </c>
      <c r="E4281" s="3">
        <v>16</v>
      </c>
      <c r="F4281" s="3">
        <v>10.19</v>
      </c>
      <c r="G4281" s="3">
        <v>0</v>
      </c>
      <c r="H4281" s="3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 s="3">
        <v>5</v>
      </c>
      <c r="N4281" s="3">
        <v>100</v>
      </c>
      <c r="O4281" s="12">
        <v>25</v>
      </c>
    </row>
    <row r="4282" spans="1:15" hidden="1" x14ac:dyDescent="0.25">
      <c r="A4282" s="7">
        <v>46162</v>
      </c>
      <c r="B4282" s="8" t="s">
        <v>47</v>
      </c>
      <c r="C4282" s="1" t="s">
        <v>48</v>
      </c>
      <c r="D4282" s="3">
        <v>36</v>
      </c>
      <c r="E4282" s="3">
        <v>25</v>
      </c>
      <c r="F4282" s="3">
        <v>11.43</v>
      </c>
      <c r="G4282" s="3">
        <v>6</v>
      </c>
      <c r="H4282" s="3">
        <v>0</v>
      </c>
      <c r="I4282" s="3">
        <f>E4282+G4282+H4282</f>
        <v>31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21</v>
      </c>
      <c r="K4282" s="3">
        <f>I4282-J4282</f>
        <v>10</v>
      </c>
      <c r="L4282" s="3" t="str">
        <f>IF(K4282&lt;-5,"CRÍTICO",IF(K4282&lt;0,"ATENÇÃO",IF(K4282&lt;=5,"OPORTUNO","MUITO BOM")))</f>
        <v>MUITO BOM</v>
      </c>
      <c r="M4282" s="3">
        <v>20</v>
      </c>
      <c r="N4282" s="3">
        <v>99.18</v>
      </c>
      <c r="O4282" s="12">
        <v>24.501424501424498</v>
      </c>
    </row>
    <row r="4283" spans="1:15" hidden="1" x14ac:dyDescent="0.25">
      <c r="A4283" s="10">
        <v>46136</v>
      </c>
      <c r="B4283" t="s">
        <v>44</v>
      </c>
      <c r="C4283" s="1" t="s">
        <v>32</v>
      </c>
      <c r="D4283" s="3">
        <v>30</v>
      </c>
      <c r="E4283" s="3">
        <v>28</v>
      </c>
      <c r="F4283" s="3">
        <v>10.33</v>
      </c>
      <c r="G4283" s="3">
        <v>0</v>
      </c>
      <c r="H4283" s="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 s="3">
        <v>20</v>
      </c>
      <c r="N4283" s="3">
        <v>95.49</v>
      </c>
      <c r="O4283" s="12">
        <v>28.370221327967808</v>
      </c>
    </row>
    <row r="4284" spans="1:15" hidden="1" x14ac:dyDescent="0.25">
      <c r="A4284" s="7">
        <v>46162</v>
      </c>
      <c r="B4284" s="8" t="s">
        <v>49</v>
      </c>
      <c r="C4284" s="1" t="s">
        <v>48</v>
      </c>
      <c r="D4284" s="3">
        <v>25</v>
      </c>
      <c r="E4284" s="3">
        <v>23</v>
      </c>
      <c r="F4284" s="3">
        <v>15.11</v>
      </c>
      <c r="G4284" s="3">
        <v>2</v>
      </c>
      <c r="H4284" s="3">
        <v>0</v>
      </c>
      <c r="I4284" s="3">
        <f>E4284+G4284+H4284</f>
        <v>25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21</v>
      </c>
      <c r="K4284" s="3">
        <f>I4284-J4284</f>
        <v>4</v>
      </c>
      <c r="L4284" s="3" t="str">
        <f>IF(K4284&lt;-5,"CRÍTICO",IF(K4284&lt;0,"ATENÇÃO",IF(K4284&lt;=5,"OPORTUNO","MUITO BOM")))</f>
        <v>OPORTUNO</v>
      </c>
      <c r="M4284" s="3">
        <v>29</v>
      </c>
      <c r="N4284" s="3">
        <v>99.35</v>
      </c>
      <c r="O4284" s="12">
        <v>19.852941176470591</v>
      </c>
    </row>
    <row r="4285" spans="1:15" hidden="1" x14ac:dyDescent="0.25">
      <c r="A4285" s="10">
        <v>46136</v>
      </c>
      <c r="B4285" t="s">
        <v>28</v>
      </c>
      <c r="C4285" s="1" t="s">
        <v>26</v>
      </c>
      <c r="D4285" s="3">
        <v>20</v>
      </c>
      <c r="E4285" s="3">
        <v>13</v>
      </c>
      <c r="F4285" s="3">
        <v>12.31</v>
      </c>
      <c r="G4285" s="3">
        <v>0</v>
      </c>
      <c r="H4285" s="3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 s="3">
        <v>12</v>
      </c>
      <c r="N4285" s="3">
        <v>96.15</v>
      </c>
      <c r="O4285" s="12">
        <v>24.045801526717561</v>
      </c>
    </row>
    <row r="4286" spans="1:15" hidden="1" x14ac:dyDescent="0.25">
      <c r="A4286" s="10">
        <v>46136</v>
      </c>
      <c r="B4286" t="s">
        <v>58</v>
      </c>
      <c r="C4286" s="1" t="s">
        <v>48</v>
      </c>
      <c r="D4286" s="3">
        <v>21</v>
      </c>
      <c r="E4286" s="3">
        <v>20</v>
      </c>
      <c r="F4286" s="3">
        <v>17.18</v>
      </c>
      <c r="G4286" s="3">
        <v>0</v>
      </c>
      <c r="H4286" s="3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 s="3">
        <v>17</v>
      </c>
      <c r="N4286" s="3">
        <v>99.02</v>
      </c>
      <c r="O4286" s="12">
        <v>34.797297297297298</v>
      </c>
    </row>
    <row r="4287" spans="1:15" hidden="1" x14ac:dyDescent="0.25">
      <c r="A4287" s="10">
        <v>46136</v>
      </c>
      <c r="B4287" t="s">
        <v>29</v>
      </c>
      <c r="C4287" s="1" t="s">
        <v>26</v>
      </c>
      <c r="D4287" s="3">
        <v>18</v>
      </c>
      <c r="E4287" s="3">
        <v>17</v>
      </c>
      <c r="F4287" s="3">
        <v>17.13</v>
      </c>
      <c r="G4287" s="3">
        <v>0</v>
      </c>
      <c r="H4287" s="3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 s="3">
        <v>14</v>
      </c>
      <c r="N4287" s="3">
        <v>98.84</v>
      </c>
      <c r="O4287" s="12">
        <v>31.868131868131869</v>
      </c>
    </row>
    <row r="4288" spans="1:15" hidden="1" x14ac:dyDescent="0.25">
      <c r="A4288" s="10">
        <v>46136</v>
      </c>
      <c r="B4288" t="s">
        <v>30</v>
      </c>
      <c r="C4288" s="1" t="s">
        <v>26</v>
      </c>
      <c r="D4288" s="3">
        <v>24</v>
      </c>
      <c r="E4288" s="3">
        <v>23</v>
      </c>
      <c r="F4288" s="3">
        <v>15.09</v>
      </c>
      <c r="G4288" s="3">
        <v>0</v>
      </c>
      <c r="H4288" s="3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 s="3">
        <v>18</v>
      </c>
      <c r="N4288" s="3">
        <v>100</v>
      </c>
      <c r="O4288" s="12">
        <v>34.666666666666671</v>
      </c>
    </row>
    <row r="4289" spans="1:15" hidden="1" x14ac:dyDescent="0.25">
      <c r="A4289" s="7">
        <v>46162</v>
      </c>
      <c r="B4289" s="8" t="s">
        <v>50</v>
      </c>
      <c r="C4289" s="1" t="s">
        <v>48</v>
      </c>
      <c r="D4289" s="3">
        <v>27</v>
      </c>
      <c r="E4289" s="3">
        <v>26</v>
      </c>
      <c r="F4289" s="3">
        <v>18.579999999999998</v>
      </c>
      <c r="G4289" s="3">
        <v>1</v>
      </c>
      <c r="H4289" s="3">
        <v>0</v>
      </c>
      <c r="I4289" s="3">
        <f>E4289+G4289+H4289</f>
        <v>27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21</v>
      </c>
      <c r="K4289" s="3">
        <f>I4289-J4289</f>
        <v>6</v>
      </c>
      <c r="L4289" s="3" t="str">
        <f>IF(K4289&lt;-5,"CRÍTICO",IF(K4289&lt;0,"ATENÇÃO",IF(K4289&lt;=5,"OPORTUNO","MUITO BOM")))</f>
        <v>MUITO BOM</v>
      </c>
      <c r="M4289" s="3">
        <v>25</v>
      </c>
      <c r="N4289" s="3">
        <v>99.07</v>
      </c>
      <c r="O4289" s="12">
        <v>20.098039215686271</v>
      </c>
    </row>
    <row r="4290" spans="1:15" hidden="1" x14ac:dyDescent="0.25">
      <c r="A4290" s="10">
        <v>46136</v>
      </c>
      <c r="B4290" t="s">
        <v>63</v>
      </c>
      <c r="C4290" s="1" t="s">
        <v>23</v>
      </c>
      <c r="D4290" s="3">
        <v>17</v>
      </c>
      <c r="E4290" s="3">
        <v>17</v>
      </c>
      <c r="F4290" s="3">
        <v>13.4</v>
      </c>
      <c r="G4290" s="3">
        <v>0</v>
      </c>
      <c r="H4290" s="3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 s="3">
        <v>12</v>
      </c>
      <c r="N4290" s="3">
        <v>98.32</v>
      </c>
      <c r="O4290" s="12">
        <v>26.858513189448441</v>
      </c>
    </row>
    <row r="4291" spans="1:15" hidden="1" x14ac:dyDescent="0.25">
      <c r="A4291" s="10">
        <v>46136</v>
      </c>
      <c r="B4291" t="s">
        <v>45</v>
      </c>
      <c r="C4291" s="1" t="s">
        <v>32</v>
      </c>
      <c r="D4291" s="3">
        <v>28</v>
      </c>
      <c r="E4291" s="3">
        <v>25</v>
      </c>
      <c r="F4291" s="3">
        <v>12.25</v>
      </c>
      <c r="G4291" s="3">
        <v>0</v>
      </c>
      <c r="H4291" s="3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 s="3">
        <v>18</v>
      </c>
      <c r="N4291" s="3">
        <v>100</v>
      </c>
      <c r="O4291" s="12">
        <v>31.135531135531139</v>
      </c>
    </row>
    <row r="4292" spans="1:15" hidden="1" x14ac:dyDescent="0.25">
      <c r="A4292" s="10">
        <v>46136</v>
      </c>
      <c r="B4292" t="s">
        <v>64</v>
      </c>
      <c r="C4292" s="1" t="s">
        <v>23</v>
      </c>
      <c r="D4292" s="3">
        <v>16</v>
      </c>
      <c r="E4292" s="3">
        <v>16</v>
      </c>
      <c r="F4292" s="3">
        <v>22.29</v>
      </c>
      <c r="G4292" s="3">
        <v>0</v>
      </c>
      <c r="H4292" s="3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 s="3">
        <v>13</v>
      </c>
      <c r="N4292" s="3">
        <v>100</v>
      </c>
      <c r="O4292" s="12">
        <v>26.36986301369863</v>
      </c>
    </row>
    <row r="4293" spans="1:15" hidden="1" x14ac:dyDescent="0.25">
      <c r="A4293" s="10">
        <v>46136</v>
      </c>
      <c r="B4293" t="s">
        <v>46</v>
      </c>
      <c r="C4293" s="1" t="s">
        <v>32</v>
      </c>
      <c r="D4293" s="3">
        <v>20</v>
      </c>
      <c r="E4293" s="3">
        <v>18</v>
      </c>
      <c r="F4293" s="3">
        <v>18.34</v>
      </c>
      <c r="G4293" s="3">
        <v>0</v>
      </c>
      <c r="H4293" s="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 s="3">
        <v>11</v>
      </c>
      <c r="N4293" s="3">
        <v>99.21</v>
      </c>
      <c r="O4293" s="12">
        <v>25.188916876574311</v>
      </c>
    </row>
    <row r="4294" spans="1:15" hidden="1" x14ac:dyDescent="0.25">
      <c r="A4294" s="10">
        <v>46139</v>
      </c>
      <c r="B4294" t="s">
        <v>47</v>
      </c>
      <c r="C4294" s="1" t="s">
        <v>48</v>
      </c>
      <c r="D4294" s="3">
        <v>13</v>
      </c>
      <c r="E4294" s="3">
        <v>11</v>
      </c>
      <c r="F4294" s="3">
        <v>18.329999999999998</v>
      </c>
      <c r="G4294" s="3">
        <v>0</v>
      </c>
      <c r="H4294" s="3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 s="3">
        <v>9</v>
      </c>
      <c r="N4294" s="3">
        <v>100</v>
      </c>
      <c r="O4294" s="12">
        <v>32.764505119453922</v>
      </c>
    </row>
    <row r="4295" spans="1:15" hidden="1" x14ac:dyDescent="0.25">
      <c r="A4295" s="10">
        <v>46139</v>
      </c>
      <c r="B4295" t="s">
        <v>31</v>
      </c>
      <c r="C4295" s="1" t="s">
        <v>32</v>
      </c>
      <c r="D4295" s="3">
        <v>0</v>
      </c>
      <c r="E4295" s="3">
        <v>0</v>
      </c>
      <c r="F4295" s="3">
        <v>0</v>
      </c>
      <c r="G4295" s="3">
        <v>0</v>
      </c>
      <c r="H4295" s="3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 s="3">
        <v>15</v>
      </c>
      <c r="N4295" s="3">
        <v>98.66</v>
      </c>
      <c r="O4295" s="12">
        <v>35.416666666666671</v>
      </c>
    </row>
    <row r="4296" spans="1:15" hidden="1" x14ac:dyDescent="0.25">
      <c r="A4296" s="10">
        <v>46139</v>
      </c>
      <c r="B4296" t="s">
        <v>59</v>
      </c>
      <c r="C4296" s="1" t="s">
        <v>23</v>
      </c>
      <c r="D4296" s="3">
        <v>11</v>
      </c>
      <c r="E4296" s="3">
        <v>9</v>
      </c>
      <c r="F4296" s="3">
        <v>17.3</v>
      </c>
      <c r="G4296" s="3">
        <v>0</v>
      </c>
      <c r="H4296" s="3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 s="3">
        <v>12</v>
      </c>
      <c r="N4296" s="3">
        <v>99.32</v>
      </c>
      <c r="O4296" s="12">
        <v>30.648330058939099</v>
      </c>
    </row>
    <row r="4297" spans="1:15" hidden="1" x14ac:dyDescent="0.25">
      <c r="A4297" s="10">
        <v>46139</v>
      </c>
      <c r="B4297" t="s">
        <v>33</v>
      </c>
      <c r="C4297" s="1" t="s">
        <v>32</v>
      </c>
      <c r="D4297" s="3">
        <v>12</v>
      </c>
      <c r="E4297" s="3">
        <v>10</v>
      </c>
      <c r="F4297" s="3">
        <v>13.31</v>
      </c>
      <c r="G4297" s="3">
        <v>0</v>
      </c>
      <c r="H4297" s="3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 s="3">
        <v>10</v>
      </c>
      <c r="N4297" s="3">
        <v>100</v>
      </c>
      <c r="O4297" s="12">
        <v>27.803738317757009</v>
      </c>
    </row>
    <row r="4298" spans="1:15" hidden="1" x14ac:dyDescent="0.25">
      <c r="A4298" s="10">
        <v>46139</v>
      </c>
      <c r="B4298" t="s">
        <v>15</v>
      </c>
      <c r="C4298" s="1" t="s">
        <v>16</v>
      </c>
      <c r="D4298" s="3">
        <v>14</v>
      </c>
      <c r="E4298" s="3">
        <v>14</v>
      </c>
      <c r="F4298" s="3">
        <v>14.02</v>
      </c>
      <c r="G4298" s="3">
        <v>0</v>
      </c>
      <c r="H4298" s="3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 s="3">
        <v>14</v>
      </c>
      <c r="N4298" s="3">
        <v>96.74</v>
      </c>
      <c r="O4298" s="12">
        <v>28.67647058823529</v>
      </c>
    </row>
    <row r="4299" spans="1:15" hidden="1" x14ac:dyDescent="0.25">
      <c r="A4299" s="10">
        <v>46139</v>
      </c>
      <c r="B4299" t="s">
        <v>49</v>
      </c>
      <c r="C4299" s="1" t="s">
        <v>48</v>
      </c>
      <c r="D4299" s="3">
        <v>14</v>
      </c>
      <c r="E4299" s="3">
        <v>13</v>
      </c>
      <c r="F4299" s="3">
        <v>15.11</v>
      </c>
      <c r="G4299" s="3">
        <v>0</v>
      </c>
      <c r="H4299" s="3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 s="3">
        <v>11</v>
      </c>
      <c r="N4299" s="3">
        <v>98.82</v>
      </c>
      <c r="O4299" s="12">
        <v>30.741410488245929</v>
      </c>
    </row>
    <row r="4300" spans="1:15" hidden="1" x14ac:dyDescent="0.25">
      <c r="A4300" s="10">
        <v>46139</v>
      </c>
      <c r="B4300" t="s">
        <v>50</v>
      </c>
      <c r="C4300" s="1" t="s">
        <v>48</v>
      </c>
      <c r="D4300" s="3">
        <v>12</v>
      </c>
      <c r="E4300" s="3">
        <v>12</v>
      </c>
      <c r="F4300" s="3">
        <v>24.05</v>
      </c>
      <c r="G4300" s="3">
        <v>0</v>
      </c>
      <c r="H4300" s="3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 s="3">
        <v>11</v>
      </c>
      <c r="N4300" s="3">
        <v>98.2</v>
      </c>
      <c r="O4300" s="12">
        <v>27.170868347338931</v>
      </c>
    </row>
    <row r="4301" spans="1:15" hidden="1" x14ac:dyDescent="0.25">
      <c r="A4301" s="10">
        <v>46139</v>
      </c>
      <c r="B4301" t="s">
        <v>17</v>
      </c>
      <c r="C4301" s="1" t="s">
        <v>16</v>
      </c>
      <c r="D4301" s="3">
        <v>8</v>
      </c>
      <c r="E4301" s="3">
        <v>8</v>
      </c>
      <c r="F4301" s="3">
        <v>22.16</v>
      </c>
      <c r="G4301" s="3">
        <v>0</v>
      </c>
      <c r="H4301" s="3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 s="3">
        <v>7</v>
      </c>
      <c r="N4301" s="3">
        <v>100</v>
      </c>
      <c r="O4301" s="12">
        <v>23.134328358208951</v>
      </c>
    </row>
    <row r="4302" spans="1:15" hidden="1" x14ac:dyDescent="0.25">
      <c r="A4302" s="10">
        <v>46139</v>
      </c>
      <c r="B4302" t="s">
        <v>60</v>
      </c>
      <c r="C4302" s="1" t="s">
        <v>23</v>
      </c>
      <c r="D4302" s="3">
        <v>3</v>
      </c>
      <c r="E4302" s="3">
        <v>3</v>
      </c>
      <c r="F4302" s="3">
        <v>10.119999999999999</v>
      </c>
      <c r="G4302" s="3">
        <v>0</v>
      </c>
      <c r="H4302" s="3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 s="3">
        <v>4</v>
      </c>
      <c r="N4302" s="3">
        <v>96.3</v>
      </c>
      <c r="O4302" s="12">
        <v>32.219570405727922</v>
      </c>
    </row>
    <row r="4303" spans="1:15" hidden="1" x14ac:dyDescent="0.25">
      <c r="A4303" s="10">
        <v>46139</v>
      </c>
      <c r="B4303" t="s">
        <v>34</v>
      </c>
      <c r="C4303" s="1" t="s">
        <v>32</v>
      </c>
      <c r="D4303" s="3">
        <v>15</v>
      </c>
      <c r="E4303" s="3">
        <v>14</v>
      </c>
      <c r="F4303" s="3">
        <v>10.5</v>
      </c>
      <c r="G4303" s="3">
        <v>0</v>
      </c>
      <c r="H4303" s="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 s="3">
        <v>13</v>
      </c>
      <c r="N4303" s="3">
        <v>93.75</v>
      </c>
      <c r="O4303" s="12">
        <v>26.819923371647509</v>
      </c>
    </row>
    <row r="4304" spans="1:15" hidden="1" x14ac:dyDescent="0.25">
      <c r="A4304" s="10">
        <v>46139</v>
      </c>
      <c r="B4304" t="s">
        <v>51</v>
      </c>
      <c r="C4304" s="1" t="s">
        <v>48</v>
      </c>
      <c r="D4304" s="3">
        <v>15</v>
      </c>
      <c r="E4304" s="3">
        <v>13</v>
      </c>
      <c r="F4304" s="3">
        <v>12.32</v>
      </c>
      <c r="G4304" s="3">
        <v>0</v>
      </c>
      <c r="H4304" s="3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 s="3">
        <v>10</v>
      </c>
      <c r="N4304" s="3">
        <v>97.86</v>
      </c>
      <c r="O4304" s="12">
        <v>31.018518518518519</v>
      </c>
    </row>
    <row r="4305" spans="1:15" hidden="1" x14ac:dyDescent="0.25">
      <c r="A4305" s="10">
        <v>46139</v>
      </c>
      <c r="B4305" t="s">
        <v>61</v>
      </c>
      <c r="C4305" s="1" t="s">
        <v>23</v>
      </c>
      <c r="D4305" s="3">
        <v>12</v>
      </c>
      <c r="E4305" s="3">
        <v>12</v>
      </c>
      <c r="F4305" s="3">
        <v>18.5</v>
      </c>
      <c r="G4305" s="3">
        <v>0</v>
      </c>
      <c r="H4305" s="3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 s="3">
        <v>8</v>
      </c>
      <c r="N4305" s="3">
        <v>100</v>
      </c>
      <c r="O4305" s="12">
        <v>36.594202898550733</v>
      </c>
    </row>
    <row r="4306" spans="1:15" hidden="1" x14ac:dyDescent="0.25">
      <c r="A4306" s="10">
        <v>46139</v>
      </c>
      <c r="B4306" t="s">
        <v>35</v>
      </c>
      <c r="C4306" s="1" t="s">
        <v>32</v>
      </c>
      <c r="D4306" s="3">
        <v>13</v>
      </c>
      <c r="E4306" s="3">
        <v>13</v>
      </c>
      <c r="F4306" s="3">
        <v>21.51</v>
      </c>
      <c r="G4306" s="3">
        <v>0</v>
      </c>
      <c r="H4306" s="3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 s="3">
        <v>14</v>
      </c>
      <c r="N4306" s="3">
        <v>100</v>
      </c>
      <c r="O4306" s="12">
        <v>38.653846153846153</v>
      </c>
    </row>
    <row r="4307" spans="1:15" hidden="1" x14ac:dyDescent="0.25">
      <c r="A4307" s="10">
        <v>46139</v>
      </c>
      <c r="B4307" t="s">
        <v>18</v>
      </c>
      <c r="C4307" s="1" t="s">
        <v>16</v>
      </c>
      <c r="D4307" s="3">
        <v>9</v>
      </c>
      <c r="E4307" s="3">
        <v>9</v>
      </c>
      <c r="F4307" s="3">
        <v>25.01</v>
      </c>
      <c r="G4307" s="3">
        <v>0</v>
      </c>
      <c r="H4307" s="3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 s="3">
        <v>8</v>
      </c>
      <c r="N4307" s="3">
        <v>100</v>
      </c>
      <c r="O4307" s="12">
        <v>27.368421052631579</v>
      </c>
    </row>
    <row r="4308" spans="1:15" hidden="1" x14ac:dyDescent="0.25">
      <c r="A4308" s="10">
        <v>46139</v>
      </c>
      <c r="B4308" t="s">
        <v>52</v>
      </c>
      <c r="C4308" s="1" t="s">
        <v>48</v>
      </c>
      <c r="D4308" s="3">
        <v>18</v>
      </c>
      <c r="E4308" s="3">
        <v>16</v>
      </c>
      <c r="F4308" s="3">
        <v>15.02</v>
      </c>
      <c r="G4308" s="3">
        <v>0</v>
      </c>
      <c r="H4308" s="3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 s="3">
        <v>12</v>
      </c>
      <c r="N4308" s="3">
        <v>97.83</v>
      </c>
      <c r="O4308" s="12">
        <v>28.35164835164835</v>
      </c>
    </row>
    <row r="4309" spans="1:15" hidden="1" x14ac:dyDescent="0.25">
      <c r="A4309" s="10">
        <v>46139</v>
      </c>
      <c r="B4309" t="s">
        <v>36</v>
      </c>
      <c r="C4309" s="1" t="s">
        <v>32</v>
      </c>
      <c r="D4309" s="3">
        <v>15</v>
      </c>
      <c r="E4309" s="3">
        <v>15</v>
      </c>
      <c r="F4309" s="3">
        <v>13.5</v>
      </c>
      <c r="G4309" s="3">
        <v>0</v>
      </c>
      <c r="H4309" s="3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 s="3">
        <v>15</v>
      </c>
      <c r="N4309" s="3">
        <v>99.26</v>
      </c>
      <c r="O4309" s="12">
        <v>29.766536964980549</v>
      </c>
    </row>
    <row r="4310" spans="1:15" hidden="1" x14ac:dyDescent="0.25">
      <c r="A4310" s="10">
        <v>46139</v>
      </c>
      <c r="B4310" t="s">
        <v>53</v>
      </c>
      <c r="C4310" s="1" t="s">
        <v>48</v>
      </c>
      <c r="D4310" s="3">
        <v>14</v>
      </c>
      <c r="E4310" s="3">
        <v>14</v>
      </c>
      <c r="F4310" s="3">
        <v>15.32</v>
      </c>
      <c r="G4310" s="3">
        <v>0</v>
      </c>
      <c r="H4310" s="3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 s="3">
        <v>14</v>
      </c>
      <c r="N4310" s="3">
        <v>99.19</v>
      </c>
      <c r="O4310" s="12">
        <v>29.462365591397852</v>
      </c>
    </row>
    <row r="4311" spans="1:15" hidden="1" x14ac:dyDescent="0.25">
      <c r="A4311" s="7">
        <v>46162</v>
      </c>
      <c r="B4311" s="8" t="s">
        <v>51</v>
      </c>
      <c r="C4311" s="1" t="s">
        <v>48</v>
      </c>
      <c r="D4311" s="3">
        <v>0</v>
      </c>
      <c r="E4311" s="3">
        <v>0</v>
      </c>
      <c r="F4311" s="3">
        <v>0</v>
      </c>
      <c r="G4311" s="3">
        <v>0</v>
      </c>
      <c r="H4311" s="3">
        <v>0</v>
      </c>
      <c r="I4311" s="3">
        <f>E4311+G4311+H4311</f>
        <v>0</v>
      </c>
      <c r="J4311" s="3">
        <v>0</v>
      </c>
      <c r="K4311" s="3">
        <f>I4311-J4311</f>
        <v>0</v>
      </c>
      <c r="L4311" s="3" t="str">
        <f>IF(K4311&lt;-5,"CRÍTICO",IF(K4311&lt;0,"ATENÇÃO",IF(K4311&lt;=5,"OPORTUNO","MUITO BOM")))</f>
        <v>OPORTUNO</v>
      </c>
      <c r="M4311" s="3">
        <v>0</v>
      </c>
      <c r="N4311" s="3">
        <v>98.81</v>
      </c>
      <c r="O4311" s="12">
        <v>22.767857142857139</v>
      </c>
    </row>
    <row r="4312" spans="1:15" hidden="1" x14ac:dyDescent="0.25">
      <c r="A4312" s="10">
        <v>46139</v>
      </c>
      <c r="B4312" t="s">
        <v>54</v>
      </c>
      <c r="C4312" s="1" t="s">
        <v>48</v>
      </c>
      <c r="D4312" s="3">
        <v>11</v>
      </c>
      <c r="E4312" s="3">
        <v>11</v>
      </c>
      <c r="F4312" s="3">
        <v>14.16</v>
      </c>
      <c r="G4312" s="3">
        <v>0</v>
      </c>
      <c r="H4312" s="3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 s="3">
        <v>8</v>
      </c>
      <c r="N4312" s="3">
        <v>100</v>
      </c>
      <c r="O4312" s="12">
        <v>28.921568627450981</v>
      </c>
    </row>
    <row r="4313" spans="1:15" hidden="1" x14ac:dyDescent="0.25">
      <c r="A4313" s="10">
        <v>46139</v>
      </c>
      <c r="B4313" t="s">
        <v>37</v>
      </c>
      <c r="C4313" s="1" t="s">
        <v>32</v>
      </c>
      <c r="D4313" s="3">
        <v>23</v>
      </c>
      <c r="E4313" s="3">
        <v>19</v>
      </c>
      <c r="F4313" s="3">
        <v>15.24</v>
      </c>
      <c r="G4313" s="3">
        <v>0</v>
      </c>
      <c r="H4313" s="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 s="3">
        <v>16</v>
      </c>
      <c r="N4313" s="3">
        <v>99.57</v>
      </c>
      <c r="O4313" s="12">
        <v>30.635838150289018</v>
      </c>
    </row>
    <row r="4314" spans="1:15" hidden="1" x14ac:dyDescent="0.25">
      <c r="A4314" s="10">
        <v>46139</v>
      </c>
      <c r="B4314" t="s">
        <v>38</v>
      </c>
      <c r="C4314" s="1" t="s">
        <v>32</v>
      </c>
      <c r="D4314" s="3">
        <v>15</v>
      </c>
      <c r="E4314" s="3">
        <v>13</v>
      </c>
      <c r="F4314" s="3">
        <v>12.31</v>
      </c>
      <c r="G4314" s="3">
        <v>0</v>
      </c>
      <c r="H4314" s="3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 s="3">
        <v>10</v>
      </c>
      <c r="N4314" s="3">
        <v>95.65</v>
      </c>
      <c r="O4314" s="12">
        <v>32.432432432432442</v>
      </c>
    </row>
    <row r="4315" spans="1:15" hidden="1" x14ac:dyDescent="0.25">
      <c r="A4315" s="10">
        <v>46139</v>
      </c>
      <c r="B4315" t="s">
        <v>55</v>
      </c>
      <c r="C4315" s="1" t="s">
        <v>48</v>
      </c>
      <c r="D4315" s="3">
        <v>14</v>
      </c>
      <c r="E4315" s="3">
        <v>13</v>
      </c>
      <c r="F4315" s="3">
        <v>13.47</v>
      </c>
      <c r="G4315" s="3">
        <v>0</v>
      </c>
      <c r="H4315" s="3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 s="3">
        <v>12</v>
      </c>
      <c r="N4315" s="3">
        <v>98.81</v>
      </c>
      <c r="O4315" s="12">
        <v>26.256983240223459</v>
      </c>
    </row>
    <row r="4316" spans="1:15" hidden="1" x14ac:dyDescent="0.25">
      <c r="A4316" s="10">
        <v>46139</v>
      </c>
      <c r="B4316" t="s">
        <v>39</v>
      </c>
      <c r="C4316" s="1" t="s">
        <v>32</v>
      </c>
      <c r="D4316" s="3">
        <v>0</v>
      </c>
      <c r="E4316" s="3">
        <v>0</v>
      </c>
      <c r="F4316" s="3">
        <v>0</v>
      </c>
      <c r="G4316" s="3">
        <v>0</v>
      </c>
      <c r="H4316" s="3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 s="3">
        <v>0</v>
      </c>
      <c r="N4316" s="3">
        <v>0</v>
      </c>
      <c r="O4316" s="12">
        <v>0</v>
      </c>
    </row>
    <row r="4317" spans="1:15" hidden="1" x14ac:dyDescent="0.25">
      <c r="A4317" s="10">
        <v>46139</v>
      </c>
      <c r="B4317" t="s">
        <v>25</v>
      </c>
      <c r="C4317" s="1" t="s">
        <v>26</v>
      </c>
      <c r="D4317" s="3">
        <v>8</v>
      </c>
      <c r="E4317" s="3">
        <v>5</v>
      </c>
      <c r="F4317" s="3">
        <v>13.44</v>
      </c>
      <c r="G4317" s="3">
        <v>0</v>
      </c>
      <c r="H4317" s="3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 s="3">
        <v>6</v>
      </c>
      <c r="N4317" s="3">
        <v>97.17</v>
      </c>
      <c r="O4317" s="12">
        <v>28.81844380403458</v>
      </c>
    </row>
    <row r="4318" spans="1:15" hidden="1" x14ac:dyDescent="0.25">
      <c r="A4318" s="10">
        <v>46139</v>
      </c>
      <c r="B4318" t="s">
        <v>40</v>
      </c>
      <c r="C4318" s="1" t="s">
        <v>32</v>
      </c>
      <c r="D4318" s="3">
        <v>0</v>
      </c>
      <c r="E4318" s="3">
        <v>0</v>
      </c>
      <c r="F4318" s="3">
        <v>0</v>
      </c>
      <c r="G4318" s="3">
        <v>0</v>
      </c>
      <c r="H4318" s="3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 s="3">
        <v>29</v>
      </c>
      <c r="N4318" s="3">
        <v>96.81</v>
      </c>
      <c r="O4318" s="12">
        <v>48.018648018648022</v>
      </c>
    </row>
    <row r="4319" spans="1:15" hidden="1" x14ac:dyDescent="0.25">
      <c r="A4319" s="10">
        <v>46139</v>
      </c>
      <c r="B4319" t="s">
        <v>27</v>
      </c>
      <c r="C4319" s="1" t="s">
        <v>26</v>
      </c>
      <c r="D4319" s="3">
        <v>14</v>
      </c>
      <c r="E4319" s="3">
        <v>13</v>
      </c>
      <c r="F4319" s="3">
        <v>10.5</v>
      </c>
      <c r="G4319" s="3">
        <v>0</v>
      </c>
      <c r="H4319" s="3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 s="3">
        <v>10</v>
      </c>
      <c r="N4319" s="3">
        <v>98.15</v>
      </c>
      <c r="O4319" s="12">
        <v>27.1551724137931</v>
      </c>
    </row>
    <row r="4320" spans="1:15" hidden="1" x14ac:dyDescent="0.25">
      <c r="A4320" s="10">
        <v>46139</v>
      </c>
      <c r="B4320" t="s">
        <v>41</v>
      </c>
      <c r="C4320" s="1" t="s">
        <v>32</v>
      </c>
      <c r="D4320" s="3">
        <v>16</v>
      </c>
      <c r="E4320" s="3">
        <v>13</v>
      </c>
      <c r="F4320" s="3">
        <v>16.45</v>
      </c>
      <c r="G4320" s="3">
        <v>0</v>
      </c>
      <c r="H4320" s="3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 s="3">
        <v>14</v>
      </c>
      <c r="N4320" s="3">
        <v>99.15</v>
      </c>
      <c r="O4320" s="12">
        <v>27.586206896551719</v>
      </c>
    </row>
    <row r="4321" spans="1:15" hidden="1" x14ac:dyDescent="0.25">
      <c r="A4321" s="10">
        <v>46139</v>
      </c>
      <c r="B4321" t="s">
        <v>56</v>
      </c>
      <c r="C4321" s="1" t="s">
        <v>48</v>
      </c>
      <c r="D4321" s="3">
        <v>2</v>
      </c>
      <c r="E4321" s="3">
        <v>2</v>
      </c>
      <c r="F4321" s="3">
        <v>22.04</v>
      </c>
      <c r="G4321" s="3">
        <v>0</v>
      </c>
      <c r="H4321" s="3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 s="3">
        <v>8</v>
      </c>
      <c r="N4321" s="3">
        <v>99.17</v>
      </c>
      <c r="O4321" s="12">
        <v>29.75206611570248</v>
      </c>
    </row>
    <row r="4322" spans="1:15" hidden="1" x14ac:dyDescent="0.25">
      <c r="A4322" s="10">
        <v>46139</v>
      </c>
      <c r="B4322" t="s">
        <v>57</v>
      </c>
      <c r="C4322" s="1" t="s">
        <v>48</v>
      </c>
      <c r="D4322" s="3">
        <v>0</v>
      </c>
      <c r="E4322" s="3">
        <v>0</v>
      </c>
      <c r="F4322" s="3">
        <v>0</v>
      </c>
      <c r="G4322" s="3">
        <v>0</v>
      </c>
      <c r="H4322" s="3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 s="3">
        <v>0</v>
      </c>
      <c r="N4322" s="3">
        <v>98.73</v>
      </c>
      <c r="O4322" s="12">
        <v>28.961748633879779</v>
      </c>
    </row>
    <row r="4323" spans="1:15" hidden="1" x14ac:dyDescent="0.25">
      <c r="A4323" s="10">
        <v>46139</v>
      </c>
      <c r="B4323" t="s">
        <v>42</v>
      </c>
      <c r="C4323" s="1" t="s">
        <v>32</v>
      </c>
      <c r="D4323" s="3">
        <v>0</v>
      </c>
      <c r="E4323" s="3">
        <v>0</v>
      </c>
      <c r="F4323" s="3">
        <v>0</v>
      </c>
      <c r="G4323" s="3">
        <v>0</v>
      </c>
      <c r="H4323" s="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 s="3">
        <v>0</v>
      </c>
      <c r="N4323" s="3">
        <v>88.68</v>
      </c>
      <c r="O4323" s="12">
        <v>22.03389830508474</v>
      </c>
    </row>
    <row r="4324" spans="1:15" hidden="1" x14ac:dyDescent="0.25">
      <c r="A4324" s="10">
        <v>46139</v>
      </c>
      <c r="B4324" t="s">
        <v>62</v>
      </c>
      <c r="C4324" s="1" t="s">
        <v>23</v>
      </c>
      <c r="D4324" s="3">
        <v>9</v>
      </c>
      <c r="E4324" s="3">
        <v>9</v>
      </c>
      <c r="F4324" s="3">
        <v>22.33</v>
      </c>
      <c r="G4324" s="3">
        <v>0</v>
      </c>
      <c r="H4324" s="3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 s="3">
        <v>8</v>
      </c>
      <c r="N4324" s="3">
        <v>97.37</v>
      </c>
      <c r="O4324" s="12">
        <v>25.76530612244898</v>
      </c>
    </row>
    <row r="4325" spans="1:15" hidden="1" x14ac:dyDescent="0.25">
      <c r="A4325" s="10">
        <v>46139</v>
      </c>
      <c r="B4325" t="s">
        <v>19</v>
      </c>
      <c r="C4325" s="1" t="s">
        <v>16</v>
      </c>
      <c r="D4325" s="3">
        <v>0</v>
      </c>
      <c r="E4325" s="3">
        <v>0</v>
      </c>
      <c r="F4325" s="3">
        <v>0</v>
      </c>
      <c r="G4325" s="3">
        <v>0</v>
      </c>
      <c r="H4325" s="3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 s="3">
        <v>0</v>
      </c>
      <c r="N4325" s="3">
        <v>100</v>
      </c>
      <c r="O4325" s="12">
        <v>25</v>
      </c>
    </row>
    <row r="4326" spans="1:15" hidden="1" x14ac:dyDescent="0.25">
      <c r="A4326" s="7">
        <v>46162</v>
      </c>
      <c r="B4326" s="8" t="s">
        <v>52</v>
      </c>
      <c r="C4326" s="1" t="s">
        <v>48</v>
      </c>
      <c r="D4326" s="3">
        <v>30</v>
      </c>
      <c r="E4326" s="3">
        <v>28</v>
      </c>
      <c r="F4326" s="3">
        <v>10.26</v>
      </c>
      <c r="G4326" s="3">
        <v>2</v>
      </c>
      <c r="H4326" s="3">
        <v>0</v>
      </c>
      <c r="I4326" s="3">
        <f>E4326+G4326+H4326</f>
        <v>30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21</v>
      </c>
      <c r="K4326" s="3">
        <f>I4326-J4326</f>
        <v>9</v>
      </c>
      <c r="L4326" s="3" t="str">
        <f>IF(K4326&lt;-5,"CRÍTICO",IF(K4326&lt;0,"ATENÇÃO",IF(K4326&lt;=5,"OPORTUNO","MUITO BOM")))</f>
        <v>MUITO BOM</v>
      </c>
      <c r="M4326" s="3">
        <v>28</v>
      </c>
      <c r="N4326" s="3">
        <v>99.01</v>
      </c>
      <c r="O4326" s="12">
        <v>17.766497461928939</v>
      </c>
    </row>
    <row r="4327" spans="1:15" hidden="1" x14ac:dyDescent="0.25">
      <c r="A4327" s="10">
        <v>46139</v>
      </c>
      <c r="B4327" t="s">
        <v>44</v>
      </c>
      <c r="C4327" s="1" t="s">
        <v>32</v>
      </c>
      <c r="D4327" s="3">
        <v>20</v>
      </c>
      <c r="E4327" s="3">
        <v>14</v>
      </c>
      <c r="F4327" s="3">
        <v>5.39</v>
      </c>
      <c r="G4327" s="3">
        <v>0</v>
      </c>
      <c r="H4327" s="3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 s="3">
        <v>14</v>
      </c>
      <c r="N4327" s="3">
        <v>95.49</v>
      </c>
      <c r="O4327" s="12">
        <v>28.370221327967808</v>
      </c>
    </row>
    <row r="4328" spans="1:15" hidden="1" x14ac:dyDescent="0.25">
      <c r="A4328" s="7">
        <v>46162</v>
      </c>
      <c r="B4328" s="8" t="s">
        <v>53</v>
      </c>
      <c r="C4328" s="1" t="s">
        <v>48</v>
      </c>
      <c r="D4328" s="3">
        <v>0</v>
      </c>
      <c r="E4328" s="3">
        <v>0</v>
      </c>
      <c r="F4328" s="3">
        <v>0</v>
      </c>
      <c r="G4328" s="3">
        <v>0</v>
      </c>
      <c r="H4328" s="3">
        <v>0</v>
      </c>
      <c r="I4328" s="3">
        <f>E4328+G4328+H4328</f>
        <v>0</v>
      </c>
      <c r="J4328" s="3">
        <v>0</v>
      </c>
      <c r="K4328" s="3">
        <f>I4328-J4328</f>
        <v>0</v>
      </c>
      <c r="L4328" s="3" t="str">
        <f>IF(K4328&lt;-5,"CRÍTICO",IF(K4328&lt;0,"ATENÇÃO",IF(K4328&lt;=5,"OPORTUNO","MUITO BOM")))</f>
        <v>OPORTUNO</v>
      </c>
      <c r="M4328" s="3">
        <v>0</v>
      </c>
      <c r="N4328" s="3">
        <v>100</v>
      </c>
      <c r="O4328" s="12">
        <v>17.241379310344829</v>
      </c>
    </row>
    <row r="4329" spans="1:15" hidden="1" x14ac:dyDescent="0.25">
      <c r="A4329" s="10">
        <v>46139</v>
      </c>
      <c r="B4329" t="s">
        <v>28</v>
      </c>
      <c r="C4329" s="1" t="s">
        <v>26</v>
      </c>
      <c r="D4329" s="3">
        <v>0</v>
      </c>
      <c r="E4329" s="3">
        <v>0</v>
      </c>
      <c r="F4329" s="3">
        <v>0</v>
      </c>
      <c r="G4329" s="3">
        <v>0</v>
      </c>
      <c r="H4329" s="3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 s="3">
        <v>0</v>
      </c>
      <c r="N4329" s="3">
        <v>96.15</v>
      </c>
      <c r="O4329" s="12">
        <v>24.045801526717561</v>
      </c>
    </row>
    <row r="4330" spans="1:15" hidden="1" x14ac:dyDescent="0.25">
      <c r="A4330" s="10">
        <v>46139</v>
      </c>
      <c r="B4330" t="s">
        <v>58</v>
      </c>
      <c r="C4330" s="1" t="s">
        <v>48</v>
      </c>
      <c r="D4330" s="3">
        <v>10</v>
      </c>
      <c r="E4330" s="3">
        <v>8</v>
      </c>
      <c r="F4330" s="3">
        <v>13.37</v>
      </c>
      <c r="G4330" s="3">
        <v>0</v>
      </c>
      <c r="H4330" s="3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 s="3">
        <v>7</v>
      </c>
      <c r="N4330" s="3">
        <v>99.02</v>
      </c>
      <c r="O4330" s="12">
        <v>34.797297297297298</v>
      </c>
    </row>
    <row r="4331" spans="1:15" hidden="1" x14ac:dyDescent="0.25">
      <c r="A4331" s="10">
        <v>46139</v>
      </c>
      <c r="B4331" t="s">
        <v>29</v>
      </c>
      <c r="C4331" s="1" t="s">
        <v>26</v>
      </c>
      <c r="D4331" s="3">
        <v>8</v>
      </c>
      <c r="E4331" s="3">
        <v>8</v>
      </c>
      <c r="F4331" s="3">
        <v>17.11</v>
      </c>
      <c r="G4331" s="3">
        <v>0</v>
      </c>
      <c r="H4331" s="3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 s="3">
        <v>7</v>
      </c>
      <c r="N4331" s="3">
        <v>98.84</v>
      </c>
      <c r="O4331" s="12">
        <v>31.868131868131869</v>
      </c>
    </row>
    <row r="4332" spans="1:15" hidden="1" x14ac:dyDescent="0.25">
      <c r="A4332" s="10">
        <v>46139</v>
      </c>
      <c r="B4332" t="s">
        <v>30</v>
      </c>
      <c r="C4332" s="1" t="s">
        <v>26</v>
      </c>
      <c r="D4332" s="3">
        <v>11</v>
      </c>
      <c r="E4332" s="3">
        <v>10</v>
      </c>
      <c r="F4332" s="3">
        <v>17.350000000000001</v>
      </c>
      <c r="G4332" s="3">
        <v>0</v>
      </c>
      <c r="H4332" s="3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 s="3">
        <v>8</v>
      </c>
      <c r="N4332" s="3">
        <v>100</v>
      </c>
      <c r="O4332" s="12">
        <v>34.666666666666671</v>
      </c>
    </row>
    <row r="4333" spans="1:15" hidden="1" x14ac:dyDescent="0.25">
      <c r="A4333" s="7">
        <v>46162</v>
      </c>
      <c r="B4333" s="8" t="s">
        <v>54</v>
      </c>
      <c r="C4333" s="1" t="s">
        <v>48</v>
      </c>
      <c r="D4333" s="3">
        <v>24</v>
      </c>
      <c r="E4333" s="3">
        <v>24</v>
      </c>
      <c r="F4333" s="3">
        <v>23.52</v>
      </c>
      <c r="G4333" s="3">
        <v>1</v>
      </c>
      <c r="H4333" s="3">
        <v>0</v>
      </c>
      <c r="I4333" s="3">
        <f>E4333+G4333+H4333</f>
        <v>25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21</v>
      </c>
      <c r="K4333" s="3">
        <f>I4333-J4333</f>
        <v>4</v>
      </c>
      <c r="L4333" s="3" t="str">
        <f>IF(K4333&lt;-5,"CRÍTICO",IF(K4333&lt;0,"ATENÇÃO",IF(K4333&lt;=5,"OPORTUNO","MUITO BOM")))</f>
        <v>OPORTUNO</v>
      </c>
      <c r="M4333" s="3">
        <v>22</v>
      </c>
      <c r="N4333" s="3">
        <v>98.98</v>
      </c>
      <c r="O4333" s="12">
        <v>19.35483870967742</v>
      </c>
    </row>
    <row r="4334" spans="1:15" hidden="1" x14ac:dyDescent="0.25">
      <c r="A4334" s="10">
        <v>46139</v>
      </c>
      <c r="B4334" t="s">
        <v>63</v>
      </c>
      <c r="C4334" s="1" t="s">
        <v>23</v>
      </c>
      <c r="D4334" s="3">
        <v>16</v>
      </c>
      <c r="E4334" s="3">
        <v>14</v>
      </c>
      <c r="F4334" s="3">
        <v>16.46</v>
      </c>
      <c r="G4334" s="3">
        <v>0</v>
      </c>
      <c r="H4334" s="3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 s="3">
        <v>11</v>
      </c>
      <c r="N4334" s="3">
        <v>98.32</v>
      </c>
      <c r="O4334" s="12">
        <v>26.858513189448441</v>
      </c>
    </row>
    <row r="4335" spans="1:15" hidden="1" x14ac:dyDescent="0.25">
      <c r="A4335" s="10">
        <v>46139</v>
      </c>
      <c r="B4335" t="s">
        <v>45</v>
      </c>
      <c r="C4335" s="1" t="s">
        <v>32</v>
      </c>
      <c r="D4335" s="3">
        <v>18</v>
      </c>
      <c r="E4335" s="3">
        <v>16</v>
      </c>
      <c r="F4335" s="3">
        <v>12.28</v>
      </c>
      <c r="G4335" s="3">
        <v>0</v>
      </c>
      <c r="H4335" s="3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 s="3">
        <v>17</v>
      </c>
      <c r="N4335" s="3">
        <v>100</v>
      </c>
      <c r="O4335" s="12">
        <v>31.135531135531139</v>
      </c>
    </row>
    <row r="4336" spans="1:15" hidden="1" x14ac:dyDescent="0.25">
      <c r="A4336" s="10">
        <v>46139</v>
      </c>
      <c r="B4336" t="s">
        <v>64</v>
      </c>
      <c r="C4336" s="1" t="s">
        <v>23</v>
      </c>
      <c r="D4336" s="3">
        <v>10</v>
      </c>
      <c r="E4336" s="3">
        <v>10</v>
      </c>
      <c r="F4336" s="3">
        <v>25.09</v>
      </c>
      <c r="G4336" s="3">
        <v>0</v>
      </c>
      <c r="H4336" s="3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 s="3">
        <v>9</v>
      </c>
      <c r="N4336" s="3">
        <v>100</v>
      </c>
      <c r="O4336" s="12">
        <v>26.36986301369863</v>
      </c>
    </row>
    <row r="4337" spans="1:15" hidden="1" x14ac:dyDescent="0.25">
      <c r="A4337" s="10">
        <v>46139</v>
      </c>
      <c r="B4337" t="s">
        <v>46</v>
      </c>
      <c r="C4337" s="1" t="s">
        <v>32</v>
      </c>
      <c r="D4337" s="3">
        <v>16</v>
      </c>
      <c r="E4337" s="3">
        <v>15</v>
      </c>
      <c r="F4337" s="3">
        <v>16.55</v>
      </c>
      <c r="G4337" s="3">
        <v>0</v>
      </c>
      <c r="H4337" s="3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 s="3">
        <v>14</v>
      </c>
      <c r="N4337" s="3">
        <v>99.21</v>
      </c>
      <c r="O4337" s="12">
        <v>25.188916876574311</v>
      </c>
    </row>
    <row r="4338" spans="1:15" hidden="1" x14ac:dyDescent="0.25">
      <c r="A4338" s="7">
        <v>46162</v>
      </c>
      <c r="B4338" s="8" t="s">
        <v>55</v>
      </c>
      <c r="C4338" s="1" t="s">
        <v>48</v>
      </c>
      <c r="D4338" s="3">
        <v>32</v>
      </c>
      <c r="E4338" s="3">
        <v>26</v>
      </c>
      <c r="F4338" s="3">
        <v>14.11</v>
      </c>
      <c r="G4338" s="3">
        <v>0</v>
      </c>
      <c r="H4338" s="3">
        <v>0</v>
      </c>
      <c r="I4338" s="3">
        <f>E4338+G4338+H4338</f>
        <v>26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21</v>
      </c>
      <c r="K4338" s="3">
        <f>I4338-J4338</f>
        <v>5</v>
      </c>
      <c r="L4338" s="3" t="str">
        <f>IF(K4338&lt;-5,"CRÍTICO",IF(K4338&lt;0,"ATENÇÃO",IF(K4338&lt;=5,"OPORTUNO","MUITO BOM")))</f>
        <v>OPORTUNO</v>
      </c>
      <c r="M4338" s="3">
        <v>23</v>
      </c>
      <c r="N4338" s="3">
        <v>98.94</v>
      </c>
      <c r="O4338" s="12">
        <v>21.270718232044199</v>
      </c>
    </row>
    <row r="4339" spans="1:15" hidden="1" x14ac:dyDescent="0.25">
      <c r="A4339" s="7">
        <v>46162</v>
      </c>
      <c r="B4339" s="8" t="s">
        <v>56</v>
      </c>
      <c r="C4339" s="1" t="s">
        <v>48</v>
      </c>
      <c r="D4339" s="3">
        <v>25</v>
      </c>
      <c r="E4339" s="3">
        <v>23</v>
      </c>
      <c r="F4339" s="3">
        <v>20.02</v>
      </c>
      <c r="G4339" s="3">
        <v>2</v>
      </c>
      <c r="H4339" s="3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21</v>
      </c>
      <c r="K4339" s="3">
        <f>I4339-J4339</f>
        <v>4</v>
      </c>
      <c r="L4339" s="3" t="str">
        <f>IF(K4339&lt;-5,"CRÍTICO",IF(K4339&lt;0,"ATENÇÃO",IF(K4339&lt;=5,"OPORTUNO","MUITO BOM")))</f>
        <v>OPORTUNO</v>
      </c>
      <c r="M4339" s="3">
        <v>19</v>
      </c>
      <c r="N4339" s="3">
        <v>99</v>
      </c>
      <c r="O4339" s="12">
        <v>22.010869565217391</v>
      </c>
    </row>
    <row r="4340" spans="1:15" hidden="1" x14ac:dyDescent="0.25">
      <c r="A4340" s="7">
        <v>46162</v>
      </c>
      <c r="B4340" s="8" t="s">
        <v>57</v>
      </c>
      <c r="C4340" s="1" t="s">
        <v>48</v>
      </c>
      <c r="D4340" s="3">
        <v>16</v>
      </c>
      <c r="E4340" s="3">
        <v>13</v>
      </c>
      <c r="F4340" s="3">
        <v>25.44</v>
      </c>
      <c r="G4340" s="3">
        <v>0</v>
      </c>
      <c r="H4340" s="3">
        <v>0</v>
      </c>
      <c r="I4340" s="3">
        <f>E4340+G4340+H4340</f>
        <v>13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21</v>
      </c>
      <c r="K4340" s="3">
        <f>I4340-J4340</f>
        <v>-8</v>
      </c>
      <c r="L4340" s="3" t="str">
        <f>IF(K4340&lt;-5,"CRÍTICO",IF(K4340&lt;0,"ATENÇÃO",IF(K4340&lt;=5,"OPORTUNO","MUITO BOM")))</f>
        <v>CRÍTICO</v>
      </c>
      <c r="M4340" s="3">
        <v>8</v>
      </c>
      <c r="N4340" s="3">
        <v>100</v>
      </c>
      <c r="O4340" s="12">
        <v>25</v>
      </c>
    </row>
    <row r="4341" spans="1:15" hidden="1" x14ac:dyDescent="0.25">
      <c r="A4341" s="7">
        <v>46162</v>
      </c>
      <c r="B4341" s="8" t="s">
        <v>58</v>
      </c>
      <c r="C4341" s="1" t="s">
        <v>48</v>
      </c>
      <c r="D4341" s="3">
        <v>0</v>
      </c>
      <c r="E4341" s="3">
        <v>0</v>
      </c>
      <c r="F4341" s="3">
        <v>0</v>
      </c>
      <c r="G4341" s="3">
        <v>0</v>
      </c>
      <c r="H4341" s="3">
        <v>0</v>
      </c>
      <c r="I4341" s="3">
        <f>E4341+G4341+H4341</f>
        <v>0</v>
      </c>
      <c r="J4341" s="3">
        <v>0</v>
      </c>
      <c r="K4341" s="3">
        <f>I4341-J4341</f>
        <v>0</v>
      </c>
      <c r="L4341" s="3" t="str">
        <f>IF(K4341&lt;-5,"CRÍTICO",IF(K4341&lt;0,"ATENÇÃO",IF(K4341&lt;=5,"OPORTUNO","MUITO BOM")))</f>
        <v>OPORTUNO</v>
      </c>
      <c r="M4341" s="3">
        <v>0</v>
      </c>
      <c r="N4341" s="3">
        <v>100</v>
      </c>
      <c r="O4341" s="12">
        <v>20.183486238532112</v>
      </c>
    </row>
    <row r="4342" spans="1:15" hidden="1" x14ac:dyDescent="0.25">
      <c r="A4342" s="7">
        <v>46162</v>
      </c>
      <c r="B4342" s="8" t="s">
        <v>59</v>
      </c>
      <c r="C4342" s="1" t="s">
        <v>23</v>
      </c>
      <c r="D4342" s="3">
        <v>26</v>
      </c>
      <c r="E4342" s="3">
        <v>25</v>
      </c>
      <c r="F4342" s="3">
        <v>15.37</v>
      </c>
      <c r="G4342" s="3">
        <v>1</v>
      </c>
      <c r="H4342" s="3">
        <v>0</v>
      </c>
      <c r="I4342" s="3">
        <f>E4342+G4342+H4342</f>
        <v>26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17</v>
      </c>
      <c r="K4342" s="3">
        <f>I4342-J4342</f>
        <v>9</v>
      </c>
      <c r="L4342" s="3" t="str">
        <f>IF(K4342&lt;-5,"CRÍTICO",IF(K4342&lt;0,"ATENÇÃO",IF(K4342&lt;=5,"OPORTUNO","MUITO BOM")))</f>
        <v>MUITO BOM</v>
      </c>
      <c r="M4342" s="3">
        <v>27</v>
      </c>
      <c r="N4342" s="3">
        <v>96.25</v>
      </c>
      <c r="O4342" s="12">
        <v>25.586353944562902</v>
      </c>
    </row>
    <row r="4343" spans="1:15" hidden="1" x14ac:dyDescent="0.25">
      <c r="A4343" s="7">
        <v>46162</v>
      </c>
      <c r="B4343" s="8" t="s">
        <v>60</v>
      </c>
      <c r="C4343" s="1" t="s">
        <v>23</v>
      </c>
      <c r="D4343" s="3">
        <v>23</v>
      </c>
      <c r="E4343" s="3">
        <v>23</v>
      </c>
      <c r="F4343" s="3">
        <v>15.5</v>
      </c>
      <c r="G4343" s="3">
        <v>1</v>
      </c>
      <c r="H4343" s="3">
        <v>0</v>
      </c>
      <c r="I4343" s="3">
        <f>E4343+G4343+H4343</f>
        <v>24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17</v>
      </c>
      <c r="K4343" s="3">
        <f>I4343-J4343</f>
        <v>7</v>
      </c>
      <c r="L4343" s="3" t="str">
        <f>IF(K4343&lt;-5,"CRÍTICO",IF(K4343&lt;0,"ATENÇÃO",IF(K4343&lt;=5,"OPORTUNO","MUITO BOM")))</f>
        <v>MUITO BOM</v>
      </c>
      <c r="M4343" s="3">
        <v>22</v>
      </c>
      <c r="N4343" s="3">
        <v>97.48</v>
      </c>
      <c r="O4343" s="12">
        <v>22.99465240641711</v>
      </c>
    </row>
    <row r="4344" spans="1:15" hidden="1" x14ac:dyDescent="0.25">
      <c r="A4344" s="7">
        <v>46162</v>
      </c>
      <c r="B4344" s="8" t="s">
        <v>61</v>
      </c>
      <c r="C4344" s="1" t="s">
        <v>23</v>
      </c>
      <c r="D4344" s="3">
        <v>17</v>
      </c>
      <c r="E4344" s="3">
        <v>14</v>
      </c>
      <c r="F4344" s="3">
        <v>15.58</v>
      </c>
      <c r="G4344" s="3">
        <v>2</v>
      </c>
      <c r="H4344" s="3">
        <v>0</v>
      </c>
      <c r="I4344" s="3">
        <f>E4344+G4344+H4344</f>
        <v>16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17</v>
      </c>
      <c r="K4344" s="3">
        <f>I4344-J4344</f>
        <v>-1</v>
      </c>
      <c r="L4344" s="3" t="str">
        <f>IF(K4344&lt;-5,"CRÍTICO",IF(K4344&lt;0,"ATENÇÃO",IF(K4344&lt;=5,"OPORTUNO","MUITO BOM")))</f>
        <v>ATENÇÃO</v>
      </c>
      <c r="M4344" s="3">
        <v>13</v>
      </c>
      <c r="N4344" s="3">
        <v>100</v>
      </c>
      <c r="O4344" s="12">
        <v>20.788530465949819</v>
      </c>
    </row>
    <row r="4345" spans="1:15" hidden="1" x14ac:dyDescent="0.25">
      <c r="A4345" s="7">
        <v>46162</v>
      </c>
      <c r="B4345" s="8" t="s">
        <v>62</v>
      </c>
      <c r="C4345" s="1" t="s">
        <v>23</v>
      </c>
      <c r="D4345" s="3">
        <v>18</v>
      </c>
      <c r="E4345" s="3">
        <v>17</v>
      </c>
      <c r="F4345" s="3">
        <v>15.33</v>
      </c>
      <c r="G4345" s="3">
        <v>1</v>
      </c>
      <c r="H4345" s="3">
        <v>0</v>
      </c>
      <c r="I4345" s="3">
        <f>E4345+G4345+H4345</f>
        <v>18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17</v>
      </c>
      <c r="K4345" s="3">
        <f>I4345-J4345</f>
        <v>1</v>
      </c>
      <c r="L4345" s="3" t="str">
        <f>IF(K4345&lt;-5,"CRÍTICO",IF(K4345&lt;0,"ATENÇÃO",IF(K4345&lt;=5,"OPORTUNO","MUITO BOM")))</f>
        <v>OPORTUNO</v>
      </c>
      <c r="M4345" s="3">
        <v>16</v>
      </c>
      <c r="N4345" s="3">
        <v>94.55</v>
      </c>
      <c r="O4345" s="12">
        <v>23.450134770889491</v>
      </c>
    </row>
    <row r="4346" spans="1:15" hidden="1" x14ac:dyDescent="0.25">
      <c r="A4346" s="7">
        <v>46162</v>
      </c>
      <c r="B4346" s="8" t="s">
        <v>63</v>
      </c>
      <c r="C4346" s="1" t="s">
        <v>23</v>
      </c>
      <c r="D4346" s="3">
        <v>25</v>
      </c>
      <c r="E4346" s="3">
        <v>24</v>
      </c>
      <c r="F4346" s="3">
        <v>17.059999999999999</v>
      </c>
      <c r="G4346" s="3">
        <v>1</v>
      </c>
      <c r="H4346" s="3">
        <v>0</v>
      </c>
      <c r="I4346" s="3">
        <f>E4346+G4346+H4346</f>
        <v>25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17</v>
      </c>
      <c r="K4346" s="3">
        <f>I4346-J4346</f>
        <v>8</v>
      </c>
      <c r="L4346" s="3" t="str">
        <f>IF(K4346&lt;-5,"CRÍTICO",IF(K4346&lt;0,"ATENÇÃO",IF(K4346&lt;=5,"OPORTUNO","MUITO BOM")))</f>
        <v>MUITO BOM</v>
      </c>
      <c r="M4346" s="3">
        <v>18</v>
      </c>
      <c r="N4346" s="3">
        <v>98</v>
      </c>
      <c r="O4346" s="12">
        <v>20.73490813648294</v>
      </c>
    </row>
    <row r="4347" spans="1:15" hidden="1" x14ac:dyDescent="0.25">
      <c r="A4347" s="7">
        <v>46162</v>
      </c>
      <c r="B4347" s="8" t="s">
        <v>64</v>
      </c>
      <c r="C4347" s="1" t="s">
        <v>23</v>
      </c>
      <c r="D4347" s="3">
        <v>17</v>
      </c>
      <c r="E4347" s="3">
        <v>17</v>
      </c>
      <c r="F4347" s="3">
        <v>34.04</v>
      </c>
      <c r="G4347" s="3">
        <v>1</v>
      </c>
      <c r="H4347" s="3">
        <v>0</v>
      </c>
      <c r="I4347" s="3">
        <f>E4347+G4347+H4347</f>
        <v>18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17</v>
      </c>
      <c r="K4347" s="3">
        <f>I4347-J4347</f>
        <v>1</v>
      </c>
      <c r="L4347" s="3" t="str">
        <f>IF(K4347&lt;-5,"CRÍTICO",IF(K4347&lt;0,"ATENÇÃO",IF(K4347&lt;=5,"OPORTUNO","MUITO BOM")))</f>
        <v>OPORTUNO</v>
      </c>
      <c r="M4347" s="3">
        <v>14</v>
      </c>
      <c r="N4347" s="3">
        <v>100</v>
      </c>
      <c r="O4347" s="12">
        <v>18</v>
      </c>
    </row>
    <row r="4348" spans="1:15" hidden="1" x14ac:dyDescent="0.25">
      <c r="A4348" s="7">
        <v>46162</v>
      </c>
      <c r="B4348" s="8" t="s">
        <v>22</v>
      </c>
      <c r="C4348" s="1" t="s">
        <v>23</v>
      </c>
      <c r="D4348" s="3">
        <v>26</v>
      </c>
      <c r="E4348" s="3">
        <v>20</v>
      </c>
      <c r="F4348" s="3">
        <v>15.09</v>
      </c>
      <c r="G4348" s="3">
        <v>5</v>
      </c>
      <c r="H4348" s="3">
        <v>2</v>
      </c>
      <c r="I4348" s="3">
        <f>E4348+G4348+H4348</f>
        <v>27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17</v>
      </c>
      <c r="K4348" s="3">
        <f>I4348-J4348</f>
        <v>10</v>
      </c>
      <c r="L4348" s="3" t="str">
        <f>IF(K4348&lt;-5,"CRÍTICO",IF(K4348&lt;0,"ATENÇÃO",IF(K4348&lt;=5,"OPORTUNO","MUITO BOM")))</f>
        <v>MUITO BOM</v>
      </c>
      <c r="M4348" s="3">
        <v>21</v>
      </c>
      <c r="N4348" s="3">
        <v>99.06</v>
      </c>
      <c r="O4348" s="12">
        <v>19.417475728155338</v>
      </c>
    </row>
    <row r="4349" spans="1:15" hidden="1" x14ac:dyDescent="0.25">
      <c r="A4349" s="7">
        <v>46162</v>
      </c>
      <c r="B4349" s="8" t="s">
        <v>43</v>
      </c>
      <c r="C4349" s="1" t="s">
        <v>32</v>
      </c>
      <c r="D4349" s="3">
        <v>0</v>
      </c>
      <c r="E4349" s="3">
        <v>0</v>
      </c>
      <c r="F4349" s="3">
        <v>0</v>
      </c>
      <c r="G4349" s="3">
        <v>0</v>
      </c>
      <c r="H4349" s="3">
        <v>25</v>
      </c>
      <c r="I4349" s="3">
        <f>E4349+G4349+H4349</f>
        <v>25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26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M4349" s="3">
        <v>16</v>
      </c>
      <c r="N4349" s="3">
        <v>98.39</v>
      </c>
      <c r="O4349" s="12">
        <v>8.7999999999999989</v>
      </c>
    </row>
    <row r="4350" spans="1:15" x14ac:dyDescent="0.25">
      <c r="A4350" s="10">
        <v>46143</v>
      </c>
      <c r="B4350" t="s">
        <v>28</v>
      </c>
      <c r="C4350" s="1" t="s">
        <v>26</v>
      </c>
      <c r="D4350" s="3">
        <v>0</v>
      </c>
      <c r="E4350" s="3">
        <v>0</v>
      </c>
      <c r="F4350" s="3">
        <v>0</v>
      </c>
      <c r="G4350" s="3">
        <v>0</v>
      </c>
      <c r="H4350" s="3">
        <v>0</v>
      </c>
      <c r="I4350" s="3">
        <f>E4350+G4350+H4350</f>
        <v>0</v>
      </c>
      <c r="J4350" s="3">
        <v>0</v>
      </c>
      <c r="K4350" s="3">
        <f>I4350-J4350</f>
        <v>0</v>
      </c>
      <c r="L4350" s="3" t="str">
        <f>IF(K4350&lt;-5,"CRÍTICO",IF(K4350&lt;0,"ATENÇÃO",IF(K4350&lt;=5,"OPORTUNO","MUITO BOM")))</f>
        <v>OPORTUNO</v>
      </c>
      <c r="M4350" s="3">
        <v>0</v>
      </c>
      <c r="N4350" s="3">
        <v>96.83</v>
      </c>
      <c r="O4350" s="12">
        <v>20.94017094017094</v>
      </c>
    </row>
    <row r="4351" spans="1:15" x14ac:dyDescent="0.25">
      <c r="A4351" s="5">
        <v>46146</v>
      </c>
      <c r="B4351" s="6" t="s">
        <v>28</v>
      </c>
      <c r="C4351" s="1" t="s">
        <v>26</v>
      </c>
      <c r="D4351" s="3">
        <v>42</v>
      </c>
      <c r="E4351" s="3">
        <v>23</v>
      </c>
      <c r="F4351" s="3">
        <v>8.34</v>
      </c>
      <c r="G4351" s="3">
        <v>0</v>
      </c>
      <c r="H4351" s="3">
        <v>0</v>
      </c>
      <c r="I4351" s="3">
        <f>E4351+G4351+H4351</f>
        <v>23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20</v>
      </c>
      <c r="K4351" s="3">
        <f>I4351-J4351</f>
        <v>3</v>
      </c>
      <c r="L4351" s="3" t="str">
        <f>IF(K4351&lt;-5,"CRÍTICO",IF(K4351&lt;0,"ATENÇÃO",IF(K4351&lt;=5,"OPORTUNO","MUITO BOM")))</f>
        <v>OPORTUNO</v>
      </c>
      <c r="M4351" s="3">
        <v>19</v>
      </c>
      <c r="N4351" s="3">
        <v>96.83</v>
      </c>
      <c r="O4351" s="12">
        <v>20.94017094017094</v>
      </c>
    </row>
    <row r="4352" spans="1:15" x14ac:dyDescent="0.25">
      <c r="A4352" s="5">
        <v>46147</v>
      </c>
      <c r="B4352" s="6" t="s">
        <v>28</v>
      </c>
      <c r="C4352" s="1" t="s">
        <v>26</v>
      </c>
      <c r="D4352" s="3">
        <v>56</v>
      </c>
      <c r="E4352" s="3">
        <v>34</v>
      </c>
      <c r="F4352" s="3">
        <v>11.53</v>
      </c>
      <c r="G4352" s="3">
        <v>0</v>
      </c>
      <c r="H4352" s="3">
        <v>0</v>
      </c>
      <c r="I4352" s="3">
        <f>E4352+G4352+H4352</f>
        <v>34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20</v>
      </c>
      <c r="K4352" s="3">
        <f>I4352-J4352</f>
        <v>14</v>
      </c>
      <c r="L4352" s="3" t="str">
        <f>IF(K4352&lt;-5,"CRÍTICO",IF(K4352&lt;0,"ATENÇÃO",IF(K4352&lt;=5,"OPORTUNO","MUITO BOM")))</f>
        <v>MUITO BOM</v>
      </c>
      <c r="M4352" s="3">
        <v>22</v>
      </c>
      <c r="N4352" s="3">
        <v>96.83</v>
      </c>
      <c r="O4352" s="12">
        <v>20.94017094017094</v>
      </c>
    </row>
    <row r="4353" spans="1:15" x14ac:dyDescent="0.25">
      <c r="A4353" s="5">
        <v>46148</v>
      </c>
      <c r="B4353" s="6" t="s">
        <v>28</v>
      </c>
      <c r="C4353" s="1" t="s">
        <v>26</v>
      </c>
      <c r="D4353" s="3">
        <v>0</v>
      </c>
      <c r="E4353" s="3">
        <v>0</v>
      </c>
      <c r="F4353" s="3">
        <v>0</v>
      </c>
      <c r="G4353" s="3">
        <v>0</v>
      </c>
      <c r="H4353" s="3">
        <v>0</v>
      </c>
      <c r="I4353" s="3">
        <f>E4353+G4353+H4353</f>
        <v>0</v>
      </c>
      <c r="J4353" s="3">
        <v>0</v>
      </c>
      <c r="K4353" s="3">
        <f>I4353-J4353</f>
        <v>0</v>
      </c>
      <c r="L4353" s="3" t="str">
        <f>IF(K4353&lt;-5,"CRÍTICO",IF(K4353&lt;0,"ATENÇÃO",IF(K4353&lt;=5,"OPORTUNO","MUITO BOM")))</f>
        <v>OPORTUNO</v>
      </c>
      <c r="M4353" s="3">
        <v>0</v>
      </c>
      <c r="N4353" s="3">
        <v>96.83</v>
      </c>
      <c r="O4353" s="12">
        <v>20.94017094017094</v>
      </c>
    </row>
    <row r="4354" spans="1:15" x14ac:dyDescent="0.25">
      <c r="A4354" s="5">
        <v>46149</v>
      </c>
      <c r="B4354" s="6" t="s">
        <v>28</v>
      </c>
      <c r="C4354" s="1" t="s">
        <v>26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f>E4354+G4354+H4354</f>
        <v>0</v>
      </c>
      <c r="J4354" s="3">
        <v>0</v>
      </c>
      <c r="K4354" s="3">
        <f>I4354-J4354</f>
        <v>0</v>
      </c>
      <c r="L4354" s="3" t="str">
        <f>IF(K4354&lt;-5,"CRÍTICO",IF(K4354&lt;0,"ATENÇÃO",IF(K4354&lt;=5,"OPORTUNO","MUITO BOM")))</f>
        <v>OPORTUNO</v>
      </c>
      <c r="M4354" s="3">
        <v>0</v>
      </c>
      <c r="N4354" s="3">
        <v>96.83</v>
      </c>
      <c r="O4354" s="12">
        <v>20.94017094017094</v>
      </c>
    </row>
    <row r="4355" spans="1:15" x14ac:dyDescent="0.25">
      <c r="A4355" s="5">
        <v>46150</v>
      </c>
      <c r="B4355" s="6" t="s">
        <v>28</v>
      </c>
      <c r="C4355" s="1" t="s">
        <v>26</v>
      </c>
      <c r="D4355" s="3">
        <v>53</v>
      </c>
      <c r="E4355" s="3">
        <v>26</v>
      </c>
      <c r="F4355" s="3">
        <v>5.5</v>
      </c>
      <c r="G4355" s="3">
        <v>0</v>
      </c>
      <c r="H4355" s="3">
        <v>0</v>
      </c>
      <c r="I4355" s="3">
        <f>E4355+G4355+H4355</f>
        <v>26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16</v>
      </c>
      <c r="K4355" s="3">
        <f>I4355-J4355</f>
        <v>10</v>
      </c>
      <c r="L4355" s="3" t="str">
        <f>IF(K4355&lt;-5,"CRÍTICO",IF(K4355&lt;0,"ATENÇÃO",IF(K4355&lt;=5,"OPORTUNO","MUITO BOM")))</f>
        <v>MUITO BOM</v>
      </c>
      <c r="M4355" s="3">
        <v>20</v>
      </c>
      <c r="N4355" s="3">
        <v>96.83</v>
      </c>
      <c r="O4355" s="12">
        <v>20.94017094017094</v>
      </c>
    </row>
    <row r="4356" spans="1:15" x14ac:dyDescent="0.25">
      <c r="A4356" s="5">
        <v>46153</v>
      </c>
      <c r="B4356" s="6" t="s">
        <v>28</v>
      </c>
      <c r="C4356" s="1" t="s">
        <v>26</v>
      </c>
      <c r="D4356" s="3">
        <v>44</v>
      </c>
      <c r="E4356" s="3">
        <v>23</v>
      </c>
      <c r="F4356" s="3">
        <v>10.02</v>
      </c>
      <c r="G4356" s="3">
        <v>0</v>
      </c>
      <c r="H4356" s="3">
        <v>0</v>
      </c>
      <c r="I4356" s="3">
        <f>E4356+G4356+H4356</f>
        <v>23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17</v>
      </c>
      <c r="K4356" s="3">
        <f>I4356-J4356</f>
        <v>6</v>
      </c>
      <c r="L4356" s="3" t="str">
        <f>IF(K4356&lt;-5,"CRÍTICO",IF(K4356&lt;0,"ATENÇÃO",IF(K4356&lt;=5,"OPORTUNO","MUITO BOM")))</f>
        <v>MUITO BOM</v>
      </c>
      <c r="M4356" s="3">
        <v>13</v>
      </c>
      <c r="N4356" s="3">
        <v>96.83</v>
      </c>
      <c r="O4356" s="12">
        <v>20.94017094017094</v>
      </c>
    </row>
    <row r="4357" spans="1:15" x14ac:dyDescent="0.25">
      <c r="A4357" s="5">
        <v>46154</v>
      </c>
      <c r="B4357" s="6" t="s">
        <v>28</v>
      </c>
      <c r="C4357" s="1" t="s">
        <v>26</v>
      </c>
      <c r="D4357" s="3">
        <v>47</v>
      </c>
      <c r="E4357" s="3">
        <v>23</v>
      </c>
      <c r="F4357" s="3">
        <v>8.3800000000000008</v>
      </c>
      <c r="G4357" s="3">
        <v>0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18</v>
      </c>
      <c r="K4357" s="3">
        <f>I4357-J4357</f>
        <v>5</v>
      </c>
      <c r="L4357" s="3" t="str">
        <f>IF(K4357&lt;-5,"CRÍTICO",IF(K4357&lt;0,"ATENÇÃO",IF(K4357&lt;=5,"OPORTUNO","MUITO BOM")))</f>
        <v>OPORTUNO</v>
      </c>
      <c r="M4357" s="3">
        <v>15</v>
      </c>
      <c r="N4357" s="3">
        <v>96.83</v>
      </c>
      <c r="O4357" s="12">
        <v>20.94017094017094</v>
      </c>
    </row>
    <row r="4358" spans="1:15" x14ac:dyDescent="0.25">
      <c r="A4358" s="5">
        <v>46155</v>
      </c>
      <c r="B4358" s="6" t="s">
        <v>28</v>
      </c>
      <c r="C4358" s="1" t="s">
        <v>26</v>
      </c>
      <c r="D4358" s="3">
        <v>27</v>
      </c>
      <c r="E4358" s="3">
        <v>24</v>
      </c>
      <c r="F4358" s="3">
        <v>17.14</v>
      </c>
      <c r="G4358" s="3">
        <v>1</v>
      </c>
      <c r="H4358" s="3">
        <v>0</v>
      </c>
      <c r="I4358" s="3">
        <f>E4358+G4358+H4358</f>
        <v>25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16</v>
      </c>
      <c r="K4358" s="3">
        <f>I4358-J4358</f>
        <v>9</v>
      </c>
      <c r="L4358" s="3" t="str">
        <f>IF(K4358&lt;-5,"CRÍTICO",IF(K4358&lt;0,"ATENÇÃO",IF(K4358&lt;=5,"OPORTUNO","MUITO BOM")))</f>
        <v>MUITO BOM</v>
      </c>
      <c r="M4358" s="3">
        <v>18</v>
      </c>
      <c r="N4358" s="3">
        <v>96.83</v>
      </c>
      <c r="O4358" s="12">
        <v>20.94017094017094</v>
      </c>
    </row>
    <row r="4359" spans="1:15" x14ac:dyDescent="0.25">
      <c r="A4359" s="5">
        <v>46156</v>
      </c>
      <c r="B4359" s="6" t="s">
        <v>28</v>
      </c>
      <c r="C4359" s="1" t="s">
        <v>26</v>
      </c>
      <c r="D4359" s="3">
        <v>26</v>
      </c>
      <c r="E4359" s="3">
        <v>19</v>
      </c>
      <c r="F4359" s="3">
        <v>12.17</v>
      </c>
      <c r="G4359" s="3">
        <v>4</v>
      </c>
      <c r="H4359" s="3">
        <v>0</v>
      </c>
      <c r="I4359" s="3">
        <f>E4359+G4359+H4359</f>
        <v>23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16</v>
      </c>
      <c r="K4359" s="3">
        <f>I4359-J4359</f>
        <v>7</v>
      </c>
      <c r="L4359" s="3" t="str">
        <f>IF(K4359&lt;-5,"CRÍTICO",IF(K4359&lt;0,"ATENÇÃO",IF(K4359&lt;=5,"OPORTUNO","MUITO BOM")))</f>
        <v>MUITO BOM</v>
      </c>
      <c r="M4359" s="3">
        <v>15</v>
      </c>
      <c r="N4359" s="3">
        <v>96.83</v>
      </c>
      <c r="O4359" s="12">
        <v>20.94017094017094</v>
      </c>
    </row>
    <row r="4360" spans="1:15" x14ac:dyDescent="0.25">
      <c r="A4360" s="5">
        <v>46157</v>
      </c>
      <c r="B4360" s="6" t="s">
        <v>28</v>
      </c>
      <c r="C4360" s="1" t="s">
        <v>26</v>
      </c>
      <c r="D4360" s="3">
        <v>29</v>
      </c>
      <c r="E4360" s="3">
        <v>21</v>
      </c>
      <c r="F4360" s="3">
        <v>13.55</v>
      </c>
      <c r="G4360" s="3">
        <v>2</v>
      </c>
      <c r="H4360" s="3">
        <v>0</v>
      </c>
      <c r="I4360" s="3">
        <f>E4360+G4360+H4360</f>
        <v>23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17</v>
      </c>
      <c r="K4360" s="3">
        <f>I4360-J4360</f>
        <v>6</v>
      </c>
      <c r="L4360" s="3" t="str">
        <f>IF(K4360&lt;-5,"CRÍTICO",IF(K4360&lt;0,"ATENÇÃO",IF(K4360&lt;=5,"OPORTUNO","MUITO BOM")))</f>
        <v>MUITO BOM</v>
      </c>
      <c r="M4360" s="3">
        <v>19</v>
      </c>
      <c r="N4360" s="3">
        <v>96.83</v>
      </c>
      <c r="O4360" s="12">
        <v>20.94017094017094</v>
      </c>
    </row>
    <row r="4361" spans="1:15" x14ac:dyDescent="0.25">
      <c r="A4361" s="5">
        <v>46160</v>
      </c>
      <c r="B4361" s="6" t="s">
        <v>28</v>
      </c>
      <c r="C4361" s="1" t="s">
        <v>26</v>
      </c>
      <c r="D4361" s="3">
        <v>11</v>
      </c>
      <c r="E4361" s="3">
        <v>9</v>
      </c>
      <c r="F4361" s="3">
        <v>13.56</v>
      </c>
      <c r="G4361" s="3">
        <v>1</v>
      </c>
      <c r="H4361" s="3">
        <v>0</v>
      </c>
      <c r="I4361" s="3">
        <f>E4361+G4361+H4361</f>
        <v>10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15</v>
      </c>
      <c r="K4361" s="3">
        <f>I4361-J4361</f>
        <v>-5</v>
      </c>
      <c r="L4361" s="3" t="str">
        <f>IF(K4361&lt;-5,"CRÍTICO",IF(K4361&lt;0,"ATENÇÃO",IF(K4361&lt;=5,"OPORTUNO","MUITO BOM")))</f>
        <v>ATENÇÃO</v>
      </c>
      <c r="M4361" s="3">
        <v>6</v>
      </c>
      <c r="N4361" s="3">
        <v>96.83</v>
      </c>
      <c r="O4361" s="12">
        <v>20.94017094017094</v>
      </c>
    </row>
    <row r="4362" spans="1:15" hidden="1" x14ac:dyDescent="0.25">
      <c r="A4362" s="5">
        <v>46163</v>
      </c>
      <c r="B4362" s="6" t="s">
        <v>31</v>
      </c>
      <c r="C4362" s="1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f>E4362+G4362+H4362</f>
        <v>0</v>
      </c>
      <c r="J4362" s="3">
        <v>0</v>
      </c>
      <c r="K4362" s="3">
        <f>I4362-J4362</f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100</v>
      </c>
      <c r="O4362" s="12">
        <v>0</v>
      </c>
    </row>
    <row r="4363" spans="1:15" hidden="1" x14ac:dyDescent="0.25">
      <c r="A4363" s="5">
        <v>46163</v>
      </c>
      <c r="B4363" s="6" t="s">
        <v>33</v>
      </c>
      <c r="C4363" s="1" t="s">
        <v>32</v>
      </c>
      <c r="D4363" s="3">
        <v>17</v>
      </c>
      <c r="E4363" s="3">
        <v>15</v>
      </c>
      <c r="F4363" s="3">
        <v>20.239999999999998</v>
      </c>
      <c r="G4363" s="3">
        <v>0</v>
      </c>
      <c r="H4363" s="3">
        <v>0</v>
      </c>
      <c r="I4363" s="3">
        <f>E4363+G4363+H4363</f>
        <v>15</v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>22</v>
      </c>
      <c r="K4363" s="3">
        <f>I4363-J4363</f>
        <v>-7</v>
      </c>
      <c r="L4363" s="3" t="str">
        <f>IF(K4363&lt;-5,"CRÍTICO",IF(K4363&lt;0,"ATENÇÃO",IF(K4363&lt;=5,"OPORTUNO","MUITO BOM")))</f>
        <v>CRÍTICO</v>
      </c>
      <c r="M4363" s="3">
        <v>13</v>
      </c>
      <c r="N4363" s="3">
        <v>96.94</v>
      </c>
      <c r="O4363" s="12">
        <v>19.613259668508292</v>
      </c>
    </row>
    <row r="4364" spans="1:15" hidden="1" x14ac:dyDescent="0.25">
      <c r="A4364" s="5">
        <v>46163</v>
      </c>
      <c r="B4364" s="6" t="s">
        <v>34</v>
      </c>
      <c r="C4364" s="1" t="s">
        <v>32</v>
      </c>
      <c r="D4364" s="3">
        <v>22</v>
      </c>
      <c r="E4364" s="3">
        <v>22</v>
      </c>
      <c r="F4364" s="3">
        <v>13.42</v>
      </c>
      <c r="G4364" s="3">
        <v>0</v>
      </c>
      <c r="H4364" s="3">
        <v>0</v>
      </c>
      <c r="I4364" s="3">
        <f>E4364+G4364+H4364</f>
        <v>22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22</v>
      </c>
      <c r="K4364" s="3">
        <f>I4364-J4364</f>
        <v>0</v>
      </c>
      <c r="L4364" s="3" t="str">
        <f>IF(K4364&lt;-5,"CRÍTICO",IF(K4364&lt;0,"ATENÇÃO",IF(K4364&lt;=5,"OPORTUNO","MUITO BOM")))</f>
        <v>OPORTUNO</v>
      </c>
      <c r="M4364" s="3">
        <v>20</v>
      </c>
      <c r="N4364" s="3">
        <v>92.81</v>
      </c>
      <c r="O4364" s="12">
        <v>25.477707006369432</v>
      </c>
    </row>
    <row r="4365" spans="1:15" hidden="1" x14ac:dyDescent="0.25">
      <c r="A4365" s="5">
        <v>46163</v>
      </c>
      <c r="B4365" s="6" t="s">
        <v>35</v>
      </c>
      <c r="C4365" s="1" t="s">
        <v>32</v>
      </c>
      <c r="D4365" s="3">
        <v>0</v>
      </c>
      <c r="E4365" s="3">
        <v>0</v>
      </c>
      <c r="F4365" s="3">
        <v>0</v>
      </c>
      <c r="G4365" s="3">
        <v>0</v>
      </c>
      <c r="H4365" s="3">
        <v>0</v>
      </c>
      <c r="I4365" s="3">
        <f>E4365+G4365+H4365</f>
        <v>0</v>
      </c>
      <c r="J4365" s="3">
        <v>0</v>
      </c>
      <c r="K4365" s="3">
        <f>I4365-J4365</f>
        <v>0</v>
      </c>
      <c r="L4365" s="3" t="str">
        <f>IF(K4365&lt;-5,"CRÍTICO",IF(K4365&lt;0,"ATENÇÃO",IF(K4365&lt;=5,"OPORTUNO","MUITO BOM")))</f>
        <v>OPORTUNO</v>
      </c>
      <c r="M4365" s="3">
        <v>0</v>
      </c>
      <c r="N4365" s="3">
        <v>99.19</v>
      </c>
      <c r="O4365" s="12">
        <v>28.404669260700391</v>
      </c>
    </row>
    <row r="4366" spans="1:15" hidden="1" x14ac:dyDescent="0.25">
      <c r="A4366" s="5">
        <v>46163</v>
      </c>
      <c r="B4366" s="6" t="s">
        <v>36</v>
      </c>
      <c r="C4366" s="1" t="s">
        <v>32</v>
      </c>
      <c r="D4366" s="3">
        <v>0</v>
      </c>
      <c r="E4366" s="3">
        <v>0</v>
      </c>
      <c r="F4366" s="3">
        <v>0</v>
      </c>
      <c r="G4366" s="3">
        <v>0</v>
      </c>
      <c r="H4366" s="3">
        <v>0</v>
      </c>
      <c r="I4366" s="3">
        <f>E4366+G4366+H4366</f>
        <v>0</v>
      </c>
      <c r="J4366" s="3">
        <v>0</v>
      </c>
      <c r="K4366" s="3">
        <f>I4366-J4366</f>
        <v>0</v>
      </c>
      <c r="L4366" s="3" t="str">
        <f>IF(K4366&lt;-5,"CRÍTICO",IF(K4366&lt;0,"ATENÇÃO",IF(K4366&lt;=5,"OPORTUNO","MUITO BOM")))</f>
        <v>OPORTUNO</v>
      </c>
      <c r="M4366" s="3">
        <v>0</v>
      </c>
      <c r="N4366" s="3">
        <v>100</v>
      </c>
      <c r="O4366" s="12">
        <v>13.51351351351351</v>
      </c>
    </row>
    <row r="4367" spans="1:15" hidden="1" x14ac:dyDescent="0.25">
      <c r="A4367" s="5">
        <v>46163</v>
      </c>
      <c r="B4367" s="6" t="s">
        <v>37</v>
      </c>
      <c r="C4367" s="1" t="s">
        <v>32</v>
      </c>
      <c r="D4367" s="3">
        <v>31</v>
      </c>
      <c r="E4367" s="3">
        <v>28</v>
      </c>
      <c r="F4367" s="3">
        <v>13.35</v>
      </c>
      <c r="G4367" s="3">
        <v>2</v>
      </c>
      <c r="H4367" s="3">
        <v>0</v>
      </c>
      <c r="I4367" s="3">
        <f>E4367+G4367+H4367</f>
        <v>30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22</v>
      </c>
      <c r="K4367" s="3">
        <f>I4367-J4367</f>
        <v>8</v>
      </c>
      <c r="L4367" s="3" t="str">
        <f>IF(K4367&lt;-5,"CRÍTICO",IF(K4367&lt;0,"ATENÇÃO",IF(K4367&lt;=5,"OPORTUNO","MUITO BOM")))</f>
        <v>MUITO BOM</v>
      </c>
      <c r="M4367" s="3">
        <v>28</v>
      </c>
      <c r="N4367" s="3">
        <v>99</v>
      </c>
      <c r="O4367" s="12">
        <v>22.27414330218069</v>
      </c>
    </row>
    <row r="4368" spans="1:15" hidden="1" x14ac:dyDescent="0.25">
      <c r="A4368" s="5">
        <v>46163</v>
      </c>
      <c r="B4368" s="6" t="s">
        <v>38</v>
      </c>
      <c r="C4368" s="1" t="s">
        <v>32</v>
      </c>
      <c r="D4368" s="3">
        <v>10</v>
      </c>
      <c r="E4368" s="3">
        <v>10</v>
      </c>
      <c r="F4368" s="3">
        <v>19.12</v>
      </c>
      <c r="G4368" s="3">
        <v>2</v>
      </c>
      <c r="H4368" s="3">
        <v>0</v>
      </c>
      <c r="I4368" s="3">
        <f>E4368+G4368+H4368</f>
        <v>12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22</v>
      </c>
      <c r="K4368" s="3">
        <f>I4368-J4368</f>
        <v>-10</v>
      </c>
      <c r="L4368" s="3" t="str">
        <f>IF(K4368&lt;-5,"CRÍTICO",IF(K4368&lt;0,"ATENÇÃO",IF(K4368&lt;=5,"OPORTUNO","MUITO BOM")))</f>
        <v>CRÍTICO</v>
      </c>
      <c r="M4368" s="3">
        <v>10</v>
      </c>
      <c r="N4368" s="3">
        <v>97.04</v>
      </c>
      <c r="O4368" s="12">
        <v>29.828850855745721</v>
      </c>
    </row>
    <row r="4369" spans="1:15" hidden="1" x14ac:dyDescent="0.25">
      <c r="A4369" s="5">
        <v>46163</v>
      </c>
      <c r="B4369" s="6" t="s">
        <v>39</v>
      </c>
      <c r="C4369" s="1" t="s">
        <v>32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f>E4369+G4369+H4369</f>
        <v>0</v>
      </c>
      <c r="J4369" s="3">
        <v>0</v>
      </c>
      <c r="K4369" s="3">
        <f>I4369-J4369</f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0</v>
      </c>
      <c r="O4369" s="12">
        <v>0</v>
      </c>
    </row>
    <row r="4370" spans="1:15" hidden="1" x14ac:dyDescent="0.25">
      <c r="A4370" s="5">
        <v>46163</v>
      </c>
      <c r="B4370" s="6" t="s">
        <v>40</v>
      </c>
      <c r="C4370" s="1" t="s">
        <v>32</v>
      </c>
      <c r="D4370" s="3">
        <v>21</v>
      </c>
      <c r="E4370" s="3">
        <v>20</v>
      </c>
      <c r="F4370" s="3">
        <v>23.33</v>
      </c>
      <c r="G4370" s="3">
        <v>1</v>
      </c>
      <c r="H4370" s="3">
        <v>0</v>
      </c>
      <c r="I4370" s="3">
        <f>E4370+G4370+H4370</f>
        <v>21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22</v>
      </c>
      <c r="K4370" s="3">
        <f>I4370-J4370</f>
        <v>-1</v>
      </c>
      <c r="L4370" s="3" t="str">
        <f>IF(K4370&lt;-5,"CRÍTICO",IF(K4370&lt;0,"ATENÇÃO",IF(K4370&lt;=5,"OPORTUNO","MUITO BOM")))</f>
        <v>ATENÇÃO</v>
      </c>
      <c r="M4370" s="3">
        <v>21</v>
      </c>
      <c r="N4370" s="3">
        <v>96.84</v>
      </c>
      <c r="O4370" s="12">
        <v>16.338028169014081</v>
      </c>
    </row>
    <row r="4371" spans="1:15" hidden="1" x14ac:dyDescent="0.25">
      <c r="A4371" s="5">
        <v>46163</v>
      </c>
      <c r="B4371" s="6" t="s">
        <v>41</v>
      </c>
      <c r="C4371" s="1" t="s">
        <v>32</v>
      </c>
      <c r="D4371" s="3">
        <v>22</v>
      </c>
      <c r="E4371" s="3">
        <v>21</v>
      </c>
      <c r="F4371" s="3">
        <v>15.35</v>
      </c>
      <c r="G4371" s="3">
        <v>0</v>
      </c>
      <c r="H4371" s="3">
        <v>0</v>
      </c>
      <c r="I4371" s="3">
        <f>E4371+G4371+H4371</f>
        <v>21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22</v>
      </c>
      <c r="K4371" s="3">
        <f>I4371-J4371</f>
        <v>-1</v>
      </c>
      <c r="L4371" s="3" t="str">
        <f>IF(K4371&lt;-5,"CRÍTICO",IF(K4371&lt;0,"ATENÇÃO",IF(K4371&lt;=5,"OPORTUNO","MUITO BOM")))</f>
        <v>ATENÇÃO</v>
      </c>
      <c r="M4371" s="3">
        <v>19</v>
      </c>
      <c r="N4371" s="3">
        <v>100</v>
      </c>
      <c r="O4371" s="12">
        <v>18.244803695150122</v>
      </c>
    </row>
    <row r="4372" spans="1:15" hidden="1" x14ac:dyDescent="0.25">
      <c r="A4372" s="5">
        <v>46163</v>
      </c>
      <c r="B4372" s="6" t="s">
        <v>42</v>
      </c>
      <c r="C4372" s="1" t="s">
        <v>32</v>
      </c>
      <c r="D4372" s="3">
        <v>29</v>
      </c>
      <c r="E4372" s="3">
        <v>27</v>
      </c>
      <c r="F4372" s="3">
        <v>15.54</v>
      </c>
      <c r="G4372" s="3">
        <v>0</v>
      </c>
      <c r="H4372" s="3">
        <v>0</v>
      </c>
      <c r="I4372" s="3">
        <f>E4372+G4372+H4372</f>
        <v>27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22</v>
      </c>
      <c r="K4372" s="3">
        <f>I4372-J4372</f>
        <v>5</v>
      </c>
      <c r="L4372" s="3" t="str">
        <f>IF(K4372&lt;-5,"CRÍTICO",IF(K4372&lt;0,"ATENÇÃO",IF(K4372&lt;=5,"OPORTUNO","MUITO BOM")))</f>
        <v>OPORTUNO</v>
      </c>
      <c r="M4372" s="3">
        <v>18</v>
      </c>
      <c r="N4372" s="3">
        <v>100</v>
      </c>
      <c r="O4372" s="12">
        <v>15.789473684210529</v>
      </c>
    </row>
    <row r="4373" spans="1:15" hidden="1" x14ac:dyDescent="0.25">
      <c r="A4373" s="5">
        <v>46163</v>
      </c>
      <c r="B4373" s="6" t="s">
        <v>44</v>
      </c>
      <c r="C4373" s="1" t="s">
        <v>32</v>
      </c>
      <c r="D4373" s="3">
        <v>27</v>
      </c>
      <c r="E4373" s="3">
        <v>22</v>
      </c>
      <c r="F4373" s="3">
        <v>15.16</v>
      </c>
      <c r="G4373" s="3">
        <v>3</v>
      </c>
      <c r="H4373" s="3">
        <v>0</v>
      </c>
      <c r="I4373" s="3">
        <f>E4373+G4373+H4373</f>
        <v>25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22</v>
      </c>
      <c r="K4373" s="3">
        <f>I4373-J4373</f>
        <v>3</v>
      </c>
      <c r="L4373" s="3" t="str">
        <f>IF(K4373&lt;-5,"CRÍTICO",IF(K4373&lt;0,"ATENÇÃO",IF(K4373&lt;=5,"OPORTUNO","MUITO BOM")))</f>
        <v>OPORTUNO</v>
      </c>
      <c r="M4373" s="3">
        <v>21</v>
      </c>
      <c r="N4373" s="3">
        <v>96.38</v>
      </c>
      <c r="O4373" s="12">
        <v>23.198198198198199</v>
      </c>
    </row>
    <row r="4374" spans="1:15" hidden="1" x14ac:dyDescent="0.25">
      <c r="A4374" s="5">
        <v>46163</v>
      </c>
      <c r="B4374" s="6" t="s">
        <v>45</v>
      </c>
      <c r="C4374" s="1" t="s">
        <v>32</v>
      </c>
      <c r="D4374" s="3">
        <v>35</v>
      </c>
      <c r="E4374" s="3">
        <v>31</v>
      </c>
      <c r="F4374" s="3">
        <v>8.3000000000000007</v>
      </c>
      <c r="G4374" s="3">
        <v>2</v>
      </c>
      <c r="H4374" s="3">
        <v>0</v>
      </c>
      <c r="I4374" s="3">
        <f>E4374+G4374+H4374</f>
        <v>33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22</v>
      </c>
      <c r="K4374" s="3">
        <f>I4374-J4374</f>
        <v>11</v>
      </c>
      <c r="L4374" s="3" t="str">
        <f>IF(K4374&lt;-5,"CRÍTICO",IF(K4374&lt;0,"ATENÇÃO",IF(K4374&lt;=5,"OPORTUNO","MUITO BOM")))</f>
        <v>MUITO BOM</v>
      </c>
      <c r="M4374" s="3">
        <v>22</v>
      </c>
      <c r="N4374" s="3">
        <v>99.39</v>
      </c>
      <c r="O4374" s="12">
        <v>25.203252032520329</v>
      </c>
    </row>
    <row r="4375" spans="1:15" hidden="1" x14ac:dyDescent="0.25">
      <c r="A4375" s="5">
        <v>46163</v>
      </c>
      <c r="B4375" s="6" t="s">
        <v>46</v>
      </c>
      <c r="C4375" s="1" t="s">
        <v>32</v>
      </c>
      <c r="D4375" s="3">
        <v>23</v>
      </c>
      <c r="E4375" s="3">
        <v>22</v>
      </c>
      <c r="F4375" s="3">
        <v>17.079999999999998</v>
      </c>
      <c r="G4375" s="3">
        <v>1</v>
      </c>
      <c r="H4375" s="3">
        <v>0</v>
      </c>
      <c r="I4375" s="3">
        <f>E4375+G4375+H4375</f>
        <v>23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22</v>
      </c>
      <c r="K4375" s="3">
        <f>I4375-J4375</f>
        <v>1</v>
      </c>
      <c r="L4375" s="3" t="str">
        <f>IF(K4375&lt;-5,"CRÍTICO",IF(K4375&lt;0,"ATENÇÃO",IF(K4375&lt;=5,"OPORTUNO","MUITO BOM")))</f>
        <v>OPORTUNO</v>
      </c>
      <c r="M4375" s="3">
        <v>21</v>
      </c>
      <c r="N4375" s="3">
        <v>97</v>
      </c>
      <c r="O4375" s="12">
        <v>20.325203252032519</v>
      </c>
    </row>
    <row r="4376" spans="1:15" hidden="1" x14ac:dyDescent="0.25">
      <c r="A4376" s="5">
        <v>46163</v>
      </c>
      <c r="B4376" s="6" t="s">
        <v>47</v>
      </c>
      <c r="C4376" s="1" t="s">
        <v>48</v>
      </c>
      <c r="D4376" s="3">
        <v>31</v>
      </c>
      <c r="E4376" s="3">
        <v>19</v>
      </c>
      <c r="F4376" s="3">
        <v>5.55</v>
      </c>
      <c r="G4376" s="3">
        <v>1</v>
      </c>
      <c r="H4376" s="3">
        <v>0</v>
      </c>
      <c r="I4376" s="3">
        <f>E4376+G4376+H4376</f>
        <v>20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18</v>
      </c>
      <c r="K4376" s="3">
        <f>I4376-J4376</f>
        <v>2</v>
      </c>
      <c r="L4376" s="3" t="str">
        <f>IF(K4376&lt;-5,"CRÍTICO",IF(K4376&lt;0,"ATENÇÃO",IF(K4376&lt;=5,"OPORTUNO","MUITO BOM")))</f>
        <v>OPORTUNO</v>
      </c>
      <c r="M4376" s="3">
        <v>17</v>
      </c>
      <c r="N4376" s="3">
        <v>99.18</v>
      </c>
      <c r="O4376" s="12">
        <v>24.501424501424498</v>
      </c>
    </row>
    <row r="4377" spans="1:15" hidden="1" x14ac:dyDescent="0.25">
      <c r="A4377" s="5">
        <v>46163</v>
      </c>
      <c r="B4377" s="6" t="s">
        <v>49</v>
      </c>
      <c r="C4377" s="1" t="s">
        <v>48</v>
      </c>
      <c r="D4377" s="3">
        <v>31</v>
      </c>
      <c r="E4377" s="3">
        <v>27</v>
      </c>
      <c r="F4377" s="3">
        <v>10.15</v>
      </c>
      <c r="G4377" s="3">
        <v>4</v>
      </c>
      <c r="H4377" s="3">
        <v>0</v>
      </c>
      <c r="I4377" s="3">
        <f>E4377+G4377+H4377</f>
        <v>31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18</v>
      </c>
      <c r="K4377" s="3">
        <f>I4377-J4377</f>
        <v>13</v>
      </c>
      <c r="L4377" s="3" t="str">
        <f>IF(K4377&lt;-5,"CRÍTICO",IF(K4377&lt;0,"ATENÇÃO",IF(K4377&lt;=5,"OPORTUNO","MUITO BOM")))</f>
        <v>MUITO BOM</v>
      </c>
      <c r="M4377" s="3">
        <v>28</v>
      </c>
      <c r="N4377" s="3">
        <v>99.35</v>
      </c>
      <c r="O4377" s="12">
        <v>19.852941176470591</v>
      </c>
    </row>
    <row r="4378" spans="1:15" hidden="1" x14ac:dyDescent="0.25">
      <c r="A4378" s="5">
        <v>46163</v>
      </c>
      <c r="B4378" s="6" t="s">
        <v>50</v>
      </c>
      <c r="C4378" s="1" t="s">
        <v>48</v>
      </c>
      <c r="D4378" s="3">
        <v>24</v>
      </c>
      <c r="E4378" s="3">
        <v>22</v>
      </c>
      <c r="F4378" s="3">
        <v>18.55</v>
      </c>
      <c r="G4378" s="3">
        <v>1</v>
      </c>
      <c r="H4378" s="3">
        <v>0</v>
      </c>
      <c r="I4378" s="3">
        <f>E4378+G4378+H4378</f>
        <v>23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18</v>
      </c>
      <c r="K4378" s="3">
        <f>I4378-J4378</f>
        <v>5</v>
      </c>
      <c r="L4378" s="3" t="str">
        <f>IF(K4378&lt;-5,"CRÍTICO",IF(K4378&lt;0,"ATENÇÃO",IF(K4378&lt;=5,"OPORTUNO","MUITO BOM")))</f>
        <v>OPORTUNO</v>
      </c>
      <c r="M4378" s="3">
        <v>21</v>
      </c>
      <c r="N4378" s="3">
        <v>99.07</v>
      </c>
      <c r="O4378" s="12">
        <v>20.098039215686271</v>
      </c>
    </row>
    <row r="4379" spans="1:15" hidden="1" x14ac:dyDescent="0.25">
      <c r="A4379" s="5">
        <v>46163</v>
      </c>
      <c r="B4379" s="6" t="s">
        <v>51</v>
      </c>
      <c r="C4379" s="1" t="s">
        <v>48</v>
      </c>
      <c r="D4379" s="3">
        <v>0</v>
      </c>
      <c r="E4379" s="3">
        <v>0</v>
      </c>
      <c r="F4379" s="3">
        <v>0</v>
      </c>
      <c r="G4379" s="3">
        <v>0</v>
      </c>
      <c r="H4379" s="3">
        <v>0</v>
      </c>
      <c r="I4379" s="3">
        <f>E4379+G4379+H4379</f>
        <v>0</v>
      </c>
      <c r="J4379" s="3">
        <v>0</v>
      </c>
      <c r="K4379" s="3">
        <f>I4379-J4379</f>
        <v>0</v>
      </c>
      <c r="L4379" s="3" t="str">
        <f>IF(K4379&lt;-5,"CRÍTICO",IF(K4379&lt;0,"ATENÇÃO",IF(K4379&lt;=5,"OPORTUNO","MUITO BOM")))</f>
        <v>OPORTUNO</v>
      </c>
      <c r="M4379" s="3">
        <v>0</v>
      </c>
      <c r="N4379" s="3">
        <v>98.81</v>
      </c>
      <c r="O4379" s="12">
        <v>22.767857142857139</v>
      </c>
    </row>
    <row r="4380" spans="1:15" hidden="1" x14ac:dyDescent="0.25">
      <c r="A4380" s="5">
        <v>46163</v>
      </c>
      <c r="B4380" s="6" t="s">
        <v>52</v>
      </c>
      <c r="C4380" s="1" t="s">
        <v>48</v>
      </c>
      <c r="D4380" s="3">
        <v>28</v>
      </c>
      <c r="E4380" s="3">
        <v>23</v>
      </c>
      <c r="F4380" s="3">
        <v>9.02</v>
      </c>
      <c r="G4380" s="3">
        <v>3</v>
      </c>
      <c r="H4380" s="3">
        <v>0</v>
      </c>
      <c r="I4380" s="3">
        <f>E4380+G4380+H4380</f>
        <v>26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18</v>
      </c>
      <c r="K4380" s="3">
        <f>I4380-J4380</f>
        <v>8</v>
      </c>
      <c r="L4380" s="3" t="str">
        <f>IF(K4380&lt;-5,"CRÍTICO",IF(K4380&lt;0,"ATENÇÃO",IF(K4380&lt;=5,"OPORTUNO","MUITO BOM")))</f>
        <v>MUITO BOM</v>
      </c>
      <c r="M4380" s="3">
        <v>25</v>
      </c>
      <c r="N4380" s="3">
        <v>99.01</v>
      </c>
      <c r="O4380" s="12">
        <v>17.766497461928939</v>
      </c>
    </row>
    <row r="4381" spans="1:15" hidden="1" x14ac:dyDescent="0.25">
      <c r="A4381" s="5">
        <v>46163</v>
      </c>
      <c r="B4381" s="6" t="s">
        <v>53</v>
      </c>
      <c r="C4381" s="1" t="s">
        <v>48</v>
      </c>
      <c r="D4381" s="3">
        <v>0</v>
      </c>
      <c r="E4381" s="3">
        <v>0</v>
      </c>
      <c r="F4381" s="3">
        <v>0</v>
      </c>
      <c r="G4381" s="3">
        <v>0</v>
      </c>
      <c r="H4381" s="3">
        <v>0</v>
      </c>
      <c r="I4381" s="3">
        <f>E4381+G4381+H4381</f>
        <v>0</v>
      </c>
      <c r="J4381" s="3">
        <v>0</v>
      </c>
      <c r="K4381" s="3">
        <f>I4381-J4381</f>
        <v>0</v>
      </c>
      <c r="L4381" s="3" t="str">
        <f>IF(K4381&lt;-5,"CRÍTICO",IF(K4381&lt;0,"ATENÇÃO",IF(K4381&lt;=5,"OPORTUNO","MUITO BOM")))</f>
        <v>OPORTUNO</v>
      </c>
      <c r="M4381" s="3">
        <v>0</v>
      </c>
      <c r="N4381" s="3">
        <v>100</v>
      </c>
      <c r="O4381" s="12">
        <v>17.241379310344829</v>
      </c>
    </row>
    <row r="4382" spans="1:15" hidden="1" x14ac:dyDescent="0.25">
      <c r="A4382" s="5">
        <v>46163</v>
      </c>
      <c r="B4382" s="6" t="s">
        <v>54</v>
      </c>
      <c r="C4382" s="1" t="s">
        <v>48</v>
      </c>
      <c r="D4382" s="3">
        <v>22</v>
      </c>
      <c r="E4382" s="3">
        <v>21</v>
      </c>
      <c r="F4382" s="3">
        <v>19.05</v>
      </c>
      <c r="G4382" s="3">
        <v>1</v>
      </c>
      <c r="H4382" s="3">
        <v>0</v>
      </c>
      <c r="I4382" s="3">
        <f>E4382+G4382+H4382</f>
        <v>22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18</v>
      </c>
      <c r="K4382" s="3">
        <f>I4382-J4382</f>
        <v>4</v>
      </c>
      <c r="L4382" s="3" t="str">
        <f>IF(K4382&lt;-5,"CRÍTICO",IF(K4382&lt;0,"ATENÇÃO",IF(K4382&lt;=5,"OPORTUNO","MUITO BOM")))</f>
        <v>OPORTUNO</v>
      </c>
      <c r="M4382" s="3">
        <v>19</v>
      </c>
      <c r="N4382" s="3">
        <v>98.98</v>
      </c>
      <c r="O4382" s="12">
        <v>19.35483870967742</v>
      </c>
    </row>
    <row r="4383" spans="1:15" hidden="1" x14ac:dyDescent="0.25">
      <c r="A4383" s="5">
        <v>46163</v>
      </c>
      <c r="B4383" s="6" t="s">
        <v>55</v>
      </c>
      <c r="C4383" s="1" t="s">
        <v>48</v>
      </c>
      <c r="D4383" s="3">
        <v>17</v>
      </c>
      <c r="E4383" s="3">
        <v>14</v>
      </c>
      <c r="F4383" s="3">
        <v>17.2</v>
      </c>
      <c r="G4383" s="3">
        <v>0</v>
      </c>
      <c r="H4383" s="3">
        <v>0</v>
      </c>
      <c r="I4383" s="3">
        <f>E4383+G4383+H4383</f>
        <v>14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18</v>
      </c>
      <c r="K4383" s="3">
        <f>I4383-J4383</f>
        <v>-4</v>
      </c>
      <c r="L4383" s="3" t="str">
        <f>IF(K4383&lt;-5,"CRÍTICO",IF(K4383&lt;0,"ATENÇÃO",IF(K4383&lt;=5,"OPORTUNO","MUITO BOM")))</f>
        <v>ATENÇÃO</v>
      </c>
      <c r="M4383" s="3">
        <v>14</v>
      </c>
      <c r="N4383" s="3">
        <v>98.94</v>
      </c>
      <c r="O4383" s="12">
        <v>21.270718232044199</v>
      </c>
    </row>
    <row r="4384" spans="1:15" hidden="1" x14ac:dyDescent="0.25">
      <c r="A4384" s="5">
        <v>46163</v>
      </c>
      <c r="B4384" s="6" t="s">
        <v>56</v>
      </c>
      <c r="C4384" s="1" t="s">
        <v>48</v>
      </c>
      <c r="D4384" s="3">
        <v>19</v>
      </c>
      <c r="E4384" s="3">
        <v>19</v>
      </c>
      <c r="F4384" s="3">
        <v>24.12</v>
      </c>
      <c r="G4384" s="3">
        <v>0</v>
      </c>
      <c r="H4384" s="3">
        <v>0</v>
      </c>
      <c r="I4384" s="3">
        <f>E4384+G4384+H4384</f>
        <v>19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18</v>
      </c>
      <c r="K4384" s="3">
        <f>I4384-J4384</f>
        <v>1</v>
      </c>
      <c r="L4384" s="3" t="str">
        <f>IF(K4384&lt;-5,"CRÍTICO",IF(K4384&lt;0,"ATENÇÃO",IF(K4384&lt;=5,"OPORTUNO","MUITO BOM")))</f>
        <v>OPORTUNO</v>
      </c>
      <c r="M4384" s="3">
        <v>17</v>
      </c>
      <c r="N4384" s="3">
        <v>99</v>
      </c>
      <c r="O4384" s="12">
        <v>22.010869565217391</v>
      </c>
    </row>
    <row r="4385" spans="1:15" hidden="1" x14ac:dyDescent="0.25">
      <c r="A4385" s="5">
        <v>46163</v>
      </c>
      <c r="B4385" s="6" t="s">
        <v>57</v>
      </c>
      <c r="C4385" s="1" t="s">
        <v>48</v>
      </c>
      <c r="D4385" s="3">
        <v>18</v>
      </c>
      <c r="E4385" s="3">
        <v>15</v>
      </c>
      <c r="F4385" s="3">
        <v>14.09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18</v>
      </c>
      <c r="K4385" s="3">
        <f>I4385-J4385</f>
        <v>-3</v>
      </c>
      <c r="L4385" s="3" t="str">
        <f>IF(K4385&lt;-5,"CRÍTICO",IF(K4385&lt;0,"ATENÇÃO",IF(K4385&lt;=5,"OPORTUNO","MUITO BOM")))</f>
        <v>ATENÇÃO</v>
      </c>
      <c r="M4385" s="3">
        <v>15</v>
      </c>
      <c r="N4385" s="3">
        <v>100</v>
      </c>
      <c r="O4385" s="12">
        <v>25</v>
      </c>
    </row>
    <row r="4386" spans="1:15" hidden="1" x14ac:dyDescent="0.25">
      <c r="A4386" s="5">
        <v>46163</v>
      </c>
      <c r="B4386" s="6" t="s">
        <v>58</v>
      </c>
      <c r="C4386" s="1" t="s">
        <v>48</v>
      </c>
      <c r="D4386" s="3">
        <v>0</v>
      </c>
      <c r="E4386" s="3">
        <v>0</v>
      </c>
      <c r="F4386" s="3">
        <v>0</v>
      </c>
      <c r="G4386" s="3">
        <v>0</v>
      </c>
      <c r="H4386" s="3">
        <v>0</v>
      </c>
      <c r="I4386" s="3">
        <f>E4386+G4386+H4386</f>
        <v>0</v>
      </c>
      <c r="J4386" s="3">
        <v>0</v>
      </c>
      <c r="K4386" s="3">
        <f>I4386-J4386</f>
        <v>0</v>
      </c>
      <c r="L4386" s="3" t="str">
        <f>IF(K4386&lt;-5,"CRÍTICO",IF(K4386&lt;0,"ATENÇÃO",IF(K4386&lt;=5,"OPORTUNO","MUITO BOM")))</f>
        <v>OPORTUNO</v>
      </c>
      <c r="M4386" s="3">
        <v>0</v>
      </c>
      <c r="N4386" s="3">
        <v>100</v>
      </c>
      <c r="O4386" s="12">
        <v>20.183486238532112</v>
      </c>
    </row>
    <row r="4387" spans="1:15" hidden="1" x14ac:dyDescent="0.25">
      <c r="A4387" s="5">
        <v>46163</v>
      </c>
      <c r="B4387" s="6" t="s">
        <v>59</v>
      </c>
      <c r="C4387" s="1" t="s">
        <v>23</v>
      </c>
      <c r="D4387" s="3">
        <v>24</v>
      </c>
      <c r="E4387" s="3">
        <v>23</v>
      </c>
      <c r="F4387" s="3">
        <v>17.07</v>
      </c>
      <c r="G4387" s="3">
        <v>0</v>
      </c>
      <c r="H4387" s="3">
        <v>0</v>
      </c>
      <c r="I4387" s="3">
        <f>E4387+G4387+H4387</f>
        <v>23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15</v>
      </c>
      <c r="K4387" s="3">
        <f>I4387-J4387</f>
        <v>8</v>
      </c>
      <c r="L4387" s="3" t="str">
        <f>IF(K4387&lt;-5,"CRÍTICO",IF(K4387&lt;0,"ATENÇÃO",IF(K4387&lt;=5,"OPORTUNO","MUITO BOM")))</f>
        <v>MUITO BOM</v>
      </c>
      <c r="M4387" s="3">
        <v>21</v>
      </c>
      <c r="N4387" s="3">
        <v>96.25</v>
      </c>
      <c r="O4387" s="12">
        <v>25.586353944562902</v>
      </c>
    </row>
    <row r="4388" spans="1:15" hidden="1" x14ac:dyDescent="0.25">
      <c r="A4388" s="5">
        <v>46163</v>
      </c>
      <c r="B4388" s="6" t="s">
        <v>60</v>
      </c>
      <c r="C4388" s="1" t="s">
        <v>23</v>
      </c>
      <c r="D4388" s="3">
        <v>23</v>
      </c>
      <c r="E4388" s="3">
        <v>22</v>
      </c>
      <c r="F4388" s="3">
        <v>17.079999999999998</v>
      </c>
      <c r="G4388" s="3">
        <v>0</v>
      </c>
      <c r="H4388" s="3">
        <v>0</v>
      </c>
      <c r="I4388" s="3">
        <f>E4388+G4388+H4388</f>
        <v>22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15</v>
      </c>
      <c r="K4388" s="3">
        <f>I4388-J4388</f>
        <v>7</v>
      </c>
      <c r="L4388" s="3" t="str">
        <f>IF(K4388&lt;-5,"CRÍTICO",IF(K4388&lt;0,"ATENÇÃO",IF(K4388&lt;=5,"OPORTUNO","MUITO BOM")))</f>
        <v>MUITO BOM</v>
      </c>
      <c r="M4388" s="3">
        <v>17</v>
      </c>
      <c r="N4388" s="3">
        <v>97.48</v>
      </c>
      <c r="O4388" s="12">
        <v>22.99465240641711</v>
      </c>
    </row>
    <row r="4389" spans="1:15" hidden="1" x14ac:dyDescent="0.25">
      <c r="A4389" s="5">
        <v>46163</v>
      </c>
      <c r="B4389" s="6" t="s">
        <v>61</v>
      </c>
      <c r="C4389" s="1" t="s">
        <v>23</v>
      </c>
      <c r="D4389" s="3">
        <v>16</v>
      </c>
      <c r="E4389" s="3">
        <v>16</v>
      </c>
      <c r="F4389" s="3">
        <v>26.5</v>
      </c>
      <c r="G4389" s="3">
        <v>0</v>
      </c>
      <c r="H4389" s="3">
        <v>0</v>
      </c>
      <c r="I4389" s="3">
        <f>E4389+G4389+H4389</f>
        <v>16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15</v>
      </c>
      <c r="K4389" s="3">
        <f>I4389-J4389</f>
        <v>1</v>
      </c>
      <c r="L4389" s="3" t="str">
        <f>IF(K4389&lt;-5,"CRÍTICO",IF(K4389&lt;0,"ATENÇÃO",IF(K4389&lt;=5,"OPORTUNO","MUITO BOM")))</f>
        <v>OPORTUNO</v>
      </c>
      <c r="M4389" s="3">
        <v>14</v>
      </c>
      <c r="N4389" s="3">
        <v>100</v>
      </c>
      <c r="O4389" s="12">
        <v>20.788530465949819</v>
      </c>
    </row>
    <row r="4390" spans="1:15" hidden="1" x14ac:dyDescent="0.25">
      <c r="A4390" s="5">
        <v>46163</v>
      </c>
      <c r="B4390" s="6" t="s">
        <v>62</v>
      </c>
      <c r="C4390" s="1" t="s">
        <v>23</v>
      </c>
      <c r="D4390" s="3">
        <v>22</v>
      </c>
      <c r="E4390" s="3">
        <v>20</v>
      </c>
      <c r="F4390" s="3">
        <v>19.059999999999999</v>
      </c>
      <c r="G4390" s="3">
        <v>0</v>
      </c>
      <c r="H4390" s="3">
        <v>0</v>
      </c>
      <c r="I4390" s="3">
        <f>E4390+G4390+H4390</f>
        <v>20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15</v>
      </c>
      <c r="K4390" s="3">
        <f>I4390-J4390</f>
        <v>5</v>
      </c>
      <c r="L4390" s="3" t="str">
        <f>IF(K4390&lt;-5,"CRÍTICO",IF(K4390&lt;0,"ATENÇÃO",IF(K4390&lt;=5,"OPORTUNO","MUITO BOM")))</f>
        <v>OPORTUNO</v>
      </c>
      <c r="M4390" s="3">
        <v>21</v>
      </c>
      <c r="N4390" s="3">
        <v>94.55</v>
      </c>
      <c r="O4390" s="12">
        <v>23.450134770889491</v>
      </c>
    </row>
    <row r="4391" spans="1:15" hidden="1" x14ac:dyDescent="0.25">
      <c r="A4391" s="5">
        <v>46163</v>
      </c>
      <c r="B4391" s="6" t="s">
        <v>63</v>
      </c>
      <c r="C4391" s="1" t="s">
        <v>23</v>
      </c>
      <c r="D4391" s="3">
        <v>27</v>
      </c>
      <c r="E4391" s="3">
        <v>27</v>
      </c>
      <c r="F4391" s="3">
        <v>15.1</v>
      </c>
      <c r="G4391" s="3">
        <v>0</v>
      </c>
      <c r="H4391" s="3">
        <v>0</v>
      </c>
      <c r="I4391" s="3">
        <f>E4391+G4391+H4391</f>
        <v>27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15</v>
      </c>
      <c r="K4391" s="3">
        <f>I4391-J4391</f>
        <v>12</v>
      </c>
      <c r="L4391" s="3" t="str">
        <f>IF(K4391&lt;-5,"CRÍTICO",IF(K4391&lt;0,"ATENÇÃO",IF(K4391&lt;=5,"OPORTUNO","MUITO BOM")))</f>
        <v>MUITO BOM</v>
      </c>
      <c r="M4391" s="3">
        <v>20</v>
      </c>
      <c r="N4391" s="3">
        <v>98</v>
      </c>
      <c r="O4391" s="12">
        <v>20.73490813648294</v>
      </c>
    </row>
    <row r="4392" spans="1:15" hidden="1" x14ac:dyDescent="0.25">
      <c r="A4392" s="5">
        <v>46163</v>
      </c>
      <c r="B4392" s="6" t="s">
        <v>64</v>
      </c>
      <c r="C4392" s="1" t="s">
        <v>23</v>
      </c>
      <c r="D4392" s="3">
        <v>12</v>
      </c>
      <c r="E4392" s="3">
        <v>12</v>
      </c>
      <c r="F4392" s="3">
        <v>44.02</v>
      </c>
      <c r="G4392" s="3">
        <v>0</v>
      </c>
      <c r="H4392" s="3">
        <v>0</v>
      </c>
      <c r="I4392" s="3">
        <f>E4392+G4392+H4392</f>
        <v>12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15</v>
      </c>
      <c r="K4392" s="3">
        <f>I4392-J4392</f>
        <v>-3</v>
      </c>
      <c r="L4392" s="3" t="str">
        <f>IF(K4392&lt;-5,"CRÍTICO",IF(K4392&lt;0,"ATENÇÃO",IF(K4392&lt;=5,"OPORTUNO","MUITO BOM")))</f>
        <v>ATENÇÃO</v>
      </c>
      <c r="M4392" s="3">
        <v>10</v>
      </c>
      <c r="N4392" s="3">
        <v>100</v>
      </c>
      <c r="O4392" s="12">
        <v>18</v>
      </c>
    </row>
    <row r="4393" spans="1:15" hidden="1" x14ac:dyDescent="0.25">
      <c r="A4393" s="5">
        <v>46163</v>
      </c>
      <c r="B4393" s="6" t="s">
        <v>22</v>
      </c>
      <c r="C4393" s="1" t="s">
        <v>23</v>
      </c>
      <c r="D4393" s="3">
        <v>16</v>
      </c>
      <c r="E4393" s="3">
        <v>15</v>
      </c>
      <c r="F4393" s="3">
        <v>25.07</v>
      </c>
      <c r="G4393" s="3">
        <v>3</v>
      </c>
      <c r="H4393" s="3">
        <v>0</v>
      </c>
      <c r="I4393" s="3">
        <f>E4393+G4393+H4393</f>
        <v>18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15</v>
      </c>
      <c r="K4393" s="3">
        <f>I4393-J4393</f>
        <v>3</v>
      </c>
      <c r="L4393" s="3" t="str">
        <f>IF(K4393&lt;-5,"CRÍTICO",IF(K4393&lt;0,"ATENÇÃO",IF(K4393&lt;=5,"OPORTUNO","MUITO BOM")))</f>
        <v>OPORTUNO</v>
      </c>
      <c r="M4393" s="3">
        <v>15</v>
      </c>
      <c r="N4393" s="3">
        <v>99.06</v>
      </c>
      <c r="O4393" s="12">
        <v>19.417475728155338</v>
      </c>
    </row>
    <row r="4394" spans="1:15" hidden="1" x14ac:dyDescent="0.25">
      <c r="A4394" s="5">
        <v>46163</v>
      </c>
      <c r="B4394" s="6" t="s">
        <v>43</v>
      </c>
      <c r="C4394" s="1" t="s">
        <v>32</v>
      </c>
      <c r="D4394" s="3">
        <v>0</v>
      </c>
      <c r="E4394" s="3">
        <v>0</v>
      </c>
      <c r="F4394" s="3">
        <v>0</v>
      </c>
      <c r="G4394" s="3">
        <v>0</v>
      </c>
      <c r="H4394" s="3">
        <v>30</v>
      </c>
      <c r="I4394" s="3">
        <f>E4394+G4394+H4394</f>
        <v>30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8</v>
      </c>
      <c r="L4394" s="3" t="str">
        <f>IF(K4394&lt;-5,"CRÍTICO",IF(K4394&lt;0,"ATENÇÃO",IF(K4394&lt;=5,"OPORTUNO","MUITO BOM")))</f>
        <v>MUITO BOM</v>
      </c>
      <c r="M4394" s="3">
        <v>15</v>
      </c>
      <c r="N4394" s="3">
        <v>98.39</v>
      </c>
      <c r="O4394" s="12">
        <v>8.7999999999999989</v>
      </c>
    </row>
    <row r="4395" spans="1:15" x14ac:dyDescent="0.25">
      <c r="A4395" s="7">
        <v>46161</v>
      </c>
      <c r="B4395" s="8" t="s">
        <v>28</v>
      </c>
      <c r="C4395" s="1" t="s">
        <v>26</v>
      </c>
      <c r="D4395" s="3">
        <v>42</v>
      </c>
      <c r="E4395" s="3">
        <v>23</v>
      </c>
      <c r="F4395" s="3">
        <v>11.43</v>
      </c>
      <c r="G4395" s="3">
        <v>0</v>
      </c>
      <c r="H4395" s="3">
        <v>0</v>
      </c>
      <c r="I4395" s="3">
        <f>E4395+G4395+H4395</f>
        <v>23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17</v>
      </c>
      <c r="K4395" s="3">
        <f>I4395-J4395</f>
        <v>6</v>
      </c>
      <c r="L4395" s="3" t="str">
        <f>IF(K4395&lt;-5,"CRÍTICO",IF(K4395&lt;0,"ATENÇÃO",IF(K4395&lt;=5,"OPORTUNO","MUITO BOM")))</f>
        <v>MUITO BOM</v>
      </c>
      <c r="M4395" s="3">
        <v>22</v>
      </c>
      <c r="N4395" s="3">
        <v>96.83</v>
      </c>
      <c r="O4395" s="12">
        <v>20.94017094017094</v>
      </c>
    </row>
    <row r="4396" spans="1:15" x14ac:dyDescent="0.25">
      <c r="A4396" s="7">
        <v>46162</v>
      </c>
      <c r="B4396" s="8" t="s">
        <v>28</v>
      </c>
      <c r="C4396" s="1" t="s">
        <v>26</v>
      </c>
      <c r="D4396" s="3">
        <v>25</v>
      </c>
      <c r="E4396" s="3">
        <v>20</v>
      </c>
      <c r="F4396" s="3">
        <v>15.38</v>
      </c>
      <c r="G4396" s="3">
        <v>1</v>
      </c>
      <c r="H4396" s="3">
        <v>0</v>
      </c>
      <c r="I4396" s="3">
        <f>E4396+G4396+H4396</f>
        <v>21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15</v>
      </c>
      <c r="K4396" s="3">
        <f>I4396-J4396</f>
        <v>6</v>
      </c>
      <c r="L4396" s="3" t="str">
        <f>IF(K4396&lt;-5,"CRÍTICO",IF(K4396&lt;0,"ATENÇÃO",IF(K4396&lt;=5,"OPORTUNO","MUITO BOM")))</f>
        <v>MUITO BOM</v>
      </c>
      <c r="M4396" s="3">
        <v>19</v>
      </c>
      <c r="N4396" s="3">
        <v>96.83</v>
      </c>
      <c r="O4396" s="12">
        <v>20.94017094017094</v>
      </c>
    </row>
    <row r="4397" spans="1:15" x14ac:dyDescent="0.25">
      <c r="A4397" s="5">
        <v>46163</v>
      </c>
      <c r="B4397" s="6" t="s">
        <v>28</v>
      </c>
      <c r="C4397" s="1" t="s">
        <v>26</v>
      </c>
      <c r="D4397" s="3">
        <v>26</v>
      </c>
      <c r="E4397" s="3">
        <v>18</v>
      </c>
      <c r="F4397" s="3">
        <v>12.17</v>
      </c>
      <c r="G4397" s="3">
        <v>0</v>
      </c>
      <c r="H4397" s="3">
        <v>0</v>
      </c>
      <c r="I4397" s="3">
        <f>E4397+G4397+H4397</f>
        <v>18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13</v>
      </c>
      <c r="K4397" s="3">
        <f>I4397-J4397</f>
        <v>5</v>
      </c>
      <c r="L4397" s="3" t="str">
        <f>IF(K4397&lt;-5,"CRÍTICO",IF(K4397&lt;0,"ATENÇÃO",IF(K4397&lt;=5,"OPORTUNO","MUITO BOM")))</f>
        <v>OPORTUNO</v>
      </c>
      <c r="M4397" s="3">
        <v>16</v>
      </c>
      <c r="N4397" s="3">
        <v>96.83</v>
      </c>
      <c r="O4397" s="12">
        <v>20.94017094017094</v>
      </c>
    </row>
    <row r="4398" spans="1:15" x14ac:dyDescent="0.25">
      <c r="A4398" s="9">
        <v>46164</v>
      </c>
      <c r="B4398" s="6" t="s">
        <v>28</v>
      </c>
      <c r="C4398" s="1" t="s">
        <v>26</v>
      </c>
      <c r="D4398" s="3">
        <v>21</v>
      </c>
      <c r="E4398" s="3">
        <v>18</v>
      </c>
      <c r="F4398" s="3">
        <v>13.49</v>
      </c>
      <c r="G4398" s="3">
        <v>0</v>
      </c>
      <c r="H4398" s="3">
        <v>0</v>
      </c>
      <c r="I4398" s="3">
        <f>E4398+G4398+H4398</f>
        <v>18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11</v>
      </c>
      <c r="K4398" s="3">
        <f>I4398-J4398</f>
        <v>7</v>
      </c>
      <c r="L4398" s="3" t="str">
        <f>IF(K4398&lt;-5,"CRÍTICO",IF(K4398&lt;0,"ATENÇÃO",IF(K4398&lt;=5,"OPORTUNO","MUITO BOM")))</f>
        <v>MUITO BOM</v>
      </c>
      <c r="M4398" s="3">
        <v>16</v>
      </c>
      <c r="N4398" s="3">
        <v>96.83</v>
      </c>
      <c r="O4398" s="12">
        <v>20.94017094017094</v>
      </c>
    </row>
    <row r="4399" spans="1:15" x14ac:dyDescent="0.25">
      <c r="A4399" s="10">
        <v>46167</v>
      </c>
      <c r="B4399" t="s">
        <v>28</v>
      </c>
      <c r="C4399" s="1" t="s">
        <v>26</v>
      </c>
      <c r="D4399" s="3">
        <v>0</v>
      </c>
      <c r="E4399" s="3">
        <v>0</v>
      </c>
      <c r="F4399" s="3">
        <v>0</v>
      </c>
      <c r="G4399" s="3">
        <v>0</v>
      </c>
      <c r="H4399" s="3">
        <v>0</v>
      </c>
      <c r="I4399" s="3">
        <f>E4399+G4399+H4399</f>
        <v>0</v>
      </c>
      <c r="J4399" s="3">
        <v>0</v>
      </c>
      <c r="K4399" s="3">
        <f>I4399-J4399</f>
        <v>0</v>
      </c>
      <c r="L4399" s="3" t="str">
        <f>IF(K4399&lt;-5,"CRÍTICO",IF(K4399&lt;0,"ATENÇÃO",IF(K4399&lt;=5,"OPORTUNO","MUITO BOM")))</f>
        <v>OPORTUNO</v>
      </c>
      <c r="M4399" s="3">
        <v>0</v>
      </c>
      <c r="N4399" s="3">
        <v>96.83</v>
      </c>
      <c r="O4399" s="12">
        <v>20.94017094017094</v>
      </c>
    </row>
    <row r="4400" spans="1:15" x14ac:dyDescent="0.25">
      <c r="A4400" s="10">
        <v>46168</v>
      </c>
      <c r="B4400" t="s">
        <v>28</v>
      </c>
      <c r="C4400" s="1" t="s">
        <v>26</v>
      </c>
      <c r="D4400" s="3">
        <v>33</v>
      </c>
      <c r="E4400" s="3">
        <v>23</v>
      </c>
      <c r="F4400" s="3">
        <v>11.5</v>
      </c>
      <c r="G4400" s="3">
        <v>5</v>
      </c>
      <c r="H4400" s="3">
        <v>0</v>
      </c>
      <c r="I4400" s="3">
        <f>E4400+G4400+H4400</f>
        <v>28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16</v>
      </c>
      <c r="K4400" s="3">
        <f>I4400-J4400</f>
        <v>12</v>
      </c>
      <c r="L4400" s="3" t="str">
        <f>IF(K4400&lt;-5,"CRÍTICO",IF(K4400&lt;0,"ATENÇÃO",IF(K4400&lt;=5,"OPORTUNO","MUITO BOM")))</f>
        <v>MUITO BOM</v>
      </c>
      <c r="M4400" s="3">
        <v>15</v>
      </c>
      <c r="N4400" s="3">
        <v>96.83</v>
      </c>
      <c r="O4400" s="12">
        <v>24.358974358974361</v>
      </c>
    </row>
    <row r="4401" spans="1:15" x14ac:dyDescent="0.25">
      <c r="A4401" s="10">
        <v>46169</v>
      </c>
      <c r="B4401" t="s">
        <v>28</v>
      </c>
      <c r="C4401" s="1" t="s">
        <v>26</v>
      </c>
      <c r="D4401" s="3">
        <v>30</v>
      </c>
      <c r="E4401" s="3">
        <v>20</v>
      </c>
      <c r="F4401" s="3">
        <v>8.57</v>
      </c>
      <c r="G4401" s="3">
        <v>1</v>
      </c>
      <c r="H4401" s="3">
        <v>0</v>
      </c>
      <c r="I4401" s="3">
        <f>E4401+G4401+H4401</f>
        <v>21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16</v>
      </c>
      <c r="K4401" s="3">
        <f>I4401-J4401</f>
        <v>5</v>
      </c>
      <c r="L4401" s="3" t="str">
        <f>IF(K4401&lt;-5,"CRÍTICO",IF(K4401&lt;0,"ATENÇÃO",IF(K4401&lt;=5,"OPORTUNO","MUITO BOM")))</f>
        <v>OPORTUNO</v>
      </c>
      <c r="M4401" s="3">
        <v>18</v>
      </c>
      <c r="N4401" s="3">
        <v>97.22</v>
      </c>
      <c r="O4401" s="12">
        <v>23.015873015873019</v>
      </c>
    </row>
    <row r="4402" spans="1:15" x14ac:dyDescent="0.25">
      <c r="A4402" s="10">
        <v>46170</v>
      </c>
      <c r="B4402" t="s">
        <v>28</v>
      </c>
      <c r="C4402" s="1" t="s">
        <v>26</v>
      </c>
      <c r="D4402" s="3">
        <v>33</v>
      </c>
      <c r="E4402" s="3">
        <v>26</v>
      </c>
      <c r="F4402" s="3">
        <v>12.24</v>
      </c>
      <c r="G4402" s="3">
        <v>2</v>
      </c>
      <c r="H4402" s="3">
        <v>0</v>
      </c>
      <c r="I4402" s="3">
        <f>E4402+G4402+H4402</f>
        <v>28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15</v>
      </c>
      <c r="K4402" s="3">
        <f>I4402-J4402</f>
        <v>13</v>
      </c>
      <c r="L4402" s="3" t="str">
        <f>IF(K4402&lt;-5,"CRÍTICO",IF(K4402&lt;0,"ATENÇÃO",IF(K4402&lt;=5,"OPORTUNO","MUITO BOM")))</f>
        <v>MUITO BOM</v>
      </c>
      <c r="M4402" s="3">
        <v>21</v>
      </c>
      <c r="N4402" s="3">
        <v>97.4</v>
      </c>
      <c r="O4402" s="12">
        <v>23.80952380952381</v>
      </c>
    </row>
    <row r="4403" spans="1:15" x14ac:dyDescent="0.25">
      <c r="A4403" s="10">
        <v>46171</v>
      </c>
      <c r="B4403" t="s">
        <v>28</v>
      </c>
      <c r="C4403" s="1" t="s">
        <v>26</v>
      </c>
      <c r="D4403" s="3">
        <v>38</v>
      </c>
      <c r="E4403" s="3">
        <v>22</v>
      </c>
      <c r="F4403" s="3">
        <v>10.35</v>
      </c>
      <c r="G4403" s="3">
        <v>0</v>
      </c>
      <c r="H4403" s="3">
        <v>0</v>
      </c>
      <c r="I4403" s="3">
        <f>E4403+G4403+H4403</f>
        <v>22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16</v>
      </c>
      <c r="K4403" s="3">
        <f>I4403-J4403</f>
        <v>6</v>
      </c>
      <c r="L4403" s="3" t="str">
        <f>IF(K4403&lt;-5,"CRÍTICO",IF(K4403&lt;0,"ATENÇÃO",IF(K4403&lt;=5,"OPORTUNO","MUITO BOM")))</f>
        <v>MUITO BOM</v>
      </c>
      <c r="M4403" s="3">
        <v>1</v>
      </c>
      <c r="N4403" s="3">
        <v>97.47</v>
      </c>
      <c r="O4403" s="12">
        <v>23.722627737226279</v>
      </c>
    </row>
    <row r="4404" spans="1:15" x14ac:dyDescent="0.25">
      <c r="A4404" s="10">
        <v>46143</v>
      </c>
      <c r="B4404" t="s">
        <v>29</v>
      </c>
      <c r="C4404" s="1" t="s">
        <v>26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f>E4404+G4404+H4404</f>
        <v>0</v>
      </c>
      <c r="J4404" s="3">
        <v>0</v>
      </c>
      <c r="K4404" s="3">
        <f>I4404-J4404</f>
        <v>0</v>
      </c>
      <c r="L4404" s="3" t="str">
        <f>IF(K4404&lt;-5,"CRÍTICO",IF(K4404&lt;0,"ATENÇÃO",IF(K4404&lt;=5,"OPORTUNO","MUITO BOM")))</f>
        <v>OPORTUNO</v>
      </c>
      <c r="M4404" s="3">
        <v>0</v>
      </c>
      <c r="N4404" s="3">
        <v>100</v>
      </c>
      <c r="O4404" s="12">
        <v>20.0836820083682</v>
      </c>
    </row>
    <row r="4405" spans="1:15" x14ac:dyDescent="0.25">
      <c r="A4405" s="5">
        <v>46146</v>
      </c>
      <c r="B4405" s="6" t="s">
        <v>29</v>
      </c>
      <c r="C4405" s="1" t="s">
        <v>26</v>
      </c>
      <c r="D4405" s="3">
        <v>23</v>
      </c>
      <c r="E4405" s="3">
        <v>23</v>
      </c>
      <c r="F4405" s="3">
        <v>17.350000000000001</v>
      </c>
      <c r="G4405" s="3">
        <v>0</v>
      </c>
      <c r="H4405" s="3">
        <v>0</v>
      </c>
      <c r="I4405" s="3">
        <f>E4405+G4405+H4405</f>
        <v>23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20</v>
      </c>
      <c r="K4405" s="3">
        <f>I4405-J4405</f>
        <v>3</v>
      </c>
      <c r="L4405" s="3" t="str">
        <f>IF(K4405&lt;-5,"CRÍTICO",IF(K4405&lt;0,"ATENÇÃO",IF(K4405&lt;=5,"OPORTUNO","MUITO BOM")))</f>
        <v>OPORTUNO</v>
      </c>
      <c r="M4405" s="3">
        <v>18</v>
      </c>
      <c r="N4405" s="3">
        <v>100</v>
      </c>
      <c r="O4405" s="12">
        <v>20.0836820083682</v>
      </c>
    </row>
    <row r="4406" spans="1:15" x14ac:dyDescent="0.25">
      <c r="A4406" s="5">
        <v>46147</v>
      </c>
      <c r="B4406" s="6" t="s">
        <v>29</v>
      </c>
      <c r="C4406" s="1" t="s">
        <v>26</v>
      </c>
      <c r="D4406" s="3">
        <v>18</v>
      </c>
      <c r="E4406" s="3">
        <v>17</v>
      </c>
      <c r="F4406" s="3">
        <v>20.04</v>
      </c>
      <c r="G4406" s="3">
        <v>0</v>
      </c>
      <c r="H4406" s="3">
        <v>0</v>
      </c>
      <c r="I4406" s="3">
        <f>E4406+G4406+H4406</f>
        <v>17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>I4406-J4406</f>
        <v>-3</v>
      </c>
      <c r="L4406" s="3" t="str">
        <f>IF(K4406&lt;-5,"CRÍTICO",IF(K4406&lt;0,"ATENÇÃO",IF(K4406&lt;=5,"OPORTUNO","MUITO BOM")))</f>
        <v>ATENÇÃO</v>
      </c>
      <c r="M4406" s="3">
        <v>17</v>
      </c>
      <c r="N4406" s="3">
        <v>100</v>
      </c>
      <c r="O4406" s="12">
        <v>20.0836820083682</v>
      </c>
    </row>
    <row r="4407" spans="1:15" hidden="1" x14ac:dyDescent="0.25">
      <c r="A4407" s="9">
        <v>46164</v>
      </c>
      <c r="B4407" s="6" t="s">
        <v>31</v>
      </c>
      <c r="C4407" s="1" t="s">
        <v>32</v>
      </c>
      <c r="D4407" s="3">
        <v>0</v>
      </c>
      <c r="E4407" s="3">
        <v>0</v>
      </c>
      <c r="F4407" s="3">
        <v>0</v>
      </c>
      <c r="G4407" s="3">
        <v>0</v>
      </c>
      <c r="H4407" s="3">
        <v>0</v>
      </c>
      <c r="I4407" s="3">
        <f>E4407+G4407+H4407</f>
        <v>0</v>
      </c>
      <c r="J4407" s="3">
        <v>0</v>
      </c>
      <c r="K4407" s="3">
        <f>I4407-J4407</f>
        <v>0</v>
      </c>
      <c r="L4407" s="3" t="str">
        <f>IF(K4407&lt;-5,"CRÍTICO",IF(K4407&lt;0,"ATENÇÃO",IF(K4407&lt;=5,"OPORTUNO","MUITO BOM")))</f>
        <v>OPORTUNO</v>
      </c>
      <c r="M4407" s="3">
        <v>0</v>
      </c>
      <c r="N4407" s="3">
        <v>100</v>
      </c>
      <c r="O4407" s="12">
        <v>0</v>
      </c>
    </row>
    <row r="4408" spans="1:15" hidden="1" x14ac:dyDescent="0.25">
      <c r="A4408" s="9">
        <v>46164</v>
      </c>
      <c r="B4408" s="6" t="s">
        <v>33</v>
      </c>
      <c r="C4408" s="1" t="s">
        <v>32</v>
      </c>
      <c r="D4408" s="3">
        <v>20</v>
      </c>
      <c r="E4408" s="3">
        <v>20</v>
      </c>
      <c r="F4408" s="3">
        <v>20.440000000000001</v>
      </c>
      <c r="G4408" s="3">
        <v>3</v>
      </c>
      <c r="H4408" s="3">
        <v>0</v>
      </c>
      <c r="I4408" s="3">
        <f>E4408+G4408+H4408</f>
        <v>23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19</v>
      </c>
      <c r="K4408" s="3">
        <f>I4408-J4408</f>
        <v>4</v>
      </c>
      <c r="L4408" s="3" t="str">
        <f>IF(K4408&lt;-5,"CRÍTICO",IF(K4408&lt;0,"ATENÇÃO",IF(K4408&lt;=5,"OPORTUNO","MUITO BOM")))</f>
        <v>OPORTUNO</v>
      </c>
      <c r="M4408" s="3">
        <v>16</v>
      </c>
      <c r="N4408" s="3">
        <v>96.94</v>
      </c>
      <c r="O4408" s="12">
        <v>19.613259668508292</v>
      </c>
    </row>
    <row r="4409" spans="1:15" hidden="1" x14ac:dyDescent="0.25">
      <c r="A4409" s="9">
        <v>46164</v>
      </c>
      <c r="B4409" s="6" t="s">
        <v>34</v>
      </c>
      <c r="C4409" s="1" t="s">
        <v>32</v>
      </c>
      <c r="D4409" s="3">
        <v>25</v>
      </c>
      <c r="E4409" s="3">
        <v>24</v>
      </c>
      <c r="F4409" s="3">
        <v>15.42</v>
      </c>
      <c r="G4409" s="3">
        <v>0</v>
      </c>
      <c r="H4409" s="3">
        <v>0</v>
      </c>
      <c r="I4409" s="3">
        <f>E4409+G4409+H4409</f>
        <v>24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19</v>
      </c>
      <c r="K4409" s="3">
        <f>I4409-J4409</f>
        <v>5</v>
      </c>
      <c r="L4409" s="3" t="str">
        <f>IF(K4409&lt;-5,"CRÍTICO",IF(K4409&lt;0,"ATENÇÃO",IF(K4409&lt;=5,"OPORTUNO","MUITO BOM")))</f>
        <v>OPORTUNO</v>
      </c>
      <c r="M4409" s="3">
        <v>22</v>
      </c>
      <c r="N4409" s="3">
        <v>92.81</v>
      </c>
      <c r="O4409" s="12">
        <v>25.477707006369432</v>
      </c>
    </row>
    <row r="4410" spans="1:15" hidden="1" x14ac:dyDescent="0.25">
      <c r="A4410" s="9">
        <v>46164</v>
      </c>
      <c r="B4410" s="6" t="s">
        <v>35</v>
      </c>
      <c r="C4410" s="1" t="s">
        <v>32</v>
      </c>
      <c r="D4410" s="3">
        <v>0</v>
      </c>
      <c r="E4410" s="3">
        <v>0</v>
      </c>
      <c r="F4410" s="3">
        <v>0</v>
      </c>
      <c r="G4410" s="3">
        <v>0</v>
      </c>
      <c r="H4410" s="3">
        <v>0</v>
      </c>
      <c r="I4410" s="3">
        <f>E4410+G4410+H4410</f>
        <v>0</v>
      </c>
      <c r="J4410" s="3">
        <v>0</v>
      </c>
      <c r="K4410" s="3">
        <f>I4410-J4410</f>
        <v>0</v>
      </c>
      <c r="L4410" s="3" t="str">
        <f>IF(K4410&lt;-5,"CRÍTICO",IF(K4410&lt;0,"ATENÇÃO",IF(K4410&lt;=5,"OPORTUNO","MUITO BOM")))</f>
        <v>OPORTUNO</v>
      </c>
      <c r="M4410" s="3">
        <v>0</v>
      </c>
      <c r="N4410" s="3">
        <v>99.19</v>
      </c>
      <c r="O4410" s="12">
        <v>28.404669260700391</v>
      </c>
    </row>
    <row r="4411" spans="1:15" hidden="1" x14ac:dyDescent="0.25">
      <c r="A4411" s="9">
        <v>46164</v>
      </c>
      <c r="B4411" s="6" t="s">
        <v>36</v>
      </c>
      <c r="C4411" s="1" t="s">
        <v>32</v>
      </c>
      <c r="D4411" s="3">
        <v>12</v>
      </c>
      <c r="E4411" s="3">
        <v>11</v>
      </c>
      <c r="F4411" s="3">
        <v>12.15</v>
      </c>
      <c r="G4411" s="3">
        <v>1</v>
      </c>
      <c r="H4411" s="3">
        <v>0</v>
      </c>
      <c r="I4411" s="3">
        <f>E4411+G4411+H4411</f>
        <v>12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19</v>
      </c>
      <c r="K4411" s="3">
        <f>I4411-J4411</f>
        <v>-7</v>
      </c>
      <c r="L4411" s="3" t="str">
        <f>IF(K4411&lt;-5,"CRÍTICO",IF(K4411&lt;0,"ATENÇÃO",IF(K4411&lt;=5,"OPORTUNO","MUITO BOM")))</f>
        <v>CRÍTICO</v>
      </c>
      <c r="M4411" s="3">
        <v>9</v>
      </c>
      <c r="N4411" s="3">
        <v>100</v>
      </c>
      <c r="O4411" s="12">
        <v>13.51351351351351</v>
      </c>
    </row>
    <row r="4412" spans="1:15" hidden="1" x14ac:dyDescent="0.25">
      <c r="A4412" s="9">
        <v>46164</v>
      </c>
      <c r="B4412" s="6" t="s">
        <v>37</v>
      </c>
      <c r="C4412" s="1" t="s">
        <v>32</v>
      </c>
      <c r="D4412" s="3">
        <v>28</v>
      </c>
      <c r="E4412" s="3">
        <v>26</v>
      </c>
      <c r="F4412" s="3">
        <v>12.35</v>
      </c>
      <c r="G4412" s="3">
        <v>5</v>
      </c>
      <c r="H4412" s="3">
        <v>0</v>
      </c>
      <c r="I4412" s="3">
        <f>E4412+G4412+H4412</f>
        <v>31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19</v>
      </c>
      <c r="K4412" s="3">
        <f>I4412-J4412</f>
        <v>12</v>
      </c>
      <c r="L4412" s="3" t="str">
        <f>IF(K4412&lt;-5,"CRÍTICO",IF(K4412&lt;0,"ATENÇÃO",IF(K4412&lt;=5,"OPORTUNO","MUITO BOM")))</f>
        <v>MUITO BOM</v>
      </c>
      <c r="M4412" s="3">
        <v>23</v>
      </c>
      <c r="N4412" s="3">
        <v>99</v>
      </c>
      <c r="O4412" s="12">
        <v>22.27414330218069</v>
      </c>
    </row>
    <row r="4413" spans="1:15" hidden="1" x14ac:dyDescent="0.25">
      <c r="A4413" s="9">
        <v>46164</v>
      </c>
      <c r="B4413" s="6" t="s">
        <v>38</v>
      </c>
      <c r="C4413" s="1" t="s">
        <v>32</v>
      </c>
      <c r="D4413" s="3">
        <v>14</v>
      </c>
      <c r="E4413" s="3">
        <v>14</v>
      </c>
      <c r="F4413" s="3">
        <v>21.55</v>
      </c>
      <c r="G4413" s="3">
        <v>0</v>
      </c>
      <c r="H4413" s="3">
        <v>0</v>
      </c>
      <c r="I4413" s="3">
        <f>E4413+G4413+H4413</f>
        <v>14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19</v>
      </c>
      <c r="K4413" s="3">
        <f>I4413-J4413</f>
        <v>-5</v>
      </c>
      <c r="L4413" s="3" t="str">
        <f>IF(K4413&lt;-5,"CRÍTICO",IF(K4413&lt;0,"ATENÇÃO",IF(K4413&lt;=5,"OPORTUNO","MUITO BOM")))</f>
        <v>ATENÇÃO</v>
      </c>
      <c r="M4413" s="3">
        <v>14</v>
      </c>
      <c r="N4413" s="3">
        <v>97.04</v>
      </c>
      <c r="O4413" s="12">
        <v>29.828850855745721</v>
      </c>
    </row>
    <row r="4414" spans="1:15" hidden="1" x14ac:dyDescent="0.25">
      <c r="A4414" s="9">
        <v>46164</v>
      </c>
      <c r="B4414" s="6" t="s">
        <v>39</v>
      </c>
      <c r="C4414" s="1" t="s">
        <v>32</v>
      </c>
      <c r="D4414" s="3">
        <v>0</v>
      </c>
      <c r="E4414" s="3">
        <v>0</v>
      </c>
      <c r="F4414" s="3">
        <v>0</v>
      </c>
      <c r="G4414" s="3">
        <v>0</v>
      </c>
      <c r="H4414" s="3">
        <v>0</v>
      </c>
      <c r="I4414" s="3">
        <f>E4414+G4414+H4414</f>
        <v>0</v>
      </c>
      <c r="J4414" s="3">
        <v>0</v>
      </c>
      <c r="K4414" s="3">
        <f>I4414-J4414</f>
        <v>0</v>
      </c>
      <c r="L4414" s="3" t="str">
        <f>IF(K4414&lt;-5,"CRÍTICO",IF(K4414&lt;0,"ATENÇÃO",IF(K4414&lt;=5,"OPORTUNO","MUITO BOM")))</f>
        <v>OPORTUNO</v>
      </c>
      <c r="M4414" s="3">
        <v>0</v>
      </c>
      <c r="N4414" s="3">
        <v>0</v>
      </c>
      <c r="O4414" s="12">
        <v>0</v>
      </c>
    </row>
    <row r="4415" spans="1:15" hidden="1" x14ac:dyDescent="0.25">
      <c r="A4415" s="9">
        <v>46164</v>
      </c>
      <c r="B4415" s="6" t="s">
        <v>40</v>
      </c>
      <c r="C4415" s="1" t="s">
        <v>32</v>
      </c>
      <c r="D4415" s="3">
        <v>19</v>
      </c>
      <c r="E4415" s="3">
        <v>19</v>
      </c>
      <c r="F4415" s="3">
        <v>16.57</v>
      </c>
      <c r="G4415" s="3">
        <v>0</v>
      </c>
      <c r="H4415" s="3">
        <v>0</v>
      </c>
      <c r="I4415" s="3">
        <f>E4415+G4415+H4415</f>
        <v>19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19</v>
      </c>
      <c r="K4415" s="3">
        <f>I4415-J4415</f>
        <v>0</v>
      </c>
      <c r="L4415" s="3" t="str">
        <f>IF(K4415&lt;-5,"CRÍTICO",IF(K4415&lt;0,"ATENÇÃO",IF(K4415&lt;=5,"OPORTUNO","MUITO BOM")))</f>
        <v>OPORTUNO</v>
      </c>
      <c r="M4415" s="3">
        <v>21</v>
      </c>
      <c r="N4415" s="3">
        <v>96.84</v>
      </c>
      <c r="O4415" s="12">
        <v>16.338028169014081</v>
      </c>
    </row>
    <row r="4416" spans="1:15" hidden="1" x14ac:dyDescent="0.25">
      <c r="A4416" s="9">
        <v>46164</v>
      </c>
      <c r="B4416" s="6" t="s">
        <v>41</v>
      </c>
      <c r="C4416" s="1" t="s">
        <v>32</v>
      </c>
      <c r="D4416" s="3">
        <v>21</v>
      </c>
      <c r="E4416" s="3">
        <v>20</v>
      </c>
      <c r="F4416" s="3">
        <v>16.59</v>
      </c>
      <c r="G4416" s="3">
        <v>0</v>
      </c>
      <c r="H4416" s="3">
        <v>0</v>
      </c>
      <c r="I4416" s="3">
        <f>E4416+G4416+H4416</f>
        <v>20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19</v>
      </c>
      <c r="K4416" s="3">
        <f>I4416-J4416</f>
        <v>1</v>
      </c>
      <c r="L4416" s="3" t="str">
        <f>IF(K4416&lt;-5,"CRÍTICO",IF(K4416&lt;0,"ATENÇÃO",IF(K4416&lt;=5,"OPORTUNO","MUITO BOM")))</f>
        <v>OPORTUNO</v>
      </c>
      <c r="M4416" s="3">
        <v>20</v>
      </c>
      <c r="N4416" s="3">
        <v>100</v>
      </c>
      <c r="O4416" s="12">
        <v>18.244803695150122</v>
      </c>
    </row>
    <row r="4417" spans="1:15" hidden="1" x14ac:dyDescent="0.25">
      <c r="A4417" s="9">
        <v>46164</v>
      </c>
      <c r="B4417" s="6" t="s">
        <v>42</v>
      </c>
      <c r="C4417" s="1" t="s">
        <v>32</v>
      </c>
      <c r="D4417" s="3">
        <v>26</v>
      </c>
      <c r="E4417" s="3">
        <v>19</v>
      </c>
      <c r="F4417" s="3">
        <v>12.11</v>
      </c>
      <c r="G4417" s="3">
        <v>0</v>
      </c>
      <c r="H4417" s="3">
        <v>0</v>
      </c>
      <c r="I4417" s="3">
        <f>E4417+G4417+H4417</f>
        <v>19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19</v>
      </c>
      <c r="K4417" s="3">
        <f>I4417-J4417</f>
        <v>0</v>
      </c>
      <c r="L4417" s="3" t="str">
        <f>IF(K4417&lt;-5,"CRÍTICO",IF(K4417&lt;0,"ATENÇÃO",IF(K4417&lt;=5,"OPORTUNO","MUITO BOM")))</f>
        <v>OPORTUNO</v>
      </c>
      <c r="M4417" s="3">
        <v>15</v>
      </c>
      <c r="N4417" s="3">
        <v>100</v>
      </c>
      <c r="O4417" s="12">
        <v>15.789473684210529</v>
      </c>
    </row>
    <row r="4418" spans="1:15" hidden="1" x14ac:dyDescent="0.25">
      <c r="A4418" s="9">
        <v>46164</v>
      </c>
      <c r="B4418" s="6" t="s">
        <v>44</v>
      </c>
      <c r="C4418" s="1" t="s">
        <v>32</v>
      </c>
      <c r="D4418" s="3">
        <v>23</v>
      </c>
      <c r="E4418" s="3">
        <v>20</v>
      </c>
      <c r="F4418" s="3">
        <v>13.5</v>
      </c>
      <c r="G4418" s="3">
        <v>5</v>
      </c>
      <c r="H4418" s="3">
        <v>0</v>
      </c>
      <c r="I4418" s="3">
        <f>E4418+G4418+H4418</f>
        <v>25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6</v>
      </c>
      <c r="L4418" s="3" t="str">
        <f>IF(K4418&lt;-5,"CRÍTICO",IF(K4418&lt;0,"ATENÇÃO",IF(K4418&lt;=5,"OPORTUNO","MUITO BOM")))</f>
        <v>MUITO BOM</v>
      </c>
      <c r="M4418" s="3">
        <v>16</v>
      </c>
      <c r="N4418" s="3">
        <v>96.38</v>
      </c>
      <c r="O4418" s="12">
        <v>23.198198198198199</v>
      </c>
    </row>
    <row r="4419" spans="1:15" hidden="1" x14ac:dyDescent="0.25">
      <c r="A4419" s="9">
        <v>46164</v>
      </c>
      <c r="B4419" s="6" t="s">
        <v>45</v>
      </c>
      <c r="C4419" s="1" t="s">
        <v>32</v>
      </c>
      <c r="D4419" s="3">
        <v>25</v>
      </c>
      <c r="E4419" s="3">
        <v>22</v>
      </c>
      <c r="F4419" s="3">
        <v>13.32</v>
      </c>
      <c r="G4419" s="3">
        <v>0</v>
      </c>
      <c r="H4419" s="3">
        <v>0</v>
      </c>
      <c r="I4419" s="3">
        <f>E4419+G4419+H4419</f>
        <v>22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3</v>
      </c>
      <c r="L4419" s="3" t="str">
        <f>IF(K4419&lt;-5,"CRÍTICO",IF(K4419&lt;0,"ATENÇÃO",IF(K4419&lt;=5,"OPORTUNO","MUITO BOM")))</f>
        <v>OPORTUNO</v>
      </c>
      <c r="M4419" s="3">
        <v>18</v>
      </c>
      <c r="N4419" s="3">
        <v>99.39</v>
      </c>
      <c r="O4419" s="12">
        <v>25.203252032520329</v>
      </c>
    </row>
    <row r="4420" spans="1:15" hidden="1" x14ac:dyDescent="0.25">
      <c r="A4420" s="9">
        <v>46164</v>
      </c>
      <c r="B4420" s="6" t="s">
        <v>46</v>
      </c>
      <c r="C4420" s="1" t="s">
        <v>32</v>
      </c>
      <c r="D4420" s="3">
        <v>26</v>
      </c>
      <c r="E4420" s="3">
        <v>22</v>
      </c>
      <c r="F4420" s="3">
        <v>13.4</v>
      </c>
      <c r="G4420" s="3">
        <v>0</v>
      </c>
      <c r="H4420" s="3">
        <v>0</v>
      </c>
      <c r="I4420" s="3">
        <f>E4420+G4420+H4420</f>
        <v>22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3</v>
      </c>
      <c r="L4420" s="3" t="str">
        <f>IF(K4420&lt;-5,"CRÍTICO",IF(K4420&lt;0,"ATENÇÃO",IF(K4420&lt;=5,"OPORTUNO","MUITO BOM")))</f>
        <v>OPORTUNO</v>
      </c>
      <c r="M4420" s="3">
        <v>17</v>
      </c>
      <c r="N4420" s="3">
        <v>97</v>
      </c>
      <c r="O4420" s="12">
        <v>20.325203252032519</v>
      </c>
    </row>
    <row r="4421" spans="1:15" hidden="1" x14ac:dyDescent="0.25">
      <c r="A4421" s="5">
        <v>46164</v>
      </c>
      <c r="B4421" s="6" t="s">
        <v>47</v>
      </c>
      <c r="C4421" s="1" t="s">
        <v>48</v>
      </c>
      <c r="D4421" s="3">
        <v>23</v>
      </c>
      <c r="E4421" s="3">
        <v>15</v>
      </c>
      <c r="F4421" s="3">
        <v>15.08</v>
      </c>
      <c r="G4421" s="3">
        <v>1</v>
      </c>
      <c r="H4421" s="3">
        <v>0</v>
      </c>
      <c r="I4421" s="3">
        <f>E4421+G4421+H4421</f>
        <v>16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15</v>
      </c>
      <c r="K4421" s="3">
        <f>I4421-J4421</f>
        <v>1</v>
      </c>
      <c r="L4421" s="3" t="str">
        <f>IF(K4421&lt;-5,"CRÍTICO",IF(K4421&lt;0,"ATENÇÃO",IF(K4421&lt;=5,"OPORTUNO","MUITO BOM")))</f>
        <v>OPORTUNO</v>
      </c>
      <c r="M4421" s="3">
        <v>11</v>
      </c>
      <c r="N4421" s="3">
        <v>99.18</v>
      </c>
      <c r="O4421" s="12">
        <v>24.501424501424498</v>
      </c>
    </row>
    <row r="4422" spans="1:15" hidden="1" x14ac:dyDescent="0.25">
      <c r="A4422" s="9">
        <v>46164</v>
      </c>
      <c r="B4422" s="6" t="s">
        <v>49</v>
      </c>
      <c r="C4422" s="1" t="s">
        <v>48</v>
      </c>
      <c r="D4422" s="3">
        <v>30</v>
      </c>
      <c r="E4422" s="3">
        <v>27</v>
      </c>
      <c r="F4422" s="3">
        <v>9.15</v>
      </c>
      <c r="G4422" s="3">
        <v>6</v>
      </c>
      <c r="H4422" s="3">
        <v>0</v>
      </c>
      <c r="I4422" s="3">
        <f>E4422+G4422+H4422</f>
        <v>33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15</v>
      </c>
      <c r="K4422" s="3">
        <f>I4422-J4422</f>
        <v>18</v>
      </c>
      <c r="L4422" s="3" t="str">
        <f>IF(K4422&lt;-5,"CRÍTICO",IF(K4422&lt;0,"ATENÇÃO",IF(K4422&lt;=5,"OPORTUNO","MUITO BOM")))</f>
        <v>MUITO BOM</v>
      </c>
      <c r="M4422" s="3">
        <v>24</v>
      </c>
      <c r="N4422" s="3">
        <v>99.35</v>
      </c>
      <c r="O4422" s="12">
        <v>19.852941176470591</v>
      </c>
    </row>
    <row r="4423" spans="1:15" hidden="1" x14ac:dyDescent="0.25">
      <c r="A4423" s="9">
        <v>46164</v>
      </c>
      <c r="B4423" s="6" t="s">
        <v>50</v>
      </c>
      <c r="C4423" s="1" t="s">
        <v>48</v>
      </c>
      <c r="D4423" s="3">
        <v>13</v>
      </c>
      <c r="E4423" s="3">
        <v>12</v>
      </c>
      <c r="F4423" s="3">
        <v>16.53</v>
      </c>
      <c r="G4423" s="3">
        <v>0</v>
      </c>
      <c r="H4423" s="3">
        <v>0</v>
      </c>
      <c r="I4423" s="3">
        <f>E4423+G4423+H4423</f>
        <v>12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15</v>
      </c>
      <c r="K4423" s="3">
        <f>I4423-J4423</f>
        <v>-3</v>
      </c>
      <c r="L4423" s="3" t="str">
        <f>IF(K4423&lt;-5,"CRÍTICO",IF(K4423&lt;0,"ATENÇÃO",IF(K4423&lt;=5,"OPORTUNO","MUITO BOM")))</f>
        <v>ATENÇÃO</v>
      </c>
      <c r="M4423" s="3">
        <v>12</v>
      </c>
      <c r="N4423" s="3">
        <v>99.07</v>
      </c>
      <c r="O4423" s="12">
        <v>20.098039215686271</v>
      </c>
    </row>
    <row r="4424" spans="1:15" hidden="1" x14ac:dyDescent="0.25">
      <c r="A4424" s="9">
        <v>46164</v>
      </c>
      <c r="B4424" s="6" t="s">
        <v>51</v>
      </c>
      <c r="C4424" s="1" t="s">
        <v>48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f>E4424+G4424+H4424</f>
        <v>0</v>
      </c>
      <c r="J4424" s="3">
        <v>0</v>
      </c>
      <c r="K4424" s="3">
        <f>I4424-J4424</f>
        <v>0</v>
      </c>
      <c r="L4424" s="3" t="str">
        <f>IF(K4424&lt;-5,"CRÍTICO",IF(K4424&lt;0,"ATENÇÃO",IF(K4424&lt;=5,"OPORTUNO","MUITO BOM")))</f>
        <v>OPORTUNO</v>
      </c>
      <c r="M4424" s="3">
        <v>0</v>
      </c>
      <c r="N4424" s="3">
        <v>98.81</v>
      </c>
      <c r="O4424" s="12">
        <v>22.767857142857139</v>
      </c>
    </row>
    <row r="4425" spans="1:15" hidden="1" x14ac:dyDescent="0.25">
      <c r="A4425" s="9">
        <v>46164</v>
      </c>
      <c r="B4425" s="6" t="s">
        <v>52</v>
      </c>
      <c r="C4425" s="1" t="s">
        <v>48</v>
      </c>
      <c r="D4425" s="3">
        <v>17</v>
      </c>
      <c r="E4425" s="3">
        <v>14</v>
      </c>
      <c r="F4425" s="3">
        <v>13.23</v>
      </c>
      <c r="G4425" s="3">
        <v>1</v>
      </c>
      <c r="H4425" s="3">
        <v>0</v>
      </c>
      <c r="I4425" s="3">
        <f>E4425+G4425+H4425</f>
        <v>15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15</v>
      </c>
      <c r="K4425" s="3">
        <f>I4425-J4425</f>
        <v>0</v>
      </c>
      <c r="L4425" s="3" t="str">
        <f>IF(K4425&lt;-5,"CRÍTICO",IF(K4425&lt;0,"ATENÇÃO",IF(K4425&lt;=5,"OPORTUNO","MUITO BOM")))</f>
        <v>OPORTUNO</v>
      </c>
      <c r="M4425" s="3">
        <v>13</v>
      </c>
      <c r="N4425" s="3">
        <v>99.01</v>
      </c>
      <c r="O4425" s="12">
        <v>17.766497461928939</v>
      </c>
    </row>
    <row r="4426" spans="1:15" hidden="1" x14ac:dyDescent="0.25">
      <c r="A4426" s="9">
        <v>46164</v>
      </c>
      <c r="B4426" s="6" t="s">
        <v>53</v>
      </c>
      <c r="C4426" s="1" t="s">
        <v>48</v>
      </c>
      <c r="D4426" s="3">
        <v>0</v>
      </c>
      <c r="E4426" s="3">
        <v>0</v>
      </c>
      <c r="F4426" s="3">
        <v>0</v>
      </c>
      <c r="G4426" s="3">
        <v>0</v>
      </c>
      <c r="H4426" s="3">
        <v>0</v>
      </c>
      <c r="I4426" s="3">
        <f>E4426+G4426+H4426</f>
        <v>0</v>
      </c>
      <c r="J4426" s="3">
        <v>0</v>
      </c>
      <c r="K4426" s="3">
        <f>I4426-J4426</f>
        <v>0</v>
      </c>
      <c r="L4426" s="3" t="str">
        <f>IF(K4426&lt;-5,"CRÍTICO",IF(K4426&lt;0,"ATENÇÃO",IF(K4426&lt;=5,"OPORTUNO","MUITO BOM")))</f>
        <v>OPORTUNO</v>
      </c>
      <c r="M4426" s="3">
        <v>0</v>
      </c>
      <c r="N4426" s="3">
        <v>100</v>
      </c>
      <c r="O4426" s="12">
        <v>17.241379310344829</v>
      </c>
    </row>
    <row r="4427" spans="1:15" hidden="1" x14ac:dyDescent="0.25">
      <c r="A4427" s="9">
        <v>46164</v>
      </c>
      <c r="B4427" s="6" t="s">
        <v>54</v>
      </c>
      <c r="C4427" s="1" t="s">
        <v>48</v>
      </c>
      <c r="D4427" s="3">
        <v>15</v>
      </c>
      <c r="E4427" s="3">
        <v>15</v>
      </c>
      <c r="F4427" s="3">
        <v>28.35</v>
      </c>
      <c r="G4427" s="3">
        <v>0</v>
      </c>
      <c r="H4427" s="3">
        <v>0</v>
      </c>
      <c r="I4427" s="3">
        <f>E4427+G4427+H4427</f>
        <v>15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15</v>
      </c>
      <c r="K4427" s="3">
        <f>I4427-J4427</f>
        <v>0</v>
      </c>
      <c r="L4427" s="3" t="str">
        <f>IF(K4427&lt;-5,"CRÍTICO",IF(K4427&lt;0,"ATENÇÃO",IF(K4427&lt;=5,"OPORTUNO","MUITO BOM")))</f>
        <v>OPORTUNO</v>
      </c>
      <c r="M4427" s="3">
        <v>13</v>
      </c>
      <c r="N4427" s="3">
        <v>98.98</v>
      </c>
      <c r="O4427" s="12">
        <v>19.35483870967742</v>
      </c>
    </row>
    <row r="4428" spans="1:15" hidden="1" x14ac:dyDescent="0.25">
      <c r="A4428" s="9">
        <v>46164</v>
      </c>
      <c r="B4428" s="6" t="s">
        <v>55</v>
      </c>
      <c r="C4428" s="1" t="s">
        <v>48</v>
      </c>
      <c r="D4428" s="3">
        <v>13</v>
      </c>
      <c r="E4428" s="3">
        <v>12</v>
      </c>
      <c r="F4428" s="3">
        <v>11.42</v>
      </c>
      <c r="G4428" s="3">
        <v>1</v>
      </c>
      <c r="H4428" s="3">
        <v>0</v>
      </c>
      <c r="I4428" s="3">
        <f>E4428+G4428+H4428</f>
        <v>13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15</v>
      </c>
      <c r="K4428" s="3">
        <f>I4428-J4428</f>
        <v>-2</v>
      </c>
      <c r="L4428" s="3" t="str">
        <f>IF(K4428&lt;-5,"CRÍTICO",IF(K4428&lt;0,"ATENÇÃO",IF(K4428&lt;=5,"OPORTUNO","MUITO BOM")))</f>
        <v>ATENÇÃO</v>
      </c>
      <c r="M4428" s="3">
        <v>10</v>
      </c>
      <c r="N4428" s="3">
        <v>98.94</v>
      </c>
      <c r="O4428" s="12">
        <v>21.270718232044199</v>
      </c>
    </row>
    <row r="4429" spans="1:15" hidden="1" x14ac:dyDescent="0.25">
      <c r="A4429" s="9">
        <v>46164</v>
      </c>
      <c r="B4429" s="6" t="s">
        <v>56</v>
      </c>
      <c r="C4429" s="1" t="s">
        <v>48</v>
      </c>
      <c r="D4429" s="3">
        <v>19</v>
      </c>
      <c r="E4429" s="3">
        <v>18</v>
      </c>
      <c r="F4429" s="3">
        <v>20.48</v>
      </c>
      <c r="G4429" s="3">
        <v>1</v>
      </c>
      <c r="H4429" s="3">
        <v>0</v>
      </c>
      <c r="I4429" s="3">
        <f>E4429+G4429+H4429</f>
        <v>19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15</v>
      </c>
      <c r="K4429" s="3">
        <f>I4429-J4429</f>
        <v>4</v>
      </c>
      <c r="L4429" s="3" t="str">
        <f>IF(K4429&lt;-5,"CRÍTICO",IF(K4429&lt;0,"ATENÇÃO",IF(K4429&lt;=5,"OPORTUNO","MUITO BOM")))</f>
        <v>OPORTUNO</v>
      </c>
      <c r="M4429" s="3">
        <v>18</v>
      </c>
      <c r="N4429" s="3">
        <v>99</v>
      </c>
      <c r="O4429" s="12">
        <v>22.010869565217391</v>
      </c>
    </row>
    <row r="4430" spans="1:15" hidden="1" x14ac:dyDescent="0.25">
      <c r="A4430" s="9">
        <v>46164</v>
      </c>
      <c r="B4430" s="6" t="s">
        <v>57</v>
      </c>
      <c r="C4430" s="1" t="s">
        <v>48</v>
      </c>
      <c r="D4430" s="3">
        <v>0</v>
      </c>
      <c r="E4430" s="3">
        <v>0</v>
      </c>
      <c r="F4430" s="3">
        <v>0</v>
      </c>
      <c r="G4430" s="3">
        <v>0</v>
      </c>
      <c r="H4430" s="3">
        <v>0</v>
      </c>
      <c r="I4430" s="3">
        <f>E4430+G4430+H4430</f>
        <v>0</v>
      </c>
      <c r="J4430" s="3">
        <v>0</v>
      </c>
      <c r="K4430" s="3">
        <f>I4430-J4430</f>
        <v>0</v>
      </c>
      <c r="L4430" s="3" t="str">
        <f>IF(K4430&lt;-5,"CRÍTICO",IF(K4430&lt;0,"ATENÇÃO",IF(K4430&lt;=5,"OPORTUNO","MUITO BOM")))</f>
        <v>OPORTUNO</v>
      </c>
      <c r="M4430" s="3">
        <v>0</v>
      </c>
      <c r="N4430" s="3">
        <v>100</v>
      </c>
      <c r="O4430" s="12">
        <v>25</v>
      </c>
    </row>
    <row r="4431" spans="1:15" hidden="1" x14ac:dyDescent="0.25">
      <c r="A4431" s="9">
        <v>46164</v>
      </c>
      <c r="B4431" s="6" t="s">
        <v>58</v>
      </c>
      <c r="C4431" s="1" t="s">
        <v>48</v>
      </c>
      <c r="D4431" s="3">
        <v>17</v>
      </c>
      <c r="E4431" s="3">
        <v>17</v>
      </c>
      <c r="F4431" s="3">
        <v>22.2</v>
      </c>
      <c r="G4431" s="3">
        <v>0</v>
      </c>
      <c r="H4431" s="3">
        <v>0</v>
      </c>
      <c r="I4431" s="3">
        <f>E4431+G4431+H4431</f>
        <v>17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15</v>
      </c>
      <c r="K4431" s="3">
        <f>I4431-J4431</f>
        <v>2</v>
      </c>
      <c r="L4431" s="3" t="str">
        <f>IF(K4431&lt;-5,"CRÍTICO",IF(K4431&lt;0,"ATENÇÃO",IF(K4431&lt;=5,"OPORTUNO","MUITO BOM")))</f>
        <v>OPORTUNO</v>
      </c>
      <c r="M4431" s="3">
        <v>12</v>
      </c>
      <c r="N4431" s="3">
        <v>100</v>
      </c>
      <c r="O4431" s="12">
        <v>20.183486238532112</v>
      </c>
    </row>
    <row r="4432" spans="1:15" hidden="1" x14ac:dyDescent="0.25">
      <c r="A4432" s="9">
        <v>46164</v>
      </c>
      <c r="B4432" s="6" t="s">
        <v>59</v>
      </c>
      <c r="C4432" s="1" t="s">
        <v>23</v>
      </c>
      <c r="D4432" s="3">
        <v>11</v>
      </c>
      <c r="E4432" s="3">
        <v>9</v>
      </c>
      <c r="F4432" s="3">
        <v>15.17</v>
      </c>
      <c r="G4432" s="3">
        <v>3</v>
      </c>
      <c r="H4432" s="3">
        <v>0</v>
      </c>
      <c r="I4432" s="3">
        <f>E4432+G4432+H4432</f>
        <v>12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13</v>
      </c>
      <c r="K4432" s="3">
        <f>I4432-J4432</f>
        <v>-1</v>
      </c>
      <c r="L4432" s="3" t="str">
        <f>IF(K4432&lt;-5,"CRÍTICO",IF(K4432&lt;0,"ATENÇÃO",IF(K4432&lt;=5,"OPORTUNO","MUITO BOM")))</f>
        <v>ATENÇÃO</v>
      </c>
      <c r="M4432" s="3">
        <v>10</v>
      </c>
      <c r="N4432" s="3">
        <v>96.25</v>
      </c>
      <c r="O4432" s="12">
        <v>25.586353944562902</v>
      </c>
    </row>
    <row r="4433" spans="1:15" hidden="1" x14ac:dyDescent="0.25">
      <c r="A4433" s="9">
        <v>46164</v>
      </c>
      <c r="B4433" s="6" t="s">
        <v>60</v>
      </c>
      <c r="C4433" s="1" t="s">
        <v>23</v>
      </c>
      <c r="D4433" s="3">
        <v>15</v>
      </c>
      <c r="E4433" s="3">
        <v>14</v>
      </c>
      <c r="F4433" s="3">
        <v>12.06</v>
      </c>
      <c r="G4433" s="3">
        <v>0</v>
      </c>
      <c r="H4433" s="3">
        <v>0</v>
      </c>
      <c r="I4433" s="3">
        <f>E4433+G4433+H4433</f>
        <v>14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13</v>
      </c>
      <c r="K4433" s="3">
        <f>I4433-J4433</f>
        <v>1</v>
      </c>
      <c r="L4433" s="3" t="str">
        <f>IF(K4433&lt;-5,"CRÍTICO",IF(K4433&lt;0,"ATENÇÃO",IF(K4433&lt;=5,"OPORTUNO","MUITO BOM")))</f>
        <v>OPORTUNO</v>
      </c>
      <c r="M4433" s="3">
        <v>12</v>
      </c>
      <c r="N4433" s="3">
        <v>97.48</v>
      </c>
      <c r="O4433" s="12">
        <v>22.99465240641711</v>
      </c>
    </row>
    <row r="4434" spans="1:15" hidden="1" x14ac:dyDescent="0.25">
      <c r="A4434" s="9">
        <v>46164</v>
      </c>
      <c r="B4434" s="6" t="s">
        <v>61</v>
      </c>
      <c r="C4434" s="1" t="s">
        <v>23</v>
      </c>
      <c r="D4434" s="3">
        <v>24</v>
      </c>
      <c r="E4434" s="3">
        <v>23</v>
      </c>
      <c r="F4434" s="3">
        <v>10.35</v>
      </c>
      <c r="G4434" s="3">
        <v>0</v>
      </c>
      <c r="H4434" s="3">
        <v>0</v>
      </c>
      <c r="I4434" s="3">
        <f>E4434+G4434+H4434</f>
        <v>23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13</v>
      </c>
      <c r="K4434" s="3">
        <f>I4434-J4434</f>
        <v>10</v>
      </c>
      <c r="L4434" s="3" t="str">
        <f>IF(K4434&lt;-5,"CRÍTICO",IF(K4434&lt;0,"ATENÇÃO",IF(K4434&lt;=5,"OPORTUNO","MUITO BOM")))</f>
        <v>MUITO BOM</v>
      </c>
      <c r="M4434" s="3">
        <v>18</v>
      </c>
      <c r="N4434" s="3">
        <v>100</v>
      </c>
      <c r="O4434" s="12">
        <v>20.788530465949819</v>
      </c>
    </row>
    <row r="4435" spans="1:15" hidden="1" x14ac:dyDescent="0.25">
      <c r="A4435" s="9">
        <v>46164</v>
      </c>
      <c r="B4435" s="6" t="s">
        <v>62</v>
      </c>
      <c r="C4435" s="1" t="s">
        <v>23</v>
      </c>
      <c r="D4435" s="3">
        <v>8</v>
      </c>
      <c r="E4435" s="3">
        <v>8</v>
      </c>
      <c r="F4435" s="3">
        <v>32.369999999999997</v>
      </c>
      <c r="G4435" s="3">
        <v>0</v>
      </c>
      <c r="H4435" s="3">
        <v>0</v>
      </c>
      <c r="I4435" s="3">
        <f>E4435+G4435+H4435</f>
        <v>8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13</v>
      </c>
      <c r="K4435" s="3">
        <f>I4435-J4435</f>
        <v>-5</v>
      </c>
      <c r="L4435" s="3" t="str">
        <f>IF(K4435&lt;-5,"CRÍTICO",IF(K4435&lt;0,"ATENÇÃO",IF(K4435&lt;=5,"OPORTUNO","MUITO BOM")))</f>
        <v>ATENÇÃO</v>
      </c>
      <c r="M4435" s="3">
        <v>8</v>
      </c>
      <c r="N4435" s="3">
        <v>94.55</v>
      </c>
      <c r="O4435" s="12">
        <v>23.450134770889491</v>
      </c>
    </row>
    <row r="4436" spans="1:15" hidden="1" x14ac:dyDescent="0.25">
      <c r="A4436" s="9">
        <v>46164</v>
      </c>
      <c r="B4436" s="6" t="s">
        <v>63</v>
      </c>
      <c r="C4436" s="1" t="s">
        <v>23</v>
      </c>
      <c r="D4436" s="3">
        <v>18</v>
      </c>
      <c r="E4436" s="3">
        <v>18</v>
      </c>
      <c r="F4436" s="3">
        <v>20.45</v>
      </c>
      <c r="G4436" s="3">
        <v>2</v>
      </c>
      <c r="H4436" s="3">
        <v>0</v>
      </c>
      <c r="I4436" s="3">
        <f>E4436+G4436+H4436</f>
        <v>20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13</v>
      </c>
      <c r="K4436" s="3">
        <f>I4436-J4436</f>
        <v>7</v>
      </c>
      <c r="L4436" s="3" t="str">
        <f>IF(K4436&lt;-5,"CRÍTICO",IF(K4436&lt;0,"ATENÇÃO",IF(K4436&lt;=5,"OPORTUNO","MUITO BOM")))</f>
        <v>MUITO BOM</v>
      </c>
      <c r="M4436" s="3">
        <v>12</v>
      </c>
      <c r="N4436" s="3">
        <v>98</v>
      </c>
      <c r="O4436" s="12">
        <v>20.73490813648294</v>
      </c>
    </row>
    <row r="4437" spans="1:15" hidden="1" x14ac:dyDescent="0.25">
      <c r="A4437" s="9">
        <v>46164</v>
      </c>
      <c r="B4437" s="6" t="s">
        <v>64</v>
      </c>
      <c r="C4437" s="1" t="s">
        <v>23</v>
      </c>
      <c r="D4437" s="3">
        <v>17</v>
      </c>
      <c r="E4437" s="3">
        <v>16</v>
      </c>
      <c r="F4437" s="3">
        <v>20.55</v>
      </c>
      <c r="G4437" s="3">
        <v>1</v>
      </c>
      <c r="H4437" s="3">
        <v>0</v>
      </c>
      <c r="I4437" s="3">
        <f>E4437+G4437+H4437</f>
        <v>17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13</v>
      </c>
      <c r="K4437" s="3">
        <f>I4437-J4437</f>
        <v>4</v>
      </c>
      <c r="L4437" s="3" t="str">
        <f>IF(K4437&lt;-5,"CRÍTICO",IF(K4437&lt;0,"ATENÇÃO",IF(K4437&lt;=5,"OPORTUNO","MUITO BOM")))</f>
        <v>OPORTUNO</v>
      </c>
      <c r="M4437" s="3">
        <v>17</v>
      </c>
      <c r="N4437" s="3">
        <v>100</v>
      </c>
      <c r="O4437" s="12">
        <v>18</v>
      </c>
    </row>
    <row r="4438" spans="1:15" hidden="1" x14ac:dyDescent="0.25">
      <c r="A4438" s="9">
        <v>46164</v>
      </c>
      <c r="B4438" s="6" t="s">
        <v>22</v>
      </c>
      <c r="C4438" s="1" t="s">
        <v>23</v>
      </c>
      <c r="D4438" s="3">
        <v>8</v>
      </c>
      <c r="E4438" s="3">
        <v>7</v>
      </c>
      <c r="F4438" s="3">
        <v>18.34</v>
      </c>
      <c r="G4438" s="3">
        <v>0</v>
      </c>
      <c r="H4438" s="3">
        <v>0</v>
      </c>
      <c r="I4438" s="3">
        <f>E4438+G4438+H4438</f>
        <v>7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13</v>
      </c>
      <c r="K4438" s="3">
        <f>I4438-J4438</f>
        <v>-6</v>
      </c>
      <c r="L4438" s="3" t="str">
        <f>IF(K4438&lt;-5,"CRÍTICO",IF(K4438&lt;0,"ATENÇÃO",IF(K4438&lt;=5,"OPORTUNO","MUITO BOM")))</f>
        <v>CRÍTICO</v>
      </c>
      <c r="M4438" s="3">
        <v>7</v>
      </c>
      <c r="N4438" s="3">
        <v>99.06</v>
      </c>
      <c r="O4438" s="12">
        <v>19.417475728155338</v>
      </c>
    </row>
    <row r="4439" spans="1:15" hidden="1" x14ac:dyDescent="0.25">
      <c r="A4439" s="9">
        <v>46164</v>
      </c>
      <c r="B4439" s="6" t="s">
        <v>43</v>
      </c>
      <c r="C4439" s="1" t="s">
        <v>32</v>
      </c>
      <c r="D4439" s="3">
        <v>0</v>
      </c>
      <c r="E4439" s="3">
        <v>0</v>
      </c>
      <c r="F4439" s="3">
        <v>0</v>
      </c>
      <c r="G4439" s="3">
        <v>0</v>
      </c>
      <c r="H4439" s="3">
        <v>25</v>
      </c>
      <c r="I4439" s="3">
        <f>E4439+G4439+H4439</f>
        <v>25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19</v>
      </c>
      <c r="K4439" s="3">
        <f>I4439-J4439</f>
        <v>6</v>
      </c>
      <c r="L4439" s="3" t="str">
        <f>IF(K4439&lt;-5,"CRÍTICO",IF(K4439&lt;0,"ATENÇÃO",IF(K4439&lt;=5,"OPORTUNO","MUITO BOM")))</f>
        <v>MUITO BOM</v>
      </c>
      <c r="M4439" s="3">
        <v>3</v>
      </c>
      <c r="N4439" s="3">
        <v>98.39</v>
      </c>
      <c r="O4439" s="12">
        <v>8.7999999999999989</v>
      </c>
    </row>
    <row r="4440" spans="1:15" x14ac:dyDescent="0.25">
      <c r="A4440" s="5">
        <v>46148</v>
      </c>
      <c r="B4440" s="6" t="s">
        <v>29</v>
      </c>
      <c r="C4440" s="1" t="s">
        <v>26</v>
      </c>
      <c r="D4440" s="3">
        <v>17</v>
      </c>
      <c r="E4440" s="3">
        <v>17</v>
      </c>
      <c r="F4440" s="3">
        <v>20.34</v>
      </c>
      <c r="G4440" s="3">
        <v>0</v>
      </c>
      <c r="H4440" s="3">
        <v>0</v>
      </c>
      <c r="I4440" s="3">
        <f>E4440+G4440+H4440</f>
        <v>17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20</v>
      </c>
      <c r="K4440" s="3">
        <f>I4440-J4440</f>
        <v>-3</v>
      </c>
      <c r="L4440" s="3" t="str">
        <f>IF(K4440&lt;-5,"CRÍTICO",IF(K4440&lt;0,"ATENÇÃO",IF(K4440&lt;=5,"OPORTUNO","MUITO BOM")))</f>
        <v>ATENÇÃO</v>
      </c>
      <c r="M4440" s="3">
        <v>15</v>
      </c>
      <c r="N4440" s="3">
        <v>100</v>
      </c>
      <c r="O4440" s="12">
        <v>20.0836820083682</v>
      </c>
    </row>
    <row r="4441" spans="1:15" x14ac:dyDescent="0.25">
      <c r="A4441" s="5">
        <v>46149</v>
      </c>
      <c r="B4441" s="6" t="s">
        <v>29</v>
      </c>
      <c r="C4441" s="1" t="s">
        <v>26</v>
      </c>
      <c r="D4441" s="3">
        <v>16</v>
      </c>
      <c r="E4441" s="3">
        <v>16</v>
      </c>
      <c r="F4441" s="3">
        <v>21.57</v>
      </c>
      <c r="G4441" s="3">
        <v>8</v>
      </c>
      <c r="H4441" s="3">
        <v>0</v>
      </c>
      <c r="I4441" s="3">
        <f>E4441+G4441+H4441</f>
        <v>24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19</v>
      </c>
      <c r="K4441" s="3">
        <f>I4441-J4441</f>
        <v>5</v>
      </c>
      <c r="L4441" s="3" t="str">
        <f>IF(K4441&lt;-5,"CRÍTICO",IF(K4441&lt;0,"ATENÇÃO",IF(K4441&lt;=5,"OPORTUNO","MUITO BOM")))</f>
        <v>OPORTUNO</v>
      </c>
      <c r="M4441" s="3">
        <v>18</v>
      </c>
      <c r="N4441" s="3">
        <v>100</v>
      </c>
      <c r="O4441" s="12">
        <v>20.0836820083682</v>
      </c>
    </row>
    <row r="4442" spans="1:15" x14ac:dyDescent="0.25">
      <c r="A4442" s="5">
        <v>46150</v>
      </c>
      <c r="B4442" s="6" t="s">
        <v>29</v>
      </c>
      <c r="C4442" s="1" t="s">
        <v>26</v>
      </c>
      <c r="D4442" s="3">
        <v>14</v>
      </c>
      <c r="E4442" s="3">
        <v>14</v>
      </c>
      <c r="F4442" s="3">
        <v>23.46</v>
      </c>
      <c r="G4442" s="3">
        <v>0</v>
      </c>
      <c r="H4442" s="3">
        <v>0</v>
      </c>
      <c r="I4442" s="3">
        <f>E4442+G4442+H4442</f>
        <v>14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16</v>
      </c>
      <c r="K4442" s="3">
        <f>I4442-J4442</f>
        <v>-2</v>
      </c>
      <c r="L4442" s="3" t="str">
        <f>IF(K4442&lt;-5,"CRÍTICO",IF(K4442&lt;0,"ATENÇÃO",IF(K4442&lt;=5,"OPORTUNO","MUITO BOM")))</f>
        <v>ATENÇÃO</v>
      </c>
      <c r="M4442" s="3">
        <v>14</v>
      </c>
      <c r="N4442" s="3">
        <v>100</v>
      </c>
      <c r="O4442" s="12">
        <v>20.0836820083682</v>
      </c>
    </row>
    <row r="4443" spans="1:15" x14ac:dyDescent="0.25">
      <c r="A4443" s="5">
        <v>46153</v>
      </c>
      <c r="B4443" s="6" t="s">
        <v>29</v>
      </c>
      <c r="C4443" s="1" t="s">
        <v>26</v>
      </c>
      <c r="D4443" s="3">
        <v>11</v>
      </c>
      <c r="E4443" s="3">
        <v>11</v>
      </c>
      <c r="F4443" s="3">
        <v>15.43</v>
      </c>
      <c r="G4443" s="3">
        <v>0</v>
      </c>
      <c r="H4443" s="3">
        <v>0</v>
      </c>
      <c r="I4443" s="3">
        <f>E4443+G4443+H4443</f>
        <v>11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17</v>
      </c>
      <c r="K4443" s="3">
        <f>I4443-J4443</f>
        <v>-6</v>
      </c>
      <c r="L4443" s="3" t="str">
        <f>IF(K4443&lt;-5,"CRÍTICO",IF(K4443&lt;0,"ATENÇÃO",IF(K4443&lt;=5,"OPORTUNO","MUITO BOM")))</f>
        <v>CRÍTICO</v>
      </c>
      <c r="M4443" s="3">
        <v>12</v>
      </c>
      <c r="N4443" s="3">
        <v>100</v>
      </c>
      <c r="O4443" s="12">
        <v>20.0836820083682</v>
      </c>
    </row>
    <row r="4444" spans="1:15" x14ac:dyDescent="0.25">
      <c r="A4444" s="5">
        <v>46154</v>
      </c>
      <c r="B4444" s="6" t="s">
        <v>29</v>
      </c>
      <c r="C4444" s="1" t="s">
        <v>26</v>
      </c>
      <c r="D4444" s="3">
        <v>21</v>
      </c>
      <c r="E4444" s="3">
        <v>21</v>
      </c>
      <c r="F4444" s="3">
        <v>21.44</v>
      </c>
      <c r="G4444" s="3">
        <v>0</v>
      </c>
      <c r="H4444" s="3">
        <v>0</v>
      </c>
      <c r="I4444" s="3">
        <f>E4444+G4444+H4444</f>
        <v>21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18</v>
      </c>
      <c r="K4444" s="3">
        <f>I4444-J4444</f>
        <v>3</v>
      </c>
      <c r="L4444" s="3" t="str">
        <f>IF(K4444&lt;-5,"CRÍTICO",IF(K4444&lt;0,"ATENÇÃO",IF(K4444&lt;=5,"OPORTUNO","MUITO BOM")))</f>
        <v>OPORTUNO</v>
      </c>
      <c r="M4444" s="3">
        <v>19</v>
      </c>
      <c r="N4444" s="3">
        <v>100</v>
      </c>
      <c r="O4444" s="12">
        <v>20.0836820083682</v>
      </c>
    </row>
    <row r="4445" spans="1:15" x14ac:dyDescent="0.25">
      <c r="A4445" s="5">
        <v>46155</v>
      </c>
      <c r="B4445" s="6" t="s">
        <v>29</v>
      </c>
      <c r="C4445" s="1" t="s">
        <v>26</v>
      </c>
      <c r="D4445" s="3">
        <v>12</v>
      </c>
      <c r="E4445" s="3">
        <v>11</v>
      </c>
      <c r="F4445" s="3">
        <v>25.27</v>
      </c>
      <c r="G4445" s="3">
        <v>0</v>
      </c>
      <c r="H4445" s="3">
        <v>0</v>
      </c>
      <c r="I4445" s="3">
        <f>E4445+G4445+H4445</f>
        <v>11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16</v>
      </c>
      <c r="K4445" s="3">
        <f>I4445-J4445</f>
        <v>-5</v>
      </c>
      <c r="L4445" s="3" t="str">
        <f>IF(K4445&lt;-5,"CRÍTICO",IF(K4445&lt;0,"ATENÇÃO",IF(K4445&lt;=5,"OPORTUNO","MUITO BOM")))</f>
        <v>ATENÇÃO</v>
      </c>
      <c r="M4445" s="3">
        <v>14</v>
      </c>
      <c r="N4445" s="3">
        <v>100</v>
      </c>
      <c r="O4445" s="12">
        <v>20.0836820083682</v>
      </c>
    </row>
    <row r="4446" spans="1:15" x14ac:dyDescent="0.25">
      <c r="A4446" s="5">
        <v>46156</v>
      </c>
      <c r="B4446" s="6" t="s">
        <v>29</v>
      </c>
      <c r="C4446" s="1" t="s">
        <v>26</v>
      </c>
      <c r="D4446" s="3">
        <v>15</v>
      </c>
      <c r="E4446" s="3">
        <v>15</v>
      </c>
      <c r="F4446" s="3">
        <v>19.079999999999998</v>
      </c>
      <c r="G4446" s="3">
        <v>0</v>
      </c>
      <c r="H4446" s="3">
        <v>0</v>
      </c>
      <c r="I4446" s="3">
        <f>E4446+G4446+H4446</f>
        <v>15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16</v>
      </c>
      <c r="K4446" s="3">
        <f>I4446-J4446</f>
        <v>-1</v>
      </c>
      <c r="L4446" s="3" t="str">
        <f>IF(K4446&lt;-5,"CRÍTICO",IF(K4446&lt;0,"ATENÇÃO",IF(K4446&lt;=5,"OPORTUNO","MUITO BOM")))</f>
        <v>ATENÇÃO</v>
      </c>
      <c r="M4446" s="3">
        <v>13</v>
      </c>
      <c r="N4446" s="3">
        <v>100</v>
      </c>
      <c r="O4446" s="12">
        <v>20.0836820083682</v>
      </c>
    </row>
    <row r="4447" spans="1:15" x14ac:dyDescent="0.25">
      <c r="A4447" s="5">
        <v>46157</v>
      </c>
      <c r="B4447" s="6" t="s">
        <v>29</v>
      </c>
      <c r="C4447" s="1" t="s">
        <v>26</v>
      </c>
      <c r="D4447" s="3">
        <v>13</v>
      </c>
      <c r="E4447" s="3">
        <v>13</v>
      </c>
      <c r="F4447" s="3">
        <v>28.33</v>
      </c>
      <c r="G4447" s="3">
        <v>0</v>
      </c>
      <c r="H4447" s="3">
        <v>0</v>
      </c>
      <c r="I4447" s="3">
        <f>E4447+G4447+H4447</f>
        <v>13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17</v>
      </c>
      <c r="K4447" s="3">
        <f>I4447-J4447</f>
        <v>-4</v>
      </c>
      <c r="L4447" s="3" t="str">
        <f>IF(K4447&lt;-5,"CRÍTICO",IF(K4447&lt;0,"ATENÇÃO",IF(K4447&lt;=5,"OPORTUNO","MUITO BOM")))</f>
        <v>ATENÇÃO</v>
      </c>
      <c r="M4447" s="3">
        <v>14</v>
      </c>
      <c r="N4447" s="3">
        <v>100</v>
      </c>
      <c r="O4447" s="12">
        <v>20.0836820083682</v>
      </c>
    </row>
    <row r="4448" spans="1:15" x14ac:dyDescent="0.25">
      <c r="A4448" s="5">
        <v>46160</v>
      </c>
      <c r="B4448" s="6" t="s">
        <v>29</v>
      </c>
      <c r="C4448" s="1" t="s">
        <v>26</v>
      </c>
      <c r="D4448" s="3">
        <v>11</v>
      </c>
      <c r="E4448" s="3">
        <v>10</v>
      </c>
      <c r="F4448" s="3">
        <v>22.14</v>
      </c>
      <c r="G4448" s="3">
        <v>0</v>
      </c>
      <c r="H4448" s="3">
        <v>0</v>
      </c>
      <c r="I4448" s="3">
        <f>E4448+G4448+H4448</f>
        <v>10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15</v>
      </c>
      <c r="K4448" s="3">
        <f>I4448-J4448</f>
        <v>-5</v>
      </c>
      <c r="L4448" s="3" t="str">
        <f>IF(K4448&lt;-5,"CRÍTICO",IF(K4448&lt;0,"ATENÇÃO",IF(K4448&lt;=5,"OPORTUNO","MUITO BOM")))</f>
        <v>ATENÇÃO</v>
      </c>
      <c r="M4448" s="3">
        <v>11</v>
      </c>
      <c r="N4448" s="3">
        <v>100</v>
      </c>
      <c r="O4448" s="12">
        <v>20.0836820083682</v>
      </c>
    </row>
    <row r="4449" spans="1:15" x14ac:dyDescent="0.25">
      <c r="A4449" s="7">
        <v>46161</v>
      </c>
      <c r="B4449" s="8" t="s">
        <v>29</v>
      </c>
      <c r="C4449" s="1" t="s">
        <v>26</v>
      </c>
      <c r="D4449" s="3">
        <v>13</v>
      </c>
      <c r="E4449" s="3">
        <v>13</v>
      </c>
      <c r="F4449" s="3">
        <v>19.190000000000001</v>
      </c>
      <c r="G4449" s="3">
        <v>0</v>
      </c>
      <c r="H4449" s="3">
        <v>0</v>
      </c>
      <c r="I4449" s="3">
        <f>E4449+G4449+H4449</f>
        <v>13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17</v>
      </c>
      <c r="K4449" s="3">
        <f>I4449-J4449</f>
        <v>-4</v>
      </c>
      <c r="L4449" s="3" t="str">
        <f>IF(K4449&lt;-5,"CRÍTICO",IF(K4449&lt;0,"ATENÇÃO",IF(K4449&lt;=5,"OPORTUNO","MUITO BOM")))</f>
        <v>ATENÇÃO</v>
      </c>
      <c r="M4449" s="3">
        <v>12</v>
      </c>
      <c r="N4449" s="3">
        <v>100</v>
      </c>
      <c r="O4449" s="12">
        <v>20.0836820083682</v>
      </c>
    </row>
    <row r="4450" spans="1:15" hidden="1" x14ac:dyDescent="0.25">
      <c r="A4450" s="10">
        <v>46167</v>
      </c>
      <c r="B4450" t="s">
        <v>31</v>
      </c>
      <c r="C4450" s="1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f>E4450+G4450+H4450</f>
        <v>0</v>
      </c>
      <c r="J4450" s="3">
        <v>0</v>
      </c>
      <c r="K4450" s="3">
        <f>I4450-J4450</f>
        <v>0</v>
      </c>
      <c r="L4450" s="3" t="str">
        <f>IF(K4450&lt;-5,"CRÍTICO",IF(K4450&lt;0,"ATENÇÃO",IF(K4450&lt;=5,"OPORTUNO","MUITO BOM")))</f>
        <v>OPORTUNO</v>
      </c>
      <c r="M4450" s="3">
        <v>0</v>
      </c>
      <c r="N4450" s="3">
        <v>100</v>
      </c>
      <c r="O4450" s="12">
        <v>0</v>
      </c>
    </row>
    <row r="4451" spans="1:15" hidden="1" x14ac:dyDescent="0.25">
      <c r="A4451" s="10">
        <v>46167</v>
      </c>
      <c r="B4451" t="s">
        <v>33</v>
      </c>
      <c r="C4451" s="1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>IF(K4451&lt;-5,"CRÍTICO",IF(K4451&lt;0,"ATENÇÃO",IF(K4451&lt;=5,"OPORTUNO","MUITO BOM")))</f>
        <v>OPORTUNO</v>
      </c>
      <c r="M4451" s="3">
        <v>23</v>
      </c>
      <c r="N4451" s="3">
        <v>96.94</v>
      </c>
      <c r="O4451" s="12">
        <v>19.613259668508292</v>
      </c>
    </row>
    <row r="4452" spans="1:15" hidden="1" x14ac:dyDescent="0.25">
      <c r="A4452" s="10">
        <v>46167</v>
      </c>
      <c r="B4452" t="s">
        <v>34</v>
      </c>
      <c r="C4452" s="1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>IF(K4452&lt;-5,"CRÍTICO",IF(K4452&lt;0,"ATENÇÃO",IF(K4452&lt;=5,"OPORTUNO","MUITO BOM")))</f>
        <v>ATENÇÃO</v>
      </c>
      <c r="M4452" s="3">
        <v>20</v>
      </c>
      <c r="N4452" s="3">
        <v>92.81</v>
      </c>
      <c r="O4452" s="12">
        <v>25.477707006369432</v>
      </c>
    </row>
    <row r="4453" spans="1:15" hidden="1" x14ac:dyDescent="0.25">
      <c r="A4453" s="10">
        <v>46167</v>
      </c>
      <c r="B4453" t="s">
        <v>35</v>
      </c>
      <c r="C4453" s="1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>E4453+G4453+H4453</f>
        <v>0</v>
      </c>
      <c r="J4453" s="3">
        <v>0</v>
      </c>
      <c r="K4453" s="3">
        <f>I4453-J4453</f>
        <v>0</v>
      </c>
      <c r="L4453" s="3" t="str">
        <f>IF(K4453&lt;-5,"CRÍTICO",IF(K4453&lt;0,"ATENÇÃO",IF(K4453&lt;=5,"OPORTUNO","MUITO BOM")))</f>
        <v>OPORTUNO</v>
      </c>
      <c r="M4453" s="3">
        <v>0</v>
      </c>
      <c r="N4453" s="3">
        <v>99.19</v>
      </c>
      <c r="O4453" s="12">
        <v>28.404669260700391</v>
      </c>
    </row>
    <row r="4454" spans="1:15" hidden="1" x14ac:dyDescent="0.25">
      <c r="A4454" s="10">
        <v>46167</v>
      </c>
      <c r="B4454" t="s">
        <v>36</v>
      </c>
      <c r="C4454" s="1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>IF(K4454&lt;-5,"CRÍTICO",IF(K4454&lt;0,"ATENÇÃO",IF(K4454&lt;=5,"OPORTUNO","MUITO BOM")))</f>
        <v>ATENÇÃO</v>
      </c>
      <c r="M4454" s="3">
        <v>19</v>
      </c>
      <c r="N4454" s="3">
        <v>100</v>
      </c>
      <c r="O4454" s="12">
        <v>13.51351351351351</v>
      </c>
    </row>
    <row r="4455" spans="1:15" hidden="1" x14ac:dyDescent="0.25">
      <c r="A4455" s="10">
        <v>46167</v>
      </c>
      <c r="B4455" t="s">
        <v>37</v>
      </c>
      <c r="C4455" s="1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>IF(K4455&lt;-5,"CRÍTICO",IF(K4455&lt;0,"ATENÇÃO",IF(K4455&lt;=5,"OPORTUNO","MUITO BOM")))</f>
        <v>ATENÇÃO</v>
      </c>
      <c r="M4455" s="3">
        <v>20</v>
      </c>
      <c r="N4455" s="3">
        <v>99</v>
      </c>
      <c r="O4455" s="12">
        <v>22.27414330218069</v>
      </c>
    </row>
    <row r="4456" spans="1:15" hidden="1" x14ac:dyDescent="0.25">
      <c r="A4456" s="10">
        <v>46167</v>
      </c>
      <c r="B4456" t="s">
        <v>38</v>
      </c>
      <c r="C4456" s="1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>IF(K4456&lt;-5,"CRÍTICO",IF(K4456&lt;0,"ATENÇÃO",IF(K4456&lt;=5,"OPORTUNO","MUITO BOM")))</f>
        <v>CRÍTICO</v>
      </c>
      <c r="M4456" s="3">
        <v>19</v>
      </c>
      <c r="N4456" s="3">
        <v>97.04</v>
      </c>
      <c r="O4456" s="12">
        <v>29.828850855745721</v>
      </c>
    </row>
    <row r="4457" spans="1:15" hidden="1" x14ac:dyDescent="0.25">
      <c r="A4457" s="10">
        <v>46167</v>
      </c>
      <c r="B4457" t="s">
        <v>39</v>
      </c>
      <c r="C4457" s="1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f>E4457+G4457+H4457</f>
        <v>0</v>
      </c>
      <c r="J4457" s="3">
        <v>0</v>
      </c>
      <c r="K4457" s="3">
        <f>I4457-J4457</f>
        <v>0</v>
      </c>
      <c r="L4457" s="3" t="str">
        <f>IF(K4457&lt;-5,"CRÍTICO",IF(K4457&lt;0,"ATENÇÃO",IF(K4457&lt;=5,"OPORTUNO","MUITO BOM")))</f>
        <v>OPORTUNO</v>
      </c>
      <c r="M4457" s="3">
        <v>0</v>
      </c>
      <c r="N4457" s="3">
        <v>0</v>
      </c>
      <c r="O4457" s="12">
        <v>0</v>
      </c>
    </row>
    <row r="4458" spans="1:15" hidden="1" x14ac:dyDescent="0.25">
      <c r="A4458" s="10">
        <v>46167</v>
      </c>
      <c r="B4458" t="s">
        <v>40</v>
      </c>
      <c r="C4458" s="1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>IF(K4458&lt;-5,"CRÍTICO",IF(K4458&lt;0,"ATENÇÃO",IF(K4458&lt;=5,"OPORTUNO","MUITO BOM")))</f>
        <v>OPORTUNO</v>
      </c>
      <c r="M4458" s="3">
        <v>28</v>
      </c>
      <c r="N4458" s="3">
        <v>96.84</v>
      </c>
      <c r="O4458" s="12">
        <v>16.338028169014081</v>
      </c>
    </row>
    <row r="4459" spans="1:15" hidden="1" x14ac:dyDescent="0.25">
      <c r="A4459" s="10">
        <v>46167</v>
      </c>
      <c r="B4459" t="s">
        <v>41</v>
      </c>
      <c r="C4459" s="1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>IF(K4459&lt;-5,"CRÍTICO",IF(K4459&lt;0,"ATENÇÃO",IF(K4459&lt;=5,"OPORTUNO","MUITO BOM")))</f>
        <v>OPORTUNO</v>
      </c>
      <c r="M4459" s="3">
        <v>25</v>
      </c>
      <c r="N4459" s="3">
        <v>100</v>
      </c>
      <c r="O4459" s="12">
        <v>18.244803695150122</v>
      </c>
    </row>
    <row r="4460" spans="1:15" hidden="1" x14ac:dyDescent="0.25">
      <c r="A4460" s="10">
        <v>46167</v>
      </c>
      <c r="B4460" t="s">
        <v>42</v>
      </c>
      <c r="C4460" s="1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f>E4460+G4460+H4460</f>
        <v>0</v>
      </c>
      <c r="J4460" s="3">
        <v>0</v>
      </c>
      <c r="K4460" s="3">
        <f>I4460-J4460</f>
        <v>0</v>
      </c>
      <c r="L4460" s="3" t="str">
        <f>IF(K4460&lt;-5,"CRÍTICO",IF(K4460&lt;0,"ATENÇÃO",IF(K4460&lt;=5,"OPORTUNO","MUITO BOM")))</f>
        <v>OPORTUNO</v>
      </c>
      <c r="M4460" s="3">
        <v>9</v>
      </c>
      <c r="N4460" s="3">
        <v>100</v>
      </c>
      <c r="O4460" s="12">
        <v>15.789473684210529</v>
      </c>
    </row>
    <row r="4461" spans="1:15" hidden="1" x14ac:dyDescent="0.25">
      <c r="A4461" s="10">
        <v>46167</v>
      </c>
      <c r="B4461" t="s">
        <v>44</v>
      </c>
      <c r="C4461" s="1" t="s">
        <v>32</v>
      </c>
      <c r="D4461" s="3">
        <v>25</v>
      </c>
      <c r="E4461" s="3">
        <v>24</v>
      </c>
      <c r="F4461" s="3">
        <v>17.350000000000001</v>
      </c>
      <c r="G4461" s="3">
        <v>0</v>
      </c>
      <c r="H4461" s="3">
        <v>0</v>
      </c>
      <c r="I4461" s="3">
        <f>E4461+G4461+H4461</f>
        <v>24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23</v>
      </c>
      <c r="K4461" s="3">
        <f>I4461-J4461</f>
        <v>1</v>
      </c>
      <c r="L4461" s="3" t="str">
        <f>IF(K4461&lt;-5,"CRÍTICO",IF(K4461&lt;0,"ATENÇÃO",IF(K4461&lt;=5,"OPORTUNO","MUITO BOM")))</f>
        <v>OPORTUNO</v>
      </c>
      <c r="M4461" s="3">
        <v>22</v>
      </c>
      <c r="N4461" s="3">
        <v>96.38</v>
      </c>
      <c r="O4461" s="12">
        <v>23.198198198198199</v>
      </c>
    </row>
    <row r="4462" spans="1:15" hidden="1" x14ac:dyDescent="0.25">
      <c r="A4462" s="10">
        <v>46167</v>
      </c>
      <c r="B4462" t="s">
        <v>45</v>
      </c>
      <c r="C4462" s="1" t="s">
        <v>32</v>
      </c>
      <c r="D4462" s="3">
        <v>27</v>
      </c>
      <c r="E4462" s="3">
        <v>24</v>
      </c>
      <c r="F4462" s="3">
        <v>13.43</v>
      </c>
      <c r="G4462" s="3">
        <v>0</v>
      </c>
      <c r="H4462" s="3">
        <v>0</v>
      </c>
      <c r="I4462" s="3">
        <f>E4462+G4462+H4462</f>
        <v>24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23</v>
      </c>
      <c r="K4462" s="3">
        <f>I4462-J4462</f>
        <v>1</v>
      </c>
      <c r="L4462" s="3" t="str">
        <f>IF(K4462&lt;-5,"CRÍTICO",IF(K4462&lt;0,"ATENÇÃO",IF(K4462&lt;=5,"OPORTUNO","MUITO BOM")))</f>
        <v>OPORTUNO</v>
      </c>
      <c r="M4462" s="3">
        <v>19</v>
      </c>
      <c r="N4462" s="3">
        <v>99.39</v>
      </c>
      <c r="O4462" s="12">
        <v>25.203252032520329</v>
      </c>
    </row>
    <row r="4463" spans="1:15" hidden="1" x14ac:dyDescent="0.25">
      <c r="A4463" s="10">
        <v>46167</v>
      </c>
      <c r="B4463" t="s">
        <v>46</v>
      </c>
      <c r="C4463" s="1" t="s">
        <v>32</v>
      </c>
      <c r="D4463" s="3">
        <v>27</v>
      </c>
      <c r="E4463" s="3">
        <v>25</v>
      </c>
      <c r="F4463" s="3">
        <v>10.34</v>
      </c>
      <c r="G4463" s="3">
        <v>0</v>
      </c>
      <c r="H4463" s="3">
        <v>0</v>
      </c>
      <c r="I4463" s="3">
        <f>E4463+G4463+H4463</f>
        <v>25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23</v>
      </c>
      <c r="K4463" s="3">
        <f>I4463-J4463</f>
        <v>2</v>
      </c>
      <c r="L4463" s="3" t="str">
        <f>IF(K4463&lt;-5,"CRÍTICO",IF(K4463&lt;0,"ATENÇÃO",IF(K4463&lt;=5,"OPORTUNO","MUITO BOM")))</f>
        <v>OPORTUNO</v>
      </c>
      <c r="M4463" s="3">
        <v>23</v>
      </c>
      <c r="N4463" s="3">
        <v>97</v>
      </c>
      <c r="O4463" s="12">
        <v>20.325203252032519</v>
      </c>
    </row>
    <row r="4464" spans="1:15" hidden="1" x14ac:dyDescent="0.25">
      <c r="A4464" s="11">
        <v>46167</v>
      </c>
      <c r="B4464" t="s">
        <v>47</v>
      </c>
      <c r="C4464" s="1" t="s">
        <v>48</v>
      </c>
      <c r="D4464" s="3">
        <v>34</v>
      </c>
      <c r="E4464" s="3">
        <v>30</v>
      </c>
      <c r="F4464" s="3">
        <v>10.14</v>
      </c>
      <c r="G4464" s="3">
        <v>0</v>
      </c>
      <c r="H4464" s="3">
        <v>0</v>
      </c>
      <c r="I4464" s="3">
        <f>E4464+G4464+H4464</f>
        <v>30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18</v>
      </c>
      <c r="K4464" s="3">
        <f>I4464-J4464</f>
        <v>12</v>
      </c>
      <c r="L4464" s="3" t="str">
        <f>IF(K4464&lt;-5,"CRÍTICO",IF(K4464&lt;0,"ATENÇÃO",IF(K4464&lt;=5,"OPORTUNO","MUITO BOM")))</f>
        <v>MUITO BOM</v>
      </c>
      <c r="M4464" s="3">
        <v>23</v>
      </c>
      <c r="N4464" s="3">
        <v>99.18</v>
      </c>
      <c r="O4464" s="12">
        <v>24.501424501424498</v>
      </c>
    </row>
    <row r="4465" spans="1:15" hidden="1" x14ac:dyDescent="0.25">
      <c r="A4465" s="10">
        <v>46167</v>
      </c>
      <c r="B4465" t="s">
        <v>49</v>
      </c>
      <c r="C4465" s="1" t="s">
        <v>48</v>
      </c>
      <c r="D4465" s="3">
        <v>35</v>
      </c>
      <c r="E4465" s="3">
        <v>31</v>
      </c>
      <c r="F4465" s="3">
        <v>10.11</v>
      </c>
      <c r="G4465" s="3">
        <v>0</v>
      </c>
      <c r="H4465" s="3">
        <v>0</v>
      </c>
      <c r="I4465" s="3">
        <f>E4465+G4465+H4465</f>
        <v>31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18</v>
      </c>
      <c r="K4465" s="3">
        <f>I4465-J4465</f>
        <v>13</v>
      </c>
      <c r="L4465" s="3" t="str">
        <f>IF(K4465&lt;-5,"CRÍTICO",IF(K4465&lt;0,"ATENÇÃO",IF(K4465&lt;=5,"OPORTUNO","MUITO BOM")))</f>
        <v>MUITO BOM</v>
      </c>
      <c r="M4465" s="3">
        <v>30</v>
      </c>
      <c r="N4465" s="3">
        <v>99.35</v>
      </c>
      <c r="O4465" s="12">
        <v>19.852941176470591</v>
      </c>
    </row>
    <row r="4466" spans="1:15" hidden="1" x14ac:dyDescent="0.25">
      <c r="A4466" s="10">
        <v>46167</v>
      </c>
      <c r="B4466" t="s">
        <v>50</v>
      </c>
      <c r="C4466" s="1" t="s">
        <v>48</v>
      </c>
      <c r="D4466" s="3">
        <v>23</v>
      </c>
      <c r="E4466" s="3">
        <v>23</v>
      </c>
      <c r="F4466" s="3">
        <v>20.51</v>
      </c>
      <c r="G4466" s="3">
        <v>0</v>
      </c>
      <c r="H4466" s="3">
        <v>0</v>
      </c>
      <c r="I4466" s="3">
        <f>E4466+G4466+H4466</f>
        <v>23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5</v>
      </c>
      <c r="L4466" s="3" t="str">
        <f>IF(K4466&lt;-5,"CRÍTICO",IF(K4466&lt;0,"ATENÇÃO",IF(K4466&lt;=5,"OPORTUNO","MUITO BOM")))</f>
        <v>OPORTUNO</v>
      </c>
      <c r="M4466" s="3">
        <v>20</v>
      </c>
      <c r="N4466" s="3">
        <v>99.07</v>
      </c>
      <c r="O4466" s="12">
        <v>20.098039215686271</v>
      </c>
    </row>
    <row r="4467" spans="1:15" hidden="1" x14ac:dyDescent="0.25">
      <c r="A4467" s="10">
        <v>46167</v>
      </c>
      <c r="B4467" t="s">
        <v>51</v>
      </c>
      <c r="C4467" s="1" t="s">
        <v>48</v>
      </c>
      <c r="D4467" s="3">
        <v>0</v>
      </c>
      <c r="E4467" s="3">
        <v>0</v>
      </c>
      <c r="F4467" s="3">
        <v>0</v>
      </c>
      <c r="G4467" s="3">
        <v>0</v>
      </c>
      <c r="H4467" s="3">
        <v>0</v>
      </c>
      <c r="I4467" s="3">
        <f>E4467+G4467+H4467</f>
        <v>0</v>
      </c>
      <c r="J4467" s="3">
        <v>0</v>
      </c>
      <c r="K4467" s="3">
        <f>I4467-J4467</f>
        <v>0</v>
      </c>
      <c r="L4467" s="3" t="str">
        <f>IF(K4467&lt;-5,"CRÍTICO",IF(K4467&lt;0,"ATENÇÃO",IF(K4467&lt;=5,"OPORTUNO","MUITO BOM")))</f>
        <v>OPORTUNO</v>
      </c>
      <c r="M4467" s="3">
        <v>0</v>
      </c>
      <c r="N4467" s="3">
        <v>98.81</v>
      </c>
      <c r="O4467" s="12">
        <v>22.767857142857139</v>
      </c>
    </row>
    <row r="4468" spans="1:15" hidden="1" x14ac:dyDescent="0.25">
      <c r="A4468" s="10">
        <v>46167</v>
      </c>
      <c r="B4468" t="s">
        <v>52</v>
      </c>
      <c r="C4468" s="1" t="s">
        <v>48</v>
      </c>
      <c r="D4468" s="3">
        <v>23</v>
      </c>
      <c r="E4468" s="3">
        <v>21</v>
      </c>
      <c r="F4468" s="3">
        <v>13.4</v>
      </c>
      <c r="G4468" s="3">
        <v>0</v>
      </c>
      <c r="H4468" s="3">
        <v>0</v>
      </c>
      <c r="I4468" s="3">
        <f>E4468+G4468+H4468</f>
        <v>21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3</v>
      </c>
      <c r="L4468" s="3" t="str">
        <f>IF(K4468&lt;-5,"CRÍTICO",IF(K4468&lt;0,"ATENÇÃO",IF(K4468&lt;=5,"OPORTUNO","MUITO BOM")))</f>
        <v>OPORTUNO</v>
      </c>
      <c r="M4468" s="3">
        <v>17</v>
      </c>
      <c r="N4468" s="3">
        <v>99.01</v>
      </c>
      <c r="O4468" s="12">
        <v>17.766497461928939</v>
      </c>
    </row>
    <row r="4469" spans="1:15" hidden="1" x14ac:dyDescent="0.25">
      <c r="A4469" s="10">
        <v>46167</v>
      </c>
      <c r="B4469" t="s">
        <v>53</v>
      </c>
      <c r="C4469" s="1" t="s">
        <v>48</v>
      </c>
      <c r="D4469" s="3">
        <v>0</v>
      </c>
      <c r="E4469" s="3">
        <v>0</v>
      </c>
      <c r="F4469" s="3">
        <v>0</v>
      </c>
      <c r="G4469" s="3">
        <v>0</v>
      </c>
      <c r="H4469" s="3">
        <v>0</v>
      </c>
      <c r="I4469" s="3">
        <f>E4469+G4469+H4469</f>
        <v>0</v>
      </c>
      <c r="J4469" s="3">
        <v>0</v>
      </c>
      <c r="K4469" s="3">
        <f>I4469-J4469</f>
        <v>0</v>
      </c>
      <c r="L4469" s="3" t="str">
        <f>IF(K4469&lt;-5,"CRÍTICO",IF(K4469&lt;0,"ATENÇÃO",IF(K4469&lt;=5,"OPORTUNO","MUITO BOM")))</f>
        <v>OPORTUNO</v>
      </c>
      <c r="M4469" s="3">
        <v>0</v>
      </c>
      <c r="N4469" s="3">
        <v>100</v>
      </c>
      <c r="O4469" s="12">
        <v>17.241379310344829</v>
      </c>
    </row>
    <row r="4470" spans="1:15" hidden="1" x14ac:dyDescent="0.25">
      <c r="A4470" s="10">
        <v>46167</v>
      </c>
      <c r="B4470" t="s">
        <v>54</v>
      </c>
      <c r="C4470" s="1" t="s">
        <v>48</v>
      </c>
      <c r="D4470" s="3">
        <v>27</v>
      </c>
      <c r="E4470" s="3">
        <v>23</v>
      </c>
      <c r="F4470" s="3">
        <v>15.42</v>
      </c>
      <c r="G4470" s="3">
        <v>0</v>
      </c>
      <c r="H4470" s="3">
        <v>0</v>
      </c>
      <c r="I4470" s="3">
        <f>E4470+G4470+H4470</f>
        <v>23</v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>18</v>
      </c>
      <c r="K4470" s="3">
        <f>I4470-J4470</f>
        <v>5</v>
      </c>
      <c r="L4470" s="3" t="str">
        <f>IF(K4470&lt;-5,"CRÍTICO",IF(K4470&lt;0,"ATENÇÃO",IF(K4470&lt;=5,"OPORTUNO","MUITO BOM")))</f>
        <v>OPORTUNO</v>
      </c>
      <c r="M4470" s="3">
        <v>23</v>
      </c>
      <c r="N4470" s="3">
        <v>98.98</v>
      </c>
      <c r="O4470" s="12">
        <v>19.35483870967742</v>
      </c>
    </row>
    <row r="4471" spans="1:15" hidden="1" x14ac:dyDescent="0.25">
      <c r="A4471" s="10">
        <v>46167</v>
      </c>
      <c r="B4471" t="s">
        <v>55</v>
      </c>
      <c r="C4471" s="1" t="s">
        <v>48</v>
      </c>
      <c r="D4471" s="3">
        <v>21</v>
      </c>
      <c r="E4471" s="3">
        <v>17</v>
      </c>
      <c r="F4471" s="3">
        <v>17.190000000000001</v>
      </c>
      <c r="G4471" s="3">
        <v>0</v>
      </c>
      <c r="H4471" s="3">
        <v>0</v>
      </c>
      <c r="I4471" s="3">
        <f>E4471+G4471+H4471</f>
        <v>17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-1</v>
      </c>
      <c r="L4471" s="3" t="str">
        <f>IF(K4471&lt;-5,"CRÍTICO",IF(K4471&lt;0,"ATENÇÃO",IF(K4471&lt;=5,"OPORTUNO","MUITO BOM")))</f>
        <v>ATENÇÃO</v>
      </c>
      <c r="M4471" s="3">
        <v>17</v>
      </c>
      <c r="N4471" s="3">
        <v>98.94</v>
      </c>
      <c r="O4471" s="12">
        <v>21.270718232044199</v>
      </c>
    </row>
    <row r="4472" spans="1:15" hidden="1" x14ac:dyDescent="0.25">
      <c r="A4472" s="10">
        <v>46167</v>
      </c>
      <c r="B4472" t="s">
        <v>56</v>
      </c>
      <c r="C4472" s="1" t="s">
        <v>48</v>
      </c>
      <c r="D4472" s="3">
        <v>24</v>
      </c>
      <c r="E4472" s="3">
        <v>24</v>
      </c>
      <c r="F4472" s="3">
        <v>20.36</v>
      </c>
      <c r="G4472" s="3">
        <v>0</v>
      </c>
      <c r="H4472" s="3">
        <v>0</v>
      </c>
      <c r="I4472" s="3">
        <f>E4472+G4472+H4472</f>
        <v>24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6</v>
      </c>
      <c r="L4472" s="3" t="str">
        <f>IF(K4472&lt;-5,"CRÍTICO",IF(K4472&lt;0,"ATENÇÃO",IF(K4472&lt;=5,"OPORTUNO","MUITO BOM")))</f>
        <v>MUITO BOM</v>
      </c>
      <c r="M4472" s="3">
        <v>18</v>
      </c>
      <c r="N4472" s="3">
        <v>99</v>
      </c>
      <c r="O4472" s="12">
        <v>22.010869565217391</v>
      </c>
    </row>
    <row r="4473" spans="1:15" hidden="1" x14ac:dyDescent="0.25">
      <c r="A4473" s="10">
        <v>46167</v>
      </c>
      <c r="B4473" t="s">
        <v>57</v>
      </c>
      <c r="C4473" s="1" t="s">
        <v>48</v>
      </c>
      <c r="D4473" s="3">
        <v>19</v>
      </c>
      <c r="E4473" s="3">
        <v>15</v>
      </c>
      <c r="F4473" s="3">
        <v>24.06</v>
      </c>
      <c r="G4473" s="3">
        <v>0</v>
      </c>
      <c r="H4473" s="3">
        <v>0</v>
      </c>
      <c r="I4473" s="3">
        <f>E4473+G4473+H4473</f>
        <v>15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-3</v>
      </c>
      <c r="L4473" s="3" t="str">
        <f>IF(K4473&lt;-5,"CRÍTICO",IF(K4473&lt;0,"ATENÇÃO",IF(K4473&lt;=5,"OPORTUNO","MUITO BOM")))</f>
        <v>ATENÇÃO</v>
      </c>
      <c r="M4473" s="3">
        <v>16</v>
      </c>
      <c r="N4473" s="3">
        <v>100</v>
      </c>
      <c r="O4473" s="12">
        <v>25</v>
      </c>
    </row>
    <row r="4474" spans="1:15" hidden="1" x14ac:dyDescent="0.25">
      <c r="A4474" s="10">
        <v>46167</v>
      </c>
      <c r="B4474" t="s">
        <v>58</v>
      </c>
      <c r="C4474" s="1" t="s">
        <v>48</v>
      </c>
      <c r="D4474" s="3">
        <v>0</v>
      </c>
      <c r="E4474" s="3">
        <v>0</v>
      </c>
      <c r="F4474" s="3">
        <v>0</v>
      </c>
      <c r="G4474" s="3">
        <v>0</v>
      </c>
      <c r="H4474" s="3">
        <v>0</v>
      </c>
      <c r="I4474" s="3">
        <f>E4474+G4474+H4474</f>
        <v>0</v>
      </c>
      <c r="J4474" s="3">
        <v>0</v>
      </c>
      <c r="K4474" s="3">
        <f>I4474-J4474</f>
        <v>0</v>
      </c>
      <c r="L4474" s="3" t="str">
        <f>IF(K4474&lt;-5,"CRÍTICO",IF(K4474&lt;0,"ATENÇÃO",IF(K4474&lt;=5,"OPORTUNO","MUITO BOM")))</f>
        <v>OPORTUNO</v>
      </c>
      <c r="M4474" s="3">
        <v>0</v>
      </c>
      <c r="N4474" s="3">
        <v>100</v>
      </c>
      <c r="O4474" s="12">
        <v>20.183486238532112</v>
      </c>
    </row>
    <row r="4475" spans="1:15" hidden="1" x14ac:dyDescent="0.25">
      <c r="A4475" s="10">
        <v>46167</v>
      </c>
      <c r="B4475" t="s">
        <v>59</v>
      </c>
      <c r="C4475" s="1" t="s">
        <v>23</v>
      </c>
      <c r="D4475" s="3">
        <v>25</v>
      </c>
      <c r="E4475" s="3">
        <v>24</v>
      </c>
      <c r="F4475" s="3">
        <v>15.25</v>
      </c>
      <c r="G4475" s="3">
        <v>0</v>
      </c>
      <c r="H4475" s="3">
        <v>0</v>
      </c>
      <c r="I4475" s="3">
        <f>E4475+G4475+H4475</f>
        <v>24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15</v>
      </c>
      <c r="K4475" s="3">
        <f>I4475-J4475</f>
        <v>9</v>
      </c>
      <c r="L4475" s="3" t="str">
        <f>IF(K4475&lt;-5,"CRÍTICO",IF(K4475&lt;0,"ATENÇÃO",IF(K4475&lt;=5,"OPORTUNO","MUITO BOM")))</f>
        <v>MUITO BOM</v>
      </c>
      <c r="M4475" s="3">
        <v>21</v>
      </c>
      <c r="N4475" s="3">
        <v>96.25</v>
      </c>
      <c r="O4475" s="12">
        <v>25.586353944562902</v>
      </c>
    </row>
    <row r="4476" spans="1:15" hidden="1" x14ac:dyDescent="0.25">
      <c r="A4476" s="10">
        <v>46167</v>
      </c>
      <c r="B4476" t="s">
        <v>60</v>
      </c>
      <c r="C4476" s="1" t="s">
        <v>23</v>
      </c>
      <c r="D4476" s="3">
        <v>11</v>
      </c>
      <c r="E4476" s="3">
        <v>11</v>
      </c>
      <c r="F4476" s="3">
        <v>15.57</v>
      </c>
      <c r="G4476" s="3">
        <v>0</v>
      </c>
      <c r="H4476" s="3">
        <v>0</v>
      </c>
      <c r="I4476" s="3">
        <f>E4476+G4476+H4476</f>
        <v>11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-4</v>
      </c>
      <c r="L4476" s="3" t="str">
        <f>IF(K4476&lt;-5,"CRÍTICO",IF(K4476&lt;0,"ATENÇÃO",IF(K4476&lt;=5,"OPORTUNO","MUITO BOM")))</f>
        <v>ATENÇÃO</v>
      </c>
      <c r="M4476" s="3">
        <v>11</v>
      </c>
      <c r="N4476" s="3">
        <v>97.48</v>
      </c>
      <c r="O4476" s="12">
        <v>22.99465240641711</v>
      </c>
    </row>
    <row r="4477" spans="1:15" hidden="1" x14ac:dyDescent="0.25">
      <c r="A4477" s="10">
        <v>46167</v>
      </c>
      <c r="B4477" t="s">
        <v>61</v>
      </c>
      <c r="C4477" s="1" t="s">
        <v>23</v>
      </c>
      <c r="D4477" s="3">
        <v>28</v>
      </c>
      <c r="E4477" s="3">
        <v>25</v>
      </c>
      <c r="F4477" s="3">
        <v>13.29</v>
      </c>
      <c r="G4477" s="3">
        <v>0</v>
      </c>
      <c r="H4477" s="3">
        <v>0</v>
      </c>
      <c r="I4477" s="3">
        <f>E4477+G4477+H4477</f>
        <v>25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10</v>
      </c>
      <c r="L4477" s="3" t="str">
        <f>IF(K4477&lt;-5,"CRÍTICO",IF(K4477&lt;0,"ATENÇÃO",IF(K4477&lt;=5,"OPORTUNO","MUITO BOM")))</f>
        <v>MUITO BOM</v>
      </c>
      <c r="M4477" s="3">
        <v>18</v>
      </c>
      <c r="N4477" s="3">
        <v>100</v>
      </c>
      <c r="O4477" s="12">
        <v>20.788530465949819</v>
      </c>
    </row>
    <row r="4478" spans="1:15" hidden="1" x14ac:dyDescent="0.25">
      <c r="A4478" s="10">
        <v>46167</v>
      </c>
      <c r="B4478" t="s">
        <v>62</v>
      </c>
      <c r="C4478" s="1" t="s">
        <v>23</v>
      </c>
      <c r="D4478" s="3">
        <v>14</v>
      </c>
      <c r="E4478" s="3">
        <v>14</v>
      </c>
      <c r="F4478" s="3">
        <v>28.35</v>
      </c>
      <c r="G4478" s="3">
        <v>0</v>
      </c>
      <c r="H4478" s="3">
        <v>0</v>
      </c>
      <c r="I4478" s="3">
        <f>E4478+G4478+H4478</f>
        <v>14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15</v>
      </c>
      <c r="K4478" s="3">
        <f>I4478-J4478</f>
        <v>-1</v>
      </c>
      <c r="L4478" s="3" t="str">
        <f>IF(K4478&lt;-5,"CRÍTICO",IF(K4478&lt;0,"ATENÇÃO",IF(K4478&lt;=5,"OPORTUNO","MUITO BOM")))</f>
        <v>ATENÇÃO</v>
      </c>
      <c r="M4478" s="3">
        <v>14</v>
      </c>
      <c r="N4478" s="3">
        <v>94.55</v>
      </c>
      <c r="O4478" s="12">
        <v>23.450134770889491</v>
      </c>
    </row>
    <row r="4479" spans="1:15" hidden="1" x14ac:dyDescent="0.25">
      <c r="A4479" s="10">
        <v>46167</v>
      </c>
      <c r="B4479" t="s">
        <v>63</v>
      </c>
      <c r="C4479" s="1" t="s">
        <v>23</v>
      </c>
      <c r="D4479" s="3">
        <v>28</v>
      </c>
      <c r="E4479" s="3">
        <v>26</v>
      </c>
      <c r="F4479" s="3">
        <v>15.04</v>
      </c>
      <c r="G4479" s="3">
        <v>0</v>
      </c>
      <c r="H4479" s="3">
        <v>0</v>
      </c>
      <c r="I4479" s="3">
        <f>E4479+G4479+H4479</f>
        <v>26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11</v>
      </c>
      <c r="L4479" s="3" t="str">
        <f>IF(K4479&lt;-5,"CRÍTICO",IF(K4479&lt;0,"ATENÇÃO",IF(K4479&lt;=5,"OPORTUNO","MUITO BOM")))</f>
        <v>MUITO BOM</v>
      </c>
      <c r="M4479" s="3">
        <v>22</v>
      </c>
      <c r="N4479" s="3">
        <v>98</v>
      </c>
      <c r="O4479" s="12">
        <v>20.73490813648294</v>
      </c>
    </row>
    <row r="4480" spans="1:15" hidden="1" x14ac:dyDescent="0.25">
      <c r="A4480" s="10">
        <v>46167</v>
      </c>
      <c r="B4480" t="s">
        <v>64</v>
      </c>
      <c r="C4480" s="1" t="s">
        <v>23</v>
      </c>
      <c r="D4480" s="3">
        <v>17</v>
      </c>
      <c r="E4480" s="3">
        <v>17</v>
      </c>
      <c r="F4480" s="3">
        <v>25.3</v>
      </c>
      <c r="G4480" s="3">
        <v>0</v>
      </c>
      <c r="H4480" s="3">
        <v>0</v>
      </c>
      <c r="I4480" s="3">
        <f>E4480+G4480+H4480</f>
        <v>17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15</v>
      </c>
      <c r="K4480" s="3">
        <f>I4480-J4480</f>
        <v>2</v>
      </c>
      <c r="L4480" s="3" t="str">
        <f>IF(K4480&lt;-5,"CRÍTICO",IF(K4480&lt;0,"ATENÇÃO",IF(K4480&lt;=5,"OPORTUNO","MUITO BOM")))</f>
        <v>OPORTUNO</v>
      </c>
      <c r="M4480" s="3">
        <v>15</v>
      </c>
      <c r="N4480" s="3">
        <v>100</v>
      </c>
      <c r="O4480" s="12">
        <v>18</v>
      </c>
    </row>
    <row r="4481" spans="1:15" hidden="1" x14ac:dyDescent="0.25">
      <c r="A4481" s="10">
        <v>46167</v>
      </c>
      <c r="B4481" t="s">
        <v>22</v>
      </c>
      <c r="C4481" s="1" t="s">
        <v>23</v>
      </c>
      <c r="D4481" s="3">
        <v>25</v>
      </c>
      <c r="E4481" s="3">
        <v>25</v>
      </c>
      <c r="F4481" s="3">
        <v>12.33</v>
      </c>
      <c r="G4481" s="3">
        <v>0</v>
      </c>
      <c r="H4481" s="3">
        <v>0</v>
      </c>
      <c r="I4481" s="3">
        <f>E4481+G4481+H4481</f>
        <v>25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15</v>
      </c>
      <c r="K4481" s="3">
        <f>I4481-J4481</f>
        <v>10</v>
      </c>
      <c r="L4481" s="3" t="str">
        <f>IF(K4481&lt;-5,"CRÍTICO",IF(K4481&lt;0,"ATENÇÃO",IF(K4481&lt;=5,"OPORTUNO","MUITO BOM")))</f>
        <v>MUITO BOM</v>
      </c>
      <c r="M4481" s="3">
        <v>24</v>
      </c>
      <c r="N4481" s="3">
        <v>99.06</v>
      </c>
      <c r="O4481" s="12">
        <v>19.417475728155338</v>
      </c>
    </row>
    <row r="4482" spans="1:15" hidden="1" x14ac:dyDescent="0.25">
      <c r="A4482" s="10">
        <v>46167</v>
      </c>
      <c r="B4482" t="s">
        <v>43</v>
      </c>
      <c r="C4482" s="1" t="s">
        <v>32</v>
      </c>
      <c r="D4482" s="3">
        <v>0</v>
      </c>
      <c r="E4482" s="3">
        <v>0</v>
      </c>
      <c r="F4482" s="3">
        <v>0</v>
      </c>
      <c r="G4482" s="3">
        <v>0</v>
      </c>
      <c r="H4482" s="3">
        <v>41</v>
      </c>
      <c r="I4482" s="3">
        <f>E4482+G4482+H4482</f>
        <v>41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23</v>
      </c>
      <c r="K4482" s="3">
        <f>I4482-J4482</f>
        <v>18</v>
      </c>
      <c r="L4482" s="3" t="str">
        <f>IF(K4482&lt;-5,"CRÍTICO",IF(K4482&lt;0,"ATENÇÃO",IF(K4482&lt;=5,"OPORTUNO","MUITO BOM")))</f>
        <v>MUITO BOM</v>
      </c>
      <c r="M4482" s="3">
        <v>14</v>
      </c>
      <c r="N4482" s="3">
        <v>98.39</v>
      </c>
      <c r="O4482" s="12">
        <v>8.7999999999999989</v>
      </c>
    </row>
    <row r="4483" spans="1:15" x14ac:dyDescent="0.25">
      <c r="A4483" s="7">
        <v>46162</v>
      </c>
      <c r="B4483" s="8" t="s">
        <v>29</v>
      </c>
      <c r="C4483" s="1" t="s">
        <v>26</v>
      </c>
      <c r="D4483" s="3">
        <v>14</v>
      </c>
      <c r="E4483" s="3">
        <v>14</v>
      </c>
      <c r="F4483" s="3">
        <v>22.09</v>
      </c>
      <c r="G4483" s="3">
        <v>0</v>
      </c>
      <c r="H4483" s="3">
        <v>0</v>
      </c>
      <c r="I4483" s="3">
        <f>E4483+G4483+H4483</f>
        <v>14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15</v>
      </c>
      <c r="K4483" s="3">
        <f>I4483-J4483</f>
        <v>-1</v>
      </c>
      <c r="L4483" s="3" t="str">
        <f>IF(K4483&lt;-5,"CRÍTICO",IF(K4483&lt;0,"ATENÇÃO",IF(K4483&lt;=5,"OPORTUNO","MUITO BOM")))</f>
        <v>ATENÇÃO</v>
      </c>
      <c r="M4483" s="3">
        <v>11</v>
      </c>
      <c r="N4483" s="3">
        <v>100</v>
      </c>
      <c r="O4483" s="12">
        <v>20.0836820083682</v>
      </c>
    </row>
    <row r="4484" spans="1:15" x14ac:dyDescent="0.25">
      <c r="A4484" s="5">
        <v>46163</v>
      </c>
      <c r="B4484" s="6" t="s">
        <v>29</v>
      </c>
      <c r="C4484" s="1" t="s">
        <v>26</v>
      </c>
      <c r="D4484" s="3">
        <v>10</v>
      </c>
      <c r="E4484" s="3">
        <v>10</v>
      </c>
      <c r="F4484" s="3">
        <v>20.18</v>
      </c>
      <c r="G4484" s="3">
        <v>0</v>
      </c>
      <c r="H4484" s="3">
        <v>0</v>
      </c>
      <c r="I4484" s="3">
        <f>E4484+G4484+H4484</f>
        <v>10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13</v>
      </c>
      <c r="K4484" s="3">
        <f>I4484-J4484</f>
        <v>-3</v>
      </c>
      <c r="L4484" s="3" t="str">
        <f>IF(K4484&lt;-5,"CRÍTICO",IF(K4484&lt;0,"ATENÇÃO",IF(K4484&lt;=5,"OPORTUNO","MUITO BOM")))</f>
        <v>ATENÇÃO</v>
      </c>
      <c r="M4484" s="3">
        <v>12</v>
      </c>
      <c r="N4484" s="3">
        <v>100</v>
      </c>
      <c r="O4484" s="12">
        <v>20.0836820083682</v>
      </c>
    </row>
    <row r="4485" spans="1:15" x14ac:dyDescent="0.25">
      <c r="A4485" s="9">
        <v>46164</v>
      </c>
      <c r="B4485" s="6" t="s">
        <v>29</v>
      </c>
      <c r="C4485" s="1" t="s">
        <v>26</v>
      </c>
      <c r="D4485" s="3">
        <v>13</v>
      </c>
      <c r="E4485" s="3">
        <v>13</v>
      </c>
      <c r="F4485" s="3">
        <v>27</v>
      </c>
      <c r="G4485" s="3">
        <v>4</v>
      </c>
      <c r="H4485" s="3">
        <v>0</v>
      </c>
      <c r="I4485" s="3">
        <f>E4485+G4485+H4485</f>
        <v>17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11</v>
      </c>
      <c r="K4485" s="3">
        <f>I4485-J4485</f>
        <v>6</v>
      </c>
      <c r="L4485" s="3" t="str">
        <f>IF(K4485&lt;-5,"CRÍTICO",IF(K4485&lt;0,"ATENÇÃO",IF(K4485&lt;=5,"OPORTUNO","MUITO BOM")))</f>
        <v>MUITO BOM</v>
      </c>
      <c r="M4485" s="3">
        <v>9</v>
      </c>
      <c r="N4485" s="3">
        <v>100</v>
      </c>
      <c r="O4485" s="12">
        <v>20.0836820083682</v>
      </c>
    </row>
    <row r="4486" spans="1:15" x14ac:dyDescent="0.25">
      <c r="A4486" s="10">
        <v>46167</v>
      </c>
      <c r="B4486" t="s">
        <v>29</v>
      </c>
      <c r="C4486" s="1" t="s">
        <v>26</v>
      </c>
      <c r="D4486" s="3">
        <v>16</v>
      </c>
      <c r="E4486" s="3">
        <v>16</v>
      </c>
      <c r="F4486" s="3">
        <v>21.46</v>
      </c>
      <c r="G4486" s="3">
        <v>0</v>
      </c>
      <c r="H4486" s="3">
        <v>0</v>
      </c>
      <c r="I4486" s="3">
        <f>E4486+G4486+H4486</f>
        <v>16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13</v>
      </c>
      <c r="K4486" s="3">
        <f>I4486-J4486</f>
        <v>3</v>
      </c>
      <c r="L4486" s="3" t="str">
        <f>IF(K4486&lt;-5,"CRÍTICO",IF(K4486&lt;0,"ATENÇÃO",IF(K4486&lt;=5,"OPORTUNO","MUITO BOM")))</f>
        <v>OPORTUNO</v>
      </c>
      <c r="M4486" s="3">
        <v>16</v>
      </c>
      <c r="N4486" s="3">
        <v>100</v>
      </c>
      <c r="O4486" s="12">
        <v>20.0836820083682</v>
      </c>
    </row>
    <row r="4487" spans="1:15" x14ac:dyDescent="0.25">
      <c r="A4487" s="10">
        <v>46168</v>
      </c>
      <c r="B4487" t="s">
        <v>29</v>
      </c>
      <c r="C4487" s="1" t="s">
        <v>26</v>
      </c>
      <c r="D4487" s="3">
        <v>17</v>
      </c>
      <c r="E4487" s="3">
        <v>16</v>
      </c>
      <c r="F4487" s="3">
        <v>20.350000000000001</v>
      </c>
      <c r="G4487" s="3">
        <v>3</v>
      </c>
      <c r="H4487" s="3">
        <v>0</v>
      </c>
      <c r="I4487" s="3">
        <f>E4487+G4487+H4487</f>
        <v>19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16</v>
      </c>
      <c r="K4487" s="3">
        <f>I4487-J4487</f>
        <v>3</v>
      </c>
      <c r="L4487" s="3" t="str">
        <f>IF(K4487&lt;-5,"CRÍTICO",IF(K4487&lt;0,"ATENÇÃO",IF(K4487&lt;=5,"OPORTUNO","MUITO BOM")))</f>
        <v>OPORTUNO</v>
      </c>
      <c r="M4487" s="3">
        <v>14</v>
      </c>
      <c r="N4487" s="3">
        <v>100</v>
      </c>
      <c r="O4487" s="12">
        <v>21.33891213389121</v>
      </c>
    </row>
    <row r="4488" spans="1:15" x14ac:dyDescent="0.25">
      <c r="A4488" s="10">
        <v>46169</v>
      </c>
      <c r="B4488" t="s">
        <v>29</v>
      </c>
      <c r="C4488" s="1" t="s">
        <v>26</v>
      </c>
      <c r="D4488" s="3">
        <v>14</v>
      </c>
      <c r="E4488" s="3">
        <v>14</v>
      </c>
      <c r="F4488" s="3">
        <v>23.31</v>
      </c>
      <c r="G4488" s="3">
        <v>1</v>
      </c>
      <c r="H4488" s="3">
        <v>0</v>
      </c>
      <c r="I4488" s="3">
        <f>E4488+G4488+H4488</f>
        <v>15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16</v>
      </c>
      <c r="K4488" s="3">
        <f>I4488-J4488</f>
        <v>-1</v>
      </c>
      <c r="L4488" s="3" t="str">
        <f>IF(K4488&lt;-5,"CRÍTICO",IF(K4488&lt;0,"ATENÇÃO",IF(K4488&lt;=5,"OPORTUNO","MUITO BOM")))</f>
        <v>ATENÇÃO</v>
      </c>
      <c r="M4488" s="3">
        <v>12</v>
      </c>
      <c r="N4488" s="3">
        <v>100</v>
      </c>
      <c r="O4488" s="12">
        <v>20.31872509960159</v>
      </c>
    </row>
    <row r="4489" spans="1:15" x14ac:dyDescent="0.25">
      <c r="A4489" s="10">
        <v>46170</v>
      </c>
      <c r="B4489" t="s">
        <v>29</v>
      </c>
      <c r="C4489" s="1" t="s">
        <v>26</v>
      </c>
      <c r="D4489" s="3">
        <v>14</v>
      </c>
      <c r="E4489" s="3">
        <v>13</v>
      </c>
      <c r="F4489" s="3">
        <v>25.36</v>
      </c>
      <c r="G4489" s="3">
        <v>0</v>
      </c>
      <c r="H4489" s="3">
        <v>0</v>
      </c>
      <c r="I4489" s="3">
        <f>E4489+G4489+H4489</f>
        <v>13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15</v>
      </c>
      <c r="K4489" s="3">
        <f>I4489-J4489</f>
        <v>-2</v>
      </c>
      <c r="L4489" s="3" t="str">
        <f>IF(K4489&lt;-5,"CRÍTICO",IF(K4489&lt;0,"ATENÇÃO",IF(K4489&lt;=5,"OPORTUNO","MUITO BOM")))</f>
        <v>ATENÇÃO</v>
      </c>
      <c r="M4489" s="3">
        <v>13</v>
      </c>
      <c r="N4489" s="3">
        <v>100</v>
      </c>
      <c r="O4489" s="12">
        <v>20.075757575757571</v>
      </c>
    </row>
    <row r="4490" spans="1:15" x14ac:dyDescent="0.25">
      <c r="A4490" s="10">
        <v>46171</v>
      </c>
      <c r="B4490" t="s">
        <v>29</v>
      </c>
      <c r="C4490" s="1" t="s">
        <v>26</v>
      </c>
      <c r="D4490" s="3">
        <v>15</v>
      </c>
      <c r="E4490" s="3">
        <v>15</v>
      </c>
      <c r="F4490" s="3">
        <v>17.02</v>
      </c>
      <c r="G4490" s="3">
        <v>0</v>
      </c>
      <c r="H4490" s="3">
        <v>0</v>
      </c>
      <c r="I4490" s="3">
        <f>E4490+G4490+H4490</f>
        <v>15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16</v>
      </c>
      <c r="K4490" s="3">
        <f>I4490-J4490</f>
        <v>-1</v>
      </c>
      <c r="L4490" s="3" t="str">
        <f>IF(K4490&lt;-5,"CRÍTICO",IF(K4490&lt;0,"ATENÇÃO",IF(K4490&lt;=5,"OPORTUNO","MUITO BOM")))</f>
        <v>ATENÇÃO</v>
      </c>
      <c r="M4490" s="3">
        <v>0</v>
      </c>
      <c r="N4490" s="3">
        <v>100</v>
      </c>
      <c r="O4490" s="12">
        <v>20.075757575757571</v>
      </c>
    </row>
    <row r="4491" spans="1:15" x14ac:dyDescent="0.25">
      <c r="A4491" s="10">
        <v>46143</v>
      </c>
      <c r="B4491" t="s">
        <v>30</v>
      </c>
      <c r="C4491" s="1" t="s">
        <v>26</v>
      </c>
      <c r="D4491" s="3">
        <v>0</v>
      </c>
      <c r="E4491" s="3">
        <v>0</v>
      </c>
      <c r="F4491" s="3">
        <v>0</v>
      </c>
      <c r="G4491" s="3">
        <v>0</v>
      </c>
      <c r="H4491" s="3">
        <v>0</v>
      </c>
      <c r="I4491" s="3">
        <f>E4491+G4491+H4491</f>
        <v>0</v>
      </c>
      <c r="J4491" s="3">
        <v>0</v>
      </c>
      <c r="K4491" s="3">
        <f>I4491-J4491</f>
        <v>0</v>
      </c>
      <c r="L4491" s="3" t="str">
        <f>IF(K4491&lt;-5,"CRÍTICO",IF(K4491&lt;0,"ATENÇÃO",IF(K4491&lt;=5,"OPORTUNO","MUITO BOM")))</f>
        <v>OPORTUNO</v>
      </c>
      <c r="M4491" s="3">
        <v>0</v>
      </c>
      <c r="N4491" s="3">
        <v>100</v>
      </c>
      <c r="O4491" s="12">
        <v>16.34241245136187</v>
      </c>
    </row>
    <row r="4492" spans="1:15" x14ac:dyDescent="0.25">
      <c r="A4492" s="5">
        <v>46146</v>
      </c>
      <c r="B4492" s="6" t="s">
        <v>30</v>
      </c>
      <c r="C4492" s="1" t="s">
        <v>26</v>
      </c>
      <c r="D4492" s="3">
        <v>23</v>
      </c>
      <c r="E4492" s="3">
        <v>21</v>
      </c>
      <c r="F4492" s="3">
        <v>17.11</v>
      </c>
      <c r="G4492" s="3">
        <v>0</v>
      </c>
      <c r="H4492" s="3">
        <v>0</v>
      </c>
      <c r="I4492" s="3">
        <f>E4492+G4492+H4492</f>
        <v>21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20</v>
      </c>
      <c r="K4492" s="3">
        <f>I4492-J4492</f>
        <v>1</v>
      </c>
      <c r="L4492" s="3" t="str">
        <f>IF(K4492&lt;-5,"CRÍTICO",IF(K4492&lt;0,"ATENÇÃO",IF(K4492&lt;=5,"OPORTUNO","MUITO BOM")))</f>
        <v>OPORTUNO</v>
      </c>
      <c r="M4492" s="3">
        <v>21</v>
      </c>
      <c r="N4492" s="3">
        <v>100</v>
      </c>
      <c r="O4492" s="12">
        <v>16.34241245136187</v>
      </c>
    </row>
    <row r="4493" spans="1:15" x14ac:dyDescent="0.25">
      <c r="A4493" s="5">
        <v>46147</v>
      </c>
      <c r="B4493" s="6" t="s">
        <v>30</v>
      </c>
      <c r="C4493" s="1" t="s">
        <v>26</v>
      </c>
      <c r="D4493" s="3">
        <v>11</v>
      </c>
      <c r="E4493" s="3">
        <v>11</v>
      </c>
      <c r="F4493" s="3">
        <v>18.23</v>
      </c>
      <c r="G4493" s="3">
        <v>9</v>
      </c>
      <c r="H4493" s="3">
        <v>0</v>
      </c>
      <c r="I4493" s="3">
        <f>E4493+G4493+H4493</f>
        <v>20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20</v>
      </c>
      <c r="K4493" s="3">
        <f>I4493-J4493</f>
        <v>0</v>
      </c>
      <c r="L4493" s="3" t="str">
        <f>IF(K4493&lt;-5,"CRÍTICO",IF(K4493&lt;0,"ATENÇÃO",IF(K4493&lt;=5,"OPORTUNO","MUITO BOM")))</f>
        <v>OPORTUNO</v>
      </c>
      <c r="M4493" s="3">
        <v>19</v>
      </c>
      <c r="N4493" s="3">
        <v>100</v>
      </c>
      <c r="O4493" s="12">
        <v>16.34241245136187</v>
      </c>
    </row>
    <row r="4494" spans="1:15" x14ac:dyDescent="0.25">
      <c r="A4494" s="5">
        <v>46148</v>
      </c>
      <c r="B4494" s="6" t="s">
        <v>30</v>
      </c>
      <c r="C4494" s="1" t="s">
        <v>26</v>
      </c>
      <c r="D4494" s="3">
        <v>22</v>
      </c>
      <c r="E4494" s="3">
        <v>21</v>
      </c>
      <c r="F4494" s="3">
        <v>17.239999999999998</v>
      </c>
      <c r="G4494" s="3">
        <v>3</v>
      </c>
      <c r="H4494" s="3">
        <v>0</v>
      </c>
      <c r="I4494" s="3">
        <f>E4494+G4494+H4494</f>
        <v>24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20</v>
      </c>
      <c r="K4494" s="3">
        <f>I4494-J4494</f>
        <v>4</v>
      </c>
      <c r="L4494" s="3" t="str">
        <f>IF(K4494&lt;-5,"CRÍTICO",IF(K4494&lt;0,"ATENÇÃO",IF(K4494&lt;=5,"OPORTUNO","MUITO BOM")))</f>
        <v>OPORTUNO</v>
      </c>
      <c r="M4494" s="3">
        <v>18</v>
      </c>
      <c r="N4494" s="3">
        <v>100</v>
      </c>
      <c r="O4494" s="12">
        <v>16.34241245136187</v>
      </c>
    </row>
    <row r="4495" spans="1:15" hidden="1" x14ac:dyDescent="0.25">
      <c r="A4495" s="10">
        <v>46168</v>
      </c>
      <c r="B4495" t="s">
        <v>31</v>
      </c>
      <c r="C4495" s="1" t="s">
        <v>32</v>
      </c>
      <c r="D4495" s="3">
        <v>0</v>
      </c>
      <c r="E4495" s="3">
        <v>0</v>
      </c>
      <c r="F4495" s="3">
        <v>0</v>
      </c>
      <c r="G4495" s="3">
        <v>0</v>
      </c>
      <c r="H4495" s="3">
        <v>0</v>
      </c>
      <c r="I4495" s="3">
        <f>E4495+G4495+H4495</f>
        <v>0</v>
      </c>
      <c r="J4495" s="3">
        <v>0</v>
      </c>
      <c r="K4495" s="3">
        <f>I4495-J4495</f>
        <v>0</v>
      </c>
      <c r="L4495" s="3" t="str">
        <f>IF(K4495&lt;-5,"CRÍTICO",IF(K4495&lt;0,"ATENÇÃO",IF(K4495&lt;=5,"OPORTUNO","MUITO BOM")))</f>
        <v>OPORTUNO</v>
      </c>
      <c r="M4495" s="3">
        <v>0</v>
      </c>
      <c r="N4495" s="3">
        <v>100</v>
      </c>
      <c r="O4495" s="12">
        <v>0</v>
      </c>
    </row>
    <row r="4496" spans="1:15" hidden="1" x14ac:dyDescent="0.25">
      <c r="A4496" s="10">
        <v>46168</v>
      </c>
      <c r="B4496" t="s">
        <v>33</v>
      </c>
      <c r="C4496" s="1" t="s">
        <v>32</v>
      </c>
      <c r="D4496" s="3">
        <v>33</v>
      </c>
      <c r="E4496" s="3">
        <v>27</v>
      </c>
      <c r="F4496" s="3">
        <v>12.19</v>
      </c>
      <c r="G4496" s="3">
        <v>3</v>
      </c>
      <c r="H4496" s="3">
        <v>0</v>
      </c>
      <c r="I4496" s="3">
        <f>E4496+G4496+H4496</f>
        <v>30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3</v>
      </c>
      <c r="L4496" s="3" t="str">
        <f>IF(K4496&lt;-5,"CRÍTICO",IF(K4496&lt;0,"ATENÇÃO",IF(K4496&lt;=5,"OPORTUNO","MUITO BOM")))</f>
        <v>OPORTUNO</v>
      </c>
      <c r="M4496" s="3">
        <v>26</v>
      </c>
      <c r="N4496" s="3">
        <v>96.94</v>
      </c>
      <c r="O4496" s="12">
        <v>21.546961325966851</v>
      </c>
    </row>
    <row r="4497" spans="1:15" hidden="1" x14ac:dyDescent="0.25">
      <c r="A4497" s="10">
        <v>46168</v>
      </c>
      <c r="B4497" t="s">
        <v>34</v>
      </c>
      <c r="C4497" s="1" t="s">
        <v>32</v>
      </c>
      <c r="D4497" s="3">
        <v>24</v>
      </c>
      <c r="E4497" s="3">
        <v>22</v>
      </c>
      <c r="F4497" s="3">
        <v>10.43</v>
      </c>
      <c r="G4497" s="3">
        <v>0</v>
      </c>
      <c r="I4497" s="3">
        <f>E4497+G4497+H4497</f>
        <v>22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27</v>
      </c>
      <c r="K4497" s="3">
        <f>I4497-J4497</f>
        <v>-5</v>
      </c>
      <c r="L4497" s="3" t="str">
        <f>IF(K4497&lt;-5,"CRÍTICO",IF(K4497&lt;0,"ATENÇÃO",IF(K4497&lt;=5,"OPORTUNO","MUITO BOM")))</f>
        <v>ATENÇÃO</v>
      </c>
      <c r="M4497" s="3">
        <v>15</v>
      </c>
      <c r="N4497" s="3">
        <v>92.81</v>
      </c>
      <c r="O4497" s="12">
        <v>26.114649681528661</v>
      </c>
    </row>
    <row r="4498" spans="1:15" hidden="1" x14ac:dyDescent="0.25">
      <c r="A4498" s="10">
        <v>46168</v>
      </c>
      <c r="B4498" t="s">
        <v>35</v>
      </c>
      <c r="C4498" s="1" t="s">
        <v>32</v>
      </c>
      <c r="D4498" s="3">
        <v>0</v>
      </c>
      <c r="E4498" s="3">
        <v>0</v>
      </c>
      <c r="F4498" s="3">
        <v>0</v>
      </c>
      <c r="G4498" s="3">
        <v>0</v>
      </c>
      <c r="H4498" s="3">
        <v>0</v>
      </c>
      <c r="I4498" s="3">
        <f>E4498+G4498+H4498</f>
        <v>0</v>
      </c>
      <c r="J4498" s="3">
        <v>0</v>
      </c>
      <c r="K4498" s="3">
        <f>I4498-J4498</f>
        <v>0</v>
      </c>
      <c r="L4498" s="3" t="str">
        <f>IF(K4498&lt;-5,"CRÍTICO",IF(K4498&lt;0,"ATENÇÃO",IF(K4498&lt;=5,"OPORTUNO","MUITO BOM")))</f>
        <v>OPORTUNO</v>
      </c>
      <c r="M4498" s="3">
        <v>0</v>
      </c>
      <c r="N4498" s="3">
        <v>99.19</v>
      </c>
      <c r="O4498" s="12">
        <v>29.57198443579767</v>
      </c>
    </row>
    <row r="4499" spans="1:15" hidden="1" x14ac:dyDescent="0.25">
      <c r="A4499" s="10">
        <v>46168</v>
      </c>
      <c r="B4499" t="s">
        <v>36</v>
      </c>
      <c r="C4499" s="1" t="s">
        <v>32</v>
      </c>
      <c r="D4499" s="3">
        <v>38</v>
      </c>
      <c r="E4499" s="3">
        <v>35</v>
      </c>
      <c r="F4499" s="3">
        <v>12</v>
      </c>
      <c r="G4499" s="3">
        <v>3</v>
      </c>
      <c r="H4499" s="3">
        <v>0</v>
      </c>
      <c r="I4499" s="3">
        <f>E4499+G4499+H4499</f>
        <v>38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27</v>
      </c>
      <c r="K4499" s="3">
        <f>I4499-J4499</f>
        <v>11</v>
      </c>
      <c r="L4499" s="3" t="str">
        <f>IF(K4499&lt;-5,"CRÍTICO",IF(K4499&lt;0,"ATENÇÃO",IF(K4499&lt;=5,"OPORTUNO","MUITO BOM")))</f>
        <v>MUITO BOM</v>
      </c>
      <c r="M4499" s="3">
        <v>34</v>
      </c>
      <c r="N4499" s="3">
        <v>100</v>
      </c>
      <c r="O4499" s="12">
        <v>15.06849315068493</v>
      </c>
    </row>
    <row r="4500" spans="1:15" hidden="1" x14ac:dyDescent="0.25">
      <c r="A4500" s="10">
        <v>46168</v>
      </c>
      <c r="B4500" t="s">
        <v>37</v>
      </c>
      <c r="C4500" s="1" t="s">
        <v>32</v>
      </c>
      <c r="D4500" s="3">
        <v>38</v>
      </c>
      <c r="E4500" s="3">
        <v>35</v>
      </c>
      <c r="F4500" s="3">
        <v>13.38</v>
      </c>
      <c r="G4500" s="3">
        <v>5</v>
      </c>
      <c r="I4500" s="3">
        <f>E4500+G4500+H4500</f>
        <v>40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27</v>
      </c>
      <c r="K4500" s="3">
        <f>I4500-J4500</f>
        <v>13</v>
      </c>
      <c r="L4500" s="3" t="str">
        <f>IF(K4500&lt;-5,"CRÍTICO",IF(K4500&lt;0,"ATENÇÃO",IF(K4500&lt;=5,"OPORTUNO","MUITO BOM")))</f>
        <v>MUITO BOM</v>
      </c>
      <c r="M4500" s="3">
        <v>34</v>
      </c>
      <c r="N4500" s="3">
        <v>99</v>
      </c>
      <c r="O4500" s="12">
        <v>23.052959501557631</v>
      </c>
    </row>
    <row r="4501" spans="1:15" hidden="1" x14ac:dyDescent="0.25">
      <c r="A4501" s="10">
        <v>46168</v>
      </c>
      <c r="B4501" t="s">
        <v>38</v>
      </c>
      <c r="C4501" s="1" t="s">
        <v>32</v>
      </c>
      <c r="D4501" s="3">
        <v>18</v>
      </c>
      <c r="E4501" s="3">
        <v>16</v>
      </c>
      <c r="F4501" s="3">
        <v>10.14</v>
      </c>
      <c r="G4501" s="3">
        <v>4</v>
      </c>
      <c r="I4501" s="3">
        <f>E4501+G4501+H4501</f>
        <v>20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27</v>
      </c>
      <c r="K4501" s="3">
        <f>I4501-J4501</f>
        <v>-7</v>
      </c>
      <c r="L4501" s="3" t="str">
        <f>IF(K4501&lt;-5,"CRÍTICO",IF(K4501&lt;0,"ATENÇÃO",IF(K4501&lt;=5,"OPORTUNO","MUITO BOM")))</f>
        <v>CRÍTICO</v>
      </c>
      <c r="M4501" s="3">
        <v>15</v>
      </c>
      <c r="N4501" s="3">
        <v>97.04</v>
      </c>
      <c r="O4501" s="12">
        <v>34.718826405867972</v>
      </c>
    </row>
    <row r="4502" spans="1:15" hidden="1" x14ac:dyDescent="0.25">
      <c r="A4502" s="10">
        <v>46168</v>
      </c>
      <c r="B4502" t="s">
        <v>39</v>
      </c>
      <c r="C4502" s="1" t="s">
        <v>32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f>E4502+G4502+H4502</f>
        <v>0</v>
      </c>
      <c r="J4502" s="3">
        <v>0</v>
      </c>
      <c r="K4502" s="3">
        <f>I4502-J4502</f>
        <v>0</v>
      </c>
      <c r="L4502" s="3" t="str">
        <f>IF(K4502&lt;-5,"CRÍTICO",IF(K4502&lt;0,"ATENÇÃO",IF(K4502&lt;=5,"OPORTUNO","MUITO BOM")))</f>
        <v>OPORTUNO</v>
      </c>
      <c r="M4502" s="3">
        <v>0</v>
      </c>
      <c r="N4502" s="3">
        <v>0</v>
      </c>
      <c r="O4502" s="12">
        <v>0</v>
      </c>
    </row>
    <row r="4503" spans="1:15" hidden="1" x14ac:dyDescent="0.25">
      <c r="A4503" s="10">
        <v>46168</v>
      </c>
      <c r="B4503" t="s">
        <v>40</v>
      </c>
      <c r="C4503" s="1" t="s">
        <v>32</v>
      </c>
      <c r="D4503" s="3">
        <v>30</v>
      </c>
      <c r="E4503" s="3">
        <v>29</v>
      </c>
      <c r="F4503" s="3">
        <v>15.33</v>
      </c>
      <c r="G4503" s="3">
        <v>2</v>
      </c>
      <c r="I4503" s="3">
        <f>E4503+G4503+H4503</f>
        <v>31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27</v>
      </c>
      <c r="K4503" s="3">
        <f>I4503-J4503</f>
        <v>4</v>
      </c>
      <c r="L4503" s="3" t="str">
        <f>IF(K4503&lt;-5,"CRÍTICO",IF(K4503&lt;0,"ATENÇÃO",IF(K4503&lt;=5,"OPORTUNO","MUITO BOM")))</f>
        <v>OPORTUNO</v>
      </c>
      <c r="M4503" s="3">
        <v>25</v>
      </c>
      <c r="N4503" s="3">
        <v>96.84</v>
      </c>
      <c r="O4503" s="12">
        <v>17.74647887323944</v>
      </c>
    </row>
    <row r="4504" spans="1:15" hidden="1" x14ac:dyDescent="0.25">
      <c r="A4504" s="10">
        <v>46168</v>
      </c>
      <c r="B4504" t="s">
        <v>41</v>
      </c>
      <c r="C4504" s="1" t="s">
        <v>32</v>
      </c>
      <c r="D4504" s="3">
        <v>29</v>
      </c>
      <c r="E4504" s="3">
        <v>26</v>
      </c>
      <c r="F4504" s="3">
        <v>15.05</v>
      </c>
      <c r="G4504" s="3">
        <v>0</v>
      </c>
      <c r="I4504" s="3">
        <f>E4504+G4504+H4504</f>
        <v>26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27</v>
      </c>
      <c r="K4504" s="3">
        <f>I4504-J4504</f>
        <v>-1</v>
      </c>
      <c r="L4504" s="3" t="str">
        <f>IF(K4504&lt;-5,"CRÍTICO",IF(K4504&lt;0,"ATENÇÃO",IF(K4504&lt;=5,"OPORTUNO","MUITO BOM")))</f>
        <v>ATENÇÃO</v>
      </c>
      <c r="M4504" s="3">
        <v>24</v>
      </c>
      <c r="N4504" s="3">
        <v>100</v>
      </c>
      <c r="O4504" s="12">
        <v>19.399538106235571</v>
      </c>
    </row>
    <row r="4505" spans="1:15" hidden="1" x14ac:dyDescent="0.25">
      <c r="A4505" s="10">
        <v>46168</v>
      </c>
      <c r="B4505" t="s">
        <v>42</v>
      </c>
      <c r="C4505" s="1" t="s">
        <v>32</v>
      </c>
      <c r="D4505" s="3">
        <v>0</v>
      </c>
      <c r="E4505" s="3">
        <v>0</v>
      </c>
      <c r="F4505" s="3">
        <v>0</v>
      </c>
      <c r="G4505" s="3">
        <v>0</v>
      </c>
      <c r="H4505" s="3">
        <v>0</v>
      </c>
      <c r="I4505" s="3">
        <f>E4505+G4505+H4505</f>
        <v>0</v>
      </c>
      <c r="J4505" s="3">
        <v>0</v>
      </c>
      <c r="K4505" s="3">
        <f>I4505-J4505</f>
        <v>0</v>
      </c>
      <c r="L4505" s="3" t="str">
        <f>IF(K4505&lt;-5,"CRÍTICO",IF(K4505&lt;0,"ATENÇÃO",IF(K4505&lt;=5,"OPORTUNO","MUITO BOM")))</f>
        <v>OPORTUNO</v>
      </c>
      <c r="M4505" s="3">
        <v>16</v>
      </c>
      <c r="N4505" s="3">
        <v>100</v>
      </c>
      <c r="O4505" s="12">
        <v>21.276595744680851</v>
      </c>
    </row>
    <row r="4506" spans="1:15" hidden="1" x14ac:dyDescent="0.25">
      <c r="A4506" s="10">
        <v>46168</v>
      </c>
      <c r="B4506" t="s">
        <v>44</v>
      </c>
      <c r="C4506" s="1" t="s">
        <v>32</v>
      </c>
      <c r="D4506" s="3">
        <v>33</v>
      </c>
      <c r="E4506" s="3">
        <v>30</v>
      </c>
      <c r="F4506" s="3">
        <v>10.1</v>
      </c>
      <c r="G4506" s="3">
        <v>2</v>
      </c>
      <c r="I4506" s="3">
        <f>E4506+G4506+H4506</f>
        <v>32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27</v>
      </c>
      <c r="K4506" s="3">
        <f>I4506-J4506</f>
        <v>5</v>
      </c>
      <c r="L4506" s="3" t="str">
        <f>IF(K4506&lt;-5,"CRÍTICO",IF(K4506&lt;0,"ATENÇÃO",IF(K4506&lt;=5,"OPORTUNO","MUITO BOM")))</f>
        <v>OPORTUNO</v>
      </c>
      <c r="M4506" s="3">
        <v>26</v>
      </c>
      <c r="N4506" s="3">
        <v>96.38</v>
      </c>
      <c r="O4506" s="12">
        <v>25.22522522522522</v>
      </c>
    </row>
    <row r="4507" spans="1:15" hidden="1" x14ac:dyDescent="0.25">
      <c r="A4507" s="10">
        <v>46168</v>
      </c>
      <c r="B4507" t="s">
        <v>45</v>
      </c>
      <c r="C4507" s="1" t="s">
        <v>32</v>
      </c>
      <c r="D4507" s="3">
        <v>37</v>
      </c>
      <c r="E4507" s="3">
        <v>33</v>
      </c>
      <c r="F4507" s="3">
        <v>11.48</v>
      </c>
      <c r="G4507" s="3">
        <v>0</v>
      </c>
      <c r="I4507" s="3">
        <f>E4507+G4507+H4507</f>
        <v>33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27</v>
      </c>
      <c r="K4507" s="3">
        <f>I4507-J4507</f>
        <v>6</v>
      </c>
      <c r="L4507" s="3" t="str">
        <f>IF(K4507&lt;-5,"CRÍTICO",IF(K4507&lt;0,"ATENÇÃO",IF(K4507&lt;=5,"OPORTUNO","MUITO BOM")))</f>
        <v>MUITO BOM</v>
      </c>
      <c r="M4507" s="3">
        <v>24</v>
      </c>
      <c r="N4507" s="3">
        <v>99.39</v>
      </c>
      <c r="O4507" s="12">
        <v>26.626016260162601</v>
      </c>
    </row>
    <row r="4508" spans="1:15" hidden="1" x14ac:dyDescent="0.25">
      <c r="A4508" s="10">
        <v>46168</v>
      </c>
      <c r="B4508" t="s">
        <v>46</v>
      </c>
      <c r="C4508" s="1" t="s">
        <v>32</v>
      </c>
      <c r="D4508" s="3">
        <v>24</v>
      </c>
      <c r="E4508" s="3">
        <v>22</v>
      </c>
      <c r="F4508" s="3">
        <v>15.22</v>
      </c>
      <c r="G4508" s="3">
        <v>0</v>
      </c>
      <c r="I4508" s="3">
        <f>E4508+G4508+H4508</f>
        <v>22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27</v>
      </c>
      <c r="K4508" s="3">
        <f>I4508-J4508</f>
        <v>-5</v>
      </c>
      <c r="L4508" s="3" t="str">
        <f>IF(K4508&lt;-5,"CRÍTICO",IF(K4508&lt;0,"ATENÇÃO",IF(K4508&lt;=5,"OPORTUNO","MUITO BOM")))</f>
        <v>ATENÇÃO</v>
      </c>
      <c r="M4508" s="3">
        <v>17</v>
      </c>
      <c r="N4508" s="3">
        <v>97</v>
      </c>
      <c r="O4508" s="12">
        <v>21.95121951219512</v>
      </c>
    </row>
    <row r="4509" spans="1:15" hidden="1" x14ac:dyDescent="0.25">
      <c r="A4509" s="10">
        <v>46168</v>
      </c>
      <c r="B4509" t="s">
        <v>49</v>
      </c>
      <c r="C4509" s="1" t="s">
        <v>48</v>
      </c>
      <c r="D4509" s="3">
        <v>27</v>
      </c>
      <c r="E4509" s="3">
        <v>22</v>
      </c>
      <c r="F4509" s="3">
        <v>14.06</v>
      </c>
      <c r="G4509" s="3">
        <v>4</v>
      </c>
      <c r="I4509" s="3">
        <f>E4509+G4509+H4509</f>
        <v>26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22</v>
      </c>
      <c r="K4509" s="3">
        <f>I4509-J4509</f>
        <v>4</v>
      </c>
      <c r="L4509" s="3" t="str">
        <f>IF(K4509&lt;-5,"CRÍTICO",IF(K4509&lt;0,"ATENÇÃO",IF(K4509&lt;=5,"OPORTUNO","MUITO BOM")))</f>
        <v>OPORTUNO</v>
      </c>
      <c r="M4509" s="3">
        <v>25</v>
      </c>
      <c r="N4509" s="3">
        <v>99.35</v>
      </c>
      <c r="O4509" s="12">
        <v>21.139705882352938</v>
      </c>
    </row>
    <row r="4510" spans="1:15" hidden="1" x14ac:dyDescent="0.25">
      <c r="A4510" s="10">
        <v>46168</v>
      </c>
      <c r="B4510" t="s">
        <v>50</v>
      </c>
      <c r="C4510" s="1" t="s">
        <v>48</v>
      </c>
      <c r="D4510" s="3">
        <v>28</v>
      </c>
      <c r="E4510" s="3">
        <v>26</v>
      </c>
      <c r="F4510" s="3">
        <v>20.21</v>
      </c>
      <c r="G4510" s="3">
        <v>2</v>
      </c>
      <c r="I4510" s="3">
        <f>E4510+G4510+H4510</f>
        <v>28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22</v>
      </c>
      <c r="K4510" s="3">
        <f>I4510-J4510</f>
        <v>6</v>
      </c>
      <c r="L4510" s="3" t="str">
        <f>IF(K4510&lt;-5,"CRÍTICO",IF(K4510&lt;0,"ATENÇÃO",IF(K4510&lt;=5,"OPORTUNO","MUITO BOM")))</f>
        <v>MUITO BOM</v>
      </c>
      <c r="M4510" s="3">
        <v>26</v>
      </c>
      <c r="N4510" s="3">
        <v>99.07</v>
      </c>
      <c r="O4510" s="12">
        <v>22.113022113022112</v>
      </c>
    </row>
    <row r="4511" spans="1:15" hidden="1" x14ac:dyDescent="0.25">
      <c r="A4511" s="10">
        <v>46168</v>
      </c>
      <c r="B4511" t="s">
        <v>51</v>
      </c>
      <c r="C4511" s="1" t="s">
        <v>48</v>
      </c>
      <c r="D4511" s="3">
        <v>0</v>
      </c>
      <c r="E4511" s="3">
        <v>0</v>
      </c>
      <c r="F4511" s="3">
        <v>0</v>
      </c>
      <c r="G4511" s="3">
        <v>0</v>
      </c>
      <c r="H4511" s="3">
        <v>0</v>
      </c>
      <c r="I4511" s="3">
        <f>E4511+G4511+H4511</f>
        <v>0</v>
      </c>
      <c r="J4511" s="3">
        <v>0</v>
      </c>
      <c r="K4511" s="3">
        <f>I4511-J4511</f>
        <v>0</v>
      </c>
      <c r="L4511" s="3" t="str">
        <f>IF(K4511&lt;-5,"CRÍTICO",IF(K4511&lt;0,"ATENÇÃO",IF(K4511&lt;=5,"OPORTUNO","MUITO BOM")))</f>
        <v>OPORTUNO</v>
      </c>
      <c r="M4511" s="3">
        <v>0</v>
      </c>
      <c r="N4511" s="3">
        <v>98.81</v>
      </c>
      <c r="O4511" s="12">
        <v>25</v>
      </c>
    </row>
    <row r="4512" spans="1:15" hidden="1" x14ac:dyDescent="0.25">
      <c r="A4512" s="10">
        <v>46168</v>
      </c>
      <c r="B4512" t="s">
        <v>52</v>
      </c>
      <c r="C4512" s="1" t="s">
        <v>48</v>
      </c>
      <c r="D4512" s="3">
        <v>21</v>
      </c>
      <c r="E4512" s="3">
        <v>21</v>
      </c>
      <c r="F4512" s="3">
        <v>13.22</v>
      </c>
      <c r="G4512" s="3">
        <v>1</v>
      </c>
      <c r="I4512" s="3">
        <f>E4512+G4512+H4512</f>
        <v>22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22</v>
      </c>
      <c r="K4512" s="3">
        <f>I4512-J4512</f>
        <v>0</v>
      </c>
      <c r="L4512" s="3" t="str">
        <f>IF(K4512&lt;-5,"CRÍTICO",IF(K4512&lt;0,"ATENÇÃO",IF(K4512&lt;=5,"OPORTUNO","MUITO BOM")))</f>
        <v>OPORTUNO</v>
      </c>
      <c r="M4512" s="3">
        <v>17</v>
      </c>
      <c r="N4512" s="3">
        <v>99.01</v>
      </c>
      <c r="O4512" s="12">
        <v>19.54314720812183</v>
      </c>
    </row>
    <row r="4513" spans="1:15" hidden="1" x14ac:dyDescent="0.25">
      <c r="A4513" s="10">
        <v>46168</v>
      </c>
      <c r="B4513" t="s">
        <v>53</v>
      </c>
      <c r="C4513" s="1" t="s">
        <v>48</v>
      </c>
      <c r="D4513" s="3">
        <v>0</v>
      </c>
      <c r="E4513" s="3">
        <v>0</v>
      </c>
      <c r="F4513" s="3">
        <v>0</v>
      </c>
      <c r="G4513" s="3">
        <v>0</v>
      </c>
      <c r="H4513" s="3">
        <v>0</v>
      </c>
      <c r="I4513" s="3">
        <f>E4513+G4513+H4513</f>
        <v>0</v>
      </c>
      <c r="J4513" s="3">
        <v>0</v>
      </c>
      <c r="K4513" s="3">
        <f>I4513-J4513</f>
        <v>0</v>
      </c>
      <c r="L4513" s="3" t="str">
        <f>IF(K4513&lt;-5,"CRÍTICO",IF(K4513&lt;0,"ATENÇÃO",IF(K4513&lt;=5,"OPORTUNO","MUITO BOM")))</f>
        <v>OPORTUNO</v>
      </c>
      <c r="M4513" s="3">
        <v>0</v>
      </c>
      <c r="N4513" s="3">
        <v>100</v>
      </c>
      <c r="O4513" s="12">
        <v>17.241379310344829</v>
      </c>
    </row>
    <row r="4514" spans="1:15" hidden="1" x14ac:dyDescent="0.25">
      <c r="A4514" s="10">
        <v>46133</v>
      </c>
      <c r="B4514" t="s">
        <v>22</v>
      </c>
      <c r="C4514" s="1" t="s">
        <v>23</v>
      </c>
      <c r="D4514" s="3">
        <v>0</v>
      </c>
      <c r="E4514" s="3">
        <v>0</v>
      </c>
      <c r="F4514" s="3">
        <v>0</v>
      </c>
      <c r="G4514" s="3">
        <v>0</v>
      </c>
      <c r="H4514" s="3">
        <v>0</v>
      </c>
      <c r="I4514" s="3">
        <v>0</v>
      </c>
      <c r="J4514" s="3">
        <v>0</v>
      </c>
      <c r="K4514" s="3">
        <v>0</v>
      </c>
      <c r="M4514" s="3">
        <v>0</v>
      </c>
      <c r="N4514" s="3">
        <v>99.28</v>
      </c>
      <c r="O4514" s="12">
        <v>27.689243027888441</v>
      </c>
    </row>
    <row r="4515" spans="1:15" hidden="1" x14ac:dyDescent="0.25">
      <c r="A4515" s="10">
        <v>46133</v>
      </c>
      <c r="B4515" t="s">
        <v>47</v>
      </c>
      <c r="C4515" s="1" t="s">
        <v>48</v>
      </c>
      <c r="D4515" s="3">
        <v>0</v>
      </c>
      <c r="E4515" s="3">
        <v>0</v>
      </c>
      <c r="F4515" s="3">
        <v>0</v>
      </c>
      <c r="G4515" s="3">
        <v>0</v>
      </c>
      <c r="H4515" s="3">
        <v>0</v>
      </c>
      <c r="I4515" s="3">
        <v>0</v>
      </c>
      <c r="J4515" s="3">
        <v>0</v>
      </c>
      <c r="K4515" s="3">
        <v>0</v>
      </c>
      <c r="M4515" s="3">
        <v>0</v>
      </c>
      <c r="N4515" s="3">
        <v>100</v>
      </c>
      <c r="O4515" s="12">
        <v>32.764505119453922</v>
      </c>
    </row>
    <row r="4516" spans="1:15" hidden="1" x14ac:dyDescent="0.25">
      <c r="A4516" s="10">
        <v>46133</v>
      </c>
      <c r="B4516" t="s">
        <v>31</v>
      </c>
      <c r="C4516" s="1" t="s">
        <v>32</v>
      </c>
      <c r="D4516" s="3">
        <v>0</v>
      </c>
      <c r="E4516" s="3">
        <v>0</v>
      </c>
      <c r="F4516" s="3">
        <v>0</v>
      </c>
      <c r="G4516" s="3">
        <v>0</v>
      </c>
      <c r="H4516" s="3">
        <v>0</v>
      </c>
      <c r="I4516" s="3">
        <v>0</v>
      </c>
      <c r="J4516" s="3">
        <v>0</v>
      </c>
      <c r="K4516" s="3">
        <v>0</v>
      </c>
      <c r="M4516" s="3">
        <v>0</v>
      </c>
      <c r="N4516" s="3">
        <v>98.66</v>
      </c>
      <c r="O4516" s="12">
        <v>35.416666666666671</v>
      </c>
    </row>
    <row r="4517" spans="1:15" hidden="1" x14ac:dyDescent="0.25">
      <c r="A4517" s="10">
        <v>46133</v>
      </c>
      <c r="B4517" t="s">
        <v>59</v>
      </c>
      <c r="C4517" s="1" t="s">
        <v>23</v>
      </c>
      <c r="D4517" s="3">
        <v>0</v>
      </c>
      <c r="E4517" s="3">
        <v>0</v>
      </c>
      <c r="F4517" s="3">
        <v>0</v>
      </c>
      <c r="G4517" s="3">
        <v>0</v>
      </c>
      <c r="H4517" s="3">
        <v>0</v>
      </c>
      <c r="I4517" s="3">
        <v>0</v>
      </c>
      <c r="J4517" s="3">
        <v>0</v>
      </c>
      <c r="K4517" s="3">
        <v>0</v>
      </c>
      <c r="M4517" s="3">
        <v>0</v>
      </c>
      <c r="N4517" s="3">
        <v>99.32</v>
      </c>
      <c r="O4517" s="12">
        <v>30.648330058939099</v>
      </c>
    </row>
    <row r="4518" spans="1:15" hidden="1" x14ac:dyDescent="0.25">
      <c r="A4518" s="10">
        <v>46133</v>
      </c>
      <c r="B4518" t="s">
        <v>33</v>
      </c>
      <c r="C4518" s="1" t="s">
        <v>32</v>
      </c>
      <c r="D4518" s="3">
        <v>0</v>
      </c>
      <c r="E4518" s="3">
        <v>0</v>
      </c>
      <c r="F4518" s="3">
        <v>0</v>
      </c>
      <c r="G4518" s="3">
        <v>0</v>
      </c>
      <c r="H4518" s="3">
        <v>0</v>
      </c>
      <c r="I4518" s="3">
        <v>0</v>
      </c>
      <c r="J4518" s="3">
        <v>0</v>
      </c>
      <c r="K4518" s="3">
        <v>0</v>
      </c>
      <c r="M4518" s="3">
        <v>0</v>
      </c>
      <c r="N4518" s="3">
        <v>100</v>
      </c>
      <c r="O4518" s="12">
        <v>27.803738317757009</v>
      </c>
    </row>
    <row r="4519" spans="1:15" hidden="1" x14ac:dyDescent="0.25">
      <c r="A4519" s="10">
        <v>46133</v>
      </c>
      <c r="B4519" t="s">
        <v>15</v>
      </c>
      <c r="C4519" s="1" t="s">
        <v>16</v>
      </c>
      <c r="D4519" s="3">
        <v>0</v>
      </c>
      <c r="E4519" s="3">
        <v>0</v>
      </c>
      <c r="F4519" s="3">
        <v>0</v>
      </c>
      <c r="G4519" s="3">
        <v>0</v>
      </c>
      <c r="H4519" s="3">
        <v>0</v>
      </c>
      <c r="I4519" s="3">
        <v>0</v>
      </c>
      <c r="J4519" s="3">
        <v>0</v>
      </c>
      <c r="K4519" s="3">
        <v>0</v>
      </c>
      <c r="M4519" s="3">
        <v>0</v>
      </c>
      <c r="N4519" s="3">
        <v>96.74</v>
      </c>
      <c r="O4519" s="12">
        <v>28.67647058823529</v>
      </c>
    </row>
    <row r="4520" spans="1:15" hidden="1" x14ac:dyDescent="0.25">
      <c r="A4520" s="10">
        <v>46133</v>
      </c>
      <c r="B4520" t="s">
        <v>49</v>
      </c>
      <c r="C4520" s="1" t="s">
        <v>48</v>
      </c>
      <c r="D4520" s="3">
        <v>0</v>
      </c>
      <c r="E4520" s="3">
        <v>0</v>
      </c>
      <c r="F4520" s="3">
        <v>0</v>
      </c>
      <c r="G4520" s="3">
        <v>0</v>
      </c>
      <c r="H4520" s="3">
        <v>0</v>
      </c>
      <c r="I4520" s="3">
        <v>0</v>
      </c>
      <c r="J4520" s="3">
        <v>0</v>
      </c>
      <c r="K4520" s="3">
        <v>0</v>
      </c>
      <c r="M4520" s="3">
        <v>0</v>
      </c>
      <c r="N4520" s="3">
        <v>98.82</v>
      </c>
      <c r="O4520" s="12">
        <v>30.741410488245929</v>
      </c>
    </row>
    <row r="4521" spans="1:15" hidden="1" x14ac:dyDescent="0.25">
      <c r="A4521" s="10">
        <v>46133</v>
      </c>
      <c r="B4521" t="s">
        <v>50</v>
      </c>
      <c r="C4521" s="1" t="s">
        <v>48</v>
      </c>
      <c r="D4521" s="3">
        <v>0</v>
      </c>
      <c r="E4521" s="3">
        <v>0</v>
      </c>
      <c r="F4521" s="3">
        <v>0</v>
      </c>
      <c r="G4521" s="3">
        <v>0</v>
      </c>
      <c r="H4521" s="3">
        <v>0</v>
      </c>
      <c r="I4521" s="3">
        <v>0</v>
      </c>
      <c r="J4521" s="3">
        <v>0</v>
      </c>
      <c r="K4521" s="3">
        <v>0</v>
      </c>
      <c r="M4521" s="3">
        <v>0</v>
      </c>
      <c r="N4521" s="3">
        <v>98.2</v>
      </c>
      <c r="O4521" s="12">
        <v>27.170868347338931</v>
      </c>
    </row>
    <row r="4522" spans="1:15" hidden="1" x14ac:dyDescent="0.25">
      <c r="A4522" s="10">
        <v>46133</v>
      </c>
      <c r="B4522" t="s">
        <v>17</v>
      </c>
      <c r="C4522" s="1" t="s">
        <v>16</v>
      </c>
      <c r="D4522" s="3">
        <v>0</v>
      </c>
      <c r="E4522" s="3">
        <v>0</v>
      </c>
      <c r="F4522" s="3">
        <v>0</v>
      </c>
      <c r="G4522" s="3">
        <v>0</v>
      </c>
      <c r="H4522" s="3">
        <v>0</v>
      </c>
      <c r="I4522" s="3">
        <v>0</v>
      </c>
      <c r="J4522" s="3">
        <v>0</v>
      </c>
      <c r="K4522" s="3">
        <v>0</v>
      </c>
      <c r="M4522" s="3">
        <v>0</v>
      </c>
      <c r="N4522" s="3">
        <v>100</v>
      </c>
      <c r="O4522" s="12">
        <v>23.134328358208951</v>
      </c>
    </row>
    <row r="4523" spans="1:15" hidden="1" x14ac:dyDescent="0.25">
      <c r="A4523" s="10">
        <v>46133</v>
      </c>
      <c r="B4523" t="s">
        <v>60</v>
      </c>
      <c r="C4523" s="1" t="s">
        <v>23</v>
      </c>
      <c r="D4523" s="3">
        <v>0</v>
      </c>
      <c r="E4523" s="3">
        <v>0</v>
      </c>
      <c r="F4523" s="3">
        <v>0</v>
      </c>
      <c r="G4523" s="3">
        <v>0</v>
      </c>
      <c r="H4523" s="3">
        <v>0</v>
      </c>
      <c r="I4523" s="3">
        <v>0</v>
      </c>
      <c r="J4523" s="3">
        <v>0</v>
      </c>
      <c r="K4523" s="3">
        <v>0</v>
      </c>
      <c r="M4523" s="3">
        <v>0</v>
      </c>
      <c r="N4523" s="3">
        <v>96.3</v>
      </c>
      <c r="O4523" s="12">
        <v>32.219570405727922</v>
      </c>
    </row>
    <row r="4524" spans="1:15" hidden="1" x14ac:dyDescent="0.25">
      <c r="A4524" s="10">
        <v>46133</v>
      </c>
      <c r="B4524" t="s">
        <v>34</v>
      </c>
      <c r="C4524" s="1" t="s">
        <v>32</v>
      </c>
      <c r="D4524" s="3">
        <v>0</v>
      </c>
      <c r="E4524" s="3">
        <v>0</v>
      </c>
      <c r="F4524" s="3">
        <v>0</v>
      </c>
      <c r="G4524" s="3">
        <v>0</v>
      </c>
      <c r="H4524" s="3">
        <v>0</v>
      </c>
      <c r="I4524" s="3">
        <v>0</v>
      </c>
      <c r="J4524" s="3">
        <v>0</v>
      </c>
      <c r="K4524" s="3">
        <v>0</v>
      </c>
      <c r="M4524" s="3">
        <v>0</v>
      </c>
      <c r="N4524" s="3">
        <v>93.75</v>
      </c>
      <c r="O4524" s="12">
        <v>26.819923371647509</v>
      </c>
    </row>
    <row r="4525" spans="1:15" hidden="1" x14ac:dyDescent="0.25">
      <c r="A4525" s="10">
        <v>46133</v>
      </c>
      <c r="B4525" t="s">
        <v>51</v>
      </c>
      <c r="C4525" s="1" t="s">
        <v>48</v>
      </c>
      <c r="D4525" s="3">
        <v>0</v>
      </c>
      <c r="E4525" s="3">
        <v>0</v>
      </c>
      <c r="F4525" s="3">
        <v>0</v>
      </c>
      <c r="G4525" s="3">
        <v>0</v>
      </c>
      <c r="H4525" s="3">
        <v>0</v>
      </c>
      <c r="I4525" s="3">
        <v>0</v>
      </c>
      <c r="J4525" s="3">
        <v>0</v>
      </c>
      <c r="K4525" s="3">
        <v>0</v>
      </c>
      <c r="M4525" s="3">
        <v>0</v>
      </c>
      <c r="N4525" s="3">
        <v>97.86</v>
      </c>
      <c r="O4525" s="12">
        <v>31.018518518518519</v>
      </c>
    </row>
    <row r="4526" spans="1:15" hidden="1" x14ac:dyDescent="0.25">
      <c r="A4526" s="10">
        <v>46133</v>
      </c>
      <c r="B4526" t="s">
        <v>61</v>
      </c>
      <c r="C4526" s="1" t="s">
        <v>23</v>
      </c>
      <c r="D4526" s="3">
        <v>0</v>
      </c>
      <c r="E4526" s="3">
        <v>0</v>
      </c>
      <c r="F4526" s="3">
        <v>0</v>
      </c>
      <c r="G4526" s="3">
        <v>0</v>
      </c>
      <c r="H4526" s="3">
        <v>0</v>
      </c>
      <c r="I4526" s="3">
        <v>0</v>
      </c>
      <c r="J4526" s="3">
        <v>0</v>
      </c>
      <c r="K4526" s="3">
        <v>0</v>
      </c>
      <c r="M4526" s="3">
        <v>0</v>
      </c>
      <c r="N4526" s="3">
        <v>100</v>
      </c>
      <c r="O4526" s="12">
        <v>36.594202898550733</v>
      </c>
    </row>
    <row r="4527" spans="1:15" hidden="1" x14ac:dyDescent="0.25">
      <c r="A4527" s="10">
        <v>46133</v>
      </c>
      <c r="B4527" t="s">
        <v>35</v>
      </c>
      <c r="C4527" s="1" t="s">
        <v>32</v>
      </c>
      <c r="D4527" s="3">
        <v>0</v>
      </c>
      <c r="E4527" s="3">
        <v>0</v>
      </c>
      <c r="F4527" s="3">
        <v>0</v>
      </c>
      <c r="G4527" s="3">
        <v>0</v>
      </c>
      <c r="H4527" s="3">
        <v>0</v>
      </c>
      <c r="I4527" s="3">
        <v>0</v>
      </c>
      <c r="J4527" s="3">
        <v>0</v>
      </c>
      <c r="K4527" s="3">
        <v>0</v>
      </c>
      <c r="M4527" s="3">
        <v>0</v>
      </c>
      <c r="N4527" s="3">
        <v>100</v>
      </c>
      <c r="O4527" s="12">
        <v>38.653846153846153</v>
      </c>
    </row>
    <row r="4528" spans="1:15" hidden="1" x14ac:dyDescent="0.25">
      <c r="A4528" s="10">
        <v>46133</v>
      </c>
      <c r="B4528" t="s">
        <v>18</v>
      </c>
      <c r="C4528" s="1" t="s">
        <v>16</v>
      </c>
      <c r="D4528" s="3">
        <v>0</v>
      </c>
      <c r="E4528" s="3">
        <v>0</v>
      </c>
      <c r="F4528" s="3">
        <v>0</v>
      </c>
      <c r="G4528" s="3">
        <v>0</v>
      </c>
      <c r="H4528" s="3">
        <v>0</v>
      </c>
      <c r="I4528" s="3">
        <v>0</v>
      </c>
      <c r="J4528" s="3">
        <v>0</v>
      </c>
      <c r="K4528" s="3">
        <v>0</v>
      </c>
      <c r="M4528" s="3">
        <v>0</v>
      </c>
      <c r="N4528" s="3">
        <v>100</v>
      </c>
      <c r="O4528" s="12">
        <v>27.368421052631579</v>
      </c>
    </row>
    <row r="4529" spans="1:15" hidden="1" x14ac:dyDescent="0.25">
      <c r="A4529" s="10">
        <v>46133</v>
      </c>
      <c r="B4529" t="s">
        <v>52</v>
      </c>
      <c r="C4529" s="1" t="s">
        <v>48</v>
      </c>
      <c r="D4529" s="3">
        <v>0</v>
      </c>
      <c r="E4529" s="3">
        <v>0</v>
      </c>
      <c r="F4529" s="3">
        <v>0</v>
      </c>
      <c r="G4529" s="3">
        <v>0</v>
      </c>
      <c r="H4529" s="3">
        <v>0</v>
      </c>
      <c r="I4529" s="3">
        <v>0</v>
      </c>
      <c r="J4529" s="3">
        <v>0</v>
      </c>
      <c r="K4529" s="3">
        <v>0</v>
      </c>
      <c r="M4529" s="3">
        <v>0</v>
      </c>
      <c r="N4529" s="3">
        <v>97.83</v>
      </c>
      <c r="O4529" s="12">
        <v>28.35164835164835</v>
      </c>
    </row>
    <row r="4530" spans="1:15" hidden="1" x14ac:dyDescent="0.25">
      <c r="A4530" s="10">
        <v>46133</v>
      </c>
      <c r="B4530" t="s">
        <v>36</v>
      </c>
      <c r="C4530" s="1" t="s">
        <v>32</v>
      </c>
      <c r="D4530" s="3">
        <v>0</v>
      </c>
      <c r="E4530" s="3">
        <v>0</v>
      </c>
      <c r="F4530" s="3">
        <v>0</v>
      </c>
      <c r="G4530" s="3">
        <v>0</v>
      </c>
      <c r="H4530" s="3">
        <v>0</v>
      </c>
      <c r="I4530" s="3">
        <v>0</v>
      </c>
      <c r="J4530" s="3">
        <v>0</v>
      </c>
      <c r="K4530" s="3">
        <v>0</v>
      </c>
      <c r="M4530" s="3">
        <v>0</v>
      </c>
      <c r="N4530" s="3">
        <v>99.26</v>
      </c>
      <c r="O4530" s="12">
        <v>29.766536964980549</v>
      </c>
    </row>
    <row r="4531" spans="1:15" hidden="1" x14ac:dyDescent="0.25">
      <c r="A4531" s="10">
        <v>46133</v>
      </c>
      <c r="B4531" t="s">
        <v>53</v>
      </c>
      <c r="C4531" s="1" t="s">
        <v>48</v>
      </c>
      <c r="D4531" s="3">
        <v>0</v>
      </c>
      <c r="E4531" s="3">
        <v>0</v>
      </c>
      <c r="F4531" s="3">
        <v>0</v>
      </c>
      <c r="G4531" s="3">
        <v>0</v>
      </c>
      <c r="H4531" s="3">
        <v>0</v>
      </c>
      <c r="I4531" s="3">
        <v>0</v>
      </c>
      <c r="J4531" s="3">
        <v>0</v>
      </c>
      <c r="K4531" s="3">
        <v>0</v>
      </c>
      <c r="M4531" s="3">
        <v>0</v>
      </c>
      <c r="N4531" s="3">
        <v>99.19</v>
      </c>
      <c r="O4531" s="12">
        <v>29.462365591397852</v>
      </c>
    </row>
    <row r="4532" spans="1:15" hidden="1" x14ac:dyDescent="0.25">
      <c r="A4532" s="10">
        <v>46133</v>
      </c>
      <c r="B4532" t="s">
        <v>54</v>
      </c>
      <c r="C4532" s="1" t="s">
        <v>48</v>
      </c>
      <c r="D4532" s="3">
        <v>0</v>
      </c>
      <c r="E4532" s="3">
        <v>0</v>
      </c>
      <c r="F4532" s="3">
        <v>0</v>
      </c>
      <c r="G4532" s="3">
        <v>0</v>
      </c>
      <c r="H4532" s="3">
        <v>0</v>
      </c>
      <c r="I4532" s="3">
        <v>0</v>
      </c>
      <c r="J4532" s="3">
        <v>0</v>
      </c>
      <c r="K4532" s="3">
        <v>0</v>
      </c>
      <c r="M4532" s="3">
        <v>0</v>
      </c>
      <c r="N4532" s="3">
        <v>100</v>
      </c>
      <c r="O4532" s="12">
        <v>28.921568627450981</v>
      </c>
    </row>
    <row r="4533" spans="1:15" hidden="1" x14ac:dyDescent="0.25">
      <c r="A4533" s="10">
        <v>46133</v>
      </c>
      <c r="B4533" t="s">
        <v>37</v>
      </c>
      <c r="C4533" s="1" t="s">
        <v>32</v>
      </c>
      <c r="D4533" s="3">
        <v>0</v>
      </c>
      <c r="E4533" s="3">
        <v>0</v>
      </c>
      <c r="F4533" s="3">
        <v>0</v>
      </c>
      <c r="G4533" s="3">
        <v>0</v>
      </c>
      <c r="H4533" s="3">
        <v>0</v>
      </c>
      <c r="I4533" s="3">
        <v>0</v>
      </c>
      <c r="J4533" s="3">
        <v>0</v>
      </c>
      <c r="K4533" s="3">
        <v>0</v>
      </c>
      <c r="M4533" s="3">
        <v>0</v>
      </c>
      <c r="N4533" s="3">
        <v>99.57</v>
      </c>
      <c r="O4533" s="12">
        <v>30.635838150289018</v>
      </c>
    </row>
    <row r="4534" spans="1:15" hidden="1" x14ac:dyDescent="0.25">
      <c r="A4534" s="10">
        <v>46133</v>
      </c>
      <c r="B4534" t="s">
        <v>38</v>
      </c>
      <c r="C4534" s="1" t="s">
        <v>32</v>
      </c>
      <c r="D4534" s="3">
        <v>0</v>
      </c>
      <c r="E4534" s="3">
        <v>0</v>
      </c>
      <c r="F4534" s="3">
        <v>0</v>
      </c>
      <c r="G4534" s="3">
        <v>0</v>
      </c>
      <c r="H4534" s="3">
        <v>0</v>
      </c>
      <c r="I4534" s="3">
        <v>0</v>
      </c>
      <c r="J4534" s="3">
        <v>0</v>
      </c>
      <c r="K4534" s="3">
        <v>0</v>
      </c>
      <c r="M4534" s="3">
        <v>0</v>
      </c>
      <c r="N4534" s="3">
        <v>95.65</v>
      </c>
      <c r="O4534" s="12">
        <v>32.432432432432442</v>
      </c>
    </row>
    <row r="4535" spans="1:15" hidden="1" x14ac:dyDescent="0.25">
      <c r="A4535" s="10">
        <v>46133</v>
      </c>
      <c r="B4535" t="s">
        <v>55</v>
      </c>
      <c r="C4535" s="1" t="s">
        <v>48</v>
      </c>
      <c r="D4535" s="3">
        <v>0</v>
      </c>
      <c r="E4535" s="3">
        <v>0</v>
      </c>
      <c r="F4535" s="3">
        <v>0</v>
      </c>
      <c r="G4535" s="3">
        <v>0</v>
      </c>
      <c r="H4535" s="3">
        <v>0</v>
      </c>
      <c r="I4535" s="3">
        <v>0</v>
      </c>
      <c r="J4535" s="3">
        <v>0</v>
      </c>
      <c r="K4535" s="3">
        <v>0</v>
      </c>
      <c r="M4535" s="3">
        <v>0</v>
      </c>
      <c r="N4535" s="3">
        <v>98.81</v>
      </c>
      <c r="O4535" s="12">
        <v>26.256983240223459</v>
      </c>
    </row>
    <row r="4536" spans="1:15" hidden="1" x14ac:dyDescent="0.25">
      <c r="A4536" s="10">
        <v>46133</v>
      </c>
      <c r="B4536" t="s">
        <v>39</v>
      </c>
      <c r="C4536" s="1" t="s">
        <v>32</v>
      </c>
      <c r="D4536" s="3">
        <v>0</v>
      </c>
      <c r="E4536" s="3">
        <v>0</v>
      </c>
      <c r="F4536" s="3">
        <v>0</v>
      </c>
      <c r="G4536" s="3">
        <v>0</v>
      </c>
      <c r="H4536" s="3">
        <v>0</v>
      </c>
      <c r="I4536" s="3">
        <v>0</v>
      </c>
      <c r="J4536" s="3">
        <v>0</v>
      </c>
      <c r="K4536" s="3">
        <v>0</v>
      </c>
      <c r="M4536" s="3">
        <v>0</v>
      </c>
      <c r="N4536" s="3">
        <v>0</v>
      </c>
      <c r="O4536" s="12">
        <v>0</v>
      </c>
    </row>
    <row r="4537" spans="1:15" hidden="1" x14ac:dyDescent="0.25">
      <c r="A4537" s="10">
        <v>46133</v>
      </c>
      <c r="B4537" t="s">
        <v>25</v>
      </c>
      <c r="C4537" s="1" t="s">
        <v>26</v>
      </c>
      <c r="D4537" s="3">
        <v>0</v>
      </c>
      <c r="E4537" s="3">
        <v>0</v>
      </c>
      <c r="F4537" s="3">
        <v>0</v>
      </c>
      <c r="G4537" s="3">
        <v>0</v>
      </c>
      <c r="H4537" s="3">
        <v>0</v>
      </c>
      <c r="I4537" s="3">
        <v>0</v>
      </c>
      <c r="J4537" s="3">
        <v>0</v>
      </c>
      <c r="K4537" s="3">
        <v>0</v>
      </c>
      <c r="M4537" s="3">
        <v>0</v>
      </c>
      <c r="N4537" s="3">
        <v>97.17</v>
      </c>
      <c r="O4537" s="12">
        <v>28.81844380403458</v>
      </c>
    </row>
    <row r="4538" spans="1:15" hidden="1" x14ac:dyDescent="0.25">
      <c r="A4538" s="10">
        <v>46133</v>
      </c>
      <c r="B4538" t="s">
        <v>40</v>
      </c>
      <c r="C4538" s="1" t="s">
        <v>32</v>
      </c>
      <c r="D4538" s="3">
        <v>0</v>
      </c>
      <c r="E4538" s="3">
        <v>0</v>
      </c>
      <c r="F4538" s="3">
        <v>0</v>
      </c>
      <c r="G4538" s="3">
        <v>0</v>
      </c>
      <c r="H4538" s="3">
        <v>0</v>
      </c>
      <c r="I4538" s="3">
        <v>0</v>
      </c>
      <c r="J4538" s="3">
        <v>0</v>
      </c>
      <c r="K4538" s="3">
        <v>0</v>
      </c>
      <c r="M4538" s="3">
        <v>0</v>
      </c>
      <c r="N4538" s="3">
        <v>96.81</v>
      </c>
      <c r="O4538" s="12">
        <v>48.018648018648022</v>
      </c>
    </row>
    <row r="4539" spans="1:15" hidden="1" x14ac:dyDescent="0.25">
      <c r="A4539" s="10">
        <v>46133</v>
      </c>
      <c r="B4539" t="s">
        <v>27</v>
      </c>
      <c r="C4539" s="1" t="s">
        <v>26</v>
      </c>
      <c r="D4539" s="3">
        <v>0</v>
      </c>
      <c r="E4539" s="3">
        <v>0</v>
      </c>
      <c r="F4539" s="3">
        <v>0</v>
      </c>
      <c r="G4539" s="3">
        <v>0</v>
      </c>
      <c r="H4539" s="3">
        <v>0</v>
      </c>
      <c r="I4539" s="3">
        <v>0</v>
      </c>
      <c r="J4539" s="3">
        <v>0</v>
      </c>
      <c r="K4539" s="3">
        <v>0</v>
      </c>
      <c r="M4539" s="3">
        <v>0</v>
      </c>
      <c r="N4539" s="3">
        <v>98.15</v>
      </c>
      <c r="O4539" s="12">
        <v>27.1551724137931</v>
      </c>
    </row>
    <row r="4540" spans="1:15" hidden="1" x14ac:dyDescent="0.25">
      <c r="A4540" s="10">
        <v>46133</v>
      </c>
      <c r="B4540" t="s">
        <v>41</v>
      </c>
      <c r="C4540" s="1" t="s">
        <v>32</v>
      </c>
      <c r="D4540" s="3">
        <v>0</v>
      </c>
      <c r="E4540" s="3">
        <v>0</v>
      </c>
      <c r="F4540" s="3">
        <v>0</v>
      </c>
      <c r="G4540" s="3">
        <v>0</v>
      </c>
      <c r="H4540" s="3">
        <v>0</v>
      </c>
      <c r="I4540" s="3">
        <v>0</v>
      </c>
      <c r="J4540" s="3">
        <v>0</v>
      </c>
      <c r="K4540" s="3">
        <v>0</v>
      </c>
      <c r="M4540" s="3">
        <v>0</v>
      </c>
      <c r="N4540" s="3">
        <v>99.15</v>
      </c>
      <c r="O4540" s="12">
        <v>27.586206896551719</v>
      </c>
    </row>
    <row r="4541" spans="1:15" hidden="1" x14ac:dyDescent="0.25">
      <c r="A4541" s="10">
        <v>46133</v>
      </c>
      <c r="B4541" t="s">
        <v>56</v>
      </c>
      <c r="C4541" s="1" t="s">
        <v>48</v>
      </c>
      <c r="D4541" s="3">
        <v>0</v>
      </c>
      <c r="E4541" s="3">
        <v>0</v>
      </c>
      <c r="F4541" s="3">
        <v>0</v>
      </c>
      <c r="G4541" s="3">
        <v>0</v>
      </c>
      <c r="H4541" s="3">
        <v>0</v>
      </c>
      <c r="I4541" s="3">
        <v>0</v>
      </c>
      <c r="J4541" s="3">
        <v>0</v>
      </c>
      <c r="K4541" s="3">
        <v>0</v>
      </c>
      <c r="M4541" s="3">
        <v>0</v>
      </c>
      <c r="N4541" s="3">
        <v>99.17</v>
      </c>
      <c r="O4541" s="12">
        <v>29.75206611570248</v>
      </c>
    </row>
    <row r="4542" spans="1:15" hidden="1" x14ac:dyDescent="0.25">
      <c r="A4542" s="10">
        <v>46133</v>
      </c>
      <c r="B4542" t="s">
        <v>57</v>
      </c>
      <c r="C4542" s="1" t="s">
        <v>48</v>
      </c>
      <c r="D4542" s="3">
        <v>0</v>
      </c>
      <c r="E4542" s="3">
        <v>0</v>
      </c>
      <c r="F4542" s="3">
        <v>0</v>
      </c>
      <c r="G4542" s="3">
        <v>0</v>
      </c>
      <c r="H4542" s="3">
        <v>0</v>
      </c>
      <c r="I4542" s="3">
        <v>0</v>
      </c>
      <c r="J4542" s="3">
        <v>0</v>
      </c>
      <c r="K4542" s="3">
        <v>0</v>
      </c>
      <c r="M4542" s="3">
        <v>0</v>
      </c>
      <c r="N4542" s="3">
        <v>98.73</v>
      </c>
      <c r="O4542" s="12">
        <v>28.961748633879779</v>
      </c>
    </row>
    <row r="4543" spans="1:15" hidden="1" x14ac:dyDescent="0.25">
      <c r="A4543" s="10">
        <v>46133</v>
      </c>
      <c r="B4543" t="s">
        <v>42</v>
      </c>
      <c r="C4543" s="1" t="s">
        <v>32</v>
      </c>
      <c r="D4543" s="3">
        <v>0</v>
      </c>
      <c r="E4543" s="3">
        <v>0</v>
      </c>
      <c r="F4543" s="3">
        <v>0</v>
      </c>
      <c r="G4543" s="3">
        <v>0</v>
      </c>
      <c r="H4543" s="3">
        <v>0</v>
      </c>
      <c r="I4543" s="3">
        <v>0</v>
      </c>
      <c r="J4543" s="3">
        <v>0</v>
      </c>
      <c r="K4543" s="3">
        <v>0</v>
      </c>
      <c r="M4543" s="3">
        <v>0</v>
      </c>
      <c r="N4543" s="3">
        <v>88.68</v>
      </c>
      <c r="O4543" s="12">
        <v>22.03389830508474</v>
      </c>
    </row>
    <row r="4544" spans="1:15" hidden="1" x14ac:dyDescent="0.25">
      <c r="A4544" s="10">
        <v>46133</v>
      </c>
      <c r="B4544" t="s">
        <v>62</v>
      </c>
      <c r="C4544" s="1" t="s">
        <v>23</v>
      </c>
      <c r="D4544" s="3">
        <v>0</v>
      </c>
      <c r="E4544" s="3">
        <v>0</v>
      </c>
      <c r="F4544" s="3">
        <v>0</v>
      </c>
      <c r="G4544" s="3">
        <v>0</v>
      </c>
      <c r="H4544" s="3">
        <v>0</v>
      </c>
      <c r="I4544" s="3">
        <v>0</v>
      </c>
      <c r="J4544" s="3">
        <v>0</v>
      </c>
      <c r="K4544" s="3">
        <v>0</v>
      </c>
      <c r="M4544" s="3">
        <v>0</v>
      </c>
      <c r="N4544" s="3">
        <v>97.37</v>
      </c>
      <c r="O4544" s="12">
        <v>25.76530612244898</v>
      </c>
    </row>
    <row r="4545" spans="1:15" hidden="1" x14ac:dyDescent="0.25">
      <c r="A4545" s="10">
        <v>46133</v>
      </c>
      <c r="B4545" t="s">
        <v>19</v>
      </c>
      <c r="C4545" s="1" t="s">
        <v>16</v>
      </c>
      <c r="D4545" s="3">
        <v>0</v>
      </c>
      <c r="E4545" s="3">
        <v>0</v>
      </c>
      <c r="F4545" s="3">
        <v>0</v>
      </c>
      <c r="G4545" s="3">
        <v>0</v>
      </c>
      <c r="H4545" s="3">
        <v>0</v>
      </c>
      <c r="I4545" s="3">
        <v>0</v>
      </c>
      <c r="J4545" s="3">
        <v>0</v>
      </c>
      <c r="K4545" s="3">
        <v>0</v>
      </c>
      <c r="M4545" s="3">
        <v>0</v>
      </c>
      <c r="N4545" s="3">
        <v>100</v>
      </c>
      <c r="O4545" s="12">
        <v>25</v>
      </c>
    </row>
    <row r="4546" spans="1:15" hidden="1" x14ac:dyDescent="0.25">
      <c r="A4546" s="10">
        <v>46168</v>
      </c>
      <c r="B4546" t="s">
        <v>54</v>
      </c>
      <c r="C4546" s="1" t="s">
        <v>48</v>
      </c>
      <c r="D4546" s="3">
        <v>24</v>
      </c>
      <c r="E4546" s="3">
        <v>23</v>
      </c>
      <c r="F4546" s="3">
        <v>15.03</v>
      </c>
      <c r="G4546" s="3">
        <v>1</v>
      </c>
      <c r="I4546" s="3">
        <f>E4546+G4546+H4546</f>
        <v>24</v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>22</v>
      </c>
      <c r="K4546" s="3">
        <f>I4546-J4546</f>
        <v>2</v>
      </c>
      <c r="L4546" s="3" t="str">
        <f>IF(K4546&lt;-5,"CRÍTICO",IF(K4546&lt;0,"ATENÇÃO",IF(K4546&lt;=5,"OPORTUNO","MUITO BOM")))</f>
        <v>OPORTUNO</v>
      </c>
      <c r="M4546" s="3">
        <v>20</v>
      </c>
      <c r="N4546" s="3">
        <v>98.98</v>
      </c>
      <c r="O4546" s="12">
        <v>21.236559139784951</v>
      </c>
    </row>
    <row r="4547" spans="1:15" hidden="1" x14ac:dyDescent="0.25">
      <c r="A4547" s="10">
        <v>46133</v>
      </c>
      <c r="B4547" t="s">
        <v>44</v>
      </c>
      <c r="C4547" s="1" t="s">
        <v>32</v>
      </c>
      <c r="D4547" s="3">
        <v>0</v>
      </c>
      <c r="E4547" s="3">
        <v>0</v>
      </c>
      <c r="F4547" s="3">
        <v>0</v>
      </c>
      <c r="G4547" s="3">
        <v>0</v>
      </c>
      <c r="H4547" s="3">
        <v>0</v>
      </c>
      <c r="I4547" s="3">
        <v>0</v>
      </c>
      <c r="J4547" s="3">
        <v>0</v>
      </c>
      <c r="K4547" s="3">
        <v>0</v>
      </c>
      <c r="M4547" s="3">
        <v>0</v>
      </c>
      <c r="N4547" s="3">
        <v>95.49</v>
      </c>
      <c r="O4547" s="12">
        <v>28.370221327967808</v>
      </c>
    </row>
    <row r="4548" spans="1:15" hidden="1" x14ac:dyDescent="0.25">
      <c r="A4548" s="10">
        <v>46168</v>
      </c>
      <c r="B4548" t="s">
        <v>55</v>
      </c>
      <c r="C4548" s="1" t="s">
        <v>48</v>
      </c>
      <c r="D4548" s="3">
        <v>34</v>
      </c>
      <c r="E4548" s="3">
        <v>20</v>
      </c>
      <c r="F4548" s="3">
        <v>7.25</v>
      </c>
      <c r="G4548" s="3">
        <v>0</v>
      </c>
      <c r="H4548" s="3">
        <v>0</v>
      </c>
      <c r="I4548" s="3">
        <f>E4548+G4548+H4548</f>
        <v>20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22</v>
      </c>
      <c r="K4548" s="3">
        <f>I4548-J4548</f>
        <v>-2</v>
      </c>
      <c r="L4548" s="3" t="str">
        <f>IF(K4548&lt;-5,"CRÍTICO",IF(K4548&lt;0,"ATENÇÃO",IF(K4548&lt;=5,"OPORTUNO","MUITO BOM")))</f>
        <v>ATENÇÃO</v>
      </c>
      <c r="M4548" s="3">
        <v>21</v>
      </c>
      <c r="N4548" s="3">
        <v>98.94</v>
      </c>
      <c r="O4548" s="12">
        <v>22.928176795580111</v>
      </c>
    </row>
    <row r="4549" spans="1:15" hidden="1" x14ac:dyDescent="0.25">
      <c r="A4549" s="10">
        <v>46133</v>
      </c>
      <c r="B4549" t="s">
        <v>28</v>
      </c>
      <c r="C4549" s="1" t="s">
        <v>26</v>
      </c>
      <c r="D4549" s="3">
        <v>0</v>
      </c>
      <c r="E4549" s="3">
        <v>0</v>
      </c>
      <c r="F4549" s="3">
        <v>0</v>
      </c>
      <c r="G4549" s="3">
        <v>0</v>
      </c>
      <c r="H4549" s="3">
        <v>0</v>
      </c>
      <c r="I4549" s="3">
        <v>0</v>
      </c>
      <c r="J4549" s="3">
        <v>0</v>
      </c>
      <c r="K4549" s="3">
        <v>0</v>
      </c>
      <c r="M4549" s="3">
        <v>0</v>
      </c>
      <c r="N4549" s="3">
        <v>96.15</v>
      </c>
      <c r="O4549" s="12">
        <v>24.045801526717561</v>
      </c>
    </row>
    <row r="4550" spans="1:15" hidden="1" x14ac:dyDescent="0.25">
      <c r="A4550" s="10">
        <v>46133</v>
      </c>
      <c r="B4550" t="s">
        <v>58</v>
      </c>
      <c r="C4550" s="1" t="s">
        <v>48</v>
      </c>
      <c r="D4550" s="3">
        <v>0</v>
      </c>
      <c r="E4550" s="3">
        <v>0</v>
      </c>
      <c r="F4550" s="3">
        <v>0</v>
      </c>
      <c r="G4550" s="3">
        <v>0</v>
      </c>
      <c r="H4550" s="3">
        <v>0</v>
      </c>
      <c r="I4550" s="3">
        <v>0</v>
      </c>
      <c r="J4550" s="3">
        <v>0</v>
      </c>
      <c r="K4550" s="3">
        <v>0</v>
      </c>
      <c r="M4550" s="3">
        <v>0</v>
      </c>
      <c r="N4550" s="3">
        <v>99.02</v>
      </c>
      <c r="O4550" s="12">
        <v>34.797297297297298</v>
      </c>
    </row>
    <row r="4551" spans="1:15" hidden="1" x14ac:dyDescent="0.25">
      <c r="A4551" s="10">
        <v>46133</v>
      </c>
      <c r="B4551" t="s">
        <v>29</v>
      </c>
      <c r="C4551" s="1" t="s">
        <v>26</v>
      </c>
      <c r="D4551" s="3">
        <v>0</v>
      </c>
      <c r="E4551" s="3">
        <v>0</v>
      </c>
      <c r="F4551" s="3">
        <v>0</v>
      </c>
      <c r="G4551" s="3">
        <v>0</v>
      </c>
      <c r="H4551" s="3">
        <v>0</v>
      </c>
      <c r="I4551" s="3">
        <v>0</v>
      </c>
      <c r="J4551" s="3">
        <v>0</v>
      </c>
      <c r="K4551" s="3">
        <v>0</v>
      </c>
      <c r="M4551" s="3">
        <v>0</v>
      </c>
      <c r="N4551" s="3">
        <v>98.84</v>
      </c>
      <c r="O4551" s="12">
        <v>31.868131868131869</v>
      </c>
    </row>
    <row r="4552" spans="1:15" hidden="1" x14ac:dyDescent="0.25">
      <c r="A4552" s="10">
        <v>46133</v>
      </c>
      <c r="B4552" t="s">
        <v>30</v>
      </c>
      <c r="C4552" s="1" t="s">
        <v>26</v>
      </c>
      <c r="D4552" s="3">
        <v>0</v>
      </c>
      <c r="E4552" s="3">
        <v>0</v>
      </c>
      <c r="F4552" s="3">
        <v>0</v>
      </c>
      <c r="G4552" s="3">
        <v>0</v>
      </c>
      <c r="H4552" s="3">
        <v>0</v>
      </c>
      <c r="I4552" s="3">
        <v>0</v>
      </c>
      <c r="J4552" s="3">
        <v>0</v>
      </c>
      <c r="K4552" s="3">
        <v>0</v>
      </c>
      <c r="M4552" s="3">
        <v>0</v>
      </c>
      <c r="N4552" s="3">
        <v>100</v>
      </c>
      <c r="O4552" s="12">
        <v>34.666666666666671</v>
      </c>
    </row>
    <row r="4553" spans="1:15" hidden="1" x14ac:dyDescent="0.25">
      <c r="A4553" s="10">
        <v>46168</v>
      </c>
      <c r="B4553" t="s">
        <v>56</v>
      </c>
      <c r="C4553" s="1" t="s">
        <v>48</v>
      </c>
      <c r="D4553" s="3">
        <v>21</v>
      </c>
      <c r="E4553" s="3">
        <v>20</v>
      </c>
      <c r="F4553" s="3">
        <v>20.39</v>
      </c>
      <c r="G4553" s="3">
        <v>0</v>
      </c>
      <c r="I4553" s="3">
        <f>E4553+G4553+H4553</f>
        <v>20</v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>22</v>
      </c>
      <c r="K4553" s="3">
        <f>I4553-J4553</f>
        <v>-2</v>
      </c>
      <c r="L4553" s="3" t="str">
        <f>IF(K4553&lt;-5,"CRÍTICO",IF(K4553&lt;0,"ATENÇÃO",IF(K4553&lt;=5,"OPORTUNO","MUITO BOM")))</f>
        <v>ATENÇÃO</v>
      </c>
      <c r="M4553" s="3">
        <v>17</v>
      </c>
      <c r="N4553" s="3">
        <v>99</v>
      </c>
      <c r="O4553" s="12">
        <v>24.52316076294278</v>
      </c>
    </row>
    <row r="4554" spans="1:15" hidden="1" x14ac:dyDescent="0.25">
      <c r="A4554" s="10">
        <v>46133</v>
      </c>
      <c r="B4554" t="s">
        <v>63</v>
      </c>
      <c r="C4554" s="1" t="s">
        <v>23</v>
      </c>
      <c r="D4554" s="3">
        <v>0</v>
      </c>
      <c r="E4554" s="3">
        <v>0</v>
      </c>
      <c r="F4554" s="3">
        <v>0</v>
      </c>
      <c r="G4554" s="3">
        <v>0</v>
      </c>
      <c r="H4554" s="3">
        <v>0</v>
      </c>
      <c r="I4554" s="3">
        <v>0</v>
      </c>
      <c r="J4554" s="3">
        <v>0</v>
      </c>
      <c r="K4554" s="3">
        <v>0</v>
      </c>
      <c r="M4554" s="3">
        <v>0</v>
      </c>
      <c r="N4554" s="3">
        <v>98.32</v>
      </c>
      <c r="O4554" s="12">
        <v>26.858513189448441</v>
      </c>
    </row>
    <row r="4555" spans="1:15" hidden="1" x14ac:dyDescent="0.25">
      <c r="A4555" s="10">
        <v>46133</v>
      </c>
      <c r="B4555" t="s">
        <v>45</v>
      </c>
      <c r="C4555" s="1" t="s">
        <v>32</v>
      </c>
      <c r="D4555" s="3">
        <v>0</v>
      </c>
      <c r="E4555" s="3">
        <v>0</v>
      </c>
      <c r="F4555" s="3">
        <v>0</v>
      </c>
      <c r="G4555" s="3">
        <v>0</v>
      </c>
      <c r="H4555" s="3">
        <v>0</v>
      </c>
      <c r="I4555" s="3">
        <v>0</v>
      </c>
      <c r="J4555" s="3">
        <v>0</v>
      </c>
      <c r="K4555" s="3">
        <v>0</v>
      </c>
      <c r="M4555" s="3">
        <v>0</v>
      </c>
      <c r="N4555" s="3">
        <v>100</v>
      </c>
      <c r="O4555" s="12">
        <v>31.135531135531139</v>
      </c>
    </row>
    <row r="4556" spans="1:15" hidden="1" x14ac:dyDescent="0.25">
      <c r="A4556" s="10">
        <v>46133</v>
      </c>
      <c r="B4556" t="s">
        <v>64</v>
      </c>
      <c r="C4556" s="1" t="s">
        <v>23</v>
      </c>
      <c r="D4556" s="3">
        <v>0</v>
      </c>
      <c r="E4556" s="3">
        <v>0</v>
      </c>
      <c r="F4556" s="3">
        <v>0</v>
      </c>
      <c r="G4556" s="3">
        <v>0</v>
      </c>
      <c r="H4556" s="3">
        <v>0</v>
      </c>
      <c r="I4556" s="3">
        <v>0</v>
      </c>
      <c r="J4556" s="3">
        <v>0</v>
      </c>
      <c r="K4556" s="3">
        <v>0</v>
      </c>
      <c r="M4556" s="3">
        <v>0</v>
      </c>
      <c r="N4556" s="3">
        <v>100</v>
      </c>
      <c r="O4556" s="12">
        <v>26.36986301369863</v>
      </c>
    </row>
    <row r="4557" spans="1:15" hidden="1" x14ac:dyDescent="0.25">
      <c r="A4557" s="10">
        <v>46133</v>
      </c>
      <c r="B4557" t="s">
        <v>46</v>
      </c>
      <c r="C4557" s="1" t="s">
        <v>32</v>
      </c>
      <c r="D4557" s="3">
        <v>0</v>
      </c>
      <c r="E4557" s="3">
        <v>0</v>
      </c>
      <c r="F4557" s="3">
        <v>0</v>
      </c>
      <c r="G4557" s="3">
        <v>0</v>
      </c>
      <c r="H4557" s="3">
        <v>0</v>
      </c>
      <c r="I4557" s="3">
        <v>0</v>
      </c>
      <c r="J4557" s="3">
        <v>0</v>
      </c>
      <c r="K4557" s="3">
        <v>0</v>
      </c>
      <c r="M4557" s="3">
        <v>0</v>
      </c>
      <c r="N4557" s="3">
        <v>99.21</v>
      </c>
      <c r="O4557" s="12">
        <v>25.188916876574311</v>
      </c>
    </row>
    <row r="4558" spans="1:15" hidden="1" x14ac:dyDescent="0.25">
      <c r="A4558" s="10">
        <v>46168</v>
      </c>
      <c r="B4558" t="s">
        <v>57</v>
      </c>
      <c r="C4558" s="1" t="s">
        <v>48</v>
      </c>
      <c r="D4558" s="3">
        <v>18</v>
      </c>
      <c r="E4558" s="3">
        <v>17</v>
      </c>
      <c r="F4558" s="3">
        <v>22.25</v>
      </c>
      <c r="G4558" s="3">
        <v>0</v>
      </c>
      <c r="H4558" s="3">
        <v>0</v>
      </c>
      <c r="I4558" s="3">
        <f>E4558+G4558+H4558</f>
        <v>17</v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>22</v>
      </c>
      <c r="K4558" s="3">
        <f>I4558-J4558</f>
        <v>-5</v>
      </c>
      <c r="L4558" s="3" t="str">
        <f>IF(K4558&lt;-5,"CRÍTICO",IF(K4558&lt;0,"ATENÇÃO",IF(K4558&lt;=5,"OPORTUNO","MUITO BOM")))</f>
        <v>ATENÇÃO</v>
      </c>
      <c r="M4558" s="3">
        <v>15</v>
      </c>
      <c r="N4558" s="3">
        <v>100</v>
      </c>
      <c r="O4558" s="12">
        <v>26.4367816091954</v>
      </c>
    </row>
    <row r="4559" spans="1:15" hidden="1" x14ac:dyDescent="0.25">
      <c r="A4559" s="10">
        <v>46168</v>
      </c>
      <c r="B4559" t="s">
        <v>58</v>
      </c>
      <c r="C4559" s="1" t="s">
        <v>48</v>
      </c>
      <c r="D4559" s="3">
        <v>0</v>
      </c>
      <c r="E4559" s="3">
        <v>0</v>
      </c>
      <c r="F4559" s="3">
        <v>0</v>
      </c>
      <c r="G4559" s="3">
        <v>0</v>
      </c>
      <c r="H4559" s="3">
        <v>0</v>
      </c>
      <c r="I4559" s="3">
        <f>E4559+G4559+H4559</f>
        <v>0</v>
      </c>
      <c r="J4559" s="3">
        <v>0</v>
      </c>
      <c r="K4559" s="3">
        <f>I4559-J4559</f>
        <v>0</v>
      </c>
      <c r="L4559" s="3" t="str">
        <f>IF(K4559&lt;-5,"CRÍTICO",IF(K4559&lt;0,"ATENÇÃO",IF(K4559&lt;=5,"OPORTUNO","MUITO BOM")))</f>
        <v>OPORTUNO</v>
      </c>
      <c r="M4559" s="3">
        <v>0</v>
      </c>
      <c r="N4559" s="3">
        <v>100</v>
      </c>
      <c r="O4559" s="12">
        <v>21.100917431192659</v>
      </c>
    </row>
    <row r="4560" spans="1:15" hidden="1" x14ac:dyDescent="0.25">
      <c r="A4560" s="10">
        <v>46168</v>
      </c>
      <c r="B4560" t="s">
        <v>60</v>
      </c>
      <c r="C4560" s="1" t="s">
        <v>23</v>
      </c>
      <c r="D4560" s="3">
        <v>28</v>
      </c>
      <c r="E4560" s="3">
        <v>26</v>
      </c>
      <c r="F4560" s="3">
        <v>15.35</v>
      </c>
      <c r="G4560" s="3">
        <v>2</v>
      </c>
      <c r="I4560" s="3">
        <f>E4560+G4560+H4560</f>
        <v>28</v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>18</v>
      </c>
      <c r="K4560" s="3">
        <f>I4560-J4560</f>
        <v>10</v>
      </c>
      <c r="L4560" s="3" t="str">
        <f>IF(K4560&lt;-5,"CRÍTICO",IF(K4560&lt;0,"ATENÇÃO",IF(K4560&lt;=5,"OPORTUNO","MUITO BOM")))</f>
        <v>MUITO BOM</v>
      </c>
      <c r="M4560" s="3">
        <v>25</v>
      </c>
      <c r="N4560" s="3">
        <v>97.48</v>
      </c>
      <c r="O4560" s="12">
        <v>25.401069518716579</v>
      </c>
    </row>
    <row r="4561" spans="1:15" hidden="1" x14ac:dyDescent="0.25">
      <c r="A4561" s="10">
        <v>46168</v>
      </c>
      <c r="B4561" t="s">
        <v>61</v>
      </c>
      <c r="C4561" s="1" t="s">
        <v>23</v>
      </c>
      <c r="D4561" s="3">
        <v>20</v>
      </c>
      <c r="E4561" s="3">
        <v>17</v>
      </c>
      <c r="F4561" s="3">
        <v>16.54</v>
      </c>
      <c r="G4561" s="3">
        <v>0</v>
      </c>
      <c r="I4561" s="3">
        <f>E4561+G4561+H4561</f>
        <v>17</v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>18</v>
      </c>
      <c r="K4561" s="3">
        <f>I4561-J4561</f>
        <v>-1</v>
      </c>
      <c r="L4561" s="3" t="str">
        <f>IF(K4561&lt;-5,"CRÍTICO",IF(K4561&lt;0,"ATENÇÃO",IF(K4561&lt;=5,"OPORTUNO","MUITO BOM")))</f>
        <v>ATENÇÃO</v>
      </c>
      <c r="M4561" s="3">
        <v>13</v>
      </c>
      <c r="N4561" s="3">
        <v>100</v>
      </c>
      <c r="O4561" s="12">
        <v>22.58064516129032</v>
      </c>
    </row>
    <row r="4562" spans="1:15" hidden="1" x14ac:dyDescent="0.25">
      <c r="A4562" s="10">
        <v>46168</v>
      </c>
      <c r="B4562" t="s">
        <v>22</v>
      </c>
      <c r="C4562" s="1" t="s">
        <v>23</v>
      </c>
      <c r="D4562" s="3">
        <v>20</v>
      </c>
      <c r="E4562" s="3">
        <v>20</v>
      </c>
      <c r="F4562" s="3">
        <v>21.49</v>
      </c>
      <c r="G4562" s="3">
        <v>2</v>
      </c>
      <c r="H4562" s="3">
        <v>0</v>
      </c>
      <c r="I4562" s="3">
        <f>E4562+G4562+H4562</f>
        <v>22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18</v>
      </c>
      <c r="K4562" s="3">
        <f>I4562-J4562</f>
        <v>4</v>
      </c>
      <c r="L4562" s="3" t="str">
        <f>IF(K4562&lt;-5,"CRÍTICO",IF(K4562&lt;0,"ATENÇÃO",IF(K4562&lt;=5,"OPORTUNO","MUITO BOM")))</f>
        <v>OPORTUNO</v>
      </c>
      <c r="M4562" s="3">
        <v>19</v>
      </c>
      <c r="N4562" s="3">
        <v>99.06</v>
      </c>
      <c r="O4562" s="12">
        <v>22.33009708737864</v>
      </c>
    </row>
    <row r="4563" spans="1:15" hidden="1" x14ac:dyDescent="0.25">
      <c r="A4563" s="10">
        <v>46168</v>
      </c>
      <c r="B4563" t="s">
        <v>62</v>
      </c>
      <c r="C4563" s="1" t="s">
        <v>23</v>
      </c>
      <c r="D4563" s="3">
        <v>28</v>
      </c>
      <c r="E4563" s="3">
        <v>27</v>
      </c>
      <c r="F4563" s="3">
        <v>16.45</v>
      </c>
      <c r="G4563" s="3">
        <v>1</v>
      </c>
      <c r="I4563" s="3">
        <f>E4563+G4563+H4563</f>
        <v>28</v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>18</v>
      </c>
      <c r="K4563" s="3">
        <f>I4563-J4563</f>
        <v>10</v>
      </c>
      <c r="L4563" s="3" t="str">
        <f>IF(K4563&lt;-5,"CRÍTICO",IF(K4563&lt;0,"ATENÇÃO",IF(K4563&lt;=5,"OPORTUNO","MUITO BOM")))</f>
        <v>MUITO BOM</v>
      </c>
      <c r="M4563" s="3">
        <v>26</v>
      </c>
      <c r="N4563" s="3">
        <v>94.55</v>
      </c>
      <c r="O4563" s="12">
        <v>24.258760107816709</v>
      </c>
    </row>
    <row r="4564" spans="1:15" hidden="1" x14ac:dyDescent="0.25">
      <c r="A4564" s="10">
        <v>46168</v>
      </c>
      <c r="B4564" t="s">
        <v>63</v>
      </c>
      <c r="C4564" s="1" t="s">
        <v>23</v>
      </c>
      <c r="D4564" s="3">
        <v>29</v>
      </c>
      <c r="E4564" s="3">
        <v>26</v>
      </c>
      <c r="F4564" s="3">
        <v>15.57</v>
      </c>
      <c r="G4564" s="3">
        <v>4</v>
      </c>
      <c r="I4564" s="3">
        <f>E4564+G4564+H4564</f>
        <v>30</v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>18</v>
      </c>
      <c r="K4564" s="3">
        <f>I4564-J4564</f>
        <v>12</v>
      </c>
      <c r="L4564" s="3" t="str">
        <f>IF(K4564&lt;-5,"CRÍTICO",IF(K4564&lt;0,"ATENÇÃO",IF(K4564&lt;=5,"OPORTUNO","MUITO BOM")))</f>
        <v>MUITO BOM</v>
      </c>
      <c r="M4564" s="3">
        <v>22</v>
      </c>
      <c r="N4564" s="3">
        <v>98</v>
      </c>
      <c r="O4564" s="12">
        <v>22.57217847769029</v>
      </c>
    </row>
    <row r="4565" spans="1:15" hidden="1" x14ac:dyDescent="0.25">
      <c r="A4565" s="10">
        <v>46168</v>
      </c>
      <c r="B4565" t="s">
        <v>64</v>
      </c>
      <c r="C4565" s="1" t="s">
        <v>23</v>
      </c>
      <c r="D4565" s="3">
        <v>15</v>
      </c>
      <c r="E4565" s="3">
        <v>15</v>
      </c>
      <c r="F4565" s="3">
        <v>37</v>
      </c>
      <c r="G4565" s="3">
        <v>0</v>
      </c>
      <c r="H4565" s="3">
        <v>0</v>
      </c>
      <c r="I4565" s="3">
        <f>E4565+G4565+H4565</f>
        <v>15</v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>18</v>
      </c>
      <c r="K4565" s="3">
        <f>I4565-J4565</f>
        <v>-3</v>
      </c>
      <c r="L4565" s="3" t="str">
        <f>IF(K4565&lt;-5,"CRÍTICO",IF(K4565&lt;0,"ATENÇÃO",IF(K4565&lt;=5,"OPORTUNO","MUITO BOM")))</f>
        <v>ATENÇÃO</v>
      </c>
      <c r="M4565" s="3">
        <v>14</v>
      </c>
      <c r="N4565" s="3">
        <v>100</v>
      </c>
      <c r="O4565" s="12">
        <v>19.35483870967742</v>
      </c>
    </row>
    <row r="4566" spans="1:15" hidden="1" x14ac:dyDescent="0.25">
      <c r="A4566" s="10">
        <v>46168</v>
      </c>
      <c r="B4566" t="s">
        <v>43</v>
      </c>
      <c r="C4566" s="1" t="s">
        <v>32</v>
      </c>
      <c r="D4566" s="3">
        <v>0</v>
      </c>
      <c r="E4566" s="3">
        <v>0</v>
      </c>
      <c r="F4566" s="3">
        <v>0</v>
      </c>
      <c r="G4566" s="3">
        <v>0</v>
      </c>
      <c r="H4566" s="3">
        <v>47</v>
      </c>
      <c r="I4566" s="3">
        <f>E4566+G4566+H4566</f>
        <v>47</v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>27</v>
      </c>
      <c r="K4566" s="3">
        <f>I4566-J4566</f>
        <v>20</v>
      </c>
      <c r="L4566" s="3" t="str">
        <f>IF(K4566&lt;-5,"CRÍTICO",IF(K4566&lt;0,"ATENÇÃO",IF(K4566&lt;=5,"OPORTUNO","MUITO BOM")))</f>
        <v>MUITO BOM</v>
      </c>
      <c r="M4566" s="3">
        <v>18</v>
      </c>
      <c r="N4566" s="3">
        <v>98.39</v>
      </c>
      <c r="O4566" s="12">
        <v>9.0666666666666664</v>
      </c>
    </row>
    <row r="4567" spans="1:15" x14ac:dyDescent="0.25">
      <c r="A4567" s="5">
        <v>46149</v>
      </c>
      <c r="B4567" s="6" t="s">
        <v>30</v>
      </c>
      <c r="C4567" s="1" t="s">
        <v>26</v>
      </c>
      <c r="D4567" s="3">
        <v>19</v>
      </c>
      <c r="E4567" s="3">
        <v>19</v>
      </c>
      <c r="F4567" s="3">
        <v>17.09</v>
      </c>
      <c r="G4567" s="3">
        <v>5</v>
      </c>
      <c r="H4567" s="3">
        <v>0</v>
      </c>
      <c r="I4567" s="3">
        <f>E4567+G4567+H4567</f>
        <v>24</v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>19</v>
      </c>
      <c r="K4567" s="3">
        <f>I4567-J4567</f>
        <v>5</v>
      </c>
      <c r="L4567" s="3" t="str">
        <f>IF(K4567&lt;-5,"CRÍTICO",IF(K4567&lt;0,"ATENÇÃO",IF(K4567&lt;=5,"OPORTUNO","MUITO BOM")))</f>
        <v>OPORTUNO</v>
      </c>
      <c r="M4567" s="3">
        <v>25</v>
      </c>
      <c r="N4567" s="3">
        <v>100</v>
      </c>
      <c r="O4567" s="12">
        <v>16.34241245136187</v>
      </c>
    </row>
    <row r="4568" spans="1:15" x14ac:dyDescent="0.25">
      <c r="A4568" s="5">
        <v>46150</v>
      </c>
      <c r="B4568" s="6" t="s">
        <v>30</v>
      </c>
      <c r="C4568" s="1" t="s">
        <v>26</v>
      </c>
      <c r="D4568" s="3">
        <v>18</v>
      </c>
      <c r="E4568" s="3">
        <v>17</v>
      </c>
      <c r="F4568" s="3">
        <v>18.3</v>
      </c>
      <c r="G4568" s="3">
        <v>0</v>
      </c>
      <c r="H4568" s="3">
        <v>0</v>
      </c>
      <c r="I4568" s="3">
        <f>E4568+G4568+H4568</f>
        <v>17</v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>16</v>
      </c>
      <c r="K4568" s="3">
        <f>I4568-J4568</f>
        <v>1</v>
      </c>
      <c r="L4568" s="3" t="str">
        <f>IF(K4568&lt;-5,"CRÍTICO",IF(K4568&lt;0,"ATENÇÃO",IF(K4568&lt;=5,"OPORTUNO","MUITO BOM")))</f>
        <v>OPORTUNO</v>
      </c>
      <c r="M4568" s="3">
        <v>16</v>
      </c>
      <c r="N4568" s="3">
        <v>100</v>
      </c>
      <c r="O4568" s="12">
        <v>16.34241245136187</v>
      </c>
    </row>
    <row r="4569" spans="1:15" hidden="1" x14ac:dyDescent="0.25">
      <c r="A4569" s="11">
        <v>46168</v>
      </c>
      <c r="B4569" t="s">
        <v>47</v>
      </c>
      <c r="C4569" s="1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12">
        <v>25.641025641025639</v>
      </c>
    </row>
    <row r="4570" spans="1:15" hidden="1" x14ac:dyDescent="0.25">
      <c r="A4570" s="10">
        <v>46168</v>
      </c>
      <c r="B4570" t="s">
        <v>59</v>
      </c>
      <c r="C4570" s="1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12">
        <v>27.292110874200429</v>
      </c>
    </row>
    <row r="4571" spans="1:15" x14ac:dyDescent="0.25">
      <c r="A4571" s="5">
        <v>46153</v>
      </c>
      <c r="B4571" s="6" t="s">
        <v>30</v>
      </c>
      <c r="C4571" s="1" t="s">
        <v>26</v>
      </c>
      <c r="D4571" s="3">
        <v>17</v>
      </c>
      <c r="E4571" s="3">
        <v>17</v>
      </c>
      <c r="F4571" s="3">
        <v>20.21</v>
      </c>
      <c r="G4571" s="3">
        <v>3</v>
      </c>
      <c r="H4571" s="3">
        <v>0</v>
      </c>
      <c r="I4571" s="3">
        <f>E4571+G4571+H4571</f>
        <v>20</v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>17</v>
      </c>
      <c r="K4571" s="3">
        <f>I4571-J4571</f>
        <v>3</v>
      </c>
      <c r="L4571" s="3" t="str">
        <f>IF(K4571&lt;-5,"CRÍTICO",IF(K4571&lt;0,"ATENÇÃO",IF(K4571&lt;=5,"OPORTUNO","MUITO BOM")))</f>
        <v>OPORTUNO</v>
      </c>
      <c r="M4571" s="3">
        <v>17</v>
      </c>
      <c r="N4571" s="3">
        <v>100</v>
      </c>
      <c r="O4571" s="12">
        <v>16.34241245136187</v>
      </c>
    </row>
    <row r="4572" spans="1:15" x14ac:dyDescent="0.25">
      <c r="A4572" s="5">
        <v>46154</v>
      </c>
      <c r="B4572" s="6" t="s">
        <v>30</v>
      </c>
      <c r="C4572" s="1" t="s">
        <v>26</v>
      </c>
      <c r="D4572" s="3">
        <v>12</v>
      </c>
      <c r="E4572" s="3">
        <v>12</v>
      </c>
      <c r="F4572" s="3">
        <v>21.47</v>
      </c>
      <c r="G4572" s="3">
        <v>0</v>
      </c>
      <c r="H4572" s="3">
        <v>0</v>
      </c>
      <c r="I4572" s="3">
        <f>E4572+G4572+H4572</f>
        <v>12</v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>18</v>
      </c>
      <c r="K4572" s="3">
        <f>I4572-J4572</f>
        <v>-6</v>
      </c>
      <c r="L4572" s="3" t="str">
        <f>IF(K4572&lt;-5,"CRÍTICO",IF(K4572&lt;0,"ATENÇÃO",IF(K4572&lt;=5,"OPORTUNO","MUITO BOM")))</f>
        <v>CRÍTICO</v>
      </c>
      <c r="M4572" s="3">
        <v>9</v>
      </c>
      <c r="N4572" s="3">
        <v>100</v>
      </c>
      <c r="O4572" s="12">
        <v>16.34241245136187</v>
      </c>
    </row>
    <row r="4573" spans="1:15" x14ac:dyDescent="0.25">
      <c r="A4573" s="5">
        <v>46155</v>
      </c>
      <c r="B4573" s="6" t="s">
        <v>30</v>
      </c>
      <c r="C4573" s="1" t="s">
        <v>26</v>
      </c>
      <c r="D4573" s="3">
        <v>15</v>
      </c>
      <c r="E4573" s="3">
        <v>14</v>
      </c>
      <c r="F4573" s="3">
        <v>13.2</v>
      </c>
      <c r="G4573" s="3">
        <v>4</v>
      </c>
      <c r="H4573" s="3">
        <v>0</v>
      </c>
      <c r="I4573" s="3">
        <f>E4573+G4573+H4573</f>
        <v>18</v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>16</v>
      </c>
      <c r="K4573" s="3">
        <f>I4573-J4573</f>
        <v>2</v>
      </c>
      <c r="L4573" s="3" t="str">
        <f>IF(K4573&lt;-5,"CRÍTICO",IF(K4573&lt;0,"ATENÇÃO",IF(K4573&lt;=5,"OPORTUNO","MUITO BOM")))</f>
        <v>OPORTUNO</v>
      </c>
      <c r="M4573" s="3">
        <v>18</v>
      </c>
      <c r="N4573" s="3">
        <v>100</v>
      </c>
      <c r="O4573" s="12">
        <v>16.34241245136187</v>
      </c>
    </row>
    <row r="4574" spans="1:15" x14ac:dyDescent="0.25">
      <c r="A4574" s="5">
        <v>46156</v>
      </c>
      <c r="B4574" s="6" t="s">
        <v>30</v>
      </c>
      <c r="C4574" s="1" t="s">
        <v>26</v>
      </c>
      <c r="D4574" s="3">
        <v>6</v>
      </c>
      <c r="E4574" s="3">
        <v>6</v>
      </c>
      <c r="F4574" s="3">
        <v>23.26</v>
      </c>
      <c r="G4574" s="3">
        <v>0</v>
      </c>
      <c r="H4574" s="3">
        <v>0</v>
      </c>
      <c r="I4574" s="3">
        <f>E4574+G4574+H4574</f>
        <v>6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16</v>
      </c>
      <c r="K4574" s="3">
        <f>I4574-J4574</f>
        <v>-10</v>
      </c>
      <c r="L4574" s="3" t="str">
        <f>IF(K4574&lt;-5,"CRÍTICO",IF(K4574&lt;0,"ATENÇÃO",IF(K4574&lt;=5,"OPORTUNO","MUITO BOM")))</f>
        <v>CRÍTICO</v>
      </c>
      <c r="M4574" s="3">
        <v>5</v>
      </c>
      <c r="N4574" s="3">
        <v>100</v>
      </c>
      <c r="O4574" s="12">
        <v>16.34241245136187</v>
      </c>
    </row>
    <row r="4575" spans="1:15" x14ac:dyDescent="0.25">
      <c r="A4575" s="5">
        <v>46157</v>
      </c>
      <c r="B4575" s="6" t="s">
        <v>30</v>
      </c>
      <c r="C4575" s="1" t="s">
        <v>26</v>
      </c>
      <c r="D4575" s="3">
        <v>14</v>
      </c>
      <c r="E4575" s="3">
        <v>12</v>
      </c>
      <c r="F4575" s="3">
        <v>15.53</v>
      </c>
      <c r="G4575" s="3">
        <v>2</v>
      </c>
      <c r="H4575" s="3">
        <v>0</v>
      </c>
      <c r="I4575" s="3">
        <f>E4575+G4575+H4575</f>
        <v>14</v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>17</v>
      </c>
      <c r="K4575" s="3">
        <f>I4575-J4575</f>
        <v>-3</v>
      </c>
      <c r="L4575" s="3" t="str">
        <f>IF(K4575&lt;-5,"CRÍTICO",IF(K4575&lt;0,"ATENÇÃO",IF(K4575&lt;=5,"OPORTUNO","MUITO BOM")))</f>
        <v>ATENÇÃO</v>
      </c>
      <c r="M4575" s="3">
        <v>16</v>
      </c>
      <c r="N4575" s="3">
        <v>100</v>
      </c>
      <c r="O4575" s="12">
        <v>16.34241245136187</v>
      </c>
    </row>
    <row r="4576" spans="1:15" x14ac:dyDescent="0.25">
      <c r="A4576" s="5">
        <v>46160</v>
      </c>
      <c r="B4576" s="6" t="s">
        <v>30</v>
      </c>
      <c r="C4576" s="1" t="s">
        <v>26</v>
      </c>
      <c r="D4576" s="3">
        <v>14</v>
      </c>
      <c r="E4576" s="3">
        <v>13</v>
      </c>
      <c r="F4576" s="3">
        <v>20.47</v>
      </c>
      <c r="G4576" s="3">
        <v>2</v>
      </c>
      <c r="H4576" s="3">
        <v>0</v>
      </c>
      <c r="I4576" s="3">
        <f>E4576+G4576+H4576</f>
        <v>15</v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>15</v>
      </c>
      <c r="K4576" s="3">
        <f>I4576-J4576</f>
        <v>0</v>
      </c>
      <c r="L4576" s="3" t="str">
        <f>IF(K4576&lt;-5,"CRÍTICO",IF(K4576&lt;0,"ATENÇÃO",IF(K4576&lt;=5,"OPORTUNO","MUITO BOM")))</f>
        <v>OPORTUNO</v>
      </c>
      <c r="M4576" s="3">
        <v>14</v>
      </c>
      <c r="N4576" s="3">
        <v>100</v>
      </c>
      <c r="O4576" s="12">
        <v>16.34241245136187</v>
      </c>
    </row>
    <row r="4577" spans="1:15" x14ac:dyDescent="0.25">
      <c r="A4577" s="7">
        <v>46161</v>
      </c>
      <c r="B4577" s="8" t="s">
        <v>30</v>
      </c>
      <c r="C4577" s="1" t="s">
        <v>26</v>
      </c>
      <c r="D4577" s="3">
        <v>17</v>
      </c>
      <c r="E4577" s="3">
        <v>17</v>
      </c>
      <c r="F4577" s="3">
        <v>23.57</v>
      </c>
      <c r="G4577" s="3">
        <v>0</v>
      </c>
      <c r="H4577" s="3">
        <v>0</v>
      </c>
      <c r="I4577" s="3">
        <f>E4577+G4577+H4577</f>
        <v>17</v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>17</v>
      </c>
      <c r="K4577" s="3">
        <f>I4577-J4577</f>
        <v>0</v>
      </c>
      <c r="L4577" s="3" t="str">
        <f>IF(K4577&lt;-5,"CRÍTICO",IF(K4577&lt;0,"ATENÇÃO",IF(K4577&lt;=5,"OPORTUNO","MUITO BOM")))</f>
        <v>OPORTUNO</v>
      </c>
      <c r="M4577" s="3">
        <v>15</v>
      </c>
      <c r="N4577" s="3">
        <v>100</v>
      </c>
      <c r="O4577" s="12">
        <v>16.34241245136187</v>
      </c>
    </row>
    <row r="4578" spans="1:15" x14ac:dyDescent="0.25">
      <c r="A4578" s="7">
        <v>46162</v>
      </c>
      <c r="B4578" s="8" t="s">
        <v>30</v>
      </c>
      <c r="C4578" s="1" t="s">
        <v>26</v>
      </c>
      <c r="D4578" s="3">
        <v>15</v>
      </c>
      <c r="E4578" s="3">
        <v>13</v>
      </c>
      <c r="F4578" s="3">
        <v>18.21</v>
      </c>
      <c r="G4578" s="3">
        <v>2</v>
      </c>
      <c r="H4578" s="3">
        <v>0</v>
      </c>
      <c r="I4578" s="3">
        <f>E4578+G4578+H4578</f>
        <v>15</v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>15</v>
      </c>
      <c r="K4578" s="3">
        <f>I4578-J4578</f>
        <v>0</v>
      </c>
      <c r="L4578" s="3" t="str">
        <f>IF(K4578&lt;-5,"CRÍTICO",IF(K4578&lt;0,"ATENÇÃO",IF(K4578&lt;=5,"OPORTUNO","MUITO BOM")))</f>
        <v>OPORTUNO</v>
      </c>
      <c r="M4578" s="3">
        <v>15</v>
      </c>
      <c r="N4578" s="3">
        <v>100</v>
      </c>
      <c r="O4578" s="12">
        <v>16.34241245136187</v>
      </c>
    </row>
    <row r="4579" spans="1:15" x14ac:dyDescent="0.25">
      <c r="A4579" s="5">
        <v>46163</v>
      </c>
      <c r="B4579" s="6" t="s">
        <v>30</v>
      </c>
      <c r="C4579" s="1" t="s">
        <v>26</v>
      </c>
      <c r="D4579" s="3">
        <v>16</v>
      </c>
      <c r="E4579" s="3">
        <v>14</v>
      </c>
      <c r="F4579" s="3">
        <v>23.22</v>
      </c>
      <c r="G4579" s="3">
        <v>0</v>
      </c>
      <c r="H4579" s="3">
        <v>0</v>
      </c>
      <c r="I4579" s="3">
        <f>E4579+G4579+H4579</f>
        <v>14</v>
      </c>
      <c r="J4579" s="3">
        <f>ROUND(MIN(IF(C4579="Técnico III",35,IF(C4579="Técnico II",28,IF(C4579="Técnico I",23,IF(C4579="JR",20,IF(C4579="Estágio",10,0))))),IF(C4579="Técnico III",SUMIFS($D:$D,$A:$A,$A4579,$B:$B,"&lt;&gt;Patrícia Karla de Sousa Araújo",$B:$B,"&lt;&gt;Lorena Dias de Araujo",$B:$B,"&lt;&gt;Lucas Luiz Romero")*(35/1083),IF(C4579="Técnico II",SUMIFS($D:$D,$A:$A,$A4579,$B:$B,"&lt;&gt;Patrícia Karla de Sousa Araújo",$B:$B,"&lt;&gt;Lorena Dias de Araujo",$B:$B,"&lt;&gt;Lucas Luiz Romero")*(28/1083),IF(C4579="Técnico I",SUMIFS($D:$D,$A:$A,$A4579,$B:$B,"&lt;&gt;Patrícia Karla de Sousa Araújo",$B:$B,"&lt;&gt;Lorena Dias de Araujo",$B:$B,"&lt;&gt;Lucas Luiz Romero")*(23/1083),IF(C4579="JR",SUMIFS($D:$D,$A:$A,$A4579,$B:$B,"&lt;&gt;Patrícia Karla de Sousa Araújo",$B:$B,"&lt;&gt;Lorena Dias de Araujo",$B:$B,"&lt;&gt;Lucas Luiz Romero")*(20/1083),IF(C4579="Estágio",SUMIFS($D:$D,$A:$A,$A4579,$B:$B,"&lt;&gt;Patrícia Karla de Sousa Araújo",$B:$B,"&lt;&gt;Lorena Dias de Araujo",$B:$B,"&lt;&gt;Lucas Luiz Romero")*(10/1083),0)))))),0)</f>
        <v>13</v>
      </c>
      <c r="K4579" s="3">
        <f>I4579-J4579</f>
        <v>1</v>
      </c>
      <c r="L4579" s="3" t="str">
        <f>IF(K4579&lt;-5,"CRÍTICO",IF(K4579&lt;0,"ATENÇÃO",IF(K4579&lt;=5,"OPORTUNO","MUITO BOM")))</f>
        <v>OPORTUNO</v>
      </c>
      <c r="M4579" s="3">
        <v>12</v>
      </c>
      <c r="N4579" s="3">
        <v>100</v>
      </c>
      <c r="O4579" s="12">
        <v>16.34241245136187</v>
      </c>
    </row>
    <row r="4580" spans="1:15" x14ac:dyDescent="0.25">
      <c r="A4580" s="9">
        <v>46164</v>
      </c>
      <c r="B4580" s="6" t="s">
        <v>30</v>
      </c>
      <c r="C4580" s="1" t="s">
        <v>26</v>
      </c>
      <c r="D4580" s="3">
        <v>17</v>
      </c>
      <c r="E4580" s="3">
        <v>17</v>
      </c>
      <c r="F4580" s="3">
        <v>17.239999999999998</v>
      </c>
      <c r="G4580" s="3">
        <v>2</v>
      </c>
      <c r="H4580" s="3">
        <v>0</v>
      </c>
      <c r="I4580" s="3">
        <f>E4580+G4580+H4580</f>
        <v>19</v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>11</v>
      </c>
      <c r="K4580" s="3">
        <f>I4580-J4580</f>
        <v>8</v>
      </c>
      <c r="L4580" s="3" t="str">
        <f>IF(K4580&lt;-5,"CRÍTICO",IF(K4580&lt;0,"ATENÇÃO",IF(K4580&lt;=5,"OPORTUNO","MUITO BOM")))</f>
        <v>MUITO BOM</v>
      </c>
      <c r="M4580" s="3">
        <v>15</v>
      </c>
      <c r="N4580" s="3">
        <v>100</v>
      </c>
      <c r="O4580" s="12">
        <v>16.34241245136187</v>
      </c>
    </row>
    <row r="4581" spans="1:15" x14ac:dyDescent="0.25">
      <c r="A4581" s="10">
        <v>46167</v>
      </c>
      <c r="B4581" t="s">
        <v>30</v>
      </c>
      <c r="C4581" s="1" t="s">
        <v>26</v>
      </c>
      <c r="D4581" s="3">
        <v>13</v>
      </c>
      <c r="E4581" s="3">
        <v>12</v>
      </c>
      <c r="F4581" s="3">
        <v>15.01</v>
      </c>
      <c r="G4581" s="3">
        <v>0</v>
      </c>
      <c r="H4581" s="3">
        <v>0</v>
      </c>
      <c r="I4581" s="3">
        <f>E4581+G4581+H4581</f>
        <v>12</v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>13</v>
      </c>
      <c r="K4581" s="3">
        <f>I4581-J4581</f>
        <v>-1</v>
      </c>
      <c r="L4581" s="3" t="str">
        <f>IF(K4581&lt;-5,"CRÍTICO",IF(K4581&lt;0,"ATENÇÃO",IF(K4581&lt;=5,"OPORTUNO","MUITO BOM")))</f>
        <v>ATENÇÃO</v>
      </c>
      <c r="M4581" s="3">
        <v>10</v>
      </c>
      <c r="N4581" s="3">
        <v>100</v>
      </c>
      <c r="O4581" s="12">
        <v>16.34241245136187</v>
      </c>
    </row>
    <row r="4582" spans="1:15" x14ac:dyDescent="0.25">
      <c r="A4582" s="10">
        <v>46168</v>
      </c>
      <c r="B4582" t="s">
        <v>30</v>
      </c>
      <c r="C4582" s="1" t="s">
        <v>26</v>
      </c>
      <c r="D4582" s="3">
        <v>17</v>
      </c>
      <c r="E4582" s="3">
        <v>16</v>
      </c>
      <c r="F4582" s="3">
        <v>15.28</v>
      </c>
      <c r="G4582" s="3">
        <v>2</v>
      </c>
      <c r="H4582" s="3">
        <v>0</v>
      </c>
      <c r="I4582" s="3">
        <f>E4582+G4582+H4582</f>
        <v>18</v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>16</v>
      </c>
      <c r="K4582" s="3">
        <f>I4582-J4582</f>
        <v>2</v>
      </c>
      <c r="L4582" s="3" t="str">
        <f>IF(K4582&lt;-5,"CRÍTICO",IF(K4582&lt;0,"ATENÇÃO",IF(K4582&lt;=5,"OPORTUNO","MUITO BOM")))</f>
        <v>OPORTUNO</v>
      </c>
      <c r="M4582" s="3">
        <v>13</v>
      </c>
      <c r="N4582" s="3">
        <v>100</v>
      </c>
      <c r="O4582" s="12">
        <v>18.677042801556421</v>
      </c>
    </row>
    <row r="4583" spans="1:15" hidden="1" x14ac:dyDescent="0.25">
      <c r="A4583" s="11">
        <v>46169</v>
      </c>
      <c r="B4583" t="s">
        <v>47</v>
      </c>
      <c r="C4583" s="1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>IF(K4583&lt;-5,"CRÍTICO",IF(K4583&lt;0,"ATENÇÃO",IF(K4583&lt;=5,"OPORTUNO","MUITO BOM")))</f>
        <v>MUITO BOM</v>
      </c>
      <c r="M4583" s="3">
        <v>24</v>
      </c>
      <c r="N4583" s="3">
        <v>99.22</v>
      </c>
      <c r="O4583" s="12">
        <v>24.266666666666669</v>
      </c>
    </row>
    <row r="4584" spans="1:15" hidden="1" x14ac:dyDescent="0.25">
      <c r="A4584" s="10">
        <v>46169</v>
      </c>
      <c r="B4584" t="s">
        <v>31</v>
      </c>
      <c r="C4584" s="1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f>E4584+G4584+H4584</f>
        <v>0</v>
      </c>
      <c r="J4584" s="3">
        <v>0</v>
      </c>
      <c r="K4584" s="3">
        <f>I4584-J4584</f>
        <v>0</v>
      </c>
      <c r="L4584" s="3" t="str">
        <f>IF(K4584&lt;-5,"CRÍTICO",IF(K4584&lt;0,"ATENÇÃO",IF(K4584&lt;=5,"OPORTUNO","MUITO BOM")))</f>
        <v>OPORTUNO</v>
      </c>
      <c r="M4584" s="3">
        <v>0</v>
      </c>
      <c r="N4584" s="3">
        <v>100</v>
      </c>
      <c r="O4584" s="12">
        <v>0</v>
      </c>
    </row>
    <row r="4585" spans="1:15" hidden="1" x14ac:dyDescent="0.25">
      <c r="A4585" s="10">
        <v>46169</v>
      </c>
      <c r="B4585" t="s">
        <v>59</v>
      </c>
      <c r="C4585" s="1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>E4585+G4585+H4585</f>
        <v>26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>I4585-J4585</f>
        <v>8</v>
      </c>
      <c r="L4585" s="3" t="str">
        <f>IF(K4585&lt;-5,"CRÍTICO",IF(K4585&lt;0,"ATENÇÃO",IF(K4585&lt;=5,"OPORTUNO","MUITO BOM")))</f>
        <v>MUITO BOM</v>
      </c>
      <c r="M4585" s="3">
        <v>23</v>
      </c>
      <c r="N4585" s="3">
        <v>96.43</v>
      </c>
      <c r="O4585" s="12">
        <v>26.016260162601629</v>
      </c>
    </row>
    <row r="4586" spans="1:15" hidden="1" x14ac:dyDescent="0.25">
      <c r="A4586" s="10">
        <v>46169</v>
      </c>
      <c r="B4586" t="s">
        <v>33</v>
      </c>
      <c r="C4586" s="1" t="s">
        <v>32</v>
      </c>
      <c r="D4586" s="3">
        <v>34</v>
      </c>
      <c r="E4586" s="3">
        <v>33</v>
      </c>
      <c r="F4586" s="3">
        <v>12.31</v>
      </c>
      <c r="G4586" s="3">
        <v>4</v>
      </c>
      <c r="H4586" s="3">
        <v>0</v>
      </c>
      <c r="I4586" s="3">
        <f>E4586+G4586+H4586</f>
        <v>37</v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>28</v>
      </c>
      <c r="K4586" s="3">
        <f>I4586-J4586</f>
        <v>9</v>
      </c>
      <c r="L4586" s="3" t="str">
        <f>IF(K4586&lt;-5,"CRÍTICO",IF(K4586&lt;0,"ATENÇÃO",IF(K4586&lt;=5,"OPORTUNO","MUITO BOM")))</f>
        <v>MUITO BOM</v>
      </c>
      <c r="M4586" s="3">
        <v>28</v>
      </c>
      <c r="N4586" s="3">
        <v>97.14</v>
      </c>
      <c r="O4586" s="12">
        <v>20</v>
      </c>
    </row>
    <row r="4587" spans="1:15" hidden="1" x14ac:dyDescent="0.25">
      <c r="A4587" s="10">
        <v>46169</v>
      </c>
      <c r="B4587" t="s">
        <v>49</v>
      </c>
      <c r="C4587" s="1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>E4587+G4587+H4587</f>
        <v>31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22</v>
      </c>
      <c r="K4587" s="3">
        <f>I4587-J4587</f>
        <v>9</v>
      </c>
      <c r="L4587" s="3" t="str">
        <f>IF(K4587&lt;-5,"CRÍTICO",IF(K4587&lt;0,"ATENÇÃO",IF(K4587&lt;=5,"OPORTUNO","MUITO BOM")))</f>
        <v>MUITO BOM</v>
      </c>
      <c r="M4587" s="3">
        <v>23</v>
      </c>
      <c r="N4587" s="3">
        <v>99.38</v>
      </c>
      <c r="O4587" s="12">
        <v>20.45855379188712</v>
      </c>
    </row>
    <row r="4588" spans="1:15" hidden="1" x14ac:dyDescent="0.25">
      <c r="A4588" s="10">
        <v>46169</v>
      </c>
      <c r="B4588" t="s">
        <v>50</v>
      </c>
      <c r="C4588" s="1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>E4588+G4588+H4588</f>
        <v>28</v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>22</v>
      </c>
      <c r="K4588" s="3">
        <f>I4588-J4588</f>
        <v>6</v>
      </c>
      <c r="L4588" s="3" t="str">
        <f>IF(K4588&lt;-5,"CRÍTICO",IF(K4588&lt;0,"ATENÇÃO",IF(K4588&lt;=5,"OPORTUNO","MUITO BOM")))</f>
        <v>MUITO BOM</v>
      </c>
      <c r="M4588" s="3">
        <v>27</v>
      </c>
      <c r="N4588" s="3">
        <v>99.15</v>
      </c>
      <c r="O4588" s="12">
        <v>21.198156682027651</v>
      </c>
    </row>
    <row r="4589" spans="1:15" hidden="1" x14ac:dyDescent="0.25">
      <c r="A4589" s="10">
        <v>46169</v>
      </c>
      <c r="B4589" t="s">
        <v>60</v>
      </c>
      <c r="C4589" s="1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>E4589+G4589+H4589</f>
        <v>19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18</v>
      </c>
      <c r="K4589" s="3">
        <f>I4589-J4589</f>
        <v>1</v>
      </c>
      <c r="L4589" s="3" t="str">
        <f>IF(K4589&lt;-5,"CRÍTICO",IF(K4589&lt;0,"ATENÇÃO",IF(K4589&lt;=5,"OPORTUNO","MUITO BOM")))</f>
        <v>OPORTUNO</v>
      </c>
      <c r="M4589" s="3">
        <v>20</v>
      </c>
      <c r="N4589" s="3">
        <v>96.92</v>
      </c>
      <c r="O4589" s="12">
        <v>24.61928934010152</v>
      </c>
    </row>
    <row r="4590" spans="1:15" hidden="1" x14ac:dyDescent="0.25">
      <c r="A4590" s="10">
        <v>46169</v>
      </c>
      <c r="B4590" t="s">
        <v>34</v>
      </c>
      <c r="C4590" s="1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>E4590+G4590+H4590</f>
        <v>23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-5</v>
      </c>
      <c r="L4590" s="3" t="str">
        <f>IF(K4590&lt;-5,"CRÍTICO",IF(K4590&lt;0,"ATENÇÃO",IF(K4590&lt;=5,"OPORTUNO","MUITO BOM")))</f>
        <v>ATENÇÃO</v>
      </c>
      <c r="M4590" s="3">
        <v>21</v>
      </c>
      <c r="N4590" s="3">
        <v>93.02</v>
      </c>
      <c r="O4590" s="12">
        <v>25.254582484725049</v>
      </c>
    </row>
    <row r="4591" spans="1:15" hidden="1" x14ac:dyDescent="0.25">
      <c r="A4591" s="10">
        <v>46169</v>
      </c>
      <c r="B4591" t="s">
        <v>51</v>
      </c>
      <c r="C4591" s="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>E4591+G4591+H4591</f>
        <v>0</v>
      </c>
      <c r="J4591" s="3">
        <v>0</v>
      </c>
      <c r="K4591" s="3">
        <f>I4591-J4591</f>
        <v>0</v>
      </c>
      <c r="L4591" s="3" t="str">
        <f>IF(K4591&lt;-5,"CRÍTICO",IF(K4591&lt;0,"ATENÇÃO",IF(K4591&lt;=5,"OPORTUNO","MUITO BOM")))</f>
        <v>OPORTUNO</v>
      </c>
      <c r="M4591" s="3">
        <v>0</v>
      </c>
      <c r="N4591" s="3">
        <v>98.88</v>
      </c>
      <c r="O4591" s="12">
        <v>25</v>
      </c>
    </row>
    <row r="4592" spans="1:15" hidden="1" x14ac:dyDescent="0.25">
      <c r="A4592" s="10">
        <v>46169</v>
      </c>
      <c r="B4592" t="s">
        <v>61</v>
      </c>
      <c r="C4592" s="1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>IF(K4592&lt;-5,"CRÍTICO",IF(K4592&lt;0,"ATENÇÃO",IF(K4592&lt;=5,"OPORTUNO","MUITO BOM")))</f>
        <v>MUITO BOM</v>
      </c>
      <c r="M4592" s="3">
        <v>17</v>
      </c>
      <c r="N4592" s="3">
        <v>100</v>
      </c>
      <c r="O4592" s="12">
        <v>22.297297297297298</v>
      </c>
    </row>
    <row r="4593" spans="1:15" hidden="1" x14ac:dyDescent="0.25">
      <c r="A4593" s="10">
        <v>46169</v>
      </c>
      <c r="B4593" t="s">
        <v>35</v>
      </c>
      <c r="C4593" s="1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f>E4593+G4593+H4593</f>
        <v>0</v>
      </c>
      <c r="J4593" s="3">
        <v>0</v>
      </c>
      <c r="K4593" s="3">
        <f>I4593-J4593</f>
        <v>0</v>
      </c>
      <c r="L4593" s="3" t="str">
        <f>IF(K4593&lt;-5,"CRÍTICO",IF(K4593&lt;0,"ATENÇÃO",IF(K4593&lt;=5,"OPORTUNO","MUITO BOM")))</f>
        <v>OPORTUNO</v>
      </c>
      <c r="M4593" s="3">
        <v>0</v>
      </c>
      <c r="N4593" s="3">
        <v>99.21</v>
      </c>
      <c r="O4593" s="12">
        <v>29.57198443579767</v>
      </c>
    </row>
    <row r="4594" spans="1:15" hidden="1" x14ac:dyDescent="0.25">
      <c r="A4594" s="10">
        <v>46169</v>
      </c>
      <c r="B4594" t="s">
        <v>52</v>
      </c>
      <c r="C4594" s="1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>IF(K4594&lt;-5,"CRÍTICO",IF(K4594&lt;0,"ATENÇÃO",IF(K4594&lt;=5,"OPORTUNO","MUITO BOM")))</f>
        <v>MUITO BOM</v>
      </c>
      <c r="M4594" s="3">
        <v>27</v>
      </c>
      <c r="N4594" s="3">
        <v>99.09</v>
      </c>
      <c r="O4594" s="12">
        <v>18.527315914489311</v>
      </c>
    </row>
    <row r="4595" spans="1:15" hidden="1" x14ac:dyDescent="0.25">
      <c r="A4595" s="10">
        <v>46169</v>
      </c>
      <c r="B4595" t="s">
        <v>36</v>
      </c>
      <c r="C4595" s="1" t="s">
        <v>32</v>
      </c>
      <c r="D4595" s="3">
        <v>32</v>
      </c>
      <c r="E4595" s="3">
        <v>31</v>
      </c>
      <c r="F4595" s="3">
        <v>14</v>
      </c>
      <c r="G4595" s="3">
        <v>3</v>
      </c>
      <c r="H4595" s="3">
        <v>0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>IF(K4595&lt;-5,"CRÍTICO",IF(K4595&lt;0,"ATENÇÃO",IF(K4595&lt;=5,"OPORTUNO","MUITO BOM")))</f>
        <v>MUITO BOM</v>
      </c>
      <c r="M4595" s="3">
        <v>31</v>
      </c>
      <c r="N4595" s="3">
        <v>100</v>
      </c>
      <c r="O4595" s="12">
        <v>11.53846153846154</v>
      </c>
    </row>
    <row r="4596" spans="1:15" hidden="1" x14ac:dyDescent="0.25">
      <c r="A4596" s="10">
        <v>46169</v>
      </c>
      <c r="B4596" t="s">
        <v>53</v>
      </c>
      <c r="C4596" s="1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f>E4596+G4596+H4596</f>
        <v>0</v>
      </c>
      <c r="J4596" s="3">
        <v>0</v>
      </c>
      <c r="K4596" s="3">
        <f>I4596-J4596</f>
        <v>0</v>
      </c>
      <c r="L4596" s="3" t="str">
        <f>IF(K4596&lt;-5,"CRÍTICO",IF(K4596&lt;0,"ATENÇÃO",IF(K4596&lt;=5,"OPORTUNO","MUITO BOM")))</f>
        <v>OPORTUNO</v>
      </c>
      <c r="M4596" s="3">
        <v>0</v>
      </c>
      <c r="N4596" s="3">
        <v>100</v>
      </c>
      <c r="O4596" s="12">
        <v>17.241379310344829</v>
      </c>
    </row>
    <row r="4597" spans="1:15" hidden="1" x14ac:dyDescent="0.25">
      <c r="A4597" s="10">
        <v>46169</v>
      </c>
      <c r="B4597" t="s">
        <v>22</v>
      </c>
      <c r="C4597" s="1" t="s">
        <v>23</v>
      </c>
      <c r="D4597" s="3">
        <v>22</v>
      </c>
      <c r="E4597" s="3">
        <v>18</v>
      </c>
      <c r="F4597" s="3">
        <v>13.48</v>
      </c>
      <c r="G4597" s="3">
        <v>3</v>
      </c>
      <c r="H4597" s="3">
        <v>0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>IF(K4597&lt;-5,"CRÍTICO",IF(K4597&lt;0,"ATENÇÃO",IF(K4597&lt;=5,"OPORTUNO","MUITO BOM")))</f>
        <v>OPORTUNO</v>
      </c>
      <c r="M4597" s="3">
        <v>20</v>
      </c>
      <c r="N4597" s="3">
        <v>99.14</v>
      </c>
      <c r="O4597" s="12">
        <v>21.276595744680851</v>
      </c>
    </row>
    <row r="4598" spans="1:15" hidden="1" x14ac:dyDescent="0.25">
      <c r="A4598" s="10">
        <v>46169</v>
      </c>
      <c r="B4598" t="s">
        <v>54</v>
      </c>
      <c r="C4598" s="1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18</v>
      </c>
      <c r="N4598" s="3">
        <v>99.07</v>
      </c>
      <c r="O4598" s="12">
        <v>20.512820512820511</v>
      </c>
    </row>
    <row r="4599" spans="1:15" hidden="1" x14ac:dyDescent="0.25">
      <c r="A4599" s="10">
        <v>46169</v>
      </c>
      <c r="B4599" t="s">
        <v>37</v>
      </c>
      <c r="C4599" s="1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>IF(K4599&lt;-5,"CRÍTICO",IF(K4599&lt;0,"ATENÇÃO",IF(K4599&lt;=5,"OPORTUNO","MUITO BOM")))</f>
        <v>MUITO BOM</v>
      </c>
      <c r="M4599" s="3">
        <v>35</v>
      </c>
      <c r="N4599" s="3">
        <v>99.05</v>
      </c>
      <c r="O4599" s="12">
        <v>22.156573116691291</v>
      </c>
    </row>
    <row r="4600" spans="1:15" hidden="1" x14ac:dyDescent="0.25">
      <c r="A4600" s="10">
        <v>46169</v>
      </c>
      <c r="B4600" t="s">
        <v>38</v>
      </c>
      <c r="C4600" s="1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>IF(K4600&lt;-5,"CRÍTICO",IF(K4600&lt;0,"ATENÇÃO",IF(K4600&lt;=5,"OPORTUNO","MUITO BOM")))</f>
        <v>CRÍTICO</v>
      </c>
      <c r="M4600" s="3">
        <v>17</v>
      </c>
      <c r="N4600" s="3">
        <v>97.62</v>
      </c>
      <c r="O4600" s="12">
        <v>36.15023474178404</v>
      </c>
    </row>
    <row r="4601" spans="1:15" hidden="1" x14ac:dyDescent="0.25">
      <c r="A4601" s="10">
        <v>46169</v>
      </c>
      <c r="B4601" t="s">
        <v>55</v>
      </c>
      <c r="C4601" s="1" t="s">
        <v>48</v>
      </c>
      <c r="D4601" s="3">
        <v>8</v>
      </c>
      <c r="E4601" s="3">
        <v>5</v>
      </c>
      <c r="F4601" s="3">
        <v>12.02</v>
      </c>
      <c r="G4601" s="3">
        <v>0</v>
      </c>
      <c r="H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>IF(K4601&lt;-5,"CRÍTICO",IF(K4601&lt;0,"ATENÇÃO",IF(K4601&lt;=5,"OPORTUNO","MUITO BOM")))</f>
        <v>CRÍTICO</v>
      </c>
      <c r="M4601" s="3">
        <v>5</v>
      </c>
      <c r="N4601" s="3">
        <v>99.02</v>
      </c>
      <c r="O4601" s="12">
        <v>22.888283378746589</v>
      </c>
    </row>
    <row r="4602" spans="1:15" hidden="1" x14ac:dyDescent="0.25">
      <c r="A4602" s="10">
        <v>46169</v>
      </c>
      <c r="B4602" t="s">
        <v>39</v>
      </c>
      <c r="C4602" s="1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>E4602+G4602+H4602</f>
        <v>0</v>
      </c>
      <c r="J4602" s="3">
        <v>0</v>
      </c>
      <c r="K4602" s="3">
        <f>I4602-J4602</f>
        <v>0</v>
      </c>
      <c r="L4602" s="3" t="str">
        <f>IF(K4602&lt;-5,"CRÍTICO",IF(K4602&lt;0,"ATENÇÃO",IF(K4602&lt;=5,"OPORTUNO","MUITO BOM")))</f>
        <v>OPORTUNO</v>
      </c>
      <c r="M4602" s="3">
        <v>0</v>
      </c>
      <c r="N4602" s="3">
        <v>0</v>
      </c>
      <c r="O4602" s="12">
        <v>0</v>
      </c>
    </row>
    <row r="4603" spans="1:15" hidden="1" x14ac:dyDescent="0.25">
      <c r="A4603" s="10">
        <v>46169</v>
      </c>
      <c r="B4603" t="s">
        <v>40</v>
      </c>
      <c r="C4603" s="1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>IF(K4603&lt;-5,"CRÍTICO",IF(K4603&lt;0,"ATENÇÃO",IF(K4603&lt;=5,"OPORTUNO","MUITO BOM")))</f>
        <v>ATENÇÃO</v>
      </c>
      <c r="M4603" s="3">
        <v>25</v>
      </c>
      <c r="N4603" s="3">
        <v>97.03</v>
      </c>
      <c r="O4603" s="12">
        <v>16.84210526315789</v>
      </c>
    </row>
    <row r="4604" spans="1:15" hidden="1" x14ac:dyDescent="0.25">
      <c r="A4604" s="10">
        <v>46169</v>
      </c>
      <c r="B4604" t="s">
        <v>41</v>
      </c>
      <c r="C4604" s="1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>IF(K4604&lt;-5,"CRÍTICO",IF(K4604&lt;0,"ATENÇÃO",IF(K4604&lt;=5,"OPORTUNO","MUITO BOM")))</f>
        <v>ATENÇÃO</v>
      </c>
      <c r="M4604" s="3">
        <v>23</v>
      </c>
      <c r="N4604" s="3">
        <v>100</v>
      </c>
      <c r="O4604" s="12">
        <v>18.640350877192979</v>
      </c>
    </row>
    <row r="4605" spans="1:15" hidden="1" x14ac:dyDescent="0.25">
      <c r="A4605" s="10">
        <v>46169</v>
      </c>
      <c r="B4605" t="s">
        <v>56</v>
      </c>
      <c r="C4605" s="1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23</v>
      </c>
      <c r="N4605" s="3">
        <v>99.1</v>
      </c>
      <c r="O4605" s="12">
        <v>23.589743589743591</v>
      </c>
    </row>
    <row r="4606" spans="1:15" hidden="1" x14ac:dyDescent="0.25">
      <c r="A4606" s="10">
        <v>46169</v>
      </c>
      <c r="B4606" t="s">
        <v>57</v>
      </c>
      <c r="C4606" s="1" t="s">
        <v>48</v>
      </c>
      <c r="D4606" s="3">
        <v>26</v>
      </c>
      <c r="E4606" s="3">
        <v>23</v>
      </c>
      <c r="F4606" s="3">
        <v>15.44</v>
      </c>
      <c r="G4606" s="3">
        <v>0</v>
      </c>
      <c r="H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>IF(K4606&lt;-5,"CRÍTICO",IF(K4606&lt;0,"ATENÇÃO",IF(K4606&lt;=5,"OPORTUNO","MUITO BOM")))</f>
        <v>OPORTUNO</v>
      </c>
      <c r="M4606" s="3">
        <v>21</v>
      </c>
      <c r="N4606" s="3">
        <v>100</v>
      </c>
      <c r="O4606" s="12">
        <v>25.47425474254743</v>
      </c>
    </row>
    <row r="4607" spans="1:15" hidden="1" x14ac:dyDescent="0.25">
      <c r="A4607" s="10">
        <v>46169</v>
      </c>
      <c r="B4607" t="s">
        <v>42</v>
      </c>
      <c r="C4607" s="1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f>E4607+G4607+H4607</f>
        <v>0</v>
      </c>
      <c r="J4607" s="3">
        <v>0</v>
      </c>
      <c r="K4607" s="3">
        <f>I4607-J4607</f>
        <v>0</v>
      </c>
      <c r="L4607" s="3" t="str">
        <f>IF(K4607&lt;-5,"CRÍTICO",IF(K4607&lt;0,"ATENÇÃO",IF(K4607&lt;=5,"OPORTUNO","MUITO BOM")))</f>
        <v>OPORTUNO</v>
      </c>
      <c r="M4607" s="3">
        <v>2</v>
      </c>
      <c r="N4607" s="3">
        <v>100</v>
      </c>
      <c r="O4607" s="12">
        <v>22.916666666666661</v>
      </c>
    </row>
    <row r="4608" spans="1:15" hidden="1" x14ac:dyDescent="0.25">
      <c r="A4608" s="10">
        <v>46169</v>
      </c>
      <c r="B4608" t="s">
        <v>62</v>
      </c>
      <c r="C4608" s="1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>IF(K4608&lt;-5,"CRÍTICO",IF(K4608&lt;0,"ATENÇÃO",IF(K4608&lt;=5,"OPORTUNO","MUITO BOM")))</f>
        <v>OPORTUNO</v>
      </c>
      <c r="M4608" s="3">
        <v>21</v>
      </c>
      <c r="N4608" s="3">
        <v>94.83</v>
      </c>
      <c r="O4608" s="12">
        <v>23.72448979591837</v>
      </c>
    </row>
    <row r="4609" spans="1:15" hidden="1" x14ac:dyDescent="0.25">
      <c r="A4609" s="10">
        <v>46169</v>
      </c>
      <c r="B4609" t="s">
        <v>43</v>
      </c>
      <c r="C4609" s="1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>IF(K4609&lt;-5,"CRÍTICO",IF(K4609&lt;0,"ATENÇÃO",IF(K4609&lt;=5,"OPORTUNO","MUITO BOM")))</f>
        <v>MUITO BOM</v>
      </c>
      <c r="M4609" s="3">
        <v>23</v>
      </c>
      <c r="N4609" s="3">
        <v>98.44</v>
      </c>
      <c r="O4609" s="12">
        <v>8.5427135678391952</v>
      </c>
    </row>
    <row r="4610" spans="1:15" hidden="1" x14ac:dyDescent="0.25">
      <c r="A4610" s="10">
        <v>46169</v>
      </c>
      <c r="B4610" t="s">
        <v>44</v>
      </c>
      <c r="C4610" s="1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>IF(K4610&lt;-5,"CRÍTICO",IF(K4610&lt;0,"ATENÇÃO",IF(K4610&lt;=5,"OPORTUNO","MUITO BOM")))</f>
        <v>MUITO BOM</v>
      </c>
      <c r="M4610" s="3">
        <v>25</v>
      </c>
      <c r="N4610" s="3">
        <v>96.62</v>
      </c>
      <c r="O4610" s="12">
        <v>24.093816631130061</v>
      </c>
    </row>
    <row r="4611" spans="1:15" hidden="1" x14ac:dyDescent="0.25">
      <c r="A4611" s="10">
        <v>46169</v>
      </c>
      <c r="B4611" t="s">
        <v>58</v>
      </c>
      <c r="C4611" s="1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f>E4611+G4611+H4611</f>
        <v>0</v>
      </c>
      <c r="J4611" s="3">
        <v>0</v>
      </c>
      <c r="K4611" s="3">
        <f>I4611-J4611</f>
        <v>0</v>
      </c>
      <c r="L4611" s="3" t="str">
        <f>IF(K4611&lt;-5,"CRÍTICO",IF(K4611&lt;0,"ATENÇÃO",IF(K4611&lt;=5,"OPORTUNO","MUITO BOM")))</f>
        <v>OPORTUNO</v>
      </c>
      <c r="M4611" s="3">
        <v>0</v>
      </c>
      <c r="N4611" s="3">
        <v>100</v>
      </c>
      <c r="O4611" s="12">
        <v>21.100917431192659</v>
      </c>
    </row>
    <row r="4612" spans="1:15" hidden="1" x14ac:dyDescent="0.25">
      <c r="A4612" s="10">
        <v>46169</v>
      </c>
      <c r="B4612" t="s">
        <v>63</v>
      </c>
      <c r="C4612" s="1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>IF(K4612&lt;-5,"CRÍTICO",IF(K4612&lt;0,"ATENÇÃO",IF(K4612&lt;=5,"OPORTUNO","MUITO BOM")))</f>
        <v>MUITO BOM</v>
      </c>
      <c r="M4612" s="3">
        <v>23</v>
      </c>
      <c r="N4612" s="3">
        <v>98.25</v>
      </c>
      <c r="O4612" s="12">
        <v>22.524752475247521</v>
      </c>
    </row>
    <row r="4613" spans="1:15" hidden="1" x14ac:dyDescent="0.25">
      <c r="A4613" s="10">
        <v>46169</v>
      </c>
      <c r="B4613" t="s">
        <v>45</v>
      </c>
      <c r="C4613" s="1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>IF(K4613&lt;-5,"CRÍTICO",IF(K4613&lt;0,"ATENÇÃO",IF(K4613&lt;=5,"OPORTUNO","MUITO BOM")))</f>
        <v>MUITO BOM</v>
      </c>
      <c r="M4613" s="3">
        <v>27</v>
      </c>
      <c r="N4613" s="3">
        <v>99.43</v>
      </c>
      <c r="O4613" s="12">
        <v>26.01156069364162</v>
      </c>
    </row>
    <row r="4614" spans="1:15" hidden="1" x14ac:dyDescent="0.25">
      <c r="A4614" s="10">
        <v>46169</v>
      </c>
      <c r="B4614" t="s">
        <v>64</v>
      </c>
      <c r="C4614" s="1" t="s">
        <v>23</v>
      </c>
      <c r="D4614" s="3">
        <v>20</v>
      </c>
      <c r="E4614" s="3">
        <v>19</v>
      </c>
      <c r="F4614" s="3">
        <v>23.5</v>
      </c>
      <c r="G4614" s="3">
        <v>3</v>
      </c>
      <c r="H4614" s="3">
        <v>0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>IF(K4614&lt;-5,"CRÍTICO",IF(K4614&lt;0,"ATENÇÃO",IF(K4614&lt;=5,"OPORTUNO","MUITO BOM")))</f>
        <v>OPORTUNO</v>
      </c>
      <c r="M4614" s="3">
        <v>16</v>
      </c>
      <c r="N4614" s="3">
        <v>100</v>
      </c>
      <c r="O4614" s="12">
        <v>19.31818181818182</v>
      </c>
    </row>
    <row r="4615" spans="1:15" hidden="1" x14ac:dyDescent="0.25">
      <c r="A4615" s="10">
        <v>46169</v>
      </c>
      <c r="B4615" t="s">
        <v>46</v>
      </c>
      <c r="C4615" s="1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>IF(K4615&lt;-5,"CRÍTICO",IF(K4615&lt;0,"ATENÇÃO",IF(K4615&lt;=5,"OPORTUNO","MUITO BOM")))</f>
        <v>CRÍTICO</v>
      </c>
      <c r="M4615" s="3">
        <v>17</v>
      </c>
      <c r="N4615" s="3">
        <v>97.17</v>
      </c>
      <c r="O4615" s="12">
        <v>20.984455958549219</v>
      </c>
    </row>
    <row r="4616" spans="1:15" x14ac:dyDescent="0.25">
      <c r="A4616" s="10">
        <v>46169</v>
      </c>
      <c r="B4616" t="s">
        <v>30</v>
      </c>
      <c r="C4616" s="1" t="s">
        <v>26</v>
      </c>
      <c r="D4616" s="3">
        <v>21</v>
      </c>
      <c r="E4616" s="3">
        <v>19</v>
      </c>
      <c r="F4616" s="3">
        <v>15.53</v>
      </c>
      <c r="G4616" s="3">
        <v>2</v>
      </c>
      <c r="H4616" s="3">
        <v>0</v>
      </c>
      <c r="I4616" s="3">
        <f>E4616+G4616+H4616</f>
        <v>21</v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>16</v>
      </c>
      <c r="K4616" s="3">
        <f>I4616-J4616</f>
        <v>5</v>
      </c>
      <c r="L4616" s="3" t="str">
        <f>IF(K4616&lt;-5,"CRÍTICO",IF(K4616&lt;0,"ATENÇÃO",IF(K4616&lt;=5,"OPORTUNO","MUITO BOM")))</f>
        <v>OPORTUNO</v>
      </c>
      <c r="M4616" s="3">
        <v>17</v>
      </c>
      <c r="N4616" s="3">
        <v>100</v>
      </c>
      <c r="O4616" s="12">
        <v>18.248175182481749</v>
      </c>
    </row>
    <row r="4617" spans="1:15" x14ac:dyDescent="0.25">
      <c r="A4617" s="10">
        <v>46170</v>
      </c>
      <c r="B4617" t="s">
        <v>30</v>
      </c>
      <c r="C4617" s="1" t="s">
        <v>26</v>
      </c>
      <c r="D4617" s="3">
        <v>19</v>
      </c>
      <c r="E4617" s="3">
        <v>18</v>
      </c>
      <c r="F4617" s="3">
        <v>17.07</v>
      </c>
      <c r="G4617" s="3">
        <v>2</v>
      </c>
      <c r="H4617" s="3">
        <v>0</v>
      </c>
      <c r="I4617" s="3">
        <f>E4617+G4617+H4617</f>
        <v>20</v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>15</v>
      </c>
      <c r="K4617" s="3">
        <f>I4617-J4617</f>
        <v>5</v>
      </c>
      <c r="L4617" s="3" t="str">
        <f>IF(K4617&lt;-5,"CRÍTICO",IF(K4617&lt;0,"ATENÇÃO",IF(K4617&lt;=5,"OPORTUNO","MUITO BOM")))</f>
        <v>OPORTUNO</v>
      </c>
      <c r="M4617" s="3">
        <v>17</v>
      </c>
      <c r="N4617" s="3">
        <v>100</v>
      </c>
      <c r="O4617" s="12">
        <v>19.243986254295539</v>
      </c>
    </row>
    <row r="4618" spans="1:15" x14ac:dyDescent="0.25">
      <c r="A4618" s="10">
        <v>46171</v>
      </c>
      <c r="B4618" t="s">
        <v>30</v>
      </c>
      <c r="C4618" s="1" t="s">
        <v>26</v>
      </c>
      <c r="D4618" s="3">
        <v>18</v>
      </c>
      <c r="E4618" s="3">
        <v>17</v>
      </c>
      <c r="F4618" s="3">
        <v>22</v>
      </c>
      <c r="G4618" s="3">
        <v>0</v>
      </c>
      <c r="H4618" s="3">
        <v>0</v>
      </c>
      <c r="I4618" s="3">
        <f>E4618+G4618+H4618</f>
        <v>17</v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>16</v>
      </c>
      <c r="K4618" s="3">
        <f>I4618-J4618</f>
        <v>1</v>
      </c>
      <c r="L4618" s="3" t="str">
        <f>IF(K4618&lt;-5,"CRÍTICO",IF(K4618&lt;0,"ATENÇÃO",IF(K4618&lt;=5,"OPORTUNO","MUITO BOM")))</f>
        <v>OPORTUNO</v>
      </c>
      <c r="M4618" s="3">
        <v>3</v>
      </c>
      <c r="N4618" s="3">
        <v>100</v>
      </c>
      <c r="O4618" s="12">
        <v>19.047619047619051</v>
      </c>
    </row>
    <row r="4619" spans="1:15" x14ac:dyDescent="0.25">
      <c r="A4619" s="10">
        <v>46143</v>
      </c>
      <c r="B4619" t="s">
        <v>21</v>
      </c>
      <c r="C4619" s="1" t="s">
        <v>16</v>
      </c>
      <c r="D4619" s="3">
        <v>0</v>
      </c>
      <c r="E4619" s="3">
        <v>0</v>
      </c>
      <c r="F4619" s="3">
        <v>0</v>
      </c>
      <c r="G4619" s="3">
        <v>0</v>
      </c>
      <c r="H4619" s="3">
        <v>0</v>
      </c>
      <c r="I4619" s="3">
        <f>E4619+G4619+H4619</f>
        <v>0</v>
      </c>
      <c r="J4619" s="3">
        <v>0</v>
      </c>
      <c r="K4619" s="3">
        <f>I4619-J4619</f>
        <v>0</v>
      </c>
      <c r="L4619" s="3" t="str">
        <f>IF(K4619&lt;-5,"CRÍTICO",IF(K4619&lt;0,"ATENÇÃO",IF(K4619&lt;=5,"OPORTUNO","MUITO BOM")))</f>
        <v>OPORTUNO</v>
      </c>
      <c r="M4619" s="3">
        <v>0</v>
      </c>
      <c r="N4619" s="3">
        <v>98.36</v>
      </c>
      <c r="O4619" s="12">
        <v>21.917808219178081</v>
      </c>
    </row>
    <row r="4620" spans="1:15" x14ac:dyDescent="0.25">
      <c r="A4620" s="5">
        <v>46146</v>
      </c>
      <c r="B4620" s="6" t="s">
        <v>21</v>
      </c>
      <c r="C4620" s="1" t="s">
        <v>16</v>
      </c>
      <c r="D4620" s="3">
        <v>14</v>
      </c>
      <c r="E4620" s="3">
        <v>14</v>
      </c>
      <c r="F4620" s="3">
        <v>34.04</v>
      </c>
      <c r="G4620" s="3">
        <v>1</v>
      </c>
      <c r="H4620" s="3">
        <v>0</v>
      </c>
      <c r="I4620" s="3">
        <f>E4620+G4620+H4620</f>
        <v>15</v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>10</v>
      </c>
      <c r="K4620" s="3">
        <f>I4620-J4620</f>
        <v>5</v>
      </c>
      <c r="L4620" s="3" t="str">
        <f>IF(K4620&lt;-5,"CRÍTICO",IF(K4620&lt;0,"ATENÇÃO",IF(K4620&lt;=5,"OPORTUNO","MUITO BOM")))</f>
        <v>OPORTUNO</v>
      </c>
      <c r="M4620" s="3">
        <v>12</v>
      </c>
      <c r="N4620" s="3">
        <v>98.36</v>
      </c>
      <c r="O4620" s="12">
        <v>21.917808219178081</v>
      </c>
    </row>
    <row r="4621" spans="1:15" x14ac:dyDescent="0.25">
      <c r="A4621" s="5">
        <v>46147</v>
      </c>
      <c r="B4621" s="6" t="s">
        <v>21</v>
      </c>
      <c r="C4621" s="1" t="s">
        <v>16</v>
      </c>
      <c r="D4621" s="3">
        <v>22</v>
      </c>
      <c r="E4621" s="3">
        <v>18</v>
      </c>
      <c r="F4621" s="3">
        <v>18.46</v>
      </c>
      <c r="G4621" s="3">
        <v>1</v>
      </c>
      <c r="H4621" s="3">
        <v>0</v>
      </c>
      <c r="I4621" s="3">
        <f>E4621+G4621+H4621</f>
        <v>19</v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>10</v>
      </c>
      <c r="K4621" s="3">
        <f>I4621-J4621</f>
        <v>9</v>
      </c>
      <c r="L4621" s="3" t="str">
        <f>IF(K4621&lt;-5,"CRÍTICO",IF(K4621&lt;0,"ATENÇÃO",IF(K4621&lt;=5,"OPORTUNO","MUITO BOM")))</f>
        <v>MUITO BOM</v>
      </c>
      <c r="M4621" s="3">
        <v>18</v>
      </c>
      <c r="N4621" s="3">
        <v>98.36</v>
      </c>
      <c r="O4621" s="12">
        <v>21.917808219178081</v>
      </c>
    </row>
    <row r="4622" spans="1:15" x14ac:dyDescent="0.25">
      <c r="A4622" s="5">
        <v>46148</v>
      </c>
      <c r="B4622" s="6" t="s">
        <v>21</v>
      </c>
      <c r="C4622" s="1" t="s">
        <v>16</v>
      </c>
      <c r="D4622" s="3">
        <v>17</v>
      </c>
      <c r="E4622" s="3">
        <v>15</v>
      </c>
      <c r="F4622" s="3">
        <v>22.06</v>
      </c>
      <c r="G4622" s="3">
        <v>0</v>
      </c>
      <c r="H4622" s="3">
        <v>0</v>
      </c>
      <c r="I4622" s="3">
        <f>E4622+G4622+H4622</f>
        <v>15</v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>10</v>
      </c>
      <c r="K4622" s="3">
        <f>I4622-J4622</f>
        <v>5</v>
      </c>
      <c r="L4622" s="3" t="str">
        <f>IF(K4622&lt;-5,"CRÍTICO",IF(K4622&lt;0,"ATENÇÃO",IF(K4622&lt;=5,"OPORTUNO","MUITO BOM")))</f>
        <v>OPORTUNO</v>
      </c>
      <c r="M4622" s="3">
        <v>14</v>
      </c>
      <c r="N4622" s="3">
        <v>98.36</v>
      </c>
      <c r="O4622" s="12">
        <v>21.917808219178081</v>
      </c>
    </row>
    <row r="4623" spans="1:15" x14ac:dyDescent="0.25">
      <c r="A4623" s="5">
        <v>46149</v>
      </c>
      <c r="B4623" s="6" t="s">
        <v>21</v>
      </c>
      <c r="C4623" s="1" t="s">
        <v>16</v>
      </c>
      <c r="D4623" s="3">
        <v>15</v>
      </c>
      <c r="E4623" s="3">
        <v>15</v>
      </c>
      <c r="F4623" s="3">
        <v>32.020000000000003</v>
      </c>
      <c r="G4623" s="3">
        <v>0</v>
      </c>
      <c r="H4623" s="3">
        <v>0</v>
      </c>
      <c r="I4623" s="3">
        <f>E4623+G4623+H4623</f>
        <v>15</v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>9</v>
      </c>
      <c r="K4623" s="3">
        <f>I4623-J4623</f>
        <v>6</v>
      </c>
      <c r="L4623" s="3" t="str">
        <f>IF(K4623&lt;-5,"CRÍTICO",IF(K4623&lt;0,"ATENÇÃO",IF(K4623&lt;=5,"OPORTUNO","MUITO BOM")))</f>
        <v>MUITO BOM</v>
      </c>
      <c r="M4623" s="3">
        <v>13</v>
      </c>
      <c r="N4623" s="3">
        <v>98.36</v>
      </c>
      <c r="O4623" s="12">
        <v>21.917808219178081</v>
      </c>
    </row>
    <row r="4624" spans="1:15" x14ac:dyDescent="0.25">
      <c r="A4624" s="5">
        <v>46150</v>
      </c>
      <c r="B4624" s="6" t="s">
        <v>21</v>
      </c>
      <c r="C4624" s="1" t="s">
        <v>16</v>
      </c>
      <c r="D4624" s="3">
        <v>17</v>
      </c>
      <c r="E4624" s="3">
        <v>17</v>
      </c>
      <c r="F4624" s="3">
        <v>28.35</v>
      </c>
      <c r="G4624" s="3">
        <v>0</v>
      </c>
      <c r="H4624" s="3">
        <v>0</v>
      </c>
      <c r="I4624" s="3">
        <f>E4624+G4624+H4624</f>
        <v>17</v>
      </c>
      <c r="J4624" s="3">
        <f>ROUND(MIN(IF(C4624="Técnico III",35,IF(C4624="Técnico II",28,IF(C4624="Técnico I",23,IF(C4624="JR",20,IF(C4624="Estágio",10,0))))),IF(C4624="Técnico III",SUMIFS($D:$D,$A:$A,$A4624,$B:$B,"&lt;&gt;Patrícia Karla de Sousa Araújo",$B:$B,"&lt;&gt;Lorena Dias de Araujo",$B:$B,"&lt;&gt;Lucas Luiz Romero")*(35/1083),IF(C4624="Técnico II",SUMIFS($D:$D,$A:$A,$A4624,$B:$B,"&lt;&gt;Patrícia Karla de Sousa Araújo",$B:$B,"&lt;&gt;Lorena Dias de Araujo",$B:$B,"&lt;&gt;Lucas Luiz Romero")*(28/1083),IF(C4624="Técnico I",SUMIFS($D:$D,$A:$A,$A4624,$B:$B,"&lt;&gt;Patrícia Karla de Sousa Araújo",$B:$B,"&lt;&gt;Lorena Dias de Araujo",$B:$B,"&lt;&gt;Lucas Luiz Romero")*(23/1083),IF(C4624="JR",SUMIFS($D:$D,$A:$A,$A4624,$B:$B,"&lt;&gt;Patrícia Karla de Sousa Araújo",$B:$B,"&lt;&gt;Lorena Dias de Araujo",$B:$B,"&lt;&gt;Lucas Luiz Romero")*(20/1083),IF(C4624="Estágio",SUMIFS($D:$D,$A:$A,$A4624,$B:$B,"&lt;&gt;Patrícia Karla de Sousa Araújo",$B:$B,"&lt;&gt;Lorena Dias de Araujo",$B:$B,"&lt;&gt;Lucas Luiz Romero")*(10/1083),0)))))),0)</f>
        <v>8</v>
      </c>
      <c r="K4624" s="3">
        <f>I4624-J4624</f>
        <v>9</v>
      </c>
      <c r="L4624" s="3" t="str">
        <f>IF(K4624&lt;-5,"CRÍTICO",IF(K4624&lt;0,"ATENÇÃO",IF(K4624&lt;=5,"OPORTUNO","MUITO BOM")))</f>
        <v>MUITO BOM</v>
      </c>
      <c r="M4624" s="3">
        <v>11</v>
      </c>
      <c r="N4624" s="3">
        <v>98.36</v>
      </c>
      <c r="O4624" s="12">
        <v>21.917808219178081</v>
      </c>
    </row>
    <row r="4625" spans="1:15" x14ac:dyDescent="0.25">
      <c r="A4625" s="5">
        <v>46153</v>
      </c>
      <c r="B4625" s="6" t="s">
        <v>21</v>
      </c>
      <c r="C4625" s="1" t="s">
        <v>16</v>
      </c>
      <c r="D4625" s="3">
        <v>16</v>
      </c>
      <c r="E4625" s="3">
        <v>16</v>
      </c>
      <c r="F4625" s="3">
        <v>30.41</v>
      </c>
      <c r="G4625" s="3">
        <v>0</v>
      </c>
      <c r="H4625" s="3">
        <v>0</v>
      </c>
      <c r="I4625" s="3">
        <f>E4625+G4625+H4625</f>
        <v>16</v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>9</v>
      </c>
      <c r="K4625" s="3">
        <f>I4625-J4625</f>
        <v>7</v>
      </c>
      <c r="L4625" s="3" t="str">
        <f>IF(K4625&lt;-5,"CRÍTICO",IF(K4625&lt;0,"ATENÇÃO",IF(K4625&lt;=5,"OPORTUNO","MUITO BOM")))</f>
        <v>MUITO BOM</v>
      </c>
      <c r="M4625" s="3">
        <v>15</v>
      </c>
      <c r="N4625" s="3">
        <v>98.36</v>
      </c>
      <c r="O4625" s="12">
        <v>21.917808219178081</v>
      </c>
    </row>
    <row r="4626" spans="1:15" x14ac:dyDescent="0.25">
      <c r="A4626" s="5">
        <v>46154</v>
      </c>
      <c r="B4626" s="6" t="s">
        <v>21</v>
      </c>
      <c r="C4626" s="1" t="s">
        <v>16</v>
      </c>
      <c r="D4626" s="3">
        <v>20</v>
      </c>
      <c r="E4626" s="3">
        <v>17</v>
      </c>
      <c r="F4626" s="3">
        <v>24.05</v>
      </c>
      <c r="G4626" s="3">
        <v>0</v>
      </c>
      <c r="H4626" s="3">
        <v>0</v>
      </c>
      <c r="I4626" s="3">
        <f>E4626+G4626+H4626</f>
        <v>17</v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>9</v>
      </c>
      <c r="K4626" s="3">
        <f>I4626-J4626</f>
        <v>8</v>
      </c>
      <c r="L4626" s="3" t="str">
        <f>IF(K4626&lt;-5,"CRÍTICO",IF(K4626&lt;0,"ATENÇÃO",IF(K4626&lt;=5,"OPORTUNO","MUITO BOM")))</f>
        <v>MUITO BOM</v>
      </c>
      <c r="M4626" s="3">
        <v>13</v>
      </c>
      <c r="N4626" s="3">
        <v>98.36</v>
      </c>
      <c r="O4626" s="12">
        <v>21.917808219178081</v>
      </c>
    </row>
    <row r="4627" spans="1:15" x14ac:dyDescent="0.25">
      <c r="A4627" s="5">
        <v>46155</v>
      </c>
      <c r="B4627" s="6" t="s">
        <v>21</v>
      </c>
      <c r="C4627" s="1" t="s">
        <v>16</v>
      </c>
      <c r="D4627" s="3">
        <v>19</v>
      </c>
      <c r="E4627" s="3">
        <v>18</v>
      </c>
      <c r="F4627" s="3">
        <v>23.42</v>
      </c>
      <c r="G4627" s="3">
        <v>0</v>
      </c>
      <c r="H4627" s="3">
        <v>0</v>
      </c>
      <c r="I4627" s="3">
        <f>E4627+G4627+H4627</f>
        <v>18</v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>8</v>
      </c>
      <c r="K4627" s="3">
        <f>I4627-J4627</f>
        <v>10</v>
      </c>
      <c r="L4627" s="3" t="str">
        <f>IF(K4627&lt;-5,"CRÍTICO",IF(K4627&lt;0,"ATENÇÃO",IF(K4627&lt;=5,"OPORTUNO","MUITO BOM")))</f>
        <v>MUITO BOM</v>
      </c>
      <c r="M4627" s="3">
        <v>13</v>
      </c>
      <c r="N4627" s="3">
        <v>98.36</v>
      </c>
      <c r="O4627" s="12">
        <v>21.917808219178081</v>
      </c>
    </row>
    <row r="4628" spans="1:15" hidden="1" x14ac:dyDescent="0.25">
      <c r="A4628" s="10">
        <v>46170</v>
      </c>
      <c r="B4628" t="s">
        <v>47</v>
      </c>
      <c r="C4628" s="1" t="s">
        <v>48</v>
      </c>
      <c r="D4628" s="3">
        <v>21</v>
      </c>
      <c r="E4628" s="3">
        <v>16</v>
      </c>
      <c r="F4628" s="3">
        <v>13.45</v>
      </c>
      <c r="G4628" s="3">
        <v>2</v>
      </c>
      <c r="H4628" s="3">
        <v>0</v>
      </c>
      <c r="I4628" s="3">
        <f>E4628+G4628+H4628</f>
        <v>18</v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>22</v>
      </c>
      <c r="K4628" s="3">
        <f>I4628-J4628</f>
        <v>-4</v>
      </c>
      <c r="L4628" s="3" t="str">
        <f>IF(K4628&lt;-5,"CRÍTICO",IF(K4628&lt;0,"ATENÇÃO",IF(K4628&lt;=5,"OPORTUNO","MUITO BOM")))</f>
        <v>ATENÇÃO</v>
      </c>
      <c r="M4628" s="3">
        <v>14</v>
      </c>
      <c r="N4628" s="3">
        <v>99.23</v>
      </c>
      <c r="O4628" s="12">
        <v>24.421593830334189</v>
      </c>
    </row>
    <row r="4629" spans="1:15" hidden="1" x14ac:dyDescent="0.25">
      <c r="A4629" s="10">
        <v>46170</v>
      </c>
      <c r="B4629" t="s">
        <v>31</v>
      </c>
      <c r="C4629" s="1" t="s">
        <v>32</v>
      </c>
      <c r="D4629" s="3">
        <v>0</v>
      </c>
      <c r="E4629" s="3">
        <v>0</v>
      </c>
      <c r="F4629" s="3">
        <v>0</v>
      </c>
      <c r="G4629" s="3">
        <v>0</v>
      </c>
      <c r="H4629" s="3">
        <v>0</v>
      </c>
      <c r="I4629" s="3">
        <f>E4629+G4629+H4629</f>
        <v>0</v>
      </c>
      <c r="J4629" s="3">
        <v>0</v>
      </c>
      <c r="K4629" s="3">
        <f>I4629-J4629</f>
        <v>0</v>
      </c>
      <c r="L4629" s="3" t="str">
        <f>IF(K4629&lt;-5,"CRÍTICO",IF(K4629&lt;0,"ATENÇÃO",IF(K4629&lt;=5,"OPORTUNO","MUITO BOM")))</f>
        <v>OPORTUNO</v>
      </c>
      <c r="M4629" s="3">
        <v>0</v>
      </c>
      <c r="N4629" s="3">
        <v>100</v>
      </c>
      <c r="O4629" s="12">
        <v>0</v>
      </c>
    </row>
    <row r="4630" spans="1:15" hidden="1" x14ac:dyDescent="0.25">
      <c r="A4630" s="10">
        <v>46170</v>
      </c>
      <c r="B4630" t="s">
        <v>59</v>
      </c>
      <c r="C4630" s="1" t="s">
        <v>23</v>
      </c>
      <c r="D4630" s="3">
        <v>31</v>
      </c>
      <c r="E4630" s="3">
        <v>29</v>
      </c>
      <c r="F4630" s="3">
        <v>18.41</v>
      </c>
      <c r="G4630" s="3">
        <v>5</v>
      </c>
      <c r="H4630" s="3">
        <v>0</v>
      </c>
      <c r="I4630" s="3">
        <f>E4630+G4630+H4630</f>
        <v>34</v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>18</v>
      </c>
      <c r="K4630" s="3">
        <f>I4630-J4630</f>
        <v>16</v>
      </c>
      <c r="L4630" s="3" t="str">
        <f>IF(K4630&lt;-5,"CRÍTICO",IF(K4630&lt;0,"ATENÇÃO",IF(K4630&lt;=5,"OPORTUNO","MUITO BOM")))</f>
        <v>MUITO BOM</v>
      </c>
      <c r="M4630" s="3">
        <v>28</v>
      </c>
      <c r="N4630" s="3">
        <v>96.59</v>
      </c>
      <c r="O4630" s="12">
        <v>26.34615384615385</v>
      </c>
    </row>
    <row r="4631" spans="1:15" hidden="1" x14ac:dyDescent="0.25">
      <c r="A4631" s="10">
        <v>46170</v>
      </c>
      <c r="B4631" t="s">
        <v>33</v>
      </c>
      <c r="C4631" s="1" t="s">
        <v>32</v>
      </c>
      <c r="D4631" s="3">
        <v>16</v>
      </c>
      <c r="E4631" s="3">
        <v>14</v>
      </c>
      <c r="F4631" s="3">
        <v>10.31</v>
      </c>
      <c r="G4631" s="3">
        <v>3</v>
      </c>
      <c r="H4631" s="3">
        <v>0</v>
      </c>
      <c r="I4631" s="3">
        <f>E4631+G4631+H4631</f>
        <v>17</v>
      </c>
      <c r="J4631" s="3">
        <f>ROUND(MIN(IF(C4631="Técnico III",35,IF(C4631="Técnico II",28,IF(C4631="Técnico I",23,IF(C4631="JR",20,IF(C4631="Estágio",10,0))))),IF(C4631="Técnico III",SUMIFS($D:$D,$A:$A,$A4631,$B:$B,"&lt;&gt;Patrícia Karla de Sousa Araújo",$B:$B,"&lt;&gt;Lorena Dias de Araujo",$B:$B,"&lt;&gt;Lucas Luiz Romero")*(35/1083),IF(C4631="Técnico II",SUMIFS($D:$D,$A:$A,$A4631,$B:$B,"&lt;&gt;Patrícia Karla de Sousa Araújo",$B:$B,"&lt;&gt;Lorena Dias de Araujo",$B:$B,"&lt;&gt;Lucas Luiz Romero")*(28/1083),IF(C4631="Técnico I",SUMIFS($D:$D,$A:$A,$A4631,$B:$B,"&lt;&gt;Patrícia Karla de Sousa Araújo",$B:$B,"&lt;&gt;Lorena Dias de Araujo",$B:$B,"&lt;&gt;Lucas Luiz Romero")*(23/1083),IF(C4631="JR",SUMIFS($D:$D,$A:$A,$A4631,$B:$B,"&lt;&gt;Patrícia Karla de Sousa Araújo",$B:$B,"&lt;&gt;Lorena Dias de Araujo",$B:$B,"&lt;&gt;Lucas Luiz Romero")*(20/1083),IF(C4631="Estágio",SUMIFS($D:$D,$A:$A,$A4631,$B:$B,"&lt;&gt;Patrícia Karla de Sousa Araújo",$B:$B,"&lt;&gt;Lorena Dias de Araujo",$B:$B,"&lt;&gt;Lucas Luiz Romero")*(10/1083),0)))))),0)</f>
        <v>27</v>
      </c>
      <c r="K4631" s="3">
        <f>I4631-J4631</f>
        <v>-10</v>
      </c>
      <c r="L4631" s="3" t="str">
        <f>IF(K4631&lt;-5,"CRÍTICO",IF(K4631&lt;0,"ATENÇÃO",IF(K4631&lt;=5,"OPORTUNO","MUITO BOM")))</f>
        <v>CRÍTICO</v>
      </c>
      <c r="M4631" s="3">
        <v>12</v>
      </c>
      <c r="N4631" s="3">
        <v>97.17</v>
      </c>
      <c r="O4631" s="12">
        <v>20.199501246882789</v>
      </c>
    </row>
    <row r="4632" spans="1:15" hidden="1" x14ac:dyDescent="0.25">
      <c r="A4632" s="10">
        <v>46170</v>
      </c>
      <c r="B4632" t="s">
        <v>49</v>
      </c>
      <c r="C4632" s="1" t="s">
        <v>48</v>
      </c>
      <c r="D4632" s="3">
        <v>38</v>
      </c>
      <c r="E4632" s="3">
        <v>35</v>
      </c>
      <c r="F4632" s="3">
        <v>12</v>
      </c>
      <c r="G4632" s="3">
        <v>2</v>
      </c>
      <c r="H4632" s="3">
        <v>0</v>
      </c>
      <c r="I4632" s="3">
        <f>E4632+G4632+H4632</f>
        <v>37</v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>22</v>
      </c>
      <c r="K4632" s="3">
        <f>I4632-J4632</f>
        <v>15</v>
      </c>
      <c r="L4632" s="3" t="str">
        <f>IF(K4632&lt;-5,"CRÍTICO",IF(K4632&lt;0,"ATENÇÃO",IF(K4632&lt;=5,"OPORTUNO","MUITO BOM")))</f>
        <v>MUITO BOM</v>
      </c>
      <c r="M4632" s="3">
        <v>37</v>
      </c>
      <c r="N4632" s="3">
        <v>99.41</v>
      </c>
      <c r="O4632" s="12">
        <v>21.688741721854299</v>
      </c>
    </row>
    <row r="4633" spans="1:15" hidden="1" x14ac:dyDescent="0.25">
      <c r="A4633" s="10">
        <v>46170</v>
      </c>
      <c r="B4633" t="s">
        <v>50</v>
      </c>
      <c r="C4633" s="1" t="s">
        <v>48</v>
      </c>
      <c r="D4633" s="3">
        <v>27</v>
      </c>
      <c r="E4633" s="3">
        <v>26</v>
      </c>
      <c r="F4633" s="3">
        <v>20.03</v>
      </c>
      <c r="G4633" s="3">
        <v>1</v>
      </c>
      <c r="H4633" s="3">
        <v>0</v>
      </c>
      <c r="I4633" s="3">
        <f>E4633+G4633+H4633</f>
        <v>27</v>
      </c>
      <c r="J4633" s="3">
        <f>ROUND(MIN(IF(C4633="Técnico III",35,IF(C4633="Técnico II",28,IF(C4633="Técnico I",23,IF(C4633="JR",20,IF(C4633="Estágio",10,0))))),IF(C4633="Técnico III",SUMIFS($D:$D,$A:$A,$A4633,$B:$B,"&lt;&gt;Patrícia Karla de Sousa Araújo",$B:$B,"&lt;&gt;Lorena Dias de Araujo",$B:$B,"&lt;&gt;Lucas Luiz Romero")*(35/1083),IF(C4633="Técnico II",SUMIFS($D:$D,$A:$A,$A4633,$B:$B,"&lt;&gt;Patrícia Karla de Sousa Araújo",$B:$B,"&lt;&gt;Lorena Dias de Araujo",$B:$B,"&lt;&gt;Lucas Luiz Romero")*(28/1083),IF(C4633="Técnico I",SUMIFS($D:$D,$A:$A,$A4633,$B:$B,"&lt;&gt;Patrícia Karla de Sousa Araújo",$B:$B,"&lt;&gt;Lorena Dias de Araujo",$B:$B,"&lt;&gt;Lucas Luiz Romero")*(23/1083),IF(C4633="JR",SUMIFS($D:$D,$A:$A,$A4633,$B:$B,"&lt;&gt;Patrícia Karla de Sousa Araújo",$B:$B,"&lt;&gt;Lorena Dias de Araujo",$B:$B,"&lt;&gt;Lucas Luiz Romero")*(20/1083),IF(C4633="Estágio",SUMIFS($D:$D,$A:$A,$A4633,$B:$B,"&lt;&gt;Patrícia Karla de Sousa Araújo",$B:$B,"&lt;&gt;Lorena Dias de Araujo",$B:$B,"&lt;&gt;Lucas Luiz Romero")*(10/1083),0)))))),0)</f>
        <v>22</v>
      </c>
      <c r="K4633" s="3">
        <f>I4633-J4633</f>
        <v>5</v>
      </c>
      <c r="L4633" s="3" t="str">
        <f>IF(K4633&lt;-5,"CRÍTICO",IF(K4633&lt;0,"ATENÇÃO",IF(K4633&lt;=5,"OPORTUNO","MUITO BOM")))</f>
        <v>OPORTUNO</v>
      </c>
      <c r="M4633" s="3">
        <v>27</v>
      </c>
      <c r="N4633" s="3">
        <v>99.17</v>
      </c>
      <c r="O4633" s="12">
        <v>21.691973969631238</v>
      </c>
    </row>
    <row r="4634" spans="1:15" hidden="1" x14ac:dyDescent="0.25">
      <c r="A4634" s="10">
        <v>46170</v>
      </c>
      <c r="B4634" t="s">
        <v>60</v>
      </c>
      <c r="C4634" s="1" t="s">
        <v>23</v>
      </c>
      <c r="D4634" s="3">
        <v>24</v>
      </c>
      <c r="E4634" s="3">
        <v>23</v>
      </c>
      <c r="F4634" s="3">
        <v>17.14</v>
      </c>
      <c r="G4634" s="3">
        <v>0</v>
      </c>
      <c r="H4634" s="3">
        <v>0</v>
      </c>
      <c r="I4634" s="3">
        <f>E4634+G4634+H4634</f>
        <v>23</v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>18</v>
      </c>
      <c r="K4634" s="3">
        <f>I4634-J4634</f>
        <v>5</v>
      </c>
      <c r="L4634" s="3" t="str">
        <f>IF(K4634&lt;-5,"CRÍTICO",IF(K4634&lt;0,"ATENÇÃO",IF(K4634&lt;=5,"OPORTUNO","MUITO BOM")))</f>
        <v>OPORTUNO</v>
      </c>
      <c r="M4634" s="3">
        <v>23</v>
      </c>
      <c r="N4634" s="3">
        <v>97.08</v>
      </c>
      <c r="O4634" s="12">
        <v>25.17985611510791</v>
      </c>
    </row>
    <row r="4635" spans="1:15" hidden="1" x14ac:dyDescent="0.25">
      <c r="A4635" s="10">
        <v>46170</v>
      </c>
      <c r="B4635" t="s">
        <v>34</v>
      </c>
      <c r="C4635" s="1" t="s">
        <v>32</v>
      </c>
      <c r="D4635" s="3">
        <v>30</v>
      </c>
      <c r="E4635" s="3">
        <v>27</v>
      </c>
      <c r="F4635" s="3">
        <v>15.08</v>
      </c>
      <c r="G4635" s="3">
        <v>0</v>
      </c>
      <c r="H4635" s="3">
        <v>0</v>
      </c>
      <c r="I4635" s="3">
        <f>E4635+G4635+H4635</f>
        <v>27</v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>27</v>
      </c>
      <c r="K4635" s="3">
        <f>I4635-J4635</f>
        <v>0</v>
      </c>
      <c r="L4635" s="3" t="str">
        <f>IF(K4635&lt;-5,"CRÍTICO",IF(K4635&lt;0,"ATENÇÃO",IF(K4635&lt;=5,"OPORTUNO","MUITO BOM")))</f>
        <v>OPORTUNO</v>
      </c>
      <c r="M4635" s="3">
        <v>23</v>
      </c>
      <c r="N4635" s="3">
        <v>93.33</v>
      </c>
      <c r="O4635" s="12">
        <v>26.459143968871601</v>
      </c>
    </row>
    <row r="4636" spans="1:15" hidden="1" x14ac:dyDescent="0.25">
      <c r="A4636" s="10">
        <v>46170</v>
      </c>
      <c r="B4636" t="s">
        <v>51</v>
      </c>
      <c r="C4636" s="1" t="s">
        <v>48</v>
      </c>
      <c r="D4636" s="3">
        <v>0</v>
      </c>
      <c r="E4636" s="3">
        <v>0</v>
      </c>
      <c r="F4636" s="3">
        <v>0</v>
      </c>
      <c r="G4636" s="3">
        <v>0</v>
      </c>
      <c r="H4636" s="3">
        <v>0</v>
      </c>
      <c r="I4636" s="3">
        <f>E4636+G4636+H4636</f>
        <v>0</v>
      </c>
      <c r="J4636" s="3">
        <v>0</v>
      </c>
      <c r="K4636" s="3">
        <f>I4636-J4636</f>
        <v>0</v>
      </c>
      <c r="L4636" s="3" t="str">
        <f>IF(K4636&lt;-5,"CRÍTICO",IF(K4636&lt;0,"ATENÇÃO",IF(K4636&lt;=5,"OPORTUNO","MUITO BOM")))</f>
        <v>OPORTUNO</v>
      </c>
      <c r="M4636" s="3">
        <v>0</v>
      </c>
      <c r="N4636" s="3">
        <v>98.88</v>
      </c>
      <c r="O4636" s="12">
        <v>25.892857142857149</v>
      </c>
    </row>
    <row r="4637" spans="1:15" hidden="1" x14ac:dyDescent="0.25">
      <c r="A4637" s="10">
        <v>46170</v>
      </c>
      <c r="B4637" t="s">
        <v>61</v>
      </c>
      <c r="C4637" s="1" t="s">
        <v>23</v>
      </c>
      <c r="D4637" s="3">
        <v>24</v>
      </c>
      <c r="E4637" s="3">
        <v>23</v>
      </c>
      <c r="F4637" s="3">
        <v>15.29</v>
      </c>
      <c r="G4637" s="3">
        <v>0</v>
      </c>
      <c r="H4637" s="3">
        <v>0</v>
      </c>
      <c r="I4637" s="3">
        <f>E4637+G4637+H4637</f>
        <v>23</v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>18</v>
      </c>
      <c r="K4637" s="3">
        <f>I4637-J4637</f>
        <v>5</v>
      </c>
      <c r="L4637" s="3" t="str">
        <f>IF(K4637&lt;-5,"CRÍTICO",IF(K4637&lt;0,"ATENÇÃO",IF(K4637&lt;=5,"OPORTUNO","MUITO BOM")))</f>
        <v>OPORTUNO</v>
      </c>
      <c r="M4637" s="3">
        <v>19</v>
      </c>
      <c r="N4637" s="3">
        <v>100</v>
      </c>
      <c r="O4637" s="12">
        <v>21.904761904761909</v>
      </c>
    </row>
    <row r="4638" spans="1:15" hidden="1" x14ac:dyDescent="0.25">
      <c r="A4638" s="10">
        <v>46170</v>
      </c>
      <c r="B4638" t="s">
        <v>35</v>
      </c>
      <c r="C4638" s="1" t="s">
        <v>32</v>
      </c>
      <c r="D4638" s="3">
        <v>0</v>
      </c>
      <c r="E4638" s="3">
        <v>0</v>
      </c>
      <c r="F4638" s="3">
        <v>0</v>
      </c>
      <c r="G4638" s="3">
        <v>0</v>
      </c>
      <c r="H4638" s="3">
        <v>0</v>
      </c>
      <c r="I4638" s="3">
        <f>E4638+G4638+H4638</f>
        <v>0</v>
      </c>
      <c r="J4638" s="3">
        <v>0</v>
      </c>
      <c r="K4638" s="3">
        <f>I4638-J4638</f>
        <v>0</v>
      </c>
      <c r="L4638" s="3" t="str">
        <f>IF(K4638&lt;-5,"CRÍTICO",IF(K4638&lt;0,"ATENÇÃO",IF(K4638&lt;=5,"OPORTUNO","MUITO BOM")))</f>
        <v>OPORTUNO</v>
      </c>
      <c r="M4638" s="3">
        <v>0</v>
      </c>
      <c r="N4638" s="3">
        <v>99.22</v>
      </c>
      <c r="O4638" s="12">
        <v>30.739299610894939</v>
      </c>
    </row>
    <row r="4639" spans="1:15" hidden="1" x14ac:dyDescent="0.25">
      <c r="A4639" s="10">
        <v>46170</v>
      </c>
      <c r="B4639" t="s">
        <v>52</v>
      </c>
      <c r="C4639" s="1" t="s">
        <v>48</v>
      </c>
      <c r="D4639" s="3">
        <v>32</v>
      </c>
      <c r="E4639" s="3">
        <v>29</v>
      </c>
      <c r="F4639" s="3">
        <v>13.49</v>
      </c>
      <c r="G4639" s="3">
        <v>4</v>
      </c>
      <c r="H4639" s="3">
        <v>0</v>
      </c>
      <c r="I4639" s="3">
        <f>E4639+G4639+H4639</f>
        <v>33</v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>22</v>
      </c>
      <c r="K4639" s="3">
        <f>I4639-J4639</f>
        <v>11</v>
      </c>
      <c r="L4639" s="3" t="str">
        <f>IF(K4639&lt;-5,"CRÍTICO",IF(K4639&lt;0,"ATENÇÃO",IF(K4639&lt;=5,"OPORTUNO","MUITO BOM")))</f>
        <v>MUITO BOM</v>
      </c>
      <c r="M4639" s="3">
        <v>28</v>
      </c>
      <c r="N4639" s="3">
        <v>99.14</v>
      </c>
      <c r="O4639" s="12">
        <v>18.930957683741649</v>
      </c>
    </row>
    <row r="4640" spans="1:15" hidden="1" x14ac:dyDescent="0.25">
      <c r="A4640" s="10">
        <v>46170</v>
      </c>
      <c r="B4640" t="s">
        <v>36</v>
      </c>
      <c r="C4640" s="1" t="s">
        <v>32</v>
      </c>
      <c r="D4640" s="3">
        <v>34</v>
      </c>
      <c r="E4640" s="3">
        <v>34</v>
      </c>
      <c r="F4640" s="3">
        <v>14.12</v>
      </c>
      <c r="G4640" s="3">
        <v>0</v>
      </c>
      <c r="H4640" s="3">
        <v>0</v>
      </c>
      <c r="I4640" s="3">
        <f>E4640+G4640+H4640</f>
        <v>34</v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>27</v>
      </c>
      <c r="K4640" s="3">
        <f>I4640-J4640</f>
        <v>7</v>
      </c>
      <c r="L4640" s="3" t="str">
        <f>IF(K4640&lt;-5,"CRÍTICO",IF(K4640&lt;0,"ATENÇÃO",IF(K4640&lt;=5,"OPORTUNO","MUITO BOM")))</f>
        <v>MUITO BOM</v>
      </c>
      <c r="M4640" s="3">
        <v>35</v>
      </c>
      <c r="N4640" s="3">
        <v>100</v>
      </c>
      <c r="O4640" s="12">
        <v>10.791366906474821</v>
      </c>
    </row>
    <row r="4641" spans="1:15" hidden="1" x14ac:dyDescent="0.25">
      <c r="A4641" s="10">
        <v>46170</v>
      </c>
      <c r="B4641" t="s">
        <v>53</v>
      </c>
      <c r="C4641" s="1" t="s">
        <v>48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f>E4641+G4641+H4641</f>
        <v>0</v>
      </c>
      <c r="J4641" s="3">
        <v>0</v>
      </c>
      <c r="K4641" s="3">
        <f>I4641-J4641</f>
        <v>0</v>
      </c>
      <c r="L4641" s="3" t="str">
        <f>IF(K4641&lt;-5,"CRÍTICO",IF(K4641&lt;0,"ATENÇÃO",IF(K4641&lt;=5,"OPORTUNO","MUITO BOM")))</f>
        <v>OPORTUNO</v>
      </c>
      <c r="M4641" s="3">
        <v>0</v>
      </c>
      <c r="N4641" s="3">
        <v>100</v>
      </c>
      <c r="O4641" s="12">
        <v>17.241379310344829</v>
      </c>
    </row>
    <row r="4642" spans="1:15" hidden="1" x14ac:dyDescent="0.25">
      <c r="A4642" s="10">
        <v>46170</v>
      </c>
      <c r="B4642" t="s">
        <v>22</v>
      </c>
      <c r="C4642" s="1" t="s">
        <v>23</v>
      </c>
      <c r="D4642" s="3">
        <v>18</v>
      </c>
      <c r="E4642" s="3">
        <v>17</v>
      </c>
      <c r="F4642" s="3">
        <v>23.42</v>
      </c>
      <c r="G4642" s="3">
        <v>2</v>
      </c>
      <c r="H4642" s="3">
        <v>0</v>
      </c>
      <c r="I4642" s="3">
        <f>E4642+G4642+H4642</f>
        <v>19</v>
      </c>
      <c r="J4642" s="3">
        <f>ROUND(MIN(IF(C4642="Técnico III",35,IF(C4642="Técnico II",28,IF(C4642="Técnico I",23,IF(C4642="JR",20,IF(C4642="Estágio",10,0))))),IF(C4642="Técnico III",SUMIFS($D:$D,$A:$A,$A4642,$B:$B,"&lt;&gt;Patrícia Karla de Sousa Araújo",$B:$B,"&lt;&gt;Lorena Dias de Araujo",$B:$B,"&lt;&gt;Lucas Luiz Romero")*(35/1083),IF(C4642="Técnico II",SUMIFS($D:$D,$A:$A,$A4642,$B:$B,"&lt;&gt;Patrícia Karla de Sousa Araújo",$B:$B,"&lt;&gt;Lorena Dias de Araujo",$B:$B,"&lt;&gt;Lucas Luiz Romero")*(28/1083),IF(C4642="Técnico I",SUMIFS($D:$D,$A:$A,$A4642,$B:$B,"&lt;&gt;Patrícia Karla de Sousa Araújo",$B:$B,"&lt;&gt;Lorena Dias de Araujo",$B:$B,"&lt;&gt;Lucas Luiz Romero")*(23/1083),IF(C4642="JR",SUMIFS($D:$D,$A:$A,$A4642,$B:$B,"&lt;&gt;Patrícia Karla de Sousa Araújo",$B:$B,"&lt;&gt;Lorena Dias de Araujo",$B:$B,"&lt;&gt;Lucas Luiz Romero")*(20/1083),IF(C4642="Estágio",SUMIFS($D:$D,$A:$A,$A4642,$B:$B,"&lt;&gt;Patrícia Karla de Sousa Araújo",$B:$B,"&lt;&gt;Lorena Dias de Araujo",$B:$B,"&lt;&gt;Lucas Luiz Romero")*(10/1083),0)))))),0)</f>
        <v>18</v>
      </c>
      <c r="K4642" s="3">
        <f>I4642-J4642</f>
        <v>1</v>
      </c>
      <c r="L4642" s="3" t="str">
        <f>IF(K4642&lt;-5,"CRÍTICO",IF(K4642&lt;0,"ATENÇÃO",IF(K4642&lt;=5,"OPORTUNO","MUITO BOM")))</f>
        <v>OPORTUNO</v>
      </c>
      <c r="M4642" s="3">
        <v>14</v>
      </c>
      <c r="N4642" s="3">
        <v>99.17</v>
      </c>
      <c r="O4642" s="12">
        <v>22.448979591836739</v>
      </c>
    </row>
    <row r="4643" spans="1:15" hidden="1" x14ac:dyDescent="0.25">
      <c r="A4643" s="10">
        <v>46170</v>
      </c>
      <c r="B4643" t="s">
        <v>54</v>
      </c>
      <c r="C4643" s="1" t="s">
        <v>48</v>
      </c>
      <c r="D4643" s="3">
        <v>25</v>
      </c>
      <c r="E4643" s="3">
        <v>24</v>
      </c>
      <c r="F4643" s="3">
        <v>20.45</v>
      </c>
      <c r="G4643" s="3">
        <v>3</v>
      </c>
      <c r="H4643" s="3">
        <v>0</v>
      </c>
      <c r="I4643" s="3">
        <f>E4643+G4643+H4643</f>
        <v>27</v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>22</v>
      </c>
      <c r="K4643" s="3">
        <f>I4643-J4643</f>
        <v>5</v>
      </c>
      <c r="L4643" s="3" t="str">
        <f>IF(K4643&lt;-5,"CRÍTICO",IF(K4643&lt;0,"ATENÇÃO",IF(K4643&lt;=5,"OPORTUNO","MUITO BOM")))</f>
        <v>OPORTUNO</v>
      </c>
      <c r="M4643" s="3">
        <v>22</v>
      </c>
      <c r="N4643" s="3">
        <v>99.1</v>
      </c>
      <c r="O4643" s="12">
        <v>20.873786407766989</v>
      </c>
    </row>
    <row r="4644" spans="1:15" hidden="1" x14ac:dyDescent="0.25">
      <c r="A4644" s="10">
        <v>46170</v>
      </c>
      <c r="B4644" t="s">
        <v>37</v>
      </c>
      <c r="C4644" s="1" t="s">
        <v>32</v>
      </c>
      <c r="D4644" s="3">
        <v>43</v>
      </c>
      <c r="E4644" s="3">
        <v>40</v>
      </c>
      <c r="F4644" s="3">
        <v>12.22</v>
      </c>
      <c r="G4644" s="3">
        <v>5</v>
      </c>
      <c r="H4644" s="3">
        <v>0</v>
      </c>
      <c r="I4644" s="3">
        <f>E4644+G4644+H4644</f>
        <v>45</v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>27</v>
      </c>
      <c r="K4644" s="3">
        <f>I4644-J4644</f>
        <v>18</v>
      </c>
      <c r="L4644" s="3" t="str">
        <f>IF(K4644&lt;-5,"CRÍTICO",IF(K4644&lt;0,"ATENÇÃO",IF(K4644&lt;=5,"OPORTUNO","MUITO BOM")))</f>
        <v>MUITO BOM</v>
      </c>
      <c r="M4644" s="3">
        <v>37</v>
      </c>
      <c r="N4644" s="3">
        <v>99.1</v>
      </c>
      <c r="O4644" s="12">
        <v>23.249299719887951</v>
      </c>
    </row>
    <row r="4645" spans="1:15" hidden="1" x14ac:dyDescent="0.25">
      <c r="A4645" s="10">
        <v>46170</v>
      </c>
      <c r="B4645" t="s">
        <v>38</v>
      </c>
      <c r="C4645" s="1" t="s">
        <v>32</v>
      </c>
      <c r="D4645" s="3">
        <v>27</v>
      </c>
      <c r="E4645" s="3">
        <v>26</v>
      </c>
      <c r="F4645" s="3">
        <v>14.18</v>
      </c>
      <c r="G4645" s="3">
        <v>1</v>
      </c>
      <c r="H4645" s="3">
        <v>0</v>
      </c>
      <c r="I4645" s="3">
        <f>E4645+G4645+H4645</f>
        <v>27</v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>27</v>
      </c>
      <c r="K4645" s="3">
        <f>I4645-J4645</f>
        <v>0</v>
      </c>
      <c r="L4645" s="3" t="str">
        <f>IF(K4645&lt;-5,"CRÍTICO",IF(K4645&lt;0,"ATENÇÃO",IF(K4645&lt;=5,"OPORTUNO","MUITO BOM")))</f>
        <v>OPORTUNO</v>
      </c>
      <c r="M4645" s="3">
        <v>23</v>
      </c>
      <c r="N4645" s="3">
        <v>97.66</v>
      </c>
      <c r="O4645" s="12">
        <v>35.857461024498889</v>
      </c>
    </row>
    <row r="4646" spans="1:15" hidden="1" x14ac:dyDescent="0.25">
      <c r="A4646" s="10">
        <v>46170</v>
      </c>
      <c r="B4646" t="s">
        <v>55</v>
      </c>
      <c r="C4646" s="1" t="s">
        <v>48</v>
      </c>
      <c r="D4646" s="3">
        <v>0</v>
      </c>
      <c r="E4646" s="3">
        <v>0</v>
      </c>
      <c r="F4646" s="3">
        <v>0</v>
      </c>
      <c r="G4646" s="3">
        <v>0</v>
      </c>
      <c r="H4646" s="3">
        <v>0</v>
      </c>
      <c r="I4646" s="3">
        <f>E4646+G4646+H4646</f>
        <v>0</v>
      </c>
      <c r="J4646" s="3">
        <v>0</v>
      </c>
      <c r="K4646" s="3">
        <f>I4646-J4646</f>
        <v>0</v>
      </c>
      <c r="L4646" s="3" t="str">
        <f>IF(K4646&lt;-5,"CRÍTICO",IF(K4646&lt;0,"ATENÇÃO",IF(K4646&lt;=5,"OPORTUNO","MUITO BOM")))</f>
        <v>OPORTUNO</v>
      </c>
      <c r="M4646" s="3">
        <v>0</v>
      </c>
      <c r="N4646" s="3">
        <v>99.05</v>
      </c>
      <c r="O4646" s="12">
        <v>23.978201634877379</v>
      </c>
    </row>
    <row r="4647" spans="1:15" hidden="1" x14ac:dyDescent="0.25">
      <c r="A4647" s="10">
        <v>46170</v>
      </c>
      <c r="B4647" t="s">
        <v>39</v>
      </c>
      <c r="C4647" s="1" t="s">
        <v>32</v>
      </c>
      <c r="D4647" s="3">
        <v>0</v>
      </c>
      <c r="E4647" s="3">
        <v>0</v>
      </c>
      <c r="F4647" s="3">
        <v>0</v>
      </c>
      <c r="G4647" s="3">
        <v>0</v>
      </c>
      <c r="H4647" s="3">
        <v>0</v>
      </c>
      <c r="I4647" s="3">
        <f>E4647+G4647+H4647</f>
        <v>0</v>
      </c>
      <c r="J4647" s="3">
        <v>0</v>
      </c>
      <c r="K4647" s="3">
        <f>I4647-J4647</f>
        <v>0</v>
      </c>
      <c r="L4647" s="3" t="str">
        <f>IF(K4647&lt;-5,"CRÍTICO",IF(K4647&lt;0,"ATENÇÃO",IF(K4647&lt;=5,"OPORTUNO","MUITO BOM")))</f>
        <v>OPORTUNO</v>
      </c>
      <c r="M4647" s="3">
        <v>0</v>
      </c>
      <c r="N4647" s="3">
        <v>0</v>
      </c>
      <c r="O4647" s="12">
        <v>0</v>
      </c>
    </row>
    <row r="4648" spans="1:15" hidden="1" x14ac:dyDescent="0.25">
      <c r="A4648" s="10">
        <v>46170</v>
      </c>
      <c r="B4648" t="s">
        <v>40</v>
      </c>
      <c r="C4648" s="1" t="s">
        <v>32</v>
      </c>
      <c r="D4648" s="3">
        <v>33</v>
      </c>
      <c r="E4648" s="3">
        <v>33</v>
      </c>
      <c r="F4648" s="3">
        <v>15.16</v>
      </c>
      <c r="G4648" s="3">
        <v>0</v>
      </c>
      <c r="H4648" s="3">
        <v>0</v>
      </c>
      <c r="I4648" s="3">
        <f>E4648+G4648+H4648</f>
        <v>33</v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>27</v>
      </c>
      <c r="K4648" s="3">
        <f>I4648-J4648</f>
        <v>6</v>
      </c>
      <c r="L4648" s="3" t="str">
        <f>IF(K4648&lt;-5,"CRÍTICO",IF(K4648&lt;0,"ATENÇÃO",IF(K4648&lt;=5,"OPORTUNO","MUITO BOM")))</f>
        <v>MUITO BOM</v>
      </c>
      <c r="M4648" s="3">
        <v>33</v>
      </c>
      <c r="N4648" s="3">
        <v>97.17</v>
      </c>
      <c r="O4648" s="12">
        <v>17.433414043583529</v>
      </c>
    </row>
    <row r="4649" spans="1:15" hidden="1" x14ac:dyDescent="0.25">
      <c r="A4649" s="10">
        <v>46170</v>
      </c>
      <c r="B4649" t="s">
        <v>41</v>
      </c>
      <c r="C4649" s="1" t="s">
        <v>32</v>
      </c>
      <c r="D4649" s="3">
        <v>30</v>
      </c>
      <c r="E4649" s="3">
        <v>29</v>
      </c>
      <c r="F4649" s="3">
        <v>17.190000000000001</v>
      </c>
      <c r="G4649" s="3">
        <v>0</v>
      </c>
      <c r="H4649" s="3">
        <v>0</v>
      </c>
      <c r="I4649" s="3">
        <f>E4649+G4649+H4649</f>
        <v>29</v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>27</v>
      </c>
      <c r="K4649" s="3">
        <f>I4649-J4649</f>
        <v>2</v>
      </c>
      <c r="L4649" s="3" t="str">
        <f>IF(K4649&lt;-5,"CRÍTICO",IF(K4649&lt;0,"ATENÇÃO",IF(K4649&lt;=5,"OPORTUNO","MUITO BOM")))</f>
        <v>OPORTUNO</v>
      </c>
      <c r="M4649" s="3">
        <v>26</v>
      </c>
      <c r="N4649" s="3">
        <v>100</v>
      </c>
      <c r="O4649" s="12">
        <v>19.334719334719331</v>
      </c>
    </row>
    <row r="4650" spans="1:15" hidden="1" x14ac:dyDescent="0.25">
      <c r="A4650" s="10">
        <v>46170</v>
      </c>
      <c r="B4650" t="s">
        <v>56</v>
      </c>
      <c r="C4650" s="1" t="s">
        <v>48</v>
      </c>
      <c r="D4650" s="3">
        <v>26</v>
      </c>
      <c r="E4650" s="3">
        <v>22</v>
      </c>
      <c r="F4650" s="3">
        <v>18.399999999999999</v>
      </c>
      <c r="G4650" s="3">
        <v>0</v>
      </c>
      <c r="H4650" s="3">
        <v>0</v>
      </c>
      <c r="I4650" s="3">
        <f>E4650+G4650+H4650</f>
        <v>22</v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>22</v>
      </c>
      <c r="K4650" s="3">
        <f>I4650-J4650</f>
        <v>0</v>
      </c>
      <c r="L4650" s="3" t="str">
        <f>IF(K4650&lt;-5,"CRÍTICO",IF(K4650&lt;0,"ATENÇÃO",IF(K4650&lt;=5,"OPORTUNO","MUITO BOM")))</f>
        <v>OPORTUNO</v>
      </c>
      <c r="M4650" s="3">
        <v>9</v>
      </c>
      <c r="N4650" s="3">
        <v>99.12</v>
      </c>
      <c r="O4650" s="12">
        <v>24.060150375939848</v>
      </c>
    </row>
    <row r="4651" spans="1:15" hidden="1" x14ac:dyDescent="0.25">
      <c r="A4651" s="10">
        <v>46170</v>
      </c>
      <c r="B4651" t="s">
        <v>57</v>
      </c>
      <c r="C4651" s="1" t="s">
        <v>48</v>
      </c>
      <c r="D4651" s="3">
        <v>0</v>
      </c>
      <c r="E4651" s="3">
        <v>0</v>
      </c>
      <c r="F4651" s="3">
        <v>0</v>
      </c>
      <c r="G4651" s="3">
        <v>0</v>
      </c>
      <c r="H4651" s="3">
        <v>0</v>
      </c>
      <c r="I4651" s="3">
        <f>E4651+G4651+H4651</f>
        <v>0</v>
      </c>
      <c r="J4651" s="3">
        <v>0</v>
      </c>
      <c r="K4651" s="3">
        <f>I4651-J4651</f>
        <v>0</v>
      </c>
      <c r="L4651" s="3" t="str">
        <f>IF(K4651&lt;-5,"CRÍTICO",IF(K4651&lt;0,"ATENÇÃO",IF(K4651&lt;=5,"OPORTUNO","MUITO BOM")))</f>
        <v>OPORTUNO</v>
      </c>
      <c r="M4651" s="3">
        <v>0</v>
      </c>
      <c r="N4651" s="3">
        <v>100</v>
      </c>
      <c r="O4651" s="12">
        <v>26.756756756756751</v>
      </c>
    </row>
    <row r="4652" spans="1:15" hidden="1" x14ac:dyDescent="0.25">
      <c r="A4652" s="10">
        <v>46170</v>
      </c>
      <c r="B4652" t="s">
        <v>42</v>
      </c>
      <c r="C4652" s="1" t="s">
        <v>32</v>
      </c>
      <c r="D4652" s="3">
        <v>0</v>
      </c>
      <c r="E4652" s="3">
        <v>0</v>
      </c>
      <c r="F4652" s="3">
        <v>0</v>
      </c>
      <c r="G4652" s="3">
        <v>0</v>
      </c>
      <c r="H4652" s="3">
        <v>0</v>
      </c>
      <c r="I4652" s="3">
        <f>E4652+G4652+H4652</f>
        <v>0</v>
      </c>
      <c r="J4652" s="3">
        <v>0</v>
      </c>
      <c r="K4652" s="3">
        <f>I4652-J4652</f>
        <v>0</v>
      </c>
      <c r="L4652" s="3" t="str">
        <f>IF(K4652&lt;-5,"CRÍTICO",IF(K4652&lt;0,"ATENÇÃO",IF(K4652&lt;=5,"OPORTUNO","MUITO BOM")))</f>
        <v>OPORTUNO</v>
      </c>
      <c r="M4652" s="3">
        <v>12</v>
      </c>
      <c r="N4652" s="3">
        <v>100</v>
      </c>
      <c r="O4652" s="12">
        <v>28.703703703703699</v>
      </c>
    </row>
    <row r="4653" spans="1:15" hidden="1" x14ac:dyDescent="0.25">
      <c r="A4653" s="10">
        <v>46170</v>
      </c>
      <c r="B4653" t="s">
        <v>62</v>
      </c>
      <c r="C4653" s="1" t="s">
        <v>23</v>
      </c>
      <c r="D4653" s="3">
        <v>25</v>
      </c>
      <c r="E4653" s="3">
        <v>23</v>
      </c>
      <c r="F4653" s="3">
        <v>17.12</v>
      </c>
      <c r="G4653" s="3">
        <v>1</v>
      </c>
      <c r="H4653" s="3">
        <v>0</v>
      </c>
      <c r="I4653" s="3">
        <f>E4653+G4653+H4653</f>
        <v>24</v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>18</v>
      </c>
      <c r="K4653" s="3">
        <f>I4653-J4653</f>
        <v>6</v>
      </c>
      <c r="L4653" s="3" t="str">
        <f>IF(K4653&lt;-5,"CRÍTICO",IF(K4653&lt;0,"ATENÇÃO",IF(K4653&lt;=5,"OPORTUNO","MUITO BOM")))</f>
        <v>MUITO BOM</v>
      </c>
      <c r="M4653" s="3">
        <v>22</v>
      </c>
      <c r="N4653" s="3">
        <v>94.87</v>
      </c>
      <c r="O4653" s="12">
        <v>23.244552058111381</v>
      </c>
    </row>
    <row r="4654" spans="1:15" hidden="1" x14ac:dyDescent="0.25">
      <c r="A4654" s="10">
        <v>46170</v>
      </c>
      <c r="B4654" t="s">
        <v>43</v>
      </c>
      <c r="C4654" s="1" t="s">
        <v>32</v>
      </c>
      <c r="D4654" s="3">
        <v>0</v>
      </c>
      <c r="E4654" s="3">
        <v>0</v>
      </c>
      <c r="F4654" s="3">
        <v>0</v>
      </c>
      <c r="G4654" s="3">
        <v>0</v>
      </c>
      <c r="H4654" s="3">
        <v>32</v>
      </c>
      <c r="I4654" s="3">
        <f>E4654+G4654+H4654</f>
        <v>32</v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>27</v>
      </c>
      <c r="K4654" s="3">
        <f>I4654-J4654</f>
        <v>5</v>
      </c>
      <c r="L4654" s="3" t="str">
        <f>IF(K4654&lt;-5,"CRÍTICO",IF(K4654&lt;0,"ATENÇÃO",IF(K4654&lt;=5,"OPORTUNO","MUITO BOM")))</f>
        <v>OPORTUNO</v>
      </c>
      <c r="M4654" s="3">
        <v>15</v>
      </c>
      <c r="N4654" s="3">
        <v>98.44</v>
      </c>
      <c r="O4654" s="12">
        <v>8.2324455205811145</v>
      </c>
    </row>
    <row r="4655" spans="1:15" hidden="1" x14ac:dyDescent="0.25">
      <c r="A4655" s="10">
        <v>46170</v>
      </c>
      <c r="B4655" t="s">
        <v>44</v>
      </c>
      <c r="C4655" s="1" t="s">
        <v>32</v>
      </c>
      <c r="D4655" s="3">
        <v>28</v>
      </c>
      <c r="E4655" s="3">
        <v>22</v>
      </c>
      <c r="F4655" s="3">
        <v>16.5</v>
      </c>
      <c r="G4655" s="3">
        <v>9</v>
      </c>
      <c r="H4655" s="3">
        <v>0</v>
      </c>
      <c r="I4655" s="3">
        <f>E4655+G4655+H4655</f>
        <v>31</v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>27</v>
      </c>
      <c r="K4655" s="3">
        <f>I4655-J4655</f>
        <v>4</v>
      </c>
      <c r="L4655" s="3" t="str">
        <f>IF(K4655&lt;-5,"CRÍTICO",IF(K4655&lt;0,"ATENÇÃO",IF(K4655&lt;=5,"OPORTUNO","MUITO BOM")))</f>
        <v>OPORTUNO</v>
      </c>
      <c r="M4655" s="3">
        <v>22</v>
      </c>
      <c r="N4655" s="3">
        <v>96.69</v>
      </c>
      <c r="O4655" s="12">
        <v>24.64358452138493</v>
      </c>
    </row>
    <row r="4656" spans="1:15" hidden="1" x14ac:dyDescent="0.25">
      <c r="A4656" s="10">
        <v>46170</v>
      </c>
      <c r="B4656" t="s">
        <v>58</v>
      </c>
      <c r="C4656" s="1" t="s">
        <v>48</v>
      </c>
      <c r="D4656" s="3">
        <v>0</v>
      </c>
      <c r="E4656" s="3">
        <v>0</v>
      </c>
      <c r="F4656" s="3">
        <v>0</v>
      </c>
      <c r="G4656" s="3">
        <v>0</v>
      </c>
      <c r="H4656" s="3">
        <v>0</v>
      </c>
      <c r="I4656" s="3">
        <f>E4656+G4656+H4656</f>
        <v>0</v>
      </c>
      <c r="J4656" s="3">
        <v>0</v>
      </c>
      <c r="K4656" s="3">
        <f>I4656-J4656</f>
        <v>0</v>
      </c>
      <c r="L4656" s="3" t="str">
        <f>IF(K4656&lt;-5,"CRÍTICO",IF(K4656&lt;0,"ATENÇÃO",IF(K4656&lt;=5,"OPORTUNO","MUITO BOM")))</f>
        <v>OPORTUNO</v>
      </c>
      <c r="M4656" s="3">
        <v>0</v>
      </c>
      <c r="N4656" s="3">
        <v>100</v>
      </c>
      <c r="O4656" s="12">
        <v>21.559633027522938</v>
      </c>
    </row>
    <row r="4657" spans="1:15" hidden="1" x14ac:dyDescent="0.25">
      <c r="A4657" s="10">
        <v>46170</v>
      </c>
      <c r="B4657" t="s">
        <v>63</v>
      </c>
      <c r="C4657" s="1" t="s">
        <v>23</v>
      </c>
      <c r="D4657" s="3">
        <v>24</v>
      </c>
      <c r="E4657" s="3">
        <v>23</v>
      </c>
      <c r="F4657" s="3">
        <v>23.35</v>
      </c>
      <c r="G4657" s="3">
        <v>3</v>
      </c>
      <c r="H4657" s="3">
        <v>0</v>
      </c>
      <c r="I4657" s="3">
        <f>E4657+G4657+H4657</f>
        <v>26</v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>18</v>
      </c>
      <c r="K4657" s="3">
        <f>I4657-J4657</f>
        <v>8</v>
      </c>
      <c r="L4657" s="3" t="str">
        <f>IF(K4657&lt;-5,"CRÍTICO",IF(K4657&lt;0,"ATENÇÃO",IF(K4657&lt;=5,"OPORTUNO","MUITO BOM")))</f>
        <v>MUITO BOM</v>
      </c>
      <c r="M4657" s="3">
        <v>18</v>
      </c>
      <c r="N4657" s="3">
        <v>98.29</v>
      </c>
      <c r="O4657" s="12">
        <v>23.222748815165879</v>
      </c>
    </row>
    <row r="4658" spans="1:15" hidden="1" x14ac:dyDescent="0.25">
      <c r="A4658" s="10">
        <v>46170</v>
      </c>
      <c r="B4658" t="s">
        <v>45</v>
      </c>
      <c r="C4658" s="1" t="s">
        <v>32</v>
      </c>
      <c r="D4658" s="3">
        <v>47</v>
      </c>
      <c r="E4658" s="3">
        <v>41</v>
      </c>
      <c r="F4658" s="3">
        <v>8.25</v>
      </c>
      <c r="G4658" s="3">
        <v>0</v>
      </c>
      <c r="H4658" s="3">
        <v>0</v>
      </c>
      <c r="I4658" s="3">
        <f>E4658+G4658+H4658</f>
        <v>41</v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>27</v>
      </c>
      <c r="K4658" s="3">
        <f>I4658-J4658</f>
        <v>14</v>
      </c>
      <c r="L4658" s="3" t="str">
        <f>IF(K4658&lt;-5,"CRÍTICO",IF(K4658&lt;0,"ATENÇÃO",IF(K4658&lt;=5,"OPORTUNO","MUITO BOM")))</f>
        <v>MUITO BOM</v>
      </c>
      <c r="M4658" s="3">
        <v>36</v>
      </c>
      <c r="N4658" s="3">
        <v>99.44</v>
      </c>
      <c r="O4658" s="12">
        <v>26.846846846846841</v>
      </c>
    </row>
    <row r="4659" spans="1:15" hidden="1" x14ac:dyDescent="0.25">
      <c r="A4659" s="10">
        <v>46170</v>
      </c>
      <c r="B4659" t="s">
        <v>64</v>
      </c>
      <c r="C4659" s="1" t="s">
        <v>23</v>
      </c>
      <c r="D4659" s="3">
        <v>19</v>
      </c>
      <c r="E4659" s="3">
        <v>19</v>
      </c>
      <c r="F4659" s="3">
        <v>24.14</v>
      </c>
      <c r="G4659" s="3">
        <v>3</v>
      </c>
      <c r="H4659" s="3">
        <v>0</v>
      </c>
      <c r="I4659" s="3">
        <f>E4659+G4659+H4659</f>
        <v>22</v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>18</v>
      </c>
      <c r="K4659" s="3">
        <f>I4659-J4659</f>
        <v>4</v>
      </c>
      <c r="L4659" s="3" t="str">
        <f>IF(K4659&lt;-5,"CRÍTICO",IF(K4659&lt;0,"ATENÇÃO",IF(K4659&lt;=5,"OPORTUNO","MUITO BOM")))</f>
        <v>OPORTUNO</v>
      </c>
      <c r="M4659" s="3">
        <v>16</v>
      </c>
      <c r="N4659" s="3">
        <v>100</v>
      </c>
      <c r="O4659" s="12">
        <v>19.35483870967742</v>
      </c>
    </row>
    <row r="4660" spans="1:15" hidden="1" x14ac:dyDescent="0.25">
      <c r="A4660" s="10">
        <v>46170</v>
      </c>
      <c r="B4660" t="s">
        <v>46</v>
      </c>
      <c r="C4660" s="1" t="s">
        <v>32</v>
      </c>
      <c r="D4660" s="3">
        <v>22</v>
      </c>
      <c r="E4660" s="3">
        <v>21</v>
      </c>
      <c r="F4660" s="3">
        <v>19.16</v>
      </c>
      <c r="G4660" s="3">
        <v>0</v>
      </c>
      <c r="H4660" s="3">
        <v>0</v>
      </c>
      <c r="I4660" s="3">
        <f>E4660+G4660+H4660</f>
        <v>21</v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>27</v>
      </c>
      <c r="K4660" s="3">
        <f>I4660-J4660</f>
        <v>-6</v>
      </c>
      <c r="L4660" s="3" t="str">
        <f>IF(K4660&lt;-5,"CRÍTICO",IF(K4660&lt;0,"ATENÇÃO",IF(K4660&lt;=5,"OPORTUNO","MUITO BOM")))</f>
        <v>CRÍTICO</v>
      </c>
      <c r="M4660" s="3">
        <v>18</v>
      </c>
      <c r="N4660" s="3">
        <v>97.25</v>
      </c>
      <c r="O4660" s="12">
        <v>21.339950372208431</v>
      </c>
    </row>
    <row r="4661" spans="1:15" x14ac:dyDescent="0.25">
      <c r="A4661" s="5">
        <v>46156</v>
      </c>
      <c r="B4661" s="6" t="s">
        <v>21</v>
      </c>
      <c r="C4661" s="1" t="s">
        <v>16</v>
      </c>
      <c r="D4661" s="3">
        <v>19</v>
      </c>
      <c r="E4661" s="3">
        <v>18</v>
      </c>
      <c r="F4661" s="3">
        <v>24.18</v>
      </c>
      <c r="G4661" s="3">
        <v>0</v>
      </c>
      <c r="H4661" s="3">
        <v>0</v>
      </c>
      <c r="I4661" s="3">
        <f>E4661+G4661+H4661</f>
        <v>18</v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>8</v>
      </c>
      <c r="K4661" s="3">
        <f>I4661-J4661</f>
        <v>10</v>
      </c>
      <c r="L4661" s="3" t="str">
        <f>IF(K4661&lt;-5,"CRÍTICO",IF(K4661&lt;0,"ATENÇÃO",IF(K4661&lt;=5,"OPORTUNO","MUITO BOM")))</f>
        <v>MUITO BOM</v>
      </c>
      <c r="M4661" s="3">
        <v>15</v>
      </c>
      <c r="N4661" s="3">
        <v>98.36</v>
      </c>
      <c r="O4661" s="12">
        <v>21.917808219178081</v>
      </c>
    </row>
    <row r="4662" spans="1:15" x14ac:dyDescent="0.25">
      <c r="A4662" s="5">
        <v>46157</v>
      </c>
      <c r="B4662" s="6" t="s">
        <v>21</v>
      </c>
      <c r="C4662" s="1" t="s">
        <v>16</v>
      </c>
      <c r="D4662" s="3">
        <v>17</v>
      </c>
      <c r="E4662" s="3">
        <v>15</v>
      </c>
      <c r="F4662" s="3">
        <v>23.57</v>
      </c>
      <c r="G4662" s="3">
        <v>0</v>
      </c>
      <c r="H4662" s="3">
        <v>0</v>
      </c>
      <c r="I4662" s="3">
        <f>E4662+G4662+H4662</f>
        <v>15</v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>8</v>
      </c>
      <c r="K4662" s="3">
        <f>I4662-J4662</f>
        <v>7</v>
      </c>
      <c r="L4662" s="3" t="str">
        <f>IF(K4662&lt;-5,"CRÍTICO",IF(K4662&lt;0,"ATENÇÃO",IF(K4662&lt;=5,"OPORTUNO","MUITO BOM")))</f>
        <v>MUITO BOM</v>
      </c>
      <c r="M4662" s="3">
        <v>14</v>
      </c>
      <c r="N4662" s="3">
        <v>98.36</v>
      </c>
      <c r="O4662" s="12">
        <v>21.917808219178081</v>
      </c>
    </row>
    <row r="4663" spans="1:15" x14ac:dyDescent="0.25">
      <c r="A4663" s="5">
        <v>46160</v>
      </c>
      <c r="B4663" s="6" t="s">
        <v>21</v>
      </c>
      <c r="C4663" s="1" t="s">
        <v>16</v>
      </c>
      <c r="D4663" s="3">
        <v>14</v>
      </c>
      <c r="E4663" s="3">
        <v>13</v>
      </c>
      <c r="F4663" s="3">
        <v>29.09</v>
      </c>
      <c r="G4663" s="3">
        <v>0</v>
      </c>
      <c r="H4663" s="3">
        <v>0</v>
      </c>
      <c r="I4663" s="3">
        <f>E4663+G4663+H4663</f>
        <v>13</v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>8</v>
      </c>
      <c r="K4663" s="3">
        <f>I4663-J4663</f>
        <v>5</v>
      </c>
      <c r="L4663" s="3" t="str">
        <f>IF(K4663&lt;-5,"CRÍTICO",IF(K4663&lt;0,"ATENÇÃO",IF(K4663&lt;=5,"OPORTUNO","MUITO BOM")))</f>
        <v>OPORTUNO</v>
      </c>
      <c r="M4663" s="3">
        <v>9</v>
      </c>
      <c r="N4663" s="3">
        <v>98.36</v>
      </c>
      <c r="O4663" s="12">
        <v>21.917808219178081</v>
      </c>
    </row>
    <row r="4664" spans="1:15" x14ac:dyDescent="0.25">
      <c r="A4664" s="7">
        <v>46161</v>
      </c>
      <c r="B4664" s="8" t="s">
        <v>21</v>
      </c>
      <c r="C4664" s="1" t="s">
        <v>16</v>
      </c>
      <c r="D4664" s="3">
        <v>20</v>
      </c>
      <c r="E4664" s="3">
        <v>19</v>
      </c>
      <c r="F4664" s="3">
        <v>25.31</v>
      </c>
      <c r="G4664" s="3">
        <v>0</v>
      </c>
      <c r="H4664" s="3">
        <v>0</v>
      </c>
      <c r="I4664" s="3">
        <f>E4664+G4664+H4664</f>
        <v>19</v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>8</v>
      </c>
      <c r="K4664" s="3">
        <f>I4664-J4664</f>
        <v>11</v>
      </c>
      <c r="L4664" s="3" t="str">
        <f>IF(K4664&lt;-5,"CRÍTICO",IF(K4664&lt;0,"ATENÇÃO",IF(K4664&lt;=5,"OPORTUNO","MUITO BOM")))</f>
        <v>MUITO BOM</v>
      </c>
      <c r="M4664" s="3">
        <v>16</v>
      </c>
      <c r="N4664" s="3">
        <v>98.36</v>
      </c>
      <c r="O4664" s="12">
        <v>21.917808219178081</v>
      </c>
    </row>
    <row r="4665" spans="1:15" x14ac:dyDescent="0.25">
      <c r="A4665" s="7">
        <v>46162</v>
      </c>
      <c r="B4665" s="8" t="s">
        <v>21</v>
      </c>
      <c r="C4665" s="1" t="s">
        <v>16</v>
      </c>
      <c r="D4665" s="3">
        <v>18</v>
      </c>
      <c r="E4665" s="3">
        <v>15</v>
      </c>
      <c r="F4665" s="3">
        <v>25.22</v>
      </c>
      <c r="G4665" s="3">
        <v>0</v>
      </c>
      <c r="H4665" s="3">
        <v>0</v>
      </c>
      <c r="I4665" s="3">
        <f>E4665+G4665+H4665</f>
        <v>15</v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>7</v>
      </c>
      <c r="K4665" s="3">
        <f>I4665-J4665</f>
        <v>8</v>
      </c>
      <c r="L4665" s="3" t="str">
        <f>IF(K4665&lt;-5,"CRÍTICO",IF(K4665&lt;0,"ATENÇÃO",IF(K4665&lt;=5,"OPORTUNO","MUITO BOM")))</f>
        <v>MUITO BOM</v>
      </c>
      <c r="M4665" s="3">
        <v>13</v>
      </c>
      <c r="N4665" s="3">
        <v>98.36</v>
      </c>
      <c r="O4665" s="12">
        <v>21.917808219178081</v>
      </c>
    </row>
    <row r="4666" spans="1:15" x14ac:dyDescent="0.25">
      <c r="A4666" s="5">
        <v>46163</v>
      </c>
      <c r="B4666" s="6" t="s">
        <v>21</v>
      </c>
      <c r="C4666" s="1" t="s">
        <v>16</v>
      </c>
      <c r="D4666" s="3">
        <v>20</v>
      </c>
      <c r="E4666" s="3">
        <v>18</v>
      </c>
      <c r="F4666" s="3">
        <v>16.489999999999998</v>
      </c>
      <c r="G4666" s="3">
        <v>0</v>
      </c>
      <c r="H4666" s="3">
        <v>0</v>
      </c>
      <c r="I4666" s="3">
        <f>E4666+G4666+H4666</f>
        <v>18</v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>6</v>
      </c>
      <c r="K4666" s="3">
        <f>I4666-J4666</f>
        <v>12</v>
      </c>
      <c r="L4666" s="3" t="str">
        <f>IF(K4666&lt;-5,"CRÍTICO",IF(K4666&lt;0,"ATENÇÃO",IF(K4666&lt;=5,"OPORTUNO","MUITO BOM")))</f>
        <v>MUITO BOM</v>
      </c>
      <c r="M4666" s="3">
        <v>13</v>
      </c>
      <c r="N4666" s="3">
        <v>98.36</v>
      </c>
      <c r="O4666" s="12">
        <v>21.917808219178081</v>
      </c>
    </row>
    <row r="4667" spans="1:15" x14ac:dyDescent="0.25">
      <c r="A4667" s="9">
        <v>46164</v>
      </c>
      <c r="B4667" s="6" t="s">
        <v>21</v>
      </c>
      <c r="C4667" s="1" t="s">
        <v>16</v>
      </c>
      <c r="D4667" s="3">
        <v>17</v>
      </c>
      <c r="E4667" s="3">
        <v>15</v>
      </c>
      <c r="F4667" s="3">
        <v>25.36</v>
      </c>
      <c r="G4667" s="3">
        <v>0</v>
      </c>
      <c r="H4667" s="3">
        <v>0</v>
      </c>
      <c r="I4667" s="3">
        <f>E4667+G4667+H4667</f>
        <v>15</v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>6</v>
      </c>
      <c r="K4667" s="3">
        <f>I4667-J4667</f>
        <v>9</v>
      </c>
      <c r="L4667" s="3" t="str">
        <f>IF(K4667&lt;-5,"CRÍTICO",IF(K4667&lt;0,"ATENÇÃO",IF(K4667&lt;=5,"OPORTUNO","MUITO BOM")))</f>
        <v>MUITO BOM</v>
      </c>
      <c r="M4667" s="3">
        <v>9</v>
      </c>
      <c r="N4667" s="3">
        <v>98.36</v>
      </c>
      <c r="O4667" s="12">
        <v>21.917808219178081</v>
      </c>
    </row>
    <row r="4668" spans="1:15" x14ac:dyDescent="0.25">
      <c r="A4668" s="10">
        <v>46167</v>
      </c>
      <c r="B4668" t="s">
        <v>21</v>
      </c>
      <c r="C4668" s="1" t="s">
        <v>16</v>
      </c>
      <c r="D4668" s="3">
        <v>17</v>
      </c>
      <c r="E4668" s="3">
        <v>17</v>
      </c>
      <c r="F4668" s="3">
        <v>32.24</v>
      </c>
      <c r="G4668" s="3">
        <v>0</v>
      </c>
      <c r="H4668" s="3">
        <v>0</v>
      </c>
      <c r="I4668" s="3">
        <f>E4668+G4668+H4668</f>
        <v>17</v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>6</v>
      </c>
      <c r="K4668" s="3">
        <f>I4668-J4668</f>
        <v>11</v>
      </c>
      <c r="L4668" s="3" t="str">
        <f>IF(K4668&lt;-5,"CRÍTICO",IF(K4668&lt;0,"ATENÇÃO",IF(K4668&lt;=5,"OPORTUNO","MUITO BOM")))</f>
        <v>MUITO BOM</v>
      </c>
      <c r="M4668" s="3">
        <v>11</v>
      </c>
      <c r="N4668" s="3">
        <v>98.36</v>
      </c>
      <c r="O4668" s="12">
        <v>21.917808219178081</v>
      </c>
    </row>
    <row r="4669" spans="1:15" x14ac:dyDescent="0.25">
      <c r="A4669" s="10">
        <v>46168</v>
      </c>
      <c r="B4669" t="s">
        <v>21</v>
      </c>
      <c r="C4669" s="1" t="s">
        <v>16</v>
      </c>
      <c r="D4669" s="3">
        <v>14</v>
      </c>
      <c r="E4669" s="3">
        <v>13</v>
      </c>
      <c r="F4669" s="3">
        <v>29.12</v>
      </c>
      <c r="G4669" s="3">
        <v>0</v>
      </c>
      <c r="H4669" s="3">
        <v>0</v>
      </c>
      <c r="I4669" s="3">
        <f>E4669+G4669+H4669</f>
        <v>13</v>
      </c>
      <c r="J4669" s="3">
        <f>ROUND(MIN(IF(C4669="Técnico III",35,IF(C4669="Técnico II",28,IF(C4669="Técnico I",23,IF(C4669="JR",20,IF(C4669="Estágio",10,0))))),IF(C4669="Técnico III",SUMIFS($D:$D,$A:$A,$A4669,$B:$B,"&lt;&gt;Patrícia Karla de Sousa Araújo",$B:$B,"&lt;&gt;Lorena Dias de Araujo",$B:$B,"&lt;&gt;Lucas Luiz Romero")*(35/1083),IF(C4669="Técnico II",SUMIFS($D:$D,$A:$A,$A4669,$B:$B,"&lt;&gt;Patrícia Karla de Sousa Araújo",$B:$B,"&lt;&gt;Lorena Dias de Araujo",$B:$B,"&lt;&gt;Lucas Luiz Romero")*(28/1083),IF(C4669="Técnico I",SUMIFS($D:$D,$A:$A,$A4669,$B:$B,"&lt;&gt;Patrícia Karla de Sousa Araújo",$B:$B,"&lt;&gt;Lorena Dias de Araujo",$B:$B,"&lt;&gt;Lucas Luiz Romero")*(23/1083),IF(C4669="JR",SUMIFS($D:$D,$A:$A,$A4669,$B:$B,"&lt;&gt;Patrícia Karla de Sousa Araújo",$B:$B,"&lt;&gt;Lorena Dias de Araujo",$B:$B,"&lt;&gt;Lucas Luiz Romero")*(20/1083),IF(C4669="Estágio",SUMIFS($D:$D,$A:$A,$A4669,$B:$B,"&lt;&gt;Patrícia Karla de Sousa Araújo",$B:$B,"&lt;&gt;Lorena Dias de Araujo",$B:$B,"&lt;&gt;Lucas Luiz Romero")*(10/1083),0)))))),0)</f>
        <v>8</v>
      </c>
      <c r="K4669" s="3">
        <f>I4669-J4669</f>
        <v>5</v>
      </c>
      <c r="L4669" s="3" t="str">
        <f>IF(K4669&lt;-5,"CRÍTICO",IF(K4669&lt;0,"ATENÇÃO",IF(K4669&lt;=5,"OPORTUNO","MUITO BOM")))</f>
        <v>OPORTUNO</v>
      </c>
      <c r="M4669" s="3">
        <v>12</v>
      </c>
      <c r="N4669" s="3">
        <v>98.36</v>
      </c>
      <c r="O4669" s="12">
        <v>24.200913242009129</v>
      </c>
    </row>
    <row r="4670" spans="1:15" x14ac:dyDescent="0.25">
      <c r="A4670" s="10">
        <v>46169</v>
      </c>
      <c r="B4670" t="s">
        <v>21</v>
      </c>
      <c r="C4670" s="1" t="s">
        <v>16</v>
      </c>
      <c r="D4670" s="3">
        <v>19</v>
      </c>
      <c r="E4670" s="3">
        <v>16</v>
      </c>
      <c r="F4670" s="3">
        <v>27.02</v>
      </c>
      <c r="G4670" s="3">
        <v>0</v>
      </c>
      <c r="H4670" s="3">
        <v>0</v>
      </c>
      <c r="I4670" s="3">
        <f>E4670+G4670+H4670</f>
        <v>16</v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>8</v>
      </c>
      <c r="K4670" s="3">
        <f>I4670-J4670</f>
        <v>8</v>
      </c>
      <c r="L4670" s="3" t="str">
        <f>IF(K4670&lt;-5,"CRÍTICO",IF(K4670&lt;0,"ATENÇÃO",IF(K4670&lt;=5,"OPORTUNO","MUITO BOM")))</f>
        <v>MUITO BOM</v>
      </c>
      <c r="M4670" s="3">
        <v>15</v>
      </c>
      <c r="N4670" s="3">
        <v>97.06</v>
      </c>
      <c r="O4670" s="12">
        <v>23.504273504273499</v>
      </c>
    </row>
    <row r="4671" spans="1:15" x14ac:dyDescent="0.25">
      <c r="A4671" s="10">
        <v>46170</v>
      </c>
      <c r="B4671" t="s">
        <v>21</v>
      </c>
      <c r="C4671" s="1" t="s">
        <v>16</v>
      </c>
      <c r="D4671" s="3">
        <v>14</v>
      </c>
      <c r="E4671" s="3">
        <v>14</v>
      </c>
      <c r="F4671" s="3">
        <v>32.020000000000003</v>
      </c>
      <c r="G4671" s="3">
        <v>0</v>
      </c>
      <c r="H4671" s="3">
        <v>0</v>
      </c>
      <c r="I4671" s="3">
        <f>E4671+G4671+H4671</f>
        <v>14</v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>8</v>
      </c>
      <c r="K4671" s="3">
        <f>I4671-J4671</f>
        <v>6</v>
      </c>
      <c r="L4671" s="3" t="str">
        <f>IF(K4671&lt;-5,"CRÍTICO",IF(K4671&lt;0,"ATENÇÃO",IF(K4671&lt;=5,"OPORTUNO","MUITO BOM")))</f>
        <v>MUITO BOM</v>
      </c>
      <c r="M4671" s="3">
        <v>11</v>
      </c>
      <c r="N4671" s="3">
        <v>97.18</v>
      </c>
      <c r="O4671" s="12">
        <v>24.489795918367349</v>
      </c>
    </row>
    <row r="4672" spans="1:15" x14ac:dyDescent="0.25">
      <c r="A4672" s="10">
        <v>46171</v>
      </c>
      <c r="B4672" t="s">
        <v>21</v>
      </c>
      <c r="C4672" s="1" t="s">
        <v>16</v>
      </c>
      <c r="D4672" s="3">
        <v>15</v>
      </c>
      <c r="E4672" s="3">
        <v>15</v>
      </c>
      <c r="F4672" s="3">
        <v>32.119999999999997</v>
      </c>
      <c r="G4672" s="3">
        <v>0</v>
      </c>
      <c r="H4672" s="3">
        <v>0</v>
      </c>
      <c r="I4672" s="3">
        <f>E4672+G4672+H4672</f>
        <v>15</v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>8</v>
      </c>
      <c r="K4672" s="3">
        <f>I4672-J4672</f>
        <v>7</v>
      </c>
      <c r="L4672" s="3" t="str">
        <f>IF(K4672&lt;-5,"CRÍTICO",IF(K4672&lt;0,"ATENÇÃO",IF(K4672&lt;=5,"OPORTUNO","MUITO BOM")))</f>
        <v>MUITO BOM</v>
      </c>
      <c r="M4672" s="3">
        <v>3</v>
      </c>
      <c r="N4672" s="3">
        <v>97.26</v>
      </c>
      <c r="O4672" s="12">
        <v>24.193548387096779</v>
      </c>
    </row>
    <row r="4673" spans="1:15" hidden="1" x14ac:dyDescent="0.25">
      <c r="A4673" s="10">
        <v>46171</v>
      </c>
      <c r="B4673" t="s">
        <v>47</v>
      </c>
      <c r="C4673" s="1" t="s">
        <v>48</v>
      </c>
      <c r="D4673" s="3">
        <v>29</v>
      </c>
      <c r="E4673" s="3">
        <v>15</v>
      </c>
      <c r="F4673" s="3">
        <v>10</v>
      </c>
      <c r="G4673" s="3">
        <v>0</v>
      </c>
      <c r="I4673" s="3">
        <f>E4673+G4673+H4673</f>
        <v>15</v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>22</v>
      </c>
      <c r="K4673" s="3">
        <f>I4673-J4673</f>
        <v>-7</v>
      </c>
      <c r="L4673" s="3" t="str">
        <f>IF(K4673&lt;-5,"CRÍTICO",IF(K4673&lt;0,"ATENÇÃO",IF(K4673&lt;=5,"OPORTUNO","MUITO BOM")))</f>
        <v>CRÍTICO</v>
      </c>
      <c r="M4673" s="3">
        <v>0</v>
      </c>
      <c r="N4673" s="3">
        <v>99.24</v>
      </c>
      <c r="O4673" s="12">
        <v>24.421593830334189</v>
      </c>
    </row>
    <row r="4674" spans="1:15" hidden="1" x14ac:dyDescent="0.25">
      <c r="A4674" s="10">
        <v>46171</v>
      </c>
      <c r="B4674" t="s">
        <v>31</v>
      </c>
      <c r="C4674" s="1" t="s">
        <v>32</v>
      </c>
      <c r="D4674" s="3">
        <v>0</v>
      </c>
      <c r="E4674" s="3">
        <v>0</v>
      </c>
      <c r="F4674" s="3">
        <v>0</v>
      </c>
      <c r="G4674" s="3">
        <v>0</v>
      </c>
      <c r="H4674" s="3">
        <v>0</v>
      </c>
      <c r="I4674" s="3">
        <f>E4674+G4674+H4674</f>
        <v>0</v>
      </c>
      <c r="J4674" s="3">
        <v>0</v>
      </c>
      <c r="K4674" s="3">
        <f>I4674-J4674</f>
        <v>0</v>
      </c>
      <c r="L4674" s="3" t="str">
        <f>IF(K4674&lt;-5,"CRÍTICO",IF(K4674&lt;0,"ATENÇÃO",IF(K4674&lt;=5,"OPORTUNO","MUITO BOM")))</f>
        <v>OPORTUNO</v>
      </c>
      <c r="M4674" s="3">
        <v>0</v>
      </c>
      <c r="N4674" s="3">
        <v>100</v>
      </c>
      <c r="O4674" s="12">
        <v>0</v>
      </c>
    </row>
    <row r="4675" spans="1:15" hidden="1" x14ac:dyDescent="0.25">
      <c r="A4675" s="10">
        <v>46171</v>
      </c>
      <c r="B4675" t="s">
        <v>59</v>
      </c>
      <c r="C4675" s="1" t="s">
        <v>23</v>
      </c>
      <c r="D4675" s="3">
        <v>46</v>
      </c>
      <c r="E4675" s="3">
        <v>44</v>
      </c>
      <c r="F4675" s="3">
        <v>11.45</v>
      </c>
      <c r="G4675" s="3">
        <v>3</v>
      </c>
      <c r="I4675" s="3">
        <f>E4675+G4675+H4675</f>
        <v>47</v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>18</v>
      </c>
      <c r="K4675" s="3">
        <f>I4675-J4675</f>
        <v>29</v>
      </c>
      <c r="L4675" s="3" t="str">
        <f>IF(K4675&lt;-5,"CRÍTICO",IF(K4675&lt;0,"ATENÇÃO",IF(K4675&lt;=5,"OPORTUNO","MUITO BOM")))</f>
        <v>MUITO BOM</v>
      </c>
      <c r="M4675" s="3">
        <v>9</v>
      </c>
      <c r="N4675" s="3">
        <v>96.61</v>
      </c>
      <c r="O4675" s="12">
        <v>25.89792060491493</v>
      </c>
    </row>
    <row r="4676" spans="1:15" hidden="1" x14ac:dyDescent="0.25">
      <c r="A4676" s="10">
        <v>46171</v>
      </c>
      <c r="B4676" t="s">
        <v>33</v>
      </c>
      <c r="C4676" s="1" t="s">
        <v>32</v>
      </c>
      <c r="D4676" s="3">
        <v>31</v>
      </c>
      <c r="E4676" s="3">
        <v>27</v>
      </c>
      <c r="F4676" s="3">
        <v>15.07</v>
      </c>
      <c r="G4676" s="3">
        <v>0</v>
      </c>
      <c r="H4676" s="3">
        <v>0</v>
      </c>
      <c r="I4676" s="3">
        <f>E4676+G4676+H4676</f>
        <v>27</v>
      </c>
      <c r="J4676" s="3">
        <f>ROUND(MIN(IF(C4676="Técnico III",35,IF(C4676="Técnico II",28,IF(C4676="Técnico I",23,IF(C4676="JR",20,IF(C4676="Estágio",10,0))))),IF(C4676="Técnico III",SUMIFS($D:$D,$A:$A,$A4676,$B:$B,"&lt;&gt;Patrícia Karla de Sousa Araújo",$B:$B,"&lt;&gt;Lorena Dias de Araujo",$B:$B,"&lt;&gt;Lucas Luiz Romero")*(35/1083),IF(C4676="Técnico II",SUMIFS($D:$D,$A:$A,$A4676,$B:$B,"&lt;&gt;Patrícia Karla de Sousa Araújo",$B:$B,"&lt;&gt;Lorena Dias de Araujo",$B:$B,"&lt;&gt;Lucas Luiz Romero")*(28/1083),IF(C4676="Técnico I",SUMIFS($D:$D,$A:$A,$A4676,$B:$B,"&lt;&gt;Patrícia Karla de Sousa Araújo",$B:$B,"&lt;&gt;Lorena Dias de Araujo",$B:$B,"&lt;&gt;Lucas Luiz Romero")*(23/1083),IF(C4676="JR",SUMIFS($D:$D,$A:$A,$A4676,$B:$B,"&lt;&gt;Patrícia Karla de Sousa Araújo",$B:$B,"&lt;&gt;Lorena Dias de Araujo",$B:$B,"&lt;&gt;Lucas Luiz Romero")*(20/1083),IF(C4676="Estágio",SUMIFS($D:$D,$A:$A,$A4676,$B:$B,"&lt;&gt;Patrícia Karla de Sousa Araújo",$B:$B,"&lt;&gt;Lorena Dias de Araujo",$B:$B,"&lt;&gt;Lucas Luiz Romero")*(10/1083),0)))))),0)</f>
        <v>27</v>
      </c>
      <c r="K4676" s="3">
        <f>I4676-J4676</f>
        <v>0</v>
      </c>
      <c r="L4676" s="3" t="str">
        <f>IF(K4676&lt;-5,"CRÍTICO",IF(K4676&lt;0,"ATENÇÃO",IF(K4676&lt;=5,"OPORTUNO","MUITO BOM")))</f>
        <v>OPORTUNO</v>
      </c>
      <c r="M4676" s="3">
        <v>6</v>
      </c>
      <c r="N4676" s="3">
        <v>97.25</v>
      </c>
      <c r="O4676" s="12">
        <v>19.9017199017199</v>
      </c>
    </row>
    <row r="4677" spans="1:15" hidden="1" x14ac:dyDescent="0.25">
      <c r="A4677" s="10">
        <v>46171</v>
      </c>
      <c r="B4677" t="s">
        <v>49</v>
      </c>
      <c r="C4677" s="1" t="s">
        <v>48</v>
      </c>
      <c r="D4677" s="3">
        <v>33</v>
      </c>
      <c r="E4677" s="3">
        <v>28</v>
      </c>
      <c r="F4677" s="3">
        <v>14.03</v>
      </c>
      <c r="G4677" s="3">
        <v>1</v>
      </c>
      <c r="I4677" s="3">
        <f>E4677+G4677+H4677</f>
        <v>29</v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>22</v>
      </c>
      <c r="K4677" s="3">
        <f>I4677-J4677</f>
        <v>7</v>
      </c>
      <c r="L4677" s="3" t="str">
        <f>IF(K4677&lt;-5,"CRÍTICO",IF(K4677&lt;0,"ATENÇÃO",IF(K4677&lt;=5,"OPORTUNO","MUITO BOM")))</f>
        <v>MUITO BOM</v>
      </c>
      <c r="M4677" s="3">
        <v>5</v>
      </c>
      <c r="N4677" s="3">
        <v>99.43</v>
      </c>
      <c r="O4677" s="12">
        <v>21.510673234811161</v>
      </c>
    </row>
    <row r="4678" spans="1:15" hidden="1" x14ac:dyDescent="0.25">
      <c r="A4678" s="10">
        <v>46171</v>
      </c>
      <c r="B4678" t="s">
        <v>50</v>
      </c>
      <c r="C4678" s="1" t="s">
        <v>48</v>
      </c>
      <c r="D4678" s="3">
        <v>29</v>
      </c>
      <c r="E4678" s="3">
        <v>28</v>
      </c>
      <c r="F4678" s="3">
        <v>17.07</v>
      </c>
      <c r="G4678" s="3">
        <v>0</v>
      </c>
      <c r="I4678" s="3">
        <f>E4678+G4678+H4678</f>
        <v>28</v>
      </c>
      <c r="J4678" s="3">
        <f>ROUND(MIN(IF(C4678="Técnico III",35,IF(C4678="Técnico II",28,IF(C4678="Técnico I",23,IF(C4678="JR",20,IF(C4678="Estágio",10,0))))),IF(C4678="Técnico III",SUMIFS($D:$D,$A:$A,$A4678,$B:$B,"&lt;&gt;Patrícia Karla de Sousa Araújo",$B:$B,"&lt;&gt;Lorena Dias de Araujo",$B:$B,"&lt;&gt;Lucas Luiz Romero")*(35/1083),IF(C4678="Técnico II",SUMIFS($D:$D,$A:$A,$A4678,$B:$B,"&lt;&gt;Patrícia Karla de Sousa Araújo",$B:$B,"&lt;&gt;Lorena Dias de Araujo",$B:$B,"&lt;&gt;Lucas Luiz Romero")*(28/1083),IF(C4678="Técnico I",SUMIFS($D:$D,$A:$A,$A4678,$B:$B,"&lt;&gt;Patrícia Karla de Sousa Araújo",$B:$B,"&lt;&gt;Lorena Dias de Araujo",$B:$B,"&lt;&gt;Lucas Luiz Romero")*(23/1083),IF(C4678="JR",SUMIFS($D:$D,$A:$A,$A4678,$B:$B,"&lt;&gt;Patrícia Karla de Sousa Araújo",$B:$B,"&lt;&gt;Lorena Dias de Araujo",$B:$B,"&lt;&gt;Lucas Luiz Romero")*(20/1083),IF(C4678="Estágio",SUMIFS($D:$D,$A:$A,$A4678,$B:$B,"&lt;&gt;Patrícia Karla de Sousa Araújo",$B:$B,"&lt;&gt;Lorena Dias de Araujo",$B:$B,"&lt;&gt;Lucas Luiz Romero")*(10/1083),0)))))),0)</f>
        <v>22</v>
      </c>
      <c r="K4678" s="3">
        <f>I4678-J4678</f>
        <v>6</v>
      </c>
      <c r="L4678" s="3" t="str">
        <f>IF(K4678&lt;-5,"CRÍTICO",IF(K4678&lt;0,"ATENÇÃO",IF(K4678&lt;=5,"OPORTUNO","MUITO BOM")))</f>
        <v>MUITO BOM</v>
      </c>
      <c r="M4678" s="3">
        <v>6</v>
      </c>
      <c r="N4678" s="3">
        <v>98.4</v>
      </c>
      <c r="O4678" s="12">
        <v>21.413276231263389</v>
      </c>
    </row>
    <row r="4679" spans="1:15" hidden="1" x14ac:dyDescent="0.25">
      <c r="A4679" s="10">
        <v>46171</v>
      </c>
      <c r="B4679" t="s">
        <v>60</v>
      </c>
      <c r="C4679" s="1" t="s">
        <v>23</v>
      </c>
      <c r="D4679" s="3">
        <v>16</v>
      </c>
      <c r="E4679" s="3">
        <v>16</v>
      </c>
      <c r="F4679" s="3">
        <v>18.41</v>
      </c>
      <c r="G4679" s="3">
        <v>0</v>
      </c>
      <c r="I4679" s="3">
        <f>E4679+G4679+H4679</f>
        <v>16</v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>18</v>
      </c>
      <c r="K4679" s="3">
        <f>I4679-J4679</f>
        <v>-2</v>
      </c>
      <c r="L4679" s="3" t="str">
        <f>IF(K4679&lt;-5,"CRÍTICO",IF(K4679&lt;0,"ATENÇÃO",IF(K4679&lt;=5,"OPORTUNO","MUITO BOM")))</f>
        <v>ATENÇÃO</v>
      </c>
      <c r="M4679" s="3">
        <v>4</v>
      </c>
      <c r="N4679" s="3">
        <v>97.1</v>
      </c>
      <c r="O4679" s="12">
        <v>24.940617577197148</v>
      </c>
    </row>
    <row r="4680" spans="1:15" hidden="1" x14ac:dyDescent="0.25">
      <c r="A4680" s="10">
        <v>46171</v>
      </c>
      <c r="B4680" t="s">
        <v>34</v>
      </c>
      <c r="C4680" s="1" t="s">
        <v>32</v>
      </c>
      <c r="D4680" s="3">
        <v>34</v>
      </c>
      <c r="E4680" s="3">
        <v>28</v>
      </c>
      <c r="F4680" s="3">
        <v>11.48</v>
      </c>
      <c r="G4680" s="3">
        <v>0</v>
      </c>
      <c r="I4680" s="3">
        <f>E4680+G4680+H4680</f>
        <v>28</v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>27</v>
      </c>
      <c r="K4680" s="3">
        <f>I4680-J4680</f>
        <v>1</v>
      </c>
      <c r="L4680" s="3" t="str">
        <f>IF(K4680&lt;-5,"CRÍTICO",IF(K4680&lt;0,"ATENÇÃO",IF(K4680&lt;=5,"OPORTUNO","MUITO BOM")))</f>
        <v>OPORTUNO</v>
      </c>
      <c r="M4680" s="3">
        <v>1</v>
      </c>
      <c r="N4680" s="3">
        <v>92.97</v>
      </c>
      <c r="O4680" s="12">
        <v>26.407766990291261</v>
      </c>
    </row>
    <row r="4681" spans="1:15" hidden="1" x14ac:dyDescent="0.25">
      <c r="A4681" s="10">
        <v>46171</v>
      </c>
      <c r="B4681" t="s">
        <v>51</v>
      </c>
      <c r="C4681" s="1" t="s">
        <v>48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f>E4681+G4681+H4681</f>
        <v>0</v>
      </c>
      <c r="J4681" s="3">
        <v>0</v>
      </c>
      <c r="K4681" s="3">
        <f>I4681-J4681</f>
        <v>0</v>
      </c>
      <c r="L4681" s="3" t="str">
        <f>IF(K4681&lt;-5,"CRÍTICO",IF(K4681&lt;0,"ATENÇÃO",IF(K4681&lt;=5,"OPORTUNO","MUITO BOM")))</f>
        <v>OPORTUNO</v>
      </c>
      <c r="M4681" s="3">
        <v>0</v>
      </c>
      <c r="N4681" s="3">
        <v>98.91</v>
      </c>
      <c r="O4681" s="12">
        <v>25.892857142857149</v>
      </c>
    </row>
    <row r="4682" spans="1:15" hidden="1" x14ac:dyDescent="0.25">
      <c r="A4682" s="10">
        <v>46171</v>
      </c>
      <c r="B4682" t="s">
        <v>61</v>
      </c>
      <c r="C4682" s="1" t="s">
        <v>23</v>
      </c>
      <c r="D4682" s="3">
        <v>21</v>
      </c>
      <c r="E4682" s="3">
        <v>19</v>
      </c>
      <c r="F4682" s="3">
        <v>16.45</v>
      </c>
      <c r="G4682" s="3">
        <v>0</v>
      </c>
      <c r="I4682" s="3">
        <f>E4682+G4682+H4682</f>
        <v>19</v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>18</v>
      </c>
      <c r="K4682" s="3">
        <f>I4682-J4682</f>
        <v>1</v>
      </c>
      <c r="L4682" s="3" t="str">
        <f>IF(K4682&lt;-5,"CRÍTICO",IF(K4682&lt;0,"ATENÇÃO",IF(K4682&lt;=5,"OPORTUNO","MUITO BOM")))</f>
        <v>OPORTUNO</v>
      </c>
      <c r="M4682" s="3">
        <v>2</v>
      </c>
      <c r="N4682" s="3">
        <v>100</v>
      </c>
      <c r="O4682" s="12">
        <v>21.76656151419558</v>
      </c>
    </row>
    <row r="4683" spans="1:15" hidden="1" x14ac:dyDescent="0.25">
      <c r="A4683" s="10">
        <v>46171</v>
      </c>
      <c r="B4683" t="s">
        <v>35</v>
      </c>
      <c r="C4683" s="1" t="s">
        <v>32</v>
      </c>
      <c r="D4683" s="3">
        <v>0</v>
      </c>
      <c r="E4683" s="3">
        <v>0</v>
      </c>
      <c r="F4683" s="3">
        <v>0</v>
      </c>
      <c r="G4683" s="3">
        <v>0</v>
      </c>
      <c r="H4683" s="3">
        <v>0</v>
      </c>
      <c r="I4683" s="3">
        <f>E4683+G4683+H4683</f>
        <v>0</v>
      </c>
      <c r="J4683" s="3">
        <v>0</v>
      </c>
      <c r="K4683" s="3">
        <f>I4683-J4683</f>
        <v>0</v>
      </c>
      <c r="L4683" s="3" t="str">
        <f>IF(K4683&lt;-5,"CRÍTICO",IF(K4683&lt;0,"ATENÇÃO",IF(K4683&lt;=5,"OPORTUNO","MUITO BOM")))</f>
        <v>OPORTUNO</v>
      </c>
      <c r="M4683" s="3">
        <v>0</v>
      </c>
      <c r="N4683" s="3">
        <v>99.23</v>
      </c>
      <c r="O4683" s="12">
        <v>30.739299610894939</v>
      </c>
    </row>
    <row r="4684" spans="1:15" hidden="1" x14ac:dyDescent="0.25">
      <c r="A4684" s="10">
        <v>46171</v>
      </c>
      <c r="B4684" t="s">
        <v>52</v>
      </c>
      <c r="C4684" s="1" t="s">
        <v>48</v>
      </c>
      <c r="D4684" s="3">
        <v>28</v>
      </c>
      <c r="E4684" s="3">
        <v>26</v>
      </c>
      <c r="F4684" s="3">
        <v>15.39</v>
      </c>
      <c r="G4684" s="3">
        <v>0</v>
      </c>
      <c r="I4684" s="3">
        <f>E4684+G4684+H4684</f>
        <v>26</v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>22</v>
      </c>
      <c r="K4684" s="3">
        <f>I4684-J4684</f>
        <v>4</v>
      </c>
      <c r="L4684" s="3" t="str">
        <f>IF(K4684&lt;-5,"CRÍTICO",IF(K4684&lt;0,"ATENÇÃO",IF(K4684&lt;=5,"OPORTUNO","MUITO BOM")))</f>
        <v>OPORTUNO</v>
      </c>
      <c r="M4684" s="3">
        <v>2</v>
      </c>
      <c r="N4684" s="3">
        <v>99.16</v>
      </c>
      <c r="O4684" s="12">
        <v>18.847006651884701</v>
      </c>
    </row>
    <row r="4685" spans="1:15" hidden="1" x14ac:dyDescent="0.25">
      <c r="A4685" s="10">
        <v>46171</v>
      </c>
      <c r="B4685" t="s">
        <v>36</v>
      </c>
      <c r="C4685" s="1" t="s">
        <v>32</v>
      </c>
      <c r="D4685" s="3">
        <v>30</v>
      </c>
      <c r="E4685" s="3">
        <v>30</v>
      </c>
      <c r="F4685" s="3">
        <v>15.24</v>
      </c>
      <c r="G4685" s="3">
        <v>0</v>
      </c>
      <c r="H4685" s="3">
        <v>0</v>
      </c>
      <c r="I4685" s="3">
        <f>E4685+G4685+H4685</f>
        <v>30</v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>27</v>
      </c>
      <c r="K4685" s="3">
        <f>I4685-J4685</f>
        <v>3</v>
      </c>
      <c r="L4685" s="3" t="str">
        <f>IF(K4685&lt;-5,"CRÍTICO",IF(K4685&lt;0,"ATENÇÃO",IF(K4685&lt;=5,"OPORTUNO","MUITO BOM")))</f>
        <v>OPORTUNO</v>
      </c>
      <c r="M4685" s="3">
        <v>3</v>
      </c>
      <c r="N4685" s="3">
        <v>100</v>
      </c>
      <c r="O4685" s="12">
        <v>10.56338028169014</v>
      </c>
    </row>
    <row r="4686" spans="1:15" hidden="1" x14ac:dyDescent="0.25">
      <c r="A4686" s="10">
        <v>46171</v>
      </c>
      <c r="B4686" t="s">
        <v>53</v>
      </c>
      <c r="C4686" s="1" t="s">
        <v>48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f>E4686+G4686+H4686</f>
        <v>0</v>
      </c>
      <c r="J4686" s="3">
        <v>0</v>
      </c>
      <c r="K4686" s="3">
        <f>I4686-J4686</f>
        <v>0</v>
      </c>
      <c r="L4686" s="3" t="str">
        <f>IF(K4686&lt;-5,"CRÍTICO",IF(K4686&lt;0,"ATENÇÃO",IF(K4686&lt;=5,"OPORTUNO","MUITO BOM")))</f>
        <v>OPORTUNO</v>
      </c>
      <c r="M4686" s="3">
        <v>0</v>
      </c>
      <c r="N4686" s="3">
        <v>100</v>
      </c>
      <c r="O4686" s="12">
        <v>17.241379310344829</v>
      </c>
    </row>
    <row r="4687" spans="1:15" hidden="1" x14ac:dyDescent="0.25">
      <c r="A4687" s="10">
        <v>46171</v>
      </c>
      <c r="B4687" t="s">
        <v>22</v>
      </c>
      <c r="C4687" s="1" t="s">
        <v>23</v>
      </c>
      <c r="D4687" s="3">
        <v>19</v>
      </c>
      <c r="E4687" s="3">
        <v>16</v>
      </c>
      <c r="F4687" s="3">
        <v>17.22</v>
      </c>
      <c r="G4687" s="3">
        <v>0</v>
      </c>
      <c r="H4687" s="3">
        <v>0</v>
      </c>
      <c r="I4687" s="3">
        <f>E4687+G4687+H4687</f>
        <v>16</v>
      </c>
      <c r="J4687" s="3">
        <f>ROUND(MIN(IF(C4687="Técnico III",35,IF(C4687="Técnico II",28,IF(C4687="Técnico I",23,IF(C4687="JR",20,IF(C4687="Estágio",10,0))))),IF(C4687="Técnico III",SUMIFS($D:$D,$A:$A,$A4687,$B:$B,"&lt;&gt;Patrícia Karla de Sousa Araújo",$B:$B,"&lt;&gt;Lorena Dias de Araujo",$B:$B,"&lt;&gt;Lucas Luiz Romero")*(35/1083),IF(C4687="Técnico II",SUMIFS($D:$D,$A:$A,$A4687,$B:$B,"&lt;&gt;Patrícia Karla de Sousa Araújo",$B:$B,"&lt;&gt;Lorena Dias de Araujo",$B:$B,"&lt;&gt;Lucas Luiz Romero")*(28/1083),IF(C4687="Técnico I",SUMIFS($D:$D,$A:$A,$A4687,$B:$B,"&lt;&gt;Patrícia Karla de Sousa Araújo",$B:$B,"&lt;&gt;Lorena Dias de Araujo",$B:$B,"&lt;&gt;Lucas Luiz Romero")*(23/1083),IF(C4687="JR",SUMIFS($D:$D,$A:$A,$A4687,$B:$B,"&lt;&gt;Patrícia Karla de Sousa Araújo",$B:$B,"&lt;&gt;Lorena Dias de Araujo",$B:$B,"&lt;&gt;Lucas Luiz Romero")*(20/1083),IF(C4687="Estágio",SUMIFS($D:$D,$A:$A,$A4687,$B:$B,"&lt;&gt;Patrícia Karla de Sousa Araújo",$B:$B,"&lt;&gt;Lorena Dias de Araujo",$B:$B,"&lt;&gt;Lucas Luiz Romero")*(10/1083),0)))))),0)</f>
        <v>18</v>
      </c>
      <c r="K4687" s="3">
        <f>I4687-J4687</f>
        <v>-2</v>
      </c>
      <c r="L4687" s="3" t="str">
        <f>IF(K4687&lt;-5,"CRÍTICO",IF(K4687&lt;0,"ATENÇÃO",IF(K4687&lt;=5,"OPORTUNO","MUITO BOM")))</f>
        <v>ATENÇÃO</v>
      </c>
      <c r="M4687" s="3">
        <v>3</v>
      </c>
      <c r="N4687" s="3">
        <v>99.19</v>
      </c>
      <c r="O4687" s="12">
        <v>22.25433526011561</v>
      </c>
    </row>
    <row r="4688" spans="1:15" hidden="1" x14ac:dyDescent="0.25">
      <c r="A4688" s="10">
        <v>46171</v>
      </c>
      <c r="B4688" t="s">
        <v>54</v>
      </c>
      <c r="C4688" s="1" t="s">
        <v>48</v>
      </c>
      <c r="D4688" s="3">
        <v>27</v>
      </c>
      <c r="E4688" s="3">
        <v>26</v>
      </c>
      <c r="F4688" s="3">
        <v>24.11</v>
      </c>
      <c r="G4688" s="3">
        <v>0</v>
      </c>
      <c r="I4688" s="3">
        <f>E4688+G4688+H4688</f>
        <v>26</v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>22</v>
      </c>
      <c r="K4688" s="3">
        <f>I4688-J4688</f>
        <v>4</v>
      </c>
      <c r="L4688" s="3" t="str">
        <f>IF(K4688&lt;-5,"CRÍTICO",IF(K4688&lt;0,"ATENÇÃO",IF(K4688&lt;=5,"OPORTUNO","MUITO BOM")))</f>
        <v>OPORTUNO</v>
      </c>
      <c r="M4688" s="3">
        <v>4</v>
      </c>
      <c r="N4688" s="3">
        <v>99.13</v>
      </c>
      <c r="O4688" s="12">
        <v>20.67307692307692</v>
      </c>
    </row>
    <row r="4689" spans="1:15" hidden="1" x14ac:dyDescent="0.25">
      <c r="A4689" s="10">
        <v>46171</v>
      </c>
      <c r="B4689" t="s">
        <v>37</v>
      </c>
      <c r="C4689" s="1" t="s">
        <v>32</v>
      </c>
      <c r="D4689" s="3">
        <v>48</v>
      </c>
      <c r="E4689" s="3">
        <v>40</v>
      </c>
      <c r="F4689" s="3">
        <v>10.51</v>
      </c>
      <c r="G4689" s="3">
        <v>2</v>
      </c>
      <c r="I4689" s="3">
        <f>E4689+G4689+H4689</f>
        <v>42</v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>27</v>
      </c>
      <c r="K4689" s="3">
        <f>I4689-J4689</f>
        <v>15</v>
      </c>
      <c r="L4689" s="3" t="str">
        <f>IF(K4689&lt;-5,"CRÍTICO",IF(K4689&lt;0,"ATENÇÃO",IF(K4689&lt;=5,"OPORTUNO","MUITO BOM")))</f>
        <v>MUITO BOM</v>
      </c>
      <c r="M4689" s="3">
        <v>7</v>
      </c>
      <c r="N4689" s="3">
        <v>99.12</v>
      </c>
      <c r="O4689" s="12">
        <v>23.023578363384189</v>
      </c>
    </row>
    <row r="4690" spans="1:15" hidden="1" x14ac:dyDescent="0.25">
      <c r="A4690" s="10">
        <v>46171</v>
      </c>
      <c r="B4690" t="s">
        <v>38</v>
      </c>
      <c r="C4690" s="1" t="s">
        <v>32</v>
      </c>
      <c r="D4690" s="3">
        <v>27</v>
      </c>
      <c r="E4690" s="3">
        <v>26</v>
      </c>
      <c r="F4690" s="3">
        <v>14.02</v>
      </c>
      <c r="G4690" s="3">
        <v>4</v>
      </c>
      <c r="I4690" s="3">
        <f>E4690+G4690+H4690</f>
        <v>30</v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>27</v>
      </c>
      <c r="K4690" s="3">
        <f>I4690-J4690</f>
        <v>3</v>
      </c>
      <c r="L4690" s="3" t="str">
        <f>IF(K4690&lt;-5,"CRÍTICO",IF(K4690&lt;0,"ATENÇÃO",IF(K4690&lt;=5,"OPORTUNO","MUITO BOM")))</f>
        <v>OPORTUNO</v>
      </c>
      <c r="M4690" s="3">
        <v>0</v>
      </c>
      <c r="N4690" s="3">
        <v>97.71</v>
      </c>
      <c r="O4690" s="12">
        <v>35.857461024498889</v>
      </c>
    </row>
    <row r="4691" spans="1:15" hidden="1" x14ac:dyDescent="0.25">
      <c r="A4691" s="10">
        <v>46171</v>
      </c>
      <c r="B4691" t="s">
        <v>55</v>
      </c>
      <c r="C4691" s="1" t="s">
        <v>48</v>
      </c>
      <c r="D4691" s="3">
        <v>0</v>
      </c>
      <c r="E4691" s="3">
        <v>0</v>
      </c>
      <c r="F4691" s="3">
        <v>0</v>
      </c>
      <c r="G4691" s="3">
        <v>0</v>
      </c>
      <c r="H4691" s="3">
        <v>0</v>
      </c>
      <c r="I4691" s="3">
        <f>E4691+G4691+H4691</f>
        <v>0</v>
      </c>
      <c r="J4691" s="3">
        <v>0</v>
      </c>
      <c r="K4691" s="3">
        <f>I4691-J4691</f>
        <v>0</v>
      </c>
      <c r="L4691" s="3" t="str">
        <f>IF(K4691&lt;-5,"CRÍTICO",IF(K4691&lt;0,"ATENÇÃO",IF(K4691&lt;=5,"OPORTUNO","MUITO BOM")))</f>
        <v>OPORTUNO</v>
      </c>
      <c r="M4691" s="3">
        <v>0</v>
      </c>
      <c r="N4691" s="3">
        <v>99.06</v>
      </c>
      <c r="O4691" s="12">
        <v>23.978201634877379</v>
      </c>
    </row>
    <row r="4692" spans="1:15" hidden="1" x14ac:dyDescent="0.25">
      <c r="A4692" s="10">
        <v>46171</v>
      </c>
      <c r="B4692" t="s">
        <v>39</v>
      </c>
      <c r="C4692" s="1" t="s">
        <v>32</v>
      </c>
      <c r="D4692" s="3">
        <v>0</v>
      </c>
      <c r="E4692" s="3">
        <v>0</v>
      </c>
      <c r="F4692" s="3">
        <v>0</v>
      </c>
      <c r="G4692" s="3">
        <v>0</v>
      </c>
      <c r="H4692" s="3">
        <v>0</v>
      </c>
      <c r="I4692" s="3">
        <f>E4692+G4692+H4692</f>
        <v>0</v>
      </c>
      <c r="J4692" s="3">
        <v>0</v>
      </c>
      <c r="K4692" s="3">
        <f>I4692-J4692</f>
        <v>0</v>
      </c>
      <c r="L4692" s="3" t="str">
        <f>IF(K4692&lt;-5,"CRÍTICO",IF(K4692&lt;0,"ATENÇÃO",IF(K4692&lt;=5,"OPORTUNO","MUITO BOM")))</f>
        <v>OPORTUNO</v>
      </c>
      <c r="M4692" s="3">
        <v>0</v>
      </c>
      <c r="N4692" s="3">
        <v>0</v>
      </c>
      <c r="O4692" s="12">
        <v>0</v>
      </c>
    </row>
    <row r="4693" spans="1:15" hidden="1" x14ac:dyDescent="0.25">
      <c r="A4693" s="10">
        <v>46171</v>
      </c>
      <c r="B4693" t="s">
        <v>40</v>
      </c>
      <c r="C4693" s="1" t="s">
        <v>32</v>
      </c>
      <c r="D4693" s="3">
        <v>28</v>
      </c>
      <c r="E4693" s="3">
        <v>28</v>
      </c>
      <c r="F4693" s="3">
        <v>19.059999999999999</v>
      </c>
      <c r="G4693" s="3">
        <v>0</v>
      </c>
      <c r="I4693" s="3">
        <f>E4693+G4693+H4693</f>
        <v>28</v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>27</v>
      </c>
      <c r="K4693" s="3">
        <f>I4693-J4693</f>
        <v>1</v>
      </c>
      <c r="L4693" s="3" t="str">
        <f>IF(K4693&lt;-5,"CRÍTICO",IF(K4693&lt;0,"ATENÇÃO",IF(K4693&lt;=5,"OPORTUNO","MUITO BOM")))</f>
        <v>OPORTUNO</v>
      </c>
      <c r="M4693" s="3">
        <v>2</v>
      </c>
      <c r="N4693" s="3">
        <v>97.27</v>
      </c>
      <c r="O4693" s="12">
        <v>17.590361445783131</v>
      </c>
    </row>
    <row r="4694" spans="1:15" hidden="1" x14ac:dyDescent="0.25">
      <c r="A4694" s="10">
        <v>46171</v>
      </c>
      <c r="B4694" t="s">
        <v>41</v>
      </c>
      <c r="C4694" s="1" t="s">
        <v>32</v>
      </c>
      <c r="D4694" s="3">
        <v>28</v>
      </c>
      <c r="E4694" s="3">
        <v>27</v>
      </c>
      <c r="F4694" s="3">
        <v>17.010000000000002</v>
      </c>
      <c r="G4694" s="3">
        <v>0</v>
      </c>
      <c r="I4694" s="3">
        <f>E4694+G4694+H4694</f>
        <v>27</v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>27</v>
      </c>
      <c r="K4694" s="3">
        <f>I4694-J4694</f>
        <v>0</v>
      </c>
      <c r="L4694" s="3" t="str">
        <f>IF(K4694&lt;-5,"CRÍTICO",IF(K4694&lt;0,"ATENÇÃO",IF(K4694&lt;=5,"OPORTUNO","MUITO BOM")))</f>
        <v>OPORTUNO</v>
      </c>
      <c r="M4694" s="3">
        <v>5</v>
      </c>
      <c r="N4694" s="3">
        <v>100</v>
      </c>
      <c r="O4694" s="12">
        <v>19.34156378600823</v>
      </c>
    </row>
    <row r="4695" spans="1:15" hidden="1" x14ac:dyDescent="0.25">
      <c r="A4695" s="10">
        <v>46171</v>
      </c>
      <c r="B4695" t="s">
        <v>56</v>
      </c>
      <c r="C4695" s="1" t="s">
        <v>48</v>
      </c>
      <c r="D4695" s="3">
        <v>35</v>
      </c>
      <c r="E4695" s="3">
        <v>30</v>
      </c>
      <c r="F4695" s="3">
        <v>12.19</v>
      </c>
      <c r="G4695" s="3">
        <v>2</v>
      </c>
      <c r="I4695" s="3">
        <f>E4695+G4695+H4695</f>
        <v>32</v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>22</v>
      </c>
      <c r="K4695" s="3">
        <f>I4695-J4695</f>
        <v>10</v>
      </c>
      <c r="L4695" s="3" t="str">
        <f>IF(K4695&lt;-5,"CRÍTICO",IF(K4695&lt;0,"ATENÇÃO",IF(K4695&lt;=5,"OPORTUNO","MUITO BOM")))</f>
        <v>MUITO BOM</v>
      </c>
      <c r="M4695" s="3">
        <v>7</v>
      </c>
      <c r="N4695" s="3">
        <v>99.13</v>
      </c>
      <c r="O4695" s="12">
        <v>23.645320197044331</v>
      </c>
    </row>
    <row r="4696" spans="1:15" hidden="1" x14ac:dyDescent="0.25">
      <c r="A4696" s="10">
        <v>46171</v>
      </c>
      <c r="B4696" t="s">
        <v>57</v>
      </c>
      <c r="C4696" s="1" t="s">
        <v>48</v>
      </c>
      <c r="D4696" s="3">
        <v>28</v>
      </c>
      <c r="E4696" s="3">
        <v>24</v>
      </c>
      <c r="F4696" s="3">
        <v>15.08</v>
      </c>
      <c r="G4696" s="3">
        <v>0</v>
      </c>
      <c r="H4696" s="3">
        <v>0</v>
      </c>
      <c r="I4696" s="3">
        <f>E4696+G4696+H4696</f>
        <v>24</v>
      </c>
      <c r="J4696" s="3">
        <f>ROUND(MIN(IF(C4696="Técnico III",35,IF(C4696="Técnico II",28,IF(C4696="Técnico I",23,IF(C4696="JR",20,IF(C4696="Estágio",10,0))))),IF(C4696="Técnico III",SUMIFS($D:$D,$A:$A,$A4696,$B:$B,"&lt;&gt;Patrícia Karla de Sousa Araújo",$B:$B,"&lt;&gt;Lorena Dias de Araujo",$B:$B,"&lt;&gt;Lucas Luiz Romero")*(35/1083),IF(C4696="Técnico II",SUMIFS($D:$D,$A:$A,$A4696,$B:$B,"&lt;&gt;Patrícia Karla de Sousa Araújo",$B:$B,"&lt;&gt;Lorena Dias de Araujo",$B:$B,"&lt;&gt;Lucas Luiz Romero")*(28/1083),IF(C4696="Técnico I",SUMIFS($D:$D,$A:$A,$A4696,$B:$B,"&lt;&gt;Patrícia Karla de Sousa Araújo",$B:$B,"&lt;&gt;Lorena Dias de Araujo",$B:$B,"&lt;&gt;Lucas Luiz Romero")*(23/1083),IF(C4696="JR",SUMIFS($D:$D,$A:$A,$A4696,$B:$B,"&lt;&gt;Patrícia Karla de Sousa Araújo",$B:$B,"&lt;&gt;Lorena Dias de Araujo",$B:$B,"&lt;&gt;Lucas Luiz Romero")*(20/1083),IF(C4696="Estágio",SUMIFS($D:$D,$A:$A,$A4696,$B:$B,"&lt;&gt;Patrícia Karla de Sousa Araújo",$B:$B,"&lt;&gt;Lorena Dias de Araujo",$B:$B,"&lt;&gt;Lucas Luiz Romero")*(10/1083),0)))))),0)</f>
        <v>22</v>
      </c>
      <c r="K4696" s="3">
        <f>I4696-J4696</f>
        <v>2</v>
      </c>
      <c r="L4696" s="3" t="str">
        <f>IF(K4696&lt;-5,"CRÍTICO",IF(K4696&lt;0,"ATENÇÃO",IF(K4696&lt;=5,"OPORTUNO","MUITO BOM")))</f>
        <v>OPORTUNO</v>
      </c>
      <c r="M4696" s="3">
        <v>5</v>
      </c>
      <c r="N4696" s="3">
        <v>100</v>
      </c>
      <c r="O4696" s="12">
        <v>26.666666666666671</v>
      </c>
    </row>
    <row r="4697" spans="1:15" hidden="1" x14ac:dyDescent="0.25">
      <c r="A4697" s="10">
        <v>46171</v>
      </c>
      <c r="B4697" t="s">
        <v>42</v>
      </c>
      <c r="C4697" s="1" t="s">
        <v>32</v>
      </c>
      <c r="D4697" s="3">
        <v>27</v>
      </c>
      <c r="E4697" s="3">
        <v>22</v>
      </c>
      <c r="F4697" s="3">
        <v>10.050000000000001</v>
      </c>
      <c r="G4697" s="3">
        <v>0</v>
      </c>
      <c r="H4697" s="3">
        <v>0</v>
      </c>
      <c r="I4697" s="3">
        <f>E4697+G4697+H4697</f>
        <v>22</v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>27</v>
      </c>
      <c r="K4697" s="3">
        <f>I4697-J4697</f>
        <v>-5</v>
      </c>
      <c r="L4697" s="3" t="str">
        <f>IF(K4697&lt;-5,"CRÍTICO",IF(K4697&lt;0,"ATENÇÃO",IF(K4697&lt;=5,"OPORTUNO","MUITO BOM")))</f>
        <v>ATENÇÃO</v>
      </c>
      <c r="M4697" s="3">
        <v>4</v>
      </c>
      <c r="N4697" s="3">
        <v>100</v>
      </c>
      <c r="O4697" s="12">
        <v>27.678571428571431</v>
      </c>
    </row>
    <row r="4698" spans="1:15" hidden="1" x14ac:dyDescent="0.25">
      <c r="A4698" s="10">
        <v>46171</v>
      </c>
      <c r="B4698" t="s">
        <v>62</v>
      </c>
      <c r="C4698" s="1" t="s">
        <v>23</v>
      </c>
      <c r="D4698" s="3">
        <v>17</v>
      </c>
      <c r="E4698" s="3">
        <v>16</v>
      </c>
      <c r="F4698" s="3">
        <v>25.16</v>
      </c>
      <c r="G4698" s="3">
        <v>0</v>
      </c>
      <c r="I4698" s="3">
        <f>E4698+G4698+H4698</f>
        <v>16</v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>18</v>
      </c>
      <c r="K4698" s="3">
        <f>I4698-J4698</f>
        <v>-2</v>
      </c>
      <c r="L4698" s="3" t="str">
        <f>IF(K4698&lt;-5,"CRÍTICO",IF(K4698&lt;0,"ATENÇÃO",IF(K4698&lt;=5,"OPORTUNO","MUITO BOM")))</f>
        <v>ATENÇÃO</v>
      </c>
      <c r="M4698" s="3">
        <v>3</v>
      </c>
      <c r="N4698" s="3">
        <v>94.96</v>
      </c>
      <c r="O4698" s="12">
        <v>23.07692307692308</v>
      </c>
    </row>
    <row r="4699" spans="1:15" hidden="1" x14ac:dyDescent="0.25">
      <c r="A4699" s="10">
        <v>46171</v>
      </c>
      <c r="B4699" t="s">
        <v>43</v>
      </c>
      <c r="C4699" s="1" t="s">
        <v>32</v>
      </c>
      <c r="D4699" s="3">
        <v>0</v>
      </c>
      <c r="E4699" s="3">
        <v>0</v>
      </c>
      <c r="F4699" s="3">
        <v>0</v>
      </c>
      <c r="G4699" s="3">
        <v>0</v>
      </c>
      <c r="H4699" s="3">
        <v>41</v>
      </c>
      <c r="I4699" s="3">
        <f>E4699+G4699+H4699</f>
        <v>41</v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>27</v>
      </c>
      <c r="K4699" s="3">
        <f>I4699-J4699</f>
        <v>14</v>
      </c>
      <c r="L4699" s="3" t="str">
        <f>IF(K4699&lt;-5,"CRÍTICO",IF(K4699&lt;0,"ATENÇÃO",IF(K4699&lt;=5,"OPORTUNO","MUITO BOM")))</f>
        <v>MUITO BOM</v>
      </c>
      <c r="M4699" s="3">
        <v>22</v>
      </c>
      <c r="N4699" s="3">
        <v>98.44</v>
      </c>
      <c r="O4699" s="12">
        <v>7.8160919540229887</v>
      </c>
    </row>
    <row r="4700" spans="1:15" hidden="1" x14ac:dyDescent="0.25">
      <c r="A4700" s="10">
        <v>46171</v>
      </c>
      <c r="B4700" t="s">
        <v>44</v>
      </c>
      <c r="C4700" s="1" t="s">
        <v>32</v>
      </c>
      <c r="D4700" s="3">
        <v>36</v>
      </c>
      <c r="E4700" s="3">
        <v>29</v>
      </c>
      <c r="F4700" s="3">
        <v>10.1</v>
      </c>
      <c r="G4700" s="3">
        <v>9</v>
      </c>
      <c r="I4700" s="3">
        <f>E4700+G4700+H4700</f>
        <v>38</v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>27</v>
      </c>
      <c r="K4700" s="3">
        <f>I4700-J4700</f>
        <v>11</v>
      </c>
      <c r="L4700" s="3" t="str">
        <f>IF(K4700&lt;-5,"CRÍTICO",IF(K4700&lt;0,"ATENÇÃO",IF(K4700&lt;=5,"OPORTUNO","MUITO BOM")))</f>
        <v>MUITO BOM</v>
      </c>
      <c r="M4700" s="3">
        <v>4</v>
      </c>
      <c r="N4700" s="3">
        <v>96.79</v>
      </c>
      <c r="O4700" s="12">
        <v>24.444444444444439</v>
      </c>
    </row>
    <row r="4701" spans="1:15" hidden="1" x14ac:dyDescent="0.25">
      <c r="A4701" s="10">
        <v>46171</v>
      </c>
      <c r="B4701" t="s">
        <v>58</v>
      </c>
      <c r="C4701" s="1" t="s">
        <v>48</v>
      </c>
      <c r="D4701" s="3">
        <v>0</v>
      </c>
      <c r="E4701" s="3">
        <v>0</v>
      </c>
      <c r="F4701" s="3">
        <v>0</v>
      </c>
      <c r="G4701" s="3">
        <v>0</v>
      </c>
      <c r="H4701" s="3">
        <v>0</v>
      </c>
      <c r="I4701" s="3">
        <f>E4701+G4701+H4701</f>
        <v>0</v>
      </c>
      <c r="J4701" s="3">
        <v>0</v>
      </c>
      <c r="K4701" s="3">
        <f>I4701-J4701</f>
        <v>0</v>
      </c>
      <c r="L4701" s="3" t="str">
        <f>IF(K4701&lt;-5,"CRÍTICO",IF(K4701&lt;0,"ATENÇÃO",IF(K4701&lt;=5,"OPORTUNO","MUITO BOM")))</f>
        <v>OPORTUNO</v>
      </c>
      <c r="M4701" s="3">
        <v>0</v>
      </c>
      <c r="N4701" s="3">
        <v>100</v>
      </c>
      <c r="O4701" s="12">
        <v>21.559633027522938</v>
      </c>
    </row>
    <row r="4702" spans="1:15" hidden="1" x14ac:dyDescent="0.25">
      <c r="A4702" s="10">
        <v>46171</v>
      </c>
      <c r="B4702" t="s">
        <v>63</v>
      </c>
      <c r="C4702" s="1" t="s">
        <v>23</v>
      </c>
      <c r="D4702" s="3">
        <v>25</v>
      </c>
      <c r="E4702" s="3">
        <v>23</v>
      </c>
      <c r="F4702" s="3">
        <v>20.3</v>
      </c>
      <c r="G4702" s="3">
        <v>3</v>
      </c>
      <c r="I4702" s="3">
        <f>E4702+G4702+H4702</f>
        <v>26</v>
      </c>
      <c r="J4702" s="3">
        <f>ROUND(MIN(IF(C4702="Técnico III",35,IF(C4702="Técnico II",28,IF(C4702="Técnico I",23,IF(C4702="JR",20,IF(C4702="Estágio",10,0))))),IF(C4702="Técnico III",SUMIFS($D:$D,$A:$A,$A4702,$B:$B,"&lt;&gt;Patrícia Karla de Sousa Araújo",$B:$B,"&lt;&gt;Lorena Dias de Araujo",$B:$B,"&lt;&gt;Lucas Luiz Romero")*(35/1083),IF(C4702="Técnico II",SUMIFS($D:$D,$A:$A,$A4702,$B:$B,"&lt;&gt;Patrícia Karla de Sousa Araújo",$B:$B,"&lt;&gt;Lorena Dias de Araujo",$B:$B,"&lt;&gt;Lucas Luiz Romero")*(28/1083),IF(C4702="Técnico I",SUMIFS($D:$D,$A:$A,$A4702,$B:$B,"&lt;&gt;Patrícia Karla de Sousa Araújo",$B:$B,"&lt;&gt;Lorena Dias de Araujo",$B:$B,"&lt;&gt;Lucas Luiz Romero")*(23/1083),IF(C4702="JR",SUMIFS($D:$D,$A:$A,$A4702,$B:$B,"&lt;&gt;Patrícia Karla de Sousa Araújo",$B:$B,"&lt;&gt;Lorena Dias de Araujo",$B:$B,"&lt;&gt;Lucas Luiz Romero")*(20/1083),IF(C4702="Estágio",SUMIFS($D:$D,$A:$A,$A4702,$B:$B,"&lt;&gt;Patrícia Karla de Sousa Araújo",$B:$B,"&lt;&gt;Lorena Dias de Araujo",$B:$B,"&lt;&gt;Lucas Luiz Romero")*(10/1083),0)))))),0)</f>
        <v>18</v>
      </c>
      <c r="K4702" s="3">
        <f>I4702-J4702</f>
        <v>8</v>
      </c>
      <c r="L4702" s="3" t="str">
        <f>IF(K4702&lt;-5,"CRÍTICO",IF(K4702&lt;0,"ATENÇÃO",IF(K4702&lt;=5,"OPORTUNO","MUITO BOM")))</f>
        <v>MUITO BOM</v>
      </c>
      <c r="M4702" s="3">
        <v>2</v>
      </c>
      <c r="N4702" s="3">
        <v>98.36</v>
      </c>
      <c r="O4702" s="12">
        <v>23.113207547169811</v>
      </c>
    </row>
    <row r="4703" spans="1:15" hidden="1" x14ac:dyDescent="0.25">
      <c r="A4703" s="10">
        <v>46171</v>
      </c>
      <c r="B4703" t="s">
        <v>45</v>
      </c>
      <c r="C4703" s="1" t="s">
        <v>32</v>
      </c>
      <c r="D4703" s="3">
        <v>41</v>
      </c>
      <c r="E4703" s="3">
        <v>37</v>
      </c>
      <c r="F4703" s="3">
        <v>10.26</v>
      </c>
      <c r="G4703" s="3">
        <v>0</v>
      </c>
      <c r="I4703" s="3">
        <f>E4703+G4703+H4703</f>
        <v>37</v>
      </c>
      <c r="J4703" s="3">
        <f>ROUND(MIN(IF(C4703="Técnico III",35,IF(C4703="Técnico II",28,IF(C4703="Técnico I",23,IF(C4703="JR",20,IF(C4703="Estágio",10,0))))),IF(C4703="Técnico III",SUMIFS($D:$D,$A:$A,$A4703,$B:$B,"&lt;&gt;Patrícia Karla de Sousa Araújo",$B:$B,"&lt;&gt;Lorena Dias de Araujo",$B:$B,"&lt;&gt;Lucas Luiz Romero")*(35/1083),IF(C4703="Técnico II",SUMIFS($D:$D,$A:$A,$A4703,$B:$B,"&lt;&gt;Patrícia Karla de Sousa Araújo",$B:$B,"&lt;&gt;Lorena Dias de Araujo",$B:$B,"&lt;&gt;Lucas Luiz Romero")*(28/1083),IF(C4703="Técnico I",SUMIFS($D:$D,$A:$A,$A4703,$B:$B,"&lt;&gt;Patrícia Karla de Sousa Araújo",$B:$B,"&lt;&gt;Lorena Dias de Araujo",$B:$B,"&lt;&gt;Lucas Luiz Romero")*(23/1083),IF(C4703="JR",SUMIFS($D:$D,$A:$A,$A4703,$B:$B,"&lt;&gt;Patrícia Karla de Sousa Araújo",$B:$B,"&lt;&gt;Lorena Dias de Araujo",$B:$B,"&lt;&gt;Lucas Luiz Romero")*(20/1083),IF(C4703="Estágio",SUMIFS($D:$D,$A:$A,$A4703,$B:$B,"&lt;&gt;Patrícia Karla de Sousa Araújo",$B:$B,"&lt;&gt;Lorena Dias de Araujo",$B:$B,"&lt;&gt;Lucas Luiz Romero")*(10/1083),0)))))),0)</f>
        <v>27</v>
      </c>
      <c r="K4703" s="3">
        <f>I4703-J4703</f>
        <v>10</v>
      </c>
      <c r="L4703" s="3" t="str">
        <f>IF(K4703&lt;-5,"CRÍTICO",IF(K4703&lt;0,"ATENÇÃO",IF(K4703&lt;=5,"OPORTUNO","MUITO BOM")))</f>
        <v>MUITO BOM</v>
      </c>
      <c r="M4703" s="3">
        <v>3</v>
      </c>
      <c r="N4703" s="3">
        <v>99.47</v>
      </c>
      <c r="O4703" s="12">
        <v>26.702508960573478</v>
      </c>
    </row>
    <row r="4704" spans="1:15" hidden="1" x14ac:dyDescent="0.25">
      <c r="A4704" s="10">
        <v>46171</v>
      </c>
      <c r="B4704" t="s">
        <v>64</v>
      </c>
      <c r="C4704" s="1" t="s">
        <v>23</v>
      </c>
      <c r="D4704" s="3">
        <v>14</v>
      </c>
      <c r="E4704" s="3">
        <v>12</v>
      </c>
      <c r="F4704" s="3">
        <v>27.18</v>
      </c>
      <c r="G4704" s="3">
        <v>1</v>
      </c>
      <c r="H4704" s="3">
        <v>0</v>
      </c>
      <c r="I4704" s="3">
        <f>E4704+G4704+H4704</f>
        <v>13</v>
      </c>
      <c r="J4704" s="3">
        <f>ROUND(MIN(IF(C4704="Técnico III",35,IF(C4704="Técnico II",28,IF(C4704="Técnico I",23,IF(C4704="JR",20,IF(C4704="Estágio",10,0))))),IF(C4704="Técnico III",SUMIFS($D:$D,$A:$A,$A4704,$B:$B,"&lt;&gt;Patrícia Karla de Sousa Araújo",$B:$B,"&lt;&gt;Lorena Dias de Araujo",$B:$B,"&lt;&gt;Lucas Luiz Romero")*(35/1083),IF(C4704="Técnico II",SUMIFS($D:$D,$A:$A,$A4704,$B:$B,"&lt;&gt;Patrícia Karla de Sousa Araújo",$B:$B,"&lt;&gt;Lorena Dias de Araujo",$B:$B,"&lt;&gt;Lucas Luiz Romero")*(28/1083),IF(C4704="Técnico I",SUMIFS($D:$D,$A:$A,$A4704,$B:$B,"&lt;&gt;Patrícia Karla de Sousa Araújo",$B:$B,"&lt;&gt;Lorena Dias de Araujo",$B:$B,"&lt;&gt;Lucas Luiz Romero")*(23/1083),IF(C4704="JR",SUMIFS($D:$D,$A:$A,$A4704,$B:$B,"&lt;&gt;Patrícia Karla de Sousa Araújo",$B:$B,"&lt;&gt;Lorena Dias de Araujo",$B:$B,"&lt;&gt;Lucas Luiz Romero")*(20/1083),IF(C4704="Estágio",SUMIFS($D:$D,$A:$A,$A4704,$B:$B,"&lt;&gt;Patrícia Karla de Sousa Araújo",$B:$B,"&lt;&gt;Lorena Dias de Araujo",$B:$B,"&lt;&gt;Lucas Luiz Romero")*(10/1083),0)))))),0)</f>
        <v>18</v>
      </c>
      <c r="K4704" s="3">
        <f>I4704-J4704</f>
        <v>-5</v>
      </c>
      <c r="L4704" s="3" t="str">
        <f>IF(K4704&lt;-5,"CRÍTICO",IF(K4704&lt;0,"ATENÇÃO",IF(K4704&lt;=5,"OPORTUNO","MUITO BOM")))</f>
        <v>ATENÇÃO</v>
      </c>
      <c r="M4704" s="3">
        <v>0</v>
      </c>
      <c r="N4704" s="3">
        <v>100</v>
      </c>
      <c r="O4704" s="12">
        <v>19.35483870967742</v>
      </c>
    </row>
    <row r="4705" spans="1:15" hidden="1" x14ac:dyDescent="0.25">
      <c r="A4705" s="10">
        <v>46171</v>
      </c>
      <c r="B4705" t="s">
        <v>46</v>
      </c>
      <c r="C4705" s="1" t="s">
        <v>32</v>
      </c>
      <c r="D4705" s="3">
        <v>27</v>
      </c>
      <c r="E4705" s="3">
        <v>26</v>
      </c>
      <c r="F4705" s="3">
        <v>12.14</v>
      </c>
      <c r="G4705" s="3">
        <v>0</v>
      </c>
      <c r="I4705" s="3">
        <f>E4705+G4705+H4705</f>
        <v>26</v>
      </c>
      <c r="J4705" s="3">
        <f>ROUND(MIN(IF(C4705="Técnico III",35,IF(C4705="Técnico II",28,IF(C4705="Técnico I",23,IF(C4705="JR",20,IF(C4705="Estágio",10,0))))),IF(C4705="Técnico III",SUMIFS($D:$D,$A:$A,$A4705,$B:$B,"&lt;&gt;Patrícia Karla de Sousa Araújo",$B:$B,"&lt;&gt;Lorena Dias de Araujo",$B:$B,"&lt;&gt;Lucas Luiz Romero")*(35/1083),IF(C4705="Técnico II",SUMIFS($D:$D,$A:$A,$A4705,$B:$B,"&lt;&gt;Patrícia Karla de Sousa Araújo",$B:$B,"&lt;&gt;Lorena Dias de Araujo",$B:$B,"&lt;&gt;Lucas Luiz Romero")*(28/1083),IF(C4705="Técnico I",SUMIFS($D:$D,$A:$A,$A4705,$B:$B,"&lt;&gt;Patrícia Karla de Sousa Araújo",$B:$B,"&lt;&gt;Lorena Dias de Araujo",$B:$B,"&lt;&gt;Lucas Luiz Romero")*(23/1083),IF(C4705="JR",SUMIFS($D:$D,$A:$A,$A4705,$B:$B,"&lt;&gt;Patrícia Karla de Sousa Araújo",$B:$B,"&lt;&gt;Lorena Dias de Araujo",$B:$B,"&lt;&gt;Lucas Luiz Romero")*(20/1083),IF(C4705="Estágio",SUMIFS($D:$D,$A:$A,$A4705,$B:$B,"&lt;&gt;Patrícia Karla de Sousa Araújo",$B:$B,"&lt;&gt;Lorena Dias de Araujo",$B:$B,"&lt;&gt;Lucas Luiz Romero")*(10/1083),0)))))),0)</f>
        <v>27</v>
      </c>
      <c r="K4705" s="3">
        <f>I4705-J4705</f>
        <v>-1</v>
      </c>
      <c r="L4705" s="3" t="str">
        <f>IF(K4705&lt;-5,"CRÍTICO",IF(K4705&lt;0,"ATENÇÃO",IF(K4705&lt;=5,"OPORTUNO","MUITO BOM")))</f>
        <v>ATENÇÃO</v>
      </c>
      <c r="M4705" s="3">
        <v>6</v>
      </c>
      <c r="N4705" s="3">
        <v>97.39</v>
      </c>
      <c r="O4705" s="12">
        <v>21.271393643031789</v>
      </c>
    </row>
  </sheetData>
  <autoFilter ref="A1:O4705" xr:uid="{00000000-0009-0000-0000-000000000000}">
    <filterColumn colId="0">
      <filters>
        <dateGroupItem year="2026" month="5" dateTimeGrouping="month"/>
      </filters>
    </filterColumn>
    <filterColumn colId="2">
      <filters>
        <filter val="Estágio"/>
        <filter val="JR"/>
      </filters>
    </filterColumn>
    <sortState xmlns:xlrd2="http://schemas.microsoft.com/office/spreadsheetml/2017/richdata2" ref="A2:O4672">
      <sortCondition ref="B1:B4705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2026-06-01T18:13:43Z</dcterms:modified>
</cp:coreProperties>
</file>
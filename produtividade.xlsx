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90"/>
  <sheetViews>
    <sheetView tabSelected="1" topLeftCell="A4625" zoomScale="85" zoomScaleNormal="85" workbookViewId="0">
      <selection activeCell="I4487" sqref="I4487:I4613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IF(K17&lt;-5,"CRÍTICO",IF(K17&lt;0,"ATENÇÃO",IF(K17&lt;=5,"OPORTUNO","MUITO BOM")))</f>
        <v/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IF(K21&lt;-5,"CRÍTICO",IF(K21&lt;0,"ATENÇÃO",IF(K21&lt;=5,"OPORTUNO","MUITO BOM")))</f>
        <v/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IF(K22&lt;-5,"CRÍTICO",IF(K22&lt;0,"ATENÇÃO",IF(K22&lt;=5,"OPORTUNO","MUITO BOM")))</f>
        <v/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IF(K23&lt;-5,"CRÍTICO",IF(K23&lt;0,"ATENÇÃO",IF(K23&lt;=5,"OPORTUNO","MUITO BOM")))</f>
        <v/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IF(K24&lt;-5,"CRÍTICO",IF(K24&lt;0,"ATENÇÃO",IF(K24&lt;=5,"OPORTUNO","MUITO BOM")))</f>
        <v/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IF(K27&lt;-5,"CRÍTICO",IF(K27&lt;0,"ATENÇÃO",IF(K27&lt;=5,"OPORTUNO","MUITO BOM")))</f>
        <v/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IF(K28&lt;-5,"CRÍTICO",IF(K28&lt;0,"ATENÇÃO",IF(K28&lt;=5,"OPORTUNO","MUITO BOM")))</f>
        <v/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IF(K29&lt;-5,"CRÍTICO",IF(K29&lt;0,"ATENÇÃO",IF(K29&lt;=5,"OPORTUNO","MUITO BOM")))</f>
        <v/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IF(K30&lt;-5,"CRÍTICO",IF(K30&lt;0,"ATENÇÃO",IF(K30&lt;=5,"OPORTUNO","MUITO BOM")))</f>
        <v/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IF(K158&lt;-5,"CRÍTICO",IF(K158&lt;0,"ATENÇÃO",IF(K158&lt;=5,"OPORTUNO","MUITO BOM")))</f>
        <v/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IF(K159&lt;-5,"CRÍTICO",IF(K159&lt;0,"ATENÇÃO",IF(K159&lt;=5,"OPORTUNO","MUITO BOM")))</f>
        <v/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IF(K160&lt;-5,"CRÍTICO",IF(K160&lt;0,"ATENÇÃO",IF(K160&lt;=5,"OPORTUNO","MUITO BOM")))</f>
        <v/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IF(K161&lt;-5,"CRÍTICO",IF(K161&lt;0,"ATENÇÃO",IF(K161&lt;=5,"OPORTUNO","MUITO BOM")))</f>
        <v/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IF(K162&lt;-5,"CRÍTICO",IF(K162&lt;0,"ATENÇÃO",IF(K162&lt;=5,"OPORTUNO","MUITO BOM")))</f>
        <v/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IF(K163&lt;-5,"CRÍTICO",IF(K163&lt;0,"ATENÇÃO",IF(K163&lt;=5,"OPORTUNO","MUITO BOM")))</f>
        <v/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IF(K164&lt;-5,"CRÍTICO",IF(K164&lt;0,"ATENÇÃO",IF(K164&lt;=5,"OPORTUNO","MUITO BOM")))</f>
        <v/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IF(K165&lt;-5,"CRÍTICO",IF(K165&lt;0,"ATENÇÃO",IF(K165&lt;=5,"OPORTUNO","MUITO BOM")))</f>
        <v/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IF(K365&lt;-5,"CRÍTICO",IF(K365&lt;0,"ATENÇÃO",IF(K365&lt;=5,"OPORTUNO","MUITO BOM")))</f>
        <v/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IF(K366&lt;-5,"CRÍTICO",IF(K366&lt;0,"ATENÇÃO",IF(K366&lt;=5,"OPORTUNO","MUITO BOM")))</f>
        <v/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>
        <f>E367+G367+H367</f>
        <v/>
      </c>
      <c r="J367" s="3">
        <f>ROUND(MIN(IF(C367="Técnico III",35,IF(C367="Técnico II",28,IF(C367="Técnico I",23,IF(C367="JR",20,IF(C367="Estágio",10,0))))),IF(C367="Técnico III",SUMIFS($D:$D,$A:$A,$A367,$B:$B,"&lt;&gt;Patrícia Karla de Sousa Araújo",$B:$B,"&lt;&gt;Lorena Dias de Araujo",$B:$B,"&lt;&gt;Lucas Luiz Romero")*(35/1083),IF(C367="Técnico II",SUMIFS($D:$D,$A:$A,$A367,$B:$B,"&lt;&gt;Patrícia Karla de Sousa Araújo",$B:$B,"&lt;&gt;Lorena Dias de Araujo",$B:$B,"&lt;&gt;Lucas Luiz Romero")*(28/1083),IF(C367="Técnico I",SUMIFS($D:$D,$A:$A,$A367,$B:$B,"&lt;&gt;Patrícia Karla de Sousa Araújo",$B:$B,"&lt;&gt;Lorena Dias de Araujo",$B:$B,"&lt;&gt;Lucas Luiz Romero")*(23/1083),IF(C367="JR",SUMIFS($D:$D,$A:$A,$A367,$B:$B,"&lt;&gt;Patrícia Karla de Sousa Araújo",$B:$B,"&lt;&gt;Lorena Dias de Araujo",$B:$B,"&lt;&gt;Lucas Luiz Romero")*(20/1083),IF(C367="Estágio",SUMIFS($D:$D,$A:$A,$A367,$B:$B,"&lt;&gt;Patrícia Karla de Sousa Araújo",$B:$B,"&lt;&gt;Lorena Dias de Araujo",$B:$B,"&lt;&gt;Lucas Luiz Romero")*(10/1083),0)))))),0)</f>
        <v/>
      </c>
      <c r="K367" s="3">
        <f>I367-J367</f>
        <v/>
      </c>
      <c r="L367" s="3">
        <f>IF(K367&lt;-5,"CRÍTICO",IF(K367&lt;0,"ATENÇÃO",IF(K367&lt;=5,"OPORTUNO","MUITO BOM")))</f>
        <v/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IF(K368&lt;-5,"CRÍTICO",IF(K368&lt;0,"ATENÇÃO",IF(K368&lt;=5,"OPORTUNO","MUITO BOM")))</f>
        <v/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IF(K370&lt;-5,"CRÍTICO",IF(K370&lt;0,"ATENÇÃO",IF(K370&lt;=5,"OPORTUNO","MUITO BOM")))</f>
        <v/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IF(K371&lt;-5,"CRÍTICO",IF(K371&lt;0,"ATENÇÃO",IF(K371&lt;=5,"OPORTUNO","MUITO BOM")))</f>
        <v/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IF(K372&lt;-5,"CRÍTICO",IF(K372&lt;0,"ATENÇÃO",IF(K372&lt;=5,"OPORTUNO","MUITO BOM")))</f>
        <v/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IF(K373&lt;-5,"CRÍTICO",IF(K373&lt;0,"ATENÇÃO",IF(K373&lt;=5,"OPORTUNO","MUITO BOM")))</f>
        <v/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IF(K409&lt;-5,"CRÍTICO",IF(K409&lt;0,"ATENÇÃO",IF(K409&lt;=5,"OPORTUNO","MUITO BOM")))</f>
        <v/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IF(K410&lt;-5,"CRÍTICO",IF(K410&lt;0,"ATENÇÃO",IF(K410&lt;=5,"OPORTUNO","MUITO BOM")))</f>
        <v/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IF(K413&lt;-5,"CRÍTICO",IF(K413&lt;0,"ATENÇÃO",IF(K413&lt;=5,"OPORTUNO","MUITO BOM")))</f>
        <v/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>
        <f>IF(K414&lt;-5,"CRÍTICO",IF(K414&lt;0,"ATENÇÃO",IF(K414&lt;=5,"OPORTUNO","MUITO BOM")))</f>
        <v/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>
        <f>IF(K415&lt;-5,"CRÍTICO",IF(K415&lt;0,"ATENÇÃO",IF(K415&lt;=5,"OPORTUNO","MUITO BOM")))</f>
        <v/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>
        <f>IF(K416&lt;-5,"CRÍTICO",IF(K416&lt;0,"ATENÇÃO",IF(K416&lt;=5,"OPORTUNO","MUITO BOM")))</f>
        <v/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IF(K417&lt;-5,"CRÍTICO",IF(K417&lt;0,"ATENÇÃO",IF(K417&lt;=5,"OPORTUNO","MUITO BOM")))</f>
        <v/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IF(K419&lt;-5,"CRÍTICO",IF(K419&lt;0,"ATENÇÃO",IF(K419&lt;=5,"OPORTUNO","MUITO BOM")))</f>
        <v/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>
        <f>E468+G468+H468</f>
        <v/>
      </c>
      <c r="J468" s="3">
        <f>ROUND(MIN(IF(C468="Técnico III",35,IF(C468="Técnico II",28,IF(C468="Técnico I",23,IF(C468="JR",20,IF(C468="Estágio",10,0))))),IF(C468="Técnico III",SUMIFS($D:$D,$A:$A,$A468,$B:$B,"&lt;&gt;Patrícia Karla de Sousa Araújo",$B:$B,"&lt;&gt;Lorena Dias de Araujo",$B:$B,"&lt;&gt;Lucas Luiz Romero")*(35/1083),IF(C468="Técnico II",SUMIFS($D:$D,$A:$A,$A468,$B:$B,"&lt;&gt;Patrícia Karla de Sousa Araújo",$B:$B,"&lt;&gt;Lorena Dias de Araujo",$B:$B,"&lt;&gt;Lucas Luiz Romero")*(28/1083),IF(C468="Técnico I",SUMIFS($D:$D,$A:$A,$A468,$B:$B,"&lt;&gt;Patrícia Karla de Sousa Araújo",$B:$B,"&lt;&gt;Lorena Dias de Araujo",$B:$B,"&lt;&gt;Lucas Luiz Romero")*(23/1083),IF(C468="JR",SUMIFS($D:$D,$A:$A,$A468,$B:$B,"&lt;&gt;Patrícia Karla de Sousa Araújo",$B:$B,"&lt;&gt;Lorena Dias de Araujo",$B:$B,"&lt;&gt;Lucas Luiz Romero")*(20/1083),IF(C468="Estágio",SUMIFS($D:$D,$A:$A,$A468,$B:$B,"&lt;&gt;Patrícia Karla de Sousa Araújo",$B:$B,"&lt;&gt;Lorena Dias de Araujo",$B:$B,"&lt;&gt;Lucas Luiz Romero")*(10/1083),0)))))),0)</f>
        <v/>
      </c>
      <c r="K468" s="3">
        <f>I468-J468</f>
        <v/>
      </c>
      <c r="L468" s="3">
        <f>IF(K468&lt;-5,"CRÍTICO",IF(K468&lt;0,"ATENÇÃO",IF(K468&lt;=5,"OPORTUNO","MUITO BOM")))</f>
        <v/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IF(K505&lt;-5,"CRÍTICO",IF(K505&lt;0,"ATENÇÃO",IF(K505&lt;=5,"OPORTUNO","MUITO BOM")))</f>
        <v/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IF(K506&lt;-5,"CRÍTICO",IF(K506&lt;0,"ATENÇÃO",IF(K506&lt;=5,"OPORTUNO","MUITO BOM")))</f>
        <v/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IF(K508&lt;-5,"CRÍTICO",IF(K508&lt;0,"ATENÇÃO",IF(K508&lt;=5,"OPORTUNO","MUITO BOM")))</f>
        <v/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>
        <f>E509+G509+H509</f>
        <v/>
      </c>
      <c r="J509" s="3">
        <f>ROUND(MIN(IF(C509="Técnico III",35,IF(C509="Técnico II",28,IF(C509="Técnico I",23,IF(C509="JR",20,IF(C509="Estágio",10,0))))),IF(C509="Técnico III",SUMIFS($D:$D,$A:$A,$A509,$B:$B,"&lt;&gt;Patrícia Karla de Sousa Araújo",$B:$B,"&lt;&gt;Lorena Dias de Araujo",$B:$B,"&lt;&gt;Lucas Luiz Romero")*(35/1083),IF(C509="Técnico II",SUMIFS($D:$D,$A:$A,$A509,$B:$B,"&lt;&gt;Patrícia Karla de Sousa Araújo",$B:$B,"&lt;&gt;Lorena Dias de Araujo",$B:$B,"&lt;&gt;Lucas Luiz Romero")*(28/1083),IF(C509="Técnico I",SUMIFS($D:$D,$A:$A,$A509,$B:$B,"&lt;&gt;Patrícia Karla de Sousa Araújo",$B:$B,"&lt;&gt;Lorena Dias de Araujo",$B:$B,"&lt;&gt;Lucas Luiz Romero")*(23/1083),IF(C509="JR",SUMIFS($D:$D,$A:$A,$A509,$B:$B,"&lt;&gt;Patrícia Karla de Sousa Araújo",$B:$B,"&lt;&gt;Lorena Dias de Araujo",$B:$B,"&lt;&gt;Lucas Luiz Romero")*(20/1083),IF(C509="Estágio",SUMIFS($D:$D,$A:$A,$A509,$B:$B,"&lt;&gt;Patrícia Karla de Sousa Araújo",$B:$B,"&lt;&gt;Lorena Dias de Araujo",$B:$B,"&lt;&gt;Lucas Luiz Romero")*(10/1083),0)))))),0)</f>
        <v/>
      </c>
      <c r="K509" s="3">
        <f>I509-J509</f>
        <v/>
      </c>
      <c r="L509" s="3">
        <f>IF(K509&lt;-5,"CRÍTICO",IF(K509&lt;0,"ATENÇÃO",IF(K509&lt;=5,"OPORTUNO","MUITO BOM")))</f>
        <v/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IF(K510&lt;-5,"CRÍTICO",IF(K510&lt;0,"ATENÇÃO",IF(K510&lt;=5,"OPORTUNO","MUITO BOM")))</f>
        <v/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IF(K511&lt;-5,"CRÍTICO",IF(K511&lt;0,"ATENÇÃO",IF(K511&lt;=5,"OPORTUNO","MUITO BOM")))</f>
        <v/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IF(K512&lt;-5,"CRÍTICO",IF(K512&lt;0,"ATENÇÃO",IF(K512&lt;=5,"OPORTUNO","MUITO BOM")))</f>
        <v/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IF(K513&lt;-5,"CRÍTICO",IF(K513&lt;0,"ATENÇÃO",IF(K513&lt;=5,"OPORTUNO","MUITO BOM")))</f>
        <v/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IF(K514&lt;-5,"CRÍTICO",IF(K514&lt;0,"ATENÇÃO",IF(K514&lt;=5,"OPORTUNO","MUITO BOM")))</f>
        <v/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IF(K599&lt;-5,"CRÍTICO",IF(K599&lt;0,"ATENÇÃO",IF(K599&lt;=5,"OPORTUNO","MUITO BOM")))</f>
        <v/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IF(K606&lt;-5,"CRÍTICO",IF(K606&lt;0,"ATENÇÃO",IF(K606&lt;=5,"OPORTUNO","MUITO BOM")))</f>
        <v/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>
        <f>IF(K607&lt;-5,"CRÍTICO",IF(K607&lt;0,"ATENÇÃO",IF(K607&lt;=5,"OPORTUNO","MUITO BOM")))</f>
        <v/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>
        <f>E654+G654+H654</f>
        <v/>
      </c>
      <c r="J654" s="3">
        <f>ROUND(MIN(IF(C654="Técnico III",35,IF(C654="Técnico II",28,IF(C654="Técnico I",23,IF(C654="JR",20,IF(C654="Estágio",10,0))))),IF(C654="Técnico III",SUMIFS($D:$D,$A:$A,$A654,$B:$B,"&lt;&gt;Patrícia Karla de Sousa Araújo",$B:$B,"&lt;&gt;Lorena Dias de Araujo",$B:$B,"&lt;&gt;Lucas Luiz Romero")*(35/1083),IF(C654="Técnico II",SUMIFS($D:$D,$A:$A,$A654,$B:$B,"&lt;&gt;Patrícia Karla de Sousa Araújo",$B:$B,"&lt;&gt;Lorena Dias de Araujo",$B:$B,"&lt;&gt;Lucas Luiz Romero")*(28/1083),IF(C654="Técnico I",SUMIFS($D:$D,$A:$A,$A654,$B:$B,"&lt;&gt;Patrícia Karla de Sousa Araújo",$B:$B,"&lt;&gt;Lorena Dias de Araujo",$B:$B,"&lt;&gt;Lucas Luiz Romero")*(23/1083),IF(C654="JR",SUMIFS($D:$D,$A:$A,$A654,$B:$B,"&lt;&gt;Patrícia Karla de Sousa Araújo",$B:$B,"&lt;&gt;Lorena Dias de Araujo",$B:$B,"&lt;&gt;Lucas Luiz Romero")*(20/1083),IF(C654="Estágio",SUMIFS($D:$D,$A:$A,$A654,$B:$B,"&lt;&gt;Patrícia Karla de Sousa Araújo",$B:$B,"&lt;&gt;Lorena Dias de Araujo",$B:$B,"&lt;&gt;Lucas Luiz Romero")*(10/1083),0)))))),0)</f>
        <v/>
      </c>
      <c r="K654" s="3">
        <f>I654-J654</f>
        <v/>
      </c>
      <c r="L654" s="3">
        <f>IF(K654&lt;-5,"CRÍTICO",IF(K654&lt;0,"ATENÇÃO",IF(K654&lt;=5,"BOM","EXCELENTE")))</f>
        <v/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>
        <f>IF(K659&lt;-5,"CRÍTICO",IF(K659&lt;0,"ATENÇÃO",IF(K659&lt;=5,"OPORTUNO","MUITO BOM")))</f>
        <v/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>
        <f>IF(K660&lt;-5,"CRÍTICO",IF(K660&lt;0,"ATENÇÃO",IF(K660&lt;=5,"OPORTUNO","MUITO BOM")))</f>
        <v/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>
        <f>IF(K662&lt;-5,"CRÍTICO",IF(K662&lt;0,"ATENÇÃO",IF(K662&lt;=5,"OPORTUNO","MUITO BOM")))</f>
        <v/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>
        <f>E727+G727+H727</f>
        <v/>
      </c>
      <c r="J727" s="3">
        <f>ROUND(MIN(IF(C727="Técnico III",35,IF(C727="Técnico II",28,IF(C727="Técnico I",23,IF(C727="JR",20,IF(C727="Estágio",10,0))))),IF(C727="Técnico III",SUMIFS($D:$D,$A:$A,$A727,$B:$B,"&lt;&gt;Patrícia Karla de Sousa Araújo",$B:$B,"&lt;&gt;Lorena Dias de Araujo",$B:$B,"&lt;&gt;Lucas Luiz Romero")*(35/1083),IF(C727="Técnico II",SUMIFS($D:$D,$A:$A,$A727,$B:$B,"&lt;&gt;Patrícia Karla de Sousa Araújo",$B:$B,"&lt;&gt;Lorena Dias de Araujo",$B:$B,"&lt;&gt;Lucas Luiz Romero")*(28/1083),IF(C727="Técnico I",SUMIFS($D:$D,$A:$A,$A727,$B:$B,"&lt;&gt;Patrícia Karla de Sousa Araújo",$B:$B,"&lt;&gt;Lorena Dias de Araujo",$B:$B,"&lt;&gt;Lucas Luiz Romero")*(23/1083),IF(C727="JR",SUMIFS($D:$D,$A:$A,$A727,$B:$B,"&lt;&gt;Patrícia Karla de Sousa Araújo",$B:$B,"&lt;&gt;Lorena Dias de Araujo",$B:$B,"&lt;&gt;Lucas Luiz Romero")*(20/1083),IF(C727="Estágio",SUMIFS($D:$D,$A:$A,$A727,$B:$B,"&lt;&gt;Patrícia Karla de Sousa Araújo",$B:$B,"&lt;&gt;Lorena Dias de Araujo",$B:$B,"&lt;&gt;Lucas Luiz Romero")*(10/1083),0)))))),0)</f>
        <v/>
      </c>
      <c r="K727" s="3">
        <f>I727-J727</f>
        <v/>
      </c>
      <c r="L727" s="3">
        <f>IF(K727&lt;-5,"CRÍTICO",IF(K727&lt;0,"ATENÇÃO",IF(K727&lt;=5,"OPORTUNO","MUITO BOM")))</f>
        <v/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>
        <f>E728+G728+H728</f>
        <v/>
      </c>
      <c r="J728" s="3">
        <f>ROUND(MIN(IF(C728="Técnico III",35,IF(C728="Técnico II",28,IF(C728="Técnico I",23,IF(C728="JR",20,IF(C728="Estágio",10,0))))),IF(C728="Técnico III",SUMIFS($D:$D,$A:$A,$A728,$B:$B,"&lt;&gt;Patrícia Karla de Sousa Araújo",$B:$B,"&lt;&gt;Lorena Dias de Araujo",$B:$B,"&lt;&gt;Lucas Luiz Romero")*(35/1083),IF(C728="Técnico II",SUMIFS($D:$D,$A:$A,$A728,$B:$B,"&lt;&gt;Patrícia Karla de Sousa Araújo",$B:$B,"&lt;&gt;Lorena Dias de Araujo",$B:$B,"&lt;&gt;Lucas Luiz Romero")*(28/1083),IF(C728="Técnico I",SUMIFS($D:$D,$A:$A,$A728,$B:$B,"&lt;&gt;Patrícia Karla de Sousa Araújo",$B:$B,"&lt;&gt;Lorena Dias de Araujo",$B:$B,"&lt;&gt;Lucas Luiz Romero")*(23/1083),IF(C728="JR",SUMIFS($D:$D,$A:$A,$A728,$B:$B,"&lt;&gt;Patrícia Karla de Sousa Araújo",$B:$B,"&lt;&gt;Lorena Dias de Araujo",$B:$B,"&lt;&gt;Lucas Luiz Romero")*(20/1083),IF(C728="Estágio",SUMIFS($D:$D,$A:$A,$A728,$B:$B,"&lt;&gt;Patrícia Karla de Sousa Araújo",$B:$B,"&lt;&gt;Lorena Dias de Araujo",$B:$B,"&lt;&gt;Lucas Luiz Romero")*(10/1083),0)))))),0)</f>
        <v/>
      </c>
      <c r="K728" s="3">
        <f>I728-J728</f>
        <v/>
      </c>
      <c r="L728" s="3">
        <f>IF(K728&lt;-5,"CRÍTICO",IF(K728&lt;0,"ATENÇÃO",IF(K728&lt;=5,"OPORTUNO","MUITO BOM")))</f>
        <v/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>
        <f>IF(K729&lt;-5,"CRÍTICO",IF(K729&lt;0,"ATENÇÃO",IF(K729&lt;=5,"OPORTUNO","MUITO BOM")))</f>
        <v/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IF(K730&lt;-5,"CRÍTICO",IF(K730&lt;0,"ATENÇÃO",IF(K730&lt;=5,"OPORTUNO","MUITO BOM")))</f>
        <v/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IF(K731&lt;-5,"CRÍTICO",IF(K731&lt;0,"ATENÇÃO",IF(K731&lt;=5,"OPORTUNO","MUITO BOM")))</f>
        <v/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>
        <f>E733+G733+H733</f>
        <v/>
      </c>
      <c r="J733" s="3">
        <f>ROUND(MIN(IF(C733="Técnico III",35,IF(C733="Técnico II",28,IF(C733="Técnico I",23,IF(C733="JR",20,IF(C733="Estágio",10,0))))),IF(C733="Técnico III",SUMIFS($D:$D,$A:$A,$A733,$B:$B,"&lt;&gt;Patrícia Karla de Sousa Araújo",$B:$B,"&lt;&gt;Lorena Dias de Araujo",$B:$B,"&lt;&gt;Lucas Luiz Romero")*(35/1083),IF(C733="Técnico II",SUMIFS($D:$D,$A:$A,$A733,$B:$B,"&lt;&gt;Patrícia Karla de Sousa Araújo",$B:$B,"&lt;&gt;Lorena Dias de Araujo",$B:$B,"&lt;&gt;Lucas Luiz Romero")*(28/1083),IF(C733="Técnico I",SUMIFS($D:$D,$A:$A,$A733,$B:$B,"&lt;&gt;Patrícia Karla de Sousa Araújo",$B:$B,"&lt;&gt;Lorena Dias de Araujo",$B:$B,"&lt;&gt;Lucas Luiz Romero")*(23/1083),IF(C733="JR",SUMIFS($D:$D,$A:$A,$A733,$B:$B,"&lt;&gt;Patrícia Karla de Sousa Araújo",$B:$B,"&lt;&gt;Lorena Dias de Araujo",$B:$B,"&lt;&gt;Lucas Luiz Romero")*(20/1083),IF(C733="Estágio",SUMIFS($D:$D,$A:$A,$A733,$B:$B,"&lt;&gt;Patrícia Karla de Sousa Araújo",$B:$B,"&lt;&gt;Lorena Dias de Araujo",$B:$B,"&lt;&gt;Lucas Luiz Romero")*(10/1083),0)))))),0)</f>
        <v/>
      </c>
      <c r="K733" s="3">
        <f>I733-J733</f>
        <v/>
      </c>
      <c r="L733" s="3">
        <f>IF(K733&lt;-5,"CRÍTICO",IF(K733&lt;0,"ATENÇÃO",IF(K733&lt;=5,"OPORTUNO","MUITO BOM")))</f>
        <v/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IF(K734&lt;-5,"CRÍTICO",IF(K734&lt;0,"ATENÇÃO",IF(K734&lt;=5,"OPORTUNO","MUITO BOM")))</f>
        <v/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IF(K735&lt;-5,"CRÍTICO",IF(K735&lt;0,"ATENÇÃO",IF(K735&lt;=5,"OPORTUNO","MUITO BOM")))</f>
        <v/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IF(K736&lt;-5,"CRÍTICO",IF(K736&lt;0,"ATENÇÃO",IF(K736&lt;=5,"OPORTUNO","MUITO BOM")))</f>
        <v/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IF(K737&lt;-5,"CRÍTICO",IF(K737&lt;0,"ATENÇÃO",IF(K737&lt;=5,"OPORTUNO","MUITO BOM")))</f>
        <v/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>
        <f>E738+G738+H738</f>
        <v/>
      </c>
      <c r="J738" s="3">
        <f>ROUND(MIN(IF(C738="Técnico III",35,IF(C738="Técnico II",28,IF(C738="Técnico I",23,IF(C738="JR",20,IF(C738="Estágio",10,0))))),IF(C738="Técnico III",SUMIFS($D:$D,$A:$A,$A738,$B:$B,"&lt;&gt;Patrícia Karla de Sousa Araújo",$B:$B,"&lt;&gt;Lorena Dias de Araujo",$B:$B,"&lt;&gt;Lucas Luiz Romero")*(35/1083),IF(C738="Técnico II",SUMIFS($D:$D,$A:$A,$A738,$B:$B,"&lt;&gt;Patrícia Karla de Sousa Araújo",$B:$B,"&lt;&gt;Lorena Dias de Araujo",$B:$B,"&lt;&gt;Lucas Luiz Romero")*(28/1083),IF(C738="Técnico I",SUMIFS($D:$D,$A:$A,$A738,$B:$B,"&lt;&gt;Patrícia Karla de Sousa Araújo",$B:$B,"&lt;&gt;Lorena Dias de Araujo",$B:$B,"&lt;&gt;Lucas Luiz Romero")*(23/1083),IF(C738="JR",SUMIFS($D:$D,$A:$A,$A738,$B:$B,"&lt;&gt;Patrícia Karla de Sousa Araújo",$B:$B,"&lt;&gt;Lorena Dias de Araujo",$B:$B,"&lt;&gt;Lucas Luiz Romero")*(20/1083),IF(C738="Estágio",SUMIFS($D:$D,$A:$A,$A738,$B:$B,"&lt;&gt;Patrícia Karla de Sousa Araújo",$B:$B,"&lt;&gt;Lorena Dias de Araujo",$B:$B,"&lt;&gt;Lucas Luiz Romero")*(10/1083),0)))))),0)</f>
        <v/>
      </c>
      <c r="K738" s="3">
        <f>I738-J738</f>
        <v/>
      </c>
      <c r="L738" s="3">
        <f>IF(K738&lt;-5,"CRÍTICO",IF(K738&lt;0,"ATENÇÃO",IF(K738&lt;=5,"OPORTUNO","MUITO BOM")))</f>
        <v/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>
        <f>E740+G740+H740</f>
        <v/>
      </c>
      <c r="J740" s="3">
        <f>ROUND(MIN(IF(C740="Técnico III",35,IF(C740="Técnico II",28,IF(C740="Técnico I",23,IF(C740="JR",20,IF(C740="Estágio",10,0))))),IF(C740="Técnico III",SUMIFS($D:$D,$A:$A,$A740,$B:$B,"&lt;&gt;Patrícia Karla de Sousa Araújo",$B:$B,"&lt;&gt;Lorena Dias de Araujo",$B:$B,"&lt;&gt;Lucas Luiz Romero")*(35/1083),IF(C740="Técnico II",SUMIFS($D:$D,$A:$A,$A740,$B:$B,"&lt;&gt;Patrícia Karla de Sousa Araújo",$B:$B,"&lt;&gt;Lorena Dias de Araujo",$B:$B,"&lt;&gt;Lucas Luiz Romero")*(28/1083),IF(C740="Técnico I",SUMIFS($D:$D,$A:$A,$A740,$B:$B,"&lt;&gt;Patrícia Karla de Sousa Araújo",$B:$B,"&lt;&gt;Lorena Dias de Araujo",$B:$B,"&lt;&gt;Lucas Luiz Romero")*(23/1083),IF(C740="JR",SUMIFS($D:$D,$A:$A,$A740,$B:$B,"&lt;&gt;Patrícia Karla de Sousa Araújo",$B:$B,"&lt;&gt;Lorena Dias de Araujo",$B:$B,"&lt;&gt;Lucas Luiz Romero")*(20/1083),IF(C740="Estágio",SUMIFS($D:$D,$A:$A,$A740,$B:$B,"&lt;&gt;Patrícia Karla de Sousa Araújo",$B:$B,"&lt;&gt;Lorena Dias de Araujo",$B:$B,"&lt;&gt;Lucas Luiz Romero")*(10/1083),0)))))),0)</f>
        <v/>
      </c>
      <c r="K740" s="3">
        <f>I740-J740</f>
        <v/>
      </c>
      <c r="L740" s="3">
        <f>IF(K740&lt;-5,"CRÍTICO",IF(K740&lt;0,"ATENÇÃO",IF(K740&lt;=5,"OPORTUNO","MUITO BOM")))</f>
        <v/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IF(K742&lt;-5,"CRÍTICO",IF(K742&lt;0,"ATENÇÃO",IF(K742&lt;=5,"OPORTUNO","MUITO BOM")))</f>
        <v/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IF(K743&lt;-5,"CRÍTICO",IF(K743&lt;0,"ATENÇÃO",IF(K743&lt;=5,"OPORTUNO","MUITO BOM")))</f>
        <v/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IF(K747&lt;-5,"CRÍTICO",IF(K747&lt;0,"ATENÇÃO",IF(K747&lt;=5,"OPORTUNO","MUITO BOM")))</f>
        <v/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IF(K748&lt;-5,"CRÍTICO",IF(K748&lt;0,"ATENÇÃO",IF(K748&lt;=5,"OPORTUNO","MUITO BOM")))</f>
        <v/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>
        <f>E751+G751+H751</f>
        <v/>
      </c>
      <c r="J751" s="3">
        <f>ROUND(MIN(IF(C751="Técnico III",35,IF(C751="Técnico II",28,IF(C751="Técnico I",23,IF(C751="JR",20,IF(C751="Estágio",10,0))))),IF(C751="Técnico III",SUMIFS($D:$D,$A:$A,$A751,$B:$B,"&lt;&gt;Patrícia Karla de Sousa Araújo",$B:$B,"&lt;&gt;Lorena Dias de Araujo",$B:$B,"&lt;&gt;Lucas Luiz Romero")*(35/1083),IF(C751="Técnico II",SUMIFS($D:$D,$A:$A,$A751,$B:$B,"&lt;&gt;Patrícia Karla de Sousa Araújo",$B:$B,"&lt;&gt;Lorena Dias de Araujo",$B:$B,"&lt;&gt;Lucas Luiz Romero")*(28/1083),IF(C751="Técnico I",SUMIFS($D:$D,$A:$A,$A751,$B:$B,"&lt;&gt;Patrícia Karla de Sousa Araújo",$B:$B,"&lt;&gt;Lorena Dias de Araujo",$B:$B,"&lt;&gt;Lucas Luiz Romero")*(23/1083),IF(C751="JR",SUMIFS($D:$D,$A:$A,$A751,$B:$B,"&lt;&gt;Patrícia Karla de Sousa Araújo",$B:$B,"&lt;&gt;Lorena Dias de Araujo",$B:$B,"&lt;&gt;Lucas Luiz Romero")*(20/1083),IF(C751="Estágio",SUMIFS($D:$D,$A:$A,$A751,$B:$B,"&lt;&gt;Patrícia Karla de Sousa Araújo",$B:$B,"&lt;&gt;Lorena Dias de Araujo",$B:$B,"&lt;&gt;Lucas Luiz Romero")*(10/1083),0)))))),0)</f>
        <v/>
      </c>
      <c r="K751" s="3">
        <f>I751-J751</f>
        <v/>
      </c>
      <c r="L751" s="3">
        <f>IF(K751&lt;-5,"CRÍTICO",IF(K751&lt;0,"ATENÇÃO",IF(K751&lt;=5,"OPORTUNO","MUITO BOM")))</f>
        <v/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>
        <f>E753+G753+H753</f>
        <v/>
      </c>
      <c r="J753" s="3">
        <f>ROUND(MIN(IF(C753="Técnico III",35,IF(C753="Técnico II",28,IF(C753="Técnico I",23,IF(C753="JR",20,IF(C753="Estágio",10,0))))),IF(C753="Técnico III",SUMIFS($D:$D,$A:$A,$A753,$B:$B,"&lt;&gt;Patrícia Karla de Sousa Araújo",$B:$B,"&lt;&gt;Lorena Dias de Araujo",$B:$B,"&lt;&gt;Lucas Luiz Romero")*(35/1083),IF(C753="Técnico II",SUMIFS($D:$D,$A:$A,$A753,$B:$B,"&lt;&gt;Patrícia Karla de Sousa Araújo",$B:$B,"&lt;&gt;Lorena Dias de Araujo",$B:$B,"&lt;&gt;Lucas Luiz Romero")*(28/1083),IF(C753="Técnico I",SUMIFS($D:$D,$A:$A,$A753,$B:$B,"&lt;&gt;Patrícia Karla de Sousa Araújo",$B:$B,"&lt;&gt;Lorena Dias de Araujo",$B:$B,"&lt;&gt;Lucas Luiz Romero")*(23/1083),IF(C753="JR",SUMIFS($D:$D,$A:$A,$A753,$B:$B,"&lt;&gt;Patrícia Karla de Sousa Araújo",$B:$B,"&lt;&gt;Lorena Dias de Araujo",$B:$B,"&lt;&gt;Lucas Luiz Romero")*(20/1083),IF(C753="Estágio",SUMIFS($D:$D,$A:$A,$A753,$B:$B,"&lt;&gt;Patrícia Karla de Sousa Araújo",$B:$B,"&lt;&gt;Lorena Dias de Araujo",$B:$B,"&lt;&gt;Lucas Luiz Romero")*(10/1083),0)))))),0)</f>
        <v/>
      </c>
      <c r="K753" s="3">
        <f>I753-J753</f>
        <v/>
      </c>
      <c r="L753" s="3">
        <f>IF(K753&lt;-5,"CRÍTICO",IF(K753&lt;0,"ATENÇÃO",IF(K753&lt;=5,"OPORTUNO","MUITO BOM")))</f>
        <v/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>
        <f>E757+G757+H757</f>
        <v/>
      </c>
      <c r="J757" s="3">
        <f>ROUND(MIN(IF(C757="Técnico III",35,IF(C757="Técnico II",28,IF(C757="Técnico I",23,IF(C757="JR",20,IF(C757="Estágio",10,0))))),IF(C757="Técnico III",SUMIFS($D:$D,$A:$A,$A757,$B:$B,"&lt;&gt;Patrícia Karla de Sousa Araújo",$B:$B,"&lt;&gt;Lorena Dias de Araujo",$B:$B,"&lt;&gt;Lucas Luiz Romero")*(35/1083),IF(C757="Técnico II",SUMIFS($D:$D,$A:$A,$A757,$B:$B,"&lt;&gt;Patrícia Karla de Sousa Araújo",$B:$B,"&lt;&gt;Lorena Dias de Araujo",$B:$B,"&lt;&gt;Lucas Luiz Romero")*(28/1083),IF(C757="Técnico I",SUMIFS($D:$D,$A:$A,$A757,$B:$B,"&lt;&gt;Patrícia Karla de Sousa Araújo",$B:$B,"&lt;&gt;Lorena Dias de Araujo",$B:$B,"&lt;&gt;Lucas Luiz Romero")*(23/1083),IF(C757="JR",SUMIFS($D:$D,$A:$A,$A757,$B:$B,"&lt;&gt;Patrícia Karla de Sousa Araújo",$B:$B,"&lt;&gt;Lorena Dias de Araujo",$B:$B,"&lt;&gt;Lucas Luiz Romero")*(20/1083),IF(C757="Estágio",SUMIFS($D:$D,$A:$A,$A757,$B:$B,"&lt;&gt;Patrícia Karla de Sousa Araújo",$B:$B,"&lt;&gt;Lorena Dias de Araujo",$B:$B,"&lt;&gt;Lucas Luiz Romero")*(10/1083),0)))))),0)</f>
        <v/>
      </c>
      <c r="K757" s="3">
        <f>I757-J757</f>
        <v/>
      </c>
      <c r="L757" s="3">
        <f>IF(K757&lt;-5,"CRÍTICO",IF(K757&lt;0,"ATENÇÃO",IF(K757&lt;=5,"OPORTUNO","MUITO BOM")))</f>
        <v/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>
        <f>E758+G758+H758</f>
        <v/>
      </c>
      <c r="J758" s="3">
        <f>ROUND(MIN(IF(C758="Técnico III",35,IF(C758="Técnico II",28,IF(C758="Técnico I",23,IF(C758="JR",20,IF(C758="Estágio",10,0))))),IF(C758="Técnico III",SUMIFS($D:$D,$A:$A,$A758,$B:$B,"&lt;&gt;Patrícia Karla de Sousa Araújo",$B:$B,"&lt;&gt;Lorena Dias de Araujo",$B:$B,"&lt;&gt;Lucas Luiz Romero")*(35/1083),IF(C758="Técnico II",SUMIFS($D:$D,$A:$A,$A758,$B:$B,"&lt;&gt;Patrícia Karla de Sousa Araújo",$B:$B,"&lt;&gt;Lorena Dias de Araujo",$B:$B,"&lt;&gt;Lucas Luiz Romero")*(28/1083),IF(C758="Técnico I",SUMIFS($D:$D,$A:$A,$A758,$B:$B,"&lt;&gt;Patrícia Karla de Sousa Araújo",$B:$B,"&lt;&gt;Lorena Dias de Araujo",$B:$B,"&lt;&gt;Lucas Luiz Romero")*(23/1083),IF(C758="JR",SUMIFS($D:$D,$A:$A,$A758,$B:$B,"&lt;&gt;Patrícia Karla de Sousa Araújo",$B:$B,"&lt;&gt;Lorena Dias de Araujo",$B:$B,"&lt;&gt;Lucas Luiz Romero")*(20/1083),IF(C758="Estágio",SUMIFS($D:$D,$A:$A,$A758,$B:$B,"&lt;&gt;Patrícia Karla de Sousa Araújo",$B:$B,"&lt;&gt;Lorena Dias de Araujo",$B:$B,"&lt;&gt;Lucas Luiz Romero")*(10/1083),0)))))),0)</f>
        <v/>
      </c>
      <c r="K758" s="3">
        <f>I758-J758</f>
        <v/>
      </c>
      <c r="L758" s="3">
        <f>IF(K758&lt;-5,"CRÍTICO",IF(K758&lt;0,"ATENÇÃO",IF(K758&lt;=5,"OPORTUNO","MUITO BOM")))</f>
        <v/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>
        <f>E762+G762+H762</f>
        <v/>
      </c>
      <c r="J762" s="3">
        <f>ROUND(MIN(IF(C762="Técnico III",35,IF(C762="Técnico II",28,IF(C762="Técnico I",23,IF(C762="JR",20,IF(C762="Estágio",10,0))))),IF(C762="Técnico III",SUMIFS($D:$D,$A:$A,$A762,$B:$B,"&lt;&gt;Patrícia Karla de Sousa Araújo",$B:$B,"&lt;&gt;Lorena Dias de Araujo",$B:$B,"&lt;&gt;Lucas Luiz Romero")*(35/1083),IF(C762="Técnico II",SUMIFS($D:$D,$A:$A,$A762,$B:$B,"&lt;&gt;Patrícia Karla de Sousa Araújo",$B:$B,"&lt;&gt;Lorena Dias de Araujo",$B:$B,"&lt;&gt;Lucas Luiz Romero")*(28/1083),IF(C762="Técnico I",SUMIFS($D:$D,$A:$A,$A762,$B:$B,"&lt;&gt;Patrícia Karla de Sousa Araújo",$B:$B,"&lt;&gt;Lorena Dias de Araujo",$B:$B,"&lt;&gt;Lucas Luiz Romero")*(23/1083),IF(C762="JR",SUMIFS($D:$D,$A:$A,$A762,$B:$B,"&lt;&gt;Patrícia Karla de Sousa Araújo",$B:$B,"&lt;&gt;Lorena Dias de Araujo",$B:$B,"&lt;&gt;Lucas Luiz Romero")*(20/1083),IF(C762="Estágio",SUMIFS($D:$D,$A:$A,$A762,$B:$B,"&lt;&gt;Patrícia Karla de Sousa Araújo",$B:$B,"&lt;&gt;Lorena Dias de Araujo",$B:$B,"&lt;&gt;Lucas Luiz Romero")*(10/1083),0)))))),0)</f>
        <v/>
      </c>
      <c r="K762" s="3">
        <f>I762-J762</f>
        <v/>
      </c>
      <c r="L762" s="3">
        <f>IF(K762&lt;-5,"CRÍTICO",IF(K762&lt;0,"ATENÇÃO",IF(K762&lt;=5,"OPORTUNO","MUITO BOM")))</f>
        <v/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>
        <f>IF(K3341&lt;-5,"CRÍTICO",IF(K3341&lt;0,"ATENÇÃO",IF(K3341&lt;=5,"OPORTUNO","MUITO BOM")))</f>
        <v/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>
        <f>IF(K3517&lt;-5,"CRÍTICO",IF(K3517&lt;0,"ATENÇÃO",IF(K3517&lt;=5,"OPORTUNO","MUITO BOM")))</f>
        <v/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>
        <f>E3649+G3649+H3649</f>
        <v/>
      </c>
      <c r="J3649" s="3">
        <f>ROUND(MIN(IF(C3649="Técnico III",35,IF(C3649="Técnico II",28,IF(C3649="Técnico I",23,IF(C3649="JR",20,IF(C3649="Estágio",10,0))))),IF(C3649="Técnico III",SUMIFS($D:$D,$A:$A,$A3649,$B:$B,"&lt;&gt;Patrícia Karla de Sousa Araújo",$B:$B,"&lt;&gt;Lorena Dias de Araujo",$B:$B,"&lt;&gt;Lucas Luiz Romero")*(35/1083),IF(C3649="Técnico II",SUMIFS($D:$D,$A:$A,$A3649,$B:$B,"&lt;&gt;Patrícia Karla de Sousa Araújo",$B:$B,"&lt;&gt;Lorena Dias de Araujo",$B:$B,"&lt;&gt;Lucas Luiz Romero")*(28/1083),IF(C3649="Técnico I",SUMIFS($D:$D,$A:$A,$A3649,$B:$B,"&lt;&gt;Patrícia Karla de Sousa Araújo",$B:$B,"&lt;&gt;Lorena Dias de Araujo",$B:$B,"&lt;&gt;Lucas Luiz Romero")*(23/1083),IF(C3649="JR",SUMIFS($D:$D,$A:$A,$A3649,$B:$B,"&lt;&gt;Patrícia Karla de Sousa Araújo",$B:$B,"&lt;&gt;Lorena Dias de Araujo",$B:$B,"&lt;&gt;Lucas Luiz Romero")*(20/1083),IF(C3649="Estágio",SUMIFS($D:$D,$A:$A,$A3649,$B:$B,"&lt;&gt;Patrícia Karla de Sousa Araújo",$B:$B,"&lt;&gt;Lorena Dias de Araujo",$B:$B,"&lt;&gt;Lucas Luiz Romero")*(10/1083),0)))))),0)</f>
        <v/>
      </c>
      <c r="K3649" s="3">
        <f>I3649-J3649</f>
        <v/>
      </c>
      <c r="L3649" s="3">
        <f>IF(K3649&lt;-5,"CRÍTICO",IF(K3649&lt;0,"ATENÇÃO",IF(K3649&lt;=5,"OPORTUNO","MUITO BOM")))</f>
        <v/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>
        <f>E3666+G3666+H3666</f>
        <v/>
      </c>
      <c r="J3666" s="3">
        <f>ROUND(MIN(IF(C3666="Técnico III",35,IF(C3666="Técnico II",28,IF(C3666="Técnico I",23,IF(C3666="JR",20,IF(C3666="Estágio",10,0))))),IF(C3666="Técnico III",SUMIFS($D:$D,$A:$A,$A3666,$B:$B,"&lt;&gt;Patrícia Karla de Sousa Araújo",$B:$B,"&lt;&gt;Lorena Dias de Araujo",$B:$B,"&lt;&gt;Lucas Luiz Romero")*(35/1083),IF(C3666="Técnico II",SUMIFS($D:$D,$A:$A,$A3666,$B:$B,"&lt;&gt;Patrícia Karla de Sousa Araújo",$B:$B,"&lt;&gt;Lorena Dias de Araujo",$B:$B,"&lt;&gt;Lucas Luiz Romero")*(28/1083),IF(C3666="Técnico I",SUMIFS($D:$D,$A:$A,$A3666,$B:$B,"&lt;&gt;Patrícia Karla de Sousa Araújo",$B:$B,"&lt;&gt;Lorena Dias de Araujo",$B:$B,"&lt;&gt;Lucas Luiz Romero")*(23/1083),IF(C3666="JR",SUMIFS($D:$D,$A:$A,$A3666,$B:$B,"&lt;&gt;Patrícia Karla de Sousa Araújo",$B:$B,"&lt;&gt;Lorena Dias de Araujo",$B:$B,"&lt;&gt;Lucas Luiz Romero")*(20/1083),IF(C3666="Estágio",SUMIFS($D:$D,$A:$A,$A3666,$B:$B,"&lt;&gt;Patrícia Karla de Sousa Araújo",$B:$B,"&lt;&gt;Lorena Dias de Araujo",$B:$B,"&lt;&gt;Lucas Luiz Romero")*(10/1083),0)))))),0)</f>
        <v/>
      </c>
      <c r="K3666" s="3">
        <f>I3666-J3666</f>
        <v/>
      </c>
      <c r="L3666" s="3">
        <f>IF(K3666&lt;-5,"CRÍTICO",IF(K3666&lt;0,"ATENÇÃO",IF(K3666&lt;=5,"OPORTUNO","MUITO BOM")))</f>
        <v/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>
        <f>E3671+G3671+H3671</f>
        <v/>
      </c>
      <c r="J3671" s="3">
        <f>ROUND(MIN(IF(C3671="Técnico III",35,IF(C3671="Técnico II",28,IF(C3671="Técnico I",23,IF(C3671="JR",20,IF(C3671="Estágio",10,0))))),IF(C3671="Técnico III",SUMIFS($D:$D,$A:$A,$A3671,$B:$B,"&lt;&gt;Patrícia Karla de Sousa Araújo",$B:$B,"&lt;&gt;Lorena Dias de Araujo",$B:$B,"&lt;&gt;Lucas Luiz Romero")*(35/1083),IF(C3671="Técnico II",SUMIFS($D:$D,$A:$A,$A3671,$B:$B,"&lt;&gt;Patrícia Karla de Sousa Araújo",$B:$B,"&lt;&gt;Lorena Dias de Araujo",$B:$B,"&lt;&gt;Lucas Luiz Romero")*(28/1083),IF(C3671="Técnico I",SUMIFS($D:$D,$A:$A,$A3671,$B:$B,"&lt;&gt;Patrícia Karla de Sousa Araújo",$B:$B,"&lt;&gt;Lorena Dias de Araujo",$B:$B,"&lt;&gt;Lucas Luiz Romero")*(23/1083),IF(C3671="JR",SUMIFS($D:$D,$A:$A,$A3671,$B:$B,"&lt;&gt;Patrícia Karla de Sousa Araújo",$B:$B,"&lt;&gt;Lorena Dias de Araujo",$B:$B,"&lt;&gt;Lucas Luiz Romero")*(20/1083),IF(C3671="Estágio",SUMIFS($D:$D,$A:$A,$A3671,$B:$B,"&lt;&gt;Patrícia Karla de Sousa Araújo",$B:$B,"&lt;&gt;Lorena Dias de Araujo",$B:$B,"&lt;&gt;Lucas Luiz Romero")*(10/1083),0)))))),0)</f>
        <v/>
      </c>
      <c r="K3671" s="3">
        <f>I3671-J3671</f>
        <v/>
      </c>
      <c r="L3671" s="3">
        <f>IF(K3671&lt;-5,"CRÍTICO",IF(K3671&lt;0,"ATENÇÃO",IF(K3671&lt;=5,"OPORTUNO","MUITO BOM")))</f>
        <v/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>
        <f>IF(K3781&lt;-5,"CRÍTICO",IF(K3781&lt;0,"ATENÇÃO",IF(K3781&lt;=5,"OPORTUNO","MUITO BOM")))</f>
        <v/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>
        <f>E3798+G3798+H3798</f>
        <v/>
      </c>
      <c r="J3798" s="3">
        <f>ROUND(MIN(IF(C3798="Técnico III",35,IF(C3798="Técnico II",28,IF(C3798="Técnico I",23,IF(C3798="JR",20,IF(C3798="Estágio",10,0))))),IF(C3798="Técnico III",SUMIFS($D:$D,$A:$A,$A3798,$B:$B,"&lt;&gt;Patrícia Karla de Sousa Araújo",$B:$B,"&lt;&gt;Lorena Dias de Araujo",$B:$B,"&lt;&gt;Lucas Luiz Romero")*(35/1083),IF(C3798="Técnico II",SUMIFS($D:$D,$A:$A,$A3798,$B:$B,"&lt;&gt;Patrícia Karla de Sousa Araújo",$B:$B,"&lt;&gt;Lorena Dias de Araujo",$B:$B,"&lt;&gt;Lucas Luiz Romero")*(28/1083),IF(C3798="Técnico I",SUMIFS($D:$D,$A:$A,$A3798,$B:$B,"&lt;&gt;Patrícia Karla de Sousa Araújo",$B:$B,"&lt;&gt;Lorena Dias de Araujo",$B:$B,"&lt;&gt;Lucas Luiz Romero")*(23/1083),IF(C3798="JR",SUMIFS($D:$D,$A:$A,$A3798,$B:$B,"&lt;&gt;Patrícia Karla de Sousa Araújo",$B:$B,"&lt;&gt;Lorena Dias de Araujo",$B:$B,"&lt;&gt;Lucas Luiz Romero")*(20/1083),IF(C3798="Estágio",SUMIFS($D:$D,$A:$A,$A3798,$B:$B,"&lt;&gt;Patrícia Karla de Sousa Araújo",$B:$B,"&lt;&gt;Lorena Dias de Araujo",$B:$B,"&lt;&gt;Lucas Luiz Romero")*(10/1083),0)))))),0)</f>
        <v/>
      </c>
      <c r="K3798" s="3">
        <f>I3798-J3798</f>
        <v/>
      </c>
      <c r="L3798" s="3">
        <f>IF(K3798&lt;-5,"CRÍTICO",IF(K3798&lt;0,"ATENÇÃO",IF(K3798&lt;=5,"OPORTUNO","MUITO BOM")))</f>
        <v/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>
        <f>IF(K3803&lt;-5,"CRÍTICO",IF(K3803&lt;0,"ATENÇÃO",IF(K3803&lt;=5,"OPORTUNO","MUITO BOM")))</f>
        <v/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>
        <f>E3930+G3930+H3930</f>
        <v/>
      </c>
      <c r="J3930" s="3">
        <f>ROUND(MIN(IF(C3930="Técnico III",35,IF(C3930="Técnico II",28,IF(C3930="Técnico I",23,IF(C3930="JR",20,IF(C3930="Estágio",10,0))))),IF(C3930="Técnico III",SUMIFS($D:$D,$A:$A,$A3930,$B:$B,"&lt;&gt;Patrícia Karla de Sousa Araújo",$B:$B,"&lt;&gt;Lorena Dias de Araujo",$B:$B,"&lt;&gt;Lucas Luiz Romero")*(35/1083),IF(C3930="Técnico II",SUMIFS($D:$D,$A:$A,$A3930,$B:$B,"&lt;&gt;Patrícia Karla de Sousa Araújo",$B:$B,"&lt;&gt;Lorena Dias de Araujo",$B:$B,"&lt;&gt;Lucas Luiz Romero")*(28/1083),IF(C3930="Técnico I",SUMIFS($D:$D,$A:$A,$A3930,$B:$B,"&lt;&gt;Patrícia Karla de Sousa Araújo",$B:$B,"&lt;&gt;Lorena Dias de Araujo",$B:$B,"&lt;&gt;Lucas Luiz Romero")*(23/1083),IF(C3930="JR",SUMIFS($D:$D,$A:$A,$A3930,$B:$B,"&lt;&gt;Patrícia Karla de Sousa Araújo",$B:$B,"&lt;&gt;Lorena Dias de Araujo",$B:$B,"&lt;&gt;Lucas Luiz Romero")*(20/1083),IF(C3930="Estágio",SUMIFS($D:$D,$A:$A,$A3930,$B:$B,"&lt;&gt;Patrícia Karla de Sousa Araújo",$B:$B,"&lt;&gt;Lorena Dias de Araujo",$B:$B,"&lt;&gt;Lucas Luiz Romero")*(10/1083),0)))))),0)</f>
        <v/>
      </c>
      <c r="K3930" s="3">
        <f>I3930-J3930</f>
        <v/>
      </c>
      <c r="L3930" s="3">
        <f>IF(K3930&lt;-5,"CRÍTICO",IF(K3930&lt;0,"ATENÇÃO",IF(K3930&lt;=5,"OPORTUNO","MUITO BOM")))</f>
        <v/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>
        <f>E4104+G4104+H4104</f>
        <v/>
      </c>
      <c r="J4104" s="3">
        <f>ROUND(MIN(IF(C4104="Técnico III",35,IF(C4104="Técnico II",28,IF(C4104="Técnico I",23,IF(C4104="JR",20,IF(C4104="Estágio",10,0))))),IF(C4104="Técnico III",SUMIFS($D:$D,$A:$A,$A4104,$B:$B,"&lt;&gt;Patrícia Karla de Sousa Araújo",$B:$B,"&lt;&gt;Lorena Dias de Araujo",$B:$B,"&lt;&gt;Lucas Luiz Romero")*(35/1083),IF(C4104="Técnico II",SUMIFS($D:$D,$A:$A,$A4104,$B:$B,"&lt;&gt;Patrícia Karla de Sousa Araújo",$B:$B,"&lt;&gt;Lorena Dias de Araujo",$B:$B,"&lt;&gt;Lucas Luiz Romero")*(28/1083),IF(C4104="Técnico I",SUMIFS($D:$D,$A:$A,$A4104,$B:$B,"&lt;&gt;Patrícia Karla de Sousa Araújo",$B:$B,"&lt;&gt;Lorena Dias de Araujo",$B:$B,"&lt;&gt;Lucas Luiz Romero")*(23/1083),IF(C4104="JR",SUMIFS($D:$D,$A:$A,$A4104,$B:$B,"&lt;&gt;Patrícia Karla de Sousa Araújo",$B:$B,"&lt;&gt;Lorena Dias de Araujo",$B:$B,"&lt;&gt;Lucas Luiz Romero")*(20/1083),IF(C4104="Estágio",SUMIFS($D:$D,$A:$A,$A4104,$B:$B,"&lt;&gt;Patrícia Karla de Sousa Araújo",$B:$B,"&lt;&gt;Lorena Dias de Araujo",$B:$B,"&lt;&gt;Lucas Luiz Romero")*(10/1083),0)))))),0)</f>
        <v/>
      </c>
      <c r="K4104" s="3">
        <f>I4104-J4104</f>
        <v/>
      </c>
      <c r="L4104" s="3">
        <f>IF(K4104&lt;-5,"CRÍTICO",IF(K4104&lt;0,"ATENÇÃO",IF(K4104&lt;=5,"OPORTUNO","MUITO BOM")))</f>
        <v/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>
        <f>IF(K4111&lt;-5,"CRÍTICO",IF(K4111&lt;0,"ATENÇÃO",IF(K4111&lt;=5,"OPORTUNO","MUITO BOM")))</f>
        <v/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>
        <f>E4148+G4148+H4148</f>
        <v/>
      </c>
      <c r="J4148" s="3">
        <f>ROUND(MIN(IF(C4148="Técnico III",35,IF(C4148="Técnico II",28,IF(C4148="Técnico I",23,IF(C4148="JR",20,IF(C4148="Estágio",10,0))))),IF(C4148="Técnico III",SUMIFS($D:$D,$A:$A,$A4148,$B:$B,"&lt;&gt;Patrícia Karla de Sousa Araújo",$B:$B,"&lt;&gt;Lorena Dias de Araujo",$B:$B,"&lt;&gt;Lucas Luiz Romero")*(35/1083),IF(C4148="Técnico II",SUMIFS($D:$D,$A:$A,$A4148,$B:$B,"&lt;&gt;Patrícia Karla de Sousa Araújo",$B:$B,"&lt;&gt;Lorena Dias de Araujo",$B:$B,"&lt;&gt;Lucas Luiz Romero")*(28/1083),IF(C4148="Técnico I",SUMIFS($D:$D,$A:$A,$A4148,$B:$B,"&lt;&gt;Patrícia Karla de Sousa Araújo",$B:$B,"&lt;&gt;Lorena Dias de Araujo",$B:$B,"&lt;&gt;Lucas Luiz Romero")*(23/1083),IF(C4148="JR",SUMIFS($D:$D,$A:$A,$A4148,$B:$B,"&lt;&gt;Patrícia Karla de Sousa Araújo",$B:$B,"&lt;&gt;Lorena Dias de Araujo",$B:$B,"&lt;&gt;Lucas Luiz Romero")*(20/1083),IF(C4148="Estágio",SUMIFS($D:$D,$A:$A,$A4148,$B:$B,"&lt;&gt;Patrícia Karla de Sousa Araújo",$B:$B,"&lt;&gt;Lorena Dias de Araujo",$B:$B,"&lt;&gt;Lucas Luiz Romero")*(10/1083),0)))))),0)</f>
        <v/>
      </c>
      <c r="K4148" s="3">
        <f>I4148-J4148</f>
        <v/>
      </c>
      <c r="L4148" s="3">
        <f>IF(K4148&lt;-5,"CRÍTICO",IF(K4148&lt;0,"ATENÇÃO",IF(K4148&lt;=5,"OPORTUNO","MUITO BOM")))</f>
        <v/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>
        <f>IF(K4150&lt;-5,"CRÍTICO",IF(K4150&lt;0,"ATENÇÃO",IF(K4150&lt;=5,"OPORTUNO","MUITO BOM")))</f>
        <v/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>
        <f>IF(K4155&lt;-5,"CRÍTICO",IF(K4155&lt;0,"ATENÇÃO",IF(K4155&lt;=5,"OPORTUNO","MUITO BOM")))</f>
        <v/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>
        <f>E4192+G4192+H4192</f>
        <v/>
      </c>
      <c r="J4192" s="3">
        <f>ROUND(MIN(IF(C4192="Técnico III",35,IF(C4192="Técnico II",28,IF(C4192="Técnico I",23,IF(C4192="JR",20,IF(C4192="Estágio",10,0))))),IF(C4192="Técnico III",SUMIFS($D:$D,$A:$A,$A4192,$B:$B,"&lt;&gt;Patrícia Karla de Sousa Araújo",$B:$B,"&lt;&gt;Lorena Dias de Araujo",$B:$B,"&lt;&gt;Lucas Luiz Romero")*(35/1083),IF(C4192="Técnico II",SUMIFS($D:$D,$A:$A,$A4192,$B:$B,"&lt;&gt;Patrícia Karla de Sousa Araújo",$B:$B,"&lt;&gt;Lorena Dias de Araujo",$B:$B,"&lt;&gt;Lucas Luiz Romero")*(28/1083),IF(C4192="Técnico I",SUMIFS($D:$D,$A:$A,$A4192,$B:$B,"&lt;&gt;Patrícia Karla de Sousa Araújo",$B:$B,"&lt;&gt;Lorena Dias de Araujo",$B:$B,"&lt;&gt;Lucas Luiz Romero")*(23/1083),IF(C4192="JR",SUMIFS($D:$D,$A:$A,$A4192,$B:$B,"&lt;&gt;Patrícia Karla de Sousa Araújo",$B:$B,"&lt;&gt;Lorena Dias de Araujo",$B:$B,"&lt;&gt;Lucas Luiz Romero")*(20/1083),IF(C4192="Estágio",SUMIFS($D:$D,$A:$A,$A4192,$B:$B,"&lt;&gt;Patrícia Karla de Sousa Araújo",$B:$B,"&lt;&gt;Lorena Dias de Araujo",$B:$B,"&lt;&gt;Lucas Luiz Romero")*(10/1083),0)))))),0)</f>
        <v/>
      </c>
      <c r="K4192" s="3">
        <f>I4192-J4192</f>
        <v/>
      </c>
      <c r="L4192" s="3">
        <f>IF(K4192&lt;-5,"CRÍTICO",IF(K4192&lt;0,"ATENÇÃO",IF(K4192&lt;=5,"OPORTUNO","MUITO BOM")))</f>
        <v/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>
        <f>IF(K4194&lt;-5,"CRÍTICO",IF(K4194&lt;0,"ATENÇÃO",IF(K4194&lt;=5,"OPORTUNO","MUITO BOM")))</f>
        <v/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>
        <f>E4236+G4236+H4236</f>
        <v/>
      </c>
      <c r="J4236" s="3">
        <f>ROUND(MIN(IF(C4236="Técnico III",35,IF(C4236="Técnico II",28,IF(C4236="Técnico I",23,IF(C4236="JR",20,IF(C4236="Estágio",10,0))))),IF(C4236="Técnico III",SUMIFS($D:$D,$A:$A,$A4236,$B:$B,"&lt;&gt;Patrícia Karla de Sousa Araújo",$B:$B,"&lt;&gt;Lorena Dias de Araujo",$B:$B,"&lt;&gt;Lucas Luiz Romero")*(35/1083),IF(C4236="Técnico II",SUMIFS($D:$D,$A:$A,$A4236,$B:$B,"&lt;&gt;Patrícia Karla de Sousa Araújo",$B:$B,"&lt;&gt;Lorena Dias de Araujo",$B:$B,"&lt;&gt;Lucas Luiz Romero")*(28/1083),IF(C4236="Técnico I",SUMIFS($D:$D,$A:$A,$A4236,$B:$B,"&lt;&gt;Patrícia Karla de Sousa Araújo",$B:$B,"&lt;&gt;Lorena Dias de Araujo",$B:$B,"&lt;&gt;Lucas Luiz Romero")*(23/1083),IF(C4236="JR",SUMIFS($D:$D,$A:$A,$A4236,$B:$B,"&lt;&gt;Patrícia Karla de Sousa Araújo",$B:$B,"&lt;&gt;Lorena Dias de Araujo",$B:$B,"&lt;&gt;Lucas Luiz Romero")*(20/1083),IF(C4236="Estágio",SUMIFS($D:$D,$A:$A,$A4236,$B:$B,"&lt;&gt;Patrícia Karla de Sousa Araújo",$B:$B,"&lt;&gt;Lorena Dias de Araujo",$B:$B,"&lt;&gt;Lucas Luiz Romero")*(10/1083),0)))))),0)</f>
        <v/>
      </c>
      <c r="K4236" s="3">
        <f>I4236-J4236</f>
        <v/>
      </c>
      <c r="L4236" s="3">
        <f>IF(K4236&lt;-5,"CRÍTICO",IF(K4236&lt;0,"ATENÇÃO",IF(K4236&lt;=5,"OPORTUNO","MUITO BOM")))</f>
        <v/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>
        <f>E4243+G4243+H4243</f>
        <v/>
      </c>
      <c r="J4243" s="3">
        <f>ROUND(MIN(IF(C4243="Técnico III",35,IF(C4243="Técnico II",28,IF(C4243="Técnico I",23,IF(C4243="JR",20,IF(C4243="Estágio",10,0))))),IF(C4243="Técnico III",SUMIFS($D:$D,$A:$A,$A4243,$B:$B,"&lt;&gt;Patrícia Karla de Sousa Araújo",$B:$B,"&lt;&gt;Lorena Dias de Araujo",$B:$B,"&lt;&gt;Lucas Luiz Romero")*(35/1083),IF(C4243="Técnico II",SUMIFS($D:$D,$A:$A,$A4243,$B:$B,"&lt;&gt;Patrícia Karla de Sousa Araújo",$B:$B,"&lt;&gt;Lorena Dias de Araujo",$B:$B,"&lt;&gt;Lucas Luiz Romero")*(28/1083),IF(C4243="Técnico I",SUMIFS($D:$D,$A:$A,$A4243,$B:$B,"&lt;&gt;Patrícia Karla de Sousa Araújo",$B:$B,"&lt;&gt;Lorena Dias de Araujo",$B:$B,"&lt;&gt;Lucas Luiz Romero")*(23/1083),IF(C4243="JR",SUMIFS($D:$D,$A:$A,$A4243,$B:$B,"&lt;&gt;Patrícia Karla de Sousa Araújo",$B:$B,"&lt;&gt;Lorena Dias de Araujo",$B:$B,"&lt;&gt;Lucas Luiz Romero")*(20/1083),IF(C4243="Estágio",SUMIFS($D:$D,$A:$A,$A4243,$B:$B,"&lt;&gt;Patrícia Karla de Sousa Araújo",$B:$B,"&lt;&gt;Lorena Dias de Araujo",$B:$B,"&lt;&gt;Lucas Luiz Romero")*(10/1083),0)))))),0)</f>
        <v/>
      </c>
      <c r="K4243" s="3">
        <f>I4243-J4243</f>
        <v/>
      </c>
      <c r="L4243" s="3">
        <f>IF(K4243&lt;-5,"CRÍTICO",IF(K4243&lt;0,"ATENÇÃO",IF(K4243&lt;=5,"OPORTUNO","MUITO BOM")))</f>
        <v/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>
        <f>E4280+G4280+H4280</f>
        <v/>
      </c>
      <c r="J4280" s="3">
        <f>ROUND(MIN(IF(C4280="Técnico III",35,IF(C4280="Técnico II",28,IF(C4280="Técnico I",23,IF(C4280="JR",20,IF(C4280="Estágio",10,0))))),IF(C4280="Técnico III",SUMIFS($D:$D,$A:$A,$A4280,$B:$B,"&lt;&gt;Patrícia Karla de Sousa Araújo",$B:$B,"&lt;&gt;Lorena Dias de Araujo",$B:$B,"&lt;&gt;Lucas Luiz Romero")*(35/1083),IF(C4280="Técnico II",SUMIFS($D:$D,$A:$A,$A4280,$B:$B,"&lt;&gt;Patrícia Karla de Sousa Araújo",$B:$B,"&lt;&gt;Lorena Dias de Araujo",$B:$B,"&lt;&gt;Lucas Luiz Romero")*(28/1083),IF(C4280="Técnico I",SUMIFS($D:$D,$A:$A,$A4280,$B:$B,"&lt;&gt;Patrícia Karla de Sousa Araújo",$B:$B,"&lt;&gt;Lorena Dias de Araujo",$B:$B,"&lt;&gt;Lucas Luiz Romero")*(23/1083),IF(C4280="JR",SUMIFS($D:$D,$A:$A,$A4280,$B:$B,"&lt;&gt;Patrícia Karla de Sousa Araújo",$B:$B,"&lt;&gt;Lorena Dias de Araujo",$B:$B,"&lt;&gt;Lucas Luiz Romero")*(20/1083),IF(C4280="Estágio",SUMIFS($D:$D,$A:$A,$A4280,$B:$B,"&lt;&gt;Patrícia Karla de Sousa Araújo",$B:$B,"&lt;&gt;Lorena Dias de Araujo",$B:$B,"&lt;&gt;Lucas Luiz Romero")*(10/1083),0)))))),0)</f>
        <v/>
      </c>
      <c r="K4280" s="3">
        <f>I4280-J4280</f>
        <v/>
      </c>
      <c r="L4280" s="3">
        <f>IF(K4280&lt;-5,"CRÍTICO",IF(K4280&lt;0,"ATENÇÃO",IF(K4280&lt;=5,"OPORTUNO","MUITO BOM")))</f>
        <v/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>
        <f>IF(K4309&lt;-5,"CRÍTICO",IF(K4309&lt;0,"ATENÇÃO",IF(K4309&lt;=5,"OPORTUNO","MUITO BOM")))</f>
        <v/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>
        <f>E4324+G4324+H4324</f>
        <v/>
      </c>
      <c r="J4324" s="3">
        <f>ROUND(MIN(IF(C4324="Técnico III",35,IF(C4324="Técnico II",28,IF(C4324="Técnico I",23,IF(C4324="JR",20,IF(C4324="Estágio",10,0))))),IF(C4324="Técnico III",SUMIFS($D:$D,$A:$A,$A4324,$B:$B,"&lt;&gt;Patrícia Karla de Sousa Araújo",$B:$B,"&lt;&gt;Lorena Dias de Araujo",$B:$B,"&lt;&gt;Lucas Luiz Romero")*(35/1083),IF(C4324="Técnico II",SUMIFS($D:$D,$A:$A,$A4324,$B:$B,"&lt;&gt;Patrícia Karla de Sousa Araújo",$B:$B,"&lt;&gt;Lorena Dias de Araujo",$B:$B,"&lt;&gt;Lucas Luiz Romero")*(28/1083),IF(C4324="Técnico I",SUMIFS($D:$D,$A:$A,$A4324,$B:$B,"&lt;&gt;Patrícia Karla de Sousa Araújo",$B:$B,"&lt;&gt;Lorena Dias de Araujo",$B:$B,"&lt;&gt;Lucas Luiz Romero")*(23/1083),IF(C4324="JR",SUMIFS($D:$D,$A:$A,$A4324,$B:$B,"&lt;&gt;Patrícia Karla de Sousa Araújo",$B:$B,"&lt;&gt;Lorena Dias de Araujo",$B:$B,"&lt;&gt;Lucas Luiz Romero")*(20/1083),IF(C4324="Estágio",SUMIFS($D:$D,$A:$A,$A4324,$B:$B,"&lt;&gt;Patrícia Karla de Sousa Araújo",$B:$B,"&lt;&gt;Lorena Dias de Araujo",$B:$B,"&lt;&gt;Lucas Luiz Romero")*(10/1083),0)))))),0)</f>
        <v/>
      </c>
      <c r="K4324" s="3">
        <f>I4324-J4324</f>
        <v/>
      </c>
      <c r="L4324" s="3">
        <f>IF(K4324&lt;-5,"CRÍTICO",IF(K4324&lt;0,"ATENÇÃO",IF(K4324&lt;=5,"OPORTUNO","MUITO BOM")))</f>
        <v/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>
        <f>IF(K4339&lt;-5,"CRÍTICO",IF(K4339&lt;0,"ATENÇÃO",IF(K4339&lt;=5,"OPORTUNO","MUITO BOM")))</f>
        <v/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>
        <f>E4342+G4342+H4342</f>
        <v/>
      </c>
      <c r="J4342" s="3">
        <f>ROUND(MIN(IF(C4342="Técnico III",35,IF(C4342="Técnico II",28,IF(C4342="Técnico I",23,IF(C4342="JR",20,IF(C4342="Estágio",10,0))))),IF(C4342="Técnico III",SUMIFS($D:$D,$A:$A,$A4342,$B:$B,"&lt;&gt;Patrícia Karla de Sousa Araújo",$B:$B,"&lt;&gt;Lorena Dias de Araujo",$B:$B,"&lt;&gt;Lucas Luiz Romero")*(35/1083),IF(C4342="Técnico II",SUMIFS($D:$D,$A:$A,$A4342,$B:$B,"&lt;&gt;Patrícia Karla de Sousa Araújo",$B:$B,"&lt;&gt;Lorena Dias de Araujo",$B:$B,"&lt;&gt;Lucas Luiz Romero")*(28/1083),IF(C4342="Técnico I",SUMIFS($D:$D,$A:$A,$A4342,$B:$B,"&lt;&gt;Patrícia Karla de Sousa Araújo",$B:$B,"&lt;&gt;Lorena Dias de Araujo",$B:$B,"&lt;&gt;Lucas Luiz Romero")*(23/1083),IF(C4342="JR",SUMIFS($D:$D,$A:$A,$A4342,$B:$B,"&lt;&gt;Patrícia Karla de Sousa Araújo",$B:$B,"&lt;&gt;Lorena Dias de Araujo",$B:$B,"&lt;&gt;Lucas Luiz Romero")*(20/1083),IF(C4342="Estágio",SUMIFS($D:$D,$A:$A,$A4342,$B:$B,"&lt;&gt;Patrícia Karla de Sousa Araújo",$B:$B,"&lt;&gt;Lorena Dias de Araujo",$B:$B,"&lt;&gt;Lucas Luiz Romero")*(10/1083),0)))))),0)</f>
        <v/>
      </c>
      <c r="K4342" s="3">
        <f>I4342-J4342</f>
        <v/>
      </c>
      <c r="L4342" s="3">
        <f>IF(K4342&lt;-5,"CRÍTICO",IF(K4342&lt;0,"ATENÇÃO",IF(K4342&lt;=5,"OPORTUNO","MUITO BOM")))</f>
        <v/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>
        <f>IF(K4359&lt;-5,"CRÍTICO",IF(K4359&lt;0,"ATENÇÃO",IF(K4359&lt;=5,"OPORTUNO","MUITO BOM")))</f>
        <v/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>
        <f>IF(K4362&lt;-5,"CRÍTICO",IF(K4362&lt;0,"ATENÇÃO",IF(K4362&lt;=5,"OPORTUNO","MUITO BOM")))</f>
        <v/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>
        <f>IF(K4366&lt;-5,"CRÍTICO",IF(K4366&lt;0,"ATENÇÃO",IF(K4366&lt;=5,"OPORTUNO","MUITO BOM")))</f>
        <v/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>
        <f>E4367+G4367+H4367</f>
        <v/>
      </c>
      <c r="J4367" s="3">
        <f>ROUND(MIN(IF(C4367="Técnico III",35,IF(C4367="Técnico II",28,IF(C4367="Técnico I",23,IF(C4367="JR",20,IF(C4367="Estágio",10,0))))),IF(C4367="Técnico III",SUMIFS($D:$D,$A:$A,$A4367,$B:$B,"&lt;&gt;Patrícia Karla de Sousa Araújo",$B:$B,"&lt;&gt;Lorena Dias de Araujo",$B:$B,"&lt;&gt;Lucas Luiz Romero")*(35/1083),IF(C4367="Técnico II",SUMIFS($D:$D,$A:$A,$A4367,$B:$B,"&lt;&gt;Patrícia Karla de Sousa Araújo",$B:$B,"&lt;&gt;Lorena Dias de Araujo",$B:$B,"&lt;&gt;Lucas Luiz Romero")*(28/1083),IF(C4367="Técnico I",SUMIFS($D:$D,$A:$A,$A4367,$B:$B,"&lt;&gt;Patrícia Karla de Sousa Araújo",$B:$B,"&lt;&gt;Lorena Dias de Araujo",$B:$B,"&lt;&gt;Lucas Luiz Romero")*(23/1083),IF(C4367="JR",SUMIFS($D:$D,$A:$A,$A4367,$B:$B,"&lt;&gt;Patrícia Karla de Sousa Araújo",$B:$B,"&lt;&gt;Lorena Dias de Araujo",$B:$B,"&lt;&gt;Lucas Luiz Romero")*(20/1083),IF(C4367="Estágio",SUMIFS($D:$D,$A:$A,$A4367,$B:$B,"&lt;&gt;Patrícia Karla de Sousa Araújo",$B:$B,"&lt;&gt;Lorena Dias de Araujo",$B:$B,"&lt;&gt;Lucas Luiz Romero")*(10/1083),0)))))),0)</f>
        <v/>
      </c>
      <c r="K4367" s="3">
        <f>I4367-J4367</f>
        <v/>
      </c>
      <c r="L4367" s="3">
        <f>IF(K4367&lt;-5,"CRÍTICO",IF(K4367&lt;0,"ATENÇÃO",IF(K4367&lt;=5,"OPORTUNO","MUITO BOM")))</f>
        <v/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>
        <f>E4368+G4368+H4368</f>
        <v/>
      </c>
      <c r="J4368" s="3">
        <f>ROUND(MIN(IF(C4368="Técnico III",35,IF(C4368="Técnico II",28,IF(C4368="Técnico I",23,IF(C4368="JR",20,IF(C4368="Estágio",10,0))))),IF(C4368="Técnico III",SUMIFS($D:$D,$A:$A,$A4368,$B:$B,"&lt;&gt;Patrícia Karla de Sousa Araújo",$B:$B,"&lt;&gt;Lorena Dias de Araujo",$B:$B,"&lt;&gt;Lucas Luiz Romero")*(35/1083),IF(C4368="Técnico II",SUMIFS($D:$D,$A:$A,$A4368,$B:$B,"&lt;&gt;Patrícia Karla de Sousa Araújo",$B:$B,"&lt;&gt;Lorena Dias de Araujo",$B:$B,"&lt;&gt;Lucas Luiz Romero")*(28/1083),IF(C4368="Técnico I",SUMIFS($D:$D,$A:$A,$A4368,$B:$B,"&lt;&gt;Patrícia Karla de Sousa Araújo",$B:$B,"&lt;&gt;Lorena Dias de Araujo",$B:$B,"&lt;&gt;Lucas Luiz Romero")*(23/1083),IF(C4368="JR",SUMIFS($D:$D,$A:$A,$A4368,$B:$B,"&lt;&gt;Patrícia Karla de Sousa Araújo",$B:$B,"&lt;&gt;Lorena Dias de Araujo",$B:$B,"&lt;&gt;Lucas Luiz Romero")*(20/1083),IF(C4368="Estágio",SUMIFS($D:$D,$A:$A,$A4368,$B:$B,"&lt;&gt;Patrícia Karla de Sousa Araújo",$B:$B,"&lt;&gt;Lorena Dias de Araujo",$B:$B,"&lt;&gt;Lucas Luiz Romero")*(10/1083),0)))))),0)</f>
        <v/>
      </c>
      <c r="K4368" s="3">
        <f>I4368-J4368</f>
        <v/>
      </c>
      <c r="L4368" s="3">
        <f>IF(K4368&lt;-5,"CRÍTICO",IF(K4368&lt;0,"ATENÇÃO",IF(K4368&lt;=5,"OPORTUNO","MUITO BOM")))</f>
        <v/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>
        <f>E4375+G4375+H4375</f>
        <v/>
      </c>
      <c r="J4375" s="3">
        <f>ROUND(MIN(IF(C4375="Técnico III",35,IF(C4375="Técnico II",28,IF(C4375="Técnico I",23,IF(C4375="JR",20,IF(C4375="Estágio",10,0))))),IF(C4375="Técnico III",SUMIFS($D:$D,$A:$A,$A4375,$B:$B,"&lt;&gt;Patrícia Karla de Sousa Araújo",$B:$B,"&lt;&gt;Lorena Dias de Araujo",$B:$B,"&lt;&gt;Lucas Luiz Romero")*(35/1083),IF(C4375="Técnico II",SUMIFS($D:$D,$A:$A,$A4375,$B:$B,"&lt;&gt;Patrícia Karla de Sousa Araújo",$B:$B,"&lt;&gt;Lorena Dias de Araujo",$B:$B,"&lt;&gt;Lucas Luiz Romero")*(28/1083),IF(C4375="Técnico I",SUMIFS($D:$D,$A:$A,$A4375,$B:$B,"&lt;&gt;Patrícia Karla de Sousa Araújo",$B:$B,"&lt;&gt;Lorena Dias de Araujo",$B:$B,"&lt;&gt;Lucas Luiz Romero")*(23/1083),IF(C4375="JR",SUMIFS($D:$D,$A:$A,$A4375,$B:$B,"&lt;&gt;Patrícia Karla de Sousa Araújo",$B:$B,"&lt;&gt;Lorena Dias de Araujo",$B:$B,"&lt;&gt;Lucas Luiz Romero")*(20/1083),IF(C4375="Estágio",SUMIFS($D:$D,$A:$A,$A4375,$B:$B,"&lt;&gt;Patrícia Karla de Sousa Araújo",$B:$B,"&lt;&gt;Lorena Dias de Araujo",$B:$B,"&lt;&gt;Lucas Luiz Romero")*(10/1083),0)))))),0)</f>
        <v/>
      </c>
      <c r="K4375" s="3">
        <f>I4375-J4375</f>
        <v/>
      </c>
      <c r="L4375" s="3">
        <f>IF(K4375&lt;-5,"CRÍTICO",IF(K4375&lt;0,"ATENÇÃO",IF(K4375&lt;=5,"OPORTUNO","MUITO BOM")))</f>
        <v/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>
        <f>IF(K4376&lt;-5,"CRÍTICO",IF(K4376&lt;0,"ATENÇÃO",IF(K4376&lt;=5,"OPORTUNO","MUITO BOM")))</f>
        <v/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>
        <f>IF(K4378&lt;-5,"CRÍTICO",IF(K4378&lt;0,"ATENÇÃO",IF(K4378&lt;=5,"OPORTUNO","MUITO BOM")))</f>
        <v/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>
        <f>IF(K4383&lt;-5,"CRÍTICO",IF(K4383&lt;0,"ATENÇÃO",IF(K4383&lt;=5,"OPORTUNO","MUITO BOM")))</f>
        <v/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IF(K4384&lt;-5,"CRÍTICO",IF(K4384&lt;0,"ATENÇÃO",IF(K4384&lt;=5,"OPORTUNO","MUITO BOM")))</f>
        <v/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IF(K4386&lt;-5,"CRÍTICO",IF(K4386&lt;0,"ATENÇÃO",IF(K4386&lt;=5,"OPORTUNO","MUITO BOM")))</f>
        <v/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IF(K4393&lt;-5,"CRÍTICO",IF(K4393&lt;0,"ATENÇÃO",IF(K4393&lt;=5,"OPORTUNO","MUITO BOM")))</f>
        <v/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IF(K4395&lt;-5,"CRÍTICO",IF(K4395&lt;0,"ATENÇÃO",IF(K4395&lt;=5,"OPORTUNO","MUITO BOM")))</f>
        <v/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>
        <f>IF(K4396&lt;-5,"CRÍTICO",IF(K4396&lt;0,"ATENÇÃO",IF(K4396&lt;=5,"OPORTUNO","MUITO BOM")))</f>
        <v/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IF(K4400&lt;-5,"CRÍTICO",IF(K4400&lt;0,"ATENÇÃO",IF(K4400&lt;=5,"OPORTUNO","MUITO BOM")))</f>
        <v/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>
        <f>IF(K4403&lt;-5,"CRÍTICO",IF(K4403&lt;0,"ATENÇÃO",IF(K4403&lt;=5,"OPORTUNO","MUITO BOM")))</f>
        <v/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>
        <f>E4405+G4405+H4405</f>
        <v/>
      </c>
      <c r="J4405" s="3">
        <f>ROUND(MIN(IF(C4405="Técnico III",35,IF(C4405="Técnico II",28,IF(C4405="Técnico I",23,IF(C4405="JR",20,IF(C4405="Estágio",10,0))))),IF(C4405="Técnico III",SUMIFS($D:$D,$A:$A,$A4405,$B:$B,"&lt;&gt;Patrícia Karla de Sousa Araújo",$B:$B,"&lt;&gt;Lorena Dias de Araujo",$B:$B,"&lt;&gt;Lucas Luiz Romero")*(35/1083),IF(C4405="Técnico II",SUMIFS($D:$D,$A:$A,$A4405,$B:$B,"&lt;&gt;Patrícia Karla de Sousa Araújo",$B:$B,"&lt;&gt;Lorena Dias de Araujo",$B:$B,"&lt;&gt;Lucas Luiz Romero")*(28/1083),IF(C4405="Técnico I",SUMIFS($D:$D,$A:$A,$A4405,$B:$B,"&lt;&gt;Patrícia Karla de Sousa Araújo",$B:$B,"&lt;&gt;Lorena Dias de Araujo",$B:$B,"&lt;&gt;Lucas Luiz Romero")*(23/1083),IF(C4405="JR",SUMIFS($D:$D,$A:$A,$A4405,$B:$B,"&lt;&gt;Patrícia Karla de Sousa Araújo",$B:$B,"&lt;&gt;Lorena Dias de Araujo",$B:$B,"&lt;&gt;Lucas Luiz Romero")*(20/1083),IF(C4405="Estágio",SUMIFS($D:$D,$A:$A,$A4405,$B:$B,"&lt;&gt;Patrícia Karla de Sousa Araújo",$B:$B,"&lt;&gt;Lorena Dias de Araujo",$B:$B,"&lt;&gt;Lucas Luiz Romero")*(10/1083),0)))))),0)</f>
        <v/>
      </c>
      <c r="K4405" s="3">
        <f>I4405-J4405</f>
        <v/>
      </c>
      <c r="L4405" s="3">
        <f>IF(K4405&lt;-5,"CRÍTICO",IF(K4405&lt;0,"ATENÇÃO",IF(K4405&lt;=5,"OPORTUNO","MUITO BOM")))</f>
        <v/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>
        <f>IF(K4406&lt;-5,"CRÍTICO",IF(K4406&lt;0,"ATENÇÃO",IF(K4406&lt;=5,"OPORTUNO","MUITO BOM")))</f>
        <v/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IF(K4407&lt;-5,"CRÍTICO",IF(K4407&lt;0,"ATENÇÃO",IF(K4407&lt;=5,"OPORTUNO","MUITO BOM")))</f>
        <v/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>
        <f>IF(K4410&lt;-5,"CRÍTICO",IF(K4410&lt;0,"ATENÇÃO",IF(K4410&lt;=5,"OPORTUNO","MUITO BOM")))</f>
        <v/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IF(K4411&lt;-5,"CRÍTICO",IF(K4411&lt;0,"ATENÇÃO",IF(K4411&lt;=5,"OPORTUNO","MUITO BOM")))</f>
        <v/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IF(K4412&lt;-5,"CRÍTICO",IF(K4412&lt;0,"ATENÇÃO",IF(K4412&lt;=5,"OPORTUNO","MUITO BOM")))</f>
        <v/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IF(K4418&lt;-5,"CRÍTICO",IF(K4418&lt;0,"ATENÇÃO",IF(K4418&lt;=5,"OPORTUNO","MUITO BOM")))</f>
        <v/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IF(K4419&lt;-5,"CRÍTICO",IF(K4419&lt;0,"ATENÇÃO",IF(K4419&lt;=5,"OPORTUNO","MUITO BOM")))</f>
        <v/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>
        <f>IF(K4420&lt;-5,"CRÍTICO",IF(K4420&lt;0,"ATENÇÃO",IF(K4420&lt;=5,"OPORTUNO","MUITO BOM")))</f>
        <v/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>
        <f>IF(K4422&lt;-5,"CRÍTICO",IF(K4422&lt;0,"ATENÇÃO",IF(K4422&lt;=5,"OPORTUNO","MUITO BOM")))</f>
        <v/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>
        <f>IF(K4426&lt;-5,"CRÍTICO",IF(K4426&lt;0,"ATENÇÃO",IF(K4426&lt;=5,"OPORTUNO","MUITO BOM")))</f>
        <v/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IF(K4428&lt;-5,"CRÍTICO",IF(K4428&lt;0,"ATENÇÃO",IF(K4428&lt;=5,"OPORTUNO","MUITO BOM")))</f>
        <v/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IF(K4444&lt;-5,"CRÍTICO",IF(K4444&lt;0,"ATENÇÃO",IF(K4444&lt;=5,"OPORTUNO","MUITO BOM")))</f>
        <v/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>
        <f>IF(K4446&lt;-5,"CRÍTICO",IF(K4446&lt;0,"ATENÇÃO",IF(K4446&lt;=5,"OPORTUNO","MUITO BOM")))</f>
        <v/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IF(K4447&lt;-5,"CRÍTICO",IF(K4447&lt;0,"ATENÇÃO",IF(K4447&lt;=5,"OPORTUNO","MUITO BOM")))</f>
        <v/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>
        <f>IF(K4453&lt;-5,"CRÍTICO",IF(K4453&lt;0,"ATENÇÃO",IF(K4453&lt;=5,"OPORTUNO","MUITO BOM")))</f>
        <v/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>
        <f>IF(K4463&lt;-5,"CRÍTICO",IF(K4463&lt;0,"ATENÇÃO",IF(K4463&lt;=5,"OPORTUNO","MUITO BOM")))</f>
        <v/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>
        <f>IF(K4465&lt;-5,"CRÍTICO",IF(K4465&lt;0,"ATENÇÃO",IF(K4465&lt;=5,"OPORTUNO","MUITO BOM")))</f>
        <v/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>
        <f>E4471+G4471+H4471</f>
        <v/>
      </c>
      <c r="J4471" s="3">
        <f>ROUND(MIN(IF(C4471="Técnico III",35,IF(C4471="Técnico II",28,IF(C4471="Técnico I",23,IF(C4471="JR",20,IF(C4471="Estágio",10,0))))),IF(C4471="Técnico III",SUMIFS($D:$D,$A:$A,$A4471,$B:$B,"&lt;&gt;Patrícia Karla de Sousa Araújo",$B:$B,"&lt;&gt;Lorena Dias de Araujo",$B:$B,"&lt;&gt;Lucas Luiz Romero")*(35/1083),IF(C4471="Técnico II",SUMIFS($D:$D,$A:$A,$A4471,$B:$B,"&lt;&gt;Patrícia Karla de Sousa Araújo",$B:$B,"&lt;&gt;Lorena Dias de Araujo",$B:$B,"&lt;&gt;Lucas Luiz Romero")*(28/1083),IF(C4471="Técnico I",SUMIFS($D:$D,$A:$A,$A4471,$B:$B,"&lt;&gt;Patrícia Karla de Sousa Araújo",$B:$B,"&lt;&gt;Lorena Dias de Araujo",$B:$B,"&lt;&gt;Lucas Luiz Romero")*(23/1083),IF(C4471="JR",SUMIFS($D:$D,$A:$A,$A4471,$B:$B,"&lt;&gt;Patrícia Karla de Sousa Araújo",$B:$B,"&lt;&gt;Lorena Dias de Araujo",$B:$B,"&lt;&gt;Lucas Luiz Romero")*(20/1083),IF(C4471="Estágio",SUMIFS($D:$D,$A:$A,$A4471,$B:$B,"&lt;&gt;Patrícia Karla de Sousa Araújo",$B:$B,"&lt;&gt;Lorena Dias de Araujo",$B:$B,"&lt;&gt;Lucas Luiz Romero")*(10/1083),0)))))),0)</f>
        <v/>
      </c>
      <c r="K4471" s="3">
        <f>I4471-J4471</f>
        <v/>
      </c>
      <c r="L4471" s="3">
        <f>IF(K4471&lt;-5,"CRÍTICO",IF(K4471&lt;0,"ATENÇÃO",IF(K4471&lt;=5,"OPORTUNO","MUITO BOM")))</f>
        <v/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>
        <f>E4473+G4473+H4473</f>
        <v/>
      </c>
      <c r="J4473" s="3">
        <f>ROUND(MIN(IF(C4473="Técnico III",35,IF(C4473="Técnico II",28,IF(C4473="Técnico I",23,IF(C4473="JR",20,IF(C4473="Estágio",10,0))))),IF(C4473="Técnico III",SUMIFS($D:$D,$A:$A,$A4473,$B:$B,"&lt;&gt;Patrícia Karla de Sousa Araújo",$B:$B,"&lt;&gt;Lorena Dias de Araujo",$B:$B,"&lt;&gt;Lucas Luiz Romero")*(35/1083),IF(C4473="Técnico II",SUMIFS($D:$D,$A:$A,$A4473,$B:$B,"&lt;&gt;Patrícia Karla de Sousa Araújo",$B:$B,"&lt;&gt;Lorena Dias de Araujo",$B:$B,"&lt;&gt;Lucas Luiz Romero")*(28/1083),IF(C4473="Técnico I",SUMIFS($D:$D,$A:$A,$A4473,$B:$B,"&lt;&gt;Patrícia Karla de Sousa Araújo",$B:$B,"&lt;&gt;Lorena Dias de Araujo",$B:$B,"&lt;&gt;Lucas Luiz Romero")*(23/1083),IF(C4473="JR",SUMIFS($D:$D,$A:$A,$A4473,$B:$B,"&lt;&gt;Patrícia Karla de Sousa Araújo",$B:$B,"&lt;&gt;Lorena Dias de Araujo",$B:$B,"&lt;&gt;Lucas Luiz Romero")*(20/1083),IF(C4473="Estágio",SUMIFS($D:$D,$A:$A,$A4473,$B:$B,"&lt;&gt;Patrícia Karla de Sousa Araújo",$B:$B,"&lt;&gt;Lorena Dias de Araujo",$B:$B,"&lt;&gt;Lucas Luiz Romero")*(10/1083),0)))))),0)</f>
        <v/>
      </c>
      <c r="K4473" s="3">
        <f>I4473-J4473</f>
        <v/>
      </c>
      <c r="L4473" s="3">
        <f>IF(K4473&lt;-5,"CRÍTICO",IF(K4473&lt;0,"ATENÇÃO",IF(K4473&lt;=5,"OPORTUNO","MUITO BOM")))</f>
        <v/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>
        <f>E4479+G4479+H4479</f>
        <v/>
      </c>
      <c r="J4479" s="3">
        <f>ROUND(MIN(IF(C4479="Técnico III",35,IF(C4479="Técnico II",28,IF(C4479="Técnico I",23,IF(C4479="JR",20,IF(C4479="Estágio",10,0))))),IF(C4479="Técnico III",SUMIFS($D:$D,$A:$A,$A4479,$B:$B,"&lt;&gt;Patrícia Karla de Sousa Araújo",$B:$B,"&lt;&gt;Lorena Dias de Araujo",$B:$B,"&lt;&gt;Lucas Luiz Romero")*(35/1083),IF(C4479="Técnico II",SUMIFS($D:$D,$A:$A,$A4479,$B:$B,"&lt;&gt;Patrícia Karla de Sousa Araújo",$B:$B,"&lt;&gt;Lorena Dias de Araujo",$B:$B,"&lt;&gt;Lucas Luiz Romero")*(28/1083),IF(C4479="Técnico I",SUMIFS($D:$D,$A:$A,$A4479,$B:$B,"&lt;&gt;Patrícia Karla de Sousa Araújo",$B:$B,"&lt;&gt;Lorena Dias de Araujo",$B:$B,"&lt;&gt;Lucas Luiz Romero")*(23/1083),IF(C4479="JR",SUMIFS($D:$D,$A:$A,$A4479,$B:$B,"&lt;&gt;Patrícia Karla de Sousa Araújo",$B:$B,"&lt;&gt;Lorena Dias de Araujo",$B:$B,"&lt;&gt;Lucas Luiz Romero")*(20/1083),IF(C4479="Estágio",SUMIFS($D:$D,$A:$A,$A4479,$B:$B,"&lt;&gt;Patrícia Karla de Sousa Araújo",$B:$B,"&lt;&gt;Lorena Dias de Araujo",$B:$B,"&lt;&gt;Lucas Luiz Romero")*(10/1083),0)))))),0)</f>
        <v/>
      </c>
      <c r="K4479" s="3">
        <f>I4479-J4479</f>
        <v/>
      </c>
      <c r="L4479" s="3">
        <f>IF(K4479&lt;-5,"CRÍTICO",IF(K4479&lt;0,"ATENÇÃO",IF(K4479&lt;=5,"OPORTUNO","MUITO BOM")))</f>
        <v/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>
        <f>IF(K4490&lt;-5,"CRÍTICO",IF(K4490&lt;0,"ATENÇÃO",IF(K4490&lt;=5,"OPORTUNO","MUITO BOM")))</f>
        <v/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>
        <f>IF(K4493&lt;-5,"CRÍTICO",IF(K4493&lt;0,"ATENÇÃO",IF(K4493&lt;=5,"OPORTUNO","MUITO BOM")))</f>
        <v/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>
        <f>IF(K4497&lt;-5,"CRÍTICO",IF(K4497&lt;0,"ATENÇÃO",IF(K4497&lt;=5,"OPORTUNO","MUITO BOM")))</f>
        <v/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>
        <f>IF(K4500&lt;-5,"CRÍTICO",IF(K4500&lt;0,"ATENÇÃO",IF(K4500&lt;=5,"OPORTUNO","MUITO BOM")))</f>
        <v/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>
        <f>E4505+G4505+H4505</f>
        <v/>
      </c>
      <c r="J4505" s="3">
        <f>ROUND(MIN(IF(C4505="Técnico III",35,IF(C4505="Técnico II",28,IF(C4505="Técnico I",23,IF(C4505="JR",20,IF(C4505="Estágio",10,0))))),IF(C4505="Técnico III",SUMIFS($D:$D,$A:$A,$A4505,$B:$B,"&lt;&gt;Patrícia Karla de Sousa Araújo",$B:$B,"&lt;&gt;Lorena Dias de Araujo",$B:$B,"&lt;&gt;Lucas Luiz Romero")*(35/1083),IF(C4505="Técnico II",SUMIFS($D:$D,$A:$A,$A4505,$B:$B,"&lt;&gt;Patrícia Karla de Sousa Araújo",$B:$B,"&lt;&gt;Lorena Dias de Araujo",$B:$B,"&lt;&gt;Lucas Luiz Romero")*(28/1083),IF(C4505="Técnico I",SUMIFS($D:$D,$A:$A,$A4505,$B:$B,"&lt;&gt;Patrícia Karla de Sousa Araújo",$B:$B,"&lt;&gt;Lorena Dias de Araujo",$B:$B,"&lt;&gt;Lucas Luiz Romero")*(23/1083),IF(C4505="JR",SUMIFS($D:$D,$A:$A,$A4505,$B:$B,"&lt;&gt;Patrícia Karla de Sousa Araújo",$B:$B,"&lt;&gt;Lorena Dias de Araujo",$B:$B,"&lt;&gt;Lucas Luiz Romero")*(20/1083),IF(C4505="Estágio",SUMIFS($D:$D,$A:$A,$A4505,$B:$B,"&lt;&gt;Patrícia Karla de Sousa Araújo",$B:$B,"&lt;&gt;Lorena Dias de Araujo",$B:$B,"&lt;&gt;Lucas Luiz Romero")*(10/1083),0)))))),0)</f>
        <v/>
      </c>
      <c r="K4505" s="3">
        <f>I4505-J4505</f>
        <v/>
      </c>
      <c r="L4505" s="3">
        <f>IF(K4505&lt;-5,"CRÍTICO",IF(K4505&lt;0,"ATENÇÃO",IF(K4505&lt;=5,"OPORTUNO","MUITO BOM")))</f>
        <v/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>
        <f>IF(K4506&lt;-5,"CRÍTICO",IF(K4506&lt;0,"ATENÇÃO",IF(K4506&lt;=5,"OPORTUNO","MUITO BOM")))</f>
        <v/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>
        <f>IF(K4508&lt;-5,"CRÍTICO",IF(K4508&lt;0,"ATENÇÃO",IF(K4508&lt;=5,"OPORTUNO","MUITO BOM")))</f>
        <v/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 t="n">
        <v>0</v>
      </c>
      <c r="J4509" s="3" t="n">
        <v>0</v>
      </c>
      <c r="K4509" s="3" t="n">
        <v>0</v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 t="n">
        <v>0</v>
      </c>
      <c r="J4510" s="3" t="n">
        <v>0</v>
      </c>
      <c r="K4510" s="3" t="n">
        <v>0</v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 t="n">
        <v>0</v>
      </c>
      <c r="J4511" s="3" t="n">
        <v>0</v>
      </c>
      <c r="K4511" s="3" t="n">
        <v>0</v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 t="n">
        <v>0</v>
      </c>
      <c r="J4512" s="3" t="n">
        <v>0</v>
      </c>
      <c r="K4512" s="3" t="n">
        <v>0</v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 t="n">
        <v>0</v>
      </c>
      <c r="J4513" s="3" t="n">
        <v>0</v>
      </c>
      <c r="K4513" s="3" t="n">
        <v>0</v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 t="n">
        <v>0</v>
      </c>
      <c r="J4514" s="3" t="n">
        <v>0</v>
      </c>
      <c r="K4514" s="3" t="n">
        <v>0</v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 t="n">
        <v>0</v>
      </c>
      <c r="J4515" s="3" t="n">
        <v>0</v>
      </c>
      <c r="K4515" s="3" t="n">
        <v>0</v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 t="n">
        <v>0</v>
      </c>
      <c r="J4516" s="3" t="n">
        <v>0</v>
      </c>
      <c r="K4516" s="3" t="n">
        <v>0</v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 t="n">
        <v>0</v>
      </c>
      <c r="J4517" s="3" t="n">
        <v>0</v>
      </c>
      <c r="K4517" s="3" t="n">
        <v>0</v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 t="n">
        <v>0</v>
      </c>
      <c r="J4518" s="3" t="n">
        <v>0</v>
      </c>
      <c r="K4518" s="3" t="n">
        <v>0</v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 t="n">
        <v>0</v>
      </c>
      <c r="J4519" s="3" t="n">
        <v>0</v>
      </c>
      <c r="K4519" s="3" t="n">
        <v>0</v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 t="n">
        <v>0</v>
      </c>
      <c r="J4520" s="3" t="n">
        <v>0</v>
      </c>
      <c r="K4520" s="3" t="n">
        <v>0</v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 t="n">
        <v>0</v>
      </c>
      <c r="J4521" s="3" t="n">
        <v>0</v>
      </c>
      <c r="K4521" s="3" t="n">
        <v>0</v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 t="n">
        <v>0</v>
      </c>
      <c r="J4522" s="3" t="n">
        <v>0</v>
      </c>
      <c r="K4522" s="3" t="n">
        <v>0</v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 t="n">
        <v>0</v>
      </c>
      <c r="J4523" s="3" t="n">
        <v>0</v>
      </c>
      <c r="K4523" s="3" t="n">
        <v>0</v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 t="n">
        <v>0</v>
      </c>
      <c r="J4524" s="3" t="n">
        <v>0</v>
      </c>
      <c r="K4524" s="3" t="n">
        <v>0</v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 t="n">
        <v>0</v>
      </c>
      <c r="J4525" s="3" t="n">
        <v>0</v>
      </c>
      <c r="K4525" s="3" t="n">
        <v>0</v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 t="n">
        <v>0</v>
      </c>
      <c r="J4526" s="3" t="n">
        <v>0</v>
      </c>
      <c r="K4526" s="3" t="n">
        <v>0</v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 t="n">
        <v>0</v>
      </c>
      <c r="J4527" s="3" t="n">
        <v>0</v>
      </c>
      <c r="K4527" s="3" t="n">
        <v>0</v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 t="n">
        <v>0</v>
      </c>
      <c r="J4528" s="3" t="n">
        <v>0</v>
      </c>
      <c r="K4528" s="3" t="n">
        <v>0</v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 t="n">
        <v>0</v>
      </c>
      <c r="J4529" s="3" t="n">
        <v>0</v>
      </c>
      <c r="K4529" s="3" t="n">
        <v>0</v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 t="n">
        <v>0</v>
      </c>
      <c r="J4530" s="3" t="n">
        <v>0</v>
      </c>
      <c r="K4530" s="3" t="n">
        <v>0</v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 t="n">
        <v>0</v>
      </c>
      <c r="J4531" s="3" t="n">
        <v>0</v>
      </c>
      <c r="K4531" s="3" t="n">
        <v>0</v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 t="n">
        <v>0</v>
      </c>
      <c r="J4532" s="3" t="n">
        <v>0</v>
      </c>
      <c r="K4532" s="3" t="n">
        <v>0</v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 t="n">
        <v>0</v>
      </c>
      <c r="J4533" s="3" t="n">
        <v>0</v>
      </c>
      <c r="K4533" s="3" t="n">
        <v>0</v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 t="n">
        <v>0</v>
      </c>
      <c r="J4534" s="3" t="n">
        <v>0</v>
      </c>
      <c r="K4534" s="3" t="n">
        <v>0</v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 t="n">
        <v>0</v>
      </c>
      <c r="J4535" s="3" t="n">
        <v>0</v>
      </c>
      <c r="K4535" s="3" t="n">
        <v>0</v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 t="n">
        <v>0</v>
      </c>
      <c r="J4536" s="3" t="n">
        <v>0</v>
      </c>
      <c r="K4536" s="3" t="n">
        <v>0</v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 t="n">
        <v>0</v>
      </c>
      <c r="J4537" s="3" t="n">
        <v>0</v>
      </c>
      <c r="K4537" s="3" t="n">
        <v>0</v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 t="n">
        <v>0</v>
      </c>
      <c r="J4538" s="3" t="n">
        <v>0</v>
      </c>
      <c r="K4538" s="3" t="n">
        <v>0</v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 t="n">
        <v>0</v>
      </c>
      <c r="J4539" s="3" t="n">
        <v>0</v>
      </c>
      <c r="K4539" s="3" t="n">
        <v>0</v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 t="n">
        <v>0</v>
      </c>
      <c r="J4540" s="3" t="n">
        <v>0</v>
      </c>
      <c r="K4540" s="3" t="n">
        <v>0</v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>
        <f>E4541+G4541+H4541</f>
        <v/>
      </c>
      <c r="J4541" s="3">
        <f>ROUND(MIN(IF(C4541="Técnico III",35,IF(C4541="Técnico II",28,IF(C4541="Técnico I",23,IF(C4541="JR",20,IF(C4541="Estágio",10,0))))),IF(C4541="Técnico III",SUMIFS($D:$D,$A:$A,$A4541,$B:$B,"&lt;&gt;Patrícia Karla de Sousa Araújo",$B:$B,"&lt;&gt;Lorena Dias de Araujo",$B:$B,"&lt;&gt;Lucas Luiz Romero")*(35/1083),IF(C4541="Técnico II",SUMIFS($D:$D,$A:$A,$A4541,$B:$B,"&lt;&gt;Patrícia Karla de Sousa Araújo",$B:$B,"&lt;&gt;Lorena Dias de Araujo",$B:$B,"&lt;&gt;Lucas Luiz Romero")*(28/1083),IF(C4541="Técnico I",SUMIFS($D:$D,$A:$A,$A4541,$B:$B,"&lt;&gt;Patrícia Karla de Sousa Araújo",$B:$B,"&lt;&gt;Lorena Dias de Araujo",$B:$B,"&lt;&gt;Lucas Luiz Romero")*(23/1083),IF(C4541="JR",SUMIFS($D:$D,$A:$A,$A4541,$B:$B,"&lt;&gt;Patrícia Karla de Sousa Araújo",$B:$B,"&lt;&gt;Lorena Dias de Araujo",$B:$B,"&lt;&gt;Lucas Luiz Romero")*(20/1083),IF(C4541="Estágio",SUMIFS($D:$D,$A:$A,$A4541,$B:$B,"&lt;&gt;Patrícia Karla de Sousa Araújo",$B:$B,"&lt;&gt;Lorena Dias de Araujo",$B:$B,"&lt;&gt;Lucas Luiz Romero")*(10/1083),0)))))),0)</f>
        <v/>
      </c>
      <c r="K4541" s="3">
        <f>I4541-J4541</f>
        <v/>
      </c>
      <c r="L4541" s="3">
        <f>IF(K4541&lt;-5,"CRÍTICO",IF(K4541&lt;0,"ATENÇÃO",IF(K4541&lt;=5,"OPORTUNO","MUITO BOM")))</f>
        <v/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 t="n">
        <v>0</v>
      </c>
      <c r="J4542" s="3" t="n">
        <v>0</v>
      </c>
      <c r="K4542" s="3" t="n">
        <v>0</v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>
        <f>E4543+G4543+H4543</f>
        <v/>
      </c>
      <c r="J4543" s="3">
        <f>ROUND(MIN(IF(C4543="Técnico III",35,IF(C4543="Técnico II",28,IF(C4543="Técnico I",23,IF(C4543="JR",20,IF(C4543="Estágio",10,0))))),IF(C4543="Técnico III",SUMIFS($D:$D,$A:$A,$A4543,$B:$B,"&lt;&gt;Patrícia Karla de Sousa Araújo",$B:$B,"&lt;&gt;Lorena Dias de Araujo",$B:$B,"&lt;&gt;Lucas Luiz Romero")*(35/1083),IF(C4543="Técnico II",SUMIFS($D:$D,$A:$A,$A4543,$B:$B,"&lt;&gt;Patrícia Karla de Sousa Araújo",$B:$B,"&lt;&gt;Lorena Dias de Araujo",$B:$B,"&lt;&gt;Lucas Luiz Romero")*(28/1083),IF(C4543="Técnico I",SUMIFS($D:$D,$A:$A,$A4543,$B:$B,"&lt;&gt;Patrícia Karla de Sousa Araújo",$B:$B,"&lt;&gt;Lorena Dias de Araujo",$B:$B,"&lt;&gt;Lucas Luiz Romero")*(23/1083),IF(C4543="JR",SUMIFS($D:$D,$A:$A,$A4543,$B:$B,"&lt;&gt;Patrícia Karla de Sousa Araújo",$B:$B,"&lt;&gt;Lorena Dias de Araujo",$B:$B,"&lt;&gt;Lucas Luiz Romero")*(20/1083),IF(C4543="Estágio",SUMIFS($D:$D,$A:$A,$A4543,$B:$B,"&lt;&gt;Patrícia Karla de Sousa Araújo",$B:$B,"&lt;&gt;Lorena Dias de Araujo",$B:$B,"&lt;&gt;Lucas Luiz Romero")*(10/1083),0)))))),0)</f>
        <v/>
      </c>
      <c r="K4543" s="3">
        <f>I4543-J4543</f>
        <v/>
      </c>
      <c r="L4543" s="3">
        <f>IF(K4543&lt;-5,"CRÍTICO",IF(K4543&lt;0,"ATENÇÃO",IF(K4543&lt;=5,"OPORTUNO","MUITO BOM")))</f>
        <v/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 t="n">
        <v>0</v>
      </c>
      <c r="J4544" s="3" t="n">
        <v>0</v>
      </c>
      <c r="K4544" s="3" t="n">
        <v>0</v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 t="n">
        <v>0</v>
      </c>
      <c r="J4545" s="3" t="n">
        <v>0</v>
      </c>
      <c r="K4545" s="3" t="n">
        <v>0</v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 t="n">
        <v>0</v>
      </c>
      <c r="J4546" s="3" t="n">
        <v>0</v>
      </c>
      <c r="K4546" s="3" t="n">
        <v>0</v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 t="n">
        <v>0</v>
      </c>
      <c r="J4547" s="3" t="n">
        <v>0</v>
      </c>
      <c r="K4547" s="3" t="n">
        <v>0</v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>
        <f>E4548+G4548+H4548</f>
        <v/>
      </c>
      <c r="J4548" s="3">
        <f>ROUND(MIN(IF(C4548="Técnico III",35,IF(C4548="Técnico II",28,IF(C4548="Técnico I",23,IF(C4548="JR",20,IF(C4548="Estágio",10,0))))),IF(C4548="Técnico III",SUMIFS($D:$D,$A:$A,$A4548,$B:$B,"&lt;&gt;Patrícia Karla de Sousa Araújo",$B:$B,"&lt;&gt;Lorena Dias de Araujo",$B:$B,"&lt;&gt;Lucas Luiz Romero")*(35/1083),IF(C4548="Técnico II",SUMIFS($D:$D,$A:$A,$A4548,$B:$B,"&lt;&gt;Patrícia Karla de Sousa Araújo",$B:$B,"&lt;&gt;Lorena Dias de Araujo",$B:$B,"&lt;&gt;Lucas Luiz Romero")*(28/1083),IF(C4548="Técnico I",SUMIFS($D:$D,$A:$A,$A4548,$B:$B,"&lt;&gt;Patrícia Karla de Sousa Araújo",$B:$B,"&lt;&gt;Lorena Dias de Araujo",$B:$B,"&lt;&gt;Lucas Luiz Romero")*(23/1083),IF(C4548="JR",SUMIFS($D:$D,$A:$A,$A4548,$B:$B,"&lt;&gt;Patrícia Karla de Sousa Araújo",$B:$B,"&lt;&gt;Lorena Dias de Araujo",$B:$B,"&lt;&gt;Lucas Luiz Romero")*(20/1083),IF(C4548="Estágio",SUMIFS($D:$D,$A:$A,$A4548,$B:$B,"&lt;&gt;Patrícia Karla de Sousa Araújo",$B:$B,"&lt;&gt;Lorena Dias de Araujo",$B:$B,"&lt;&gt;Lucas Luiz Romero")*(10/1083),0)))))),0)</f>
        <v/>
      </c>
      <c r="K4548" s="3">
        <f>I4548-J4548</f>
        <v/>
      </c>
      <c r="L4548" s="3">
        <f>IF(K4548&lt;-5,"CRÍTICO",IF(K4548&lt;0,"ATENÇÃO",IF(K4548&lt;=5,"OPORTUNO","MUITO BOM")))</f>
        <v/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 t="n">
        <v>0</v>
      </c>
      <c r="J4549" s="3" t="n">
        <v>0</v>
      </c>
      <c r="K4549" s="3" t="n">
        <v>0</v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 t="n">
        <v>0</v>
      </c>
      <c r="J4550" s="3" t="n">
        <v>0</v>
      </c>
      <c r="K4550" s="3" t="n">
        <v>0</v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 t="n">
        <v>0</v>
      </c>
      <c r="J4551" s="3" t="n">
        <v>0</v>
      </c>
      <c r="K4551" s="3" t="n">
        <v>0</v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 t="n">
        <v>0</v>
      </c>
      <c r="J4552" s="3" t="n">
        <v>0</v>
      </c>
      <c r="K4552" s="3" t="n">
        <v>0</v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>
        <f>E4553+G4553+H4553</f>
        <v/>
      </c>
      <c r="J4553" s="3">
        <f>ROUND(MIN(IF(C4553="Técnico III",35,IF(C4553="Técnico II",28,IF(C4553="Técnico I",23,IF(C4553="JR",20,IF(C4553="Estágio",10,0))))),IF(C4553="Técnico III",SUMIFS($D:$D,$A:$A,$A4553,$B:$B,"&lt;&gt;Patrícia Karla de Sousa Araújo",$B:$B,"&lt;&gt;Lorena Dias de Araujo",$B:$B,"&lt;&gt;Lucas Luiz Romero")*(35/1083),IF(C4553="Técnico II",SUMIFS($D:$D,$A:$A,$A4553,$B:$B,"&lt;&gt;Patrícia Karla de Sousa Araújo",$B:$B,"&lt;&gt;Lorena Dias de Araujo",$B:$B,"&lt;&gt;Lucas Luiz Romero")*(28/1083),IF(C4553="Técnico I",SUMIFS($D:$D,$A:$A,$A4553,$B:$B,"&lt;&gt;Patrícia Karla de Sousa Araújo",$B:$B,"&lt;&gt;Lorena Dias de Araujo",$B:$B,"&lt;&gt;Lucas Luiz Romero")*(23/1083),IF(C4553="JR",SUMIFS($D:$D,$A:$A,$A4553,$B:$B,"&lt;&gt;Patrícia Karla de Sousa Araújo",$B:$B,"&lt;&gt;Lorena Dias de Araujo",$B:$B,"&lt;&gt;Lucas Luiz Romero")*(20/1083),IF(C4553="Estágio",SUMIFS($D:$D,$A:$A,$A4553,$B:$B,"&lt;&gt;Patrícia Karla de Sousa Araújo",$B:$B,"&lt;&gt;Lorena Dias de Araujo",$B:$B,"&lt;&gt;Lucas Luiz Romero")*(10/1083),0)))))),0)</f>
        <v/>
      </c>
      <c r="K4553" s="3">
        <f>I4553-J4553</f>
        <v/>
      </c>
      <c r="L4553" s="3">
        <f>IF(K4553&lt;-5,"CRÍTICO",IF(K4553&lt;0,"ATENÇÃO",IF(K4553&lt;=5,"OPORTUNO","MUITO BOM")))</f>
        <v/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>
        <f>IF(K4554&lt;-5,"CRÍTICO",IF(K4554&lt;0,"ATENÇÃO",IF(K4554&lt;=5,"OPORTUNO","MUITO BOM")))</f>
        <v/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>
        <f>E4555+G4555+H4555</f>
        <v/>
      </c>
      <c r="J4555" s="3">
        <f>ROUND(MIN(IF(C4555="Técnico III",35,IF(C4555="Técnico II",28,IF(C4555="Técnico I",23,IF(C4555="JR",20,IF(C4555="Estágio",10,0))))),IF(C4555="Técnico III",SUMIFS($D:$D,$A:$A,$A4555,$B:$B,"&lt;&gt;Patrícia Karla de Sousa Araújo",$B:$B,"&lt;&gt;Lorena Dias de Araujo",$B:$B,"&lt;&gt;Lucas Luiz Romero")*(35/1083),IF(C4555="Técnico II",SUMIFS($D:$D,$A:$A,$A4555,$B:$B,"&lt;&gt;Patrícia Karla de Sousa Araújo",$B:$B,"&lt;&gt;Lorena Dias de Araujo",$B:$B,"&lt;&gt;Lucas Luiz Romero")*(28/1083),IF(C4555="Técnico I",SUMIFS($D:$D,$A:$A,$A4555,$B:$B,"&lt;&gt;Patrícia Karla de Sousa Araújo",$B:$B,"&lt;&gt;Lorena Dias de Araujo",$B:$B,"&lt;&gt;Lucas Luiz Romero")*(23/1083),IF(C4555="JR",SUMIFS($D:$D,$A:$A,$A4555,$B:$B,"&lt;&gt;Patrícia Karla de Sousa Araújo",$B:$B,"&lt;&gt;Lorena Dias de Araujo",$B:$B,"&lt;&gt;Lucas Luiz Romero")*(20/1083),IF(C4555="Estágio",SUMIFS($D:$D,$A:$A,$A4555,$B:$B,"&lt;&gt;Patrícia Karla de Sousa Araújo",$B:$B,"&lt;&gt;Lorena Dias de Araujo",$B:$B,"&lt;&gt;Lucas Luiz Romero")*(10/1083),0)))))),0)</f>
        <v/>
      </c>
      <c r="K4555" s="3">
        <f>I4555-J4555</f>
        <v/>
      </c>
      <c r="L4555" s="3">
        <f>IF(K4555&lt;-5,"CRÍTICO",IF(K4555&lt;0,"ATENÇÃO",IF(K4555&lt;=5,"OPORTUNO","MUITO BOM")))</f>
        <v/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>
        <f>E4556+G4556+H4556</f>
        <v/>
      </c>
      <c r="J4556" s="3">
        <f>ROUND(MIN(IF(C4556="Técnico III",35,IF(C4556="Técnico II",28,IF(C4556="Técnico I",23,IF(C4556="JR",20,IF(C4556="Estágio",10,0))))),IF(C4556="Técnico III",SUMIFS($D:$D,$A:$A,$A4556,$B:$B,"&lt;&gt;Patrícia Karla de Sousa Araújo",$B:$B,"&lt;&gt;Lorena Dias de Araujo",$B:$B,"&lt;&gt;Lucas Luiz Romero")*(35/1083),IF(C4556="Técnico II",SUMIFS($D:$D,$A:$A,$A4556,$B:$B,"&lt;&gt;Patrícia Karla de Sousa Araújo",$B:$B,"&lt;&gt;Lorena Dias de Araujo",$B:$B,"&lt;&gt;Lucas Luiz Romero")*(28/1083),IF(C4556="Técnico I",SUMIFS($D:$D,$A:$A,$A4556,$B:$B,"&lt;&gt;Patrícia Karla de Sousa Araújo",$B:$B,"&lt;&gt;Lorena Dias de Araujo",$B:$B,"&lt;&gt;Lucas Luiz Romero")*(23/1083),IF(C4556="JR",SUMIFS($D:$D,$A:$A,$A4556,$B:$B,"&lt;&gt;Patrícia Karla de Sousa Araújo",$B:$B,"&lt;&gt;Lorena Dias de Araujo",$B:$B,"&lt;&gt;Lucas Luiz Romero")*(20/1083),IF(C4556="Estágio",SUMIFS($D:$D,$A:$A,$A4556,$B:$B,"&lt;&gt;Patrícia Karla de Sousa Araújo",$B:$B,"&lt;&gt;Lorena Dias de Araujo",$B:$B,"&lt;&gt;Lucas Luiz Romero")*(10/1083),0)))))),0)</f>
        <v/>
      </c>
      <c r="K4556" s="3">
        <f>I4556-J4556</f>
        <v/>
      </c>
      <c r="L4556" s="3">
        <f>IF(K4556&lt;-5,"CRÍTICO",IF(K4556&lt;0,"ATENÇÃO",IF(K4556&lt;=5,"OPORTUNO","MUITO BOM")))</f>
        <v/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>
        <f>E4557+G4557+H4557</f>
        <v/>
      </c>
      <c r="J4557" s="3">
        <f>ROUND(MIN(IF(C4557="Técnico III",35,IF(C4557="Técnico II",28,IF(C4557="Técnico I",23,IF(C4557="JR",20,IF(C4557="Estágio",10,0))))),IF(C4557="Técnico III",SUMIFS($D:$D,$A:$A,$A4557,$B:$B,"&lt;&gt;Patrícia Karla de Sousa Araújo",$B:$B,"&lt;&gt;Lorena Dias de Araujo",$B:$B,"&lt;&gt;Lucas Luiz Romero")*(35/1083),IF(C4557="Técnico II",SUMIFS($D:$D,$A:$A,$A4557,$B:$B,"&lt;&gt;Patrícia Karla de Sousa Araújo",$B:$B,"&lt;&gt;Lorena Dias de Araujo",$B:$B,"&lt;&gt;Lucas Luiz Romero")*(28/1083),IF(C4557="Técnico I",SUMIFS($D:$D,$A:$A,$A4557,$B:$B,"&lt;&gt;Patrícia Karla de Sousa Araújo",$B:$B,"&lt;&gt;Lorena Dias de Araujo",$B:$B,"&lt;&gt;Lucas Luiz Romero")*(23/1083),IF(C4557="JR",SUMIFS($D:$D,$A:$A,$A4557,$B:$B,"&lt;&gt;Patrícia Karla de Sousa Araújo",$B:$B,"&lt;&gt;Lorena Dias de Araujo",$B:$B,"&lt;&gt;Lucas Luiz Romero")*(20/1083),IF(C4557="Estágio",SUMIFS($D:$D,$A:$A,$A4557,$B:$B,"&lt;&gt;Patrícia Karla de Sousa Araújo",$B:$B,"&lt;&gt;Lorena Dias de Araujo",$B:$B,"&lt;&gt;Lucas Luiz Romero")*(10/1083),0)))))),0)</f>
        <v/>
      </c>
      <c r="K4557" s="3">
        <f>I4557-J4557</f>
        <v/>
      </c>
      <c r="L4557" s="3">
        <f>IF(K4557&lt;-5,"CRÍTICO",IF(K4557&lt;0,"ATENÇÃO",IF(K4557&lt;=5,"OPORTUNO","MUITO BOM")))</f>
        <v/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>
        <f>E4558+G4558+H4558</f>
        <v/>
      </c>
      <c r="J4558" s="3">
        <f>ROUND(MIN(IF(C4558="Técnico III",35,IF(C4558="Técnico II",28,IF(C4558="Técnico I",23,IF(C4558="JR",20,IF(C4558="Estágio",10,0))))),IF(C4558="Técnico III",SUMIFS($D:$D,$A:$A,$A4558,$B:$B,"&lt;&gt;Patrícia Karla de Sousa Araújo",$B:$B,"&lt;&gt;Lorena Dias de Araujo",$B:$B,"&lt;&gt;Lucas Luiz Romero")*(35/1083),IF(C4558="Técnico II",SUMIFS($D:$D,$A:$A,$A4558,$B:$B,"&lt;&gt;Patrícia Karla de Sousa Araújo",$B:$B,"&lt;&gt;Lorena Dias de Araujo",$B:$B,"&lt;&gt;Lucas Luiz Romero")*(28/1083),IF(C4558="Técnico I",SUMIFS($D:$D,$A:$A,$A4558,$B:$B,"&lt;&gt;Patrícia Karla de Sousa Araújo",$B:$B,"&lt;&gt;Lorena Dias de Araujo",$B:$B,"&lt;&gt;Lucas Luiz Romero")*(23/1083),IF(C4558="JR",SUMIFS($D:$D,$A:$A,$A4558,$B:$B,"&lt;&gt;Patrícia Karla de Sousa Araújo",$B:$B,"&lt;&gt;Lorena Dias de Araujo",$B:$B,"&lt;&gt;Lucas Luiz Romero")*(20/1083),IF(C4558="Estágio",SUMIFS($D:$D,$A:$A,$A4558,$B:$B,"&lt;&gt;Patrícia Karla de Sousa Araújo",$B:$B,"&lt;&gt;Lorena Dias de Araujo",$B:$B,"&lt;&gt;Lucas Luiz Romero")*(10/1083),0)))))),0)</f>
        <v/>
      </c>
      <c r="K4558" s="3">
        <f>I4558-J4558</f>
        <v/>
      </c>
      <c r="L4558" s="3">
        <f>IF(K4558&lt;-5,"CRÍTICO",IF(K4558&lt;0,"ATENÇÃO",IF(K4558&lt;=5,"OPORTUNO","MUITO BOM")))</f>
        <v/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>
        <f>E4559+G4559+H4559</f>
        <v/>
      </c>
      <c r="J4559" s="3">
        <f>ROUND(MIN(IF(C4559="Técnico III",35,IF(C4559="Técnico II",28,IF(C4559="Técnico I",23,IF(C4559="JR",20,IF(C4559="Estágio",10,0))))),IF(C4559="Técnico III",SUMIFS($D:$D,$A:$A,$A4559,$B:$B,"&lt;&gt;Patrícia Karla de Sousa Araújo",$B:$B,"&lt;&gt;Lorena Dias de Araujo",$B:$B,"&lt;&gt;Lucas Luiz Romero")*(35/1083),IF(C4559="Técnico II",SUMIFS($D:$D,$A:$A,$A4559,$B:$B,"&lt;&gt;Patrícia Karla de Sousa Araújo",$B:$B,"&lt;&gt;Lorena Dias de Araujo",$B:$B,"&lt;&gt;Lucas Luiz Romero")*(28/1083),IF(C4559="Técnico I",SUMIFS($D:$D,$A:$A,$A4559,$B:$B,"&lt;&gt;Patrícia Karla de Sousa Araújo",$B:$B,"&lt;&gt;Lorena Dias de Araujo",$B:$B,"&lt;&gt;Lucas Luiz Romero")*(23/1083),IF(C4559="JR",SUMIFS($D:$D,$A:$A,$A4559,$B:$B,"&lt;&gt;Patrícia Karla de Sousa Araújo",$B:$B,"&lt;&gt;Lorena Dias de Araujo",$B:$B,"&lt;&gt;Lucas Luiz Romero")*(20/1083),IF(C4559="Estágio",SUMIFS($D:$D,$A:$A,$A4559,$B:$B,"&lt;&gt;Patrícia Karla de Sousa Araújo",$B:$B,"&lt;&gt;Lorena Dias de Araujo",$B:$B,"&lt;&gt;Lucas Luiz Romero")*(10/1083),0)))))),0)</f>
        <v/>
      </c>
      <c r="K4559" s="3">
        <f>I4559-J4559</f>
        <v/>
      </c>
      <c r="L4559" s="3">
        <f>IF(K4559&lt;-5,"CRÍTICO",IF(K4559&lt;0,"ATENÇÃO",IF(K4559&lt;=5,"OPORTUNO","MUITO BOM")))</f>
        <v/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>
        <f>E4560+G4560+H4560</f>
        <v/>
      </c>
      <c r="J4560" s="3">
        <f>ROUND(MIN(IF(C4560="Técnico III",35,IF(C4560="Técnico II",28,IF(C4560="Técnico I",23,IF(C4560="JR",20,IF(C4560="Estágio",10,0))))),IF(C4560="Técnico III",SUMIFS($D:$D,$A:$A,$A4560,$B:$B,"&lt;&gt;Patrícia Karla de Sousa Araújo",$B:$B,"&lt;&gt;Lorena Dias de Araujo",$B:$B,"&lt;&gt;Lucas Luiz Romero")*(35/1083),IF(C4560="Técnico II",SUMIFS($D:$D,$A:$A,$A4560,$B:$B,"&lt;&gt;Patrícia Karla de Sousa Araújo",$B:$B,"&lt;&gt;Lorena Dias de Araujo",$B:$B,"&lt;&gt;Lucas Luiz Romero")*(28/1083),IF(C4560="Técnico I",SUMIFS($D:$D,$A:$A,$A4560,$B:$B,"&lt;&gt;Patrícia Karla de Sousa Araújo",$B:$B,"&lt;&gt;Lorena Dias de Araujo",$B:$B,"&lt;&gt;Lucas Luiz Romero")*(23/1083),IF(C4560="JR",SUMIFS($D:$D,$A:$A,$A4560,$B:$B,"&lt;&gt;Patrícia Karla de Sousa Araújo",$B:$B,"&lt;&gt;Lorena Dias de Araujo",$B:$B,"&lt;&gt;Lucas Luiz Romero")*(20/1083),IF(C4560="Estágio",SUMIFS($D:$D,$A:$A,$A4560,$B:$B,"&lt;&gt;Patrícia Karla de Sousa Araújo",$B:$B,"&lt;&gt;Lorena Dias de Araujo",$B:$B,"&lt;&gt;Lucas Luiz Romero")*(10/1083),0)))))),0)</f>
        <v/>
      </c>
      <c r="K4560" s="3">
        <f>I4560-J4560</f>
        <v/>
      </c>
      <c r="L4560" s="3">
        <f>IF(K4560&lt;-5,"CRÍTICO",IF(K4560&lt;0,"ATENÇÃO",IF(K4560&lt;=5,"OPORTUNO","MUITO BOM")))</f>
        <v/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>
        <f>E4561+G4561+H4561</f>
        <v/>
      </c>
      <c r="J4561" s="3">
        <f>ROUND(MIN(IF(C4561="Técnico III",35,IF(C4561="Técnico II",28,IF(C4561="Técnico I",23,IF(C4561="JR",20,IF(C4561="Estágio",10,0))))),IF(C4561="Técnico III",SUMIFS($D:$D,$A:$A,$A4561,$B:$B,"&lt;&gt;Patrícia Karla de Sousa Araújo",$B:$B,"&lt;&gt;Lorena Dias de Araujo",$B:$B,"&lt;&gt;Lucas Luiz Romero")*(35/1083),IF(C4561="Técnico II",SUMIFS($D:$D,$A:$A,$A4561,$B:$B,"&lt;&gt;Patrícia Karla de Sousa Araújo",$B:$B,"&lt;&gt;Lorena Dias de Araujo",$B:$B,"&lt;&gt;Lucas Luiz Romero")*(28/1083),IF(C4561="Técnico I",SUMIFS($D:$D,$A:$A,$A4561,$B:$B,"&lt;&gt;Patrícia Karla de Sousa Araújo",$B:$B,"&lt;&gt;Lorena Dias de Araujo",$B:$B,"&lt;&gt;Lucas Luiz Romero")*(23/1083),IF(C4561="JR",SUMIFS($D:$D,$A:$A,$A4561,$B:$B,"&lt;&gt;Patrícia Karla de Sousa Araújo",$B:$B,"&lt;&gt;Lorena Dias de Araujo",$B:$B,"&lt;&gt;Lucas Luiz Romero")*(20/1083),IF(C4561="Estágio",SUMIFS($D:$D,$A:$A,$A4561,$B:$B,"&lt;&gt;Patrícia Karla de Sousa Araújo",$B:$B,"&lt;&gt;Lorena Dias de Araujo",$B:$B,"&lt;&gt;Lucas Luiz Romero")*(10/1083),0)))))),0)</f>
        <v/>
      </c>
      <c r="K4561" s="3">
        <f>I4561-J4561</f>
        <v/>
      </c>
      <c r="L4561" s="3">
        <f>IF(K4561&lt;-5,"CRÍTICO",IF(K4561&lt;0,"ATENÇÃO",IF(K4561&lt;=5,"OPORTUNO","MUITO BOM")))</f>
        <v/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>
        <f>E4564+G4564+H4564</f>
        <v/>
      </c>
      <c r="J4564" s="3">
        <f>ROUND(MIN(IF(C4564="Técnico III",35,IF(C4564="Técnico II",28,IF(C4564="Técnico I",23,IF(C4564="JR",20,IF(C4564="Estágio",10,0))))),IF(C4564="Técnico III",SUMIFS($D:$D,$A:$A,$A4564,$B:$B,"&lt;&gt;Patrícia Karla de Sousa Araújo",$B:$B,"&lt;&gt;Lorena Dias de Araujo",$B:$B,"&lt;&gt;Lucas Luiz Romero")*(35/1083),IF(C4564="Técnico II",SUMIFS($D:$D,$A:$A,$A4564,$B:$B,"&lt;&gt;Patrícia Karla de Sousa Araújo",$B:$B,"&lt;&gt;Lorena Dias de Araujo",$B:$B,"&lt;&gt;Lucas Luiz Romero")*(28/1083),IF(C4564="Técnico I",SUMIFS($D:$D,$A:$A,$A4564,$B:$B,"&lt;&gt;Patrícia Karla de Sousa Araújo",$B:$B,"&lt;&gt;Lorena Dias de Araujo",$B:$B,"&lt;&gt;Lucas Luiz Romero")*(23/1083),IF(C4564="JR",SUMIFS($D:$D,$A:$A,$A4564,$B:$B,"&lt;&gt;Patrícia Karla de Sousa Araújo",$B:$B,"&lt;&gt;Lorena Dias de Araujo",$B:$B,"&lt;&gt;Lucas Luiz Romero")*(20/1083),IF(C4564="Estágio",SUMIFS($D:$D,$A:$A,$A4564,$B:$B,"&lt;&gt;Patrícia Karla de Sousa Araújo",$B:$B,"&lt;&gt;Lorena Dias de Araujo",$B:$B,"&lt;&gt;Lucas Luiz Romero")*(10/1083),0)))))),0)</f>
        <v/>
      </c>
      <c r="K4564" s="3">
        <f>I4564-J4564</f>
        <v/>
      </c>
      <c r="L4564" s="3">
        <f>IF(K4564&lt;-5,"CRÍTICO",IF(K4564&lt;0,"ATENÇÃO",IF(K4564&lt;=5,"OPORTUNO","MUITO BOM")))</f>
        <v/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>
        <f>E4565+G4565+H4565</f>
        <v/>
      </c>
      <c r="J4565" s="3">
        <f>ROUND(MIN(IF(C4565="Técnico III",35,IF(C4565="Técnico II",28,IF(C4565="Técnico I",23,IF(C4565="JR",20,IF(C4565="Estágio",10,0))))),IF(C4565="Técnico III",SUMIFS($D:$D,$A:$A,$A4565,$B:$B,"&lt;&gt;Patrícia Karla de Sousa Araújo",$B:$B,"&lt;&gt;Lorena Dias de Araujo",$B:$B,"&lt;&gt;Lucas Luiz Romero")*(35/1083),IF(C4565="Técnico II",SUMIFS($D:$D,$A:$A,$A4565,$B:$B,"&lt;&gt;Patrícia Karla de Sousa Araújo",$B:$B,"&lt;&gt;Lorena Dias de Araujo",$B:$B,"&lt;&gt;Lucas Luiz Romero")*(28/1083),IF(C4565="Técnico I",SUMIFS($D:$D,$A:$A,$A4565,$B:$B,"&lt;&gt;Patrícia Karla de Sousa Araújo",$B:$B,"&lt;&gt;Lorena Dias de Araujo",$B:$B,"&lt;&gt;Lucas Luiz Romero")*(23/1083),IF(C4565="JR",SUMIFS($D:$D,$A:$A,$A4565,$B:$B,"&lt;&gt;Patrícia Karla de Sousa Araújo",$B:$B,"&lt;&gt;Lorena Dias de Araujo",$B:$B,"&lt;&gt;Lucas Luiz Romero")*(20/1083),IF(C4565="Estágio",SUMIFS($D:$D,$A:$A,$A4565,$B:$B,"&lt;&gt;Patrícia Karla de Sousa Araújo",$B:$B,"&lt;&gt;Lorena Dias de Araujo",$B:$B,"&lt;&gt;Lucas Luiz Romero")*(10/1083),0)))))),0)</f>
        <v/>
      </c>
      <c r="K4565" s="3">
        <f>I4565-J4565</f>
        <v/>
      </c>
      <c r="L4565" s="3">
        <f>IF(K4565&lt;-5,"CRÍTICO",IF(K4565&lt;0,"ATENÇÃO",IF(K4565&lt;=5,"OPORTUNO","MUITO BOM")))</f>
        <v/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>
        <f>E4571+G4571+H4571</f>
        <v/>
      </c>
      <c r="J4571" s="3">
        <f>ROUND(MIN(IF(C4571="Técnico III",35,IF(C4571="Técnico II",28,IF(C4571="Técnico I",23,IF(C4571="JR",20,IF(C4571="Estágio",10,0))))),IF(C4571="Técnico III",SUMIFS($D:$D,$A:$A,$A4571,$B:$B,"&lt;&gt;Patrícia Karla de Sousa Araújo",$B:$B,"&lt;&gt;Lorena Dias de Araujo",$B:$B,"&lt;&gt;Lucas Luiz Romero")*(35/1083),IF(C4571="Técnico II",SUMIFS($D:$D,$A:$A,$A4571,$B:$B,"&lt;&gt;Patrícia Karla de Sousa Araújo",$B:$B,"&lt;&gt;Lorena Dias de Araujo",$B:$B,"&lt;&gt;Lucas Luiz Romero")*(28/1083),IF(C4571="Técnico I",SUMIFS($D:$D,$A:$A,$A4571,$B:$B,"&lt;&gt;Patrícia Karla de Sousa Araújo",$B:$B,"&lt;&gt;Lorena Dias de Araujo",$B:$B,"&lt;&gt;Lucas Luiz Romero")*(23/1083),IF(C4571="JR",SUMIFS($D:$D,$A:$A,$A4571,$B:$B,"&lt;&gt;Patrícia Karla de Sousa Araújo",$B:$B,"&lt;&gt;Lorena Dias de Araujo",$B:$B,"&lt;&gt;Lucas Luiz Romero")*(20/1083),IF(C4571="Estágio",SUMIFS($D:$D,$A:$A,$A4571,$B:$B,"&lt;&gt;Patrícia Karla de Sousa Araújo",$B:$B,"&lt;&gt;Lorena Dias de Araujo",$B:$B,"&lt;&gt;Lucas Luiz Romero")*(10/1083),0)))))),0)</f>
        <v/>
      </c>
      <c r="K4571" s="3">
        <f>I4571-J4571</f>
        <v/>
      </c>
      <c r="L4571" s="3">
        <f>IF(K4571&lt;-5,"CRÍTICO",IF(K4571&lt;0,"ATENÇÃO",IF(K4571&lt;=5,"OPORTUNO","MUITO BOM")))</f>
        <v/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>
        <f>E4572+G4572+H4572</f>
        <v/>
      </c>
      <c r="J4572" s="3">
        <f>ROUND(MIN(IF(C4572="Técnico III",35,IF(C4572="Técnico II",28,IF(C4572="Técnico I",23,IF(C4572="JR",20,IF(C4572="Estágio",10,0))))),IF(C4572="Técnico III",SUMIFS($D:$D,$A:$A,$A4572,$B:$B,"&lt;&gt;Patrícia Karla de Sousa Araújo",$B:$B,"&lt;&gt;Lorena Dias de Araujo",$B:$B,"&lt;&gt;Lucas Luiz Romero")*(35/1083),IF(C4572="Técnico II",SUMIFS($D:$D,$A:$A,$A4572,$B:$B,"&lt;&gt;Patrícia Karla de Sousa Araújo",$B:$B,"&lt;&gt;Lorena Dias de Araujo",$B:$B,"&lt;&gt;Lucas Luiz Romero")*(28/1083),IF(C4572="Técnico I",SUMIFS($D:$D,$A:$A,$A4572,$B:$B,"&lt;&gt;Patrícia Karla de Sousa Araújo",$B:$B,"&lt;&gt;Lorena Dias de Araujo",$B:$B,"&lt;&gt;Lucas Luiz Romero")*(23/1083),IF(C4572="JR",SUMIFS($D:$D,$A:$A,$A4572,$B:$B,"&lt;&gt;Patrícia Karla de Sousa Araújo",$B:$B,"&lt;&gt;Lorena Dias de Araujo",$B:$B,"&lt;&gt;Lucas Luiz Romero")*(20/1083),IF(C4572="Estágio",SUMIFS($D:$D,$A:$A,$A4572,$B:$B,"&lt;&gt;Patrícia Karla de Sousa Araújo",$B:$B,"&lt;&gt;Lorena Dias de Araujo",$B:$B,"&lt;&gt;Lucas Luiz Romero")*(10/1083),0)))))),0)</f>
        <v/>
      </c>
      <c r="K4572" s="3">
        <f>I4572-J4572</f>
        <v/>
      </c>
      <c r="L4572" s="3">
        <f>IF(K4572&lt;-5,"CRÍTICO",IF(K4572&lt;0,"ATENÇÃO",IF(K4572&lt;=5,"OPORTUNO","MUITO BOM")))</f>
        <v/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>
        <f>E4573+G4573+H4573</f>
        <v/>
      </c>
      <c r="J4573" s="3">
        <f>ROUND(MIN(IF(C4573="Técnico III",35,IF(C4573="Técnico II",28,IF(C4573="Técnico I",23,IF(C4573="JR",20,IF(C4573="Estágio",10,0))))),IF(C4573="Técnico III",SUMIFS($D:$D,$A:$A,$A4573,$B:$B,"&lt;&gt;Patrícia Karla de Sousa Araújo",$B:$B,"&lt;&gt;Lorena Dias de Araujo",$B:$B,"&lt;&gt;Lucas Luiz Romero")*(35/1083),IF(C4573="Técnico II",SUMIFS($D:$D,$A:$A,$A4573,$B:$B,"&lt;&gt;Patrícia Karla de Sousa Araújo",$B:$B,"&lt;&gt;Lorena Dias de Araujo",$B:$B,"&lt;&gt;Lucas Luiz Romero")*(28/1083),IF(C4573="Técnico I",SUMIFS($D:$D,$A:$A,$A4573,$B:$B,"&lt;&gt;Patrícia Karla de Sousa Araújo",$B:$B,"&lt;&gt;Lorena Dias de Araujo",$B:$B,"&lt;&gt;Lucas Luiz Romero")*(23/1083),IF(C4573="JR",SUMIFS($D:$D,$A:$A,$A4573,$B:$B,"&lt;&gt;Patrícia Karla de Sousa Araújo",$B:$B,"&lt;&gt;Lorena Dias de Araujo",$B:$B,"&lt;&gt;Lucas Luiz Romero")*(20/1083),IF(C4573="Estágio",SUMIFS($D:$D,$A:$A,$A4573,$B:$B,"&lt;&gt;Patrícia Karla de Sousa Araújo",$B:$B,"&lt;&gt;Lorena Dias de Araujo",$B:$B,"&lt;&gt;Lucas Luiz Romero")*(10/1083),0)))))),0)</f>
        <v/>
      </c>
      <c r="K4573" s="3">
        <f>I4573-J4573</f>
        <v/>
      </c>
      <c r="L4573" s="3">
        <f>IF(K4573&lt;-5,"CRÍTICO",IF(K4573&lt;0,"ATENÇÃO",IF(K4573&lt;=5,"OPORTUNO","MUITO BOM")))</f>
        <v/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>
        <f>E4574+G4574+H4574</f>
        <v/>
      </c>
      <c r="J4574" s="3">
        <f>ROUND(MIN(IF(C4574="Técnico III",35,IF(C4574="Técnico II",28,IF(C4574="Técnico I",23,IF(C4574="JR",20,IF(C4574="Estágio",10,0))))),IF(C4574="Técnico III",SUMIFS($D:$D,$A:$A,$A4574,$B:$B,"&lt;&gt;Patrícia Karla de Sousa Araújo",$B:$B,"&lt;&gt;Lorena Dias de Araujo",$B:$B,"&lt;&gt;Lucas Luiz Romero")*(35/1083),IF(C4574="Técnico II",SUMIFS($D:$D,$A:$A,$A4574,$B:$B,"&lt;&gt;Patrícia Karla de Sousa Araújo",$B:$B,"&lt;&gt;Lorena Dias de Araujo",$B:$B,"&lt;&gt;Lucas Luiz Romero")*(28/1083),IF(C4574="Técnico I",SUMIFS($D:$D,$A:$A,$A4574,$B:$B,"&lt;&gt;Patrícia Karla de Sousa Araújo",$B:$B,"&lt;&gt;Lorena Dias de Araujo",$B:$B,"&lt;&gt;Lucas Luiz Romero")*(23/1083),IF(C4574="JR",SUMIFS($D:$D,$A:$A,$A4574,$B:$B,"&lt;&gt;Patrícia Karla de Sousa Araújo",$B:$B,"&lt;&gt;Lorena Dias de Araujo",$B:$B,"&lt;&gt;Lucas Luiz Romero")*(20/1083),IF(C4574="Estágio",SUMIFS($D:$D,$A:$A,$A4574,$B:$B,"&lt;&gt;Patrícia Karla de Sousa Araújo",$B:$B,"&lt;&gt;Lorena Dias de Araujo",$B:$B,"&lt;&gt;Lucas Luiz Romero")*(10/1083),0)))))),0)</f>
        <v/>
      </c>
      <c r="K4574" s="3">
        <f>I4574-J4574</f>
        <v/>
      </c>
      <c r="L4574" s="3">
        <f>IF(K4574&lt;-5,"CRÍTICO",IF(K4574&lt;0,"ATENÇÃO",IF(K4574&lt;=5,"OPORTUNO","MUITO BOM")))</f>
        <v/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>
        <f>E4575+G4575+H4575</f>
        <v/>
      </c>
      <c r="J4575" s="3">
        <f>ROUND(MIN(IF(C4575="Técnico III",35,IF(C4575="Técnico II",28,IF(C4575="Técnico I",23,IF(C4575="JR",20,IF(C4575="Estágio",10,0))))),IF(C4575="Técnico III",SUMIFS($D:$D,$A:$A,$A4575,$B:$B,"&lt;&gt;Patrícia Karla de Sousa Araújo",$B:$B,"&lt;&gt;Lorena Dias de Araujo",$B:$B,"&lt;&gt;Lucas Luiz Romero")*(35/1083),IF(C4575="Técnico II",SUMIFS($D:$D,$A:$A,$A4575,$B:$B,"&lt;&gt;Patrícia Karla de Sousa Araújo",$B:$B,"&lt;&gt;Lorena Dias de Araujo",$B:$B,"&lt;&gt;Lucas Luiz Romero")*(28/1083),IF(C4575="Técnico I",SUMIFS($D:$D,$A:$A,$A4575,$B:$B,"&lt;&gt;Patrícia Karla de Sousa Araújo",$B:$B,"&lt;&gt;Lorena Dias de Araujo",$B:$B,"&lt;&gt;Lucas Luiz Romero")*(23/1083),IF(C4575="JR",SUMIFS($D:$D,$A:$A,$A4575,$B:$B,"&lt;&gt;Patrícia Karla de Sousa Araújo",$B:$B,"&lt;&gt;Lorena Dias de Araujo",$B:$B,"&lt;&gt;Lucas Luiz Romero")*(20/1083),IF(C4575="Estágio",SUMIFS($D:$D,$A:$A,$A4575,$B:$B,"&lt;&gt;Patrícia Karla de Sousa Araújo",$B:$B,"&lt;&gt;Lorena Dias de Araujo",$B:$B,"&lt;&gt;Lucas Luiz Romero")*(10/1083),0)))))),0)</f>
        <v/>
      </c>
      <c r="K4575" s="3">
        <f>I4575-J4575</f>
        <v/>
      </c>
      <c r="L4575" s="3">
        <f>IF(K4575&lt;-5,"CRÍTICO",IF(K4575&lt;0,"ATENÇÃO",IF(K4575&lt;=5,"OPORTUNO","MUITO BOM")))</f>
        <v/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>
        <f>E4576+G4576+H4576</f>
        <v/>
      </c>
      <c r="J4576" s="3">
        <f>ROUND(MIN(IF(C4576="Técnico III",35,IF(C4576="Técnico II",28,IF(C4576="Técnico I",23,IF(C4576="JR",20,IF(C4576="Estágio",10,0))))),IF(C4576="Técnico III",SUMIFS($D:$D,$A:$A,$A4576,$B:$B,"&lt;&gt;Patrícia Karla de Sousa Araújo",$B:$B,"&lt;&gt;Lorena Dias de Araujo",$B:$B,"&lt;&gt;Lucas Luiz Romero")*(35/1083),IF(C4576="Técnico II",SUMIFS($D:$D,$A:$A,$A4576,$B:$B,"&lt;&gt;Patrícia Karla de Sousa Araújo",$B:$B,"&lt;&gt;Lorena Dias de Araujo",$B:$B,"&lt;&gt;Lucas Luiz Romero")*(28/1083),IF(C4576="Técnico I",SUMIFS($D:$D,$A:$A,$A4576,$B:$B,"&lt;&gt;Patrícia Karla de Sousa Araújo",$B:$B,"&lt;&gt;Lorena Dias de Araujo",$B:$B,"&lt;&gt;Lucas Luiz Romero")*(23/1083),IF(C4576="JR",SUMIFS($D:$D,$A:$A,$A4576,$B:$B,"&lt;&gt;Patrícia Karla de Sousa Araújo",$B:$B,"&lt;&gt;Lorena Dias de Araujo",$B:$B,"&lt;&gt;Lucas Luiz Romero")*(20/1083),IF(C4576="Estágio",SUMIFS($D:$D,$A:$A,$A4576,$B:$B,"&lt;&gt;Patrícia Karla de Sousa Araújo",$B:$B,"&lt;&gt;Lorena Dias de Araujo",$B:$B,"&lt;&gt;Lucas Luiz Romero")*(10/1083),0)))))),0)</f>
        <v/>
      </c>
      <c r="K4576" s="3">
        <f>I4576-J4576</f>
        <v/>
      </c>
      <c r="L4576" s="3">
        <f>IF(K4576&lt;-5,"CRÍTICO",IF(K4576&lt;0,"ATENÇÃO",IF(K4576&lt;=5,"OPORTUNO","MUITO BOM")))</f>
        <v/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>
        <f>E4577+G4577+H4577</f>
        <v/>
      </c>
      <c r="J4577" s="3">
        <f>ROUND(MIN(IF(C4577="Técnico III",35,IF(C4577="Técnico II",28,IF(C4577="Técnico I",23,IF(C4577="JR",20,IF(C4577="Estágio",10,0))))),IF(C4577="Técnico III",SUMIFS($D:$D,$A:$A,$A4577,$B:$B,"&lt;&gt;Patrícia Karla de Sousa Araújo",$B:$B,"&lt;&gt;Lorena Dias de Araujo",$B:$B,"&lt;&gt;Lucas Luiz Romero")*(35/1083),IF(C4577="Técnico II",SUMIFS($D:$D,$A:$A,$A4577,$B:$B,"&lt;&gt;Patrícia Karla de Sousa Araújo",$B:$B,"&lt;&gt;Lorena Dias de Araujo",$B:$B,"&lt;&gt;Lucas Luiz Romero")*(28/1083),IF(C4577="Técnico I",SUMIFS($D:$D,$A:$A,$A4577,$B:$B,"&lt;&gt;Patrícia Karla de Sousa Araújo",$B:$B,"&lt;&gt;Lorena Dias de Araujo",$B:$B,"&lt;&gt;Lucas Luiz Romero")*(23/1083),IF(C4577="JR",SUMIFS($D:$D,$A:$A,$A4577,$B:$B,"&lt;&gt;Patrícia Karla de Sousa Araújo",$B:$B,"&lt;&gt;Lorena Dias de Araujo",$B:$B,"&lt;&gt;Lucas Luiz Romero")*(20/1083),IF(C4577="Estágio",SUMIFS($D:$D,$A:$A,$A4577,$B:$B,"&lt;&gt;Patrícia Karla de Sousa Araújo",$B:$B,"&lt;&gt;Lorena Dias de Araujo",$B:$B,"&lt;&gt;Lucas Luiz Romero")*(10/1083),0)))))),0)</f>
        <v/>
      </c>
      <c r="K4577" s="3">
        <f>I4577-J4577</f>
        <v/>
      </c>
      <c r="L4577" s="3">
        <f>IF(K4577&lt;-5,"CRÍTICO",IF(K4577&lt;0,"ATENÇÃO",IF(K4577&lt;=5,"OPORTUNO","MUITO BOM")))</f>
        <v/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>
        <f>E4578+G4578+H4578</f>
        <v/>
      </c>
      <c r="J4578" s="3">
        <f>ROUND(MIN(IF(C4578="Técnico III",35,IF(C4578="Técnico II",28,IF(C4578="Técnico I",23,IF(C4578="JR",20,IF(C4578="Estágio",10,0))))),IF(C4578="Técnico III",SUMIFS($D:$D,$A:$A,$A4578,$B:$B,"&lt;&gt;Patrícia Karla de Sousa Araújo",$B:$B,"&lt;&gt;Lorena Dias de Araujo",$B:$B,"&lt;&gt;Lucas Luiz Romero")*(35/1083),IF(C4578="Técnico II",SUMIFS($D:$D,$A:$A,$A4578,$B:$B,"&lt;&gt;Patrícia Karla de Sousa Araújo",$B:$B,"&lt;&gt;Lorena Dias de Araujo",$B:$B,"&lt;&gt;Lucas Luiz Romero")*(28/1083),IF(C4578="Técnico I",SUMIFS($D:$D,$A:$A,$A4578,$B:$B,"&lt;&gt;Patrícia Karla de Sousa Araújo",$B:$B,"&lt;&gt;Lorena Dias de Araujo",$B:$B,"&lt;&gt;Lucas Luiz Romero")*(23/1083),IF(C4578="JR",SUMIFS($D:$D,$A:$A,$A4578,$B:$B,"&lt;&gt;Patrícia Karla de Sousa Araújo",$B:$B,"&lt;&gt;Lorena Dias de Araujo",$B:$B,"&lt;&gt;Lucas Luiz Romero")*(20/1083),IF(C4578="Estágio",SUMIFS($D:$D,$A:$A,$A4578,$B:$B,"&lt;&gt;Patrícia Karla de Sousa Araújo",$B:$B,"&lt;&gt;Lorena Dias de Araujo",$B:$B,"&lt;&gt;Lucas Luiz Romero")*(10/1083),0)))))),0)</f>
        <v/>
      </c>
      <c r="K4578" s="3">
        <f>I4578-J4578</f>
        <v/>
      </c>
      <c r="L4578" s="3">
        <f>IF(K4578&lt;-5,"CRÍTICO",IF(K4578&lt;0,"ATENÇÃO",IF(K4578&lt;=5,"OPORTUNO","MUITO BOM")))</f>
        <v/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>
        <f>IF(K4579&lt;-5,"CRÍTICO",IF(K4579&lt;0,"ATENÇÃO",IF(K4579&lt;=5,"OPORTUNO","MUITO BOM")))</f>
        <v/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>
        <f>E4580+G4580+H4580</f>
        <v/>
      </c>
      <c r="J4580" s="3">
        <f>ROUND(MIN(IF(C4580="Técnico III",35,IF(C4580="Técnico II",28,IF(C4580="Técnico I",23,IF(C4580="JR",20,IF(C4580="Estágio",10,0))))),IF(C4580="Técnico III",SUMIFS($D:$D,$A:$A,$A4580,$B:$B,"&lt;&gt;Patrícia Karla de Sousa Araújo",$B:$B,"&lt;&gt;Lorena Dias de Araujo",$B:$B,"&lt;&gt;Lucas Luiz Romero")*(35/1083),IF(C4580="Técnico II",SUMIFS($D:$D,$A:$A,$A4580,$B:$B,"&lt;&gt;Patrícia Karla de Sousa Araújo",$B:$B,"&lt;&gt;Lorena Dias de Araujo",$B:$B,"&lt;&gt;Lucas Luiz Romero")*(28/1083),IF(C4580="Técnico I",SUMIFS($D:$D,$A:$A,$A4580,$B:$B,"&lt;&gt;Patrícia Karla de Sousa Araújo",$B:$B,"&lt;&gt;Lorena Dias de Araujo",$B:$B,"&lt;&gt;Lucas Luiz Romero")*(23/1083),IF(C4580="JR",SUMIFS($D:$D,$A:$A,$A4580,$B:$B,"&lt;&gt;Patrícia Karla de Sousa Araújo",$B:$B,"&lt;&gt;Lorena Dias de Araujo",$B:$B,"&lt;&gt;Lucas Luiz Romero")*(20/1083),IF(C4580="Estágio",SUMIFS($D:$D,$A:$A,$A4580,$B:$B,"&lt;&gt;Patrícia Karla de Sousa Araújo",$B:$B,"&lt;&gt;Lorena Dias de Araujo",$B:$B,"&lt;&gt;Lucas Luiz Romero")*(10/1083),0)))))),0)</f>
        <v/>
      </c>
      <c r="K4580" s="3">
        <f>I4580-J4580</f>
        <v/>
      </c>
      <c r="L4580" s="3">
        <f>IF(K4580&lt;-5,"CRÍTICO",IF(K4580&lt;0,"ATENÇÃO",IF(K4580&lt;=5,"OPORTUNO","MUITO BOM")))</f>
        <v/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>
        <f>E4581+G4581+H4581</f>
        <v/>
      </c>
      <c r="J4581" s="3">
        <f>ROUND(MIN(IF(C4581="Técnico III",35,IF(C4581="Técnico II",28,IF(C4581="Técnico I",23,IF(C4581="JR",20,IF(C4581="Estágio",10,0))))),IF(C4581="Técnico III",SUMIFS($D:$D,$A:$A,$A4581,$B:$B,"&lt;&gt;Patrícia Karla de Sousa Araújo",$B:$B,"&lt;&gt;Lorena Dias de Araujo",$B:$B,"&lt;&gt;Lucas Luiz Romero")*(35/1083),IF(C4581="Técnico II",SUMIFS($D:$D,$A:$A,$A4581,$B:$B,"&lt;&gt;Patrícia Karla de Sousa Araújo",$B:$B,"&lt;&gt;Lorena Dias de Araujo",$B:$B,"&lt;&gt;Lucas Luiz Romero")*(28/1083),IF(C4581="Técnico I",SUMIFS($D:$D,$A:$A,$A4581,$B:$B,"&lt;&gt;Patrícia Karla de Sousa Araújo",$B:$B,"&lt;&gt;Lorena Dias de Araujo",$B:$B,"&lt;&gt;Lucas Luiz Romero")*(23/1083),IF(C4581="JR",SUMIFS($D:$D,$A:$A,$A4581,$B:$B,"&lt;&gt;Patrícia Karla de Sousa Araújo",$B:$B,"&lt;&gt;Lorena Dias de Araujo",$B:$B,"&lt;&gt;Lucas Luiz Romero")*(20/1083),IF(C4581="Estágio",SUMIFS($D:$D,$A:$A,$A4581,$B:$B,"&lt;&gt;Patrícia Karla de Sousa Araújo",$B:$B,"&lt;&gt;Lorena Dias de Araujo",$B:$B,"&lt;&gt;Lucas Luiz Romero")*(10/1083),0)))))),0)</f>
        <v/>
      </c>
      <c r="K4581" s="3">
        <f>I4581-J4581</f>
        <v/>
      </c>
      <c r="L4581" s="3">
        <f>IF(K4581&lt;-5,"CRÍTICO",IF(K4581&lt;0,"ATENÇÃO",IF(K4581&lt;=5,"OPORTUNO","MUITO BOM")))</f>
        <v/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>
        <f>E4582+G4582+H4582</f>
        <v/>
      </c>
      <c r="J4582" s="3">
        <f>ROUND(MIN(IF(C4582="Técnico III",35,IF(C4582="Técnico II",28,IF(C4582="Técnico I",23,IF(C4582="JR",20,IF(C4582="Estágio",10,0))))),IF(C4582="Técnico III",SUMIFS($D:$D,$A:$A,$A4582,$B:$B,"&lt;&gt;Patrícia Karla de Sousa Araújo",$B:$B,"&lt;&gt;Lorena Dias de Araujo",$B:$B,"&lt;&gt;Lucas Luiz Romero")*(35/1083),IF(C4582="Técnico II",SUMIFS($D:$D,$A:$A,$A4582,$B:$B,"&lt;&gt;Patrícia Karla de Sousa Araújo",$B:$B,"&lt;&gt;Lorena Dias de Araujo",$B:$B,"&lt;&gt;Lucas Luiz Romero")*(28/1083),IF(C4582="Técnico I",SUMIFS($D:$D,$A:$A,$A4582,$B:$B,"&lt;&gt;Patrícia Karla de Sousa Araújo",$B:$B,"&lt;&gt;Lorena Dias de Araujo",$B:$B,"&lt;&gt;Lucas Luiz Romero")*(23/1083),IF(C4582="JR",SUMIFS($D:$D,$A:$A,$A4582,$B:$B,"&lt;&gt;Patrícia Karla de Sousa Araújo",$B:$B,"&lt;&gt;Lorena Dias de Araujo",$B:$B,"&lt;&gt;Lucas Luiz Romero")*(20/1083),IF(C4582="Estágio",SUMIFS($D:$D,$A:$A,$A4582,$B:$B,"&lt;&gt;Patrícia Karla de Sousa Araújo",$B:$B,"&lt;&gt;Lorena Dias de Araujo",$B:$B,"&lt;&gt;Lucas Luiz Romero")*(10/1083),0)))))),0)</f>
        <v/>
      </c>
      <c r="K4582" s="3">
        <f>I4582-J4582</f>
        <v/>
      </c>
      <c r="L4582" s="3">
        <f>IF(K4582&lt;-5,"CRÍTICO",IF(K4582&lt;0,"ATENÇÃO",IF(K4582&lt;=5,"OPORTUNO","MUITO BOM")))</f>
        <v/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>
        <f>E4583+G4583+H4583</f>
        <v/>
      </c>
      <c r="J4583" s="3">
        <f>ROUND(MIN(IF(C4583="Técnico III",35,IF(C4583="Técnico II",28,IF(C4583="Técnico I",23,IF(C4583="JR",20,IF(C4583="Estágio",10,0))))),IF(C4583="Técnico III",SUMIFS($D:$D,$A:$A,$A4583,$B:$B,"&lt;&gt;Patrícia Karla de Sousa Araújo",$B:$B,"&lt;&gt;Lorena Dias de Araujo",$B:$B,"&lt;&gt;Lucas Luiz Romero")*(35/1083),IF(C4583="Técnico II",SUMIFS($D:$D,$A:$A,$A4583,$B:$B,"&lt;&gt;Patrícia Karla de Sousa Araújo",$B:$B,"&lt;&gt;Lorena Dias de Araujo",$B:$B,"&lt;&gt;Lucas Luiz Romero")*(28/1083),IF(C4583="Técnico I",SUMIFS($D:$D,$A:$A,$A4583,$B:$B,"&lt;&gt;Patrícia Karla de Sousa Araújo",$B:$B,"&lt;&gt;Lorena Dias de Araujo",$B:$B,"&lt;&gt;Lucas Luiz Romero")*(23/1083),IF(C4583="JR",SUMIFS($D:$D,$A:$A,$A4583,$B:$B,"&lt;&gt;Patrícia Karla de Sousa Araújo",$B:$B,"&lt;&gt;Lorena Dias de Araujo",$B:$B,"&lt;&gt;Lucas Luiz Romero")*(20/1083),IF(C4583="Estágio",SUMIFS($D:$D,$A:$A,$A4583,$B:$B,"&lt;&gt;Patrícia Karla de Sousa Araújo",$B:$B,"&lt;&gt;Lorena Dias de Araujo",$B:$B,"&lt;&gt;Lucas Luiz Romero")*(10/1083),0)))))),0)</f>
        <v/>
      </c>
      <c r="K4583" s="3">
        <f>I4583-J4583</f>
        <v/>
      </c>
      <c r="L4583" s="3">
        <f>IF(K4583&lt;-5,"CRÍTICO",IF(K4583&lt;0,"ATENÇÃO",IF(K4583&lt;=5,"OPORTUNO","MUITO BOM")))</f>
        <v/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>
        <f>E4584+G4584+H4584</f>
        <v/>
      </c>
      <c r="J4584" s="3">
        <f>ROUND(MIN(IF(C4584="Técnico III",35,IF(C4584="Técnico II",28,IF(C4584="Técnico I",23,IF(C4584="JR",20,IF(C4584="Estágio",10,0))))),IF(C4584="Técnico III",SUMIFS($D:$D,$A:$A,$A4584,$B:$B,"&lt;&gt;Patrícia Karla de Sousa Araújo",$B:$B,"&lt;&gt;Lorena Dias de Araujo",$B:$B,"&lt;&gt;Lucas Luiz Romero")*(35/1083),IF(C4584="Técnico II",SUMIFS($D:$D,$A:$A,$A4584,$B:$B,"&lt;&gt;Patrícia Karla de Sousa Araújo",$B:$B,"&lt;&gt;Lorena Dias de Araujo",$B:$B,"&lt;&gt;Lucas Luiz Romero")*(28/1083),IF(C4584="Técnico I",SUMIFS($D:$D,$A:$A,$A4584,$B:$B,"&lt;&gt;Patrícia Karla de Sousa Araújo",$B:$B,"&lt;&gt;Lorena Dias de Araujo",$B:$B,"&lt;&gt;Lucas Luiz Romero")*(23/1083),IF(C4584="JR",SUMIFS($D:$D,$A:$A,$A4584,$B:$B,"&lt;&gt;Patrícia Karla de Sousa Araújo",$B:$B,"&lt;&gt;Lorena Dias de Araujo",$B:$B,"&lt;&gt;Lucas Luiz Romero")*(20/1083),IF(C4584="Estágio",SUMIFS($D:$D,$A:$A,$A4584,$B:$B,"&lt;&gt;Patrícia Karla de Sousa Araújo",$B:$B,"&lt;&gt;Lorena Dias de Araujo",$B:$B,"&lt;&gt;Lucas Luiz Romero")*(10/1083),0)))))),0)</f>
        <v/>
      </c>
      <c r="K4584" s="3">
        <f>I4584-J4584</f>
        <v/>
      </c>
      <c r="L4584" s="3">
        <f>IF(K4584&lt;-5,"CRÍTICO",IF(K4584&lt;0,"ATENÇÃO",IF(K4584&lt;=5,"OPORTUNO","MUITO BOM")))</f>
        <v/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>
        <f>E4585+G4585+H4585</f>
        <v/>
      </c>
      <c r="J4585" s="3">
        <f>ROUND(MIN(IF(C4585="Técnico III",35,IF(C4585="Técnico II",28,IF(C4585="Técnico I",23,IF(C4585="JR",20,IF(C4585="Estágio",10,0))))),IF(C4585="Técnico III",SUMIFS($D:$D,$A:$A,$A4585,$B:$B,"&lt;&gt;Patrícia Karla de Sousa Araújo",$B:$B,"&lt;&gt;Lorena Dias de Araujo",$B:$B,"&lt;&gt;Lucas Luiz Romero")*(35/1083),IF(C4585="Técnico II",SUMIFS($D:$D,$A:$A,$A4585,$B:$B,"&lt;&gt;Patrícia Karla de Sousa Araújo",$B:$B,"&lt;&gt;Lorena Dias de Araujo",$B:$B,"&lt;&gt;Lucas Luiz Romero")*(28/1083),IF(C4585="Técnico I",SUMIFS($D:$D,$A:$A,$A4585,$B:$B,"&lt;&gt;Patrícia Karla de Sousa Araújo",$B:$B,"&lt;&gt;Lorena Dias de Araujo",$B:$B,"&lt;&gt;Lucas Luiz Romero")*(23/1083),IF(C4585="JR",SUMIFS($D:$D,$A:$A,$A4585,$B:$B,"&lt;&gt;Patrícia Karla de Sousa Araújo",$B:$B,"&lt;&gt;Lorena Dias de Araujo",$B:$B,"&lt;&gt;Lucas Luiz Romero")*(20/1083),IF(C4585="Estágio",SUMIFS($D:$D,$A:$A,$A4585,$B:$B,"&lt;&gt;Patrícia Karla de Sousa Araújo",$B:$B,"&lt;&gt;Lorena Dias de Araujo",$B:$B,"&lt;&gt;Lucas Luiz Romero")*(10/1083),0)))))),0)</f>
        <v/>
      </c>
      <c r="K4585" s="3">
        <f>I4585-J4585</f>
        <v/>
      </c>
      <c r="L4585" s="3">
        <f>IF(K4585&lt;-5,"CRÍTICO",IF(K4585&lt;0,"ATENÇÃO",IF(K4585&lt;=5,"OPORTUNO","MUITO BOM")))</f>
        <v/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>
        <f>IF(K4586&lt;-5,"CRÍTICO",IF(K4586&lt;0,"ATENÇÃO",IF(K4586&lt;=5,"OPORTUNO","MUITO BOM")))</f>
        <v/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>
        <f>E4587+G4587+H4587</f>
        <v/>
      </c>
      <c r="J4587" s="3">
        <f>ROUND(MIN(IF(C4587="Técnico III",35,IF(C4587="Técnico II",28,IF(C4587="Técnico I",23,IF(C4587="JR",20,IF(C4587="Estágio",10,0))))),IF(C4587="Técnico III",SUMIFS($D:$D,$A:$A,$A4587,$B:$B,"&lt;&gt;Patrícia Karla de Sousa Araújo",$B:$B,"&lt;&gt;Lorena Dias de Araujo",$B:$B,"&lt;&gt;Lucas Luiz Romero")*(35/1083),IF(C4587="Técnico II",SUMIFS($D:$D,$A:$A,$A4587,$B:$B,"&lt;&gt;Patrícia Karla de Sousa Araújo",$B:$B,"&lt;&gt;Lorena Dias de Araujo",$B:$B,"&lt;&gt;Lucas Luiz Romero")*(28/1083),IF(C4587="Técnico I",SUMIFS($D:$D,$A:$A,$A4587,$B:$B,"&lt;&gt;Patrícia Karla de Sousa Araújo",$B:$B,"&lt;&gt;Lorena Dias de Araujo",$B:$B,"&lt;&gt;Lucas Luiz Romero")*(23/1083),IF(C4587="JR",SUMIFS($D:$D,$A:$A,$A4587,$B:$B,"&lt;&gt;Patrícia Karla de Sousa Araújo",$B:$B,"&lt;&gt;Lorena Dias de Araujo",$B:$B,"&lt;&gt;Lucas Luiz Romero")*(20/1083),IF(C4587="Estágio",SUMIFS($D:$D,$A:$A,$A4587,$B:$B,"&lt;&gt;Patrícia Karla de Sousa Araújo",$B:$B,"&lt;&gt;Lorena Dias de Araujo",$B:$B,"&lt;&gt;Lucas Luiz Romero")*(10/1083),0)))))),0)</f>
        <v/>
      </c>
      <c r="K4587" s="3">
        <f>I4587-J4587</f>
        <v/>
      </c>
      <c r="L4587" s="3">
        <f>IF(K4587&lt;-5,"CRÍTICO",IF(K4587&lt;0,"ATENÇÃO",IF(K4587&lt;=5,"OPORTUNO","MUITO BOM")))</f>
        <v/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>
        <f>IF(K4588&lt;-5,"CRÍTICO",IF(K4588&lt;0,"ATENÇÃO",IF(K4588&lt;=5,"OPORTUNO","MUITO BOM")))</f>
        <v/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>
        <f>E4589+G4589+H4589</f>
        <v/>
      </c>
      <c r="J4589" s="3">
        <f>ROUND(MIN(IF(C4589="Técnico III",35,IF(C4589="Técnico II",28,IF(C4589="Técnico I",23,IF(C4589="JR",20,IF(C4589="Estágio",10,0))))),IF(C4589="Técnico III",SUMIFS($D:$D,$A:$A,$A4589,$B:$B,"&lt;&gt;Patrícia Karla de Sousa Araújo",$B:$B,"&lt;&gt;Lorena Dias de Araujo",$B:$B,"&lt;&gt;Lucas Luiz Romero")*(35/1083),IF(C4589="Técnico II",SUMIFS($D:$D,$A:$A,$A4589,$B:$B,"&lt;&gt;Patrícia Karla de Sousa Araújo",$B:$B,"&lt;&gt;Lorena Dias de Araujo",$B:$B,"&lt;&gt;Lucas Luiz Romero")*(28/1083),IF(C4589="Técnico I",SUMIFS($D:$D,$A:$A,$A4589,$B:$B,"&lt;&gt;Patrícia Karla de Sousa Araújo",$B:$B,"&lt;&gt;Lorena Dias de Araujo",$B:$B,"&lt;&gt;Lucas Luiz Romero")*(23/1083),IF(C4589="JR",SUMIFS($D:$D,$A:$A,$A4589,$B:$B,"&lt;&gt;Patrícia Karla de Sousa Araújo",$B:$B,"&lt;&gt;Lorena Dias de Araujo",$B:$B,"&lt;&gt;Lucas Luiz Romero")*(20/1083),IF(C4589="Estágio",SUMIFS($D:$D,$A:$A,$A4589,$B:$B,"&lt;&gt;Patrícia Karla de Sousa Araújo",$B:$B,"&lt;&gt;Lorena Dias de Araujo",$B:$B,"&lt;&gt;Lucas Luiz Romero")*(10/1083),0)))))),0)</f>
        <v/>
      </c>
      <c r="K4589" s="3">
        <f>I4589-J4589</f>
        <v/>
      </c>
      <c r="L4589" s="3">
        <f>IF(K4589&lt;-5,"CRÍTICO",IF(K4589&lt;0,"ATENÇÃO",IF(K4589&lt;=5,"OPORTUNO","MUITO BOM")))</f>
        <v/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>
        <f>E4590+G4590+H4590</f>
        <v/>
      </c>
      <c r="J4590" s="3">
        <f>ROUND(MIN(IF(C4590="Técnico III",35,IF(C4590="Técnico II",28,IF(C4590="Técnico I",23,IF(C4590="JR",20,IF(C4590="Estágio",10,0))))),IF(C4590="Técnico III",SUMIFS($D:$D,$A:$A,$A4590,$B:$B,"&lt;&gt;Patrícia Karla de Sousa Araújo",$B:$B,"&lt;&gt;Lorena Dias de Araujo",$B:$B,"&lt;&gt;Lucas Luiz Romero")*(35/1083),IF(C4590="Técnico II",SUMIFS($D:$D,$A:$A,$A4590,$B:$B,"&lt;&gt;Patrícia Karla de Sousa Araújo",$B:$B,"&lt;&gt;Lorena Dias de Araujo",$B:$B,"&lt;&gt;Lucas Luiz Romero")*(28/1083),IF(C4590="Técnico I",SUMIFS($D:$D,$A:$A,$A4590,$B:$B,"&lt;&gt;Patrícia Karla de Sousa Araújo",$B:$B,"&lt;&gt;Lorena Dias de Araujo",$B:$B,"&lt;&gt;Lucas Luiz Romero")*(23/1083),IF(C4590="JR",SUMIFS($D:$D,$A:$A,$A4590,$B:$B,"&lt;&gt;Patrícia Karla de Sousa Araújo",$B:$B,"&lt;&gt;Lorena Dias de Araujo",$B:$B,"&lt;&gt;Lucas Luiz Romero")*(20/1083),IF(C4590="Estágio",SUMIFS($D:$D,$A:$A,$A4590,$B:$B,"&lt;&gt;Patrícia Karla de Sousa Araújo",$B:$B,"&lt;&gt;Lorena Dias de Araujo",$B:$B,"&lt;&gt;Lucas Luiz Romero")*(10/1083),0)))))),0)</f>
        <v/>
      </c>
      <c r="K4590" s="3">
        <f>I4590-J4590</f>
        <v/>
      </c>
      <c r="L4590" s="3">
        <f>IF(K4590&lt;-5,"CRÍTICO",IF(K4590&lt;0,"ATENÇÃO",IF(K4590&lt;=5,"OPORTUNO","MUITO BOM")))</f>
        <v/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>
        <f>IF(K4591&lt;-5,"CRÍTICO",IF(K4591&lt;0,"ATENÇÃO",IF(K4591&lt;=5,"OPORTUNO","MUITO BOM")))</f>
        <v/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>
        <f>E4592+G4592+H4592</f>
        <v/>
      </c>
      <c r="J4592" s="3">
        <f>ROUND(MIN(IF(C4592="Técnico III",35,IF(C4592="Técnico II",28,IF(C4592="Técnico I",23,IF(C4592="JR",20,IF(C4592="Estágio",10,0))))),IF(C4592="Técnico III",SUMIFS($D:$D,$A:$A,$A4592,$B:$B,"&lt;&gt;Patrícia Karla de Sousa Araújo",$B:$B,"&lt;&gt;Lorena Dias de Araujo",$B:$B,"&lt;&gt;Lucas Luiz Romero")*(35/1083),IF(C4592="Técnico II",SUMIFS($D:$D,$A:$A,$A4592,$B:$B,"&lt;&gt;Patrícia Karla de Sousa Araújo",$B:$B,"&lt;&gt;Lorena Dias de Araujo",$B:$B,"&lt;&gt;Lucas Luiz Romero")*(28/1083),IF(C4592="Técnico I",SUMIFS($D:$D,$A:$A,$A4592,$B:$B,"&lt;&gt;Patrícia Karla de Sousa Araújo",$B:$B,"&lt;&gt;Lorena Dias de Araujo",$B:$B,"&lt;&gt;Lucas Luiz Romero")*(23/1083),IF(C4592="JR",SUMIFS($D:$D,$A:$A,$A4592,$B:$B,"&lt;&gt;Patrícia Karla de Sousa Araújo",$B:$B,"&lt;&gt;Lorena Dias de Araujo",$B:$B,"&lt;&gt;Lucas Luiz Romero")*(20/1083),IF(C4592="Estágio",SUMIFS($D:$D,$A:$A,$A4592,$B:$B,"&lt;&gt;Patrícia Karla de Sousa Araújo",$B:$B,"&lt;&gt;Lorena Dias de Araujo",$B:$B,"&lt;&gt;Lucas Luiz Romero")*(10/1083),0)))))),0)</f>
        <v/>
      </c>
      <c r="K4592" s="3">
        <f>I4592-J4592</f>
        <v/>
      </c>
      <c r="L4592" s="3">
        <f>IF(K4592&lt;-5,"CRÍTICO",IF(K4592&lt;0,"ATENÇÃO",IF(K4592&lt;=5,"OPORTUNO","MUITO BOM")))</f>
        <v/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>
        <f>E4593+G4593+H4593</f>
        <v/>
      </c>
      <c r="J4593" s="3">
        <f>ROUND(MIN(IF(C4593="Técnico III",35,IF(C4593="Técnico II",28,IF(C4593="Técnico I",23,IF(C4593="JR",20,IF(C4593="Estágio",10,0))))),IF(C4593="Técnico III",SUMIFS($D:$D,$A:$A,$A4593,$B:$B,"&lt;&gt;Patrícia Karla de Sousa Araújo",$B:$B,"&lt;&gt;Lorena Dias de Araujo",$B:$B,"&lt;&gt;Lucas Luiz Romero")*(35/1083),IF(C4593="Técnico II",SUMIFS($D:$D,$A:$A,$A4593,$B:$B,"&lt;&gt;Patrícia Karla de Sousa Araújo",$B:$B,"&lt;&gt;Lorena Dias de Araujo",$B:$B,"&lt;&gt;Lucas Luiz Romero")*(28/1083),IF(C4593="Técnico I",SUMIFS($D:$D,$A:$A,$A4593,$B:$B,"&lt;&gt;Patrícia Karla de Sousa Araújo",$B:$B,"&lt;&gt;Lorena Dias de Araujo",$B:$B,"&lt;&gt;Lucas Luiz Romero")*(23/1083),IF(C4593="JR",SUMIFS($D:$D,$A:$A,$A4593,$B:$B,"&lt;&gt;Patrícia Karla de Sousa Araújo",$B:$B,"&lt;&gt;Lorena Dias de Araujo",$B:$B,"&lt;&gt;Lucas Luiz Romero")*(20/1083),IF(C4593="Estágio",SUMIFS($D:$D,$A:$A,$A4593,$B:$B,"&lt;&gt;Patrícia Karla de Sousa Araújo",$B:$B,"&lt;&gt;Lorena Dias de Araujo",$B:$B,"&lt;&gt;Lucas Luiz Romero")*(10/1083),0)))))),0)</f>
        <v/>
      </c>
      <c r="K4593" s="3">
        <f>I4593-J4593</f>
        <v/>
      </c>
      <c r="L4593" s="3">
        <f>IF(K4593&lt;-5,"CRÍTICO",IF(K4593&lt;0,"ATENÇÃO",IF(K4593&lt;=5,"OPORTUNO","MUITO BOM")))</f>
        <v/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>
        <f>E4594+G4594+H4594</f>
        <v/>
      </c>
      <c r="J4594" s="3">
        <f>ROUND(MIN(IF(C4594="Técnico III",35,IF(C4594="Técnico II",28,IF(C4594="Técnico I",23,IF(C4594="JR",20,IF(C4594="Estágio",10,0))))),IF(C4594="Técnico III",SUMIFS($D:$D,$A:$A,$A4594,$B:$B,"&lt;&gt;Patrícia Karla de Sousa Araújo",$B:$B,"&lt;&gt;Lorena Dias de Araujo",$B:$B,"&lt;&gt;Lucas Luiz Romero")*(35/1083),IF(C4594="Técnico II",SUMIFS($D:$D,$A:$A,$A4594,$B:$B,"&lt;&gt;Patrícia Karla de Sousa Araújo",$B:$B,"&lt;&gt;Lorena Dias de Araujo",$B:$B,"&lt;&gt;Lucas Luiz Romero")*(28/1083),IF(C4594="Técnico I",SUMIFS($D:$D,$A:$A,$A4594,$B:$B,"&lt;&gt;Patrícia Karla de Sousa Araújo",$B:$B,"&lt;&gt;Lorena Dias de Araujo",$B:$B,"&lt;&gt;Lucas Luiz Romero")*(23/1083),IF(C4594="JR",SUMIFS($D:$D,$A:$A,$A4594,$B:$B,"&lt;&gt;Patrícia Karla de Sousa Araújo",$B:$B,"&lt;&gt;Lorena Dias de Araujo",$B:$B,"&lt;&gt;Lucas Luiz Romero")*(20/1083),IF(C4594="Estágio",SUMIFS($D:$D,$A:$A,$A4594,$B:$B,"&lt;&gt;Patrícia Karla de Sousa Araújo",$B:$B,"&lt;&gt;Lorena Dias de Araujo",$B:$B,"&lt;&gt;Lucas Luiz Romero")*(10/1083),0)))))),0)</f>
        <v/>
      </c>
      <c r="K4594" s="3">
        <f>I4594-J4594</f>
        <v/>
      </c>
      <c r="L4594" s="3">
        <f>IF(K4594&lt;-5,"CRÍTICO",IF(K4594&lt;0,"ATENÇÃO",IF(K4594&lt;=5,"OPORTUNO","MUITO BOM")))</f>
        <v/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>
        <f>E4595+G4595+H4595</f>
        <v/>
      </c>
      <c r="J4595" s="3">
        <f>ROUND(MIN(IF(C4595="Técnico III",35,IF(C4595="Técnico II",28,IF(C4595="Técnico I",23,IF(C4595="JR",20,IF(C4595="Estágio",10,0))))),IF(C4595="Técnico III",SUMIFS($D:$D,$A:$A,$A4595,$B:$B,"&lt;&gt;Patrícia Karla de Sousa Araújo",$B:$B,"&lt;&gt;Lorena Dias de Araujo",$B:$B,"&lt;&gt;Lucas Luiz Romero")*(35/1083),IF(C4595="Técnico II",SUMIFS($D:$D,$A:$A,$A4595,$B:$B,"&lt;&gt;Patrícia Karla de Sousa Araújo",$B:$B,"&lt;&gt;Lorena Dias de Araujo",$B:$B,"&lt;&gt;Lucas Luiz Romero")*(28/1083),IF(C4595="Técnico I",SUMIFS($D:$D,$A:$A,$A4595,$B:$B,"&lt;&gt;Patrícia Karla de Sousa Araújo",$B:$B,"&lt;&gt;Lorena Dias de Araujo",$B:$B,"&lt;&gt;Lucas Luiz Romero")*(23/1083),IF(C4595="JR",SUMIFS($D:$D,$A:$A,$A4595,$B:$B,"&lt;&gt;Patrícia Karla de Sousa Araújo",$B:$B,"&lt;&gt;Lorena Dias de Araujo",$B:$B,"&lt;&gt;Lucas Luiz Romero")*(20/1083),IF(C4595="Estágio",SUMIFS($D:$D,$A:$A,$A4595,$B:$B,"&lt;&gt;Patrícia Karla de Sousa Araújo",$B:$B,"&lt;&gt;Lorena Dias de Araujo",$B:$B,"&lt;&gt;Lucas Luiz Romero")*(10/1083),0)))))),0)</f>
        <v/>
      </c>
      <c r="K4595" s="3">
        <f>I4595-J4595</f>
        <v/>
      </c>
      <c r="L4595" s="3">
        <f>IF(K4595&lt;-5,"CRÍTICO",IF(K4595&lt;0,"ATENÇÃO",IF(K4595&lt;=5,"OPORTUNO","MUITO BOM")))</f>
        <v/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>
        <f>E4596+G4596+H4596</f>
        <v/>
      </c>
      <c r="J4596" s="3">
        <f>ROUND(MIN(IF(C4596="Técnico III",35,IF(C4596="Técnico II",28,IF(C4596="Técnico I",23,IF(C4596="JR",20,IF(C4596="Estágio",10,0))))),IF(C4596="Técnico III",SUMIFS($D:$D,$A:$A,$A4596,$B:$B,"&lt;&gt;Patrícia Karla de Sousa Araújo",$B:$B,"&lt;&gt;Lorena Dias de Araujo",$B:$B,"&lt;&gt;Lucas Luiz Romero")*(35/1083),IF(C4596="Técnico II",SUMIFS($D:$D,$A:$A,$A4596,$B:$B,"&lt;&gt;Patrícia Karla de Sousa Araújo",$B:$B,"&lt;&gt;Lorena Dias de Araujo",$B:$B,"&lt;&gt;Lucas Luiz Romero")*(28/1083),IF(C4596="Técnico I",SUMIFS($D:$D,$A:$A,$A4596,$B:$B,"&lt;&gt;Patrícia Karla de Sousa Araújo",$B:$B,"&lt;&gt;Lorena Dias de Araujo",$B:$B,"&lt;&gt;Lucas Luiz Romero")*(23/1083),IF(C4596="JR",SUMIFS($D:$D,$A:$A,$A4596,$B:$B,"&lt;&gt;Patrícia Karla de Sousa Araújo",$B:$B,"&lt;&gt;Lorena Dias de Araujo",$B:$B,"&lt;&gt;Lucas Luiz Romero")*(20/1083),IF(C4596="Estágio",SUMIFS($D:$D,$A:$A,$A4596,$B:$B,"&lt;&gt;Patrícia Karla de Sousa Araújo",$B:$B,"&lt;&gt;Lorena Dias de Araujo",$B:$B,"&lt;&gt;Lucas Luiz Romero")*(10/1083),0)))))),0)</f>
        <v/>
      </c>
      <c r="K4596" s="3">
        <f>I4596-J4596</f>
        <v/>
      </c>
      <c r="L4596" s="3">
        <f>IF(K4596&lt;-5,"CRÍTICO",IF(K4596&lt;0,"ATENÇÃO",IF(K4596&lt;=5,"OPORTUNO","MUITO BOM")))</f>
        <v/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>
        <f>IF(K4597&lt;-5,"CRÍTICO",IF(K4597&lt;0,"ATENÇÃO",IF(K4597&lt;=5,"OPORTUNO","MUITO BOM")))</f>
        <v/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>
        <f>E4598+G4598+H4598</f>
        <v/>
      </c>
      <c r="J4598" s="3">
        <f>ROUND(MIN(IF(C4598="Técnico III",35,IF(C4598="Técnico II",28,IF(C4598="Técnico I",23,IF(C4598="JR",20,IF(C4598="Estágio",10,0))))),IF(C4598="Técnico III",SUMIFS($D:$D,$A:$A,$A4598,$B:$B,"&lt;&gt;Patrícia Karla de Sousa Araújo",$B:$B,"&lt;&gt;Lorena Dias de Araujo",$B:$B,"&lt;&gt;Lucas Luiz Romero")*(35/1083),IF(C4598="Técnico II",SUMIFS($D:$D,$A:$A,$A4598,$B:$B,"&lt;&gt;Patrícia Karla de Sousa Araújo",$B:$B,"&lt;&gt;Lorena Dias de Araujo",$B:$B,"&lt;&gt;Lucas Luiz Romero")*(28/1083),IF(C4598="Técnico I",SUMIFS($D:$D,$A:$A,$A4598,$B:$B,"&lt;&gt;Patrícia Karla de Sousa Araújo",$B:$B,"&lt;&gt;Lorena Dias de Araujo",$B:$B,"&lt;&gt;Lucas Luiz Romero")*(23/1083),IF(C4598="JR",SUMIFS($D:$D,$A:$A,$A4598,$B:$B,"&lt;&gt;Patrícia Karla de Sousa Araújo",$B:$B,"&lt;&gt;Lorena Dias de Araujo",$B:$B,"&lt;&gt;Lucas Luiz Romero")*(20/1083),IF(C4598="Estágio",SUMIFS($D:$D,$A:$A,$A4598,$B:$B,"&lt;&gt;Patrícia Karla de Sousa Araújo",$B:$B,"&lt;&gt;Lorena Dias de Araujo",$B:$B,"&lt;&gt;Lucas Luiz Romero")*(10/1083),0)))))),0)</f>
        <v/>
      </c>
      <c r="K4598" s="3">
        <f>I4598-J4598</f>
        <v/>
      </c>
      <c r="L4598" s="3">
        <f>IF(K4598&lt;-5,"CRÍTICO",IF(K4598&lt;0,"ATENÇÃO",IF(K4598&lt;=5,"OPORTUNO","MUITO BOM")))</f>
        <v/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>
        <f>E4599+G4599+H4599</f>
        <v/>
      </c>
      <c r="J4599" s="3">
        <f>ROUND(MIN(IF(C4599="Técnico III",35,IF(C4599="Técnico II",28,IF(C4599="Técnico I",23,IF(C4599="JR",20,IF(C4599="Estágio",10,0))))),IF(C4599="Técnico III",SUMIFS($D:$D,$A:$A,$A4599,$B:$B,"&lt;&gt;Patrícia Karla de Sousa Araújo",$B:$B,"&lt;&gt;Lorena Dias de Araujo",$B:$B,"&lt;&gt;Lucas Luiz Romero")*(35/1083),IF(C4599="Técnico II",SUMIFS($D:$D,$A:$A,$A4599,$B:$B,"&lt;&gt;Patrícia Karla de Sousa Araújo",$B:$B,"&lt;&gt;Lorena Dias de Araujo",$B:$B,"&lt;&gt;Lucas Luiz Romero")*(28/1083),IF(C4599="Técnico I",SUMIFS($D:$D,$A:$A,$A4599,$B:$B,"&lt;&gt;Patrícia Karla de Sousa Araújo",$B:$B,"&lt;&gt;Lorena Dias de Araujo",$B:$B,"&lt;&gt;Lucas Luiz Romero")*(23/1083),IF(C4599="JR",SUMIFS($D:$D,$A:$A,$A4599,$B:$B,"&lt;&gt;Patrícia Karla de Sousa Araújo",$B:$B,"&lt;&gt;Lorena Dias de Araujo",$B:$B,"&lt;&gt;Lucas Luiz Romero")*(20/1083),IF(C4599="Estágio",SUMIFS($D:$D,$A:$A,$A4599,$B:$B,"&lt;&gt;Patrícia Karla de Sousa Araújo",$B:$B,"&lt;&gt;Lorena Dias de Araujo",$B:$B,"&lt;&gt;Lucas Luiz Romero")*(10/1083),0)))))),0)</f>
        <v/>
      </c>
      <c r="K4599" s="3">
        <f>I4599-J4599</f>
        <v/>
      </c>
      <c r="L4599" s="3">
        <f>IF(K4599&lt;-5,"CRÍTICO",IF(K4599&lt;0,"ATENÇÃO",IF(K4599&lt;=5,"OPORTUNO","MUITO BOM")))</f>
        <v/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>
        <f>E4600+G4600+H4600</f>
        <v/>
      </c>
      <c r="J4600" s="3">
        <f>ROUND(MIN(IF(C4600="Técnico III",35,IF(C4600="Técnico II",28,IF(C4600="Técnico I",23,IF(C4600="JR",20,IF(C4600="Estágio",10,0))))),IF(C4600="Técnico III",SUMIFS($D:$D,$A:$A,$A4600,$B:$B,"&lt;&gt;Patrícia Karla de Sousa Araújo",$B:$B,"&lt;&gt;Lorena Dias de Araujo",$B:$B,"&lt;&gt;Lucas Luiz Romero")*(35/1083),IF(C4600="Técnico II",SUMIFS($D:$D,$A:$A,$A4600,$B:$B,"&lt;&gt;Patrícia Karla de Sousa Araújo",$B:$B,"&lt;&gt;Lorena Dias de Araujo",$B:$B,"&lt;&gt;Lucas Luiz Romero")*(28/1083),IF(C4600="Técnico I",SUMIFS($D:$D,$A:$A,$A4600,$B:$B,"&lt;&gt;Patrícia Karla de Sousa Araújo",$B:$B,"&lt;&gt;Lorena Dias de Araujo",$B:$B,"&lt;&gt;Lucas Luiz Romero")*(23/1083),IF(C4600="JR",SUMIFS($D:$D,$A:$A,$A4600,$B:$B,"&lt;&gt;Patrícia Karla de Sousa Araújo",$B:$B,"&lt;&gt;Lorena Dias de Araujo",$B:$B,"&lt;&gt;Lucas Luiz Romero")*(20/1083),IF(C4600="Estágio",SUMIFS($D:$D,$A:$A,$A4600,$B:$B,"&lt;&gt;Patrícia Karla de Sousa Araújo",$B:$B,"&lt;&gt;Lorena Dias de Araujo",$B:$B,"&lt;&gt;Lucas Luiz Romero")*(10/1083),0)))))),0)</f>
        <v/>
      </c>
      <c r="K4600" s="3">
        <f>I4600-J4600</f>
        <v/>
      </c>
      <c r="L4600" s="3">
        <f>IF(K4600&lt;-5,"CRÍTICO",IF(K4600&lt;0,"ATENÇÃO",IF(K4600&lt;=5,"OPORTUNO","MUITO BOM")))</f>
        <v/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>
        <f>E4601+G4601+H4601</f>
        <v/>
      </c>
      <c r="J4601" s="3">
        <f>ROUND(MIN(IF(C4601="Técnico III",35,IF(C4601="Técnico II",28,IF(C4601="Técnico I",23,IF(C4601="JR",20,IF(C4601="Estágio",10,0))))),IF(C4601="Técnico III",SUMIFS($D:$D,$A:$A,$A4601,$B:$B,"&lt;&gt;Patrícia Karla de Sousa Araújo",$B:$B,"&lt;&gt;Lorena Dias de Araujo",$B:$B,"&lt;&gt;Lucas Luiz Romero")*(35/1083),IF(C4601="Técnico II",SUMIFS($D:$D,$A:$A,$A4601,$B:$B,"&lt;&gt;Patrícia Karla de Sousa Araújo",$B:$B,"&lt;&gt;Lorena Dias de Araujo",$B:$B,"&lt;&gt;Lucas Luiz Romero")*(28/1083),IF(C4601="Técnico I",SUMIFS($D:$D,$A:$A,$A4601,$B:$B,"&lt;&gt;Patrícia Karla de Sousa Araújo",$B:$B,"&lt;&gt;Lorena Dias de Araujo",$B:$B,"&lt;&gt;Lucas Luiz Romero")*(23/1083),IF(C4601="JR",SUMIFS($D:$D,$A:$A,$A4601,$B:$B,"&lt;&gt;Patrícia Karla de Sousa Araújo",$B:$B,"&lt;&gt;Lorena Dias de Araujo",$B:$B,"&lt;&gt;Lucas Luiz Romero")*(20/1083),IF(C4601="Estágio",SUMIFS($D:$D,$A:$A,$A4601,$B:$B,"&lt;&gt;Patrícia Karla de Sousa Araújo",$B:$B,"&lt;&gt;Lorena Dias de Araujo",$B:$B,"&lt;&gt;Lucas Luiz Romero")*(10/1083),0)))))),0)</f>
        <v/>
      </c>
      <c r="K4601" s="3">
        <f>I4601-J4601</f>
        <v/>
      </c>
      <c r="L4601" s="3">
        <f>IF(K4601&lt;-5,"CRÍTICO",IF(K4601&lt;0,"ATENÇÃO",IF(K4601&lt;=5,"OPORTUNO","MUITO BOM")))</f>
        <v/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>
        <f>IF(K4602&lt;-5,"CRÍTICO",IF(K4602&lt;0,"ATENÇÃO",IF(K4602&lt;=5,"OPORTUNO","MUITO BOM")))</f>
        <v/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>
        <f>E4603+G4603+H4603</f>
        <v/>
      </c>
      <c r="J4603" s="3">
        <f>ROUND(MIN(IF(C4603="Técnico III",35,IF(C4603="Técnico II",28,IF(C4603="Técnico I",23,IF(C4603="JR",20,IF(C4603="Estágio",10,0))))),IF(C4603="Técnico III",SUMIFS($D:$D,$A:$A,$A4603,$B:$B,"&lt;&gt;Patrícia Karla de Sousa Araújo",$B:$B,"&lt;&gt;Lorena Dias de Araujo",$B:$B,"&lt;&gt;Lucas Luiz Romero")*(35/1083),IF(C4603="Técnico II",SUMIFS($D:$D,$A:$A,$A4603,$B:$B,"&lt;&gt;Patrícia Karla de Sousa Araújo",$B:$B,"&lt;&gt;Lorena Dias de Araujo",$B:$B,"&lt;&gt;Lucas Luiz Romero")*(28/1083),IF(C4603="Técnico I",SUMIFS($D:$D,$A:$A,$A4603,$B:$B,"&lt;&gt;Patrícia Karla de Sousa Araújo",$B:$B,"&lt;&gt;Lorena Dias de Araujo",$B:$B,"&lt;&gt;Lucas Luiz Romero")*(23/1083),IF(C4603="JR",SUMIFS($D:$D,$A:$A,$A4603,$B:$B,"&lt;&gt;Patrícia Karla de Sousa Araújo",$B:$B,"&lt;&gt;Lorena Dias de Araujo",$B:$B,"&lt;&gt;Lucas Luiz Romero")*(20/1083),IF(C4603="Estágio",SUMIFS($D:$D,$A:$A,$A4603,$B:$B,"&lt;&gt;Patrícia Karla de Sousa Araújo",$B:$B,"&lt;&gt;Lorena Dias de Araujo",$B:$B,"&lt;&gt;Lucas Luiz Romero")*(10/1083),0)))))),0)</f>
        <v/>
      </c>
      <c r="K4603" s="3">
        <f>I4603-J4603</f>
        <v/>
      </c>
      <c r="L4603" s="3">
        <f>IF(K4603&lt;-5,"CRÍTICO",IF(K4603&lt;0,"ATENÇÃO",IF(K4603&lt;=5,"OPORTUNO","MUITO BOM")))</f>
        <v/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>
        <f>E4604+G4604+H4604</f>
        <v/>
      </c>
      <c r="J4604" s="3">
        <f>ROUND(MIN(IF(C4604="Técnico III",35,IF(C4604="Técnico II",28,IF(C4604="Técnico I",23,IF(C4604="JR",20,IF(C4604="Estágio",10,0))))),IF(C4604="Técnico III",SUMIFS($D:$D,$A:$A,$A4604,$B:$B,"&lt;&gt;Patrícia Karla de Sousa Araújo",$B:$B,"&lt;&gt;Lorena Dias de Araujo",$B:$B,"&lt;&gt;Lucas Luiz Romero")*(35/1083),IF(C4604="Técnico II",SUMIFS($D:$D,$A:$A,$A4604,$B:$B,"&lt;&gt;Patrícia Karla de Sousa Araújo",$B:$B,"&lt;&gt;Lorena Dias de Araujo",$B:$B,"&lt;&gt;Lucas Luiz Romero")*(28/1083),IF(C4604="Técnico I",SUMIFS($D:$D,$A:$A,$A4604,$B:$B,"&lt;&gt;Patrícia Karla de Sousa Araújo",$B:$B,"&lt;&gt;Lorena Dias de Araujo",$B:$B,"&lt;&gt;Lucas Luiz Romero")*(23/1083),IF(C4604="JR",SUMIFS($D:$D,$A:$A,$A4604,$B:$B,"&lt;&gt;Patrícia Karla de Sousa Araújo",$B:$B,"&lt;&gt;Lorena Dias de Araujo",$B:$B,"&lt;&gt;Lucas Luiz Romero")*(20/1083),IF(C4604="Estágio",SUMIFS($D:$D,$A:$A,$A4604,$B:$B,"&lt;&gt;Patrícia Karla de Sousa Araújo",$B:$B,"&lt;&gt;Lorena Dias de Araujo",$B:$B,"&lt;&gt;Lucas Luiz Romero")*(10/1083),0)))))),0)</f>
        <v/>
      </c>
      <c r="K4604" s="3">
        <f>I4604-J4604</f>
        <v/>
      </c>
      <c r="L4604" s="3">
        <f>IF(K4604&lt;-5,"CRÍTICO",IF(K4604&lt;0,"ATENÇÃO",IF(K4604&lt;=5,"OPORTUNO","MUITO BOM")))</f>
        <v/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>
        <f>E4605+G4605+H4605</f>
        <v/>
      </c>
      <c r="J4605" s="3">
        <f>ROUND(MIN(IF(C4605="Técnico III",35,IF(C4605="Técnico II",28,IF(C4605="Técnico I",23,IF(C4605="JR",20,IF(C4605="Estágio",10,0))))),IF(C4605="Técnico III",SUMIFS($D:$D,$A:$A,$A4605,$B:$B,"&lt;&gt;Patrícia Karla de Sousa Araújo",$B:$B,"&lt;&gt;Lorena Dias de Araujo",$B:$B,"&lt;&gt;Lucas Luiz Romero")*(35/1083),IF(C4605="Técnico II",SUMIFS($D:$D,$A:$A,$A4605,$B:$B,"&lt;&gt;Patrícia Karla de Sousa Araújo",$B:$B,"&lt;&gt;Lorena Dias de Araujo",$B:$B,"&lt;&gt;Lucas Luiz Romero")*(28/1083),IF(C4605="Técnico I",SUMIFS($D:$D,$A:$A,$A4605,$B:$B,"&lt;&gt;Patrícia Karla de Sousa Araújo",$B:$B,"&lt;&gt;Lorena Dias de Araujo",$B:$B,"&lt;&gt;Lucas Luiz Romero")*(23/1083),IF(C4605="JR",SUMIFS($D:$D,$A:$A,$A4605,$B:$B,"&lt;&gt;Patrícia Karla de Sousa Araújo",$B:$B,"&lt;&gt;Lorena Dias de Araujo",$B:$B,"&lt;&gt;Lucas Luiz Romero")*(20/1083),IF(C4605="Estágio",SUMIFS($D:$D,$A:$A,$A4605,$B:$B,"&lt;&gt;Patrícia Karla de Sousa Araújo",$B:$B,"&lt;&gt;Lorena Dias de Araujo",$B:$B,"&lt;&gt;Lucas Luiz Romero")*(10/1083),0)))))),0)</f>
        <v/>
      </c>
      <c r="K4605" s="3">
        <f>I4605-J4605</f>
        <v/>
      </c>
      <c r="L4605" s="3">
        <f>IF(K4605&lt;-5,"CRÍTICO",IF(K4605&lt;0,"ATENÇÃO",IF(K4605&lt;=5,"OPORTUNO","MUITO BOM")))</f>
        <v/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>
        <f>IF(K4606&lt;-5,"CRÍTICO",IF(K4606&lt;0,"ATENÇÃO",IF(K4606&lt;=5,"OPORTUNO","MUITO BOM")))</f>
        <v/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>
        <f>E4607+G4607+H4607</f>
        <v/>
      </c>
      <c r="J4607" s="3">
        <f>ROUND(MIN(IF(C4607="Técnico III",35,IF(C4607="Técnico II",28,IF(C4607="Técnico I",23,IF(C4607="JR",20,IF(C4607="Estágio",10,0))))),IF(C4607="Técnico III",SUMIFS($D:$D,$A:$A,$A4607,$B:$B,"&lt;&gt;Patrícia Karla de Sousa Araújo",$B:$B,"&lt;&gt;Lorena Dias de Araujo",$B:$B,"&lt;&gt;Lucas Luiz Romero")*(35/1083),IF(C4607="Técnico II",SUMIFS($D:$D,$A:$A,$A4607,$B:$B,"&lt;&gt;Patrícia Karla de Sousa Araújo",$B:$B,"&lt;&gt;Lorena Dias de Araujo",$B:$B,"&lt;&gt;Lucas Luiz Romero")*(28/1083),IF(C4607="Técnico I",SUMIFS($D:$D,$A:$A,$A4607,$B:$B,"&lt;&gt;Patrícia Karla de Sousa Araújo",$B:$B,"&lt;&gt;Lorena Dias de Araujo",$B:$B,"&lt;&gt;Lucas Luiz Romero")*(23/1083),IF(C4607="JR",SUMIFS($D:$D,$A:$A,$A4607,$B:$B,"&lt;&gt;Patrícia Karla de Sousa Araújo",$B:$B,"&lt;&gt;Lorena Dias de Araujo",$B:$B,"&lt;&gt;Lucas Luiz Romero")*(20/1083),IF(C4607="Estágio",SUMIFS($D:$D,$A:$A,$A4607,$B:$B,"&lt;&gt;Patrícia Karla de Sousa Araújo",$B:$B,"&lt;&gt;Lorena Dias de Araujo",$B:$B,"&lt;&gt;Lucas Luiz Romero")*(10/1083),0)))))),0)</f>
        <v/>
      </c>
      <c r="K4607" s="3">
        <f>I4607-J4607</f>
        <v/>
      </c>
      <c r="L4607" s="3">
        <f>IF(K4607&lt;-5,"CRÍTICO",IF(K4607&lt;0,"ATENÇÃO",IF(K4607&lt;=5,"OPORTUNO","MUITO BOM")))</f>
        <v/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>
        <f>E4608+G4608+H4608</f>
        <v/>
      </c>
      <c r="J4608" s="3">
        <f>ROUND(MIN(IF(C4608="Técnico III",35,IF(C4608="Técnico II",28,IF(C4608="Técnico I",23,IF(C4608="JR",20,IF(C4608="Estágio",10,0))))),IF(C4608="Técnico III",SUMIFS($D:$D,$A:$A,$A4608,$B:$B,"&lt;&gt;Patrícia Karla de Sousa Araújo",$B:$B,"&lt;&gt;Lorena Dias de Araujo",$B:$B,"&lt;&gt;Lucas Luiz Romero")*(35/1083),IF(C4608="Técnico II",SUMIFS($D:$D,$A:$A,$A4608,$B:$B,"&lt;&gt;Patrícia Karla de Sousa Araújo",$B:$B,"&lt;&gt;Lorena Dias de Araujo",$B:$B,"&lt;&gt;Lucas Luiz Romero")*(28/1083),IF(C4608="Técnico I",SUMIFS($D:$D,$A:$A,$A4608,$B:$B,"&lt;&gt;Patrícia Karla de Sousa Araújo",$B:$B,"&lt;&gt;Lorena Dias de Araujo",$B:$B,"&lt;&gt;Lucas Luiz Romero")*(23/1083),IF(C4608="JR",SUMIFS($D:$D,$A:$A,$A4608,$B:$B,"&lt;&gt;Patrícia Karla de Sousa Araújo",$B:$B,"&lt;&gt;Lorena Dias de Araujo",$B:$B,"&lt;&gt;Lucas Luiz Romero")*(20/1083),IF(C4608="Estágio",SUMIFS($D:$D,$A:$A,$A4608,$B:$B,"&lt;&gt;Patrícia Karla de Sousa Araújo",$B:$B,"&lt;&gt;Lorena Dias de Araujo",$B:$B,"&lt;&gt;Lucas Luiz Romero")*(10/1083),0)))))),0)</f>
        <v/>
      </c>
      <c r="K4608" s="3">
        <f>I4608-J4608</f>
        <v/>
      </c>
      <c r="L4608" s="3">
        <f>IF(K4608&lt;-5,"CRÍTICO",IF(K4608&lt;0,"ATENÇÃO",IF(K4608&lt;=5,"OPORTUNO","MUITO BOM")))</f>
        <v/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>
        <f>E4609+G4609+H4609</f>
        <v/>
      </c>
      <c r="J4609" s="3">
        <f>ROUND(MIN(IF(C4609="Técnico III",35,IF(C4609="Técnico II",28,IF(C4609="Técnico I",23,IF(C4609="JR",20,IF(C4609="Estágio",10,0))))),IF(C4609="Técnico III",SUMIFS($D:$D,$A:$A,$A4609,$B:$B,"&lt;&gt;Patrícia Karla de Sousa Araújo",$B:$B,"&lt;&gt;Lorena Dias de Araujo",$B:$B,"&lt;&gt;Lucas Luiz Romero")*(35/1083),IF(C4609="Técnico II",SUMIFS($D:$D,$A:$A,$A4609,$B:$B,"&lt;&gt;Patrícia Karla de Sousa Araújo",$B:$B,"&lt;&gt;Lorena Dias de Araujo",$B:$B,"&lt;&gt;Lucas Luiz Romero")*(28/1083),IF(C4609="Técnico I",SUMIFS($D:$D,$A:$A,$A4609,$B:$B,"&lt;&gt;Patrícia Karla de Sousa Araújo",$B:$B,"&lt;&gt;Lorena Dias de Araujo",$B:$B,"&lt;&gt;Lucas Luiz Romero")*(23/1083),IF(C4609="JR",SUMIFS($D:$D,$A:$A,$A4609,$B:$B,"&lt;&gt;Patrícia Karla de Sousa Araújo",$B:$B,"&lt;&gt;Lorena Dias de Araujo",$B:$B,"&lt;&gt;Lucas Luiz Romero")*(20/1083),IF(C4609="Estágio",SUMIFS($D:$D,$A:$A,$A4609,$B:$B,"&lt;&gt;Patrícia Karla de Sousa Araújo",$B:$B,"&lt;&gt;Lorena Dias de Araujo",$B:$B,"&lt;&gt;Lucas Luiz Romero")*(10/1083),0)))))),0)</f>
        <v/>
      </c>
      <c r="K4609" s="3">
        <f>I4609-J4609</f>
        <v/>
      </c>
      <c r="L4609" s="3">
        <f>IF(K4609&lt;-5,"CRÍTICO",IF(K4609&lt;0,"ATENÇÃO",IF(K4609&lt;=5,"OPORTUNO","MUITO BOM")))</f>
        <v/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>
        <f>E4610+G4610+H4610</f>
        <v/>
      </c>
      <c r="J4610" s="3">
        <f>ROUND(MIN(IF(C4610="Técnico III",35,IF(C4610="Técnico II",28,IF(C4610="Técnico I",23,IF(C4610="JR",20,IF(C4610="Estágio",10,0))))),IF(C4610="Técnico III",SUMIFS($D:$D,$A:$A,$A4610,$B:$B,"&lt;&gt;Patrícia Karla de Sousa Araújo",$B:$B,"&lt;&gt;Lorena Dias de Araujo",$B:$B,"&lt;&gt;Lucas Luiz Romero")*(35/1083),IF(C4610="Técnico II",SUMIFS($D:$D,$A:$A,$A4610,$B:$B,"&lt;&gt;Patrícia Karla de Sousa Araújo",$B:$B,"&lt;&gt;Lorena Dias de Araujo",$B:$B,"&lt;&gt;Lucas Luiz Romero")*(28/1083),IF(C4610="Técnico I",SUMIFS($D:$D,$A:$A,$A4610,$B:$B,"&lt;&gt;Patrícia Karla de Sousa Araújo",$B:$B,"&lt;&gt;Lorena Dias de Araujo",$B:$B,"&lt;&gt;Lucas Luiz Romero")*(23/1083),IF(C4610="JR",SUMIFS($D:$D,$A:$A,$A4610,$B:$B,"&lt;&gt;Patrícia Karla de Sousa Araújo",$B:$B,"&lt;&gt;Lorena Dias de Araujo",$B:$B,"&lt;&gt;Lucas Luiz Romero")*(20/1083),IF(C4610="Estágio",SUMIFS($D:$D,$A:$A,$A4610,$B:$B,"&lt;&gt;Patrícia Karla de Sousa Araújo",$B:$B,"&lt;&gt;Lorena Dias de Araujo",$B:$B,"&lt;&gt;Lucas Luiz Romero")*(10/1083),0)))))),0)</f>
        <v/>
      </c>
      <c r="K4610" s="3">
        <f>I4610-J4610</f>
        <v/>
      </c>
      <c r="L4610" s="3">
        <f>IF(K4610&lt;-5,"CRÍTICO",IF(K4610&lt;0,"ATENÇÃO",IF(K4610&lt;=5,"OPORTUNO","MUITO BOM")))</f>
        <v/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>
        <f>E4611+G4611+H4611</f>
        <v/>
      </c>
      <c r="J4611" s="3">
        <f>ROUND(MIN(IF(C4611="Técnico III",35,IF(C4611="Técnico II",28,IF(C4611="Técnico I",23,IF(C4611="JR",20,IF(C4611="Estágio",10,0))))),IF(C4611="Técnico III",SUMIFS($D:$D,$A:$A,$A4611,$B:$B,"&lt;&gt;Patrícia Karla de Sousa Araújo",$B:$B,"&lt;&gt;Lorena Dias de Araujo",$B:$B,"&lt;&gt;Lucas Luiz Romero")*(35/1083),IF(C4611="Técnico II",SUMIFS($D:$D,$A:$A,$A4611,$B:$B,"&lt;&gt;Patrícia Karla de Sousa Araújo",$B:$B,"&lt;&gt;Lorena Dias de Araujo",$B:$B,"&lt;&gt;Lucas Luiz Romero")*(28/1083),IF(C4611="Técnico I",SUMIFS($D:$D,$A:$A,$A4611,$B:$B,"&lt;&gt;Patrícia Karla de Sousa Araújo",$B:$B,"&lt;&gt;Lorena Dias de Araujo",$B:$B,"&lt;&gt;Lucas Luiz Romero")*(23/1083),IF(C4611="JR",SUMIFS($D:$D,$A:$A,$A4611,$B:$B,"&lt;&gt;Patrícia Karla de Sousa Araújo",$B:$B,"&lt;&gt;Lorena Dias de Araujo",$B:$B,"&lt;&gt;Lucas Luiz Romero")*(20/1083),IF(C4611="Estágio",SUMIFS($D:$D,$A:$A,$A4611,$B:$B,"&lt;&gt;Patrícia Karla de Sousa Araújo",$B:$B,"&lt;&gt;Lorena Dias de Araujo",$B:$B,"&lt;&gt;Lucas Luiz Romero")*(10/1083),0)))))),0)</f>
        <v/>
      </c>
      <c r="K4611" s="3">
        <f>I4611-J4611</f>
        <v/>
      </c>
      <c r="L4611" s="3">
        <f>IF(K4611&lt;-5,"CRÍTICO",IF(K4611&lt;0,"ATENÇÃO",IF(K4611&lt;=5,"OPORTUNO","MUITO BOM")))</f>
        <v/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>
        <f>E4612+G4612+H4612</f>
        <v/>
      </c>
      <c r="J4612" s="3">
        <f>ROUND(MIN(IF(C4612="Técnico III",35,IF(C4612="Técnico II",28,IF(C4612="Técnico I",23,IF(C4612="JR",20,IF(C4612="Estágio",10,0))))),IF(C4612="Técnico III",SUMIFS($D:$D,$A:$A,$A4612,$B:$B,"&lt;&gt;Patrícia Karla de Sousa Araújo",$B:$B,"&lt;&gt;Lorena Dias de Araujo",$B:$B,"&lt;&gt;Lucas Luiz Romero")*(35/1083),IF(C4612="Técnico II",SUMIFS($D:$D,$A:$A,$A4612,$B:$B,"&lt;&gt;Patrícia Karla de Sousa Araújo",$B:$B,"&lt;&gt;Lorena Dias de Araujo",$B:$B,"&lt;&gt;Lucas Luiz Romero")*(28/1083),IF(C4612="Técnico I",SUMIFS($D:$D,$A:$A,$A4612,$B:$B,"&lt;&gt;Patrícia Karla de Sousa Araújo",$B:$B,"&lt;&gt;Lorena Dias de Araujo",$B:$B,"&lt;&gt;Lucas Luiz Romero")*(23/1083),IF(C4612="JR",SUMIFS($D:$D,$A:$A,$A4612,$B:$B,"&lt;&gt;Patrícia Karla de Sousa Araújo",$B:$B,"&lt;&gt;Lorena Dias de Araujo",$B:$B,"&lt;&gt;Lucas Luiz Romero")*(20/1083),IF(C4612="Estágio",SUMIFS($D:$D,$A:$A,$A4612,$B:$B,"&lt;&gt;Patrícia Karla de Sousa Araújo",$B:$B,"&lt;&gt;Lorena Dias de Araujo",$B:$B,"&lt;&gt;Lucas Luiz Romero")*(10/1083),0)))))),0)</f>
        <v/>
      </c>
      <c r="K4612" s="3">
        <f>I4612-J4612</f>
        <v/>
      </c>
      <c r="L4612" s="3">
        <f>IF(K4612&lt;-5,"CRÍTICO",IF(K4612&lt;0,"ATENÇÃO",IF(K4612&lt;=5,"OPORTUNO","MUITO BOM")))</f>
        <v/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>
        <f>E4613+G4613+H4613</f>
        <v/>
      </c>
      <c r="J4613" s="3">
        <f>ROUND(MIN(IF(C4613="Técnico III",35,IF(C4613="Técnico II",28,IF(C4613="Técnico I",23,IF(C4613="JR",20,IF(C4613="Estágio",10,0))))),IF(C4613="Técnico III",SUMIFS($D:$D,$A:$A,$A4613,$B:$B,"&lt;&gt;Patrícia Karla de Sousa Araújo",$B:$B,"&lt;&gt;Lorena Dias de Araujo",$B:$B,"&lt;&gt;Lucas Luiz Romero")*(35/1083),IF(C4613="Técnico II",SUMIFS($D:$D,$A:$A,$A4613,$B:$B,"&lt;&gt;Patrícia Karla de Sousa Araújo",$B:$B,"&lt;&gt;Lorena Dias de Araujo",$B:$B,"&lt;&gt;Lucas Luiz Romero")*(28/1083),IF(C4613="Técnico I",SUMIFS($D:$D,$A:$A,$A4613,$B:$B,"&lt;&gt;Patrícia Karla de Sousa Araújo",$B:$B,"&lt;&gt;Lorena Dias de Araujo",$B:$B,"&lt;&gt;Lucas Luiz Romero")*(23/1083),IF(C4613="JR",SUMIFS($D:$D,$A:$A,$A4613,$B:$B,"&lt;&gt;Patrícia Karla de Sousa Araújo",$B:$B,"&lt;&gt;Lorena Dias de Araujo",$B:$B,"&lt;&gt;Lucas Luiz Romero")*(20/1083),IF(C4613="Estágio",SUMIFS($D:$D,$A:$A,$A4613,$B:$B,"&lt;&gt;Patrícia Karla de Sousa Araújo",$B:$B,"&lt;&gt;Lorena Dias de Araujo",$B:$B,"&lt;&gt;Lucas Luiz Romero")*(10/1083),0)))))),0)</f>
        <v/>
      </c>
      <c r="K4613" s="3">
        <f>I4613-J4613</f>
        <v/>
      </c>
      <c r="L4613" s="3">
        <f>IF(K4613&lt;-5,"CRÍTICO",IF(K4613&lt;0,"ATENÇÃO",IF(K4613&lt;=5,"OPORTUNO","MUITO BOM")))</f>
        <v/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 t="n">
        <v>0</v>
      </c>
      <c r="J4614" s="3" t="n">
        <v>0</v>
      </c>
      <c r="K4614" s="3" t="n">
        <v>0</v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>
        <f>E4623+G4623+H4623</f>
        <v/>
      </c>
      <c r="J4623" s="3">
        <f>ROUND(MIN(IF(C4623="Técnico III",35,IF(C4623="Técnico II",28,IF(C4623="Técnico I",23,IF(C4623="JR",20,IF(C4623="Estágio",10,0))))),IF(C4623="Técnico III",SUMIFS($D:$D,$A:$A,$A4623,$B:$B,"&lt;&gt;Patrícia Karla de Sousa Araújo",$B:$B,"&lt;&gt;Lorena Dias de Araujo",$B:$B,"&lt;&gt;Lucas Luiz Romero")*(35/1083),IF(C4623="Técnico II",SUMIFS($D:$D,$A:$A,$A4623,$B:$B,"&lt;&gt;Patrícia Karla de Sousa Araújo",$B:$B,"&lt;&gt;Lorena Dias de Araujo",$B:$B,"&lt;&gt;Lucas Luiz Romero")*(28/1083),IF(C4623="Técnico I",SUMIFS($D:$D,$A:$A,$A4623,$B:$B,"&lt;&gt;Patrícia Karla de Sousa Araújo",$B:$B,"&lt;&gt;Lorena Dias de Araujo",$B:$B,"&lt;&gt;Lucas Luiz Romero")*(23/1083),IF(C4623="JR",SUMIFS($D:$D,$A:$A,$A4623,$B:$B,"&lt;&gt;Patrícia Karla de Sousa Araújo",$B:$B,"&lt;&gt;Lorena Dias de Araujo",$B:$B,"&lt;&gt;Lucas Luiz Romero")*(20/1083),IF(C4623="Estágio",SUMIFS($D:$D,$A:$A,$A4623,$B:$B,"&lt;&gt;Patrícia Karla de Sousa Araújo",$B:$B,"&lt;&gt;Lorena Dias de Araujo",$B:$B,"&lt;&gt;Lucas Luiz Romero")*(10/1083),0)))))),0)</f>
        <v/>
      </c>
      <c r="K4623" s="3">
        <f>I4623-J4623</f>
        <v/>
      </c>
      <c r="L4623" s="3">
        <f>IF(K4623&lt;-5,"CRÍTICO",IF(K4623&lt;0,"ATENÇÃO",IF(K4623&lt;=5,"OPORTUNO","MUITO BOM")))</f>
        <v/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>
        <f>IF(K4624&lt;-5,"CRÍTICO",IF(K4624&lt;0,"ATENÇÃO",IF(K4624&lt;=5,"OPORTUNO","MUITO BOM")))</f>
        <v/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>
        <f>E4625+G4625+H4625</f>
        <v/>
      </c>
      <c r="J4625" s="3">
        <f>ROUND(MIN(IF(C4625="Técnico III",35,IF(C4625="Técnico II",28,IF(C4625="Técnico I",23,IF(C4625="JR",20,IF(C4625="Estágio",10,0))))),IF(C4625="Técnico III",SUMIFS($D:$D,$A:$A,$A4625,$B:$B,"&lt;&gt;Patrícia Karla de Sousa Araújo",$B:$B,"&lt;&gt;Lorena Dias de Araujo",$B:$B,"&lt;&gt;Lucas Luiz Romero")*(35/1083),IF(C4625="Técnico II",SUMIFS($D:$D,$A:$A,$A4625,$B:$B,"&lt;&gt;Patrícia Karla de Sousa Araújo",$B:$B,"&lt;&gt;Lorena Dias de Araujo",$B:$B,"&lt;&gt;Lucas Luiz Romero")*(28/1083),IF(C4625="Técnico I",SUMIFS($D:$D,$A:$A,$A4625,$B:$B,"&lt;&gt;Patrícia Karla de Sousa Araújo",$B:$B,"&lt;&gt;Lorena Dias de Araujo",$B:$B,"&lt;&gt;Lucas Luiz Romero")*(23/1083),IF(C4625="JR",SUMIFS($D:$D,$A:$A,$A4625,$B:$B,"&lt;&gt;Patrícia Karla de Sousa Araújo",$B:$B,"&lt;&gt;Lorena Dias de Araujo",$B:$B,"&lt;&gt;Lucas Luiz Romero")*(20/1083),IF(C4625="Estágio",SUMIFS($D:$D,$A:$A,$A4625,$B:$B,"&lt;&gt;Patrícia Karla de Sousa Araújo",$B:$B,"&lt;&gt;Lorena Dias de Araujo",$B:$B,"&lt;&gt;Lucas Luiz Romero")*(10/1083),0)))))),0)</f>
        <v/>
      </c>
      <c r="K4625" s="3">
        <f>I4625-J4625</f>
        <v/>
      </c>
      <c r="L4625" s="3">
        <f>IF(K4625&lt;-5,"CRÍTICO",IF(K4625&lt;0,"ATENÇÃO",IF(K4625&lt;=5,"OPORTUNO","MUITO BOM")))</f>
        <v/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>
        <f>E4626+G4626+H4626</f>
        <v/>
      </c>
      <c r="J4626" s="3">
        <f>ROUND(MIN(IF(C4626="Técnico III",35,IF(C4626="Técnico II",28,IF(C4626="Técnico I",23,IF(C4626="JR",20,IF(C4626="Estágio",10,0))))),IF(C4626="Técnico III",SUMIFS($D:$D,$A:$A,$A4626,$B:$B,"&lt;&gt;Patrícia Karla de Sousa Araújo",$B:$B,"&lt;&gt;Lorena Dias de Araujo",$B:$B,"&lt;&gt;Lucas Luiz Romero")*(35/1083),IF(C4626="Técnico II",SUMIFS($D:$D,$A:$A,$A4626,$B:$B,"&lt;&gt;Patrícia Karla de Sousa Araújo",$B:$B,"&lt;&gt;Lorena Dias de Araujo",$B:$B,"&lt;&gt;Lucas Luiz Romero")*(28/1083),IF(C4626="Técnico I",SUMIFS($D:$D,$A:$A,$A4626,$B:$B,"&lt;&gt;Patrícia Karla de Sousa Araújo",$B:$B,"&lt;&gt;Lorena Dias de Araujo",$B:$B,"&lt;&gt;Lucas Luiz Romero")*(23/1083),IF(C4626="JR",SUMIFS($D:$D,$A:$A,$A4626,$B:$B,"&lt;&gt;Patrícia Karla de Sousa Araújo",$B:$B,"&lt;&gt;Lorena Dias de Araujo",$B:$B,"&lt;&gt;Lucas Luiz Romero")*(20/1083),IF(C4626="Estágio",SUMIFS($D:$D,$A:$A,$A4626,$B:$B,"&lt;&gt;Patrícia Karla de Sousa Araújo",$B:$B,"&lt;&gt;Lorena Dias de Araujo",$B:$B,"&lt;&gt;Lucas Luiz Romero")*(10/1083),0)))))),0)</f>
        <v/>
      </c>
      <c r="K4626" s="3">
        <f>I4626-J4626</f>
        <v/>
      </c>
      <c r="L4626" s="3">
        <f>IF(K4626&lt;-5,"CRÍTICO",IF(K4626&lt;0,"ATENÇÃO",IF(K4626&lt;=5,"OPORTUNO","MUITO BOM")))</f>
        <v/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>
        <f>E4627+G4627+H4627</f>
        <v/>
      </c>
      <c r="J4627" s="3">
        <f>ROUND(MIN(IF(C4627="Técnico III",35,IF(C4627="Técnico II",28,IF(C4627="Técnico I",23,IF(C4627="JR",20,IF(C4627="Estágio",10,0))))),IF(C4627="Técnico III",SUMIFS($D:$D,$A:$A,$A4627,$B:$B,"&lt;&gt;Patrícia Karla de Sousa Araújo",$B:$B,"&lt;&gt;Lorena Dias de Araujo",$B:$B,"&lt;&gt;Lucas Luiz Romero")*(35/1083),IF(C4627="Técnico II",SUMIFS($D:$D,$A:$A,$A4627,$B:$B,"&lt;&gt;Patrícia Karla de Sousa Araújo",$B:$B,"&lt;&gt;Lorena Dias de Araujo",$B:$B,"&lt;&gt;Lucas Luiz Romero")*(28/1083),IF(C4627="Técnico I",SUMIFS($D:$D,$A:$A,$A4627,$B:$B,"&lt;&gt;Patrícia Karla de Sousa Araújo",$B:$B,"&lt;&gt;Lorena Dias de Araujo",$B:$B,"&lt;&gt;Lucas Luiz Romero")*(23/1083),IF(C4627="JR",SUMIFS($D:$D,$A:$A,$A4627,$B:$B,"&lt;&gt;Patrícia Karla de Sousa Araújo",$B:$B,"&lt;&gt;Lorena Dias de Araujo",$B:$B,"&lt;&gt;Lucas Luiz Romero")*(20/1083),IF(C4627="Estágio",SUMIFS($D:$D,$A:$A,$A4627,$B:$B,"&lt;&gt;Patrícia Karla de Sousa Araújo",$B:$B,"&lt;&gt;Lorena Dias de Araujo",$B:$B,"&lt;&gt;Lucas Luiz Romero")*(10/1083),0)))))),0)</f>
        <v/>
      </c>
      <c r="K4627" s="3">
        <f>I4627-J4627</f>
        <v/>
      </c>
      <c r="L4627" s="3">
        <f>IF(K4627&lt;-5,"CRÍTICO",IF(K4627&lt;0,"ATENÇÃO",IF(K4627&lt;=5,"OPORTUNO","MUITO BOM")))</f>
        <v/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>
        <f>E4628+G4628+H4628</f>
        <v/>
      </c>
      <c r="J4628" s="3">
        <f>ROUND(MIN(IF(C4628="Técnico III",35,IF(C4628="Técnico II",28,IF(C4628="Técnico I",23,IF(C4628="JR",20,IF(C4628="Estágio",10,0))))),IF(C4628="Técnico III",SUMIFS($D:$D,$A:$A,$A4628,$B:$B,"&lt;&gt;Patrícia Karla de Sousa Araújo",$B:$B,"&lt;&gt;Lorena Dias de Araujo",$B:$B,"&lt;&gt;Lucas Luiz Romero")*(35/1083),IF(C4628="Técnico II",SUMIFS($D:$D,$A:$A,$A4628,$B:$B,"&lt;&gt;Patrícia Karla de Sousa Araújo",$B:$B,"&lt;&gt;Lorena Dias de Araujo",$B:$B,"&lt;&gt;Lucas Luiz Romero")*(28/1083),IF(C4628="Técnico I",SUMIFS($D:$D,$A:$A,$A4628,$B:$B,"&lt;&gt;Patrícia Karla de Sousa Araújo",$B:$B,"&lt;&gt;Lorena Dias de Araujo",$B:$B,"&lt;&gt;Lucas Luiz Romero")*(23/1083),IF(C4628="JR",SUMIFS($D:$D,$A:$A,$A4628,$B:$B,"&lt;&gt;Patrícia Karla de Sousa Araújo",$B:$B,"&lt;&gt;Lorena Dias de Araujo",$B:$B,"&lt;&gt;Lucas Luiz Romero")*(20/1083),IF(C4628="Estágio",SUMIFS($D:$D,$A:$A,$A4628,$B:$B,"&lt;&gt;Patrícia Karla de Sousa Araújo",$B:$B,"&lt;&gt;Lorena Dias de Araujo",$B:$B,"&lt;&gt;Lucas Luiz Romero")*(10/1083),0)))))),0)</f>
        <v/>
      </c>
      <c r="K4628" s="3">
        <f>I4628-J4628</f>
        <v/>
      </c>
      <c r="L4628" s="3">
        <f>IF(K4628&lt;-5,"CRÍTICO",IF(K4628&lt;0,"ATENÇÃO",IF(K4628&lt;=5,"OPORTUNO","MUITO BOM")))</f>
        <v/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>
        <f>E4629+G4629+H4629</f>
        <v/>
      </c>
      <c r="J4629" s="3">
        <f>ROUND(MIN(IF(C4629="Técnico III",35,IF(C4629="Técnico II",28,IF(C4629="Técnico I",23,IF(C4629="JR",20,IF(C4629="Estágio",10,0))))),IF(C4629="Técnico III",SUMIFS($D:$D,$A:$A,$A4629,$B:$B,"&lt;&gt;Patrícia Karla de Sousa Araújo",$B:$B,"&lt;&gt;Lorena Dias de Araujo",$B:$B,"&lt;&gt;Lucas Luiz Romero")*(35/1083),IF(C4629="Técnico II",SUMIFS($D:$D,$A:$A,$A4629,$B:$B,"&lt;&gt;Patrícia Karla de Sousa Araújo",$B:$B,"&lt;&gt;Lorena Dias de Araujo",$B:$B,"&lt;&gt;Lucas Luiz Romero")*(28/1083),IF(C4629="Técnico I",SUMIFS($D:$D,$A:$A,$A4629,$B:$B,"&lt;&gt;Patrícia Karla de Sousa Araújo",$B:$B,"&lt;&gt;Lorena Dias de Araujo",$B:$B,"&lt;&gt;Lucas Luiz Romero")*(23/1083),IF(C4629="JR",SUMIFS($D:$D,$A:$A,$A4629,$B:$B,"&lt;&gt;Patrícia Karla de Sousa Araújo",$B:$B,"&lt;&gt;Lorena Dias de Araujo",$B:$B,"&lt;&gt;Lucas Luiz Romero")*(20/1083),IF(C4629="Estágio",SUMIFS($D:$D,$A:$A,$A4629,$B:$B,"&lt;&gt;Patrícia Karla de Sousa Araújo",$B:$B,"&lt;&gt;Lorena Dias de Araujo",$B:$B,"&lt;&gt;Lucas Luiz Romero")*(10/1083),0)))))),0)</f>
        <v/>
      </c>
      <c r="K4629" s="3">
        <f>I4629-J4629</f>
        <v/>
      </c>
      <c r="L4629" s="3">
        <f>IF(K4629&lt;-5,"CRÍTICO",IF(K4629&lt;0,"ATENÇÃO",IF(K4629&lt;=5,"OPORTUNO","MUITO BOM")))</f>
        <v/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>
        <f>E4630+G4630+H4630</f>
        <v/>
      </c>
      <c r="J4630" s="3">
        <f>ROUND(MIN(IF(C4630="Técnico III",35,IF(C4630="Técnico II",28,IF(C4630="Técnico I",23,IF(C4630="JR",20,IF(C4630="Estágio",10,0))))),IF(C4630="Técnico III",SUMIFS($D:$D,$A:$A,$A4630,$B:$B,"&lt;&gt;Patrícia Karla de Sousa Araújo",$B:$B,"&lt;&gt;Lorena Dias de Araujo",$B:$B,"&lt;&gt;Lucas Luiz Romero")*(35/1083),IF(C4630="Técnico II",SUMIFS($D:$D,$A:$A,$A4630,$B:$B,"&lt;&gt;Patrícia Karla de Sousa Araújo",$B:$B,"&lt;&gt;Lorena Dias de Araujo",$B:$B,"&lt;&gt;Lucas Luiz Romero")*(28/1083),IF(C4630="Técnico I",SUMIFS($D:$D,$A:$A,$A4630,$B:$B,"&lt;&gt;Patrícia Karla de Sousa Araújo",$B:$B,"&lt;&gt;Lorena Dias de Araujo",$B:$B,"&lt;&gt;Lucas Luiz Romero")*(23/1083),IF(C4630="JR",SUMIFS($D:$D,$A:$A,$A4630,$B:$B,"&lt;&gt;Patrícia Karla de Sousa Araújo",$B:$B,"&lt;&gt;Lorena Dias de Araujo",$B:$B,"&lt;&gt;Lucas Luiz Romero")*(20/1083),IF(C4630="Estágio",SUMIFS($D:$D,$A:$A,$A4630,$B:$B,"&lt;&gt;Patrícia Karla de Sousa Araújo",$B:$B,"&lt;&gt;Lorena Dias de Araujo",$B:$B,"&lt;&gt;Lucas Luiz Romero")*(10/1083),0)))))),0)</f>
        <v/>
      </c>
      <c r="K4630" s="3">
        <f>I4630-J4630</f>
        <v/>
      </c>
      <c r="L4630" s="3">
        <f>IF(K4630&lt;-5,"CRÍTICO",IF(K4630&lt;0,"ATENÇÃO",IF(K4630&lt;=5,"OPORTUNO","MUITO BOM")))</f>
        <v/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>
        <f>IF(K4631&lt;-5,"CRÍTICO",IF(K4631&lt;0,"ATENÇÃO",IF(K4631&lt;=5,"OPORTUNO","MUITO BOM")))</f>
        <v/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>
        <f>E4632+G4632+H4632</f>
        <v/>
      </c>
      <c r="J4632" s="3">
        <f>ROUND(MIN(IF(C4632="Técnico III",35,IF(C4632="Técnico II",28,IF(C4632="Técnico I",23,IF(C4632="JR",20,IF(C4632="Estágio",10,0))))),IF(C4632="Técnico III",SUMIFS($D:$D,$A:$A,$A4632,$B:$B,"&lt;&gt;Patrícia Karla de Sousa Araújo",$B:$B,"&lt;&gt;Lorena Dias de Araujo",$B:$B,"&lt;&gt;Lucas Luiz Romero")*(35/1083),IF(C4632="Técnico II",SUMIFS($D:$D,$A:$A,$A4632,$B:$B,"&lt;&gt;Patrícia Karla de Sousa Araújo",$B:$B,"&lt;&gt;Lorena Dias de Araujo",$B:$B,"&lt;&gt;Lucas Luiz Romero")*(28/1083),IF(C4632="Técnico I",SUMIFS($D:$D,$A:$A,$A4632,$B:$B,"&lt;&gt;Patrícia Karla de Sousa Araújo",$B:$B,"&lt;&gt;Lorena Dias de Araujo",$B:$B,"&lt;&gt;Lucas Luiz Romero")*(23/1083),IF(C4632="JR",SUMIFS($D:$D,$A:$A,$A4632,$B:$B,"&lt;&gt;Patrícia Karla de Sousa Araújo",$B:$B,"&lt;&gt;Lorena Dias de Araujo",$B:$B,"&lt;&gt;Lucas Luiz Romero")*(20/1083),IF(C4632="Estágio",SUMIFS($D:$D,$A:$A,$A4632,$B:$B,"&lt;&gt;Patrícia Karla de Sousa Araújo",$B:$B,"&lt;&gt;Lorena Dias de Araujo",$B:$B,"&lt;&gt;Lucas Luiz Romero")*(10/1083),0)))))),0)</f>
        <v/>
      </c>
      <c r="K4632" s="3">
        <f>I4632-J4632</f>
        <v/>
      </c>
      <c r="L4632" s="3">
        <f>IF(K4632&lt;-5,"CRÍTICO",IF(K4632&lt;0,"ATENÇÃO",IF(K4632&lt;=5,"OPORTUNO","MUITO BOM")))</f>
        <v/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>
        <f>IF(K4633&lt;-5,"CRÍTICO",IF(K4633&lt;0,"ATENÇÃO",IF(K4633&lt;=5,"OPORTUNO","MUITO BOM")))</f>
        <v/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>
        <f>E4634+G4634+H4634</f>
        <v/>
      </c>
      <c r="J4634" s="3">
        <f>ROUND(MIN(IF(C4634="Técnico III",35,IF(C4634="Técnico II",28,IF(C4634="Técnico I",23,IF(C4634="JR",20,IF(C4634="Estágio",10,0))))),IF(C4634="Técnico III",SUMIFS($D:$D,$A:$A,$A4634,$B:$B,"&lt;&gt;Patrícia Karla de Sousa Araújo",$B:$B,"&lt;&gt;Lorena Dias de Araujo",$B:$B,"&lt;&gt;Lucas Luiz Romero")*(35/1083),IF(C4634="Técnico II",SUMIFS($D:$D,$A:$A,$A4634,$B:$B,"&lt;&gt;Patrícia Karla de Sousa Araújo",$B:$B,"&lt;&gt;Lorena Dias de Araujo",$B:$B,"&lt;&gt;Lucas Luiz Romero")*(28/1083),IF(C4634="Técnico I",SUMIFS($D:$D,$A:$A,$A4634,$B:$B,"&lt;&gt;Patrícia Karla de Sousa Araújo",$B:$B,"&lt;&gt;Lorena Dias de Araujo",$B:$B,"&lt;&gt;Lucas Luiz Romero")*(23/1083),IF(C4634="JR",SUMIFS($D:$D,$A:$A,$A4634,$B:$B,"&lt;&gt;Patrícia Karla de Sousa Araújo",$B:$B,"&lt;&gt;Lorena Dias de Araujo",$B:$B,"&lt;&gt;Lucas Luiz Romero")*(20/1083),IF(C4634="Estágio",SUMIFS($D:$D,$A:$A,$A4634,$B:$B,"&lt;&gt;Patrícia Karla de Sousa Araújo",$B:$B,"&lt;&gt;Lorena Dias de Araujo",$B:$B,"&lt;&gt;Lucas Luiz Romero")*(10/1083),0)))))),0)</f>
        <v/>
      </c>
      <c r="K4634" s="3">
        <f>I4634-J4634</f>
        <v/>
      </c>
      <c r="L4634" s="3">
        <f>IF(K4634&lt;-5,"CRÍTICO",IF(K4634&lt;0,"ATENÇÃO",IF(K4634&lt;=5,"OPORTUNO","MUITO BOM")))</f>
        <v/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>
        <f>E4635+G4635+H4635</f>
        <v/>
      </c>
      <c r="J4635" s="3">
        <f>ROUND(MIN(IF(C4635="Técnico III",35,IF(C4635="Técnico II",28,IF(C4635="Técnico I",23,IF(C4635="JR",20,IF(C4635="Estágio",10,0))))),IF(C4635="Técnico III",SUMIFS($D:$D,$A:$A,$A4635,$B:$B,"&lt;&gt;Patrícia Karla de Sousa Araújo",$B:$B,"&lt;&gt;Lorena Dias de Araujo",$B:$B,"&lt;&gt;Lucas Luiz Romero")*(35/1083),IF(C4635="Técnico II",SUMIFS($D:$D,$A:$A,$A4635,$B:$B,"&lt;&gt;Patrícia Karla de Sousa Araújo",$B:$B,"&lt;&gt;Lorena Dias de Araujo",$B:$B,"&lt;&gt;Lucas Luiz Romero")*(28/1083),IF(C4635="Técnico I",SUMIFS($D:$D,$A:$A,$A4635,$B:$B,"&lt;&gt;Patrícia Karla de Sousa Araújo",$B:$B,"&lt;&gt;Lorena Dias de Araujo",$B:$B,"&lt;&gt;Lucas Luiz Romero")*(23/1083),IF(C4635="JR",SUMIFS($D:$D,$A:$A,$A4635,$B:$B,"&lt;&gt;Patrícia Karla de Sousa Araújo",$B:$B,"&lt;&gt;Lorena Dias de Araujo",$B:$B,"&lt;&gt;Lucas Luiz Romero")*(20/1083),IF(C4635="Estágio",SUMIFS($D:$D,$A:$A,$A4635,$B:$B,"&lt;&gt;Patrícia Karla de Sousa Araújo",$B:$B,"&lt;&gt;Lorena Dias de Araujo",$B:$B,"&lt;&gt;Lucas Luiz Romero")*(10/1083),0)))))),0)</f>
        <v/>
      </c>
      <c r="K4635" s="3">
        <f>I4635-J4635</f>
        <v/>
      </c>
      <c r="L4635" s="3">
        <f>IF(K4635&lt;-5,"CRÍTICO",IF(K4635&lt;0,"ATENÇÃO",IF(K4635&lt;=5,"OPORTUNO","MUITO BOM")))</f>
        <v/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>
        <f>IF(K4636&lt;-5,"CRÍTICO",IF(K4636&lt;0,"ATENÇÃO",IF(K4636&lt;=5,"OPORTUNO","MUITO BOM")))</f>
        <v/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>
        <f>E4637+G4637+H4637</f>
        <v/>
      </c>
      <c r="J4637" s="3">
        <f>ROUND(MIN(IF(C4637="Técnico III",35,IF(C4637="Técnico II",28,IF(C4637="Técnico I",23,IF(C4637="JR",20,IF(C4637="Estágio",10,0))))),IF(C4637="Técnico III",SUMIFS($D:$D,$A:$A,$A4637,$B:$B,"&lt;&gt;Patrícia Karla de Sousa Araújo",$B:$B,"&lt;&gt;Lorena Dias de Araujo",$B:$B,"&lt;&gt;Lucas Luiz Romero")*(35/1083),IF(C4637="Técnico II",SUMIFS($D:$D,$A:$A,$A4637,$B:$B,"&lt;&gt;Patrícia Karla de Sousa Araújo",$B:$B,"&lt;&gt;Lorena Dias de Araujo",$B:$B,"&lt;&gt;Lucas Luiz Romero")*(28/1083),IF(C4637="Técnico I",SUMIFS($D:$D,$A:$A,$A4637,$B:$B,"&lt;&gt;Patrícia Karla de Sousa Araújo",$B:$B,"&lt;&gt;Lorena Dias de Araujo",$B:$B,"&lt;&gt;Lucas Luiz Romero")*(23/1083),IF(C4637="JR",SUMIFS($D:$D,$A:$A,$A4637,$B:$B,"&lt;&gt;Patrícia Karla de Sousa Araújo",$B:$B,"&lt;&gt;Lorena Dias de Araujo",$B:$B,"&lt;&gt;Lucas Luiz Romero")*(20/1083),IF(C4637="Estágio",SUMIFS($D:$D,$A:$A,$A4637,$B:$B,"&lt;&gt;Patrícia Karla de Sousa Araújo",$B:$B,"&lt;&gt;Lorena Dias de Araujo",$B:$B,"&lt;&gt;Lucas Luiz Romero")*(10/1083),0)))))),0)</f>
        <v/>
      </c>
      <c r="K4637" s="3">
        <f>I4637-J4637</f>
        <v/>
      </c>
      <c r="L4637" s="3">
        <f>IF(K4637&lt;-5,"CRÍTICO",IF(K4637&lt;0,"ATENÇÃO",IF(K4637&lt;=5,"OPORTUNO","MUITO BOM")))</f>
        <v/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>
        <f>E4638+G4638+H4638</f>
        <v/>
      </c>
      <c r="J4638" s="3">
        <f>ROUND(MIN(IF(C4638="Técnico III",35,IF(C4638="Técnico II",28,IF(C4638="Técnico I",23,IF(C4638="JR",20,IF(C4638="Estágio",10,0))))),IF(C4638="Técnico III",SUMIFS($D:$D,$A:$A,$A4638,$B:$B,"&lt;&gt;Patrícia Karla de Sousa Araújo",$B:$B,"&lt;&gt;Lorena Dias de Araujo",$B:$B,"&lt;&gt;Lucas Luiz Romero")*(35/1083),IF(C4638="Técnico II",SUMIFS($D:$D,$A:$A,$A4638,$B:$B,"&lt;&gt;Patrícia Karla de Sousa Araújo",$B:$B,"&lt;&gt;Lorena Dias de Araujo",$B:$B,"&lt;&gt;Lucas Luiz Romero")*(28/1083),IF(C4638="Técnico I",SUMIFS($D:$D,$A:$A,$A4638,$B:$B,"&lt;&gt;Patrícia Karla de Sousa Araújo",$B:$B,"&lt;&gt;Lorena Dias de Araujo",$B:$B,"&lt;&gt;Lucas Luiz Romero")*(23/1083),IF(C4638="JR",SUMIFS($D:$D,$A:$A,$A4638,$B:$B,"&lt;&gt;Patrícia Karla de Sousa Araújo",$B:$B,"&lt;&gt;Lorena Dias de Araujo",$B:$B,"&lt;&gt;Lucas Luiz Romero")*(20/1083),IF(C4638="Estágio",SUMIFS($D:$D,$A:$A,$A4638,$B:$B,"&lt;&gt;Patrícia Karla de Sousa Araújo",$B:$B,"&lt;&gt;Lorena Dias de Araujo",$B:$B,"&lt;&gt;Lucas Luiz Romero")*(10/1083),0)))))),0)</f>
        <v/>
      </c>
      <c r="K4638" s="3">
        <f>I4638-J4638</f>
        <v/>
      </c>
      <c r="L4638" s="3">
        <f>IF(K4638&lt;-5,"CRÍTICO",IF(K4638&lt;0,"ATENÇÃO",IF(K4638&lt;=5,"OPORTUNO","MUITO BOM")))</f>
        <v/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>
        <f>E4639+G4639+H4639</f>
        <v/>
      </c>
      <c r="J4639" s="3">
        <f>ROUND(MIN(IF(C4639="Técnico III",35,IF(C4639="Técnico II",28,IF(C4639="Técnico I",23,IF(C4639="JR",20,IF(C4639="Estágio",10,0))))),IF(C4639="Técnico III",SUMIFS($D:$D,$A:$A,$A4639,$B:$B,"&lt;&gt;Patrícia Karla de Sousa Araújo",$B:$B,"&lt;&gt;Lorena Dias de Araujo",$B:$B,"&lt;&gt;Lucas Luiz Romero")*(35/1083),IF(C4639="Técnico II",SUMIFS($D:$D,$A:$A,$A4639,$B:$B,"&lt;&gt;Patrícia Karla de Sousa Araújo",$B:$B,"&lt;&gt;Lorena Dias de Araujo",$B:$B,"&lt;&gt;Lucas Luiz Romero")*(28/1083),IF(C4639="Técnico I",SUMIFS($D:$D,$A:$A,$A4639,$B:$B,"&lt;&gt;Patrícia Karla de Sousa Araújo",$B:$B,"&lt;&gt;Lorena Dias de Araujo",$B:$B,"&lt;&gt;Lucas Luiz Romero")*(23/1083),IF(C4639="JR",SUMIFS($D:$D,$A:$A,$A4639,$B:$B,"&lt;&gt;Patrícia Karla de Sousa Araújo",$B:$B,"&lt;&gt;Lorena Dias de Araujo",$B:$B,"&lt;&gt;Lucas Luiz Romero")*(20/1083),IF(C4639="Estágio",SUMIFS($D:$D,$A:$A,$A4639,$B:$B,"&lt;&gt;Patrícia Karla de Sousa Araújo",$B:$B,"&lt;&gt;Lorena Dias de Araujo",$B:$B,"&lt;&gt;Lucas Luiz Romero")*(10/1083),0)))))),0)</f>
        <v/>
      </c>
      <c r="K4639" s="3">
        <f>I4639-J4639</f>
        <v/>
      </c>
      <c r="L4639" s="3">
        <f>IF(K4639&lt;-5,"CRÍTICO",IF(K4639&lt;0,"ATENÇÃO",IF(K4639&lt;=5,"OPORTUNO","MUITO BOM")))</f>
        <v/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>
        <f>E4640+G4640+H4640</f>
        <v/>
      </c>
      <c r="J4640" s="3">
        <f>ROUND(MIN(IF(C4640="Técnico III",35,IF(C4640="Técnico II",28,IF(C4640="Técnico I",23,IF(C4640="JR",20,IF(C4640="Estágio",10,0))))),IF(C4640="Técnico III",SUMIFS($D:$D,$A:$A,$A4640,$B:$B,"&lt;&gt;Patrícia Karla de Sousa Araújo",$B:$B,"&lt;&gt;Lorena Dias de Araujo",$B:$B,"&lt;&gt;Lucas Luiz Romero")*(35/1083),IF(C4640="Técnico II",SUMIFS($D:$D,$A:$A,$A4640,$B:$B,"&lt;&gt;Patrícia Karla de Sousa Araújo",$B:$B,"&lt;&gt;Lorena Dias de Araujo",$B:$B,"&lt;&gt;Lucas Luiz Romero")*(28/1083),IF(C4640="Técnico I",SUMIFS($D:$D,$A:$A,$A4640,$B:$B,"&lt;&gt;Patrícia Karla de Sousa Araújo",$B:$B,"&lt;&gt;Lorena Dias de Araujo",$B:$B,"&lt;&gt;Lucas Luiz Romero")*(23/1083),IF(C4640="JR",SUMIFS($D:$D,$A:$A,$A4640,$B:$B,"&lt;&gt;Patrícia Karla de Sousa Araújo",$B:$B,"&lt;&gt;Lorena Dias de Araujo",$B:$B,"&lt;&gt;Lucas Luiz Romero")*(20/1083),IF(C4640="Estágio",SUMIFS($D:$D,$A:$A,$A4640,$B:$B,"&lt;&gt;Patrícia Karla de Sousa Araújo",$B:$B,"&lt;&gt;Lorena Dias de Araujo",$B:$B,"&lt;&gt;Lucas Luiz Romero")*(10/1083),0)))))),0)</f>
        <v/>
      </c>
      <c r="K4640" s="3">
        <f>I4640-J4640</f>
        <v/>
      </c>
      <c r="L4640" s="3">
        <f>IF(K4640&lt;-5,"CRÍTICO",IF(K4640&lt;0,"ATENÇÃO",IF(K4640&lt;=5,"OPORTUNO","MUITO BOM")))</f>
        <v/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>
        <f>IF(K4641&lt;-5,"CRÍTICO",IF(K4641&lt;0,"ATENÇÃO",IF(K4641&lt;=5,"OPORTUNO","MUITO BOM")))</f>
        <v/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>
        <f>IF(K4642&lt;-5,"CRÍTICO",IF(K4642&lt;0,"ATENÇÃO",IF(K4642&lt;=5,"OPORTUNO","MUITO BOM")))</f>
        <v/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>
        <f>E4643+G4643+H4643</f>
        <v/>
      </c>
      <c r="J4643" s="3">
        <f>ROUND(MIN(IF(C4643="Técnico III",35,IF(C4643="Técnico II",28,IF(C4643="Técnico I",23,IF(C4643="JR",20,IF(C4643="Estágio",10,0))))),IF(C4643="Técnico III",SUMIFS($D:$D,$A:$A,$A4643,$B:$B,"&lt;&gt;Patrícia Karla de Sousa Araújo",$B:$B,"&lt;&gt;Lorena Dias de Araujo",$B:$B,"&lt;&gt;Lucas Luiz Romero")*(35/1083),IF(C4643="Técnico II",SUMIFS($D:$D,$A:$A,$A4643,$B:$B,"&lt;&gt;Patrícia Karla de Sousa Araújo",$B:$B,"&lt;&gt;Lorena Dias de Araujo",$B:$B,"&lt;&gt;Lucas Luiz Romero")*(28/1083),IF(C4643="Técnico I",SUMIFS($D:$D,$A:$A,$A4643,$B:$B,"&lt;&gt;Patrícia Karla de Sousa Araújo",$B:$B,"&lt;&gt;Lorena Dias de Araujo",$B:$B,"&lt;&gt;Lucas Luiz Romero")*(23/1083),IF(C4643="JR",SUMIFS($D:$D,$A:$A,$A4643,$B:$B,"&lt;&gt;Patrícia Karla de Sousa Araújo",$B:$B,"&lt;&gt;Lorena Dias de Araujo",$B:$B,"&lt;&gt;Lucas Luiz Romero")*(20/1083),IF(C4643="Estágio",SUMIFS($D:$D,$A:$A,$A4643,$B:$B,"&lt;&gt;Patrícia Karla de Sousa Araújo",$B:$B,"&lt;&gt;Lorena Dias de Araujo",$B:$B,"&lt;&gt;Lucas Luiz Romero")*(10/1083),0)))))),0)</f>
        <v/>
      </c>
      <c r="K4643" s="3">
        <f>I4643-J4643</f>
        <v/>
      </c>
      <c r="L4643" s="3">
        <f>IF(K4643&lt;-5,"CRÍTICO",IF(K4643&lt;0,"ATENÇÃO",IF(K4643&lt;=5,"OPORTUNO","MUITO BOM")))</f>
        <v/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>
        <f>E4644+G4644+H4644</f>
        <v/>
      </c>
      <c r="J4644" s="3">
        <f>ROUND(MIN(IF(C4644="Técnico III",35,IF(C4644="Técnico II",28,IF(C4644="Técnico I",23,IF(C4644="JR",20,IF(C4644="Estágio",10,0))))),IF(C4644="Técnico III",SUMIFS($D:$D,$A:$A,$A4644,$B:$B,"&lt;&gt;Patrícia Karla de Sousa Araújo",$B:$B,"&lt;&gt;Lorena Dias de Araujo",$B:$B,"&lt;&gt;Lucas Luiz Romero")*(35/1083),IF(C4644="Técnico II",SUMIFS($D:$D,$A:$A,$A4644,$B:$B,"&lt;&gt;Patrícia Karla de Sousa Araújo",$B:$B,"&lt;&gt;Lorena Dias de Araujo",$B:$B,"&lt;&gt;Lucas Luiz Romero")*(28/1083),IF(C4644="Técnico I",SUMIFS($D:$D,$A:$A,$A4644,$B:$B,"&lt;&gt;Patrícia Karla de Sousa Araújo",$B:$B,"&lt;&gt;Lorena Dias de Araujo",$B:$B,"&lt;&gt;Lucas Luiz Romero")*(23/1083),IF(C4644="JR",SUMIFS($D:$D,$A:$A,$A4644,$B:$B,"&lt;&gt;Patrícia Karla de Sousa Araújo",$B:$B,"&lt;&gt;Lorena Dias de Araujo",$B:$B,"&lt;&gt;Lucas Luiz Romero")*(20/1083),IF(C4644="Estágio",SUMIFS($D:$D,$A:$A,$A4644,$B:$B,"&lt;&gt;Patrícia Karla de Sousa Araújo",$B:$B,"&lt;&gt;Lorena Dias de Araujo",$B:$B,"&lt;&gt;Lucas Luiz Romero")*(10/1083),0)))))),0)</f>
        <v/>
      </c>
      <c r="K4644" s="3">
        <f>I4644-J4644</f>
        <v/>
      </c>
      <c r="L4644" s="3">
        <f>IF(K4644&lt;-5,"CRÍTICO",IF(K4644&lt;0,"ATENÇÃO",IF(K4644&lt;=5,"OPORTUNO","MUITO BOM")))</f>
        <v/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>
        <f>E4645+G4645+H4645</f>
        <v/>
      </c>
      <c r="J4645" s="3">
        <f>ROUND(MIN(IF(C4645="Técnico III",35,IF(C4645="Técnico II",28,IF(C4645="Técnico I",23,IF(C4645="JR",20,IF(C4645="Estágio",10,0))))),IF(C4645="Técnico III",SUMIFS($D:$D,$A:$A,$A4645,$B:$B,"&lt;&gt;Patrícia Karla de Sousa Araújo",$B:$B,"&lt;&gt;Lorena Dias de Araujo",$B:$B,"&lt;&gt;Lucas Luiz Romero")*(35/1083),IF(C4645="Técnico II",SUMIFS($D:$D,$A:$A,$A4645,$B:$B,"&lt;&gt;Patrícia Karla de Sousa Araújo",$B:$B,"&lt;&gt;Lorena Dias de Araujo",$B:$B,"&lt;&gt;Lucas Luiz Romero")*(28/1083),IF(C4645="Técnico I",SUMIFS($D:$D,$A:$A,$A4645,$B:$B,"&lt;&gt;Patrícia Karla de Sousa Araújo",$B:$B,"&lt;&gt;Lorena Dias de Araujo",$B:$B,"&lt;&gt;Lucas Luiz Romero")*(23/1083),IF(C4645="JR",SUMIFS($D:$D,$A:$A,$A4645,$B:$B,"&lt;&gt;Patrícia Karla de Sousa Araújo",$B:$B,"&lt;&gt;Lorena Dias de Araujo",$B:$B,"&lt;&gt;Lucas Luiz Romero")*(20/1083),IF(C4645="Estágio",SUMIFS($D:$D,$A:$A,$A4645,$B:$B,"&lt;&gt;Patrícia Karla de Sousa Araújo",$B:$B,"&lt;&gt;Lorena Dias de Araujo",$B:$B,"&lt;&gt;Lucas Luiz Romero")*(10/1083),0)))))),0)</f>
        <v/>
      </c>
      <c r="K4645" s="3">
        <f>I4645-J4645</f>
        <v/>
      </c>
      <c r="L4645" s="3">
        <f>IF(K4645&lt;-5,"CRÍTICO",IF(K4645&lt;0,"ATENÇÃO",IF(K4645&lt;=5,"OPORTUNO","MUITO BOM")))</f>
        <v/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>
        <f>IF(K4646&lt;-5,"CRÍTICO",IF(K4646&lt;0,"ATENÇÃO",IF(K4646&lt;=5,"OPORTUNO","MUITO BOM")))</f>
        <v/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>
        <f>IF(K4647&lt;-5,"CRÍTICO",IF(K4647&lt;0,"ATENÇÃO",IF(K4647&lt;=5,"OPORTUNO","MUITO BOM")))</f>
        <v/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>
        <f>E4648+G4648+H4648</f>
        <v/>
      </c>
      <c r="J4648" s="3">
        <f>ROUND(MIN(IF(C4648="Técnico III",35,IF(C4648="Técnico II",28,IF(C4648="Técnico I",23,IF(C4648="JR",20,IF(C4648="Estágio",10,0))))),IF(C4648="Técnico III",SUMIFS($D:$D,$A:$A,$A4648,$B:$B,"&lt;&gt;Patrícia Karla de Sousa Araújo",$B:$B,"&lt;&gt;Lorena Dias de Araujo",$B:$B,"&lt;&gt;Lucas Luiz Romero")*(35/1083),IF(C4648="Técnico II",SUMIFS($D:$D,$A:$A,$A4648,$B:$B,"&lt;&gt;Patrícia Karla de Sousa Araújo",$B:$B,"&lt;&gt;Lorena Dias de Araujo",$B:$B,"&lt;&gt;Lucas Luiz Romero")*(28/1083),IF(C4648="Técnico I",SUMIFS($D:$D,$A:$A,$A4648,$B:$B,"&lt;&gt;Patrícia Karla de Sousa Araújo",$B:$B,"&lt;&gt;Lorena Dias de Araujo",$B:$B,"&lt;&gt;Lucas Luiz Romero")*(23/1083),IF(C4648="JR",SUMIFS($D:$D,$A:$A,$A4648,$B:$B,"&lt;&gt;Patrícia Karla de Sousa Araújo",$B:$B,"&lt;&gt;Lorena Dias de Araujo",$B:$B,"&lt;&gt;Lucas Luiz Romero")*(20/1083),IF(C4648="Estágio",SUMIFS($D:$D,$A:$A,$A4648,$B:$B,"&lt;&gt;Patrícia Karla de Sousa Araújo",$B:$B,"&lt;&gt;Lorena Dias de Araujo",$B:$B,"&lt;&gt;Lucas Luiz Romero")*(10/1083),0)))))),0)</f>
        <v/>
      </c>
      <c r="K4648" s="3">
        <f>I4648-J4648</f>
        <v/>
      </c>
      <c r="L4648" s="3">
        <f>IF(K4648&lt;-5,"CRÍTICO",IF(K4648&lt;0,"ATENÇÃO",IF(K4648&lt;=5,"OPORTUNO","MUITO BOM")))</f>
        <v/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>
        <f>E4649+G4649+H4649</f>
        <v/>
      </c>
      <c r="J4649" s="3">
        <f>ROUND(MIN(IF(C4649="Técnico III",35,IF(C4649="Técnico II",28,IF(C4649="Técnico I",23,IF(C4649="JR",20,IF(C4649="Estágio",10,0))))),IF(C4649="Técnico III",SUMIFS($D:$D,$A:$A,$A4649,$B:$B,"&lt;&gt;Patrícia Karla de Sousa Araújo",$B:$B,"&lt;&gt;Lorena Dias de Araujo",$B:$B,"&lt;&gt;Lucas Luiz Romero")*(35/1083),IF(C4649="Técnico II",SUMIFS($D:$D,$A:$A,$A4649,$B:$B,"&lt;&gt;Patrícia Karla de Sousa Araújo",$B:$B,"&lt;&gt;Lorena Dias de Araujo",$B:$B,"&lt;&gt;Lucas Luiz Romero")*(28/1083),IF(C4649="Técnico I",SUMIFS($D:$D,$A:$A,$A4649,$B:$B,"&lt;&gt;Patrícia Karla de Sousa Araújo",$B:$B,"&lt;&gt;Lorena Dias de Araujo",$B:$B,"&lt;&gt;Lucas Luiz Romero")*(23/1083),IF(C4649="JR",SUMIFS($D:$D,$A:$A,$A4649,$B:$B,"&lt;&gt;Patrícia Karla de Sousa Araújo",$B:$B,"&lt;&gt;Lorena Dias de Araujo",$B:$B,"&lt;&gt;Lucas Luiz Romero")*(20/1083),IF(C4649="Estágio",SUMIFS($D:$D,$A:$A,$A4649,$B:$B,"&lt;&gt;Patrícia Karla de Sousa Araújo",$B:$B,"&lt;&gt;Lorena Dias de Araujo",$B:$B,"&lt;&gt;Lucas Luiz Romero")*(10/1083),0)))))),0)</f>
        <v/>
      </c>
      <c r="K4649" s="3">
        <f>I4649-J4649</f>
        <v/>
      </c>
      <c r="L4649" s="3">
        <f>IF(K4649&lt;-5,"CRÍTICO",IF(K4649&lt;0,"ATENÇÃO",IF(K4649&lt;=5,"OPORTUNO","MUITO BOM")))</f>
        <v/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>
        <f>E4650+G4650+H4650</f>
        <v/>
      </c>
      <c r="J4650" s="3">
        <f>ROUND(MIN(IF(C4650="Técnico III",35,IF(C4650="Técnico II",28,IF(C4650="Técnico I",23,IF(C4650="JR",20,IF(C4650="Estágio",10,0))))),IF(C4650="Técnico III",SUMIFS($D:$D,$A:$A,$A4650,$B:$B,"&lt;&gt;Patrícia Karla de Sousa Araújo",$B:$B,"&lt;&gt;Lorena Dias de Araujo",$B:$B,"&lt;&gt;Lucas Luiz Romero")*(35/1083),IF(C4650="Técnico II",SUMIFS($D:$D,$A:$A,$A4650,$B:$B,"&lt;&gt;Patrícia Karla de Sousa Araújo",$B:$B,"&lt;&gt;Lorena Dias de Araujo",$B:$B,"&lt;&gt;Lucas Luiz Romero")*(28/1083),IF(C4650="Técnico I",SUMIFS($D:$D,$A:$A,$A4650,$B:$B,"&lt;&gt;Patrícia Karla de Sousa Araújo",$B:$B,"&lt;&gt;Lorena Dias de Araujo",$B:$B,"&lt;&gt;Lucas Luiz Romero")*(23/1083),IF(C4650="JR",SUMIFS($D:$D,$A:$A,$A4650,$B:$B,"&lt;&gt;Patrícia Karla de Sousa Araújo",$B:$B,"&lt;&gt;Lorena Dias de Araujo",$B:$B,"&lt;&gt;Lucas Luiz Romero")*(20/1083),IF(C4650="Estágio",SUMIFS($D:$D,$A:$A,$A4650,$B:$B,"&lt;&gt;Patrícia Karla de Sousa Araújo",$B:$B,"&lt;&gt;Lorena Dias de Araujo",$B:$B,"&lt;&gt;Lucas Luiz Romero")*(10/1083),0)))))),0)</f>
        <v/>
      </c>
      <c r="K4650" s="3">
        <f>I4650-J4650</f>
        <v/>
      </c>
      <c r="L4650" s="3">
        <f>IF(K4650&lt;-5,"CRÍTICO",IF(K4650&lt;0,"ATENÇÃO",IF(K4650&lt;=5,"OPORTUNO","MUITO BOM")))</f>
        <v/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>
        <f>IF(K4651&lt;-5,"CRÍTICO",IF(K4651&lt;0,"ATENÇÃO",IF(K4651&lt;=5,"OPORTUNO","MUITO BOM")))</f>
        <v/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>
        <f>E4652+G4652+H4652</f>
        <v/>
      </c>
      <c r="J4652" s="3">
        <f>ROUND(MIN(IF(C4652="Técnico III",35,IF(C4652="Técnico II",28,IF(C4652="Técnico I",23,IF(C4652="JR",20,IF(C4652="Estágio",10,0))))),IF(C4652="Técnico III",SUMIFS($D:$D,$A:$A,$A4652,$B:$B,"&lt;&gt;Patrícia Karla de Sousa Araújo",$B:$B,"&lt;&gt;Lorena Dias de Araujo",$B:$B,"&lt;&gt;Lucas Luiz Romero")*(35/1083),IF(C4652="Técnico II",SUMIFS($D:$D,$A:$A,$A4652,$B:$B,"&lt;&gt;Patrícia Karla de Sousa Araújo",$B:$B,"&lt;&gt;Lorena Dias de Araujo",$B:$B,"&lt;&gt;Lucas Luiz Romero")*(28/1083),IF(C4652="Técnico I",SUMIFS($D:$D,$A:$A,$A4652,$B:$B,"&lt;&gt;Patrícia Karla de Sousa Araújo",$B:$B,"&lt;&gt;Lorena Dias de Araujo",$B:$B,"&lt;&gt;Lucas Luiz Romero")*(23/1083),IF(C4652="JR",SUMIFS($D:$D,$A:$A,$A4652,$B:$B,"&lt;&gt;Patrícia Karla de Sousa Araújo",$B:$B,"&lt;&gt;Lorena Dias de Araujo",$B:$B,"&lt;&gt;Lucas Luiz Romero")*(20/1083),IF(C4652="Estágio",SUMIFS($D:$D,$A:$A,$A4652,$B:$B,"&lt;&gt;Patrícia Karla de Sousa Araújo",$B:$B,"&lt;&gt;Lorena Dias de Araujo",$B:$B,"&lt;&gt;Lucas Luiz Romero")*(10/1083),0)))))),0)</f>
        <v/>
      </c>
      <c r="K4652" s="3">
        <f>I4652-J4652</f>
        <v/>
      </c>
      <c r="L4652" s="3">
        <f>IF(K4652&lt;-5,"CRÍTICO",IF(K4652&lt;0,"ATENÇÃO",IF(K4652&lt;=5,"OPORTUNO","MUITO BOM")))</f>
        <v/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>
        <f>E4653+G4653+H4653</f>
        <v/>
      </c>
      <c r="J4653" s="3">
        <f>ROUND(MIN(IF(C4653="Técnico III",35,IF(C4653="Técnico II",28,IF(C4653="Técnico I",23,IF(C4653="JR",20,IF(C4653="Estágio",10,0))))),IF(C4653="Técnico III",SUMIFS($D:$D,$A:$A,$A4653,$B:$B,"&lt;&gt;Patrícia Karla de Sousa Araújo",$B:$B,"&lt;&gt;Lorena Dias de Araujo",$B:$B,"&lt;&gt;Lucas Luiz Romero")*(35/1083),IF(C4653="Técnico II",SUMIFS($D:$D,$A:$A,$A4653,$B:$B,"&lt;&gt;Patrícia Karla de Sousa Araújo",$B:$B,"&lt;&gt;Lorena Dias de Araujo",$B:$B,"&lt;&gt;Lucas Luiz Romero")*(28/1083),IF(C4653="Técnico I",SUMIFS($D:$D,$A:$A,$A4653,$B:$B,"&lt;&gt;Patrícia Karla de Sousa Araújo",$B:$B,"&lt;&gt;Lorena Dias de Araujo",$B:$B,"&lt;&gt;Lucas Luiz Romero")*(23/1083),IF(C4653="JR",SUMIFS($D:$D,$A:$A,$A4653,$B:$B,"&lt;&gt;Patrícia Karla de Sousa Araújo",$B:$B,"&lt;&gt;Lorena Dias de Araujo",$B:$B,"&lt;&gt;Lucas Luiz Romero")*(20/1083),IF(C4653="Estágio",SUMIFS($D:$D,$A:$A,$A4653,$B:$B,"&lt;&gt;Patrícia Karla de Sousa Araújo",$B:$B,"&lt;&gt;Lorena Dias de Araujo",$B:$B,"&lt;&gt;Lucas Luiz Romero")*(10/1083),0)))))),0)</f>
        <v/>
      </c>
      <c r="K4653" s="3">
        <f>I4653-J4653</f>
        <v/>
      </c>
      <c r="L4653" s="3">
        <f>IF(K4653&lt;-5,"CRÍTICO",IF(K4653&lt;0,"ATENÇÃO",IF(K4653&lt;=5,"OPORTUNO","MUITO BOM")))</f>
        <v/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>
        <f>E4654+G4654+H4654</f>
        <v/>
      </c>
      <c r="J4654" s="3">
        <f>ROUND(MIN(IF(C4654="Técnico III",35,IF(C4654="Técnico II",28,IF(C4654="Técnico I",23,IF(C4654="JR",20,IF(C4654="Estágio",10,0))))),IF(C4654="Técnico III",SUMIFS($D:$D,$A:$A,$A4654,$B:$B,"&lt;&gt;Patrícia Karla de Sousa Araújo",$B:$B,"&lt;&gt;Lorena Dias de Araujo",$B:$B,"&lt;&gt;Lucas Luiz Romero")*(35/1083),IF(C4654="Técnico II",SUMIFS($D:$D,$A:$A,$A4654,$B:$B,"&lt;&gt;Patrícia Karla de Sousa Araújo",$B:$B,"&lt;&gt;Lorena Dias de Araujo",$B:$B,"&lt;&gt;Lucas Luiz Romero")*(28/1083),IF(C4654="Técnico I",SUMIFS($D:$D,$A:$A,$A4654,$B:$B,"&lt;&gt;Patrícia Karla de Sousa Araújo",$B:$B,"&lt;&gt;Lorena Dias de Araujo",$B:$B,"&lt;&gt;Lucas Luiz Romero")*(23/1083),IF(C4654="JR",SUMIFS($D:$D,$A:$A,$A4654,$B:$B,"&lt;&gt;Patrícia Karla de Sousa Araújo",$B:$B,"&lt;&gt;Lorena Dias de Araujo",$B:$B,"&lt;&gt;Lucas Luiz Romero")*(20/1083),IF(C4654="Estágio",SUMIFS($D:$D,$A:$A,$A4654,$B:$B,"&lt;&gt;Patrícia Karla de Sousa Araújo",$B:$B,"&lt;&gt;Lorena Dias de Araujo",$B:$B,"&lt;&gt;Lucas Luiz Romero")*(10/1083),0)))))),0)</f>
        <v/>
      </c>
      <c r="K4654" s="3">
        <f>I4654-J4654</f>
        <v/>
      </c>
      <c r="L4654" s="3">
        <f>IF(K4654&lt;-5,"CRÍTICO",IF(K4654&lt;0,"ATENÇÃO",IF(K4654&lt;=5,"OPORTUNO","MUITO BOM")))</f>
        <v/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>
        <f>E4655+G4655+H4655</f>
        <v/>
      </c>
      <c r="J4655" s="3">
        <f>ROUND(MIN(IF(C4655="Técnico III",35,IF(C4655="Técnico II",28,IF(C4655="Técnico I",23,IF(C4655="JR",20,IF(C4655="Estágio",10,0))))),IF(C4655="Técnico III",SUMIFS($D:$D,$A:$A,$A4655,$B:$B,"&lt;&gt;Patrícia Karla de Sousa Araújo",$B:$B,"&lt;&gt;Lorena Dias de Araujo",$B:$B,"&lt;&gt;Lucas Luiz Romero")*(35/1083),IF(C4655="Técnico II",SUMIFS($D:$D,$A:$A,$A4655,$B:$B,"&lt;&gt;Patrícia Karla de Sousa Araújo",$B:$B,"&lt;&gt;Lorena Dias de Araujo",$B:$B,"&lt;&gt;Lucas Luiz Romero")*(28/1083),IF(C4655="Técnico I",SUMIFS($D:$D,$A:$A,$A4655,$B:$B,"&lt;&gt;Patrícia Karla de Sousa Araújo",$B:$B,"&lt;&gt;Lorena Dias de Araujo",$B:$B,"&lt;&gt;Lucas Luiz Romero")*(23/1083),IF(C4655="JR",SUMIFS($D:$D,$A:$A,$A4655,$B:$B,"&lt;&gt;Patrícia Karla de Sousa Araújo",$B:$B,"&lt;&gt;Lorena Dias de Araujo",$B:$B,"&lt;&gt;Lucas Luiz Romero")*(20/1083),IF(C4655="Estágio",SUMIFS($D:$D,$A:$A,$A4655,$B:$B,"&lt;&gt;Patrícia Karla de Sousa Araújo",$B:$B,"&lt;&gt;Lorena Dias de Araujo",$B:$B,"&lt;&gt;Lucas Luiz Romero")*(10/1083),0)))))),0)</f>
        <v/>
      </c>
      <c r="K4655" s="3">
        <f>I4655-J4655</f>
        <v/>
      </c>
      <c r="L4655" s="3">
        <f>IF(K4655&lt;-5,"CRÍTICO",IF(K4655&lt;0,"ATENÇÃO",IF(K4655&lt;=5,"OPORTUNO","MUITO BOM")))</f>
        <v/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>
        <f>E4658+G4658+H4658</f>
        <v/>
      </c>
      <c r="J4658" s="3">
        <f>ROUND(MIN(IF(C4658="Técnico III",35,IF(C4658="Técnico II",28,IF(C4658="Técnico I",23,IF(C4658="JR",20,IF(C4658="Estágio",10,0))))),IF(C4658="Técnico III",SUMIFS($D:$D,$A:$A,$A4658,$B:$B,"&lt;&gt;Patrícia Karla de Sousa Araújo",$B:$B,"&lt;&gt;Lorena Dias de Araujo",$B:$B,"&lt;&gt;Lucas Luiz Romero")*(35/1083),IF(C4658="Técnico II",SUMIFS($D:$D,$A:$A,$A4658,$B:$B,"&lt;&gt;Patrícia Karla de Sousa Araújo",$B:$B,"&lt;&gt;Lorena Dias de Araujo",$B:$B,"&lt;&gt;Lucas Luiz Romero")*(28/1083),IF(C4658="Técnico I",SUMIFS($D:$D,$A:$A,$A4658,$B:$B,"&lt;&gt;Patrícia Karla de Sousa Araújo",$B:$B,"&lt;&gt;Lorena Dias de Araujo",$B:$B,"&lt;&gt;Lucas Luiz Romero")*(23/1083),IF(C4658="JR",SUMIFS($D:$D,$A:$A,$A4658,$B:$B,"&lt;&gt;Patrícia Karla de Sousa Araújo",$B:$B,"&lt;&gt;Lorena Dias de Araujo",$B:$B,"&lt;&gt;Lucas Luiz Romero")*(20/1083),IF(C4658="Estágio",SUMIFS($D:$D,$A:$A,$A4658,$B:$B,"&lt;&gt;Patrícia Karla de Sousa Araújo",$B:$B,"&lt;&gt;Lorena Dias de Araujo",$B:$B,"&lt;&gt;Lucas Luiz Romero")*(10/1083),0)))))),0)</f>
        <v/>
      </c>
      <c r="K4658" s="3">
        <f>I4658-J4658</f>
        <v/>
      </c>
      <c r="L4658" s="3">
        <f>IF(K4658&lt;-5,"CRÍTICO",IF(K4658&lt;0,"ATENÇÃO",IF(K4658&lt;=5,"OPORTUNO","MUITO BOM")))</f>
        <v/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>
        <f>E4659+G4659+H4659</f>
        <v/>
      </c>
      <c r="J4659" s="3">
        <f>ROUND(MIN(IF(C4659="Técnico III",35,IF(C4659="Técnico II",28,IF(C4659="Técnico I",23,IF(C4659="JR",20,IF(C4659="Estágio",10,0))))),IF(C4659="Técnico III",SUMIFS($D:$D,$A:$A,$A4659,$B:$B,"&lt;&gt;Patrícia Karla de Sousa Araújo",$B:$B,"&lt;&gt;Lorena Dias de Araujo",$B:$B,"&lt;&gt;Lucas Luiz Romero")*(35/1083),IF(C4659="Técnico II",SUMIFS($D:$D,$A:$A,$A4659,$B:$B,"&lt;&gt;Patrícia Karla de Sousa Araújo",$B:$B,"&lt;&gt;Lorena Dias de Araujo",$B:$B,"&lt;&gt;Lucas Luiz Romero")*(28/1083),IF(C4659="Técnico I",SUMIFS($D:$D,$A:$A,$A4659,$B:$B,"&lt;&gt;Patrícia Karla de Sousa Araújo",$B:$B,"&lt;&gt;Lorena Dias de Araujo",$B:$B,"&lt;&gt;Lucas Luiz Romero")*(23/1083),IF(C4659="JR",SUMIFS($D:$D,$A:$A,$A4659,$B:$B,"&lt;&gt;Patrícia Karla de Sousa Araújo",$B:$B,"&lt;&gt;Lorena Dias de Araujo",$B:$B,"&lt;&gt;Lucas Luiz Romero")*(20/1083),IF(C4659="Estágio",SUMIFS($D:$D,$A:$A,$A4659,$B:$B,"&lt;&gt;Patrícia Karla de Sousa Araújo",$B:$B,"&lt;&gt;Lorena Dias de Araujo",$B:$B,"&lt;&gt;Lucas Luiz Romero")*(10/1083),0)))))),0)</f>
        <v/>
      </c>
      <c r="K4659" s="3">
        <f>I4659-J4659</f>
        <v/>
      </c>
      <c r="L4659" s="3">
        <f>IF(K4659&lt;-5,"CRÍTICO",IF(K4659&lt;0,"ATENÇÃO",IF(K4659&lt;=5,"OPORTUNO","MUITO BOM")))</f>
        <v/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>
        <f>E4660+G4660+H4660</f>
        <v/>
      </c>
      <c r="J4660" s="3">
        <f>ROUND(MIN(IF(C4660="Técnico III",35,IF(C4660="Técnico II",28,IF(C4660="Técnico I",23,IF(C4660="JR",20,IF(C4660="Estágio",10,0))))),IF(C4660="Técnico III",SUMIFS($D:$D,$A:$A,$A4660,$B:$B,"&lt;&gt;Patrícia Karla de Sousa Araújo",$B:$B,"&lt;&gt;Lorena Dias de Araujo",$B:$B,"&lt;&gt;Lucas Luiz Romero")*(35/1083),IF(C4660="Técnico II",SUMIFS($D:$D,$A:$A,$A4660,$B:$B,"&lt;&gt;Patrícia Karla de Sousa Araújo",$B:$B,"&lt;&gt;Lorena Dias de Araujo",$B:$B,"&lt;&gt;Lucas Luiz Romero")*(28/1083),IF(C4660="Técnico I",SUMIFS($D:$D,$A:$A,$A4660,$B:$B,"&lt;&gt;Patrícia Karla de Sousa Araújo",$B:$B,"&lt;&gt;Lorena Dias de Araujo",$B:$B,"&lt;&gt;Lucas Luiz Romero")*(23/1083),IF(C4660="JR",SUMIFS($D:$D,$A:$A,$A4660,$B:$B,"&lt;&gt;Patrícia Karla de Sousa Araújo",$B:$B,"&lt;&gt;Lorena Dias de Araujo",$B:$B,"&lt;&gt;Lucas Luiz Romero")*(20/1083),IF(C4660="Estágio",SUMIFS($D:$D,$A:$A,$A4660,$B:$B,"&lt;&gt;Patrícia Karla de Sousa Araújo",$B:$B,"&lt;&gt;Lorena Dias de Araujo",$B:$B,"&lt;&gt;Lucas Luiz Romero")*(10/1083),0)))))),0)</f>
        <v/>
      </c>
      <c r="K4660" s="3">
        <f>I4660-J4660</f>
        <v/>
      </c>
      <c r="L4660" s="3">
        <f>IF(K4660&lt;-5,"CRÍTICO",IF(K4660&lt;0,"ATENÇÃO",IF(K4660&lt;=5,"OPORTUNO","MUITO BOM")))</f>
        <v/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>
        <f>E4661+G4661+H4661</f>
        <v/>
      </c>
      <c r="J4661" s="3">
        <f>ROUND(MIN(IF(C4661="Técnico III",35,IF(C4661="Técnico II",28,IF(C4661="Técnico I",23,IF(C4661="JR",20,IF(C4661="Estágio",10,0))))),IF(C4661="Técnico III",SUMIFS($D:$D,$A:$A,$A4661,$B:$B,"&lt;&gt;Patrícia Karla de Sousa Araújo",$B:$B,"&lt;&gt;Lorena Dias de Araujo",$B:$B,"&lt;&gt;Lucas Luiz Romero")*(35/1083),IF(C4661="Técnico II",SUMIFS($D:$D,$A:$A,$A4661,$B:$B,"&lt;&gt;Patrícia Karla de Sousa Araújo",$B:$B,"&lt;&gt;Lorena Dias de Araujo",$B:$B,"&lt;&gt;Lucas Luiz Romero")*(28/1083),IF(C4661="Técnico I",SUMIFS($D:$D,$A:$A,$A4661,$B:$B,"&lt;&gt;Patrícia Karla de Sousa Araújo",$B:$B,"&lt;&gt;Lorena Dias de Araujo",$B:$B,"&lt;&gt;Lucas Luiz Romero")*(23/1083),IF(C4661="JR",SUMIFS($D:$D,$A:$A,$A4661,$B:$B,"&lt;&gt;Patrícia Karla de Sousa Araújo",$B:$B,"&lt;&gt;Lorena Dias de Araujo",$B:$B,"&lt;&gt;Lucas Luiz Romero")*(20/1083),IF(C4661="Estágio",SUMIFS($D:$D,$A:$A,$A4661,$B:$B,"&lt;&gt;Patrícia Karla de Sousa Araújo",$B:$B,"&lt;&gt;Lorena Dias de Araujo",$B:$B,"&lt;&gt;Lucas Luiz Romero")*(10/1083),0)))))),0)</f>
        <v/>
      </c>
      <c r="K4661" s="3">
        <f>I4661-J4661</f>
        <v/>
      </c>
      <c r="L4661" s="3">
        <f>IF(K4661&lt;-5,"CRÍTICO",IF(K4661&lt;0,"ATENÇÃO",IF(K4661&lt;=5,"OPORTUNO","MUITO BOM")))</f>
        <v/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>
        <f>E4662+G4662+H4662</f>
        <v/>
      </c>
      <c r="J4662" s="3">
        <f>ROUND(MIN(IF(C4662="Técnico III",35,IF(C4662="Técnico II",28,IF(C4662="Técnico I",23,IF(C4662="JR",20,IF(C4662="Estágio",10,0))))),IF(C4662="Técnico III",SUMIFS($D:$D,$A:$A,$A4662,$B:$B,"&lt;&gt;Patrícia Karla de Sousa Araújo",$B:$B,"&lt;&gt;Lorena Dias de Araujo",$B:$B,"&lt;&gt;Lucas Luiz Romero")*(35/1083),IF(C4662="Técnico II",SUMIFS($D:$D,$A:$A,$A4662,$B:$B,"&lt;&gt;Patrícia Karla de Sousa Araújo",$B:$B,"&lt;&gt;Lorena Dias de Araujo",$B:$B,"&lt;&gt;Lucas Luiz Romero")*(28/1083),IF(C4662="Técnico I",SUMIFS($D:$D,$A:$A,$A4662,$B:$B,"&lt;&gt;Patrícia Karla de Sousa Araújo",$B:$B,"&lt;&gt;Lorena Dias de Araujo",$B:$B,"&lt;&gt;Lucas Luiz Romero")*(23/1083),IF(C4662="JR",SUMIFS($D:$D,$A:$A,$A4662,$B:$B,"&lt;&gt;Patrícia Karla de Sousa Araújo",$B:$B,"&lt;&gt;Lorena Dias de Araujo",$B:$B,"&lt;&gt;Lucas Luiz Romero")*(20/1083),IF(C4662="Estágio",SUMIFS($D:$D,$A:$A,$A4662,$B:$B,"&lt;&gt;Patrícia Karla de Sousa Araújo",$B:$B,"&lt;&gt;Lorena Dias de Araujo",$B:$B,"&lt;&gt;Lucas Luiz Romero")*(10/1083),0)))))),0)</f>
        <v/>
      </c>
      <c r="K4662" s="3">
        <f>I4662-J4662</f>
        <v/>
      </c>
      <c r="L4662" s="3">
        <f>IF(K4662&lt;-5,"CRÍTICO",IF(K4662&lt;0,"ATENÇÃO",IF(K4662&lt;=5,"OPORTUNO","MUITO BOM")))</f>
        <v/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>
        <f>E4663+G4663+H4663</f>
        <v/>
      </c>
      <c r="J4663" s="3">
        <f>ROUND(MIN(IF(C4663="Técnico III",35,IF(C4663="Técnico II",28,IF(C4663="Técnico I",23,IF(C4663="JR",20,IF(C4663="Estágio",10,0))))),IF(C4663="Técnico III",SUMIFS($D:$D,$A:$A,$A4663,$B:$B,"&lt;&gt;Patrícia Karla de Sousa Araújo",$B:$B,"&lt;&gt;Lorena Dias de Araujo",$B:$B,"&lt;&gt;Lucas Luiz Romero")*(35/1083),IF(C4663="Técnico II",SUMIFS($D:$D,$A:$A,$A4663,$B:$B,"&lt;&gt;Patrícia Karla de Sousa Araújo",$B:$B,"&lt;&gt;Lorena Dias de Araujo",$B:$B,"&lt;&gt;Lucas Luiz Romero")*(28/1083),IF(C4663="Técnico I",SUMIFS($D:$D,$A:$A,$A4663,$B:$B,"&lt;&gt;Patrícia Karla de Sousa Araújo",$B:$B,"&lt;&gt;Lorena Dias de Araujo",$B:$B,"&lt;&gt;Lucas Luiz Romero")*(23/1083),IF(C4663="JR",SUMIFS($D:$D,$A:$A,$A4663,$B:$B,"&lt;&gt;Patrícia Karla de Sousa Araújo",$B:$B,"&lt;&gt;Lorena Dias de Araujo",$B:$B,"&lt;&gt;Lucas Luiz Romero")*(20/1083),IF(C4663="Estágio",SUMIFS($D:$D,$A:$A,$A4663,$B:$B,"&lt;&gt;Patrícia Karla de Sousa Araújo",$B:$B,"&lt;&gt;Lorena Dias de Araujo",$B:$B,"&lt;&gt;Lucas Luiz Romero")*(10/1083),0)))))),0)</f>
        <v/>
      </c>
      <c r="K4663" s="3">
        <f>I4663-J4663</f>
        <v/>
      </c>
      <c r="L4663" s="3">
        <f>IF(K4663&lt;-5,"CRÍTICO",IF(K4663&lt;0,"ATENÇÃO",IF(K4663&lt;=5,"OPORTUNO","MUITO BOM")))</f>
        <v/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>
        <f>E4664+G4664+H4664</f>
        <v/>
      </c>
      <c r="J4664" s="3">
        <f>ROUND(MIN(IF(C4664="Técnico III",35,IF(C4664="Técnico II",28,IF(C4664="Técnico I",23,IF(C4664="JR",20,IF(C4664="Estágio",10,0))))),IF(C4664="Técnico III",SUMIFS($D:$D,$A:$A,$A4664,$B:$B,"&lt;&gt;Patrícia Karla de Sousa Araújo",$B:$B,"&lt;&gt;Lorena Dias de Araujo",$B:$B,"&lt;&gt;Lucas Luiz Romero")*(35/1083),IF(C4664="Técnico II",SUMIFS($D:$D,$A:$A,$A4664,$B:$B,"&lt;&gt;Patrícia Karla de Sousa Araújo",$B:$B,"&lt;&gt;Lorena Dias de Araujo",$B:$B,"&lt;&gt;Lucas Luiz Romero")*(28/1083),IF(C4664="Técnico I",SUMIFS($D:$D,$A:$A,$A4664,$B:$B,"&lt;&gt;Patrícia Karla de Sousa Araújo",$B:$B,"&lt;&gt;Lorena Dias de Araujo",$B:$B,"&lt;&gt;Lucas Luiz Romero")*(23/1083),IF(C4664="JR",SUMIFS($D:$D,$A:$A,$A4664,$B:$B,"&lt;&gt;Patrícia Karla de Sousa Araújo",$B:$B,"&lt;&gt;Lorena Dias de Araujo",$B:$B,"&lt;&gt;Lucas Luiz Romero")*(20/1083),IF(C4664="Estágio",SUMIFS($D:$D,$A:$A,$A4664,$B:$B,"&lt;&gt;Patrícia Karla de Sousa Araújo",$B:$B,"&lt;&gt;Lorena Dias de Araujo",$B:$B,"&lt;&gt;Lucas Luiz Romero")*(10/1083),0)))))),0)</f>
        <v/>
      </c>
      <c r="K4664" s="3">
        <f>I4664-J4664</f>
        <v/>
      </c>
      <c r="L4664" s="3">
        <f>IF(K4664&lt;-5,"CRÍTICO",IF(K4664&lt;0,"ATENÇÃO",IF(K4664&lt;=5,"OPORTUNO","MUITO BOM")))</f>
        <v/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>
        <f>E4665+G4665+H4665</f>
        <v/>
      </c>
      <c r="J4665" s="3">
        <f>ROUND(MIN(IF(C4665="Técnico III",35,IF(C4665="Técnico II",28,IF(C4665="Técnico I",23,IF(C4665="JR",20,IF(C4665="Estágio",10,0))))),IF(C4665="Técnico III",SUMIFS($D:$D,$A:$A,$A4665,$B:$B,"&lt;&gt;Patrícia Karla de Sousa Araújo",$B:$B,"&lt;&gt;Lorena Dias de Araujo",$B:$B,"&lt;&gt;Lucas Luiz Romero")*(35/1083),IF(C4665="Técnico II",SUMIFS($D:$D,$A:$A,$A4665,$B:$B,"&lt;&gt;Patrícia Karla de Sousa Araújo",$B:$B,"&lt;&gt;Lorena Dias de Araujo",$B:$B,"&lt;&gt;Lucas Luiz Romero")*(28/1083),IF(C4665="Técnico I",SUMIFS($D:$D,$A:$A,$A4665,$B:$B,"&lt;&gt;Patrícia Karla de Sousa Araújo",$B:$B,"&lt;&gt;Lorena Dias de Araujo",$B:$B,"&lt;&gt;Lucas Luiz Romero")*(23/1083),IF(C4665="JR",SUMIFS($D:$D,$A:$A,$A4665,$B:$B,"&lt;&gt;Patrícia Karla de Sousa Araújo",$B:$B,"&lt;&gt;Lorena Dias de Araujo",$B:$B,"&lt;&gt;Lucas Luiz Romero")*(20/1083),IF(C4665="Estágio",SUMIFS($D:$D,$A:$A,$A4665,$B:$B,"&lt;&gt;Patrícia Karla de Sousa Araújo",$B:$B,"&lt;&gt;Lorena Dias de Araujo",$B:$B,"&lt;&gt;Lucas Luiz Romero")*(10/1083),0)))))),0)</f>
        <v/>
      </c>
      <c r="K4665" s="3">
        <f>I4665-J4665</f>
        <v/>
      </c>
      <c r="L4665" s="3">
        <f>IF(K4665&lt;-5,"CRÍTICO",IF(K4665&lt;0,"ATENÇÃO",IF(K4665&lt;=5,"OPORTUNO","MUITO BOM")))</f>
        <v/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>
        <f>E4666+G4666+H4666</f>
        <v/>
      </c>
      <c r="J4666" s="3">
        <f>ROUND(MIN(IF(C4666="Técnico III",35,IF(C4666="Técnico II",28,IF(C4666="Técnico I",23,IF(C4666="JR",20,IF(C4666="Estágio",10,0))))),IF(C4666="Técnico III",SUMIFS($D:$D,$A:$A,$A4666,$B:$B,"&lt;&gt;Patrícia Karla de Sousa Araújo",$B:$B,"&lt;&gt;Lorena Dias de Araujo",$B:$B,"&lt;&gt;Lucas Luiz Romero")*(35/1083),IF(C4666="Técnico II",SUMIFS($D:$D,$A:$A,$A4666,$B:$B,"&lt;&gt;Patrícia Karla de Sousa Araújo",$B:$B,"&lt;&gt;Lorena Dias de Araujo",$B:$B,"&lt;&gt;Lucas Luiz Romero")*(28/1083),IF(C4666="Técnico I",SUMIFS($D:$D,$A:$A,$A4666,$B:$B,"&lt;&gt;Patrícia Karla de Sousa Araújo",$B:$B,"&lt;&gt;Lorena Dias de Araujo",$B:$B,"&lt;&gt;Lucas Luiz Romero")*(23/1083),IF(C4666="JR",SUMIFS($D:$D,$A:$A,$A4666,$B:$B,"&lt;&gt;Patrícia Karla de Sousa Araújo",$B:$B,"&lt;&gt;Lorena Dias de Araujo",$B:$B,"&lt;&gt;Lucas Luiz Romero")*(20/1083),IF(C4666="Estágio",SUMIFS($D:$D,$A:$A,$A4666,$B:$B,"&lt;&gt;Patrícia Karla de Sousa Araújo",$B:$B,"&lt;&gt;Lorena Dias de Araujo",$B:$B,"&lt;&gt;Lucas Luiz Romero")*(10/1083),0)))))),0)</f>
        <v/>
      </c>
      <c r="K4666" s="3">
        <f>I4666-J4666</f>
        <v/>
      </c>
      <c r="L4666" s="3">
        <f>IF(K4666&lt;-5,"CRÍTICO",IF(K4666&lt;0,"ATENÇÃO",IF(K4666&lt;=5,"OPORTUNO","MUITO BOM")))</f>
        <v/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>
        <f>E4667+G4667+H4667</f>
        <v/>
      </c>
      <c r="J4667" s="3">
        <f>ROUND(MIN(IF(C4667="Técnico III",35,IF(C4667="Técnico II",28,IF(C4667="Técnico I",23,IF(C4667="JR",20,IF(C4667="Estágio",10,0))))),IF(C4667="Técnico III",SUMIFS($D:$D,$A:$A,$A4667,$B:$B,"&lt;&gt;Patrícia Karla de Sousa Araújo",$B:$B,"&lt;&gt;Lorena Dias de Araujo",$B:$B,"&lt;&gt;Lucas Luiz Romero")*(35/1083),IF(C4667="Técnico II",SUMIFS($D:$D,$A:$A,$A4667,$B:$B,"&lt;&gt;Patrícia Karla de Sousa Araújo",$B:$B,"&lt;&gt;Lorena Dias de Araujo",$B:$B,"&lt;&gt;Lucas Luiz Romero")*(28/1083),IF(C4667="Técnico I",SUMIFS($D:$D,$A:$A,$A4667,$B:$B,"&lt;&gt;Patrícia Karla de Sousa Araújo",$B:$B,"&lt;&gt;Lorena Dias de Araujo",$B:$B,"&lt;&gt;Lucas Luiz Romero")*(23/1083),IF(C4667="JR",SUMIFS($D:$D,$A:$A,$A4667,$B:$B,"&lt;&gt;Patrícia Karla de Sousa Araújo",$B:$B,"&lt;&gt;Lorena Dias de Araujo",$B:$B,"&lt;&gt;Lucas Luiz Romero")*(20/1083),IF(C4667="Estágio",SUMIFS($D:$D,$A:$A,$A4667,$B:$B,"&lt;&gt;Patrícia Karla de Sousa Araújo",$B:$B,"&lt;&gt;Lorena Dias de Araujo",$B:$B,"&lt;&gt;Lucas Luiz Romero")*(10/1083),0)))))),0)</f>
        <v/>
      </c>
      <c r="K4667" s="3">
        <f>I4667-J4667</f>
        <v/>
      </c>
      <c r="L4667" s="3">
        <f>IF(K4667&lt;-5,"CRÍTICO",IF(K4667&lt;0,"ATENÇÃO",IF(K4667&lt;=5,"OPORTUNO","MUITO BOM")))</f>
        <v/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>
        <f>E4668+G4668+H4668</f>
        <v/>
      </c>
      <c r="J4668" s="3">
        <f>ROUND(MIN(IF(C4668="Técnico III",35,IF(C4668="Técnico II",28,IF(C4668="Técnico I",23,IF(C4668="JR",20,IF(C4668="Estágio",10,0))))),IF(C4668="Técnico III",SUMIFS($D:$D,$A:$A,$A4668,$B:$B,"&lt;&gt;Patrícia Karla de Sousa Araújo",$B:$B,"&lt;&gt;Lorena Dias de Araujo",$B:$B,"&lt;&gt;Lucas Luiz Romero")*(35/1083),IF(C4668="Técnico II",SUMIFS($D:$D,$A:$A,$A4668,$B:$B,"&lt;&gt;Patrícia Karla de Sousa Araújo",$B:$B,"&lt;&gt;Lorena Dias de Araujo",$B:$B,"&lt;&gt;Lucas Luiz Romero")*(28/1083),IF(C4668="Técnico I",SUMIFS($D:$D,$A:$A,$A4668,$B:$B,"&lt;&gt;Patrícia Karla de Sousa Araújo",$B:$B,"&lt;&gt;Lorena Dias de Araujo",$B:$B,"&lt;&gt;Lucas Luiz Romero")*(23/1083),IF(C4668="JR",SUMIFS($D:$D,$A:$A,$A4668,$B:$B,"&lt;&gt;Patrícia Karla de Sousa Araújo",$B:$B,"&lt;&gt;Lorena Dias de Araujo",$B:$B,"&lt;&gt;Lucas Luiz Romero")*(20/1083),IF(C4668="Estágio",SUMIFS($D:$D,$A:$A,$A4668,$B:$B,"&lt;&gt;Patrícia Karla de Sousa Araújo",$B:$B,"&lt;&gt;Lorena Dias de Araujo",$B:$B,"&lt;&gt;Lucas Luiz Romero")*(10/1083),0)))))),0)</f>
        <v/>
      </c>
      <c r="K4668" s="3">
        <f>I4668-J4668</f>
        <v/>
      </c>
      <c r="L4668" s="3">
        <f>IF(K4668&lt;-5,"CRÍTICO",IF(K4668&lt;0,"ATENÇÃO",IF(K4668&lt;=5,"OPORTUNO","MUITO BOM")))</f>
        <v/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>
        <f>IF(K4669&lt;-5,"CRÍTICO",IF(K4669&lt;0,"ATENÇÃO",IF(K4669&lt;=5,"OPORTUNO","MUITO BOM")))</f>
        <v/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>
        <f>E4670+G4670+H4670</f>
        <v/>
      </c>
      <c r="J4670" s="3">
        <f>ROUND(MIN(IF(C4670="Técnico III",35,IF(C4670="Técnico II",28,IF(C4670="Técnico I",23,IF(C4670="JR",20,IF(C4670="Estágio",10,0))))),IF(C4670="Técnico III",SUMIFS($D:$D,$A:$A,$A4670,$B:$B,"&lt;&gt;Patrícia Karla de Sousa Araújo",$B:$B,"&lt;&gt;Lorena Dias de Araujo",$B:$B,"&lt;&gt;Lucas Luiz Romero")*(35/1083),IF(C4670="Técnico II",SUMIFS($D:$D,$A:$A,$A4670,$B:$B,"&lt;&gt;Patrícia Karla de Sousa Araújo",$B:$B,"&lt;&gt;Lorena Dias de Araujo",$B:$B,"&lt;&gt;Lucas Luiz Romero")*(28/1083),IF(C4670="Técnico I",SUMIFS($D:$D,$A:$A,$A4670,$B:$B,"&lt;&gt;Patrícia Karla de Sousa Araújo",$B:$B,"&lt;&gt;Lorena Dias de Araujo",$B:$B,"&lt;&gt;Lucas Luiz Romero")*(23/1083),IF(C4670="JR",SUMIFS($D:$D,$A:$A,$A4670,$B:$B,"&lt;&gt;Patrícia Karla de Sousa Araújo",$B:$B,"&lt;&gt;Lorena Dias de Araujo",$B:$B,"&lt;&gt;Lucas Luiz Romero")*(20/1083),IF(C4670="Estágio",SUMIFS($D:$D,$A:$A,$A4670,$B:$B,"&lt;&gt;Patrícia Karla de Sousa Araújo",$B:$B,"&lt;&gt;Lorena Dias de Araujo",$B:$B,"&lt;&gt;Lucas Luiz Romero")*(10/1083),0)))))),0)</f>
        <v/>
      </c>
      <c r="K4670" s="3">
        <f>I4670-J4670</f>
        <v/>
      </c>
      <c r="L4670" s="3">
        <f>IF(K4670&lt;-5,"CRÍTICO",IF(K4670&lt;0,"ATENÇÃO",IF(K4670&lt;=5,"OPORTUNO","MUITO BOM")))</f>
        <v/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>
        <f>E4671+G4671+H4671</f>
        <v/>
      </c>
      <c r="J4671" s="3">
        <f>ROUND(MIN(IF(C4671="Técnico III",35,IF(C4671="Técnico II",28,IF(C4671="Técnico I",23,IF(C4671="JR",20,IF(C4671="Estágio",10,0))))),IF(C4671="Técnico III",SUMIFS($D:$D,$A:$A,$A4671,$B:$B,"&lt;&gt;Patrícia Karla de Sousa Araújo",$B:$B,"&lt;&gt;Lorena Dias de Araujo",$B:$B,"&lt;&gt;Lucas Luiz Romero")*(35/1083),IF(C4671="Técnico II",SUMIFS($D:$D,$A:$A,$A4671,$B:$B,"&lt;&gt;Patrícia Karla de Sousa Araújo",$B:$B,"&lt;&gt;Lorena Dias de Araujo",$B:$B,"&lt;&gt;Lucas Luiz Romero")*(28/1083),IF(C4671="Técnico I",SUMIFS($D:$D,$A:$A,$A4671,$B:$B,"&lt;&gt;Patrícia Karla de Sousa Araújo",$B:$B,"&lt;&gt;Lorena Dias de Araujo",$B:$B,"&lt;&gt;Lucas Luiz Romero")*(23/1083),IF(C4671="JR",SUMIFS($D:$D,$A:$A,$A4671,$B:$B,"&lt;&gt;Patrícia Karla de Sousa Araújo",$B:$B,"&lt;&gt;Lorena Dias de Araujo",$B:$B,"&lt;&gt;Lucas Luiz Romero")*(20/1083),IF(C4671="Estágio",SUMIFS($D:$D,$A:$A,$A4671,$B:$B,"&lt;&gt;Patrícia Karla de Sousa Araújo",$B:$B,"&lt;&gt;Lorena Dias de Araujo",$B:$B,"&lt;&gt;Lucas Luiz Romero")*(10/1083),0)))))),0)</f>
        <v/>
      </c>
      <c r="K4671" s="3">
        <f>I4671-J4671</f>
        <v/>
      </c>
      <c r="L4671" s="3">
        <f>IF(K4671&lt;-5,"CRÍTICO",IF(K4671&lt;0,"ATENÇÃO",IF(K4671&lt;=5,"OPORTUNO","MUITO BOM")))</f>
        <v/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>
        <f>E4672+G4672+H4672</f>
        <v/>
      </c>
      <c r="J4672" s="3">
        <f>ROUND(MIN(IF(C4672="Técnico III",35,IF(C4672="Técnico II",28,IF(C4672="Técnico I",23,IF(C4672="JR",20,IF(C4672="Estágio",10,0))))),IF(C4672="Técnico III",SUMIFS($D:$D,$A:$A,$A4672,$B:$B,"&lt;&gt;Patrícia Karla de Sousa Araújo",$B:$B,"&lt;&gt;Lorena Dias de Araujo",$B:$B,"&lt;&gt;Lucas Luiz Romero")*(35/1083),IF(C4672="Técnico II",SUMIFS($D:$D,$A:$A,$A4672,$B:$B,"&lt;&gt;Patrícia Karla de Sousa Araújo",$B:$B,"&lt;&gt;Lorena Dias de Araujo",$B:$B,"&lt;&gt;Lucas Luiz Romero")*(28/1083),IF(C4672="Técnico I",SUMIFS($D:$D,$A:$A,$A4672,$B:$B,"&lt;&gt;Patrícia Karla de Sousa Araújo",$B:$B,"&lt;&gt;Lorena Dias de Araujo",$B:$B,"&lt;&gt;Lucas Luiz Romero")*(23/1083),IF(C4672="JR",SUMIFS($D:$D,$A:$A,$A4672,$B:$B,"&lt;&gt;Patrícia Karla de Sousa Araújo",$B:$B,"&lt;&gt;Lorena Dias de Araujo",$B:$B,"&lt;&gt;Lucas Luiz Romero")*(20/1083),IF(C4672="Estágio",SUMIFS($D:$D,$A:$A,$A4672,$B:$B,"&lt;&gt;Patrícia Karla de Sousa Araújo",$B:$B,"&lt;&gt;Lorena Dias de Araujo",$B:$B,"&lt;&gt;Lucas Luiz Romero")*(10/1083),0)))))),0)</f>
        <v/>
      </c>
      <c r="K4672" s="3">
        <f>I4672-J4672</f>
        <v/>
      </c>
      <c r="L4672" s="3">
        <f>IF(K4672&lt;-5,"CRÍTICO",IF(K4672&lt;0,"ATENÇÃO",IF(K4672&lt;=5,"OPORTUNO","MUITO BOM")))</f>
        <v/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>
        <f>E4673+G4673+H4673</f>
        <v/>
      </c>
      <c r="J4673" s="3">
        <f>ROUND(MIN(IF(C4673="Técnico III",35,IF(C4673="Técnico II",28,IF(C4673="Técnico I",23,IF(C4673="JR",20,IF(C4673="Estágio",10,0))))),IF(C4673="Técnico III",SUMIFS($D:$D,$A:$A,$A4673,$B:$B,"&lt;&gt;Patrícia Karla de Sousa Araújo",$B:$B,"&lt;&gt;Lorena Dias de Araujo",$B:$B,"&lt;&gt;Lucas Luiz Romero")*(35/1083),IF(C4673="Técnico II",SUMIFS($D:$D,$A:$A,$A4673,$B:$B,"&lt;&gt;Patrícia Karla de Sousa Araújo",$B:$B,"&lt;&gt;Lorena Dias de Araujo",$B:$B,"&lt;&gt;Lucas Luiz Romero")*(28/1083),IF(C4673="Técnico I",SUMIFS($D:$D,$A:$A,$A4673,$B:$B,"&lt;&gt;Patrícia Karla de Sousa Araújo",$B:$B,"&lt;&gt;Lorena Dias de Araujo",$B:$B,"&lt;&gt;Lucas Luiz Romero")*(23/1083),IF(C4673="JR",SUMIFS($D:$D,$A:$A,$A4673,$B:$B,"&lt;&gt;Patrícia Karla de Sousa Araújo",$B:$B,"&lt;&gt;Lorena Dias de Araujo",$B:$B,"&lt;&gt;Lucas Luiz Romero")*(20/1083),IF(C4673="Estágio",SUMIFS($D:$D,$A:$A,$A4673,$B:$B,"&lt;&gt;Patrícia Karla de Sousa Araújo",$B:$B,"&lt;&gt;Lorena Dias de Araujo",$B:$B,"&lt;&gt;Lucas Luiz Romero")*(10/1083),0)))))),0)</f>
        <v/>
      </c>
      <c r="K4673" s="3">
        <f>I4673-J4673</f>
        <v/>
      </c>
      <c r="L4673" s="3">
        <f>IF(K4673&lt;-5,"CRÍTICO",IF(K4673&lt;0,"ATENÇÃO",IF(K4673&lt;=5,"OPORTUNO","MUITO BOM")))</f>
        <v/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>
        <f>E4674+G4674+H4674</f>
        <v/>
      </c>
      <c r="J4674" s="3">
        <f>ROUND(MIN(IF(C4674="Técnico III",35,IF(C4674="Técnico II",28,IF(C4674="Técnico I",23,IF(C4674="JR",20,IF(C4674="Estágio",10,0))))),IF(C4674="Técnico III",SUMIFS($D:$D,$A:$A,$A4674,$B:$B,"&lt;&gt;Patrícia Karla de Sousa Araújo",$B:$B,"&lt;&gt;Lorena Dias de Araujo",$B:$B,"&lt;&gt;Lucas Luiz Romero")*(35/1083),IF(C4674="Técnico II",SUMIFS($D:$D,$A:$A,$A4674,$B:$B,"&lt;&gt;Patrícia Karla de Sousa Araújo",$B:$B,"&lt;&gt;Lorena Dias de Araujo",$B:$B,"&lt;&gt;Lucas Luiz Romero")*(28/1083),IF(C4674="Técnico I",SUMIFS($D:$D,$A:$A,$A4674,$B:$B,"&lt;&gt;Patrícia Karla de Sousa Araújo",$B:$B,"&lt;&gt;Lorena Dias de Araujo",$B:$B,"&lt;&gt;Lucas Luiz Romero")*(23/1083),IF(C4674="JR",SUMIFS($D:$D,$A:$A,$A4674,$B:$B,"&lt;&gt;Patrícia Karla de Sousa Araújo",$B:$B,"&lt;&gt;Lorena Dias de Araujo",$B:$B,"&lt;&gt;Lucas Luiz Romero")*(20/1083),IF(C4674="Estágio",SUMIFS($D:$D,$A:$A,$A4674,$B:$B,"&lt;&gt;Patrícia Karla de Sousa Araújo",$B:$B,"&lt;&gt;Lorena Dias de Araujo",$B:$B,"&lt;&gt;Lucas Luiz Romero")*(10/1083),0)))))),0)</f>
        <v/>
      </c>
      <c r="K4674" s="3">
        <f>I4674-J4674</f>
        <v/>
      </c>
      <c r="L4674" s="3">
        <f>IF(K4674&lt;-5,"CRÍTICO",IF(K4674&lt;0,"ATENÇÃO",IF(K4674&lt;=5,"OPORTUNO","MUITO BOM")))</f>
        <v/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>
        <f>E4675+G4675+H4675</f>
        <v/>
      </c>
      <c r="J4675" s="3">
        <f>ROUND(MIN(IF(C4675="Técnico III",35,IF(C4675="Técnico II",28,IF(C4675="Técnico I",23,IF(C4675="JR",20,IF(C4675="Estágio",10,0))))),IF(C4675="Técnico III",SUMIFS($D:$D,$A:$A,$A4675,$B:$B,"&lt;&gt;Patrícia Karla de Sousa Araújo",$B:$B,"&lt;&gt;Lorena Dias de Araujo",$B:$B,"&lt;&gt;Lucas Luiz Romero")*(35/1083),IF(C4675="Técnico II",SUMIFS($D:$D,$A:$A,$A4675,$B:$B,"&lt;&gt;Patrícia Karla de Sousa Araújo",$B:$B,"&lt;&gt;Lorena Dias de Araujo",$B:$B,"&lt;&gt;Lucas Luiz Romero")*(28/1083),IF(C4675="Técnico I",SUMIFS($D:$D,$A:$A,$A4675,$B:$B,"&lt;&gt;Patrícia Karla de Sousa Araújo",$B:$B,"&lt;&gt;Lorena Dias de Araujo",$B:$B,"&lt;&gt;Lucas Luiz Romero")*(23/1083),IF(C4675="JR",SUMIFS($D:$D,$A:$A,$A4675,$B:$B,"&lt;&gt;Patrícia Karla de Sousa Araújo",$B:$B,"&lt;&gt;Lorena Dias de Araujo",$B:$B,"&lt;&gt;Lucas Luiz Romero")*(20/1083),IF(C4675="Estágio",SUMIFS($D:$D,$A:$A,$A4675,$B:$B,"&lt;&gt;Patrícia Karla de Sousa Araújo",$B:$B,"&lt;&gt;Lorena Dias de Araujo",$B:$B,"&lt;&gt;Lucas Luiz Romero")*(10/1083),0)))))),0)</f>
        <v/>
      </c>
      <c r="K4675" s="3">
        <f>I4675-J4675</f>
        <v/>
      </c>
      <c r="L4675" s="3">
        <f>IF(K4675&lt;-5,"CRÍTICO",IF(K4675&lt;0,"ATENÇÃO",IF(K4675&lt;=5,"OPORTUNO","MUITO BOM")))</f>
        <v/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>
        <f>IF(K4676&lt;-5,"CRÍTICO",IF(K4676&lt;0,"ATENÇÃO",IF(K4676&lt;=5,"OPORTUNO","MUITO BOM")))</f>
        <v/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>
        <f>E4677+G4677+H4677</f>
        <v/>
      </c>
      <c r="J4677" s="3">
        <f>ROUND(MIN(IF(C4677="Técnico III",35,IF(C4677="Técnico II",28,IF(C4677="Técnico I",23,IF(C4677="JR",20,IF(C4677="Estágio",10,0))))),IF(C4677="Técnico III",SUMIFS($D:$D,$A:$A,$A4677,$B:$B,"&lt;&gt;Patrícia Karla de Sousa Araújo",$B:$B,"&lt;&gt;Lorena Dias de Araujo",$B:$B,"&lt;&gt;Lucas Luiz Romero")*(35/1083),IF(C4677="Técnico II",SUMIFS($D:$D,$A:$A,$A4677,$B:$B,"&lt;&gt;Patrícia Karla de Sousa Araújo",$B:$B,"&lt;&gt;Lorena Dias de Araujo",$B:$B,"&lt;&gt;Lucas Luiz Romero")*(28/1083),IF(C4677="Técnico I",SUMIFS($D:$D,$A:$A,$A4677,$B:$B,"&lt;&gt;Patrícia Karla de Sousa Araújo",$B:$B,"&lt;&gt;Lorena Dias de Araujo",$B:$B,"&lt;&gt;Lucas Luiz Romero")*(23/1083),IF(C4677="JR",SUMIFS($D:$D,$A:$A,$A4677,$B:$B,"&lt;&gt;Patrícia Karla de Sousa Araújo",$B:$B,"&lt;&gt;Lorena Dias de Araujo",$B:$B,"&lt;&gt;Lucas Luiz Romero")*(20/1083),IF(C4677="Estágio",SUMIFS($D:$D,$A:$A,$A4677,$B:$B,"&lt;&gt;Patrícia Karla de Sousa Araújo",$B:$B,"&lt;&gt;Lorena Dias de Araujo",$B:$B,"&lt;&gt;Lucas Luiz Romero")*(10/1083),0)))))),0)</f>
        <v/>
      </c>
      <c r="K4677" s="3">
        <f>I4677-J4677</f>
        <v/>
      </c>
      <c r="L4677" s="3">
        <f>IF(K4677&lt;-5,"CRÍTICO",IF(K4677&lt;0,"ATENÇÃO",IF(K4677&lt;=5,"OPORTUNO","MUITO BOM")))</f>
        <v/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>
        <f>IF(K4678&lt;-5,"CRÍTICO",IF(K4678&lt;0,"ATENÇÃO",IF(K4678&lt;=5,"OPORTUNO","MUITO BOM")))</f>
        <v/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>
        <f>E4679+G4679+H4679</f>
        <v/>
      </c>
      <c r="J4679" s="3">
        <f>ROUND(MIN(IF(C4679="Técnico III",35,IF(C4679="Técnico II",28,IF(C4679="Técnico I",23,IF(C4679="JR",20,IF(C4679="Estágio",10,0))))),IF(C4679="Técnico III",SUMIFS($D:$D,$A:$A,$A4679,$B:$B,"&lt;&gt;Patrícia Karla de Sousa Araújo",$B:$B,"&lt;&gt;Lorena Dias de Araujo",$B:$B,"&lt;&gt;Lucas Luiz Romero")*(35/1083),IF(C4679="Técnico II",SUMIFS($D:$D,$A:$A,$A4679,$B:$B,"&lt;&gt;Patrícia Karla de Sousa Araújo",$B:$B,"&lt;&gt;Lorena Dias de Araujo",$B:$B,"&lt;&gt;Lucas Luiz Romero")*(28/1083),IF(C4679="Técnico I",SUMIFS($D:$D,$A:$A,$A4679,$B:$B,"&lt;&gt;Patrícia Karla de Sousa Araújo",$B:$B,"&lt;&gt;Lorena Dias de Araujo",$B:$B,"&lt;&gt;Lucas Luiz Romero")*(23/1083),IF(C4679="JR",SUMIFS($D:$D,$A:$A,$A4679,$B:$B,"&lt;&gt;Patrícia Karla de Sousa Araújo",$B:$B,"&lt;&gt;Lorena Dias de Araujo",$B:$B,"&lt;&gt;Lucas Luiz Romero")*(20/1083),IF(C4679="Estágio",SUMIFS($D:$D,$A:$A,$A4679,$B:$B,"&lt;&gt;Patrícia Karla de Sousa Araújo",$B:$B,"&lt;&gt;Lorena Dias de Araujo",$B:$B,"&lt;&gt;Lucas Luiz Romero")*(10/1083),0)))))),0)</f>
        <v/>
      </c>
      <c r="K4679" s="3">
        <f>I4679-J4679</f>
        <v/>
      </c>
      <c r="L4679" s="3">
        <f>IF(K4679&lt;-5,"CRÍTICO",IF(K4679&lt;0,"ATENÇÃO",IF(K4679&lt;=5,"OPORTUNO","MUITO BOM")))</f>
        <v/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>
        <f>E4680+G4680+H4680</f>
        <v/>
      </c>
      <c r="J4680" s="3">
        <f>ROUND(MIN(IF(C4680="Técnico III",35,IF(C4680="Técnico II",28,IF(C4680="Técnico I",23,IF(C4680="JR",20,IF(C4680="Estágio",10,0))))),IF(C4680="Técnico III",SUMIFS($D:$D,$A:$A,$A4680,$B:$B,"&lt;&gt;Patrícia Karla de Sousa Araújo",$B:$B,"&lt;&gt;Lorena Dias de Araujo",$B:$B,"&lt;&gt;Lucas Luiz Romero")*(35/1083),IF(C4680="Técnico II",SUMIFS($D:$D,$A:$A,$A4680,$B:$B,"&lt;&gt;Patrícia Karla de Sousa Araújo",$B:$B,"&lt;&gt;Lorena Dias de Araujo",$B:$B,"&lt;&gt;Lucas Luiz Romero")*(28/1083),IF(C4680="Técnico I",SUMIFS($D:$D,$A:$A,$A4680,$B:$B,"&lt;&gt;Patrícia Karla de Sousa Araújo",$B:$B,"&lt;&gt;Lorena Dias de Araujo",$B:$B,"&lt;&gt;Lucas Luiz Romero")*(23/1083),IF(C4680="JR",SUMIFS($D:$D,$A:$A,$A4680,$B:$B,"&lt;&gt;Patrícia Karla de Sousa Araújo",$B:$B,"&lt;&gt;Lorena Dias de Araujo",$B:$B,"&lt;&gt;Lucas Luiz Romero")*(20/1083),IF(C4680="Estágio",SUMIFS($D:$D,$A:$A,$A4680,$B:$B,"&lt;&gt;Patrícia Karla de Sousa Araújo",$B:$B,"&lt;&gt;Lorena Dias de Araujo",$B:$B,"&lt;&gt;Lucas Luiz Romero")*(10/1083),0)))))),0)</f>
        <v/>
      </c>
      <c r="K4680" s="3">
        <f>I4680-J4680</f>
        <v/>
      </c>
      <c r="L4680" s="3">
        <f>IF(K4680&lt;-5,"CRÍTICO",IF(K4680&lt;0,"ATENÇÃO",IF(K4680&lt;=5,"OPORTUNO","MUITO BOM")))</f>
        <v/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>
        <f>IF(K4681&lt;-5,"CRÍTICO",IF(K4681&lt;0,"ATENÇÃO",IF(K4681&lt;=5,"OPORTUNO","MUITO BOM")))</f>
        <v/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>
        <f>E4682+G4682+H4682</f>
        <v/>
      </c>
      <c r="J4682" s="3">
        <f>ROUND(MIN(IF(C4682="Técnico III",35,IF(C4682="Técnico II",28,IF(C4682="Técnico I",23,IF(C4682="JR",20,IF(C4682="Estágio",10,0))))),IF(C4682="Técnico III",SUMIFS($D:$D,$A:$A,$A4682,$B:$B,"&lt;&gt;Patrícia Karla de Sousa Araújo",$B:$B,"&lt;&gt;Lorena Dias de Araujo",$B:$B,"&lt;&gt;Lucas Luiz Romero")*(35/1083),IF(C4682="Técnico II",SUMIFS($D:$D,$A:$A,$A4682,$B:$B,"&lt;&gt;Patrícia Karla de Sousa Araújo",$B:$B,"&lt;&gt;Lorena Dias de Araujo",$B:$B,"&lt;&gt;Lucas Luiz Romero")*(28/1083),IF(C4682="Técnico I",SUMIFS($D:$D,$A:$A,$A4682,$B:$B,"&lt;&gt;Patrícia Karla de Sousa Araújo",$B:$B,"&lt;&gt;Lorena Dias de Araujo",$B:$B,"&lt;&gt;Lucas Luiz Romero")*(23/1083),IF(C4682="JR",SUMIFS($D:$D,$A:$A,$A4682,$B:$B,"&lt;&gt;Patrícia Karla de Sousa Araújo",$B:$B,"&lt;&gt;Lorena Dias de Araujo",$B:$B,"&lt;&gt;Lucas Luiz Romero")*(20/1083),IF(C4682="Estágio",SUMIFS($D:$D,$A:$A,$A4682,$B:$B,"&lt;&gt;Patrícia Karla de Sousa Araújo",$B:$B,"&lt;&gt;Lorena Dias de Araujo",$B:$B,"&lt;&gt;Lucas Luiz Romero")*(10/1083),0)))))),0)</f>
        <v/>
      </c>
      <c r="K4682" s="3">
        <f>I4682-J4682</f>
        <v/>
      </c>
      <c r="L4682" s="3">
        <f>IF(K4682&lt;-5,"CRÍTICO",IF(K4682&lt;0,"ATENÇÃO",IF(K4682&lt;=5,"OPORTUNO","MUITO BOM")))</f>
        <v/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>
        <f>E4683+G4683+H4683</f>
        <v/>
      </c>
      <c r="J4683" s="3">
        <f>ROUND(MIN(IF(C4683="Técnico III",35,IF(C4683="Técnico II",28,IF(C4683="Técnico I",23,IF(C4683="JR",20,IF(C4683="Estágio",10,0))))),IF(C4683="Técnico III",SUMIFS($D:$D,$A:$A,$A4683,$B:$B,"&lt;&gt;Patrícia Karla de Sousa Araújo",$B:$B,"&lt;&gt;Lorena Dias de Araujo",$B:$B,"&lt;&gt;Lucas Luiz Romero")*(35/1083),IF(C4683="Técnico II",SUMIFS($D:$D,$A:$A,$A4683,$B:$B,"&lt;&gt;Patrícia Karla de Sousa Araújo",$B:$B,"&lt;&gt;Lorena Dias de Araujo",$B:$B,"&lt;&gt;Lucas Luiz Romero")*(28/1083),IF(C4683="Técnico I",SUMIFS($D:$D,$A:$A,$A4683,$B:$B,"&lt;&gt;Patrícia Karla de Sousa Araújo",$B:$B,"&lt;&gt;Lorena Dias de Araujo",$B:$B,"&lt;&gt;Lucas Luiz Romero")*(23/1083),IF(C4683="JR",SUMIFS($D:$D,$A:$A,$A4683,$B:$B,"&lt;&gt;Patrícia Karla de Sousa Araújo",$B:$B,"&lt;&gt;Lorena Dias de Araujo",$B:$B,"&lt;&gt;Lucas Luiz Romero")*(20/1083),IF(C4683="Estágio",SUMIFS($D:$D,$A:$A,$A4683,$B:$B,"&lt;&gt;Patrícia Karla de Sousa Araújo",$B:$B,"&lt;&gt;Lorena Dias de Araujo",$B:$B,"&lt;&gt;Lucas Luiz Romero")*(10/1083),0)))))),0)</f>
        <v/>
      </c>
      <c r="K4683" s="3">
        <f>I4683-J4683</f>
        <v/>
      </c>
      <c r="L4683" s="3">
        <f>IF(K4683&lt;-5,"CRÍTICO",IF(K4683&lt;0,"ATENÇÃO",IF(K4683&lt;=5,"OPORTUNO","MUITO BOM")))</f>
        <v/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>
        <f>E4684+G4684+H4684</f>
        <v/>
      </c>
      <c r="J4684" s="3">
        <f>ROUND(MIN(IF(C4684="Técnico III",35,IF(C4684="Técnico II",28,IF(C4684="Técnico I",23,IF(C4684="JR",20,IF(C4684="Estágio",10,0))))),IF(C4684="Técnico III",SUMIFS($D:$D,$A:$A,$A4684,$B:$B,"&lt;&gt;Patrícia Karla de Sousa Araújo",$B:$B,"&lt;&gt;Lorena Dias de Araujo",$B:$B,"&lt;&gt;Lucas Luiz Romero")*(35/1083),IF(C4684="Técnico II",SUMIFS($D:$D,$A:$A,$A4684,$B:$B,"&lt;&gt;Patrícia Karla de Sousa Araújo",$B:$B,"&lt;&gt;Lorena Dias de Araujo",$B:$B,"&lt;&gt;Lucas Luiz Romero")*(28/1083),IF(C4684="Técnico I",SUMIFS($D:$D,$A:$A,$A4684,$B:$B,"&lt;&gt;Patrícia Karla de Sousa Araújo",$B:$B,"&lt;&gt;Lorena Dias de Araujo",$B:$B,"&lt;&gt;Lucas Luiz Romero")*(23/1083),IF(C4684="JR",SUMIFS($D:$D,$A:$A,$A4684,$B:$B,"&lt;&gt;Patrícia Karla de Sousa Araújo",$B:$B,"&lt;&gt;Lorena Dias de Araujo",$B:$B,"&lt;&gt;Lucas Luiz Romero")*(20/1083),IF(C4684="Estágio",SUMIFS($D:$D,$A:$A,$A4684,$B:$B,"&lt;&gt;Patrícia Karla de Sousa Araújo",$B:$B,"&lt;&gt;Lorena Dias de Araujo",$B:$B,"&lt;&gt;Lucas Luiz Romero")*(10/1083),0)))))),0)</f>
        <v/>
      </c>
      <c r="K4684" s="3">
        <f>I4684-J4684</f>
        <v/>
      </c>
      <c r="L4684" s="3">
        <f>IF(K4684&lt;-5,"CRÍTICO",IF(K4684&lt;0,"ATENÇÃO",IF(K4684&lt;=5,"OPORTUNO","MUITO BOM")))</f>
        <v/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>
        <f>E4685+G4685+H4685</f>
        <v/>
      </c>
      <c r="J4685" s="3">
        <f>ROUND(MIN(IF(C4685="Técnico III",35,IF(C4685="Técnico II",28,IF(C4685="Técnico I",23,IF(C4685="JR",20,IF(C4685="Estágio",10,0))))),IF(C4685="Técnico III",SUMIFS($D:$D,$A:$A,$A4685,$B:$B,"&lt;&gt;Patrícia Karla de Sousa Araújo",$B:$B,"&lt;&gt;Lorena Dias de Araujo",$B:$B,"&lt;&gt;Lucas Luiz Romero")*(35/1083),IF(C4685="Técnico II",SUMIFS($D:$D,$A:$A,$A4685,$B:$B,"&lt;&gt;Patrícia Karla de Sousa Araújo",$B:$B,"&lt;&gt;Lorena Dias de Araujo",$B:$B,"&lt;&gt;Lucas Luiz Romero")*(28/1083),IF(C4685="Técnico I",SUMIFS($D:$D,$A:$A,$A4685,$B:$B,"&lt;&gt;Patrícia Karla de Sousa Araújo",$B:$B,"&lt;&gt;Lorena Dias de Araujo",$B:$B,"&lt;&gt;Lucas Luiz Romero")*(23/1083),IF(C4685="JR",SUMIFS($D:$D,$A:$A,$A4685,$B:$B,"&lt;&gt;Patrícia Karla de Sousa Araújo",$B:$B,"&lt;&gt;Lorena Dias de Araujo",$B:$B,"&lt;&gt;Lucas Luiz Romero")*(20/1083),IF(C4685="Estágio",SUMIFS($D:$D,$A:$A,$A4685,$B:$B,"&lt;&gt;Patrícia Karla de Sousa Araújo",$B:$B,"&lt;&gt;Lorena Dias de Araujo",$B:$B,"&lt;&gt;Lucas Luiz Romero")*(10/1083),0)))))),0)</f>
        <v/>
      </c>
      <c r="K4685" s="3">
        <f>I4685-J4685</f>
        <v/>
      </c>
      <c r="L4685" s="3">
        <f>IF(K4685&lt;-5,"CRÍTICO",IF(K4685&lt;0,"ATENÇÃO",IF(K4685&lt;=5,"OPORTUNO","MUITO BOM")))</f>
        <v/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>
        <f>IF(K4686&lt;-5,"CRÍTICO",IF(K4686&lt;0,"ATENÇÃO",IF(K4686&lt;=5,"OPORTUNO","MUITO BOM")))</f>
        <v/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>
        <f>IF(K4687&lt;-5,"CRÍTICO",IF(K4687&lt;0,"ATENÇÃO",IF(K4687&lt;=5,"OPORTUNO","MUITO BOM")))</f>
        <v/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>
        <f>E4688+G4688+H4688</f>
        <v/>
      </c>
      <c r="J4688" s="3">
        <f>ROUND(MIN(IF(C4688="Técnico III",35,IF(C4688="Técnico II",28,IF(C4688="Técnico I",23,IF(C4688="JR",20,IF(C4688="Estágio",10,0))))),IF(C4688="Técnico III",SUMIFS($D:$D,$A:$A,$A4688,$B:$B,"&lt;&gt;Patrícia Karla de Sousa Araújo",$B:$B,"&lt;&gt;Lorena Dias de Araujo",$B:$B,"&lt;&gt;Lucas Luiz Romero")*(35/1083),IF(C4688="Técnico II",SUMIFS($D:$D,$A:$A,$A4688,$B:$B,"&lt;&gt;Patrícia Karla de Sousa Araújo",$B:$B,"&lt;&gt;Lorena Dias de Araujo",$B:$B,"&lt;&gt;Lucas Luiz Romero")*(28/1083),IF(C4688="Técnico I",SUMIFS($D:$D,$A:$A,$A4688,$B:$B,"&lt;&gt;Patrícia Karla de Sousa Araújo",$B:$B,"&lt;&gt;Lorena Dias de Araujo",$B:$B,"&lt;&gt;Lucas Luiz Romero")*(23/1083),IF(C4688="JR",SUMIFS($D:$D,$A:$A,$A4688,$B:$B,"&lt;&gt;Patrícia Karla de Sousa Araújo",$B:$B,"&lt;&gt;Lorena Dias de Araujo",$B:$B,"&lt;&gt;Lucas Luiz Romero")*(20/1083),IF(C4688="Estágio",SUMIFS($D:$D,$A:$A,$A4688,$B:$B,"&lt;&gt;Patrícia Karla de Sousa Araújo",$B:$B,"&lt;&gt;Lorena Dias de Araujo",$B:$B,"&lt;&gt;Lucas Luiz Romero")*(10/1083),0)))))),0)</f>
        <v/>
      </c>
      <c r="K4688" s="3">
        <f>I4688-J4688</f>
        <v/>
      </c>
      <c r="L4688" s="3">
        <f>IF(K4688&lt;-5,"CRÍTICO",IF(K4688&lt;0,"ATENÇÃO",IF(K4688&lt;=5,"OPORTUNO","MUITO BOM")))</f>
        <v/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>
        <f>E4689+G4689+H4689</f>
        <v/>
      </c>
      <c r="J4689" s="3">
        <f>ROUND(MIN(IF(C4689="Técnico III",35,IF(C4689="Técnico II",28,IF(C4689="Técnico I",23,IF(C4689="JR",20,IF(C4689="Estágio",10,0))))),IF(C4689="Técnico III",SUMIFS($D:$D,$A:$A,$A4689,$B:$B,"&lt;&gt;Patrícia Karla de Sousa Araújo",$B:$B,"&lt;&gt;Lorena Dias de Araujo",$B:$B,"&lt;&gt;Lucas Luiz Romero")*(35/1083),IF(C4689="Técnico II",SUMIFS($D:$D,$A:$A,$A4689,$B:$B,"&lt;&gt;Patrícia Karla de Sousa Araújo",$B:$B,"&lt;&gt;Lorena Dias de Araujo",$B:$B,"&lt;&gt;Lucas Luiz Romero")*(28/1083),IF(C4689="Técnico I",SUMIFS($D:$D,$A:$A,$A4689,$B:$B,"&lt;&gt;Patrícia Karla de Sousa Araújo",$B:$B,"&lt;&gt;Lorena Dias de Araujo",$B:$B,"&lt;&gt;Lucas Luiz Romero")*(23/1083),IF(C4689="JR",SUMIFS($D:$D,$A:$A,$A4689,$B:$B,"&lt;&gt;Patrícia Karla de Sousa Araújo",$B:$B,"&lt;&gt;Lorena Dias de Araujo",$B:$B,"&lt;&gt;Lucas Luiz Romero")*(20/1083),IF(C4689="Estágio",SUMIFS($D:$D,$A:$A,$A4689,$B:$B,"&lt;&gt;Patrícia Karla de Sousa Araújo",$B:$B,"&lt;&gt;Lorena Dias de Araujo",$B:$B,"&lt;&gt;Lucas Luiz Romero")*(10/1083),0)))))),0)</f>
        <v/>
      </c>
      <c r="K4689" s="3">
        <f>I4689-J4689</f>
        <v/>
      </c>
      <c r="L4689" s="3">
        <f>IF(K4689&lt;-5,"CRÍTICO",IF(K4689&lt;0,"ATENÇÃO",IF(K4689&lt;=5,"OPORTUNO","MUITO BOM")))</f>
        <v/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>
        <f>E4690+G4690+H4690</f>
        <v/>
      </c>
      <c r="J4690" s="3">
        <f>ROUND(MIN(IF(C4690="Técnico III",35,IF(C4690="Técnico II",28,IF(C4690="Técnico I",23,IF(C4690="JR",20,IF(C4690="Estágio",10,0))))),IF(C4690="Técnico III",SUMIFS($D:$D,$A:$A,$A4690,$B:$B,"&lt;&gt;Patrícia Karla de Sousa Araújo",$B:$B,"&lt;&gt;Lorena Dias de Araujo",$B:$B,"&lt;&gt;Lucas Luiz Romero")*(35/1083),IF(C4690="Técnico II",SUMIFS($D:$D,$A:$A,$A4690,$B:$B,"&lt;&gt;Patrícia Karla de Sousa Araújo",$B:$B,"&lt;&gt;Lorena Dias de Araujo",$B:$B,"&lt;&gt;Lucas Luiz Romero")*(28/1083),IF(C4690="Técnico I",SUMIFS($D:$D,$A:$A,$A4690,$B:$B,"&lt;&gt;Patrícia Karla de Sousa Araújo",$B:$B,"&lt;&gt;Lorena Dias de Araujo",$B:$B,"&lt;&gt;Lucas Luiz Romero")*(23/1083),IF(C4690="JR",SUMIFS($D:$D,$A:$A,$A4690,$B:$B,"&lt;&gt;Patrícia Karla de Sousa Araújo",$B:$B,"&lt;&gt;Lorena Dias de Araujo",$B:$B,"&lt;&gt;Lucas Luiz Romero")*(20/1083),IF(C4690="Estágio",SUMIFS($D:$D,$A:$A,$A4690,$B:$B,"&lt;&gt;Patrícia Karla de Sousa Araújo",$B:$B,"&lt;&gt;Lorena Dias de Araujo",$B:$B,"&lt;&gt;Lucas Luiz Romero")*(10/1083),0)))))),0)</f>
        <v/>
      </c>
      <c r="K4690" s="3">
        <f>I4690-J4690</f>
        <v/>
      </c>
      <c r="L4690" s="3">
        <f>IF(K4690&lt;-5,"CRÍTICO",IF(K4690&lt;0,"ATENÇÃO",IF(K4690&lt;=5,"OPORTUNO","MUITO BOM")))</f>
        <v/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>
        <f>E4691+G4691+H4691</f>
        <v/>
      </c>
      <c r="J4691" s="3">
        <f>ROUND(MIN(IF(C4691="Técnico III",35,IF(C4691="Técnico II",28,IF(C4691="Técnico I",23,IF(C4691="JR",20,IF(C4691="Estágio",10,0))))),IF(C4691="Técnico III",SUMIFS($D:$D,$A:$A,$A4691,$B:$B,"&lt;&gt;Patrícia Karla de Sousa Araújo",$B:$B,"&lt;&gt;Lorena Dias de Araujo",$B:$B,"&lt;&gt;Lucas Luiz Romero")*(35/1083),IF(C4691="Técnico II",SUMIFS($D:$D,$A:$A,$A4691,$B:$B,"&lt;&gt;Patrícia Karla de Sousa Araújo",$B:$B,"&lt;&gt;Lorena Dias de Araujo",$B:$B,"&lt;&gt;Lucas Luiz Romero")*(28/1083),IF(C4691="Técnico I",SUMIFS($D:$D,$A:$A,$A4691,$B:$B,"&lt;&gt;Patrícia Karla de Sousa Araújo",$B:$B,"&lt;&gt;Lorena Dias de Araujo",$B:$B,"&lt;&gt;Lucas Luiz Romero")*(23/1083),IF(C4691="JR",SUMIFS($D:$D,$A:$A,$A4691,$B:$B,"&lt;&gt;Patrícia Karla de Sousa Araújo",$B:$B,"&lt;&gt;Lorena Dias de Araujo",$B:$B,"&lt;&gt;Lucas Luiz Romero")*(20/1083),IF(C4691="Estágio",SUMIFS($D:$D,$A:$A,$A4691,$B:$B,"&lt;&gt;Patrícia Karla de Sousa Araújo",$B:$B,"&lt;&gt;Lorena Dias de Araujo",$B:$B,"&lt;&gt;Lucas Luiz Romero")*(10/1083),0)))))),0)</f>
        <v/>
      </c>
      <c r="K4691" s="3">
        <f>I4691-J4691</f>
        <v/>
      </c>
      <c r="L4691" s="3">
        <f>IF(K4691&lt;-5,"CRÍTICO",IF(K4691&lt;0,"ATENÇÃO",IF(K4691&lt;=5,"OPORTUNO","MUITO BOM")))</f>
        <v/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>
        <f>E4692+G4692+H4692</f>
        <v/>
      </c>
      <c r="J4692" s="3">
        <f>ROUND(MIN(IF(C4692="Técnico III",35,IF(C4692="Técnico II",28,IF(C4692="Técnico I",23,IF(C4692="JR",20,IF(C4692="Estágio",10,0))))),IF(C4692="Técnico III",SUMIFS($D:$D,$A:$A,$A4692,$B:$B,"&lt;&gt;Patrícia Karla de Sousa Araújo",$B:$B,"&lt;&gt;Lorena Dias de Araujo",$B:$B,"&lt;&gt;Lucas Luiz Romero")*(35/1083),IF(C4692="Técnico II",SUMIFS($D:$D,$A:$A,$A4692,$B:$B,"&lt;&gt;Patrícia Karla de Sousa Araújo",$B:$B,"&lt;&gt;Lorena Dias de Araujo",$B:$B,"&lt;&gt;Lucas Luiz Romero")*(28/1083),IF(C4692="Técnico I",SUMIFS($D:$D,$A:$A,$A4692,$B:$B,"&lt;&gt;Patrícia Karla de Sousa Araújo",$B:$B,"&lt;&gt;Lorena Dias de Araujo",$B:$B,"&lt;&gt;Lucas Luiz Romero")*(23/1083),IF(C4692="JR",SUMIFS($D:$D,$A:$A,$A4692,$B:$B,"&lt;&gt;Patrícia Karla de Sousa Araújo",$B:$B,"&lt;&gt;Lorena Dias de Araujo",$B:$B,"&lt;&gt;Lucas Luiz Romero")*(20/1083),IF(C4692="Estágio",SUMIFS($D:$D,$A:$A,$A4692,$B:$B,"&lt;&gt;Patrícia Karla de Sousa Araújo",$B:$B,"&lt;&gt;Lorena Dias de Araujo",$B:$B,"&lt;&gt;Lucas Luiz Romero")*(10/1083),0)))))),0)</f>
        <v/>
      </c>
      <c r="K4692" s="3">
        <f>I4692-J4692</f>
        <v/>
      </c>
      <c r="L4692" s="3">
        <f>IF(K4692&lt;-5,"CRÍTICO",IF(K4692&lt;0,"ATENÇÃO",IF(K4692&lt;=5,"OPORTUNO","MUITO BOM")))</f>
        <v/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>
        <f>E4693+G4693+H4693</f>
        <v/>
      </c>
      <c r="J4693" s="3">
        <f>ROUND(MIN(IF(C4693="Técnico III",35,IF(C4693="Técnico II",28,IF(C4693="Técnico I",23,IF(C4693="JR",20,IF(C4693="Estágio",10,0))))),IF(C4693="Técnico III",SUMIFS($D:$D,$A:$A,$A4693,$B:$B,"&lt;&gt;Patrícia Karla de Sousa Araújo",$B:$B,"&lt;&gt;Lorena Dias de Araujo",$B:$B,"&lt;&gt;Lucas Luiz Romero")*(35/1083),IF(C4693="Técnico II",SUMIFS($D:$D,$A:$A,$A4693,$B:$B,"&lt;&gt;Patrícia Karla de Sousa Araújo",$B:$B,"&lt;&gt;Lorena Dias de Araujo",$B:$B,"&lt;&gt;Lucas Luiz Romero")*(28/1083),IF(C4693="Técnico I",SUMIFS($D:$D,$A:$A,$A4693,$B:$B,"&lt;&gt;Patrícia Karla de Sousa Araújo",$B:$B,"&lt;&gt;Lorena Dias de Araujo",$B:$B,"&lt;&gt;Lucas Luiz Romero")*(23/1083),IF(C4693="JR",SUMIFS($D:$D,$A:$A,$A4693,$B:$B,"&lt;&gt;Patrícia Karla de Sousa Araújo",$B:$B,"&lt;&gt;Lorena Dias de Araujo",$B:$B,"&lt;&gt;Lucas Luiz Romero")*(20/1083),IF(C4693="Estágio",SUMIFS($D:$D,$A:$A,$A4693,$B:$B,"&lt;&gt;Patrícia Karla de Sousa Araújo",$B:$B,"&lt;&gt;Lorena Dias de Araujo",$B:$B,"&lt;&gt;Lucas Luiz Romero")*(10/1083),0)))))),0)</f>
        <v/>
      </c>
      <c r="K4693" s="3">
        <f>I4693-J4693</f>
        <v/>
      </c>
      <c r="L4693" s="3">
        <f>IF(K4693&lt;-5,"CRÍTICO",IF(K4693&lt;0,"ATENÇÃO",IF(K4693&lt;=5,"OPORTUNO","MUITO BOM")))</f>
        <v/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>
        <f>E4694+G4694+H4694</f>
        <v/>
      </c>
      <c r="J4694" s="3">
        <f>ROUND(MIN(IF(C4694="Técnico III",35,IF(C4694="Técnico II",28,IF(C4694="Técnico I",23,IF(C4694="JR",20,IF(C4694="Estágio",10,0))))),IF(C4694="Técnico III",SUMIFS($D:$D,$A:$A,$A4694,$B:$B,"&lt;&gt;Patrícia Karla de Sousa Araújo",$B:$B,"&lt;&gt;Lorena Dias de Araujo",$B:$B,"&lt;&gt;Lucas Luiz Romero")*(35/1083),IF(C4694="Técnico II",SUMIFS($D:$D,$A:$A,$A4694,$B:$B,"&lt;&gt;Patrícia Karla de Sousa Araújo",$B:$B,"&lt;&gt;Lorena Dias de Araujo",$B:$B,"&lt;&gt;Lucas Luiz Romero")*(28/1083),IF(C4694="Técnico I",SUMIFS($D:$D,$A:$A,$A4694,$B:$B,"&lt;&gt;Patrícia Karla de Sousa Araújo",$B:$B,"&lt;&gt;Lorena Dias de Araujo",$B:$B,"&lt;&gt;Lucas Luiz Romero")*(23/1083),IF(C4694="JR",SUMIFS($D:$D,$A:$A,$A4694,$B:$B,"&lt;&gt;Patrícia Karla de Sousa Araújo",$B:$B,"&lt;&gt;Lorena Dias de Araujo",$B:$B,"&lt;&gt;Lucas Luiz Romero")*(20/1083),IF(C4694="Estágio",SUMIFS($D:$D,$A:$A,$A4694,$B:$B,"&lt;&gt;Patrícia Karla de Sousa Araújo",$B:$B,"&lt;&gt;Lorena Dias de Araujo",$B:$B,"&lt;&gt;Lucas Luiz Romero")*(10/1083),0)))))),0)</f>
        <v/>
      </c>
      <c r="K4694" s="3">
        <f>I4694-J4694</f>
        <v/>
      </c>
      <c r="L4694" s="3">
        <f>IF(K4694&lt;-5,"CRÍTICO",IF(K4694&lt;0,"ATENÇÃO",IF(K4694&lt;=5,"OPORTUNO","MUITO BOM")))</f>
        <v/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>
        <f>E4695+G4695+H4695</f>
        <v/>
      </c>
      <c r="J4695" s="3">
        <f>ROUND(MIN(IF(C4695="Técnico III",35,IF(C4695="Técnico II",28,IF(C4695="Técnico I",23,IF(C4695="JR",20,IF(C4695="Estágio",10,0))))),IF(C4695="Técnico III",SUMIFS($D:$D,$A:$A,$A4695,$B:$B,"&lt;&gt;Patrícia Karla de Sousa Araújo",$B:$B,"&lt;&gt;Lorena Dias de Araujo",$B:$B,"&lt;&gt;Lucas Luiz Romero")*(35/1083),IF(C4695="Técnico II",SUMIFS($D:$D,$A:$A,$A4695,$B:$B,"&lt;&gt;Patrícia Karla de Sousa Araújo",$B:$B,"&lt;&gt;Lorena Dias de Araujo",$B:$B,"&lt;&gt;Lucas Luiz Romero")*(28/1083),IF(C4695="Técnico I",SUMIFS($D:$D,$A:$A,$A4695,$B:$B,"&lt;&gt;Patrícia Karla de Sousa Araújo",$B:$B,"&lt;&gt;Lorena Dias de Araujo",$B:$B,"&lt;&gt;Lucas Luiz Romero")*(23/1083),IF(C4695="JR",SUMIFS($D:$D,$A:$A,$A4695,$B:$B,"&lt;&gt;Patrícia Karla de Sousa Araújo",$B:$B,"&lt;&gt;Lorena Dias de Araujo",$B:$B,"&lt;&gt;Lucas Luiz Romero")*(20/1083),IF(C4695="Estágio",SUMIFS($D:$D,$A:$A,$A4695,$B:$B,"&lt;&gt;Patrícia Karla de Sousa Araújo",$B:$B,"&lt;&gt;Lorena Dias de Araujo",$B:$B,"&lt;&gt;Lucas Luiz Romero")*(10/1083),0)))))),0)</f>
        <v/>
      </c>
      <c r="K4695" s="3">
        <f>I4695-J4695</f>
        <v/>
      </c>
      <c r="L4695" s="3">
        <f>IF(K4695&lt;-5,"CRÍTICO",IF(K4695&lt;0,"ATENÇÃO",IF(K4695&lt;=5,"OPORTUNO","MUITO BOM")))</f>
        <v/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>
        <f>IF(K4696&lt;-5,"CRÍTICO",IF(K4696&lt;0,"ATENÇÃO",IF(K4696&lt;=5,"OPORTUNO","MUITO BOM")))</f>
        <v/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>
        <f>E4697+G4697+H4697</f>
        <v/>
      </c>
      <c r="J4697" s="3">
        <f>ROUND(MIN(IF(C4697="Técnico III",35,IF(C4697="Técnico II",28,IF(C4697="Técnico I",23,IF(C4697="JR",20,IF(C4697="Estágio",10,0))))),IF(C4697="Técnico III",SUMIFS($D:$D,$A:$A,$A4697,$B:$B,"&lt;&gt;Patrícia Karla de Sousa Araújo",$B:$B,"&lt;&gt;Lorena Dias de Araujo",$B:$B,"&lt;&gt;Lucas Luiz Romero")*(35/1083),IF(C4697="Técnico II",SUMIFS($D:$D,$A:$A,$A4697,$B:$B,"&lt;&gt;Patrícia Karla de Sousa Araújo",$B:$B,"&lt;&gt;Lorena Dias de Araujo",$B:$B,"&lt;&gt;Lucas Luiz Romero")*(28/1083),IF(C4697="Técnico I",SUMIFS($D:$D,$A:$A,$A4697,$B:$B,"&lt;&gt;Patrícia Karla de Sousa Araújo",$B:$B,"&lt;&gt;Lorena Dias de Araujo",$B:$B,"&lt;&gt;Lucas Luiz Romero")*(23/1083),IF(C4697="JR",SUMIFS($D:$D,$A:$A,$A4697,$B:$B,"&lt;&gt;Patrícia Karla de Sousa Araújo",$B:$B,"&lt;&gt;Lorena Dias de Araujo",$B:$B,"&lt;&gt;Lucas Luiz Romero")*(20/1083),IF(C4697="Estágio",SUMIFS($D:$D,$A:$A,$A4697,$B:$B,"&lt;&gt;Patrícia Karla de Sousa Araújo",$B:$B,"&lt;&gt;Lorena Dias de Araujo",$B:$B,"&lt;&gt;Lucas Luiz Romero")*(10/1083),0)))))),0)</f>
        <v/>
      </c>
      <c r="K4697" s="3">
        <f>I4697-J4697</f>
        <v/>
      </c>
      <c r="L4697" s="3">
        <f>IF(K4697&lt;-5,"CRÍTICO",IF(K4697&lt;0,"ATENÇÃO",IF(K4697&lt;=5,"OPORTUNO","MUITO BOM")))</f>
        <v/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>
        <f>E4698+G4698+H4698</f>
        <v/>
      </c>
      <c r="J4698" s="3">
        <f>ROUND(MIN(IF(C4698="Técnico III",35,IF(C4698="Técnico II",28,IF(C4698="Técnico I",23,IF(C4698="JR",20,IF(C4698="Estágio",10,0))))),IF(C4698="Técnico III",SUMIFS($D:$D,$A:$A,$A4698,$B:$B,"&lt;&gt;Patrícia Karla de Sousa Araújo",$B:$B,"&lt;&gt;Lorena Dias de Araujo",$B:$B,"&lt;&gt;Lucas Luiz Romero")*(35/1083),IF(C4698="Técnico II",SUMIFS($D:$D,$A:$A,$A4698,$B:$B,"&lt;&gt;Patrícia Karla de Sousa Araújo",$B:$B,"&lt;&gt;Lorena Dias de Araujo",$B:$B,"&lt;&gt;Lucas Luiz Romero")*(28/1083),IF(C4698="Técnico I",SUMIFS($D:$D,$A:$A,$A4698,$B:$B,"&lt;&gt;Patrícia Karla de Sousa Araújo",$B:$B,"&lt;&gt;Lorena Dias de Araujo",$B:$B,"&lt;&gt;Lucas Luiz Romero")*(23/1083),IF(C4698="JR",SUMIFS($D:$D,$A:$A,$A4698,$B:$B,"&lt;&gt;Patrícia Karla de Sousa Araújo",$B:$B,"&lt;&gt;Lorena Dias de Araujo",$B:$B,"&lt;&gt;Lucas Luiz Romero")*(20/1083),IF(C4698="Estágio",SUMIFS($D:$D,$A:$A,$A4698,$B:$B,"&lt;&gt;Patrícia Karla de Sousa Araújo",$B:$B,"&lt;&gt;Lorena Dias de Araujo",$B:$B,"&lt;&gt;Lucas Luiz Romero")*(10/1083),0)))))),0)</f>
        <v/>
      </c>
      <c r="K4698" s="3">
        <f>I4698-J4698</f>
        <v/>
      </c>
      <c r="L4698" s="3">
        <f>IF(K4698&lt;-5,"CRÍTICO",IF(K4698&lt;0,"ATENÇÃO",IF(K4698&lt;=5,"OPORTUNO","MUITO BOM")))</f>
        <v/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>
        <f>E4699+G4699+H4699</f>
        <v/>
      </c>
      <c r="J4699" s="3">
        <f>ROUND(MIN(IF(C4699="Técnico III",35,IF(C4699="Técnico II",28,IF(C4699="Técnico I",23,IF(C4699="JR",20,IF(C4699="Estágio",10,0))))),IF(C4699="Técnico III",SUMIFS($D:$D,$A:$A,$A4699,$B:$B,"&lt;&gt;Patrícia Karla de Sousa Araújo",$B:$B,"&lt;&gt;Lorena Dias de Araujo",$B:$B,"&lt;&gt;Lucas Luiz Romero")*(35/1083),IF(C4699="Técnico II",SUMIFS($D:$D,$A:$A,$A4699,$B:$B,"&lt;&gt;Patrícia Karla de Sousa Araújo",$B:$B,"&lt;&gt;Lorena Dias de Araujo",$B:$B,"&lt;&gt;Lucas Luiz Romero")*(28/1083),IF(C4699="Técnico I",SUMIFS($D:$D,$A:$A,$A4699,$B:$B,"&lt;&gt;Patrícia Karla de Sousa Araújo",$B:$B,"&lt;&gt;Lorena Dias de Araujo",$B:$B,"&lt;&gt;Lucas Luiz Romero")*(23/1083),IF(C4699="JR",SUMIFS($D:$D,$A:$A,$A4699,$B:$B,"&lt;&gt;Patrícia Karla de Sousa Araújo",$B:$B,"&lt;&gt;Lorena Dias de Araujo",$B:$B,"&lt;&gt;Lucas Luiz Romero")*(20/1083),IF(C4699="Estágio",SUMIFS($D:$D,$A:$A,$A4699,$B:$B,"&lt;&gt;Patrícia Karla de Sousa Araújo",$B:$B,"&lt;&gt;Lorena Dias de Araujo",$B:$B,"&lt;&gt;Lucas Luiz Romero")*(10/1083),0)))))),0)</f>
        <v/>
      </c>
      <c r="K4699" s="3">
        <f>I4699-J4699</f>
        <v/>
      </c>
      <c r="L4699" s="3">
        <f>IF(K4699&lt;-5,"CRÍTICO",IF(K4699&lt;0,"ATENÇÃO",IF(K4699&lt;=5,"OPORTUNO","MUITO BOM")))</f>
        <v/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>
        <f>E4700+G4700+H4700</f>
        <v/>
      </c>
      <c r="J4700" s="3">
        <f>ROUND(MIN(IF(C4700="Técnico III",35,IF(C4700="Técnico II",28,IF(C4700="Técnico I",23,IF(C4700="JR",20,IF(C4700="Estágio",10,0))))),IF(C4700="Técnico III",SUMIFS($D:$D,$A:$A,$A4700,$B:$B,"&lt;&gt;Patrícia Karla de Sousa Araújo",$B:$B,"&lt;&gt;Lorena Dias de Araujo",$B:$B,"&lt;&gt;Lucas Luiz Romero")*(35/1083),IF(C4700="Técnico II",SUMIFS($D:$D,$A:$A,$A4700,$B:$B,"&lt;&gt;Patrícia Karla de Sousa Araújo",$B:$B,"&lt;&gt;Lorena Dias de Araujo",$B:$B,"&lt;&gt;Lucas Luiz Romero")*(28/1083),IF(C4700="Técnico I",SUMIFS($D:$D,$A:$A,$A4700,$B:$B,"&lt;&gt;Patrícia Karla de Sousa Araújo",$B:$B,"&lt;&gt;Lorena Dias de Araujo",$B:$B,"&lt;&gt;Lucas Luiz Romero")*(23/1083),IF(C4700="JR",SUMIFS($D:$D,$A:$A,$A4700,$B:$B,"&lt;&gt;Patrícia Karla de Sousa Araújo",$B:$B,"&lt;&gt;Lorena Dias de Araujo",$B:$B,"&lt;&gt;Lucas Luiz Romero")*(20/1083),IF(C4700="Estágio",SUMIFS($D:$D,$A:$A,$A4700,$B:$B,"&lt;&gt;Patrícia Karla de Sousa Araújo",$B:$B,"&lt;&gt;Lorena Dias de Araujo",$B:$B,"&lt;&gt;Lucas Luiz Romero")*(10/1083),0)))))),0)</f>
        <v/>
      </c>
      <c r="K4700" s="3">
        <f>I4700-J4700</f>
        <v/>
      </c>
      <c r="L4700" s="3">
        <f>IF(K4700&lt;-5,"CRÍTICO",IF(K4700&lt;0,"ATENÇÃO",IF(K4700&lt;=5,"OPORTUNO","MUITO BOM")))</f>
        <v/>
      </c>
      <c r="M4700" s="3" t="n">
        <v>6</v>
      </c>
      <c r="N4700" s="3" t="n">
        <v>97.39</v>
      </c>
      <c r="O4700" s="12" t="n">
        <v>21.27139364303179</v>
      </c>
    </row>
    <row r="4701">
      <c r="A4701" s="14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M4701" t="n">
        <v>37</v>
      </c>
      <c r="N4701" t="n">
        <v>100</v>
      </c>
      <c r="O4701" t="n">
        <v>2.702702702702703</v>
      </c>
    </row>
    <row r="4702">
      <c r="A4702" s="14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M4702" t="n">
        <v>11</v>
      </c>
      <c r="N4702" t="n">
        <v>100</v>
      </c>
      <c r="O4702" t="n">
        <v>0</v>
      </c>
    </row>
    <row r="4703">
      <c r="A4703" s="14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M4703" t="n">
        <v>7</v>
      </c>
      <c r="N4703" t="n">
        <v>50</v>
      </c>
      <c r="O4703" t="n">
        <v>14.28571428571428</v>
      </c>
    </row>
    <row r="4704">
      <c r="A4704" s="14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M4704" t="n">
        <v>5</v>
      </c>
      <c r="N4704" t="n">
        <v>0</v>
      </c>
      <c r="O4704" t="n">
        <v>0</v>
      </c>
    </row>
    <row r="4705">
      <c r="A4705" s="14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M4705" t="n">
        <v>17</v>
      </c>
      <c r="N4705" t="n">
        <v>100</v>
      </c>
      <c r="O4705" t="n">
        <v>0</v>
      </c>
    </row>
    <row r="4706">
      <c r="A4706" s="14" t="n">
        <v>46174</v>
      </c>
      <c r="B4706" t="inlineStr">
        <is>
          <t>Leandro de Souza Silva</t>
        </is>
      </c>
      <c r="C4706" t="inlineStr">
        <is>
          <t>JR</t>
        </is>
      </c>
      <c r="D4706" t="n">
        <v>11</v>
      </c>
      <c r="E4706" t="n">
        <v>11</v>
      </c>
      <c r="F4706" t="n">
        <v>16.52</v>
      </c>
      <c r="G4706" t="n">
        <v>1</v>
      </c>
      <c r="M4706" t="n">
        <v>9</v>
      </c>
      <c r="N4706" t="n">
        <v>100</v>
      </c>
      <c r="O4706" t="n">
        <v>22.22222222222222</v>
      </c>
    </row>
    <row r="4707">
      <c r="A4707" s="14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M4707" t="n">
        <v>40</v>
      </c>
      <c r="N4707" t="n">
        <v>100</v>
      </c>
      <c r="O4707" t="n">
        <v>10</v>
      </c>
    </row>
    <row r="4708">
      <c r="A4708" s="14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M4708" t="n">
        <v>11</v>
      </c>
      <c r="N4708" t="n">
        <v>100</v>
      </c>
      <c r="O4708" t="n">
        <v>9.090909090909092</v>
      </c>
    </row>
    <row r="4709">
      <c r="A4709" s="14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M4709" t="n">
        <v>35</v>
      </c>
      <c r="N4709" t="n">
        <v>100</v>
      </c>
      <c r="O4709" t="n">
        <v>2.857142857142857</v>
      </c>
    </row>
    <row r="4710">
      <c r="A4710" s="14" t="n">
        <v>46174</v>
      </c>
      <c r="B4710" t="inlineStr">
        <is>
          <t>Paulo Ricardo Santos</t>
        </is>
      </c>
      <c r="C4710" t="inlineStr">
        <is>
          <t>JR</t>
        </is>
      </c>
      <c r="D4710" t="n">
        <v>20</v>
      </c>
      <c r="E4710" t="n">
        <v>19</v>
      </c>
      <c r="F4710" t="n">
        <v>20.01</v>
      </c>
      <c r="G4710" t="n">
        <v>0</v>
      </c>
      <c r="M4710" t="n">
        <v>15</v>
      </c>
      <c r="N4710" t="n">
        <v>100</v>
      </c>
      <c r="O4710" t="n">
        <v>0</v>
      </c>
    </row>
    <row r="4711">
      <c r="A4711" s="14" t="n">
        <v>46174</v>
      </c>
      <c r="B4711" t="inlineStr">
        <is>
          <t>Pedro Luiz Mota Sousa</t>
        </is>
      </c>
      <c r="C4711" t="inlineStr">
        <is>
          <t>JR</t>
        </is>
      </c>
      <c r="D4711" t="n">
        <v>17</v>
      </c>
      <c r="E4711" t="n">
        <v>17</v>
      </c>
      <c r="F4711" t="n">
        <v>23.45</v>
      </c>
      <c r="G4711" t="n">
        <v>0</v>
      </c>
      <c r="M4711" t="n">
        <v>22</v>
      </c>
      <c r="N4711" t="n">
        <v>100</v>
      </c>
      <c r="O4711" t="n">
        <v>0</v>
      </c>
    </row>
    <row r="4712">
      <c r="A4712" s="14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M4712" t="n">
        <v>24</v>
      </c>
      <c r="N4712" t="n">
        <v>100</v>
      </c>
      <c r="O4712" t="n">
        <v>8.333333333333332</v>
      </c>
    </row>
    <row r="4713">
      <c r="A4713" s="14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3</v>
      </c>
      <c r="M4713" t="n">
        <v>18</v>
      </c>
      <c r="N4713" t="n">
        <v>100</v>
      </c>
      <c r="O4713" t="n">
        <v>5.555555555555555</v>
      </c>
    </row>
    <row r="4714">
      <c r="A4714" s="14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22</v>
      </c>
      <c r="E4714" t="n">
        <v>21</v>
      </c>
      <c r="F4714" t="n">
        <v>21.47</v>
      </c>
      <c r="G4714" t="n">
        <v>0</v>
      </c>
      <c r="H4714" t="n">
        <v>0</v>
      </c>
      <c r="I4714" t="n">
        <v>0</v>
      </c>
      <c r="J4714" t="n">
        <v>0</v>
      </c>
      <c r="K4714" t="n">
        <v>0</v>
      </c>
      <c r="M4714" t="n">
        <v>19</v>
      </c>
      <c r="N4714" t="n">
        <v>100</v>
      </c>
      <c r="O4714" t="n">
        <v>10.52631578947368</v>
      </c>
    </row>
    <row r="4715">
      <c r="A4715" s="14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5</v>
      </c>
      <c r="M4715" t="n">
        <v>57</v>
      </c>
      <c r="N4715" t="n">
        <v>100</v>
      </c>
      <c r="O4715" t="n">
        <v>3.508771929824561</v>
      </c>
    </row>
    <row r="4716">
      <c r="A4716" s="14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M4716" t="n">
        <v>50</v>
      </c>
      <c r="N4716" t="n">
        <v>100</v>
      </c>
      <c r="O4716" t="n">
        <v>8</v>
      </c>
    </row>
    <row r="4717">
      <c r="A4717" s="14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M4717" t="n">
        <v>71</v>
      </c>
      <c r="N4717" t="n">
        <v>100</v>
      </c>
      <c r="O4717" t="n">
        <v>4.225352112676056</v>
      </c>
    </row>
    <row r="4718">
      <c r="A4718" s="14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M4718" t="n">
        <v>45</v>
      </c>
      <c r="N4718" t="n">
        <v>100</v>
      </c>
      <c r="O4718" t="n">
        <v>4.444444444444445</v>
      </c>
    </row>
    <row r="4719">
      <c r="A4719" s="14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2</v>
      </c>
      <c r="M4719" t="n">
        <v>34</v>
      </c>
      <c r="N4719" t="n">
        <v>100</v>
      </c>
      <c r="O4719" t="n">
        <v>17.64705882352941</v>
      </c>
    </row>
    <row r="4720">
      <c r="A4720" s="14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M4720" t="n">
        <v>62</v>
      </c>
      <c r="N4720" t="n">
        <v>90</v>
      </c>
      <c r="O4720" t="n">
        <v>9.67741935483871</v>
      </c>
    </row>
    <row r="4721">
      <c r="A4721" s="14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M4721" t="n">
        <v>0</v>
      </c>
      <c r="N4721" t="n">
        <v>0</v>
      </c>
      <c r="O4721" t="n">
        <v>0</v>
      </c>
    </row>
    <row r="4722">
      <c r="A4722" s="14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1</v>
      </c>
      <c r="M4722" t="n">
        <v>25</v>
      </c>
      <c r="N4722" t="n">
        <v>100</v>
      </c>
      <c r="O4722" t="n">
        <v>8</v>
      </c>
    </row>
    <row r="4723">
      <c r="A4723" s="14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M4723" t="n">
        <v>0</v>
      </c>
      <c r="N4723" t="n">
        <v>0</v>
      </c>
      <c r="O4723" t="n">
        <v>0</v>
      </c>
    </row>
    <row r="4724">
      <c r="A4724" s="14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M4724" t="n">
        <v>35</v>
      </c>
      <c r="N4724" t="n">
        <v>100</v>
      </c>
      <c r="O4724" t="n">
        <v>0</v>
      </c>
    </row>
    <row r="4725">
      <c r="A4725" s="14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M4725" t="n">
        <v>67</v>
      </c>
      <c r="N4725" t="n">
        <v>100</v>
      </c>
      <c r="O4725" t="n">
        <v>1.492537313432836</v>
      </c>
    </row>
    <row r="4726">
      <c r="A4726" s="14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t="n">
        <v>0</v>
      </c>
      <c r="J4726" t="n">
        <v>0</v>
      </c>
      <c r="K4726" t="n">
        <v>0</v>
      </c>
      <c r="M4726" t="n">
        <v>0</v>
      </c>
      <c r="N4726" t="n">
        <v>0</v>
      </c>
      <c r="O4726" t="n">
        <v>0</v>
      </c>
    </row>
    <row r="4727">
      <c r="A4727" s="14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M4727" t="n">
        <v>21</v>
      </c>
      <c r="N4727" t="n">
        <v>100</v>
      </c>
      <c r="O4727" t="n">
        <v>14.28571428571428</v>
      </c>
    </row>
    <row r="4728">
      <c r="A4728" s="14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M4728" t="n">
        <v>28</v>
      </c>
      <c r="N4728" t="n">
        <v>100</v>
      </c>
      <c r="O4728" t="n">
        <v>3.571428571428571</v>
      </c>
    </row>
    <row r="4729">
      <c r="A4729" s="14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M4729" t="n">
        <v>0</v>
      </c>
      <c r="N4729" t="n">
        <v>100</v>
      </c>
      <c r="O4729" t="n">
        <v>0</v>
      </c>
    </row>
    <row r="4730">
      <c r="A4730" s="14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M4730" t="n">
        <v>41</v>
      </c>
      <c r="N4730" t="n">
        <v>100</v>
      </c>
      <c r="O4730" t="n">
        <v>2.439024390243902</v>
      </c>
    </row>
    <row r="4731">
      <c r="A4731" s="14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t="n">
        <v>0</v>
      </c>
      <c r="J4731" t="n">
        <v>0</v>
      </c>
      <c r="K4731" t="n">
        <v>0</v>
      </c>
      <c r="M4731" t="n">
        <v>0</v>
      </c>
      <c r="N4731" t="n">
        <v>100</v>
      </c>
      <c r="O4731" t="n">
        <v>0</v>
      </c>
    </row>
    <row r="4732">
      <c r="A4732" s="14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t="n">
        <v>0</v>
      </c>
      <c r="J4732" t="n">
        <v>0</v>
      </c>
      <c r="K4732" t="n">
        <v>0</v>
      </c>
      <c r="M4732" t="n">
        <v>0</v>
      </c>
      <c r="N4732" t="n">
        <v>0</v>
      </c>
      <c r="O4732" t="n">
        <v>0</v>
      </c>
    </row>
    <row r="4733">
      <c r="A4733" s="14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t="n">
        <v>0</v>
      </c>
      <c r="J4733" t="n">
        <v>0</v>
      </c>
      <c r="K4733" t="n">
        <v>0</v>
      </c>
      <c r="M4733" t="n">
        <v>0</v>
      </c>
      <c r="N4733" t="n">
        <v>100</v>
      </c>
      <c r="O4733" t="n">
        <v>0</v>
      </c>
    </row>
    <row r="4734">
      <c r="A4734" s="14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M4734" t="n">
        <v>52</v>
      </c>
      <c r="N4734" t="n">
        <v>100</v>
      </c>
      <c r="O4734" t="n">
        <v>5.769230769230769</v>
      </c>
    </row>
    <row r="4735">
      <c r="A4735" s="14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M4735" t="n">
        <v>14</v>
      </c>
      <c r="N4735" t="n">
        <v>100</v>
      </c>
      <c r="O4735" t="n">
        <v>0</v>
      </c>
    </row>
    <row r="4736">
      <c r="A4736" s="14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M4736" t="n">
        <v>38</v>
      </c>
      <c r="N4736" t="n">
        <v>100</v>
      </c>
      <c r="O4736" t="n">
        <v>10.52631578947368</v>
      </c>
    </row>
    <row r="4737">
      <c r="A4737" s="14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M4737" t="n">
        <v>16</v>
      </c>
      <c r="N4737" t="n">
        <v>40</v>
      </c>
      <c r="O4737" t="n">
        <v>12.5</v>
      </c>
    </row>
    <row r="4738">
      <c r="A4738" s="14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M4738" t="n">
        <v>25</v>
      </c>
      <c r="N4738" t="n">
        <v>100</v>
      </c>
      <c r="O4738" t="n">
        <v>0</v>
      </c>
    </row>
    <row r="4739">
      <c r="A4739" s="14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t="n">
        <v>0</v>
      </c>
      <c r="J4739" t="n">
        <v>0</v>
      </c>
      <c r="K4739" t="n">
        <v>0</v>
      </c>
      <c r="M4739" t="n">
        <v>9</v>
      </c>
      <c r="N4739" t="n">
        <v>0</v>
      </c>
      <c r="O4739" t="n">
        <v>0</v>
      </c>
    </row>
    <row r="4740">
      <c r="A4740" s="14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M4740" t="n">
        <v>46</v>
      </c>
      <c r="N4740" t="n">
        <v>100</v>
      </c>
      <c r="O4740" t="n">
        <v>13.04347826086956</v>
      </c>
    </row>
    <row r="4741">
      <c r="A4741" s="14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t="n">
        <v>0</v>
      </c>
      <c r="J4741" t="n">
        <v>0</v>
      </c>
      <c r="K4741" t="n">
        <v>0</v>
      </c>
      <c r="M4741" t="n">
        <v>0</v>
      </c>
      <c r="N4741" t="n">
        <v>100</v>
      </c>
      <c r="O4741" t="n">
        <v>0</v>
      </c>
    </row>
    <row r="4742">
      <c r="A4742" s="14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M4742" t="n">
        <v>31</v>
      </c>
      <c r="N4742" t="n">
        <v>80</v>
      </c>
      <c r="O4742" t="n">
        <v>6.451612903225806</v>
      </c>
    </row>
    <row r="4743">
      <c r="A4743" s="14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M4743" t="n">
        <v>67</v>
      </c>
      <c r="N4743" t="n">
        <v>100</v>
      </c>
      <c r="O4743" t="n">
        <v>10.44776119402985</v>
      </c>
    </row>
    <row r="4744">
      <c r="A4744" s="14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M4744" t="n">
        <v>12</v>
      </c>
      <c r="N4744" t="n">
        <v>100</v>
      </c>
      <c r="O4744" t="n">
        <v>0</v>
      </c>
    </row>
    <row r="4745">
      <c r="A4745" s="14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M4745" t="n">
        <v>0</v>
      </c>
      <c r="N4745" t="n">
        <v>100</v>
      </c>
      <c r="O4745" t="n">
        <v>0</v>
      </c>
    </row>
    <row r="4746">
      <c r="A4746" s="14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3</v>
      </c>
      <c r="M4746" t="n">
        <v>8</v>
      </c>
      <c r="N4746" t="n">
        <v>100</v>
      </c>
      <c r="O4746" t="n">
        <v>2.272727272727273</v>
      </c>
    </row>
    <row r="4747">
      <c r="A4747" s="14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M4747" t="n">
        <v>7</v>
      </c>
      <c r="N4747" t="n">
        <v>100</v>
      </c>
      <c r="O4747" t="n">
        <v>0</v>
      </c>
    </row>
    <row r="4748">
      <c r="A4748" s="14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M4748" t="n">
        <v>1</v>
      </c>
      <c r="N4748" t="n">
        <v>50</v>
      </c>
      <c r="O4748" t="n">
        <v>12.5</v>
      </c>
    </row>
    <row r="4749">
      <c r="A4749" s="14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M4749" t="n">
        <v>0</v>
      </c>
      <c r="N4749" t="n">
        <v>0</v>
      </c>
      <c r="O4749" t="n">
        <v>0</v>
      </c>
    </row>
    <row r="4750">
      <c r="A4750" s="14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M4750" t="n">
        <v>11</v>
      </c>
      <c r="N4750" t="n">
        <v>100</v>
      </c>
      <c r="O4750" t="n">
        <v>0</v>
      </c>
    </row>
    <row r="4751">
      <c r="A4751" s="14" t="n">
        <v>46175</v>
      </c>
      <c r="B4751" t="inlineStr">
        <is>
          <t>Leandro de Souza Silva</t>
        </is>
      </c>
      <c r="C4751" t="inlineStr">
        <is>
          <t>JR</t>
        </is>
      </c>
      <c r="D4751" t="n">
        <v>12</v>
      </c>
      <c r="E4751" t="n">
        <v>9</v>
      </c>
      <c r="F4751" t="n">
        <v>17.34</v>
      </c>
      <c r="G4751" t="n">
        <v>5</v>
      </c>
      <c r="M4751" t="n">
        <v>9</v>
      </c>
      <c r="N4751" t="n">
        <v>100</v>
      </c>
      <c r="O4751" t="n">
        <v>16.66666666666666</v>
      </c>
    </row>
    <row r="4752">
      <c r="A4752" s="14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M4752" t="n">
        <v>13</v>
      </c>
      <c r="N4752" t="n">
        <v>100</v>
      </c>
      <c r="O4752" t="n">
        <v>9.615384615384617</v>
      </c>
    </row>
    <row r="4753">
      <c r="A4753" s="14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M4753" t="n">
        <v>4</v>
      </c>
      <c r="N4753" t="n">
        <v>100</v>
      </c>
      <c r="O4753" t="n">
        <v>6.666666666666667</v>
      </c>
    </row>
    <row r="4754">
      <c r="A4754" s="14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t="n">
        <v>0</v>
      </c>
      <c r="J4754" t="n">
        <v>0</v>
      </c>
      <c r="K4754" t="n">
        <v>0</v>
      </c>
      <c r="M4754" t="n">
        <v>0</v>
      </c>
      <c r="N4754" t="n">
        <v>100</v>
      </c>
      <c r="O4754" t="n">
        <v>2.857142857142857</v>
      </c>
    </row>
    <row r="4755">
      <c r="A4755" s="14" t="n">
        <v>46175</v>
      </c>
      <c r="B4755" t="inlineStr">
        <is>
          <t>Paulo Ricardo Santos</t>
        </is>
      </c>
      <c r="C4755" t="inlineStr">
        <is>
          <t>JR</t>
        </is>
      </c>
      <c r="D4755" t="n">
        <v>13</v>
      </c>
      <c r="E4755" t="n">
        <v>13</v>
      </c>
      <c r="F4755" t="n">
        <v>19.17</v>
      </c>
      <c r="G4755" t="n">
        <v>1</v>
      </c>
      <c r="M4755" t="n">
        <v>14</v>
      </c>
      <c r="N4755" t="n">
        <v>100</v>
      </c>
      <c r="O4755" t="n">
        <v>0</v>
      </c>
    </row>
    <row r="4756">
      <c r="A4756" s="14" t="n">
        <v>46175</v>
      </c>
      <c r="B4756" t="inlineStr">
        <is>
          <t>Pedro Luiz Mota Sousa</t>
        </is>
      </c>
      <c r="C4756" t="inlineStr">
        <is>
          <t>JR</t>
        </is>
      </c>
      <c r="D4756" t="n">
        <v>23</v>
      </c>
      <c r="E4756" t="n">
        <v>23</v>
      </c>
      <c r="F4756" t="n">
        <v>15.49</v>
      </c>
      <c r="G4756" t="n">
        <v>6</v>
      </c>
      <c r="M4756" t="n">
        <v>29</v>
      </c>
      <c r="N4756" t="n">
        <v>100</v>
      </c>
      <c r="O4756" t="n">
        <v>1.96078431372549</v>
      </c>
    </row>
    <row r="4757">
      <c r="A4757" s="14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M4757" t="n">
        <v>13</v>
      </c>
      <c r="N4757" t="n">
        <v>100</v>
      </c>
      <c r="O4757" t="n">
        <v>5.405405405405405</v>
      </c>
    </row>
    <row r="4758">
      <c r="A4758" s="14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M4758" t="n">
        <v>6</v>
      </c>
      <c r="N4758" t="n">
        <v>100</v>
      </c>
      <c r="O4758" t="n">
        <v>4.166666666666666</v>
      </c>
    </row>
    <row r="4759">
      <c r="A4759" s="14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29</v>
      </c>
      <c r="E4759" t="n">
        <v>25</v>
      </c>
      <c r="F4759" t="n">
        <v>15.24</v>
      </c>
      <c r="G4759" t="n">
        <v>7</v>
      </c>
      <c r="H4759" t="n">
        <v>0</v>
      </c>
      <c r="I4759" t="n">
        <v>0</v>
      </c>
      <c r="J4759" t="n">
        <v>0</v>
      </c>
      <c r="K4759" t="n">
        <v>0</v>
      </c>
      <c r="M4759" t="n">
        <v>29</v>
      </c>
      <c r="N4759" t="n">
        <v>100</v>
      </c>
      <c r="O4759" t="n">
        <v>6.25</v>
      </c>
    </row>
    <row r="4760">
      <c r="A4760" s="14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5</v>
      </c>
      <c r="M4760" t="n">
        <v>31</v>
      </c>
      <c r="N4760" t="n">
        <v>100</v>
      </c>
      <c r="O4760" t="n">
        <v>2.272727272727273</v>
      </c>
    </row>
    <row r="4761">
      <c r="A4761" s="14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5</v>
      </c>
      <c r="M4761" t="n">
        <v>29</v>
      </c>
      <c r="N4761" t="n">
        <v>100</v>
      </c>
      <c r="O4761" t="n">
        <v>5.063291139240507</v>
      </c>
    </row>
    <row r="4762">
      <c r="A4762" s="14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M4762" t="n">
        <v>32</v>
      </c>
      <c r="N4762" t="n">
        <v>100</v>
      </c>
      <c r="O4762" t="n">
        <v>2.912621359223301</v>
      </c>
    </row>
    <row r="4763">
      <c r="A4763" s="14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4</v>
      </c>
      <c r="M4763" t="n">
        <v>34</v>
      </c>
      <c r="N4763" t="n">
        <v>100</v>
      </c>
      <c r="O4763" t="n">
        <v>3.79746835443038</v>
      </c>
    </row>
    <row r="4764">
      <c r="A4764" s="14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5</v>
      </c>
      <c r="M4764" t="n">
        <v>20</v>
      </c>
      <c r="N4764" t="n">
        <v>100</v>
      </c>
      <c r="O4764" t="n">
        <v>12.96296296296296</v>
      </c>
    </row>
    <row r="4765">
      <c r="A4765" s="14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M4765" t="n">
        <v>44</v>
      </c>
      <c r="N4765" t="n">
        <v>85.70999999999999</v>
      </c>
      <c r="O4765" t="n">
        <v>6.60377358490566</v>
      </c>
    </row>
    <row r="4766">
      <c r="A4766" s="14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1</v>
      </c>
      <c r="M4766" t="n">
        <v>28</v>
      </c>
      <c r="N4766" t="n">
        <v>0</v>
      </c>
      <c r="O4766" t="n">
        <v>0</v>
      </c>
    </row>
    <row r="4767">
      <c r="A4767" s="14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5</v>
      </c>
      <c r="M4767" t="n">
        <v>17</v>
      </c>
      <c r="N4767" t="n">
        <v>100</v>
      </c>
      <c r="O4767" t="n">
        <v>9.523809523809524</v>
      </c>
    </row>
    <row r="4768">
      <c r="A4768" s="14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6</v>
      </c>
      <c r="M4768" t="n">
        <v>27</v>
      </c>
      <c r="N4768" t="n">
        <v>100</v>
      </c>
      <c r="O4768" t="n">
        <v>7.407407407407407</v>
      </c>
    </row>
    <row r="4769">
      <c r="A4769" s="14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6</v>
      </c>
      <c r="M4769" t="n">
        <v>22</v>
      </c>
      <c r="N4769" t="n">
        <v>100</v>
      </c>
      <c r="O4769" t="n">
        <v>3.508771929824561</v>
      </c>
    </row>
    <row r="4770">
      <c r="A4770" s="14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M4770" t="n">
        <v>35</v>
      </c>
      <c r="N4770" t="n">
        <v>100</v>
      </c>
      <c r="O4770" t="n">
        <v>1.96078431372549</v>
      </c>
    </row>
    <row r="4771">
      <c r="A4771" s="14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t="n">
        <v>0</v>
      </c>
      <c r="J4771" t="n">
        <v>0</v>
      </c>
      <c r="K4771" t="n">
        <v>0</v>
      </c>
      <c r="M4771" t="n">
        <v>0</v>
      </c>
      <c r="N4771" t="n">
        <v>0</v>
      </c>
      <c r="O4771" t="n">
        <v>0</v>
      </c>
    </row>
    <row r="4772">
      <c r="A4772" s="14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M4772" t="n">
        <v>23</v>
      </c>
      <c r="N4772" t="n">
        <v>100</v>
      </c>
      <c r="O4772" t="n">
        <v>6.818181818181817</v>
      </c>
    </row>
    <row r="4773">
      <c r="A4773" s="14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2</v>
      </c>
      <c r="M4773" t="n">
        <v>35</v>
      </c>
      <c r="N4773" t="n">
        <v>100</v>
      </c>
      <c r="O4773" t="n">
        <v>4.838709677419355</v>
      </c>
    </row>
    <row r="4774">
      <c r="A4774" s="14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t="n">
        <v>0</v>
      </c>
      <c r="J4774" t="n">
        <v>0</v>
      </c>
      <c r="K4774" t="n">
        <v>0</v>
      </c>
      <c r="M4774" t="n">
        <v>0</v>
      </c>
      <c r="N4774" t="n">
        <v>100</v>
      </c>
      <c r="O4774" t="n">
        <v>0</v>
      </c>
    </row>
    <row r="4775">
      <c r="A4775" s="14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7</v>
      </c>
      <c r="M4775" t="n">
        <v>45</v>
      </c>
      <c r="N4775" t="n">
        <v>100</v>
      </c>
      <c r="O4775" t="n">
        <v>2.325581395348837</v>
      </c>
    </row>
    <row r="4776">
      <c r="A4776" s="14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t="n">
        <v>0</v>
      </c>
      <c r="J4776" t="n">
        <v>0</v>
      </c>
      <c r="K4776" t="n">
        <v>0</v>
      </c>
      <c r="M4776" t="n">
        <v>0</v>
      </c>
      <c r="N4776" t="n">
        <v>100</v>
      </c>
      <c r="O4776" t="n">
        <v>0</v>
      </c>
    </row>
    <row r="4777">
      <c r="A4777" s="14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t="n">
        <v>0</v>
      </c>
      <c r="J4777" t="n">
        <v>0</v>
      </c>
      <c r="K4777" t="n">
        <v>0</v>
      </c>
      <c r="M4777" t="n">
        <v>0</v>
      </c>
      <c r="N4777" t="n">
        <v>0</v>
      </c>
      <c r="O4777" t="n">
        <v>0</v>
      </c>
    </row>
    <row r="4778">
      <c r="A4778" s="14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M4778" t="n">
        <v>0</v>
      </c>
      <c r="N4778" t="n">
        <v>100</v>
      </c>
      <c r="O4778" t="n">
        <v>0</v>
      </c>
    </row>
    <row r="4779">
      <c r="A4779" s="14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4</v>
      </c>
      <c r="M4779" t="n">
        <v>38</v>
      </c>
      <c r="N4779" t="n">
        <v>100</v>
      </c>
      <c r="O4779" t="n">
        <v>3.333333333333333</v>
      </c>
    </row>
    <row r="4780">
      <c r="A4780" s="14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4</v>
      </c>
      <c r="M4780" t="n">
        <v>8</v>
      </c>
      <c r="N4780" t="n">
        <v>100</v>
      </c>
      <c r="O4780" t="n">
        <v>0</v>
      </c>
    </row>
    <row r="4781">
      <c r="A4781" s="14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M4781" t="n">
        <v>0</v>
      </c>
      <c r="N4781" t="n">
        <v>100</v>
      </c>
      <c r="O4781" t="n">
        <v>10.52631578947368</v>
      </c>
    </row>
    <row r="4782">
      <c r="A4782" s="14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M4782" t="n">
        <v>13</v>
      </c>
      <c r="N4782" t="n">
        <v>72.73</v>
      </c>
      <c r="O4782" t="n">
        <v>13.79310344827586</v>
      </c>
    </row>
    <row r="4783">
      <c r="A4783" s="14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M4783" t="n">
        <v>26</v>
      </c>
      <c r="N4783" t="n">
        <v>100</v>
      </c>
      <c r="O4783" t="n">
        <v>0</v>
      </c>
    </row>
    <row r="4784">
      <c r="A4784" s="14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M4784" t="n">
        <v>10</v>
      </c>
      <c r="N4784" t="n">
        <v>0</v>
      </c>
      <c r="O4784" t="n">
        <v>0</v>
      </c>
    </row>
    <row r="4785">
      <c r="A4785" s="14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8</v>
      </c>
      <c r="M4785" t="n">
        <v>24</v>
      </c>
      <c r="N4785" t="n">
        <v>90</v>
      </c>
      <c r="O4785" t="n">
        <v>8.571428571428571</v>
      </c>
    </row>
    <row r="4786">
      <c r="A4786" s="14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M4786" t="n">
        <v>0</v>
      </c>
      <c r="N4786" t="n">
        <v>100</v>
      </c>
      <c r="O4786" t="n">
        <v>0</v>
      </c>
    </row>
    <row r="4787">
      <c r="A4787" s="14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7</v>
      </c>
      <c r="M4787" t="n">
        <v>18</v>
      </c>
      <c r="N4787" t="n">
        <v>88.89</v>
      </c>
      <c r="O4787" t="n">
        <v>4.081632653061225</v>
      </c>
    </row>
    <row r="4788">
      <c r="A4788" s="14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6</v>
      </c>
      <c r="M4788" t="n">
        <v>48</v>
      </c>
      <c r="N4788" t="n">
        <v>100</v>
      </c>
      <c r="O4788" t="n">
        <v>7.82608695652174</v>
      </c>
    </row>
    <row r="4789">
      <c r="A4789" s="14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5</v>
      </c>
      <c r="M4789" t="n">
        <v>19</v>
      </c>
      <c r="N4789" t="n">
        <v>100</v>
      </c>
      <c r="O4789" t="n">
        <v>0</v>
      </c>
    </row>
    <row r="4790">
      <c r="A4790" s="14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M4790" t="n">
        <v>0</v>
      </c>
      <c r="N4790" t="n">
        <v>100</v>
      </c>
      <c r="O4790" t="n">
        <v>0</v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T??cnico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  <c r="F1" t="inlineStr">
        <is>
          <t>Agente RO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  <c r="F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Ferreira</t>
        </is>
      </c>
      <c r="C3" t="inlineStr">
        <is>
          <t>Amanda Moura Ferreira</t>
        </is>
      </c>
      <c r="F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  <c r="F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  <c r="F5" t="inlineStr">
        <is>
          <t>ana paula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  <c r="F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  <c r="F7" t="inlineStr">
        <is>
          <t>brenda menezes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  <c r="F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  <c r="F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  <c r="F11" t="inlineStr">
        <is>
          <t>cristiane ramos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  <c r="F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  <c r="F13" t="inlineStr">
        <is>
          <t>Daniel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  <c r="F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  <c r="F16" t="inlineStr">
        <is>
          <t>emilly kamilly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  <c r="F17" t="inlineStr">
        <is>
          <t>francielson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  <c r="F21" t="inlineStr">
        <is>
          <t>isabella borges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  <c r="F23" t="inlineStr">
        <is>
          <t>jaqueline evangelista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  <c r="F26" t="inlineStr">
        <is>
          <t>karina goncalves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  <c r="F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  <c r="F29" t="inlineStr">
        <is>
          <t>leandro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  <c r="F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  <c r="F33" t="inlineStr">
        <is>
          <t>Luiz Fernando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  <c r="F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  <c r="F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  <c r="F38" t="inlineStr">
        <is>
          <t>Milena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  <c r="F40" t="inlineStr">
        <is>
          <t>paulo ricardo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  <c r="F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  <c r="F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  <c r="F43" t="inlineStr">
        <is>
          <t>raane batista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  <c r="F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  <c r="F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2026-06-03T15:13:08Z</dcterms:modified>
  <cp:lastModifiedBy>Esther Queiroz Supervisora Folha</cp:lastModifiedBy>
</cp:coreProperties>
</file>
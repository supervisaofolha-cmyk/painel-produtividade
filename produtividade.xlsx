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'Produtividade'!$A$1:$O$665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665"/>
  <sheetViews>
    <sheetView tabSelected="1" topLeftCell="A605" zoomScale="85" zoomScaleNormal="85" workbookViewId="0">
      <selection activeCell="E637" sqref="E637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Alisson de Freitas Silva</t>
        </is>
      </c>
      <c r="C2" s="3" t="inlineStr">
        <is>
          <t>Técnico II</t>
        </is>
      </c>
      <c r="D2" s="3" t="n">
        <v>40</v>
      </c>
      <c r="E2" s="3" t="n">
        <v>38</v>
      </c>
      <c r="F2" s="3" t="n">
        <v>8.300000000000001</v>
      </c>
      <c r="G2" s="3" t="n">
        <v>4</v>
      </c>
      <c r="I2" s="3">
        <f>E2+G2+H2</f>
        <v/>
      </c>
      <c r="J2" s="3">
        <f>IF(C2="Técnico III","35",IF(C2="Técnico II","28",IF(C2="Técnico I","23",IF(C2="JR","20",IF(C2="Estágio","10",)))))</f>
        <v/>
      </c>
      <c r="K2" s="3">
        <f>I2-J2</f>
        <v/>
      </c>
      <c r="L2" s="3">
        <f>IF(K2&lt;-5,"CRÍTICO",IF(K2&lt;0,"ATENÇÃO",IF(K2&lt;=5,"BOM","EXCELENTE")))</f>
        <v/>
      </c>
      <c r="M2" s="9" t="n">
        <v>36</v>
      </c>
      <c r="N2" s="9" t="n">
        <v>98.94</v>
      </c>
      <c r="O2" s="9" t="n">
        <v>19.61414790996785</v>
      </c>
    </row>
    <row r="3" hidden="1">
      <c r="A3" s="5" t="n">
        <v>46146</v>
      </c>
      <c r="B3" s="6" t="inlineStr">
        <is>
          <t>Amanda Moura Ferreira</t>
        </is>
      </c>
      <c r="C3" s="3" t="inlineStr">
        <is>
          <t>Técnico III</t>
        </is>
      </c>
      <c r="D3" s="3" t="n">
        <v>0</v>
      </c>
      <c r="E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>
        <f>IF(K3&lt;-5,"CRÍTICO",IF(K3&lt;0,"ATENÇÃO",IF(K3&lt;=5,"BOM","EXCELENTE")))</f>
        <v/>
      </c>
      <c r="M3" s="9" t="n">
        <v>0</v>
      </c>
      <c r="N3" s="9" t="n">
        <v>100</v>
      </c>
      <c r="O3" s="9" t="n">
        <v>0</v>
      </c>
    </row>
    <row r="4" hidden="1">
      <c r="A4" s="5" t="n">
        <v>46146</v>
      </c>
      <c r="B4" s="6" t="inlineStr">
        <is>
          <t>Ana Karollyne Souza Faria</t>
        </is>
      </c>
      <c r="C4" s="3" t="inlineStr">
        <is>
          <t>Técnico I</t>
        </is>
      </c>
      <c r="D4" s="3" t="n">
        <v>41</v>
      </c>
      <c r="E4" s="3" t="n">
        <v>39</v>
      </c>
      <c r="F4" s="3" t="n">
        <v>10.51</v>
      </c>
      <c r="G4" s="3" t="n">
        <v>1</v>
      </c>
      <c r="I4" s="3">
        <f>E4+G4+H4</f>
        <v/>
      </c>
      <c r="J4" s="3">
        <f>IF(C4="Técnico III","35",IF(C4="Técnico II","28",IF(C4="Técnico I","23",IF(C4="JR","20",IF(C4="Estágio","10",)))))</f>
        <v/>
      </c>
      <c r="K4" s="3">
        <f>I4-J4</f>
        <v/>
      </c>
      <c r="L4" s="3">
        <f>IF(K4&lt;-5,"CRÍTICO",IF(K4&lt;0,"ATENÇÃO",IF(K4&lt;=5,"BOM","EXCELENTE")))</f>
        <v/>
      </c>
      <c r="M4" s="9" t="n">
        <v>35</v>
      </c>
      <c r="N4" s="9" t="n">
        <v>95.38</v>
      </c>
      <c r="O4" s="9" t="n">
        <v>21.5962441314554</v>
      </c>
    </row>
    <row r="5" hidden="1">
      <c r="A5" s="5" t="n">
        <v>46146</v>
      </c>
      <c r="B5" s="6" t="inlineStr">
        <is>
          <t>Ana Paula Da Luz Silva Aleixo</t>
        </is>
      </c>
      <c r="C5" s="9" t="inlineStr">
        <is>
          <t>Técnico III</t>
        </is>
      </c>
      <c r="D5" s="3" t="n">
        <v>30</v>
      </c>
      <c r="E5" s="3" t="n">
        <v>27</v>
      </c>
      <c r="F5" s="3" t="n">
        <v>10.4</v>
      </c>
      <c r="G5" s="3" t="n">
        <v>0</v>
      </c>
      <c r="I5" s="3">
        <f>E5+G5+H5</f>
        <v/>
      </c>
      <c r="J5" s="3">
        <f>IF(C5="Técnico III","35",IF(C5="Técnico II","28",IF(C5="Técnico I","23",IF(C5="JR","20",IF(C5="Estágio","10",)))))</f>
        <v/>
      </c>
      <c r="K5" s="3">
        <f>I5-J5</f>
        <v/>
      </c>
      <c r="L5" s="3">
        <f>IF(K5&lt;-5,"CRÍTICO",IF(K5&lt;0,"ATENÇÃO",IF(K5&lt;=5,"BOM","EXCELENTE")))</f>
        <v/>
      </c>
      <c r="M5" s="9" t="n">
        <v>31</v>
      </c>
      <c r="N5" s="9" t="n">
        <v>96.34</v>
      </c>
      <c r="O5" s="9" t="n">
        <v>17.57188498402556</v>
      </c>
    </row>
    <row r="6" hidden="1">
      <c r="A6" s="5" t="n">
        <v>46146</v>
      </c>
      <c r="B6" s="6" t="inlineStr">
        <is>
          <t>Anna Luiza Rezende Tavares</t>
        </is>
      </c>
      <c r="C6" s="3" t="inlineStr">
        <is>
          <t>Estágio</t>
        </is>
      </c>
      <c r="D6" s="3" t="n">
        <v>48</v>
      </c>
      <c r="E6" s="3" t="n">
        <v>36</v>
      </c>
      <c r="F6" s="3" t="n">
        <v>6.4</v>
      </c>
      <c r="G6" s="3" t="n">
        <v>0</v>
      </c>
      <c r="H6" s="3" t="n">
        <v>0</v>
      </c>
      <c r="I6" s="3">
        <f>E6+G6+H6</f>
        <v/>
      </c>
      <c r="J6" s="3">
        <f>IF(C6="Técnico III","35",IF(C6="Técnico II","28",IF(C6="Técnico I","23",IF(C6="JR","20",IF(C6="Estágio","10",)))))</f>
        <v/>
      </c>
      <c r="K6" s="3">
        <f>I6-J6</f>
        <v/>
      </c>
      <c r="L6" s="3">
        <f>IF(K6&lt;-5,"CRÍTICO",IF(K6&lt;0,"ATENÇÃO",IF(K6&lt;=5,"BOM","EXCELENTE")))</f>
        <v/>
      </c>
      <c r="M6" s="9" t="n">
        <v>29</v>
      </c>
      <c r="N6" s="9" t="n">
        <v>99.11</v>
      </c>
      <c r="O6" s="9" t="n">
        <v>17.72151898734177</v>
      </c>
    </row>
    <row r="7" hidden="1">
      <c r="A7" s="5" t="n">
        <v>46146</v>
      </c>
      <c r="B7" s="6" t="inlineStr">
        <is>
          <t>Brenda de Menezes Silva</t>
        </is>
      </c>
      <c r="C7" s="3" t="inlineStr">
        <is>
          <t>Técnico II</t>
        </is>
      </c>
      <c r="D7" s="3" t="n">
        <v>41</v>
      </c>
      <c r="E7" s="3" t="n">
        <v>38</v>
      </c>
      <c r="F7" s="3" t="n">
        <v>7.04</v>
      </c>
      <c r="G7" s="3" t="n">
        <v>5</v>
      </c>
      <c r="I7" s="3">
        <f>E7+G7+H7</f>
        <v/>
      </c>
      <c r="J7" s="3">
        <f>IF(C7="Técnico III","35",IF(C7="Técnico II","28",IF(C7="Técnico I","23",IF(C7="JR","20",IF(C7="Estágio","10",)))))</f>
        <v/>
      </c>
      <c r="K7" s="3">
        <f>I7-J7</f>
        <v/>
      </c>
      <c r="L7" s="3">
        <f>IF(K7&lt;-5,"CRÍTICO",IF(K7&lt;0,"ATENÇÃO",IF(K7&lt;=5,"BOM","EXCELENTE")))</f>
        <v/>
      </c>
      <c r="M7" s="9" t="n">
        <v>43</v>
      </c>
      <c r="N7" s="9" t="n">
        <v>99.13</v>
      </c>
      <c r="O7" s="9" t="n">
        <v>14.7239263803681</v>
      </c>
    </row>
    <row r="8" hidden="1">
      <c r="A8" s="5" t="n">
        <v>46146</v>
      </c>
      <c r="B8" s="6" t="inlineStr">
        <is>
          <t>Carlos Mateus Cassimiro Nunes</t>
        </is>
      </c>
      <c r="C8" s="9" t="inlineStr">
        <is>
          <t>Técnico II</t>
        </is>
      </c>
      <c r="D8" s="3" t="n">
        <v>31</v>
      </c>
      <c r="E8" s="3" t="n">
        <v>29</v>
      </c>
      <c r="F8" s="3" t="n">
        <v>12.3</v>
      </c>
      <c r="G8" s="3" t="n">
        <v>0</v>
      </c>
      <c r="I8" s="3">
        <f>E8+G8+H8</f>
        <v/>
      </c>
      <c r="J8" s="3">
        <f>IF(C8="Técnico III","35",IF(C8="Técnico II","28",IF(C8="Técnico I","23",IF(C8="JR","20",IF(C8="Estágio","10",)))))</f>
        <v/>
      </c>
      <c r="K8" s="3">
        <f>I8-J8</f>
        <v/>
      </c>
      <c r="L8" s="3">
        <f>IF(K8&lt;-5,"CRÍTICO",IF(K8&lt;0,"ATENÇÃO",IF(K8&lt;=5,"BOM","EXCELENTE")))</f>
        <v/>
      </c>
      <c r="M8" s="9" t="n">
        <v>28</v>
      </c>
      <c r="N8" s="9" t="n">
        <v>98.8</v>
      </c>
      <c r="O8" s="9" t="n">
        <v>16.89750692520776</v>
      </c>
    </row>
    <row r="9" hidden="1">
      <c r="A9" s="5" t="n">
        <v>46146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8</v>
      </c>
      <c r="E9" s="3" t="n">
        <v>8</v>
      </c>
      <c r="F9" s="3" t="n">
        <v>15.3</v>
      </c>
      <c r="G9" s="3" t="n">
        <v>0</v>
      </c>
      <c r="I9" s="3">
        <f>E9+G9+H9</f>
        <v/>
      </c>
      <c r="J9" s="3">
        <f>IF(C9="Técnico III","35",IF(C9="Técnico II","28",IF(C9="Técnico I","23",IF(C9="JR","20",IF(C9="Estágio","10",)))))</f>
        <v/>
      </c>
      <c r="K9" s="3">
        <f>I9-J9</f>
        <v/>
      </c>
      <c r="L9" s="3">
        <f>IF(K9&lt;-5,"CRÍTICO",IF(K9&lt;0,"ATENÇÃO",IF(K9&lt;=5,"BOM","EXCELENTE")))</f>
        <v/>
      </c>
      <c r="M9" s="9" t="n">
        <v>7</v>
      </c>
      <c r="N9" s="9" t="n">
        <v>96.43000000000001</v>
      </c>
      <c r="O9" s="9" t="n">
        <v>20</v>
      </c>
    </row>
    <row r="10" hidden="1">
      <c r="A10" s="5" t="n">
        <v>46146</v>
      </c>
      <c r="B10" s="6" t="inlineStr">
        <is>
          <t>Clessiane Pereira dos Santos</t>
        </is>
      </c>
      <c r="C10" s="3" t="inlineStr">
        <is>
          <t>Técnico I</t>
        </is>
      </c>
      <c r="D10" s="3" t="n">
        <v>32</v>
      </c>
      <c r="E10" s="3" t="n">
        <v>26</v>
      </c>
      <c r="F10" s="3" t="n">
        <v>9.130000000000001</v>
      </c>
      <c r="G10" s="3" t="n">
        <v>6</v>
      </c>
      <c r="I10" s="3">
        <f>E10+G10+H10</f>
        <v/>
      </c>
      <c r="J10" s="3">
        <f>IF(C10="Técnico III","35",IF(C10="Técnico II","28",IF(C10="Técnico I","23",IF(C10="JR","20",IF(C10="Estágio","10",)))))</f>
        <v/>
      </c>
      <c r="K10" s="3">
        <f>I10-J10</f>
        <v/>
      </c>
      <c r="L10" s="3">
        <f>IF(K10&lt;-5,"CRÍTICO",IF(K10&lt;0,"ATENÇÃO",IF(K10&lt;=5,"BOM","EXCELENTE")))</f>
        <v/>
      </c>
      <c r="M10" s="9" t="n">
        <v>29</v>
      </c>
      <c r="N10" s="9" t="n">
        <v>96.88</v>
      </c>
      <c r="O10" s="9" t="n">
        <v>19.52662721893491</v>
      </c>
    </row>
    <row r="11" hidden="1">
      <c r="A11" s="5" t="n">
        <v>46146</v>
      </c>
      <c r="B11" s="6" t="inlineStr">
        <is>
          <t>Cristiane Ramos da Silva Rocha</t>
        </is>
      </c>
      <c r="C11" s="3" t="inlineStr">
        <is>
          <t>Técnico III</t>
        </is>
      </c>
      <c r="D11" s="3" t="n">
        <v>38</v>
      </c>
      <c r="E11" s="3" t="n">
        <v>37</v>
      </c>
      <c r="F11" s="3" t="n">
        <v>8.34</v>
      </c>
      <c r="G11" s="3" t="n">
        <v>1</v>
      </c>
      <c r="I11" s="3">
        <f>E11+G11+H11</f>
        <v/>
      </c>
      <c r="J11" s="3">
        <f>IF(C11="Técnico III","35",IF(C11="Técnico II","28",IF(C11="Técnico I","23",IF(C11="JR","20",IF(C11="Estágio","10",)))))</f>
        <v/>
      </c>
      <c r="K11" s="3">
        <f>I11-J11</f>
        <v/>
      </c>
      <c r="L11" s="3">
        <f>IF(K11&lt;-5,"CRÍTICO",IF(K11&lt;0,"ATENÇÃO",IF(K11&lt;=5,"BOM","EXCELENTE")))</f>
        <v/>
      </c>
      <c r="M11" s="9" t="n">
        <v>32</v>
      </c>
      <c r="N11" s="9" t="n">
        <v>91.84999999999999</v>
      </c>
      <c r="O11" s="9" t="n">
        <v>20.87155963302752</v>
      </c>
    </row>
    <row r="12" hidden="1">
      <c r="A12" s="5" t="n">
        <v>46146</v>
      </c>
      <c r="B12" s="6" t="inlineStr">
        <is>
          <t>Damyllis Lorraine de Oliveira Gonçalves</t>
        </is>
      </c>
      <c r="C12" s="3" t="inlineStr">
        <is>
          <t>Técnico II</t>
        </is>
      </c>
      <c r="D12" s="3" t="n">
        <v>37</v>
      </c>
      <c r="E12" s="3" t="n">
        <v>30</v>
      </c>
      <c r="F12" s="3" t="n">
        <v>9.15</v>
      </c>
      <c r="G12" s="3" t="n">
        <v>1</v>
      </c>
      <c r="I12" s="3">
        <f>E12+G12+H12</f>
        <v/>
      </c>
      <c r="J12" s="3">
        <f>IF(C12="Técnico III","35",IF(C12="Técnico II","28",IF(C12="Técnico I","23",IF(C12="JR","20",IF(C12="Estágio","10",)))))</f>
        <v/>
      </c>
      <c r="K12" s="3">
        <f>I12-J12</f>
        <v/>
      </c>
      <c r="L12" s="3">
        <f>IF(K12&lt;-5,"CRÍTICO",IF(K12&lt;0,"ATENÇÃO",IF(K12&lt;=5,"BOM","EXCELENTE")))</f>
        <v/>
      </c>
      <c r="M12" s="9" t="n">
        <v>25</v>
      </c>
      <c r="N12" s="9" t="n">
        <v>98.63</v>
      </c>
      <c r="O12" s="9" t="n">
        <v>18.75</v>
      </c>
    </row>
    <row r="13" hidden="1">
      <c r="A13" s="5" t="n">
        <v>46146</v>
      </c>
      <c r="B13" s="6" t="inlineStr">
        <is>
          <t>Daniel Gomes da Silva</t>
        </is>
      </c>
      <c r="C13" s="3" t="inlineStr">
        <is>
          <t>Técnico I</t>
        </is>
      </c>
      <c r="D13" s="3" t="n">
        <v>28</v>
      </c>
      <c r="E13" s="3" t="n">
        <v>27</v>
      </c>
      <c r="F13" s="3" t="n">
        <v>10.34</v>
      </c>
      <c r="G13" s="3" t="n">
        <v>0</v>
      </c>
      <c r="I13" s="3">
        <f>E13+G13+H13</f>
        <v/>
      </c>
      <c r="J13" s="3">
        <f>IF(C13="Técnico III","35",IF(C13="Técnico II","28",IF(C13="Técnico I","23",IF(C13="JR","20",IF(C13="Estágio","10",)))))</f>
        <v/>
      </c>
      <c r="K13" s="3">
        <f>I13-J13</f>
        <v/>
      </c>
      <c r="L13" s="3">
        <f>IF(K13&lt;-5,"CRÍTICO",IF(K13&lt;0,"ATENÇÃO",IF(K13&lt;=5,"BOM","EXCELENTE")))</f>
        <v/>
      </c>
      <c r="M13" s="9" t="n">
        <v>16</v>
      </c>
      <c r="N13" s="9" t="n">
        <v>100</v>
      </c>
      <c r="O13" s="9" t="n">
        <v>18.14516129032258</v>
      </c>
    </row>
    <row r="14" hidden="1">
      <c r="A14" s="5" t="n">
        <v>46146</v>
      </c>
      <c r="B14" s="6" t="inlineStr">
        <is>
          <t>Davylla Rodrigues Freitas Silva</t>
        </is>
      </c>
      <c r="C14" s="9" t="inlineStr">
        <is>
          <t>Técnico III</t>
        </is>
      </c>
      <c r="D14" s="3" t="n">
        <v>21</v>
      </c>
      <c r="E14" s="3" t="n">
        <v>20</v>
      </c>
      <c r="F14" s="3" t="n">
        <v>13</v>
      </c>
      <c r="G14" s="3" t="n">
        <v>4</v>
      </c>
      <c r="I14" s="3">
        <f>E14+G14+H14</f>
        <v/>
      </c>
      <c r="J14" s="3">
        <f>IF(C14="Técnico III","35",IF(C14="Técnico II","28",IF(C14="Técnico I","23",IF(C14="JR","20",IF(C14="Estágio","10",)))))</f>
        <v/>
      </c>
      <c r="K14" s="3">
        <f>I14-J14</f>
        <v/>
      </c>
      <c r="L14" s="3">
        <f>IF(K14&lt;-5,"CRÍTICO",IF(K14&lt;0,"ATENÇÃO",IF(K14&lt;=5,"BOM","EXCELENTE")))</f>
        <v/>
      </c>
      <c r="M14" s="9" t="n">
        <v>25</v>
      </c>
      <c r="N14" s="9" t="n">
        <v>99.06</v>
      </c>
      <c r="O14" s="9" t="n">
        <v>22.95719844357977</v>
      </c>
    </row>
    <row r="15" hidden="1">
      <c r="A15" s="5" t="n">
        <v>46146</v>
      </c>
      <c r="B15" s="6" t="inlineStr">
        <is>
          <t>Emilly Caylane Costa</t>
        </is>
      </c>
      <c r="C15" s="3" t="inlineStr">
        <is>
          <t>Estágio</t>
        </is>
      </c>
      <c r="D15" s="3" t="n">
        <v>8</v>
      </c>
      <c r="E15" s="3" t="n">
        <v>8</v>
      </c>
      <c r="F15" s="3" t="n">
        <v>23.25</v>
      </c>
      <c r="G15" s="3" t="n">
        <v>0</v>
      </c>
      <c r="I15" s="3">
        <f>E15+G15+H15</f>
        <v/>
      </c>
      <c r="J15" s="3">
        <f>IF(C15="Técnico III","35",IF(C15="Técnico II","28",IF(C15="Técnico I","23",IF(C15="JR","20",IF(C15="Estágio","10",)))))</f>
        <v/>
      </c>
      <c r="K15" s="3">
        <f>I15-J15</f>
        <v/>
      </c>
      <c r="L15" s="3">
        <f>IF(K15&lt;-5,"CRÍTICO",IF(K15&lt;0,"ATENÇÃO",IF(K15&lt;=5,"BOM","EXCELENTE")))</f>
        <v/>
      </c>
      <c r="M15" s="9" t="n">
        <v>8</v>
      </c>
      <c r="N15" s="9" t="n">
        <v>100</v>
      </c>
      <c r="O15" s="9" t="n">
        <v>29.03225806451613</v>
      </c>
    </row>
    <row r="16" hidden="1">
      <c r="A16" s="5" t="n">
        <v>46146</v>
      </c>
      <c r="B16" s="6" t="inlineStr">
        <is>
          <t>Emilly Kamilly Medeiros Miranda</t>
        </is>
      </c>
      <c r="C16" s="3" t="inlineStr">
        <is>
          <t>Técnico II</t>
        </is>
      </c>
      <c r="D16" s="3" t="n">
        <v>31</v>
      </c>
      <c r="E16" s="3" t="n">
        <v>28</v>
      </c>
      <c r="F16" s="3" t="n">
        <v>9.09</v>
      </c>
      <c r="G16" s="3" t="n">
        <v>7</v>
      </c>
      <c r="I16" s="3">
        <f>E16+G16+H16</f>
        <v/>
      </c>
      <c r="J16" s="3">
        <f>IF(C16="Técnico III","35",IF(C16="Técnico II","28",IF(C16="Técnico I","23",IF(C16="JR","20",IF(C16="Estágio","10",)))))</f>
        <v/>
      </c>
      <c r="K16" s="3">
        <f>I16-J16</f>
        <v/>
      </c>
      <c r="L16" s="3">
        <f>IF(K16&lt;-5,"CRÍTICO",IF(K16&lt;0,"ATENÇÃO",IF(K16&lt;=5,"BOM","EXCELENTE")))</f>
        <v/>
      </c>
      <c r="M16" s="9" t="n">
        <v>29</v>
      </c>
      <c r="N16" s="9" t="n">
        <v>100</v>
      </c>
      <c r="O16" s="9" t="n">
        <v>13.8121546961326</v>
      </c>
    </row>
    <row r="17" hidden="1">
      <c r="A17" s="5" t="n">
        <v>46146</v>
      </c>
      <c r="B17" s="6" t="inlineStr">
        <is>
          <t>Francielson de Oliveira</t>
        </is>
      </c>
      <c r="C17" s="9" t="inlineStr">
        <is>
          <t>Técnico III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>
        <f>IF(K17&lt;-5,"CRÍTICO",IF(K17&lt;0,"ATENÇÃO",IF(K17&lt;=5,"BOM","EXCELENTE")))</f>
        <v/>
      </c>
      <c r="M17" s="9" t="n">
        <v>0</v>
      </c>
      <c r="N17" s="9" t="n">
        <v>100</v>
      </c>
      <c r="O17" s="9" t="n">
        <v>9.523809523809524</v>
      </c>
    </row>
    <row r="18" hidden="1">
      <c r="A18" s="5" t="n">
        <v>46146</v>
      </c>
      <c r="B18" s="6" t="inlineStr">
        <is>
          <t>Francilene Ferreira de Jesus</t>
        </is>
      </c>
      <c r="C18" s="3" t="inlineStr">
        <is>
          <t>Técnico II</t>
        </is>
      </c>
      <c r="D18" s="3" t="n">
        <v>36</v>
      </c>
      <c r="E18" s="3" t="n">
        <v>33</v>
      </c>
      <c r="F18" s="3" t="n">
        <v>11.17</v>
      </c>
      <c r="G18" s="3" t="n">
        <v>0</v>
      </c>
      <c r="I18" s="3">
        <f>E18+G18+H18</f>
        <v/>
      </c>
      <c r="J18" s="3">
        <f>IF(C18="Técnico III","35",IF(C18="Técnico II","28",IF(C18="Técnico I","23",IF(C18="JR","20",IF(C18="Estágio","10",)))))</f>
        <v/>
      </c>
      <c r="K18" s="3">
        <f>I18-J18</f>
        <v/>
      </c>
      <c r="L18" s="3">
        <f>IF(K18&lt;-5,"CRÍTICO",IF(K18&lt;0,"ATENÇÃO",IF(K18&lt;=5,"BOM","EXCELENTE")))</f>
        <v/>
      </c>
      <c r="M18" s="9" t="n">
        <v>29</v>
      </c>
      <c r="N18" s="9" t="n">
        <v>100</v>
      </c>
      <c r="O18" s="9" t="n">
        <v>17.24137931034483</v>
      </c>
    </row>
    <row r="19" hidden="1">
      <c r="A19" s="5" t="n">
        <v>46146</v>
      </c>
      <c r="B19" s="6" t="inlineStr">
        <is>
          <t>Gabriel Gomes de Andrade</t>
        </is>
      </c>
      <c r="C19" s="3" t="inlineStr">
        <is>
          <t>Técnico I</t>
        </is>
      </c>
      <c r="D19" s="3" t="n">
        <v>24</v>
      </c>
      <c r="E19" s="3" t="n">
        <v>20</v>
      </c>
      <c r="F19" s="3" t="n">
        <v>13.05</v>
      </c>
      <c r="G19" s="3" t="n">
        <v>7</v>
      </c>
      <c r="I19" s="3">
        <f>E19+G19+H19</f>
        <v/>
      </c>
      <c r="J19" s="3">
        <f>IF(C19="Técnico III","35",IF(C19="Técnico II","28",IF(C19="Técnico I","23",IF(C19="JR","20",IF(C19="Estágio","10",)))))</f>
        <v/>
      </c>
      <c r="K19" s="3">
        <f>I19-J19</f>
        <v/>
      </c>
      <c r="L19" s="3">
        <f>IF(K19&lt;-5,"CRÍTICO",IF(K19&lt;0,"ATENÇÃO",IF(K19&lt;=5,"BOM","EXCELENTE")))</f>
        <v/>
      </c>
      <c r="M19" s="9" t="n">
        <v>22</v>
      </c>
      <c r="N19" s="9" t="n">
        <v>98.8</v>
      </c>
      <c r="O19" s="9" t="n">
        <v>15.41353383458646</v>
      </c>
    </row>
    <row r="20" hidden="1">
      <c r="A20" s="5" t="n">
        <v>46146</v>
      </c>
      <c r="B20" s="6" t="inlineStr">
        <is>
          <t>Isabella Borges de Oliveira</t>
        </is>
      </c>
      <c r="C20" s="9" t="inlineStr">
        <is>
          <t>Técnico II</t>
        </is>
      </c>
      <c r="D20" s="3" t="n">
        <v>36</v>
      </c>
      <c r="E20" s="3" t="n">
        <v>34</v>
      </c>
      <c r="F20" s="3" t="n">
        <v>8.51</v>
      </c>
      <c r="G20" s="3" t="n">
        <v>0</v>
      </c>
      <c r="I20" s="3">
        <f>E20+G20+H20</f>
        <v/>
      </c>
      <c r="J20" s="3">
        <f>IF(C20="Técnico III","35",IF(C20="Técnico II","28",IF(C20="Técnico I","23",IF(C20="JR","20",IF(C20="Estágio","10",)))))</f>
        <v/>
      </c>
      <c r="K20" s="3">
        <f>I20-J20</f>
        <v/>
      </c>
      <c r="L20" s="3">
        <f>IF(K20&lt;-5,"CRÍTICO",IF(K20&lt;0,"ATENÇÃO",IF(K20&lt;=5,"BOM","EXCELENTE")))</f>
        <v/>
      </c>
      <c r="M20" s="9" t="n">
        <v>33</v>
      </c>
      <c r="N20" s="9" t="n">
        <v>98.63</v>
      </c>
      <c r="O20" s="9" t="n">
        <v>15.75757575757576</v>
      </c>
    </row>
    <row r="21" hidden="1">
      <c r="A21" s="5" t="n">
        <v>46146</v>
      </c>
      <c r="B21" s="6" t="inlineStr">
        <is>
          <t>Janaina Lima dos Reis Urany</t>
        </is>
      </c>
      <c r="C21" s="3" t="inlineStr">
        <is>
          <t>Técnico III</t>
        </is>
      </c>
      <c r="D21" s="3" t="n">
        <v>47</v>
      </c>
      <c r="E21" s="3" t="n">
        <v>44</v>
      </c>
      <c r="F21" s="3" t="n">
        <v>7.38</v>
      </c>
      <c r="G21" s="3" t="n">
        <v>5</v>
      </c>
      <c r="I21" s="3">
        <f>E21+G21+H21</f>
        <v/>
      </c>
      <c r="J21" s="3">
        <f>IF(C21="Técnico III","35",IF(C21="Técnico II","28",IF(C21="Técnico I","23",IF(C21="JR","20",IF(C21="Estágio","10",)))))</f>
        <v/>
      </c>
      <c r="K21" s="3">
        <f>I21-J21</f>
        <v/>
      </c>
      <c r="L21" s="3">
        <f>IF(K21&lt;-5,"CRÍTICO",IF(K21&lt;0,"ATENÇÃO",IF(K21&lt;=5,"BOM","EXCELENTE")))</f>
        <v/>
      </c>
      <c r="M21" s="9" t="n">
        <v>46</v>
      </c>
      <c r="N21" s="9" t="n">
        <v>98.64</v>
      </c>
      <c r="O21" s="9" t="n">
        <v>16.6383701188455</v>
      </c>
    </row>
    <row r="22" hidden="1">
      <c r="A22" s="5" t="n">
        <v>46146</v>
      </c>
      <c r="B22" s="6" t="inlineStr">
        <is>
          <t>Jaqueline Evangelista da Silva Martins</t>
        </is>
      </c>
      <c r="C22" s="3" t="inlineStr">
        <is>
          <t>Técnico III</t>
        </is>
      </c>
      <c r="D22" s="3" t="n">
        <v>11</v>
      </c>
      <c r="E22" s="3" t="n">
        <v>11</v>
      </c>
      <c r="F22" s="3" t="n">
        <v>13.2</v>
      </c>
      <c r="G22" s="3" t="n">
        <v>5</v>
      </c>
      <c r="I22" s="3">
        <f>E22+G22+H22</f>
        <v/>
      </c>
      <c r="J22" s="3">
        <f>IF(C22="Técnico III","35",IF(C22="Técnico II","28",IF(C22="Técnico I","23",IF(C22="JR","20",IF(C22="Estágio","10",)))))</f>
        <v/>
      </c>
      <c r="K22" s="3">
        <f>I22-J22</f>
        <v/>
      </c>
      <c r="L22" s="3">
        <f>IF(K22&lt;-5,"CRÍTICO",IF(K22&lt;0,"ATENÇÃO",IF(K22&lt;=5,"BOM","EXCELENTE")))</f>
        <v/>
      </c>
      <c r="M22" s="9" t="n">
        <v>18</v>
      </c>
      <c r="N22" s="9" t="n">
        <v>95.40000000000001</v>
      </c>
      <c r="O22" s="9" t="n">
        <v>20.53333333333333</v>
      </c>
    </row>
    <row r="23" hidden="1">
      <c r="A23" s="5" t="n">
        <v>46146</v>
      </c>
      <c r="B23" s="6" t="inlineStr">
        <is>
          <t>Jessica Faria da Silveira</t>
        </is>
      </c>
      <c r="C23" s="3" t="inlineStr">
        <is>
          <t>Técnico II</t>
        </is>
      </c>
      <c r="D23" s="3" t="n">
        <v>32</v>
      </c>
      <c r="E23" s="3" t="n">
        <v>28</v>
      </c>
      <c r="F23" s="3" t="n">
        <v>8.550000000000001</v>
      </c>
      <c r="G23" s="3" t="n">
        <v>4</v>
      </c>
      <c r="I23" s="3">
        <f>E23+G23+H23</f>
        <v/>
      </c>
      <c r="J23" s="3">
        <f>IF(C23="Técnico III","35",IF(C23="Técnico II","28",IF(C23="Técnico I","23",IF(C23="JR","20",IF(C23="Estágio","10",)))))</f>
        <v/>
      </c>
      <c r="K23" s="3">
        <f>I23-J23</f>
        <v/>
      </c>
      <c r="L23" s="3">
        <f>IF(K23&lt;-5,"CRÍTICO",IF(K23&lt;0,"ATENÇÃO",IF(K23&lt;=5,"BOM","EXCELENTE")))</f>
        <v/>
      </c>
      <c r="M23" s="9" t="n">
        <v>31</v>
      </c>
      <c r="N23" s="9" t="n">
        <v>98.61</v>
      </c>
      <c r="O23" s="9" t="n">
        <v>16.97530864197531</v>
      </c>
    </row>
    <row r="24" hidden="1">
      <c r="A24" s="5" t="n">
        <v>46146</v>
      </c>
      <c r="B24" s="6" t="inlineStr">
        <is>
          <t>Jéssica Fé Moura</t>
        </is>
      </c>
      <c r="C24" s="3" t="inlineStr">
        <is>
          <t>Técnico III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>
        <f>IF(K24&lt;-5,"CRÍTICO",IF(K24&lt;0,"ATENÇÃO",IF(K24&lt;=5,"BOM","EXCELENTE")))</f>
        <v/>
      </c>
      <c r="M24" s="9" t="n">
        <v>0</v>
      </c>
      <c r="N24" s="9" t="n">
        <v>0</v>
      </c>
      <c r="O24" s="9" t="n">
        <v>0</v>
      </c>
    </row>
    <row r="25" hidden="1">
      <c r="A25" s="5" t="n">
        <v>46146</v>
      </c>
      <c r="B25" s="6" t="inlineStr">
        <is>
          <t>Karina Gonçalves Martins</t>
        </is>
      </c>
      <c r="C25" s="3" t="inlineStr">
        <is>
          <t>JR</t>
        </is>
      </c>
      <c r="D25" s="3" t="n">
        <v>24</v>
      </c>
      <c r="E25" s="3" t="n">
        <v>24</v>
      </c>
      <c r="F25" s="3" t="n">
        <v>11.31</v>
      </c>
      <c r="G25" s="3" t="n">
        <v>0</v>
      </c>
      <c r="I25" s="3">
        <f>E25+G25+H25</f>
        <v/>
      </c>
      <c r="J25" s="3">
        <f>IF(C25="Técnico III","35",IF(C25="Técnico II","28",IF(C25="Técnico I","23",IF(C25="JR","20",IF(C25="Estágio","10",)))))</f>
        <v/>
      </c>
      <c r="K25" s="3">
        <f>I25-J25</f>
        <v/>
      </c>
      <c r="L25" s="3">
        <f>IF(K25&lt;-5,"CRÍTICO",IF(K25&lt;0,"ATENÇÃO",IF(K25&lt;=5,"BOM","EXCELENTE")))</f>
        <v/>
      </c>
      <c r="M25" s="9" t="n">
        <v>22</v>
      </c>
      <c r="N25" s="9" t="n">
        <v>97.01000000000001</v>
      </c>
      <c r="O25" s="9" t="n">
        <v>13.96103896103896</v>
      </c>
    </row>
    <row r="26" hidden="1">
      <c r="A26" s="5" t="n">
        <v>46146</v>
      </c>
      <c r="B26" s="6" t="inlineStr">
        <is>
          <t>Kerollen Cristielly de Jesus Siqueira</t>
        </is>
      </c>
      <c r="C26" s="9" t="inlineStr">
        <is>
          <t>Técnico III</t>
        </is>
      </c>
      <c r="D26" s="3" t="n">
        <v>20</v>
      </c>
      <c r="E26" s="3" t="n">
        <v>20</v>
      </c>
      <c r="F26" s="3" t="n">
        <v>12.48</v>
      </c>
      <c r="G26" s="3" t="n">
        <v>0</v>
      </c>
      <c r="I26" s="3">
        <f>E26+G26+H26</f>
        <v/>
      </c>
      <c r="J26" s="3">
        <f>IF(C26="Técnico III","35",IF(C26="Técnico II","28",IF(C26="Técnico I","23",IF(C26="JR","20",IF(C26="Estágio","10",)))))</f>
        <v/>
      </c>
      <c r="K26" s="3">
        <f>I26-J26</f>
        <v/>
      </c>
      <c r="L26" s="3">
        <f>IF(K26&lt;-5,"CRÍTICO",IF(K26&lt;0,"ATENÇÃO",IF(K26&lt;=5,"BOM","EXCELENTE")))</f>
        <v/>
      </c>
      <c r="M26" s="9" t="n">
        <v>20</v>
      </c>
      <c r="N26" s="9" t="n">
        <v>95.52</v>
      </c>
      <c r="O26" s="9" t="n">
        <v>10.56105610561056</v>
      </c>
    </row>
    <row r="27" hidden="1">
      <c r="A27" s="5" t="n">
        <v>46146</v>
      </c>
      <c r="B27" s="6" t="inlineStr">
        <is>
          <t>Leandro de Souza Silva</t>
        </is>
      </c>
      <c r="C27" s="3" t="inlineStr">
        <is>
          <t>JR</t>
        </is>
      </c>
      <c r="D27" s="3" t="n">
        <v>12</v>
      </c>
      <c r="E27" s="3" t="n">
        <v>11</v>
      </c>
      <c r="F27" s="3" t="n">
        <v>15.03</v>
      </c>
      <c r="G27" s="3" t="n">
        <v>4</v>
      </c>
      <c r="I27" s="3">
        <f>E27+G27+H27</f>
        <v/>
      </c>
      <c r="J27" s="3">
        <f>IF(C27="Técnico III","35",IF(C27="Técnico II","28",IF(C27="Técnico I","23",IF(C27="JR","20",IF(C27="Estágio","10",)))))</f>
        <v/>
      </c>
      <c r="K27" s="3">
        <f>I27-J27</f>
        <v/>
      </c>
      <c r="L27" s="3">
        <f>IF(K27&lt;-5,"CRÍTICO",IF(K27&lt;0,"ATENÇÃO",IF(K27&lt;=5,"BOM","EXCELENTE")))</f>
        <v/>
      </c>
      <c r="M27" s="9" t="n">
        <v>15</v>
      </c>
      <c r="N27" s="9" t="n">
        <v>100</v>
      </c>
      <c r="O27" s="9" t="n">
        <v>16.95906432748538</v>
      </c>
    </row>
    <row r="28" hidden="1">
      <c r="A28" s="5" t="n">
        <v>46146</v>
      </c>
      <c r="B28" s="6" t="inlineStr">
        <is>
          <t>Leandro Oliveira de Sousa</t>
        </is>
      </c>
      <c r="C28" s="9" t="inlineStr">
        <is>
          <t>Técnico III</t>
        </is>
      </c>
      <c r="D28" s="3" t="n">
        <v>32</v>
      </c>
      <c r="E28" s="3" t="n">
        <v>29</v>
      </c>
      <c r="F28" s="3" t="n">
        <v>9.44</v>
      </c>
      <c r="G28" s="3" t="n">
        <v>0</v>
      </c>
      <c r="I28" s="3">
        <f>E28+G28+H28</f>
        <v/>
      </c>
      <c r="J28" s="3">
        <f>IF(C28="Técnico III","35",IF(C28="Técnico II","28",IF(C28="Técnico I","23",IF(C28="JR","20",IF(C28="Estágio","10",)))))</f>
        <v/>
      </c>
      <c r="K28" s="3">
        <f>I28-J28</f>
        <v/>
      </c>
      <c r="L28" s="3">
        <f>IF(K28&lt;-5,"CRÍTICO",IF(K28&lt;0,"ATENÇÃO",IF(K28&lt;=5,"BOM","EXCELENTE")))</f>
        <v/>
      </c>
      <c r="M28" s="9" t="n">
        <v>27</v>
      </c>
      <c r="N28" s="9" t="n">
        <v>100</v>
      </c>
      <c r="O28" s="9" t="n">
        <v>15.58441558441558</v>
      </c>
    </row>
    <row r="29" hidden="1">
      <c r="A29" s="5" t="n">
        <v>46146</v>
      </c>
      <c r="B29" s="6" t="inlineStr">
        <is>
          <t>Lizandra Gomes Duarte</t>
        </is>
      </c>
      <c r="C29" s="3" t="inlineStr">
        <is>
          <t>Técnico II</t>
        </is>
      </c>
      <c r="D29" s="3" t="n">
        <v>29</v>
      </c>
      <c r="E29" s="3" t="n">
        <v>26</v>
      </c>
      <c r="F29" s="3" t="n">
        <v>9.470000000000001</v>
      </c>
      <c r="G29" s="3" t="n">
        <v>0</v>
      </c>
      <c r="I29" s="3">
        <f>E29+G29+H29</f>
        <v/>
      </c>
      <c r="J29" s="3">
        <f>IF(C29="Técnico III","35",IF(C29="Técnico II","28",IF(C29="Técnico I","23",IF(C29="JR","20",IF(C29="Estágio","10",)))))</f>
        <v/>
      </c>
      <c r="K29" s="3">
        <f>I29-J29</f>
        <v/>
      </c>
      <c r="L29" s="3">
        <f>IF(K29&lt;-5,"CRÍTICO",IF(K29&lt;0,"ATENÇÃO",IF(K29&lt;=5,"BOM","EXCELENTE")))</f>
        <v/>
      </c>
      <c r="M29" s="9" t="n">
        <v>15</v>
      </c>
      <c r="N29" s="9" t="n">
        <v>98.61</v>
      </c>
      <c r="O29" s="9" t="n">
        <v>16.86746987951807</v>
      </c>
    </row>
    <row r="30" hidden="1">
      <c r="A30" s="5" t="n">
        <v>46146</v>
      </c>
      <c r="B30" s="6" t="inlineStr">
        <is>
          <t>Lorena Dias de Araujo</t>
        </is>
      </c>
      <c r="C30" s="3" t="inlineStr">
        <is>
          <t>Técnico II</t>
        </is>
      </c>
      <c r="D30" s="3" t="n">
        <v>41</v>
      </c>
      <c r="E30" s="3" t="n">
        <v>40</v>
      </c>
      <c r="F30" s="3" t="n">
        <v>9.1</v>
      </c>
      <c r="G30" s="3" t="n">
        <v>0</v>
      </c>
      <c r="I30" s="3">
        <f>E30+G30+H30</f>
        <v/>
      </c>
      <c r="J30" s="3">
        <f>IF(C30="Técnico III","35",IF(C30="Técnico II","28",IF(C30="Técnico I","23",IF(C30="JR","20",IF(C30="Estágio","10",)))))</f>
        <v/>
      </c>
      <c r="K30" s="3">
        <f>I30-J30</f>
        <v/>
      </c>
      <c r="L30" s="3">
        <f>IF(K30&lt;-5,"CRÍTICO",IF(K30&lt;0,"ATENÇÃO",IF(K30&lt;=5,"BOM","EXCELENTE")))</f>
        <v/>
      </c>
      <c r="M30" s="9" t="n">
        <v>31</v>
      </c>
      <c r="N30" s="9" t="n">
        <v>100</v>
      </c>
      <c r="O30" s="9" t="n">
        <v>20.82018927444795</v>
      </c>
    </row>
    <row r="31" hidden="1">
      <c r="A31" s="5" t="n">
        <v>46146</v>
      </c>
      <c r="B31" s="6" t="inlineStr">
        <is>
          <t>Lucas Luiz Romero</t>
        </is>
      </c>
      <c r="C31" s="3" t="inlineStr">
        <is>
          <t>Técnico III</t>
        </is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>
        <f>IF(K31&lt;-5,"CRÍTICO",IF(K31&lt;0,"ATENÇÃO",IF(K31&lt;=5,"BOM","EXCELENTE")))</f>
        <v/>
      </c>
      <c r="M31" s="9" t="n">
        <v>0</v>
      </c>
      <c r="N31" s="9" t="n">
        <v>100</v>
      </c>
      <c r="O31" s="9" t="n">
        <v>4.347826086956522</v>
      </c>
    </row>
    <row r="32" hidden="1">
      <c r="A32" s="5" t="n">
        <v>46146</v>
      </c>
      <c r="B32" s="6" t="inlineStr">
        <is>
          <t>Luiz Fernando de Carvalho Junior</t>
        </is>
      </c>
      <c r="C32" s="3" t="inlineStr">
        <is>
          <t>Técnico I</t>
        </is>
      </c>
      <c r="D32" s="3" t="n">
        <v>25</v>
      </c>
      <c r="E32" s="3" t="n">
        <v>21</v>
      </c>
      <c r="F32" s="3" t="n">
        <v>10.38</v>
      </c>
      <c r="G32" s="3" t="n">
        <v>4</v>
      </c>
      <c r="I32" s="3">
        <f>E32+G32+H32</f>
        <v/>
      </c>
      <c r="J32" s="3">
        <f>IF(C32="Técnico III","35",IF(C32="Técnico II","28",IF(C32="Técnico I","23",IF(C32="JR","20",IF(C32="Estágio","10",)))))</f>
        <v/>
      </c>
      <c r="K32" s="3">
        <f>I32-J32</f>
        <v/>
      </c>
      <c r="L32" s="3">
        <f>IF(K32&lt;-5,"CRÍTICO",IF(K32&lt;0,"ATENÇÃO",IF(K32&lt;=5,"BOM","EXCELENTE")))</f>
        <v/>
      </c>
      <c r="M32" s="9" t="n">
        <v>26</v>
      </c>
      <c r="N32" s="9" t="n">
        <v>93.26000000000001</v>
      </c>
      <c r="O32" s="9" t="n">
        <v>19.93957703927493</v>
      </c>
    </row>
    <row r="33" hidden="1">
      <c r="A33" s="5" t="n">
        <v>46146</v>
      </c>
      <c r="B33" s="6" t="inlineStr">
        <is>
          <t>Maria Eduarda Sousa Costa</t>
        </is>
      </c>
      <c r="C33" s="3" t="inlineStr">
        <is>
          <t>Estágio</t>
        </is>
      </c>
      <c r="D33" s="3" t="n">
        <v>47</v>
      </c>
      <c r="E33" s="3" t="n">
        <v>25</v>
      </c>
      <c r="F33" s="3" t="n">
        <v>2.37</v>
      </c>
      <c r="G33" s="3" t="n">
        <v>0</v>
      </c>
      <c r="H33" s="3" t="n">
        <v>0</v>
      </c>
      <c r="I33" s="3">
        <f>E33+G33+H33</f>
        <v/>
      </c>
      <c r="J33" s="3">
        <f>IF(C33="Técnico III","35",IF(C33="Técnico II","28",IF(C33="Técnico I","23",IF(C33="JR","20",IF(C33="Estágio","10",)))))</f>
        <v/>
      </c>
      <c r="K33" s="3">
        <f>I33-J33</f>
        <v/>
      </c>
      <c r="L33" s="3">
        <f>IF(K33&lt;-5,"CRÍTICO",IF(K33&lt;0,"ATENÇÃO",IF(K33&lt;=5,"BOM","EXCELENTE")))</f>
        <v/>
      </c>
      <c r="M33" s="9" t="n">
        <v>0</v>
      </c>
      <c r="N33" s="9" t="n">
        <v>100</v>
      </c>
      <c r="O33" s="9" t="n">
        <v>11.86440677966102</v>
      </c>
    </row>
    <row r="34" hidden="1">
      <c r="A34" s="5" t="n">
        <v>46146</v>
      </c>
      <c r="B34" s="6" t="inlineStr">
        <is>
          <t>Matheus Farias De Souza</t>
        </is>
      </c>
      <c r="C34" s="3" t="inlineStr">
        <is>
          <t>Técnico III</t>
        </is>
      </c>
      <c r="D34" s="3" t="n">
        <v>32</v>
      </c>
      <c r="E34" s="3" t="n">
        <v>31</v>
      </c>
      <c r="F34" s="3" t="n">
        <v>6.27</v>
      </c>
      <c r="G34" s="3" t="n">
        <v>1</v>
      </c>
      <c r="H34" s="3" t="n">
        <v>25</v>
      </c>
      <c r="I34" s="3">
        <f>E34+G34+H34</f>
        <v/>
      </c>
      <c r="J34" s="3">
        <f>IF(C34="Técnico III","35",IF(C34="Técnico II","28",IF(C34="Técnico I","23",IF(C34="JR","20",IF(C34="Estágio","10",)))))</f>
        <v/>
      </c>
      <c r="K34" s="3">
        <f>I34-J34</f>
        <v/>
      </c>
      <c r="L34" s="3">
        <f>IF(K34&lt;-5,"CRÍTICO",IF(K34&lt;0,"ATENÇÃO",IF(K34&lt;=5,"BOM","EXCELENTE")))</f>
        <v/>
      </c>
      <c r="M34" s="9" t="n">
        <v>36</v>
      </c>
      <c r="N34" s="9" t="n">
        <v>98.28</v>
      </c>
      <c r="O34" s="9" t="n">
        <v>9.037900874635568</v>
      </c>
    </row>
    <row r="35" hidden="1">
      <c r="A35" s="5" t="n">
        <v>46146</v>
      </c>
      <c r="B35" s="6" t="inlineStr">
        <is>
          <t>Maysa Victoria Dias Moura</t>
        </is>
      </c>
      <c r="C35" s="3" t="inlineStr">
        <is>
          <t>Técnico III</t>
        </is>
      </c>
      <c r="D35" s="3" t="n">
        <v>40</v>
      </c>
      <c r="E35" s="3" t="n">
        <v>37</v>
      </c>
      <c r="F35" s="3" t="n">
        <v>6.48</v>
      </c>
      <c r="G35" s="3" t="n">
        <v>1</v>
      </c>
      <c r="I35" s="3">
        <f>E35+G35+H35</f>
        <v/>
      </c>
      <c r="J35" s="3">
        <f>IF(C35="Técnico III","35",IF(C35="Técnico II","28",IF(C35="Técnico I","23",IF(C35="JR","20",IF(C35="Estágio","10",)))))</f>
        <v/>
      </c>
      <c r="K35" s="3">
        <f>I35-J35</f>
        <v/>
      </c>
      <c r="L35" s="3">
        <f>IF(K35&lt;-5,"CRÍTICO",IF(K35&lt;0,"ATENÇÃO",IF(K35&lt;=5,"BOM","EXCELENTE")))</f>
        <v/>
      </c>
      <c r="M35" s="9" t="n">
        <v>33</v>
      </c>
      <c r="N35" s="9" t="n">
        <v>97.22</v>
      </c>
      <c r="O35" s="9" t="n">
        <v>19.09547738693467</v>
      </c>
    </row>
    <row r="36" hidden="1">
      <c r="A36" s="5" t="n">
        <v>46146</v>
      </c>
      <c r="B36" s="6" t="inlineStr">
        <is>
          <t>Michelle G Santos</t>
        </is>
      </c>
      <c r="C36" s="3" t="inlineStr">
        <is>
          <t>Estágio</t>
        </is>
      </c>
      <c r="D36" s="3" t="n">
        <v>8</v>
      </c>
      <c r="E36" s="3" t="n">
        <v>7</v>
      </c>
      <c r="F36" s="3" t="n">
        <v>14.1</v>
      </c>
      <c r="G36" s="3" t="n">
        <v>0</v>
      </c>
      <c r="I36" s="3">
        <f>E36+G36+H36</f>
        <v/>
      </c>
      <c r="J36" s="3">
        <f>IF(C36="Técnico III","35",IF(C36="Técnico II","28",IF(C36="Técnico I","23",IF(C36="JR","20",IF(C36="Estágio","10",)))))</f>
        <v/>
      </c>
      <c r="K36" s="3">
        <f>I36-J36</f>
        <v/>
      </c>
      <c r="L36" s="3">
        <f>IF(K36&lt;-5,"CRÍTICO",IF(K36&lt;0,"ATENÇÃO",IF(K36&lt;=5,"BOM","EXCELENTE")))</f>
        <v/>
      </c>
      <c r="M36" s="9" t="n">
        <v>4</v>
      </c>
      <c r="N36" s="9" t="n">
        <v>100</v>
      </c>
      <c r="O36" s="9" t="n">
        <v>16.8141592920354</v>
      </c>
    </row>
    <row r="37" hidden="1">
      <c r="A37" s="5" t="n">
        <v>46146</v>
      </c>
      <c r="B37" s="6" t="inlineStr">
        <is>
          <t>Milena Sales</t>
        </is>
      </c>
      <c r="C37" s="3" t="inlineStr">
        <is>
          <t>JR</t>
        </is>
      </c>
      <c r="D37" s="3" t="n">
        <v>42</v>
      </c>
      <c r="E37" s="3" t="n">
        <v>23</v>
      </c>
      <c r="F37" s="3" t="n">
        <v>5.14</v>
      </c>
      <c r="G37" s="3" t="n">
        <v>0</v>
      </c>
      <c r="I37" s="3">
        <f>E37+G37+H37</f>
        <v/>
      </c>
      <c r="J37" s="3">
        <f>IF(C37="Técnico III","35",IF(C37="Técnico II","28",IF(C37="Técnico I","23",IF(C37="JR","20",IF(C37="Estágio","10",)))))</f>
        <v/>
      </c>
      <c r="K37" s="3">
        <f>I37-J37</f>
        <v/>
      </c>
      <c r="L37" s="3">
        <f>IF(K37&lt;-5,"CRÍTICO",IF(K37&lt;0,"ATENÇÃO",IF(K37&lt;=5,"BOM","EXCELENTE")))</f>
        <v/>
      </c>
      <c r="M37" s="9" t="n">
        <v>19</v>
      </c>
      <c r="N37" s="9" t="n">
        <v>98</v>
      </c>
      <c r="O37" s="9" t="n">
        <v>16.43835616438356</v>
      </c>
    </row>
    <row r="38" hidden="1">
      <c r="A38" s="5" t="n">
        <v>46146</v>
      </c>
      <c r="B38" s="6" t="inlineStr">
        <is>
          <t>Patrícia Karla de Sousa Araújo</t>
        </is>
      </c>
      <c r="C38" s="3" t="inlineStr">
        <is>
          <t>Técnico II</t>
        </is>
      </c>
      <c r="D38" s="3" t="n">
        <v>20</v>
      </c>
      <c r="E38" s="3" t="n">
        <v>16</v>
      </c>
      <c r="F38" s="3" t="n">
        <v>10.11</v>
      </c>
      <c r="G38" s="3" t="n">
        <v>0</v>
      </c>
      <c r="I38" s="3">
        <f>E38+G38+H38</f>
        <v/>
      </c>
      <c r="J38" s="3">
        <f>IF(C38="Técnico III","35",IF(C38="Técnico II","28",IF(C38="Técnico I","23",IF(C38="JR","20",IF(C38="Estágio","10",)))))</f>
        <v/>
      </c>
      <c r="K38" s="3">
        <f>I38-J38</f>
        <v/>
      </c>
      <c r="L38" s="3">
        <f>IF(K38&lt;-5,"CRÍTICO",IF(K38&lt;0,"ATENÇÃO",IF(K38&lt;=5,"BOM","EXCELENTE")))</f>
        <v/>
      </c>
      <c r="M38" s="9" t="n">
        <v>14</v>
      </c>
      <c r="N38" s="9" t="n">
        <v>100</v>
      </c>
      <c r="O38" s="9" t="n">
        <v>16.89497716894977</v>
      </c>
    </row>
    <row r="39" hidden="1">
      <c r="A39" s="5" t="n">
        <v>46146</v>
      </c>
      <c r="B39" s="6" t="inlineStr">
        <is>
          <t>Paulo Ricardo Santos</t>
        </is>
      </c>
      <c r="C39" s="3" t="inlineStr">
        <is>
          <t>JR</t>
        </is>
      </c>
      <c r="D39" s="3" t="n">
        <v>23</v>
      </c>
      <c r="E39" s="3" t="n">
        <v>23</v>
      </c>
      <c r="F39" s="3" t="n">
        <v>10.55</v>
      </c>
      <c r="G39" s="3" t="n">
        <v>0</v>
      </c>
      <c r="I39" s="3">
        <f>E39+G39+H39</f>
        <v/>
      </c>
      <c r="J39" s="3">
        <f>IF(C39="Técnico III","35",IF(C39="Técnico II","28",IF(C39="Técnico I","23",IF(C39="JR","20",IF(C39="Estágio","10",)))))</f>
        <v/>
      </c>
      <c r="K39" s="3">
        <f>I39-J39</f>
        <v/>
      </c>
      <c r="L39" s="3">
        <f>IF(K39&lt;-5,"CRÍTICO",IF(K39&lt;0,"ATENÇÃO",IF(K39&lt;=5,"BOM","EXCELENTE")))</f>
        <v/>
      </c>
      <c r="M39" s="9" t="n">
        <v>18</v>
      </c>
      <c r="N39" s="9" t="n">
        <v>100</v>
      </c>
      <c r="O39" s="9" t="n">
        <v>19.13875598086124</v>
      </c>
    </row>
    <row r="40" hidden="1">
      <c r="A40" s="5" t="n">
        <v>46146</v>
      </c>
      <c r="B40" s="6" t="inlineStr">
        <is>
          <t>Pedro Luiz Mota Sousa</t>
        </is>
      </c>
      <c r="C40" s="3" t="inlineStr">
        <is>
          <t>JR</t>
        </is>
      </c>
      <c r="D40" s="3" t="n">
        <v>23</v>
      </c>
      <c r="E40" s="3" t="n">
        <v>21</v>
      </c>
      <c r="F40" s="3" t="n">
        <v>10.31</v>
      </c>
      <c r="G40" s="3" t="n">
        <v>0</v>
      </c>
      <c r="I40" s="3">
        <f>E40+G40+H40</f>
        <v/>
      </c>
      <c r="J40" s="3">
        <f>IF(C40="Técnico III","35",IF(C40="Técnico II","28",IF(C40="Técnico I","23",IF(C40="JR","20",IF(C40="Estágio","10",)))))</f>
        <v/>
      </c>
      <c r="K40" s="3">
        <f>I40-J40</f>
        <v/>
      </c>
      <c r="L40" s="3">
        <f>IF(K40&lt;-5,"CRÍTICO",IF(K40&lt;0,"ATENÇÃO",IF(K40&lt;=5,"BOM","EXCELENTE")))</f>
        <v/>
      </c>
      <c r="M40" s="9" t="n">
        <v>21</v>
      </c>
      <c r="N40" s="9" t="n">
        <v>100</v>
      </c>
      <c r="O40" s="9" t="n">
        <v>15.02145922746781</v>
      </c>
    </row>
    <row r="41" hidden="1">
      <c r="A41" s="5" t="n">
        <v>46146</v>
      </c>
      <c r="B41" s="6" t="inlineStr">
        <is>
          <t>Quirino Diogo Leite Torres</t>
        </is>
      </c>
      <c r="C41" s="3" t="inlineStr">
        <is>
          <t>Estágio</t>
        </is>
      </c>
      <c r="D41" s="3" t="n">
        <v>14</v>
      </c>
      <c r="E41" s="3" t="n">
        <v>14</v>
      </c>
      <c r="F41" s="3" t="n">
        <v>20.44</v>
      </c>
      <c r="G41" s="3" t="n">
        <v>1</v>
      </c>
      <c r="H41" s="3" t="n">
        <v>0</v>
      </c>
      <c r="I41" s="3">
        <f>E41+G41+H41</f>
        <v/>
      </c>
      <c r="J41" s="3">
        <f>IF(C41="Técnico III","35",IF(C41="Técnico II","28",IF(C41="Técnico I","23",IF(C41="JR","20",IF(C41="Estágio","10",)))))</f>
        <v/>
      </c>
      <c r="K41" s="3">
        <f>I41-J41</f>
        <v/>
      </c>
      <c r="L41" s="3">
        <f>IF(K41&lt;-5,"CRÍTICO",IF(K41&lt;0,"ATENÇÃO",IF(K41&lt;=5,"BOM","EXCELENTE")))</f>
        <v/>
      </c>
      <c r="M41" s="9" t="n">
        <v>12</v>
      </c>
      <c r="N41" s="9" t="n">
        <v>98.11</v>
      </c>
      <c r="O41" s="9" t="n">
        <v>20.40816326530612</v>
      </c>
    </row>
    <row r="42" hidden="1">
      <c r="A42" s="5" t="n">
        <v>46146</v>
      </c>
      <c r="B42" s="6" t="inlineStr">
        <is>
          <t>Raane Batista Matos</t>
        </is>
      </c>
      <c r="C42" s="3" t="inlineStr">
        <is>
          <t>Técnico I</t>
        </is>
      </c>
      <c r="D42" s="3" t="n">
        <v>27</v>
      </c>
      <c r="E42" s="3" t="n">
        <v>23</v>
      </c>
      <c r="F42" s="3" t="n">
        <v>8.470000000000001</v>
      </c>
      <c r="G42" s="3" t="n">
        <v>4</v>
      </c>
      <c r="I42" s="3">
        <f>E42+G42+H42</f>
        <v/>
      </c>
      <c r="J42" s="3">
        <f>IF(C42="Técnico III","35",IF(C42="Técnico II","28",IF(C42="Técnico I","23",IF(C42="JR","20",IF(C42="Estágio","10",)))))</f>
        <v/>
      </c>
      <c r="K42" s="3">
        <f>I42-J42</f>
        <v/>
      </c>
      <c r="L42" s="3">
        <f>IF(K42&lt;-5,"CRÍTICO",IF(K42&lt;0,"ATENÇÃO",IF(K42&lt;=5,"BOM","EXCELENTE")))</f>
        <v/>
      </c>
      <c r="M42" s="9" t="n">
        <v>20</v>
      </c>
      <c r="N42" s="9" t="n">
        <v>97.56</v>
      </c>
      <c r="O42" s="9" t="n">
        <v>19.28783382789317</v>
      </c>
    </row>
    <row r="43" hidden="1">
      <c r="A43" s="5" t="n">
        <v>46146</v>
      </c>
      <c r="B43" s="6" t="inlineStr">
        <is>
          <t>Rafael Gomes de Morais</t>
        </is>
      </c>
      <c r="C43" s="3" t="inlineStr">
        <is>
          <t>Técnico III</t>
        </is>
      </c>
      <c r="D43" s="3" t="n">
        <v>50</v>
      </c>
      <c r="E43" s="3" t="n">
        <v>46</v>
      </c>
      <c r="F43" s="3" t="n">
        <v>7.43</v>
      </c>
      <c r="G43" s="3" t="n">
        <v>1</v>
      </c>
      <c r="I43" s="3">
        <f>E43+G43+H43</f>
        <v/>
      </c>
      <c r="J43" s="3">
        <f>IF(C43="Técnico III","35",IF(C43="Técnico II","28",IF(C43="Técnico I","23",IF(C43="JR","20",IF(C43="Estágio","10",)))))</f>
        <v/>
      </c>
      <c r="K43" s="3">
        <f>I43-J43</f>
        <v/>
      </c>
      <c r="L43" s="3">
        <f>IF(K43&lt;-5,"CRÍTICO",IF(K43&lt;0,"ATENÇÃO",IF(K43&lt;=5,"BOM","EXCELENTE")))</f>
        <v/>
      </c>
      <c r="M43" s="9" t="n">
        <v>32</v>
      </c>
      <c r="N43" s="9" t="n">
        <v>99.29000000000001</v>
      </c>
      <c r="O43" s="9" t="n">
        <v>22.49443207126949</v>
      </c>
    </row>
    <row r="44" hidden="1">
      <c r="A44" s="5" t="n">
        <v>46146</v>
      </c>
      <c r="B44" s="6" t="inlineStr">
        <is>
          <t>Sara Maria Monteiro Lopes</t>
        </is>
      </c>
      <c r="C44" s="3" t="inlineStr">
        <is>
          <t>Técnico I</t>
        </is>
      </c>
      <c r="D44" s="3" t="n">
        <v>20</v>
      </c>
      <c r="E44" s="3" t="n">
        <v>20</v>
      </c>
      <c r="F44" s="3" t="n">
        <v>15.29</v>
      </c>
      <c r="G44" s="3" t="n">
        <v>0</v>
      </c>
      <c r="I44" s="3">
        <f>E44+G44+H44</f>
        <v/>
      </c>
      <c r="J44" s="3">
        <f>IF(C44="Técnico III","35",IF(C44="Técnico II","28",IF(C44="Técnico I","23",IF(C44="JR","20",IF(C44="Estágio","10",)))))</f>
        <v/>
      </c>
      <c r="K44" s="3">
        <f>I44-J44</f>
        <v/>
      </c>
      <c r="L44" s="3">
        <f>IF(K44&lt;-5,"CRÍTICO",IF(K44&lt;0,"ATENÇÃO",IF(K44&lt;=5,"BOM","EXCELENTE")))</f>
        <v/>
      </c>
      <c r="M44" s="9" t="n">
        <v>20</v>
      </c>
      <c r="N44" s="9" t="n">
        <v>100</v>
      </c>
      <c r="O44" s="9" t="n">
        <v>16.97247706422019</v>
      </c>
    </row>
    <row r="45" hidden="1">
      <c r="A45" s="5" t="n">
        <v>46146</v>
      </c>
      <c r="B45" s="6" t="inlineStr">
        <is>
          <t>Sarah Steffanie de Lima Borges</t>
        </is>
      </c>
      <c r="C45" s="3" t="inlineStr">
        <is>
          <t>Técnico III</t>
        </is>
      </c>
      <c r="D45" s="3" t="n">
        <v>26</v>
      </c>
      <c r="E45" s="3" t="n">
        <v>25</v>
      </c>
      <c r="F45" s="3" t="n">
        <v>10.45</v>
      </c>
      <c r="G45" s="3" t="n">
        <v>4</v>
      </c>
      <c r="H45" s="3" t="n">
        <v>0</v>
      </c>
      <c r="I45" s="3">
        <f>E45+G45+H45</f>
        <v/>
      </c>
      <c r="J45" s="3">
        <f>IF(C45="Técnico III","35",IF(C45="Técnico II","28",IF(C45="Técnico I","23",IF(C45="JR","20",IF(C45="Estágio","10",)))))</f>
        <v/>
      </c>
      <c r="K45" s="3">
        <f>I45-J45</f>
        <v/>
      </c>
      <c r="L45" s="3">
        <f>IF(K45&lt;-5,"CRÍTICO",IF(K45&lt;0,"ATENÇÃO",IF(K45&lt;=5,"BOM","EXCELENTE")))</f>
        <v/>
      </c>
      <c r="M45" s="9" t="n">
        <v>26</v>
      </c>
      <c r="N45" s="9" t="n">
        <v>97.33</v>
      </c>
      <c r="O45" s="9" t="n">
        <v>15.80547112462006</v>
      </c>
    </row>
    <row r="46" hidden="1">
      <c r="A46" s="5" t="n">
        <v>46147</v>
      </c>
      <c r="B46" s="6" t="inlineStr">
        <is>
          <t>Alisson de Freitas Silva</t>
        </is>
      </c>
      <c r="C46" s="3" t="inlineStr">
        <is>
          <t>Técnico II</t>
        </is>
      </c>
      <c r="D46" s="3" t="n">
        <v>42</v>
      </c>
      <c r="E46" s="3" t="n">
        <v>37</v>
      </c>
      <c r="F46" s="3" t="n">
        <v>7.49</v>
      </c>
      <c r="G46" s="3" t="n">
        <v>4</v>
      </c>
      <c r="I46" s="3">
        <f>E46+G46+H46</f>
        <v/>
      </c>
      <c r="J46" s="3">
        <f>IF(C46="Técnico III","35",IF(C46="Técnico II","28",IF(C46="Técnico I","23",IF(C46="JR","20",IF(C46="Estágio","10",)))))</f>
        <v/>
      </c>
      <c r="K46" s="3">
        <f>I46-J46</f>
        <v/>
      </c>
      <c r="L46" s="3">
        <f>IF(K46&lt;-5,"CRÍTICO",IF(K46&lt;0,"ATENÇÃO",IF(K46&lt;=5,"BOM","EXCELENTE")))</f>
        <v/>
      </c>
      <c r="M46" s="3" t="n">
        <v>32</v>
      </c>
      <c r="N46" s="3" t="n">
        <v>98.94</v>
      </c>
      <c r="O46" s="3" t="n">
        <v>19.61414790996785</v>
      </c>
    </row>
    <row r="47" hidden="1">
      <c r="A47" s="5" t="n">
        <v>46147</v>
      </c>
      <c r="B47" s="6" t="inlineStr">
        <is>
          <t>Amanda Moura Ferreira</t>
        </is>
      </c>
      <c r="C47" s="3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IF(K47&lt;-5,"CRÍTICO",IF(K47&lt;0,"ATENÇÃO",IF(K47&lt;=5,"BOM","EXCELENTE")))</f>
        <v/>
      </c>
      <c r="M47" s="9" t="n">
        <v>0</v>
      </c>
      <c r="N47" s="9" t="n">
        <v>100</v>
      </c>
      <c r="O47" s="9" t="n">
        <v>0</v>
      </c>
    </row>
    <row r="48" hidden="1">
      <c r="A48" s="5" t="n">
        <v>46147</v>
      </c>
      <c r="B48" t="inlineStr">
        <is>
          <t>Ana Karollyne Souza Faria</t>
        </is>
      </c>
      <c r="C48" s="3" t="inlineStr">
        <is>
          <t>Técnico I</t>
        </is>
      </c>
      <c r="D48" s="3" t="n">
        <v>30</v>
      </c>
      <c r="E48" s="3" t="n">
        <v>30</v>
      </c>
      <c r="F48" s="3" t="n">
        <v>10.21</v>
      </c>
      <c r="G48" s="3" t="n">
        <v>7</v>
      </c>
      <c r="I48" s="3">
        <f>E48+G48+H48</f>
        <v/>
      </c>
      <c r="J48" s="3">
        <f>IF(C48="Técnico III","35",IF(C48="Técnico II","28",IF(C48="Técnico I","23",IF(C48="JR","20",IF(C48="Estágio","10",)))))</f>
        <v/>
      </c>
      <c r="K48" s="3">
        <f>I48-J48</f>
        <v/>
      </c>
      <c r="L48" s="3">
        <f>IF(K48&lt;-5,"CRÍTICO",IF(K48&lt;0,"ATENÇÃO",IF(K48&lt;=5,"BOM","EXCELENTE")))</f>
        <v/>
      </c>
      <c r="M48" s="3" t="n">
        <v>36</v>
      </c>
      <c r="N48" s="3" t="n">
        <v>95.38</v>
      </c>
      <c r="O48" s="3" t="n">
        <v>21.5962441314554</v>
      </c>
    </row>
    <row r="49" hidden="1">
      <c r="A49" s="5" t="n">
        <v>46147</v>
      </c>
      <c r="B49" s="6" t="inlineStr">
        <is>
          <t>Ana Paula Da Luz Silva Aleixo</t>
        </is>
      </c>
      <c r="C49" s="9" t="inlineStr">
        <is>
          <t>Técnico III</t>
        </is>
      </c>
      <c r="D49" s="3" t="n">
        <v>30</v>
      </c>
      <c r="E49" s="3" t="n">
        <v>28</v>
      </c>
      <c r="F49" s="3" t="n">
        <v>11.21</v>
      </c>
      <c r="G49" s="3" t="n">
        <v>0</v>
      </c>
      <c r="I49" s="3">
        <f>E49+G49+H49</f>
        <v/>
      </c>
      <c r="J49" s="3">
        <f>IF(C49="Técnico III","35",IF(C49="Técnico II","28",IF(C49="Técnico I","23",IF(C49="JR","20",IF(C49="Estágio","10",)))))</f>
        <v/>
      </c>
      <c r="K49" s="3">
        <f>I49-J49</f>
        <v/>
      </c>
      <c r="L49" s="3">
        <f>IF(K49&lt;-5,"CRÍTICO",IF(K49&lt;0,"ATENÇÃO",IF(K49&lt;=5,"BOM","EXCELENTE")))</f>
        <v/>
      </c>
      <c r="M49" s="3" t="n">
        <v>26</v>
      </c>
      <c r="N49" s="3" t="n">
        <v>96.34</v>
      </c>
      <c r="O49" s="3" t="n">
        <v>17.57188498402556</v>
      </c>
    </row>
    <row r="50" hidden="1">
      <c r="A50" s="5" t="n">
        <v>46147</v>
      </c>
      <c r="B50" s="6" t="inlineStr">
        <is>
          <t>Anna Luiza Rezende Tavares</t>
        </is>
      </c>
      <c r="C50" s="3" t="inlineStr">
        <is>
          <t>Estágio</t>
        </is>
      </c>
      <c r="D50" s="3" t="n">
        <v>36</v>
      </c>
      <c r="E50" s="3" t="n">
        <v>35</v>
      </c>
      <c r="F50" s="3" t="n">
        <v>10.49</v>
      </c>
      <c r="G50" s="3" t="n">
        <v>0</v>
      </c>
      <c r="H50" s="3" t="n">
        <v>0</v>
      </c>
      <c r="I50" s="3">
        <f>E50+G50+H50</f>
        <v/>
      </c>
      <c r="J50" s="3">
        <f>IF(C50="Técnico III","35",IF(C50="Técnico II","28",IF(C50="Técnico I","23",IF(C50="JR","20",IF(C50="Estágio","10",)))))</f>
        <v/>
      </c>
      <c r="K50" s="3">
        <f>I50-J50</f>
        <v/>
      </c>
      <c r="L50" s="3">
        <f>IF(K50&lt;-5,"CRÍTICO",IF(K50&lt;0,"ATENÇÃO",IF(K50&lt;=5,"BOM","EXCELENTE")))</f>
        <v/>
      </c>
      <c r="M50" s="3" t="n">
        <v>33</v>
      </c>
      <c r="N50" s="3" t="n">
        <v>99.11</v>
      </c>
      <c r="O50" s="3" t="n">
        <v>17.72151898734177</v>
      </c>
    </row>
    <row r="51" hidden="1">
      <c r="A51" s="5" t="n">
        <v>46147</v>
      </c>
      <c r="B51" s="6" t="inlineStr">
        <is>
          <t>Claudio de Sousa Velasco Filho</t>
        </is>
      </c>
      <c r="C51" s="3" t="inlineStr">
        <is>
          <t>Estágio</t>
        </is>
      </c>
      <c r="D51" s="3" t="n">
        <v>10</v>
      </c>
      <c r="E51" s="3" t="n">
        <v>10</v>
      </c>
      <c r="F51" s="3" t="n">
        <v>8.32</v>
      </c>
      <c r="G51" s="3" t="n">
        <v>0</v>
      </c>
      <c r="I51" s="3">
        <f>E51+G51+H51</f>
        <v/>
      </c>
      <c r="J51" s="3">
        <f>IF(C51="Técnico III","35",IF(C51="Técnico II","28",IF(C51="Técnico I","23",IF(C51="JR","20",IF(C51="Estágio","10",)))))</f>
        <v/>
      </c>
      <c r="K51" s="3">
        <f>I51-J51</f>
        <v/>
      </c>
      <c r="L51" s="3">
        <f>IF(K51&lt;-5,"CRÍTICO",IF(K51&lt;0,"ATENÇÃO",IF(K51&lt;=5,"BOM","EXCELENTE")))</f>
        <v/>
      </c>
      <c r="M51" s="3" t="n">
        <v>9</v>
      </c>
      <c r="N51" s="3" t="n">
        <v>96.43000000000001</v>
      </c>
      <c r="O51" s="3" t="n">
        <v>20</v>
      </c>
    </row>
    <row r="52" hidden="1">
      <c r="A52" s="5" t="n">
        <v>46147</v>
      </c>
      <c r="B52" s="6" t="inlineStr">
        <is>
          <t>Emilly Caylane Costa</t>
        </is>
      </c>
      <c r="C52" s="3" t="inlineStr">
        <is>
          <t>Estágio</t>
        </is>
      </c>
      <c r="D52" s="3" t="n">
        <v>48</v>
      </c>
      <c r="E52" s="3" t="n">
        <v>32</v>
      </c>
      <c r="F52" s="3" t="n">
        <v>16.06</v>
      </c>
      <c r="G52" s="3" t="n">
        <v>0</v>
      </c>
      <c r="H52" s="3" t="n">
        <v>0</v>
      </c>
      <c r="I52" s="3">
        <f>E52+G52+H52</f>
        <v/>
      </c>
      <c r="J52" s="3">
        <f>IF(C52="Técnico III","35",IF(C52="Técnico II","28",IF(C52="Técnico I","23",IF(C52="JR","20",IF(C52="Estágio","10",)))))</f>
        <v/>
      </c>
      <c r="K52" s="3">
        <f>I52-J52</f>
        <v/>
      </c>
      <c r="L52" s="3">
        <f>IF(K52&lt;-5,"CRÍTICO",IF(K52&lt;0,"ATENÇÃO",IF(K52&lt;=5,"BOM","EXCELENTE")))</f>
        <v/>
      </c>
      <c r="M52" s="3" t="n">
        <v>0</v>
      </c>
      <c r="N52" s="3" t="n">
        <v>100</v>
      </c>
      <c r="O52" s="3" t="n">
        <v>29.03225806451613</v>
      </c>
    </row>
    <row r="53" hidden="1">
      <c r="A53" s="5" t="n">
        <v>46147</v>
      </c>
      <c r="B53" s="6" t="inlineStr">
        <is>
          <t>Maria Eduarda Sousa Costa</t>
        </is>
      </c>
      <c r="C53" s="3" t="inlineStr">
        <is>
          <t>Estágio</t>
        </is>
      </c>
      <c r="D53" s="3" t="n">
        <v>0</v>
      </c>
      <c r="E53" s="3" t="n">
        <v>0</v>
      </c>
      <c r="F53" s="3" t="n">
        <v>7.59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>
        <f>IF(K53&lt;-5,"CRÍTICO",IF(K53&lt;0,"ATENÇÃO",IF(K53&lt;=5,"BOM","EXCELENTE")))</f>
        <v/>
      </c>
      <c r="M53" s="3" t="n">
        <v>0</v>
      </c>
      <c r="N53" s="3" t="n">
        <v>100</v>
      </c>
      <c r="O53" s="3" t="n">
        <v>11.86440677966102</v>
      </c>
    </row>
    <row r="54" hidden="1">
      <c r="A54" s="5" t="n">
        <v>46147</v>
      </c>
      <c r="B54" s="6" t="inlineStr">
        <is>
          <t>Brenda de Menezes Silva</t>
        </is>
      </c>
      <c r="C54" s="3" t="inlineStr">
        <is>
          <t>Técnico II</t>
        </is>
      </c>
      <c r="D54" s="3" t="n">
        <v>45</v>
      </c>
      <c r="E54" s="3" t="n">
        <v>37</v>
      </c>
      <c r="F54" s="3" t="n">
        <v>2.27</v>
      </c>
      <c r="G54" s="3" t="n">
        <v>6</v>
      </c>
      <c r="I54" s="3">
        <f>E54+G54+H54</f>
        <v/>
      </c>
      <c r="J54" s="3">
        <f>IF(C54="Técnico III","35",IF(C54="Técnico II","28",IF(C54="Técnico I","23",IF(C54="JR","20",IF(C54="Estágio","10",)))))</f>
        <v/>
      </c>
      <c r="K54" s="3">
        <f>I54-J54</f>
        <v/>
      </c>
      <c r="L54" s="3">
        <f>IF(K54&lt;-5,"CRÍTICO",IF(K54&lt;0,"ATENÇÃO",IF(K54&lt;=5,"BOM","EXCELENTE")))</f>
        <v/>
      </c>
      <c r="M54" s="3" t="n">
        <v>43</v>
      </c>
      <c r="N54" s="3" t="n">
        <v>99.13</v>
      </c>
      <c r="O54" s="3" t="n">
        <v>14.7239263803681</v>
      </c>
    </row>
    <row r="55" hidden="1">
      <c r="A55" s="5" t="n">
        <v>46147</v>
      </c>
      <c r="B55" s="6" t="inlineStr">
        <is>
          <t>Carlos Mateus Cassimiro Nunes</t>
        </is>
      </c>
      <c r="C55" s="9" t="inlineStr">
        <is>
          <t>Técnico II</t>
        </is>
      </c>
      <c r="D55" s="3" t="n">
        <v>19</v>
      </c>
      <c r="E55" s="3" t="n">
        <v>18</v>
      </c>
      <c r="F55" s="3" t="n">
        <v>6.45</v>
      </c>
      <c r="G55" s="3" t="n">
        <v>9</v>
      </c>
      <c r="I55" s="3">
        <f>E55+G55+H55</f>
        <v/>
      </c>
      <c r="J55" s="3">
        <f>IF(C55="Técnico III","35",IF(C55="Técnico II","28",IF(C55="Técnico I","23",IF(C55="JR","20",IF(C55="Estágio","10",)))))</f>
        <v/>
      </c>
      <c r="K55" s="3">
        <f>I55-J55</f>
        <v/>
      </c>
      <c r="L55" s="3">
        <f>IF(K55&lt;-5,"CRÍTICO",IF(K55&lt;0,"ATENÇÃO",IF(K55&lt;=5,"BOM","EXCELENTE")))</f>
        <v/>
      </c>
      <c r="M55" s="3" t="n">
        <v>27</v>
      </c>
      <c r="N55" s="3" t="n">
        <v>98.8</v>
      </c>
      <c r="O55" s="3" t="n">
        <v>16.89750692520776</v>
      </c>
    </row>
    <row r="56" hidden="1">
      <c r="A56" s="5" t="n">
        <v>46147</v>
      </c>
      <c r="B56" s="6" t="inlineStr">
        <is>
          <t>Michelle G Santos</t>
        </is>
      </c>
      <c r="C56" s="3" t="inlineStr">
        <is>
          <t>Estágio</t>
        </is>
      </c>
      <c r="D56" s="3" t="n">
        <v>11</v>
      </c>
      <c r="E56" s="3" t="n">
        <v>11</v>
      </c>
      <c r="F56" s="3" t="n">
        <v>11.59</v>
      </c>
      <c r="G56" s="3" t="n">
        <v>0</v>
      </c>
      <c r="H56" s="3" t="n">
        <v>0</v>
      </c>
      <c r="I56" s="3">
        <f>E56+G56+H56</f>
        <v/>
      </c>
      <c r="J56" s="3">
        <f>IF(C56="Técnico III","35",IF(C56="Técnico II","28",IF(C56="Técnico I","23",IF(C56="JR","20",IF(C56="Estágio","10",)))))</f>
        <v/>
      </c>
      <c r="K56" s="3">
        <f>I56-J56</f>
        <v/>
      </c>
      <c r="L56" s="3">
        <f>IF(K56&lt;-5,"CRÍTICO",IF(K56&lt;0,"ATENÇÃO",IF(K56&lt;=5,"BOM","EXCELENTE")))</f>
        <v/>
      </c>
      <c r="M56" s="3" t="n">
        <v>10</v>
      </c>
      <c r="N56" s="3" t="n">
        <v>100</v>
      </c>
      <c r="O56" s="3" t="n">
        <v>16.8141592920354</v>
      </c>
    </row>
    <row r="57" hidden="1">
      <c r="A57" s="5" t="n">
        <v>46147</v>
      </c>
      <c r="B57" s="6" t="inlineStr">
        <is>
          <t>Quirino Diogo Leite Torres</t>
        </is>
      </c>
      <c r="C57" s="3" t="inlineStr">
        <is>
          <t>Estágio</t>
        </is>
      </c>
      <c r="D57" s="3" t="n">
        <v>22</v>
      </c>
      <c r="E57" s="3" t="n">
        <v>18</v>
      </c>
      <c r="F57" s="3" t="n">
        <v>17.05</v>
      </c>
      <c r="G57" s="3" t="n">
        <v>1</v>
      </c>
      <c r="H57" s="3" t="n">
        <v>0</v>
      </c>
      <c r="I57" s="3">
        <f>E57+G57+H57</f>
        <v/>
      </c>
      <c r="J57" s="3">
        <f>IF(C57="Técnico III","35",IF(C57="Técnico II","28",IF(C57="Técnico I","23",IF(C57="JR","20",IF(C57="Estágio","10",)))))</f>
        <v/>
      </c>
      <c r="K57" s="3">
        <f>I57-J57</f>
        <v/>
      </c>
      <c r="L57" s="3">
        <f>IF(K57&lt;-5,"CRÍTICO",IF(K57&lt;0,"ATENÇÃO",IF(K57&lt;=5,"BOM","EXCELENTE")))</f>
        <v/>
      </c>
      <c r="M57" s="3" t="n">
        <v>18</v>
      </c>
      <c r="N57" s="3" t="n">
        <v>98.11</v>
      </c>
      <c r="O57" s="3" t="n">
        <v>20.40816326530612</v>
      </c>
    </row>
    <row r="58" hidden="1">
      <c r="A58" s="5" t="n">
        <v>46147</v>
      </c>
      <c r="B58" s="6" t="inlineStr">
        <is>
          <t>Clessiane Pereira dos Santos</t>
        </is>
      </c>
      <c r="C58" s="3" t="inlineStr">
        <is>
          <t>Técnico I</t>
        </is>
      </c>
      <c r="D58" s="3" t="n">
        <v>122</v>
      </c>
      <c r="E58" s="3" t="n">
        <v>28</v>
      </c>
      <c r="F58" s="3" t="n">
        <v>14.55</v>
      </c>
      <c r="G58" s="3" t="n">
        <v>1</v>
      </c>
      <c r="I58" s="3">
        <f>E58+G58+H58</f>
        <v/>
      </c>
      <c r="J58" s="3">
        <f>IF(C58="Técnico III","35",IF(C58="Técnico II","28",IF(C58="Técnico I","23",IF(C58="JR","20",IF(C58="Estágio","10",)))))</f>
        <v/>
      </c>
      <c r="K58" s="3">
        <f>I58-J58</f>
        <v/>
      </c>
      <c r="L58" s="3">
        <f>IF(K58&lt;-5,"CRÍTICO",IF(K58&lt;0,"ATENÇÃO",IF(K58&lt;=5,"BOM","EXCELENTE")))</f>
        <v/>
      </c>
      <c r="M58" s="3" t="n">
        <v>16</v>
      </c>
      <c r="N58" s="3" t="n">
        <v>96.88</v>
      </c>
      <c r="O58" s="3" t="n">
        <v>19.52662721893491</v>
      </c>
    </row>
    <row r="59" hidden="1">
      <c r="A59" s="5" t="n">
        <v>46147</v>
      </c>
      <c r="B59" s="6" t="inlineStr">
        <is>
          <t>Cristiane Ramos da Silva Rocha</t>
        </is>
      </c>
      <c r="C59" s="3" t="inlineStr">
        <is>
          <t>Técnico III</t>
        </is>
      </c>
      <c r="D59" s="3" t="n">
        <v>46</v>
      </c>
      <c r="E59" s="3" t="n">
        <v>39</v>
      </c>
      <c r="F59" s="3" t="n">
        <v>2.44</v>
      </c>
      <c r="G59" s="3" t="n">
        <v>8</v>
      </c>
      <c r="I59" s="3">
        <f>E59+G59+H59</f>
        <v/>
      </c>
      <c r="J59" s="3">
        <f>IF(C59="Técnico III","35",IF(C59="Técnico II","28",IF(C59="Técnico I","23",IF(C59="JR","20",IF(C59="Estágio","10",)))))</f>
        <v/>
      </c>
      <c r="K59" s="3">
        <f>I59-J59</f>
        <v/>
      </c>
      <c r="L59" s="3">
        <f>IF(K59&lt;-5,"CRÍTICO",IF(K59&lt;0,"ATENÇÃO",IF(K59&lt;=5,"BOM","EXCELENTE")))</f>
        <v/>
      </c>
      <c r="M59" s="3" t="n">
        <v>46</v>
      </c>
      <c r="N59" s="3" t="n">
        <v>91.84999999999999</v>
      </c>
      <c r="O59" s="3" t="n">
        <v>20.87155963302752</v>
      </c>
    </row>
    <row r="60" hidden="1">
      <c r="A60" s="5" t="n">
        <v>46147</v>
      </c>
      <c r="B60" s="6" t="inlineStr">
        <is>
          <t>Damyllis Lorraine de Oliveira Gonçalves</t>
        </is>
      </c>
      <c r="C60" s="3" t="inlineStr">
        <is>
          <t>Técnico II</t>
        </is>
      </c>
      <c r="D60" s="3" t="n">
        <v>23</v>
      </c>
      <c r="E60" s="3" t="n">
        <v>21</v>
      </c>
      <c r="F60" s="3" t="n">
        <v>8.550000000000001</v>
      </c>
      <c r="G60" s="3" t="n">
        <v>9</v>
      </c>
      <c r="I60" s="3">
        <f>E60+G60+H60</f>
        <v/>
      </c>
      <c r="J60" s="3">
        <f>IF(C60="Técnico III","35",IF(C60="Técnico II","28",IF(C60="Técnico I","23",IF(C60="JR","20",IF(C60="Estágio","10",)))))</f>
        <v/>
      </c>
      <c r="K60" s="3">
        <f>I60-J60</f>
        <v/>
      </c>
      <c r="L60" s="3">
        <f>IF(K60&lt;-5,"CRÍTICO",IF(K60&lt;0,"ATENÇÃO",IF(K60&lt;=5,"BOM","EXCELENTE")))</f>
        <v/>
      </c>
      <c r="M60" s="3" t="n">
        <v>26</v>
      </c>
      <c r="N60" s="3" t="n">
        <v>98.63</v>
      </c>
      <c r="O60" s="3" t="n">
        <v>18.75</v>
      </c>
    </row>
    <row r="61" hidden="1">
      <c r="A61" s="5" t="n">
        <v>46147</v>
      </c>
      <c r="B61" s="6" t="inlineStr">
        <is>
          <t>Daniel Gomes da Silva</t>
        </is>
      </c>
      <c r="C61" s="3" t="inlineStr">
        <is>
          <t>Técnico I</t>
        </is>
      </c>
      <c r="D61" s="3" t="n">
        <v>12</v>
      </c>
      <c r="E61" s="3" t="n">
        <v>12</v>
      </c>
      <c r="F61" s="3" t="n">
        <v>0</v>
      </c>
      <c r="G61" s="3" t="n">
        <v>10</v>
      </c>
      <c r="I61" s="3">
        <f>E61+G61+H61</f>
        <v/>
      </c>
      <c r="J61" s="3">
        <f>IF(C61="Técnico III","35",IF(C61="Técnico II","28",IF(C61="Técnico I","23",IF(C61="JR","20",IF(C61="Estágio","10",)))))</f>
        <v/>
      </c>
      <c r="K61" s="3">
        <f>I61-J61</f>
        <v/>
      </c>
      <c r="L61" s="3">
        <f>IF(K61&lt;-5,"CRÍTICO",IF(K61&lt;0,"ATENÇÃO",IF(K61&lt;=5,"BOM","EXCELENTE")))</f>
        <v/>
      </c>
      <c r="M61" s="3" t="n">
        <v>18</v>
      </c>
      <c r="N61" s="3" t="n">
        <v>100</v>
      </c>
      <c r="O61" s="3" t="n">
        <v>18.14516129032258</v>
      </c>
    </row>
    <row r="62" hidden="1">
      <c r="A62" s="5" t="n">
        <v>46147</v>
      </c>
      <c r="B62" s="6" t="inlineStr">
        <is>
          <t>Davylla Rodrigues Freitas Silva</t>
        </is>
      </c>
      <c r="C62" s="9" t="inlineStr">
        <is>
          <t>Técnico III</t>
        </is>
      </c>
      <c r="D62" s="3" t="n">
        <v>27</v>
      </c>
      <c r="E62" s="3" t="n">
        <v>27</v>
      </c>
      <c r="F62" s="3" t="n">
        <v>0</v>
      </c>
      <c r="G62" s="3" t="n">
        <v>0</v>
      </c>
      <c r="I62" s="3">
        <f>E62+G62+H62</f>
        <v/>
      </c>
      <c r="J62" s="3">
        <f>IF(C62="Técnico III","35",IF(C62="Técnico II","28",IF(C62="Técnico I","23",IF(C62="JR","20",IF(C62="Estágio","10",)))))</f>
        <v/>
      </c>
      <c r="K62" s="3">
        <f>I62-J62</f>
        <v/>
      </c>
      <c r="L62" s="3">
        <f>IF(K62&lt;-5,"CRÍTICO",IF(K62&lt;0,"ATENÇÃO",IF(K62&lt;=5,"BOM","EXCELENTE")))</f>
        <v/>
      </c>
      <c r="M62" s="3" t="n">
        <v>28</v>
      </c>
      <c r="N62" s="3" t="n">
        <v>99.06</v>
      </c>
      <c r="O62" s="3" t="n">
        <v>22.95719844357977</v>
      </c>
    </row>
    <row r="63" hidden="1">
      <c r="A63" s="5" t="n">
        <v>46147</v>
      </c>
      <c r="B63" s="6" t="inlineStr">
        <is>
          <t>Emilly Kamilly Medeiros Miranda</t>
        </is>
      </c>
      <c r="C63" s="3" t="inlineStr">
        <is>
          <t>Técnico II</t>
        </is>
      </c>
      <c r="D63" s="3" t="n">
        <v>34</v>
      </c>
      <c r="E63" s="3" t="n">
        <v>31</v>
      </c>
      <c r="F63" s="3" t="n">
        <v>10.35</v>
      </c>
      <c r="G63" s="3" t="n">
        <v>3</v>
      </c>
      <c r="I63" s="3">
        <f>E63+G63+H63</f>
        <v/>
      </c>
      <c r="J63" s="3">
        <f>IF(C63="Técnico III","35",IF(C63="Técnico II","28",IF(C63="Técnico I","23",IF(C63="JR","20",IF(C63="Estágio","10",)))))</f>
        <v/>
      </c>
      <c r="K63" s="3">
        <f>I63-J63</f>
        <v/>
      </c>
      <c r="L63" s="3">
        <f>IF(K63&lt;-5,"CRÍTICO",IF(K63&lt;0,"ATENÇÃO",IF(K63&lt;=5,"BOM","EXCELENTE")))</f>
        <v/>
      </c>
      <c r="M63" s="3" t="n">
        <v>31</v>
      </c>
      <c r="N63" s="3" t="n">
        <v>100</v>
      </c>
      <c r="O63" s="3" t="n">
        <v>13.8121546961326</v>
      </c>
    </row>
    <row r="64" hidden="1">
      <c r="A64" s="5" t="n">
        <v>46147</v>
      </c>
      <c r="B64" s="6" t="inlineStr">
        <is>
          <t>Francielson de Oliveira</t>
        </is>
      </c>
      <c r="C64" s="9" t="inlineStr">
        <is>
          <t>Técnico III</t>
        </is>
      </c>
      <c r="D64" s="3" t="n">
        <v>0</v>
      </c>
      <c r="E64" s="3" t="n">
        <v>0</v>
      </c>
      <c r="F64" s="3" t="n">
        <v>12.01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>
        <f>IF(K64&lt;-5,"CRÍTICO",IF(K64&lt;0,"ATENÇÃO",IF(K64&lt;=5,"BOM","EXCELENTE")))</f>
        <v/>
      </c>
      <c r="M64" s="3" t="n">
        <v>0</v>
      </c>
      <c r="N64" s="3" t="n">
        <v>100</v>
      </c>
      <c r="O64" s="3" t="n">
        <v>9.523809523809524</v>
      </c>
    </row>
    <row r="65" hidden="1">
      <c r="A65" s="5" t="n">
        <v>46147</v>
      </c>
      <c r="B65" s="6" t="inlineStr">
        <is>
          <t>Francilene Ferreira de Jesus</t>
        </is>
      </c>
      <c r="C65" s="3" t="inlineStr">
        <is>
          <t>Técnico II</t>
        </is>
      </c>
      <c r="D65" s="3" t="n">
        <v>0</v>
      </c>
      <c r="E65" s="3" t="n">
        <v>0</v>
      </c>
      <c r="F65" s="3" t="n">
        <v>9.42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>
        <f>IF(K65&lt;-5,"CRÍTICO",IF(K65&lt;0,"ATENÇÃO",IF(K65&lt;=5,"BOM","EXCELENTE")))</f>
        <v/>
      </c>
      <c r="M65" s="3" t="n">
        <v>0</v>
      </c>
      <c r="N65" s="3" t="n">
        <v>100</v>
      </c>
      <c r="O65" s="3" t="n">
        <v>17.24137931034483</v>
      </c>
    </row>
    <row r="66" hidden="1">
      <c r="A66" s="5" t="n">
        <v>46147</v>
      </c>
      <c r="B66" s="6" t="inlineStr">
        <is>
          <t>Gabriel Gomes de Andrade</t>
        </is>
      </c>
      <c r="C66" s="3" t="inlineStr">
        <is>
          <t>Técnico I</t>
        </is>
      </c>
      <c r="D66" s="3" t="n">
        <v>13</v>
      </c>
      <c r="E66" s="3" t="n">
        <v>12</v>
      </c>
      <c r="F66" s="3" t="n">
        <v>8.06</v>
      </c>
      <c r="G66" s="3" t="n">
        <v>9</v>
      </c>
      <c r="I66" s="3">
        <f>E66+G66+H66</f>
        <v/>
      </c>
      <c r="J66" s="3">
        <f>IF(C66="Técnico III","35",IF(C66="Técnico II","28",IF(C66="Técnico I","23",IF(C66="JR","20",IF(C66="Estágio","10",)))))</f>
        <v/>
      </c>
      <c r="K66" s="3">
        <f>I66-J66</f>
        <v/>
      </c>
      <c r="L66" s="3">
        <f>IF(K66&lt;-5,"CRÍTICO",IF(K66&lt;0,"ATENÇÃO",IF(K66&lt;=5,"BOM","EXCELENTE")))</f>
        <v/>
      </c>
      <c r="M66" s="3" t="n">
        <v>12</v>
      </c>
      <c r="N66" s="3" t="n">
        <v>98.8</v>
      </c>
      <c r="O66" s="3" t="n">
        <v>15.41353383458646</v>
      </c>
    </row>
    <row r="67" hidden="1">
      <c r="A67" s="5" t="n">
        <v>46147</v>
      </c>
      <c r="B67" s="6" t="inlineStr">
        <is>
          <t>Isabella Borges de Oliveira</t>
        </is>
      </c>
      <c r="C67" s="9" t="inlineStr">
        <is>
          <t>Técnico II</t>
        </is>
      </c>
      <c r="D67" s="3" t="n">
        <v>26</v>
      </c>
      <c r="E67" s="3" t="n">
        <v>26</v>
      </c>
      <c r="F67" s="3" t="n">
        <v>8.529999999999999</v>
      </c>
      <c r="G67" s="3" t="n">
        <v>1</v>
      </c>
      <c r="I67" s="3">
        <f>E67+G67+H67</f>
        <v/>
      </c>
      <c r="J67" s="3">
        <f>IF(C67="Técnico III","35",IF(C67="Técnico II","28",IF(C67="Técnico I","23",IF(C67="JR","20",IF(C67="Estágio","10",)))))</f>
        <v/>
      </c>
      <c r="K67" s="3">
        <f>I67-J67</f>
        <v/>
      </c>
      <c r="L67" s="3">
        <f>IF(K67&lt;-5,"CRÍTICO",IF(K67&lt;0,"ATENÇÃO",IF(K67&lt;=5,"BOM","EXCELENTE")))</f>
        <v/>
      </c>
      <c r="M67" s="3" t="n">
        <v>31</v>
      </c>
      <c r="N67" s="3" t="n">
        <v>98.63</v>
      </c>
      <c r="O67" s="3" t="n">
        <v>15.75757575757576</v>
      </c>
    </row>
    <row r="68" hidden="1">
      <c r="A68" s="5" t="n">
        <v>46147</v>
      </c>
      <c r="B68" s="6" t="inlineStr">
        <is>
          <t>Janaina Lima dos Reis Urany</t>
        </is>
      </c>
      <c r="C68" s="3" t="inlineStr">
        <is>
          <t>Técnico III</t>
        </is>
      </c>
      <c r="D68" s="3" t="n">
        <v>40</v>
      </c>
      <c r="E68" s="3" t="n">
        <v>40</v>
      </c>
      <c r="F68" s="9" t="n">
        <v>0</v>
      </c>
      <c r="G68" s="3" t="n">
        <v>2</v>
      </c>
      <c r="I68" s="3">
        <f>E68+G68+H68</f>
        <v/>
      </c>
      <c r="J68" s="3">
        <f>IF(C68="Técnico III","35",IF(C68="Técnico II","28",IF(C68="Técnico I","23",IF(C68="JR","20",IF(C68="Estágio","10",)))))</f>
        <v/>
      </c>
      <c r="K68" s="3">
        <f>I68-J68</f>
        <v/>
      </c>
      <c r="L68" s="3">
        <f>IF(K68&lt;-5,"CRÍTICO",IF(K68&lt;0,"ATENÇÃO",IF(K68&lt;=5,"BOM","EXCELENTE")))</f>
        <v/>
      </c>
      <c r="M68" s="3" t="n">
        <v>40</v>
      </c>
      <c r="N68" s="3" t="n">
        <v>98.64</v>
      </c>
      <c r="O68" s="3" t="n">
        <v>16.6383701188455</v>
      </c>
    </row>
    <row r="69" hidden="1">
      <c r="A69" s="5" t="n">
        <v>46147</v>
      </c>
      <c r="B69" s="6" t="inlineStr">
        <is>
          <t>Jaqueline Evangelista da Silva Martins</t>
        </is>
      </c>
      <c r="C69" s="3" t="inlineStr">
        <is>
          <t>Técnico III</t>
        </is>
      </c>
      <c r="D69" s="3" t="n">
        <v>42</v>
      </c>
      <c r="E69" s="3" t="n">
        <v>41</v>
      </c>
      <c r="F69" s="3" t="n">
        <v>11.11</v>
      </c>
      <c r="G69" s="3" t="n">
        <v>2</v>
      </c>
      <c r="I69" s="3">
        <f>E69+G69+H69</f>
        <v/>
      </c>
      <c r="J69" s="3">
        <f>IF(C69="Técnico III","35",IF(C69="Técnico II","28",IF(C69="Técnico I","23",IF(C69="JR","20",IF(C69="Estágio","10",)))))</f>
        <v/>
      </c>
      <c r="K69" s="3">
        <f>I69-J69</f>
        <v/>
      </c>
      <c r="L69" s="3">
        <f>IF(K69&lt;-5,"CRÍTICO",IF(K69&lt;0,"ATENÇÃO",IF(K69&lt;=5,"BOM","EXCELENTE")))</f>
        <v/>
      </c>
      <c r="M69" s="3" t="n">
        <v>41</v>
      </c>
      <c r="N69" s="3" t="n">
        <v>95.40000000000001</v>
      </c>
      <c r="O69" s="3" t="n">
        <v>20.53333333333333</v>
      </c>
    </row>
    <row r="70" hidden="1">
      <c r="A70" s="5" t="n">
        <v>46147</v>
      </c>
      <c r="B70" s="6" t="inlineStr">
        <is>
          <t>Jessica Faria da Silveira</t>
        </is>
      </c>
      <c r="C70" s="3" t="inlineStr">
        <is>
          <t>Técnico II</t>
        </is>
      </c>
      <c r="D70" s="3" t="n">
        <v>39</v>
      </c>
      <c r="E70" s="3" t="n">
        <v>30</v>
      </c>
      <c r="F70" s="3" t="n">
        <v>11.22</v>
      </c>
      <c r="G70" s="3" t="n">
        <v>0</v>
      </c>
      <c r="I70" s="3">
        <f>E70+G70+H70</f>
        <v/>
      </c>
      <c r="J70" s="3">
        <f>IF(C70="Técnico III","35",IF(C70="Técnico II","28",IF(C70="Técnico I","23",IF(C70="JR","20",IF(C70="Estágio","10",)))))</f>
        <v/>
      </c>
      <c r="K70" s="3">
        <f>I70-J70</f>
        <v/>
      </c>
      <c r="L70" s="3">
        <f>IF(K70&lt;-5,"CRÍTICO",IF(K70&lt;0,"ATENÇÃO",IF(K70&lt;=5,"BOM","EXCELENTE")))</f>
        <v/>
      </c>
      <c r="M70" s="3" t="n">
        <v>30</v>
      </c>
      <c r="N70" s="3" t="n">
        <v>98.61</v>
      </c>
      <c r="O70" s="3" t="n">
        <v>16.97530864197531</v>
      </c>
    </row>
    <row r="71" hidden="1">
      <c r="A71" s="5" t="n">
        <v>46147</v>
      </c>
      <c r="B71" s="6" t="inlineStr">
        <is>
          <t>Jéssica Fé Moura</t>
        </is>
      </c>
      <c r="C71" s="3" t="inlineStr">
        <is>
          <t>Técnico III</t>
        </is>
      </c>
      <c r="D71" s="3" t="n">
        <v>0</v>
      </c>
      <c r="E71" s="3" t="n">
        <v>0</v>
      </c>
      <c r="F71" s="3" t="n">
        <v>13.55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>
        <f>IF(K71&lt;-5,"CRÍTICO",IF(K71&lt;0,"ATENÇÃO",IF(K71&lt;=5,"BOM","EXCELENTE")))</f>
        <v/>
      </c>
      <c r="M71" s="3" t="n">
        <v>0</v>
      </c>
      <c r="N71" s="3" t="n">
        <v>0</v>
      </c>
      <c r="O71" s="3" t="n">
        <v>0</v>
      </c>
    </row>
    <row r="72" hidden="1">
      <c r="A72" s="5" t="n">
        <v>46147</v>
      </c>
      <c r="B72" s="6" t="inlineStr">
        <is>
          <t>Karina Gonçalves Martins</t>
        </is>
      </c>
      <c r="C72" s="3" t="inlineStr">
        <is>
          <t>JR</t>
        </is>
      </c>
      <c r="D72" s="3" t="n">
        <v>25</v>
      </c>
      <c r="E72" s="3" t="n">
        <v>14</v>
      </c>
      <c r="F72" s="3" t="n">
        <v>10</v>
      </c>
      <c r="G72" s="3" t="n">
        <v>10</v>
      </c>
      <c r="I72" s="3">
        <f>E72+G72+H72</f>
        <v/>
      </c>
      <c r="J72" s="3">
        <f>IF(C72="Técnico III","35",IF(C72="Técnico II","28",IF(C72="Técnico I","23",IF(C72="JR","20",IF(C72="Estágio","10",)))))</f>
        <v/>
      </c>
      <c r="K72" s="3">
        <f>I72-J72</f>
        <v/>
      </c>
      <c r="L72" s="3">
        <f>IF(K72&lt;-5,"CRÍTICO",IF(K72&lt;0,"ATENÇÃO",IF(K72&lt;=5,"BOM","EXCELENTE")))</f>
        <v/>
      </c>
      <c r="M72" s="3" t="n">
        <v>27</v>
      </c>
      <c r="N72" s="3" t="n">
        <v>97.01000000000001</v>
      </c>
      <c r="O72" s="3" t="n">
        <v>13.96103896103896</v>
      </c>
    </row>
    <row r="73" hidden="1">
      <c r="A73" s="5" t="n">
        <v>46147</v>
      </c>
      <c r="B73" s="6" t="inlineStr">
        <is>
          <t>Kerollen Cristielly de Jesus Siqueira</t>
        </is>
      </c>
      <c r="C73" s="9" t="inlineStr">
        <is>
          <t>Técnico III</t>
        </is>
      </c>
      <c r="D73" s="3" t="n">
        <v>26</v>
      </c>
      <c r="E73" s="3" t="n">
        <v>26</v>
      </c>
      <c r="F73" s="3" t="n">
        <v>11.08</v>
      </c>
      <c r="G73" s="3" t="n">
        <v>1</v>
      </c>
      <c r="I73" s="3">
        <f>E73+G73+H73</f>
        <v/>
      </c>
      <c r="J73" s="3">
        <f>IF(C73="Técnico III","35",IF(C73="Técnico II","28",IF(C73="Técnico I","23",IF(C73="JR","20",IF(C73="Estágio","10",)))))</f>
        <v/>
      </c>
      <c r="K73" s="3">
        <f>I73-J73</f>
        <v/>
      </c>
      <c r="L73" s="3">
        <f>IF(K73&lt;-5,"CRÍTICO",IF(K73&lt;0,"ATENÇÃO",IF(K73&lt;=5,"BOM","EXCELENTE")))</f>
        <v/>
      </c>
      <c r="M73" s="3" t="n">
        <v>22</v>
      </c>
      <c r="N73" s="3" t="n">
        <v>95.52</v>
      </c>
      <c r="O73" s="3" t="n">
        <v>10.56105610561056</v>
      </c>
    </row>
    <row r="74" hidden="1">
      <c r="A74" s="5" t="n">
        <v>46147</v>
      </c>
      <c r="B74" s="6" t="inlineStr">
        <is>
          <t>Leandro de Souza Silva</t>
        </is>
      </c>
      <c r="C74" s="3" t="inlineStr">
        <is>
          <t>JR</t>
        </is>
      </c>
      <c r="D74" s="3" t="n">
        <v>17</v>
      </c>
      <c r="E74" s="3" t="n">
        <v>17</v>
      </c>
      <c r="F74" s="3" t="n">
        <v>9.27</v>
      </c>
      <c r="G74" s="3" t="n">
        <v>5</v>
      </c>
      <c r="I74" s="3">
        <f>E74+G74+H74</f>
        <v/>
      </c>
      <c r="J74" s="3">
        <f>IF(C74="Técnico III","35",IF(C74="Técnico II","28",IF(C74="Técnico I","23",IF(C74="JR","20",IF(C74="Estágio","10",)))))</f>
        <v/>
      </c>
      <c r="K74" s="3">
        <f>I74-J74</f>
        <v/>
      </c>
      <c r="L74" s="3">
        <f>IF(K74&lt;-5,"CRÍTICO",IF(K74&lt;0,"ATENÇÃO",IF(K74&lt;=5,"BOM","EXCELENTE")))</f>
        <v/>
      </c>
      <c r="M74" s="3" t="n">
        <v>16</v>
      </c>
      <c r="N74" s="3" t="n">
        <v>100</v>
      </c>
      <c r="O74" s="3" t="n">
        <v>16.95906432748538</v>
      </c>
    </row>
    <row r="75" hidden="1">
      <c r="A75" s="5" t="n">
        <v>46147</v>
      </c>
      <c r="B75" s="6" t="inlineStr">
        <is>
          <t>Leandro Oliveira de Sousa</t>
        </is>
      </c>
      <c r="C75" s="9" t="inlineStr">
        <is>
          <t>Técnico III</t>
        </is>
      </c>
      <c r="D75" s="3" t="n">
        <v>29</v>
      </c>
      <c r="E75" s="3" t="n">
        <v>25</v>
      </c>
      <c r="F75" s="3" t="n">
        <v>0</v>
      </c>
      <c r="G75" s="3" t="n">
        <v>0</v>
      </c>
      <c r="I75" s="3">
        <f>E75+G75+H75</f>
        <v/>
      </c>
      <c r="J75" s="3">
        <f>IF(C75="Técnico III","35",IF(C75="Técnico II","28",IF(C75="Técnico I","23",IF(C75="JR","20",IF(C75="Estágio","10",)))))</f>
        <v/>
      </c>
      <c r="K75" s="3">
        <f>I75-J75</f>
        <v/>
      </c>
      <c r="L75" s="3">
        <f>IF(K75&lt;-5,"CRÍTICO",IF(K75&lt;0,"ATENÇÃO",IF(K75&lt;=5,"BOM","EXCELENTE")))</f>
        <v/>
      </c>
      <c r="M75" s="3" t="n">
        <v>32</v>
      </c>
      <c r="N75" s="3" t="n">
        <v>100</v>
      </c>
      <c r="O75" s="3" t="n">
        <v>15.58441558441558</v>
      </c>
    </row>
    <row r="76" hidden="1">
      <c r="A76" s="5" t="n">
        <v>46147</v>
      </c>
      <c r="B76" s="6" t="inlineStr">
        <is>
          <t>Lizandra Gomes Duarte</t>
        </is>
      </c>
      <c r="C76" s="3" t="inlineStr">
        <is>
          <t>Técnico II</t>
        </is>
      </c>
      <c r="D76" s="3" t="n">
        <v>18</v>
      </c>
      <c r="E76" s="3" t="n">
        <v>18</v>
      </c>
      <c r="F76" s="3" t="n">
        <v>10.53</v>
      </c>
      <c r="G76" s="3" t="n">
        <v>4</v>
      </c>
      <c r="I76" s="3">
        <f>E76+G76+H76</f>
        <v/>
      </c>
      <c r="J76" s="3">
        <f>IF(C76="Técnico III","35",IF(C76="Técnico II","28",IF(C76="Técnico I","23",IF(C76="JR","20",IF(C76="Estágio","10",)))))</f>
        <v/>
      </c>
      <c r="K76" s="3">
        <f>I76-J76</f>
        <v/>
      </c>
      <c r="L76" s="3">
        <f>IF(K76&lt;-5,"CRÍTICO",IF(K76&lt;0,"ATENÇÃO",IF(K76&lt;=5,"BOM","EXCELENTE")))</f>
        <v/>
      </c>
      <c r="M76" s="3" t="n">
        <v>25</v>
      </c>
      <c r="N76" s="3" t="n">
        <v>98.61</v>
      </c>
      <c r="O76" s="3" t="n">
        <v>16.86746987951807</v>
      </c>
    </row>
    <row r="77" hidden="1">
      <c r="A77" s="5" t="n">
        <v>46147</v>
      </c>
      <c r="B77" s="6" t="inlineStr">
        <is>
          <t>Lorena Dias de Araujo</t>
        </is>
      </c>
      <c r="C77" s="3" t="inlineStr">
        <is>
          <t>Técnico II</t>
        </is>
      </c>
      <c r="D77" s="3" t="n">
        <v>37</v>
      </c>
      <c r="E77" s="3" t="n">
        <v>35</v>
      </c>
      <c r="F77" s="3" t="n">
        <v>0</v>
      </c>
      <c r="G77" s="3" t="n">
        <v>0</v>
      </c>
      <c r="I77" s="3">
        <f>E77+G77+H77</f>
        <v/>
      </c>
      <c r="J77" s="3">
        <f>IF(C77="Técnico III","35",IF(C77="Técnico II","28",IF(C77="Técnico I","23",IF(C77="JR","20",IF(C77="Estágio","10",)))))</f>
        <v/>
      </c>
      <c r="K77" s="3">
        <f>I77-J77</f>
        <v/>
      </c>
      <c r="L77" s="3">
        <f>IF(K77&lt;-5,"CRÍTICO",IF(K77&lt;0,"ATENÇÃO",IF(K77&lt;=5,"BOM","EXCELENTE")))</f>
        <v/>
      </c>
      <c r="M77" s="3" t="n">
        <v>37</v>
      </c>
      <c r="N77" s="3" t="n">
        <v>100</v>
      </c>
      <c r="O77" s="3" t="n">
        <v>20.82018927444795</v>
      </c>
    </row>
    <row r="78" hidden="1">
      <c r="A78" s="5" t="n">
        <v>46147</v>
      </c>
      <c r="B78" s="6" t="inlineStr">
        <is>
          <t>Lucas Luiz Romero</t>
        </is>
      </c>
      <c r="C78" s="3" t="inlineStr">
        <is>
          <t>Técnico III</t>
        </is>
      </c>
      <c r="D78" s="3" t="n">
        <v>0</v>
      </c>
      <c r="E78" s="3" t="n">
        <v>0</v>
      </c>
      <c r="F78" s="3" t="n">
        <v>9.35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IF(K78&lt;-5,"CRÍTICO",IF(K78&lt;0,"ATENÇÃO",IF(K78&lt;=5,"BOM","EXCELENTE")))</f>
        <v/>
      </c>
      <c r="M78" s="3" t="n">
        <v>0</v>
      </c>
      <c r="N78" s="3" t="n">
        <v>100</v>
      </c>
      <c r="O78" s="3" t="n">
        <v>4.347826086956522</v>
      </c>
    </row>
    <row r="79" hidden="1">
      <c r="A79" s="5" t="n">
        <v>46147</v>
      </c>
      <c r="B79" s="6" t="inlineStr">
        <is>
          <t>Luiz Fernando de Carvalho Junior</t>
        </is>
      </c>
      <c r="C79" s="3" t="inlineStr">
        <is>
          <t>Técnico I</t>
        </is>
      </c>
      <c r="D79" s="3" t="n">
        <v>31</v>
      </c>
      <c r="E79" s="3" t="n">
        <v>28</v>
      </c>
      <c r="F79" s="3" t="n">
        <v>9.029999999999999</v>
      </c>
      <c r="G79" s="3" t="n">
        <v>1</v>
      </c>
      <c r="I79" s="3">
        <f>E79+G79+H79</f>
        <v/>
      </c>
      <c r="J79" s="3">
        <f>IF(C79="Técnico III","35",IF(C79="Técnico II","28",IF(C79="Técnico I","23",IF(C79="JR","20",IF(C79="Estágio","10",)))))</f>
        <v/>
      </c>
      <c r="K79" s="3">
        <f>I79-J79</f>
        <v/>
      </c>
      <c r="L79" s="3">
        <f>IF(K79&lt;-5,"CRÍTICO",IF(K79&lt;0,"ATENÇÃO",IF(K79&lt;=5,"BOM","EXCELENTE")))</f>
        <v/>
      </c>
      <c r="M79" s="3" t="n">
        <v>30</v>
      </c>
      <c r="N79" s="3" t="n">
        <v>93.26000000000001</v>
      </c>
      <c r="O79" s="3" t="n">
        <v>19.93957703927493</v>
      </c>
    </row>
    <row r="80" hidden="1">
      <c r="A80" s="5" t="n">
        <v>46147</v>
      </c>
      <c r="B80" s="6" t="inlineStr">
        <is>
          <t>Matheus Farias De Souza</t>
        </is>
      </c>
      <c r="C80" s="3" t="inlineStr">
        <is>
          <t>Técnico III</t>
        </is>
      </c>
      <c r="D80" s="3" t="n">
        <v>14</v>
      </c>
      <c r="E80" s="3" t="n">
        <v>14</v>
      </c>
      <c r="F80" s="3" t="n">
        <v>25.26</v>
      </c>
      <c r="G80" s="3" t="n">
        <v>0</v>
      </c>
      <c r="H80" s="3" t="n">
        <v>21</v>
      </c>
      <c r="I80" s="3">
        <f>E80+G80+H80</f>
        <v/>
      </c>
      <c r="J80" s="3">
        <f>IF(C80="Técnico III","35",IF(C80="Técnico II","28",IF(C80="Técnico I","23",IF(C80="JR","20",IF(C80="Estágio","10",)))))</f>
        <v/>
      </c>
      <c r="K80" s="3">
        <f>I80-J80</f>
        <v/>
      </c>
      <c r="L80" s="3">
        <f>IF(K80&lt;-5,"CRÍTICO",IF(K80&lt;0,"ATENÇÃO",IF(K80&lt;=5,"BOM","EXCELENTE")))</f>
        <v/>
      </c>
      <c r="M80" s="3" t="n">
        <v>28</v>
      </c>
      <c r="N80" s="3" t="n">
        <v>98.28</v>
      </c>
      <c r="O80" s="3" t="n">
        <v>9.037900874635568</v>
      </c>
    </row>
    <row r="81" hidden="1">
      <c r="A81" s="5" t="n">
        <v>46147</v>
      </c>
      <c r="B81" s="6" t="inlineStr">
        <is>
          <t>Maysa Victoria Dias Moura</t>
        </is>
      </c>
      <c r="C81" s="3" t="inlineStr">
        <is>
          <t>Técnico III</t>
        </is>
      </c>
      <c r="D81" s="3" t="n">
        <v>32</v>
      </c>
      <c r="E81" s="3" t="n">
        <v>30</v>
      </c>
      <c r="F81" s="3" t="n">
        <v>7.13</v>
      </c>
      <c r="G81" s="3" t="n">
        <v>10</v>
      </c>
      <c r="I81" s="3">
        <f>E81+G81+H81</f>
        <v/>
      </c>
      <c r="J81" s="3">
        <f>IF(C81="Técnico III","35",IF(C81="Técnico II","28",IF(C81="Técnico I","23",IF(C81="JR","20",IF(C81="Estágio","10",)))))</f>
        <v/>
      </c>
      <c r="K81" s="3">
        <f>I81-J81</f>
        <v/>
      </c>
      <c r="L81" s="3">
        <f>IF(K81&lt;-5,"CRÍTICO",IF(K81&lt;0,"ATENÇÃO",IF(K81&lt;=5,"BOM","EXCELENTE")))</f>
        <v/>
      </c>
      <c r="M81" s="3" t="n">
        <v>37</v>
      </c>
      <c r="N81" s="3" t="n">
        <v>97.22</v>
      </c>
      <c r="O81" s="3" t="n">
        <v>19.09547738693467</v>
      </c>
    </row>
    <row r="82" hidden="1">
      <c r="A82" s="5" t="n">
        <v>46147</v>
      </c>
      <c r="B82" s="6" t="inlineStr">
        <is>
          <t>Milena Sales</t>
        </is>
      </c>
      <c r="C82" s="3" t="inlineStr">
        <is>
          <t>JR</t>
        </is>
      </c>
      <c r="D82" s="3" t="n">
        <v>56</v>
      </c>
      <c r="E82" s="3" t="n">
        <v>34</v>
      </c>
      <c r="F82" s="3" t="n">
        <v>10.59</v>
      </c>
      <c r="G82" s="3" t="n">
        <v>0</v>
      </c>
      <c r="I82" s="3">
        <f>E82+G82+H82</f>
        <v/>
      </c>
      <c r="J82" s="3">
        <f>IF(C82="Técnico III","35",IF(C82="Técnico II","28",IF(C82="Técnico I","23",IF(C82="JR","20",IF(C82="Estágio","10",)))))</f>
        <v/>
      </c>
      <c r="K82" s="3">
        <f>I82-J82</f>
        <v/>
      </c>
      <c r="L82" s="3">
        <f>IF(K82&lt;-5,"CRÍTICO",IF(K82&lt;0,"ATENÇÃO",IF(K82&lt;=5,"BOM","EXCELENTE")))</f>
        <v/>
      </c>
      <c r="M82" s="3" t="n">
        <v>22</v>
      </c>
      <c r="N82" s="3" t="n">
        <v>98</v>
      </c>
      <c r="O82" s="3" t="n">
        <v>16.43835616438356</v>
      </c>
    </row>
    <row r="83" hidden="1">
      <c r="A83" s="5" t="n">
        <v>46147</v>
      </c>
      <c r="B83" s="6" t="inlineStr">
        <is>
          <t>Patrícia Karla de Sousa Araújo</t>
        </is>
      </c>
      <c r="C83" s="3" t="inlineStr">
        <is>
          <t>Técnico II</t>
        </is>
      </c>
      <c r="D83" s="3" t="n">
        <v>27</v>
      </c>
      <c r="E83" s="3" t="n">
        <v>25</v>
      </c>
      <c r="F83" s="3" t="n">
        <v>12.04</v>
      </c>
      <c r="G83" s="3" t="n">
        <v>0</v>
      </c>
      <c r="I83" s="3">
        <f>E83+G83+H83</f>
        <v/>
      </c>
      <c r="J83" s="3">
        <f>IF(C83="Técnico III","35",IF(C83="Técnico II","28",IF(C83="Técnico I","23",IF(C83="JR","20",IF(C83="Estágio","10",)))))</f>
        <v/>
      </c>
      <c r="K83" s="3">
        <f>I83-J83</f>
        <v/>
      </c>
      <c r="L83" s="3">
        <f>IF(K83&lt;-5,"CRÍTICO",IF(K83&lt;0,"ATENÇÃO",IF(K83&lt;=5,"BOM","EXCELENTE")))</f>
        <v/>
      </c>
      <c r="M83" s="3" t="n">
        <v>21</v>
      </c>
      <c r="N83" s="3" t="n">
        <v>100</v>
      </c>
      <c r="O83" s="3" t="n">
        <v>16.89497716894977</v>
      </c>
    </row>
    <row r="84" hidden="1">
      <c r="A84" s="5" t="n">
        <v>46147</v>
      </c>
      <c r="B84" s="6" t="inlineStr">
        <is>
          <t>Paulo Ricardo Santos</t>
        </is>
      </c>
      <c r="C84" s="3" t="inlineStr">
        <is>
          <t>JR</t>
        </is>
      </c>
      <c r="D84" s="3" t="n">
        <v>18</v>
      </c>
      <c r="E84" s="3" t="n">
        <v>17</v>
      </c>
      <c r="F84" s="3" t="n">
        <v>11.03</v>
      </c>
      <c r="G84" s="3" t="n">
        <v>0</v>
      </c>
      <c r="I84" s="3">
        <f>E84+G84+H84</f>
        <v/>
      </c>
      <c r="J84" s="3">
        <f>IF(C84="Técnico III","35",IF(C84="Técnico II","28",IF(C84="Técnico I","23",IF(C84="JR","20",IF(C84="Estágio","10",)))))</f>
        <v/>
      </c>
      <c r="K84" s="3">
        <f>I84-J84</f>
        <v/>
      </c>
      <c r="L84" s="3">
        <f>IF(K84&lt;-5,"CRÍTICO",IF(K84&lt;0,"ATENÇÃO",IF(K84&lt;=5,"BOM","EXCELENTE")))</f>
        <v/>
      </c>
      <c r="M84" s="3" t="n">
        <v>17</v>
      </c>
      <c r="N84" s="3" t="n">
        <v>100</v>
      </c>
      <c r="O84" s="3" t="n">
        <v>19.13875598086124</v>
      </c>
    </row>
    <row r="85" hidden="1">
      <c r="A85" s="5" t="n">
        <v>46147</v>
      </c>
      <c r="B85" s="6" t="inlineStr">
        <is>
          <t>Pedro Luiz Mota Sousa</t>
        </is>
      </c>
      <c r="C85" s="3" t="inlineStr">
        <is>
          <t>JR</t>
        </is>
      </c>
      <c r="D85" s="3" t="n">
        <v>11</v>
      </c>
      <c r="E85" s="3" t="n">
        <v>11</v>
      </c>
      <c r="F85" s="3" t="n">
        <v>11.26</v>
      </c>
      <c r="G85" s="3" t="n">
        <v>9</v>
      </c>
      <c r="I85" s="3">
        <f>E85+G85+H85</f>
        <v/>
      </c>
      <c r="J85" s="3">
        <f>IF(C85="Técnico III","35",IF(C85="Técnico II","28",IF(C85="Técnico I","23",IF(C85="JR","20",IF(C85="Estágio","10",)))))</f>
        <v/>
      </c>
      <c r="K85" s="3">
        <f>I85-J85</f>
        <v/>
      </c>
      <c r="L85" s="3">
        <f>IF(K85&lt;-5,"CRÍTICO",IF(K85&lt;0,"ATENÇÃO",IF(K85&lt;=5,"BOM","EXCELENTE")))</f>
        <v/>
      </c>
      <c r="M85" s="3" t="n">
        <v>19</v>
      </c>
      <c r="N85" s="3" t="n">
        <v>100</v>
      </c>
      <c r="O85" s="3" t="n">
        <v>15.02145922746781</v>
      </c>
    </row>
    <row r="86" hidden="1">
      <c r="A86" s="5" t="n">
        <v>46147</v>
      </c>
      <c r="B86" s="6" t="inlineStr">
        <is>
          <t>Raane Batista Matos</t>
        </is>
      </c>
      <c r="C86" s="3" t="inlineStr">
        <is>
          <t>Técnico I</t>
        </is>
      </c>
      <c r="D86" s="3" t="n">
        <v>31</v>
      </c>
      <c r="E86" s="3" t="n">
        <v>26</v>
      </c>
      <c r="F86" s="3" t="n">
        <v>8.300000000000001</v>
      </c>
      <c r="G86" s="3" t="n">
        <v>10</v>
      </c>
      <c r="I86" s="3">
        <f>E86+G86+H86</f>
        <v/>
      </c>
      <c r="J86" s="3">
        <f>IF(C86="Técnico III","35",IF(C86="Técnico II","28",IF(C86="Técnico I","23",IF(C86="JR","20",IF(C86="Estágio","10",)))))</f>
        <v/>
      </c>
      <c r="K86" s="3">
        <f>I86-J86</f>
        <v/>
      </c>
      <c r="L86" s="3">
        <f>IF(K86&lt;-5,"CRÍTICO",IF(K86&lt;0,"ATENÇÃO",IF(K86&lt;=5,"BOM","EXCELENTE")))</f>
        <v/>
      </c>
      <c r="M86" s="3" t="n">
        <v>21</v>
      </c>
      <c r="N86" s="3" t="n">
        <v>97.56</v>
      </c>
      <c r="O86" s="3" t="n">
        <v>19.28783382789317</v>
      </c>
    </row>
    <row r="87" hidden="1">
      <c r="A87" s="5" t="n">
        <v>46147</v>
      </c>
      <c r="B87" s="6" t="inlineStr">
        <is>
          <t>Rafael Gomes de Morais</t>
        </is>
      </c>
      <c r="C87" s="3" t="inlineStr">
        <is>
          <t>Técnico III</t>
        </is>
      </c>
      <c r="D87" s="3" t="n">
        <v>49</v>
      </c>
      <c r="E87" s="3" t="n">
        <v>45</v>
      </c>
      <c r="F87" s="3" t="n">
        <v>6.46</v>
      </c>
      <c r="G87" s="3" t="n">
        <v>9</v>
      </c>
      <c r="I87" s="3">
        <f>E87+G87+H87</f>
        <v/>
      </c>
      <c r="J87" s="3">
        <f>IF(C87="Técnico III","35",IF(C87="Técnico II","28",IF(C87="Técnico I","23",IF(C87="JR","20",IF(C87="Estágio","10",)))))</f>
        <v/>
      </c>
      <c r="K87" s="3">
        <f>I87-J87</f>
        <v/>
      </c>
      <c r="L87" s="3">
        <f>IF(K87&lt;-5,"CRÍTICO",IF(K87&lt;0,"ATENÇÃO",IF(K87&lt;=5,"BOM","EXCELENTE")))</f>
        <v/>
      </c>
      <c r="M87" s="3" t="n">
        <v>49</v>
      </c>
      <c r="N87" s="3" t="n">
        <v>99.29000000000001</v>
      </c>
      <c r="O87" s="3" t="n">
        <v>22.49443207126949</v>
      </c>
    </row>
    <row r="88" hidden="1">
      <c r="A88" s="5" t="n">
        <v>46147</v>
      </c>
      <c r="B88" s="6" t="inlineStr">
        <is>
          <t>Sara Maria Monteiro Lopes</t>
        </is>
      </c>
      <c r="C88" s="3" t="inlineStr">
        <is>
          <t>Técnico I</t>
        </is>
      </c>
      <c r="D88" s="3" t="n">
        <v>14</v>
      </c>
      <c r="E88" s="3" t="n">
        <v>14</v>
      </c>
      <c r="F88" s="3" t="n">
        <v>21.53</v>
      </c>
      <c r="G88" s="3" t="n">
        <v>3</v>
      </c>
      <c r="I88" s="3">
        <f>E88+G88+H88</f>
        <v/>
      </c>
      <c r="J88" s="3">
        <f>IF(C88="Técnico III","35",IF(C88="Técnico II","28",IF(C88="Técnico I","23",IF(C88="JR","20",IF(C88="Estágio","10",)))))</f>
        <v/>
      </c>
      <c r="K88" s="3">
        <f>I88-J88</f>
        <v/>
      </c>
      <c r="L88" s="3">
        <f>IF(K88&lt;-5,"CRÍTICO",IF(K88&lt;0,"ATENÇÃO",IF(K88&lt;=5,"BOM","EXCELENTE")))</f>
        <v/>
      </c>
      <c r="M88" s="3" t="n">
        <v>10</v>
      </c>
      <c r="N88" s="3" t="n">
        <v>100</v>
      </c>
      <c r="O88" s="3" t="n">
        <v>16.97247706422019</v>
      </c>
    </row>
    <row r="89" hidden="1">
      <c r="A89" s="5" t="n">
        <v>46147</v>
      </c>
      <c r="B89" s="6" t="inlineStr">
        <is>
          <t>Sarah Steffanie de Lima Borges</t>
        </is>
      </c>
      <c r="C89" s="3" t="inlineStr">
        <is>
          <t>Técnico III</t>
        </is>
      </c>
      <c r="D89" s="3" t="n">
        <v>33</v>
      </c>
      <c r="E89" s="3" t="n">
        <v>32</v>
      </c>
      <c r="F89" s="3" t="n">
        <v>9.31</v>
      </c>
      <c r="G89" s="3" t="n">
        <v>0</v>
      </c>
      <c r="H89" s="3" t="n">
        <v>0</v>
      </c>
      <c r="I89" s="3">
        <f>E89+G89+H89</f>
        <v/>
      </c>
      <c r="J89" s="3">
        <f>IF(C89="Técnico III","35",IF(C89="Técnico II","28",IF(C89="Técnico I","23",IF(C89="JR","20",IF(C89="Estágio","10",)))))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28</v>
      </c>
      <c r="N89" s="3" t="n">
        <v>97.33</v>
      </c>
      <c r="O89" s="3" t="n">
        <v>15.80547112462006</v>
      </c>
    </row>
    <row r="90" hidden="1">
      <c r="A90" s="5" t="n">
        <v>46148</v>
      </c>
      <c r="B90" s="6" t="inlineStr">
        <is>
          <t>Alisson de Freitas Silva</t>
        </is>
      </c>
      <c r="C90" s="3" t="inlineStr">
        <is>
          <t>Técnico II</t>
        </is>
      </c>
      <c r="D90" s="3" t="n">
        <v>35</v>
      </c>
      <c r="E90" s="3" t="n">
        <v>29</v>
      </c>
      <c r="G90" s="3" t="n">
        <v>11</v>
      </c>
      <c r="I90" s="3">
        <f>E90+G90+H90</f>
        <v/>
      </c>
      <c r="J90" s="3">
        <f>IF(C90="Técnico III","35",IF(C90="Técnico II","28",IF(C90="Técnico I","23",IF(C90="JR","20",IF(C90="Estágio","10",)))))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32</v>
      </c>
      <c r="N90" s="3" t="n">
        <v>98.94</v>
      </c>
      <c r="O90" s="3" t="n">
        <v>19.61414790996785</v>
      </c>
    </row>
    <row r="91" hidden="1">
      <c r="A91" s="5" t="n">
        <v>46148</v>
      </c>
      <c r="B91" s="6" t="inlineStr">
        <is>
          <t>Amanda Moura Ferreira</t>
        </is>
      </c>
      <c r="C91" s="3" t="inlineStr">
        <is>
          <t>Técnico III</t>
        </is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IF(K91&lt;-5,"CRÍTICO",IF(K91&lt;0,"ATENÇÃO",IF(K91&lt;=5,"BOM","EXCELENTE")))</f>
        <v/>
      </c>
      <c r="M91" s="9" t="n">
        <v>0</v>
      </c>
      <c r="N91" s="9" t="n">
        <v>100</v>
      </c>
      <c r="O91" s="9" t="n">
        <v>0</v>
      </c>
    </row>
    <row r="92" hidden="1">
      <c r="A92" s="5" t="n">
        <v>46148</v>
      </c>
      <c r="B92" s="6" t="inlineStr">
        <is>
          <t>Ana Karollyne Souza Faria</t>
        </is>
      </c>
      <c r="C92" s="3" t="inlineStr">
        <is>
          <t>Técnico I</t>
        </is>
      </c>
      <c r="D92" s="3" t="n">
        <v>50</v>
      </c>
      <c r="E92" s="3" t="n">
        <v>43</v>
      </c>
      <c r="G92" s="3" t="n">
        <v>6</v>
      </c>
      <c r="I92" s="3">
        <f>E92+G92+H92</f>
        <v/>
      </c>
      <c r="J92" s="3">
        <f>IF(C92="Técnico III","35",IF(C92="Técnico II","28",IF(C92="Técnico I","23",IF(C92="JR","20",IF(C92="Estágio","10",)))))</f>
        <v/>
      </c>
      <c r="K92" s="3">
        <f>I92-J92</f>
        <v/>
      </c>
      <c r="L92" s="3">
        <f>IF(K92&lt;-5,"CRÍTICO",IF(K92&lt;0,"ATENÇÃO",IF(K92&lt;=5,"BOM","EXCELENTE")))</f>
        <v/>
      </c>
      <c r="M92" s="3" t="n">
        <v>43</v>
      </c>
      <c r="N92" s="3" t="n">
        <v>95.38</v>
      </c>
      <c r="O92" s="3" t="n">
        <v>21.5962441314554</v>
      </c>
    </row>
    <row r="93" hidden="1">
      <c r="A93" s="5" t="n">
        <v>46148</v>
      </c>
      <c r="B93" s="6" t="inlineStr">
        <is>
          <t>Ana Paula Da Luz Silva Aleixo</t>
        </is>
      </c>
      <c r="C93" s="9" t="inlineStr">
        <is>
          <t>Técnico III</t>
        </is>
      </c>
      <c r="D93" s="3" t="n">
        <v>22</v>
      </c>
      <c r="E93" s="3" t="n">
        <v>20</v>
      </c>
      <c r="G93" s="3" t="n">
        <v>12</v>
      </c>
      <c r="I93" s="3">
        <f>E93+G93+H93</f>
        <v/>
      </c>
      <c r="J93" s="3">
        <f>IF(C93="Técnico III","35",IF(C93="Técnico II","28",IF(C93="Técnico I","23",IF(C93="JR","20",IF(C93="Estágio","10",)))))</f>
        <v/>
      </c>
      <c r="K93" s="3">
        <f>I93-J93</f>
        <v/>
      </c>
      <c r="L93" s="3">
        <f>IF(K93&lt;-5,"CRÍTICO",IF(K93&lt;0,"ATENÇÃO",IF(K93&lt;=5,"BOM","EXCELENTE")))</f>
        <v/>
      </c>
      <c r="M93" s="3" t="n">
        <v>30</v>
      </c>
      <c r="N93" s="3" t="n">
        <v>96.34</v>
      </c>
      <c r="O93" s="3" t="n">
        <v>17.57188498402556</v>
      </c>
    </row>
    <row r="94" hidden="1">
      <c r="A94" s="5" t="n">
        <v>46148</v>
      </c>
      <c r="B94" s="6" t="inlineStr">
        <is>
          <t>Brenda de Menezes Silva</t>
        </is>
      </c>
      <c r="C94" s="3" t="inlineStr">
        <is>
          <t>Técnico II</t>
        </is>
      </c>
      <c r="D94" s="3" t="n">
        <v>31</v>
      </c>
      <c r="E94" s="3" t="n">
        <v>28</v>
      </c>
      <c r="G94" s="3" t="n">
        <v>9</v>
      </c>
      <c r="I94" s="3">
        <f>E94+G94+H94</f>
        <v/>
      </c>
      <c r="J94" s="3">
        <f>IF(C94="Técnico III","35",IF(C94="Técnico II","28",IF(C94="Técnico I","23",IF(C94="JR","20",IF(C94="Estágio","10",)))))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35</v>
      </c>
      <c r="N94" s="3" t="n">
        <v>99.13</v>
      </c>
      <c r="O94" s="3" t="n">
        <v>14.7239263803681</v>
      </c>
    </row>
    <row r="95" hidden="1">
      <c r="A95" s="5" t="n">
        <v>46148</v>
      </c>
      <c r="B95" s="6" t="inlineStr">
        <is>
          <t>Carlos Mateus Cassimiro Nunes</t>
        </is>
      </c>
      <c r="C95" s="9" t="inlineStr">
        <is>
          <t>Técnico II</t>
        </is>
      </c>
      <c r="D95" s="3" t="n">
        <v>34</v>
      </c>
      <c r="E95" s="3" t="n">
        <v>32</v>
      </c>
      <c r="G95" s="3" t="n">
        <v>1</v>
      </c>
      <c r="I95" s="3">
        <f>E95+G95+H95</f>
        <v/>
      </c>
      <c r="J95" s="3">
        <f>IF(C95="Técnico III","35",IF(C95="Técnico II","28",IF(C95="Técnico I","23",IF(C95="JR","20",IF(C95="Estágio","10",)))))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31</v>
      </c>
      <c r="N95" s="3" t="n">
        <v>98.8</v>
      </c>
      <c r="O95" s="3" t="n">
        <v>16.89750692520776</v>
      </c>
    </row>
    <row r="96" hidden="1">
      <c r="A96" s="5" t="n">
        <v>46148</v>
      </c>
      <c r="B96" s="6" t="inlineStr">
        <is>
          <t>Anna Luiza Rezende Tavares</t>
        </is>
      </c>
      <c r="C96" s="3" t="inlineStr">
        <is>
          <t>Estágio</t>
        </is>
      </c>
      <c r="D96" s="3" t="n">
        <v>27</v>
      </c>
      <c r="E96" s="3" t="n">
        <v>26</v>
      </c>
      <c r="G96" s="3" t="n">
        <v>0</v>
      </c>
      <c r="H96" s="3" t="n">
        <v>0</v>
      </c>
      <c r="I96" s="3">
        <f>E96+G96+H96</f>
        <v/>
      </c>
      <c r="J96" s="3">
        <f>IF(C96="Técnico III","35",IF(C96="Técnico II","28",IF(C96="Técnico I","23",IF(C96="JR","20",IF(C96="Estágio","10",)))))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25</v>
      </c>
      <c r="N96" s="3" t="n">
        <v>99.11</v>
      </c>
      <c r="O96" s="3" t="n">
        <v>17.72151898734177</v>
      </c>
    </row>
    <row r="97" hidden="1">
      <c r="A97" s="5" t="n">
        <v>46148</v>
      </c>
      <c r="B97" s="6" t="inlineStr">
        <is>
          <t>Claudio de Sousa Velasco Filho</t>
        </is>
      </c>
      <c r="C97" s="3" t="inlineStr">
        <is>
          <t>Estágio</t>
        </is>
      </c>
      <c r="D97" s="3" t="n">
        <v>13</v>
      </c>
      <c r="E97" s="3" t="n">
        <v>12</v>
      </c>
      <c r="G97" s="3" t="n">
        <v>0</v>
      </c>
      <c r="I97" s="3">
        <f>E97+G97+H97</f>
        <v/>
      </c>
      <c r="J97" s="3">
        <f>IF(C97="Técnico III","35",IF(C97="Técnico II","28",IF(C97="Técnico I","23",IF(C97="JR","20",IF(C97="Estágio","10",)))))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9</v>
      </c>
      <c r="N97" s="3" t="n">
        <v>96.43000000000001</v>
      </c>
      <c r="O97" s="3" t="n">
        <v>20</v>
      </c>
    </row>
    <row r="98" hidden="1">
      <c r="A98" s="5" t="n">
        <v>46148</v>
      </c>
      <c r="B98" s="6" t="inlineStr">
        <is>
          <t>Emilly Caylane Costa</t>
        </is>
      </c>
      <c r="C98" s="3" t="inlineStr">
        <is>
          <t>Estágio</t>
        </is>
      </c>
      <c r="D98" s="3" t="n">
        <v>56</v>
      </c>
      <c r="E98" s="3" t="n">
        <v>43</v>
      </c>
      <c r="G98" s="3" t="n">
        <v>0</v>
      </c>
      <c r="H98" s="3" t="n">
        <v>0</v>
      </c>
      <c r="I98" s="3">
        <f>E98+G98+H98</f>
        <v/>
      </c>
      <c r="J98" s="3">
        <f>IF(C98="Técnico III","35",IF(C98="Técnico II","28",IF(C98="Técnico I","23",IF(C98="JR","20",IF(C98="Estágio","10",)))))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2</v>
      </c>
      <c r="N98" s="3" t="n">
        <v>100</v>
      </c>
      <c r="O98" s="3" t="n">
        <v>29.03225806451613</v>
      </c>
    </row>
    <row r="99" hidden="1">
      <c r="A99" s="5" t="n">
        <v>46148</v>
      </c>
      <c r="B99" s="6" t="inlineStr">
        <is>
          <t>Maria Eduarda Sousa Costa</t>
        </is>
      </c>
      <c r="C99" s="3" t="inlineStr">
        <is>
          <t>Estágio</t>
        </is>
      </c>
      <c r="D99" s="3" t="n">
        <v>66</v>
      </c>
      <c r="E99" s="3" t="n">
        <v>38</v>
      </c>
      <c r="G99" s="3" t="n">
        <v>0</v>
      </c>
      <c r="I99" s="3">
        <f>E99+G99+H99</f>
        <v/>
      </c>
      <c r="J99" s="3">
        <f>IF(C99="Técnico III","35",IF(C99="Técnico II","28",IF(C99="Técnico I","23",IF(C99="JR","20",IF(C99="Estágio","10",)))))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3</v>
      </c>
      <c r="N99" s="3" t="n">
        <v>100</v>
      </c>
      <c r="O99" s="3" t="n">
        <v>11.86440677966102</v>
      </c>
    </row>
    <row r="100" hidden="1">
      <c r="A100" s="5" t="n">
        <v>46148</v>
      </c>
      <c r="B100" s="6" t="inlineStr">
        <is>
          <t>Michelle G Santos</t>
        </is>
      </c>
      <c r="C100" s="3" t="inlineStr">
        <is>
          <t>Estágio</t>
        </is>
      </c>
      <c r="D100" s="3" t="n">
        <v>9</v>
      </c>
      <c r="E100" s="3" t="n">
        <v>8</v>
      </c>
      <c r="G100" s="3" t="n">
        <v>0</v>
      </c>
      <c r="I100" s="3">
        <f>E100+G100+H100</f>
        <v/>
      </c>
      <c r="J100" s="3">
        <f>IF(C100="Técnico III","35",IF(C100="Técnico II","28",IF(C100="Técnico I","23",IF(C100="JR","20",IF(C100="Estágio","10",)))))</f>
        <v/>
      </c>
      <c r="K100" s="3">
        <f>I100-J100</f>
        <v/>
      </c>
      <c r="L100" s="3">
        <f>IF(K100&lt;-5,"CRÍTICO",IF(K100&lt;0,"ATENÇÃO",IF(K100&lt;=5,"BOM","EXCELENTE")))</f>
        <v/>
      </c>
      <c r="M100" s="3" t="n">
        <v>7</v>
      </c>
      <c r="N100" s="3" t="n">
        <v>100</v>
      </c>
      <c r="O100" s="3" t="n">
        <v>16.8141592920354</v>
      </c>
    </row>
    <row r="101" hidden="1">
      <c r="A101" s="5" t="n">
        <v>46148</v>
      </c>
      <c r="B101" s="6" t="inlineStr">
        <is>
          <t>Quirino Diogo Leite Torres</t>
        </is>
      </c>
      <c r="C101" s="3" t="inlineStr">
        <is>
          <t>Estágio</t>
        </is>
      </c>
      <c r="D101" s="3" t="n">
        <v>17</v>
      </c>
      <c r="E101" s="3" t="n">
        <v>15</v>
      </c>
      <c r="G101" s="3" t="n">
        <v>0</v>
      </c>
      <c r="I101" s="3">
        <f>E101+G101+H101</f>
        <v/>
      </c>
      <c r="J101" s="3">
        <f>IF(C101="Técnico III","35",IF(C101="Técnico II","28",IF(C101="Técnico I","23",IF(C101="JR","20",IF(C101="Estágio","10",)))))</f>
        <v/>
      </c>
      <c r="K101" s="3">
        <f>I101-J101</f>
        <v/>
      </c>
      <c r="L101" s="3">
        <f>IF(K101&lt;-5,"CRÍTICO",IF(K101&lt;0,"ATENÇÃO",IF(K101&lt;=5,"BOM","EXCELENTE")))</f>
        <v/>
      </c>
      <c r="M101" s="3" t="n">
        <v>14</v>
      </c>
      <c r="N101" s="3" t="n">
        <v>98.11</v>
      </c>
      <c r="O101" s="3" t="n">
        <v>20.40816326530612</v>
      </c>
    </row>
    <row r="102" hidden="1">
      <c r="A102" s="5" t="n">
        <v>46148</v>
      </c>
      <c r="B102" s="6" t="inlineStr">
        <is>
          <t>Clessiane Pereira dos Santos</t>
        </is>
      </c>
      <c r="C102" s="3" t="inlineStr">
        <is>
          <t>Técnico I</t>
        </is>
      </c>
      <c r="D102" s="3" t="n">
        <v>24</v>
      </c>
      <c r="E102" s="3" t="n">
        <v>23</v>
      </c>
      <c r="G102" s="3" t="n">
        <v>9</v>
      </c>
      <c r="I102" s="3">
        <f>E102+G102+H102</f>
        <v/>
      </c>
      <c r="J102" s="3">
        <f>IF(C102="Técnico III","35",IF(C102="Técnico II","28",IF(C102="Técnico I","23",IF(C102="JR","20",IF(C102="Estágio","10",)))))</f>
        <v/>
      </c>
      <c r="K102" s="3">
        <f>I102-J102</f>
        <v/>
      </c>
      <c r="L102" s="3">
        <f>IF(K102&lt;-5,"CRÍTICO",IF(K102&lt;0,"ATENÇÃO",IF(K102&lt;=5,"BOM","EXCELENTE")))</f>
        <v/>
      </c>
      <c r="M102" s="3" t="n">
        <v>30</v>
      </c>
      <c r="N102" s="3" t="n">
        <v>96.88</v>
      </c>
      <c r="O102" s="3" t="n">
        <v>19.52662721893491</v>
      </c>
    </row>
    <row r="103" hidden="1">
      <c r="A103" s="5" t="n">
        <v>46148</v>
      </c>
      <c r="B103" s="6" t="inlineStr">
        <is>
          <t>Cristiane Ramos da Silva Rocha</t>
        </is>
      </c>
      <c r="C103" s="3" t="inlineStr">
        <is>
          <t>Técnico III</t>
        </is>
      </c>
      <c r="D103" s="3" t="n">
        <v>48</v>
      </c>
      <c r="E103" s="3" t="n">
        <v>44</v>
      </c>
      <c r="G103" s="3" t="n">
        <v>0</v>
      </c>
      <c r="I103" s="3">
        <f>E103+G103+H103</f>
        <v/>
      </c>
      <c r="J103" s="3">
        <f>IF(C103="Técnico III","35",IF(C103="Técnico II","28",IF(C103="Técnico I","23",IF(C103="JR","20",IF(C103="Estágio","10",)))))</f>
        <v/>
      </c>
      <c r="K103" s="3">
        <f>I103-J103</f>
        <v/>
      </c>
      <c r="L103" s="3">
        <f>IF(K103&lt;-5,"CRÍTICO",IF(K103&lt;0,"ATENÇÃO",IF(K103&lt;=5,"BOM","EXCELENTE")))</f>
        <v/>
      </c>
      <c r="M103" s="3" t="n">
        <v>41</v>
      </c>
      <c r="N103" s="3" t="n">
        <v>91.84999999999999</v>
      </c>
      <c r="O103" s="3" t="n">
        <v>20.87155963302752</v>
      </c>
    </row>
    <row r="104" hidden="1">
      <c r="A104" s="5" t="n">
        <v>46148</v>
      </c>
      <c r="B104" s="6" t="inlineStr">
        <is>
          <t>Damyllis Lorraine de Oliveira Gonçalves</t>
        </is>
      </c>
      <c r="C104" s="3" t="inlineStr">
        <is>
          <t>Técnico II</t>
        </is>
      </c>
      <c r="D104" s="3" t="n">
        <v>40</v>
      </c>
      <c r="E104" s="3" t="n">
        <v>35</v>
      </c>
      <c r="G104" s="3" t="n">
        <v>1</v>
      </c>
      <c r="I104" s="3">
        <f>E104+G104+H104</f>
        <v/>
      </c>
      <c r="J104" s="3">
        <f>IF(C104="Técnico III","35",IF(C104="Técnico II","28",IF(C104="Técnico I","23",IF(C104="JR","20",IF(C104="Estágio","10",)))))</f>
        <v/>
      </c>
      <c r="K104" s="3">
        <f>I104-J104</f>
        <v/>
      </c>
      <c r="L104" s="3">
        <f>IF(K104&lt;-5,"CRÍTICO",IF(K104&lt;0,"ATENÇÃO",IF(K104&lt;=5,"BOM","EXCELENTE")))</f>
        <v/>
      </c>
      <c r="M104" s="3" t="n">
        <v>29</v>
      </c>
      <c r="N104" s="3" t="n">
        <v>98.63</v>
      </c>
      <c r="O104" s="3" t="n">
        <v>18.75</v>
      </c>
    </row>
    <row r="105" hidden="1">
      <c r="A105" s="5" t="n">
        <v>46148</v>
      </c>
      <c r="B105" s="6" t="inlineStr">
        <is>
          <t>Daniel Gomes da Silva</t>
        </is>
      </c>
      <c r="C105" s="3" t="inlineStr">
        <is>
          <t>Técnico I</t>
        </is>
      </c>
      <c r="D105" s="3" t="n">
        <v>19</v>
      </c>
      <c r="E105" s="3" t="n">
        <v>16</v>
      </c>
      <c r="G105" s="3" t="n">
        <v>0</v>
      </c>
      <c r="I105" s="3">
        <f>E105+G105+H105</f>
        <v/>
      </c>
      <c r="J105" s="3">
        <f>IF(C105="Técnico III","35",IF(C105="Técnico II","28",IF(C105="Técnico I","23",IF(C105="JR","20",IF(C105="Estágio","10",)))))</f>
        <v/>
      </c>
      <c r="K105" s="3">
        <f>I105-J105</f>
        <v/>
      </c>
      <c r="L105" s="3">
        <f>IF(K105&lt;-5,"CRÍTICO",IF(K105&lt;0,"ATENÇÃO",IF(K105&lt;=5,"BOM","EXCELENTE")))</f>
        <v/>
      </c>
      <c r="M105" s="3" t="n">
        <v>13</v>
      </c>
      <c r="N105" s="3" t="n">
        <v>100</v>
      </c>
      <c r="O105" s="3" t="n">
        <v>18.14516129032258</v>
      </c>
    </row>
    <row r="106" hidden="1">
      <c r="A106" s="5" t="n">
        <v>46148</v>
      </c>
      <c r="B106" s="6" t="inlineStr">
        <is>
          <t>Davylla Rodrigues Freitas Silva</t>
        </is>
      </c>
      <c r="C106" s="9" t="inlineStr">
        <is>
          <t>Técnico III</t>
        </is>
      </c>
      <c r="D106" s="3" t="n">
        <v>24</v>
      </c>
      <c r="E106" s="3" t="n">
        <v>22</v>
      </c>
      <c r="G106" s="3" t="n">
        <v>9</v>
      </c>
      <c r="I106" s="3">
        <f>E106+G106+H106</f>
        <v/>
      </c>
      <c r="J106" s="3">
        <f>IF(C106="Técnico III","35",IF(C106="Técnico II","28",IF(C106="Técnico I","23",IF(C106="JR","20",IF(C106="Estágio","10",)))))</f>
        <v/>
      </c>
      <c r="K106" s="3">
        <f>I106-J106</f>
        <v/>
      </c>
      <c r="L106" s="3">
        <f>IF(K106&lt;-5,"CRÍTICO",IF(K106&lt;0,"ATENÇÃO",IF(K106&lt;=5,"BOM","EXCELENTE")))</f>
        <v/>
      </c>
      <c r="M106" s="3" t="n">
        <v>32</v>
      </c>
      <c r="N106" s="3" t="n">
        <v>99.06</v>
      </c>
      <c r="O106" s="3" t="n">
        <v>22.95719844357977</v>
      </c>
    </row>
    <row r="107" hidden="1">
      <c r="A107" s="5" t="n">
        <v>46148</v>
      </c>
      <c r="B107" s="6" t="inlineStr">
        <is>
          <t>Emilly Kamilly Medeiros Miranda</t>
        </is>
      </c>
      <c r="C107" s="3" t="inlineStr">
        <is>
          <t>Técnico II</t>
        </is>
      </c>
      <c r="D107" s="3" t="n">
        <v>15</v>
      </c>
      <c r="E107" s="3" t="n">
        <v>14</v>
      </c>
      <c r="G107" s="3" t="n">
        <v>9</v>
      </c>
      <c r="I107" s="3">
        <f>E107+G107+H107</f>
        <v/>
      </c>
      <c r="J107" s="3">
        <f>IF(C107="Técnico III","35",IF(C107="Técnico II","28",IF(C107="Técnico I","23",IF(C107="JR","20",IF(C107="Estágio","10",)))))</f>
        <v/>
      </c>
      <c r="K107" s="3">
        <f>I107-J107</f>
        <v/>
      </c>
      <c r="L107" s="3">
        <f>IF(K107&lt;-5,"CRÍTICO",IF(K107&lt;0,"ATENÇÃO",IF(K107&lt;=5,"BOM","EXCELENTE")))</f>
        <v/>
      </c>
      <c r="M107" s="3" t="n">
        <v>22</v>
      </c>
      <c r="N107" s="3" t="n">
        <v>100</v>
      </c>
      <c r="O107" s="3" t="n">
        <v>13.8121546961326</v>
      </c>
    </row>
    <row r="108" hidden="1">
      <c r="A108" s="5" t="n">
        <v>46148</v>
      </c>
      <c r="B108" s="6" t="inlineStr">
        <is>
          <t>Francielson de Oliveira</t>
        </is>
      </c>
      <c r="C108" s="9" t="inlineStr">
        <is>
          <t>Técnico III</t>
        </is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>
        <f>IF(K108&lt;-5,"CRÍTICO",IF(K108&lt;0,"ATENÇÃO",IF(K108&lt;=5,"BOM","EXCELENTE")))</f>
        <v/>
      </c>
      <c r="M108" s="3" t="n">
        <v>0</v>
      </c>
      <c r="N108" s="3" t="n">
        <v>100</v>
      </c>
      <c r="O108" s="3" t="n">
        <v>9.523809523809524</v>
      </c>
    </row>
    <row r="109" hidden="1">
      <c r="A109" s="5" t="n">
        <v>46148</v>
      </c>
      <c r="B109" s="6" t="inlineStr">
        <is>
          <t>Francilene Ferreira de Jesus</t>
        </is>
      </c>
      <c r="C109" s="3" t="inlineStr">
        <is>
          <t>Técnico II</t>
        </is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>
        <f>IF(K109&lt;-5,"CRÍTICO",IF(K109&lt;0,"ATENÇÃO",IF(K109&lt;=5,"BOM","EXCELENTE")))</f>
        <v/>
      </c>
      <c r="M109" s="3" t="n">
        <v>0</v>
      </c>
      <c r="N109" s="3" t="n">
        <v>100</v>
      </c>
      <c r="O109" s="3" t="n">
        <v>17.24137931034483</v>
      </c>
    </row>
    <row r="110" hidden="1">
      <c r="A110" s="5" t="n">
        <v>46148</v>
      </c>
      <c r="B110" s="6" t="inlineStr">
        <is>
          <t>Gabriel Gomes de Andrade</t>
        </is>
      </c>
      <c r="C110" s="3" t="inlineStr">
        <is>
          <t>Técnico I</t>
        </is>
      </c>
      <c r="D110" s="3" t="n">
        <v>23</v>
      </c>
      <c r="E110" s="3" t="n">
        <v>22</v>
      </c>
      <c r="G110" s="3" t="n">
        <v>9</v>
      </c>
      <c r="I110" s="3">
        <f>E110+G110+H110</f>
        <v/>
      </c>
      <c r="J110" s="3">
        <f>IF(C110="Técnico III","35",IF(C110="Técnico II","28",IF(C110="Técnico I","23",IF(C110="JR","20",IF(C110="Estágio","10",)))))</f>
        <v/>
      </c>
      <c r="K110" s="3">
        <f>I110-J110</f>
        <v/>
      </c>
      <c r="L110" s="3">
        <f>IF(K110&lt;-5,"CRÍTICO",IF(K110&lt;0,"ATENÇÃO",IF(K110&lt;=5,"BOM","EXCELENTE")))</f>
        <v/>
      </c>
      <c r="M110" s="3" t="n">
        <v>24</v>
      </c>
      <c r="N110" s="3" t="n">
        <v>98.8</v>
      </c>
      <c r="O110" s="3" t="n">
        <v>15.41353383458646</v>
      </c>
    </row>
    <row r="111" hidden="1">
      <c r="A111" s="5" t="n">
        <v>46148</v>
      </c>
      <c r="B111" s="6" t="inlineStr">
        <is>
          <t>Isabella Borges de Oliveira</t>
        </is>
      </c>
      <c r="C111" s="9" t="inlineStr">
        <is>
          <t>Técnico II</t>
        </is>
      </c>
      <c r="D111" s="3" t="n">
        <v>33</v>
      </c>
      <c r="E111" s="3" t="n">
        <v>32</v>
      </c>
      <c r="G111" s="3" t="n">
        <v>9</v>
      </c>
      <c r="I111" s="3">
        <f>E111+G111+H111</f>
        <v/>
      </c>
      <c r="J111" s="3">
        <f>IF(C111="Técnico III","35",IF(C111="Técnico II","28",IF(C111="Técnico I","23",IF(C111="JR","20",IF(C111="Estágio","10",)))))</f>
        <v/>
      </c>
      <c r="K111" s="3">
        <f>I111-J111</f>
        <v/>
      </c>
      <c r="L111" s="3">
        <f>IF(K111&lt;-5,"CRÍTICO",IF(K111&lt;0,"ATENÇÃO",IF(K111&lt;=5,"BOM","EXCELENTE")))</f>
        <v/>
      </c>
      <c r="M111" s="3" t="n">
        <v>30</v>
      </c>
      <c r="N111" s="3" t="n">
        <v>98.63</v>
      </c>
      <c r="O111" s="3" t="n">
        <v>15.75757575757576</v>
      </c>
    </row>
    <row r="112" hidden="1">
      <c r="A112" s="5" t="n">
        <v>46148</v>
      </c>
      <c r="B112" s="6" t="inlineStr">
        <is>
          <t>Janaina Lima dos Reis Urany</t>
        </is>
      </c>
      <c r="C112" s="3" t="inlineStr">
        <is>
          <t>Técnico III</t>
        </is>
      </c>
      <c r="D112" s="3" t="n">
        <v>52</v>
      </c>
      <c r="E112" s="3" t="n">
        <v>45</v>
      </c>
      <c r="G112" s="3" t="n">
        <v>23</v>
      </c>
      <c r="I112" s="3">
        <f>E112+G112+H112</f>
        <v/>
      </c>
      <c r="J112" s="3">
        <f>IF(C112="Técnico III","35",IF(C112="Técnico II","28",IF(C112="Técnico I","23",IF(C112="JR","20",IF(C112="Estágio","10",)))))</f>
        <v/>
      </c>
      <c r="K112" s="3">
        <f>I112-J112</f>
        <v/>
      </c>
      <c r="L112" s="3">
        <f>IF(K112&lt;-5,"CRÍTICO",IF(K112&lt;0,"ATENÇÃO",IF(K112&lt;=5,"BOM","EXCELENTE")))</f>
        <v/>
      </c>
      <c r="M112" s="3" t="n">
        <v>55</v>
      </c>
      <c r="N112" s="3" t="n">
        <v>98.64</v>
      </c>
      <c r="O112" s="3" t="n">
        <v>16.6383701188455</v>
      </c>
    </row>
    <row r="113" hidden="1">
      <c r="A113" s="5" t="n">
        <v>46148</v>
      </c>
      <c r="B113" s="6" t="inlineStr">
        <is>
          <t>Jaqueline Evangelista da Silva Martins</t>
        </is>
      </c>
      <c r="C113" s="3" t="inlineStr">
        <is>
          <t>Técnico III</t>
        </is>
      </c>
      <c r="D113" s="3" t="n">
        <v>27</v>
      </c>
      <c r="E113" s="3" t="n">
        <v>26</v>
      </c>
      <c r="G113" s="3" t="n">
        <v>7</v>
      </c>
      <c r="I113" s="3">
        <f>E113+G113+H113</f>
        <v/>
      </c>
      <c r="J113" s="3">
        <f>IF(C113="Técnico III","35",IF(C113="Técnico II","28",IF(C113="Técnico I","23",IF(C113="JR","20",IF(C113="Estágio","10",)))))</f>
        <v/>
      </c>
      <c r="K113" s="3">
        <f>I113-J113</f>
        <v/>
      </c>
      <c r="L113" s="3">
        <f>IF(K113&lt;-5,"CRÍTICO",IF(K113&lt;0,"ATENÇÃO",IF(K113&lt;=5,"BOM","EXCELENTE")))</f>
        <v/>
      </c>
      <c r="M113" s="3" t="n">
        <v>26</v>
      </c>
      <c r="N113" s="3" t="n">
        <v>95.40000000000001</v>
      </c>
      <c r="O113" s="3" t="n">
        <v>20.53333333333333</v>
      </c>
    </row>
    <row r="114" hidden="1">
      <c r="A114" s="5" t="n">
        <v>46148</v>
      </c>
      <c r="B114" s="6" t="inlineStr">
        <is>
          <t>Jessica Faria da Silveira</t>
        </is>
      </c>
      <c r="C114" s="3" t="inlineStr">
        <is>
          <t>Técnico II</t>
        </is>
      </c>
      <c r="D114" s="3" t="n">
        <v>29</v>
      </c>
      <c r="E114" s="3" t="n">
        <v>28</v>
      </c>
      <c r="G114" s="3" t="n">
        <v>7</v>
      </c>
      <c r="I114" s="3">
        <f>E114+G114+H114</f>
        <v/>
      </c>
      <c r="J114" s="3">
        <f>IF(C114="Técnico III","35",IF(C114="Técnico II","28",IF(C114="Técnico I","23",IF(C114="JR","20",IF(C114="Estágio","10",)))))</f>
        <v/>
      </c>
      <c r="K114" s="3">
        <f>I114-J114</f>
        <v/>
      </c>
      <c r="L114" s="3">
        <f>IF(K114&lt;-5,"CRÍTICO",IF(K114&lt;0,"ATENÇÃO",IF(K114&lt;=5,"BOM","EXCELENTE")))</f>
        <v/>
      </c>
      <c r="M114" s="3" t="n">
        <v>34</v>
      </c>
      <c r="N114" s="3" t="n">
        <v>98.61</v>
      </c>
      <c r="O114" s="3" t="n">
        <v>16.97530864197531</v>
      </c>
    </row>
    <row r="115" hidden="1">
      <c r="A115" s="5" t="n">
        <v>46148</v>
      </c>
      <c r="B115" s="6" t="inlineStr">
        <is>
          <t>Jéssica Fé Moura</t>
        </is>
      </c>
      <c r="C115" s="3" t="inlineStr">
        <is>
          <t>Técnico III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>
        <f>IF(K115&lt;-5,"CRÍTICO",IF(K115&lt;0,"ATENÇÃO",IF(K115&lt;=5,"BOM","EXCELENTE")))</f>
        <v/>
      </c>
      <c r="M115" s="3" t="n">
        <v>0</v>
      </c>
      <c r="N115" s="3" t="n">
        <v>0</v>
      </c>
      <c r="O115" s="3" t="n">
        <v>0</v>
      </c>
    </row>
    <row r="116" hidden="1">
      <c r="A116" s="5" t="n">
        <v>46148</v>
      </c>
      <c r="B116" s="6" t="inlineStr">
        <is>
          <t>Karina Gonçalves Martins</t>
        </is>
      </c>
      <c r="C116" s="3" t="inlineStr">
        <is>
          <t>JR</t>
        </is>
      </c>
      <c r="D116" s="3" t="n">
        <v>22</v>
      </c>
      <c r="E116" s="3" t="n">
        <v>22</v>
      </c>
      <c r="G116" s="3" t="n">
        <v>1</v>
      </c>
      <c r="I116" s="3">
        <f>E116+G116+H116</f>
        <v/>
      </c>
      <c r="J116" s="3">
        <f>IF(C116="Técnico III","35",IF(C116="Técnico II","28",IF(C116="Técnico I","23",IF(C116="JR","20",IF(C116="Estágio","10",)))))</f>
        <v/>
      </c>
      <c r="K116" s="3">
        <f>I116-J116</f>
        <v/>
      </c>
      <c r="L116" s="3">
        <f>IF(K116&lt;-5,"CRÍTICO",IF(K116&lt;0,"ATENÇÃO",IF(K116&lt;=5,"BOM","EXCELENTE")))</f>
        <v/>
      </c>
      <c r="M116" s="3" t="n">
        <v>22</v>
      </c>
      <c r="N116" s="3" t="n">
        <v>97.01000000000001</v>
      </c>
      <c r="O116" s="3" t="n">
        <v>13.96103896103896</v>
      </c>
    </row>
    <row r="117" hidden="1">
      <c r="A117" s="5" t="n">
        <v>46148</v>
      </c>
      <c r="B117" s="6" t="inlineStr">
        <is>
          <t>Kerollen Cristielly de Jesus Siqueira</t>
        </is>
      </c>
      <c r="C117" s="9" t="inlineStr">
        <is>
          <t>Técnico III</t>
        </is>
      </c>
      <c r="D117" s="3" t="n">
        <v>27</v>
      </c>
      <c r="E117" s="3" t="n">
        <v>25</v>
      </c>
      <c r="G117" s="3" t="n">
        <v>1</v>
      </c>
      <c r="I117" s="3">
        <f>E117+G117+H117</f>
        <v/>
      </c>
      <c r="J117" s="3">
        <f>IF(C117="Técnico III","35",IF(C117="Técnico II","28",IF(C117="Técnico I","23",IF(C117="JR","20",IF(C117="Estágio","10",)))))</f>
        <v/>
      </c>
      <c r="K117" s="3">
        <f>I117-J117</f>
        <v/>
      </c>
      <c r="L117" s="3">
        <f>IF(K117&lt;-5,"CRÍTICO",IF(K117&lt;0,"ATENÇÃO",IF(K117&lt;=5,"BOM","EXCELENTE")))</f>
        <v/>
      </c>
      <c r="M117" s="3" t="n">
        <v>26</v>
      </c>
      <c r="N117" s="3" t="n">
        <v>95.52</v>
      </c>
      <c r="O117" s="3" t="n">
        <v>10.56105610561056</v>
      </c>
    </row>
    <row r="118" hidden="1">
      <c r="A118" s="5" t="n">
        <v>46148</v>
      </c>
      <c r="B118" s="6" t="inlineStr">
        <is>
          <t>Leandro de Souza Silva</t>
        </is>
      </c>
      <c r="C118" s="3" t="inlineStr">
        <is>
          <t>JR</t>
        </is>
      </c>
      <c r="D118" s="3" t="n">
        <v>13</v>
      </c>
      <c r="E118" s="3" t="n">
        <v>12</v>
      </c>
      <c r="G118" s="3" t="n">
        <v>12</v>
      </c>
      <c r="I118" s="3">
        <f>E118+G118+H118</f>
        <v/>
      </c>
      <c r="J118" s="3">
        <f>IF(C118="Técnico III","35",IF(C118="Técnico II","28",IF(C118="Técnico I","23",IF(C118="JR","20",IF(C118="Estágio","10",)))))</f>
        <v/>
      </c>
      <c r="K118" s="3">
        <f>I118-J118</f>
        <v/>
      </c>
      <c r="L118" s="3">
        <f>IF(K118&lt;-5,"CRÍTICO",IF(K118&lt;0,"ATENÇÃO",IF(K118&lt;=5,"BOM","EXCELENTE")))</f>
        <v/>
      </c>
      <c r="M118" s="3" t="n">
        <v>17</v>
      </c>
      <c r="N118" s="3" t="n">
        <v>100</v>
      </c>
      <c r="O118" s="3" t="n">
        <v>16.95906432748538</v>
      </c>
    </row>
    <row r="119" hidden="1">
      <c r="A119" s="5" t="n">
        <v>46148</v>
      </c>
      <c r="B119" s="6" t="inlineStr">
        <is>
          <t>Leandro Oliveira de Sousa</t>
        </is>
      </c>
      <c r="C119" s="9" t="inlineStr">
        <is>
          <t>Técnico III</t>
        </is>
      </c>
      <c r="D119" s="3" t="n">
        <v>38</v>
      </c>
      <c r="E119" s="3" t="n">
        <v>38</v>
      </c>
      <c r="G119" s="3" t="n">
        <v>0</v>
      </c>
      <c r="I119" s="3">
        <f>E119+G119+H119</f>
        <v/>
      </c>
      <c r="J119" s="3">
        <f>IF(C119="Técnico III","35",IF(C119="Técnico II","28",IF(C119="Técnico I","23",IF(C119="JR","20",IF(C119="Estágio","10",)))))</f>
        <v/>
      </c>
      <c r="K119" s="3">
        <f>I119-J119</f>
        <v/>
      </c>
      <c r="L119" s="3">
        <f>IF(K119&lt;-5,"CRÍTICO",IF(K119&lt;0,"ATENÇÃO",IF(K119&lt;=5,"BOM","EXCELENTE")))</f>
        <v/>
      </c>
      <c r="M119" s="3" t="n">
        <v>36</v>
      </c>
      <c r="N119" s="3" t="n">
        <v>100</v>
      </c>
      <c r="O119" s="3" t="n">
        <v>15.58441558441558</v>
      </c>
    </row>
    <row r="120" hidden="1">
      <c r="A120" s="5" t="n">
        <v>46148</v>
      </c>
      <c r="B120" s="6" t="inlineStr">
        <is>
          <t>Lizandra Gomes Duarte</t>
        </is>
      </c>
      <c r="C120" s="3" t="inlineStr">
        <is>
          <t>Técnico II</t>
        </is>
      </c>
      <c r="D120" s="3" t="n">
        <v>38</v>
      </c>
      <c r="E120" s="3" t="n">
        <v>36</v>
      </c>
      <c r="G120" s="3" t="n">
        <v>2</v>
      </c>
      <c r="I120" s="3">
        <f>E120+G120+H120</f>
        <v/>
      </c>
      <c r="J120" s="3">
        <f>IF(C120="Técnico III","35",IF(C120="Técnico II","28",IF(C120="Técnico I","23",IF(C120="JR","20",IF(C120="Estágio","10",)))))</f>
        <v/>
      </c>
      <c r="K120" s="3">
        <f>I120-J120</f>
        <v/>
      </c>
      <c r="L120" s="3">
        <f>IF(K120&lt;-5,"CRÍTICO",IF(K120&lt;0,"ATENÇÃO",IF(K120&lt;=5,"BOM","EXCELENTE")))</f>
        <v/>
      </c>
      <c r="M120" s="3" t="n">
        <v>16</v>
      </c>
      <c r="N120" s="3" t="n">
        <v>98.61</v>
      </c>
      <c r="O120" s="3" t="n">
        <v>16.86746987951807</v>
      </c>
    </row>
    <row r="121" hidden="1">
      <c r="A121" s="5" t="n">
        <v>46148</v>
      </c>
      <c r="B121" s="6" t="inlineStr">
        <is>
          <t>Lorena Dias de Araujo</t>
        </is>
      </c>
      <c r="C121" s="3" t="inlineStr">
        <is>
          <t>Técnico II</t>
        </is>
      </c>
      <c r="D121" s="3" t="n">
        <v>34</v>
      </c>
      <c r="E121" s="3" t="n">
        <v>31</v>
      </c>
      <c r="G121" s="3" t="n">
        <v>0</v>
      </c>
      <c r="I121" s="3">
        <f>E121+G121+H121</f>
        <v/>
      </c>
      <c r="J121" s="3">
        <f>IF(C121="Técnico III","35",IF(C121="Técnico II","28",IF(C121="Técnico I","23",IF(C121="JR","20",IF(C121="Estágio","10",)))))</f>
        <v/>
      </c>
      <c r="K121" s="3">
        <f>I121-J121</f>
        <v/>
      </c>
      <c r="L121" s="3">
        <f>IF(K121&lt;-5,"CRÍTICO",IF(K121&lt;0,"ATENÇÃO",IF(K121&lt;=5,"BOM","EXCELENTE")))</f>
        <v/>
      </c>
      <c r="M121" s="3" t="n">
        <v>28</v>
      </c>
      <c r="N121" s="3" t="n">
        <v>100</v>
      </c>
      <c r="O121" s="3" t="n">
        <v>20.82018927444795</v>
      </c>
    </row>
    <row r="122" hidden="1">
      <c r="A122" s="5" t="n">
        <v>46148</v>
      </c>
      <c r="B122" s="6" t="inlineStr">
        <is>
          <t>Lucas Luiz Romero</t>
        </is>
      </c>
      <c r="C122" s="3" t="inlineStr">
        <is>
          <t>Técnico III</t>
        </is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>
        <f>IF(K122&lt;-5,"CRÍTICO",IF(K122&lt;0,"ATENÇÃO",IF(K122&lt;=5,"BOM","EXCELENTE")))</f>
        <v/>
      </c>
      <c r="M122" s="3" t="n">
        <v>0</v>
      </c>
      <c r="N122" s="3" t="n">
        <v>100</v>
      </c>
      <c r="O122" s="3" t="n">
        <v>4.347826086956522</v>
      </c>
    </row>
    <row r="123" hidden="1">
      <c r="A123" s="5" t="n">
        <v>46148</v>
      </c>
      <c r="B123" s="6" t="inlineStr">
        <is>
          <t>Luiz Fernando de Carvalho Junior</t>
        </is>
      </c>
      <c r="C123" s="3" t="inlineStr">
        <is>
          <t>Técnico I</t>
        </is>
      </c>
      <c r="D123" s="3" t="n">
        <v>31</v>
      </c>
      <c r="E123" s="3" t="n">
        <v>30</v>
      </c>
      <c r="G123" s="3" t="n">
        <v>8</v>
      </c>
      <c r="I123" s="3">
        <f>E123+G123+H123</f>
        <v/>
      </c>
      <c r="J123" s="3">
        <f>IF(C123="Técnico III","35",IF(C123="Técnico II","28",IF(C123="Técnico I","23",IF(C123="JR","20",IF(C123="Estágio","10",)))))</f>
        <v/>
      </c>
      <c r="K123" s="3">
        <f>I123-J123</f>
        <v/>
      </c>
      <c r="L123" s="3">
        <f>IF(K123&lt;-5,"CRÍTICO",IF(K123&lt;0,"ATENÇÃO",IF(K123&lt;=5,"BOM","EXCELENTE")))</f>
        <v/>
      </c>
      <c r="M123" s="3" t="n">
        <v>36</v>
      </c>
      <c r="N123" s="3" t="n">
        <v>93.26000000000001</v>
      </c>
      <c r="O123" s="3" t="n">
        <v>19.93957703927493</v>
      </c>
    </row>
    <row r="124" hidden="1">
      <c r="A124" s="5" t="n">
        <v>46148</v>
      </c>
      <c r="B124" s="6" t="inlineStr">
        <is>
          <t>Matheus Farias De Souza</t>
        </is>
      </c>
      <c r="C124" s="3" t="inlineStr">
        <is>
          <t>Técnico III</t>
        </is>
      </c>
      <c r="D124" s="3" t="n">
        <v>24</v>
      </c>
      <c r="E124" s="3" t="n">
        <v>24</v>
      </c>
      <c r="G124" s="3" t="n">
        <v>0</v>
      </c>
      <c r="H124" s="3" t="n">
        <v>17</v>
      </c>
      <c r="I124" s="3">
        <f>E124+G124+H124</f>
        <v/>
      </c>
      <c r="J124" s="3">
        <f>IF(C124="Técnico III","35",IF(C124="Técnico II","28",IF(C124="Técnico I","23",IF(C124="JR","20",IF(C124="Estágio","10",)))))</f>
        <v/>
      </c>
      <c r="K124" s="3">
        <f>I124-J124</f>
        <v/>
      </c>
      <c r="L124" s="3">
        <f>IF(K124&lt;-5,"CRÍTICO",IF(K124&lt;0,"ATENÇÃO",IF(K124&lt;=5,"BOM","EXCELENTE")))</f>
        <v/>
      </c>
      <c r="M124" s="3" t="n">
        <v>31</v>
      </c>
      <c r="N124" s="3" t="n">
        <v>98.28</v>
      </c>
      <c r="O124" s="3" t="n">
        <v>9.037900874635568</v>
      </c>
    </row>
    <row r="125" hidden="1">
      <c r="A125" s="5" t="n">
        <v>46148</v>
      </c>
      <c r="B125" s="6" t="inlineStr">
        <is>
          <t>Maysa Victoria Dias Moura</t>
        </is>
      </c>
      <c r="C125" s="3" t="inlineStr">
        <is>
          <t>Técnico III</t>
        </is>
      </c>
      <c r="D125" s="3" t="n">
        <v>32</v>
      </c>
      <c r="E125" s="3" t="n">
        <v>30</v>
      </c>
      <c r="G125" s="3" t="n">
        <v>1</v>
      </c>
      <c r="I125" s="3">
        <f>E125+G125+H125</f>
        <v/>
      </c>
      <c r="J125" s="3">
        <f>IF(C125="Técnico III","35",IF(C125="Técnico II","28",IF(C125="Técnico I","23",IF(C125="JR","20",IF(C125="Estágio","10",)))))</f>
        <v/>
      </c>
      <c r="K125" s="3">
        <f>I125-J125</f>
        <v/>
      </c>
      <c r="L125" s="3">
        <f>IF(K125&lt;-5,"CRÍTICO",IF(K125&lt;0,"ATENÇÃO",IF(K125&lt;=5,"BOM","EXCELENTE")))</f>
        <v/>
      </c>
      <c r="M125" s="3" t="n">
        <v>31</v>
      </c>
      <c r="N125" s="3" t="n">
        <v>97.22</v>
      </c>
      <c r="O125" s="3" t="n">
        <v>19.09547738693467</v>
      </c>
    </row>
    <row r="126" hidden="1">
      <c r="A126" s="5" t="n">
        <v>46148</v>
      </c>
      <c r="B126" s="6" t="inlineStr">
        <is>
          <t>Milena Sales</t>
        </is>
      </c>
      <c r="C126" s="3" t="inlineStr">
        <is>
          <t>JR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>
        <f>IF(K126&lt;-5,"CRÍTICO",IF(K126&lt;0,"ATENÇÃO",IF(K126&lt;=5,"BOM","EXCELENTE")))</f>
        <v/>
      </c>
      <c r="M126" s="3" t="n">
        <v>0</v>
      </c>
      <c r="N126" s="3" t="n">
        <v>98</v>
      </c>
      <c r="O126" s="3" t="n">
        <v>16.43835616438356</v>
      </c>
    </row>
    <row r="127" hidden="1">
      <c r="A127" s="5" t="n">
        <v>46148</v>
      </c>
      <c r="B127" s="6" t="inlineStr">
        <is>
          <t>Patrícia Karla de Sousa Araújo</t>
        </is>
      </c>
      <c r="C127" s="3" t="inlineStr">
        <is>
          <t>Técnico II</t>
        </is>
      </c>
      <c r="D127" s="3" t="n">
        <v>35</v>
      </c>
      <c r="E127" s="3" t="n">
        <v>33</v>
      </c>
      <c r="G127" s="3" t="n">
        <v>0</v>
      </c>
      <c r="I127" s="3">
        <f>E127+G127+H127</f>
        <v/>
      </c>
      <c r="J127" s="3">
        <f>IF(C127="Técnico III","35",IF(C127="Técnico II","28",IF(C127="Técnico I","23",IF(C127="JR","20",IF(C127="Estágio","10",)))))</f>
        <v/>
      </c>
      <c r="K127" s="3">
        <f>I127-J127</f>
        <v/>
      </c>
      <c r="L127" s="3">
        <f>IF(K127&lt;-5,"CRÍTICO",IF(K127&lt;0,"ATENÇÃO",IF(K127&lt;=5,"BOM","EXCELENTE")))</f>
        <v/>
      </c>
      <c r="M127" s="3" t="n">
        <v>30</v>
      </c>
      <c r="N127" s="3" t="n">
        <v>100</v>
      </c>
      <c r="O127" s="3" t="n">
        <v>16.89497716894977</v>
      </c>
    </row>
    <row r="128" hidden="1">
      <c r="A128" s="5" t="n">
        <v>46148</v>
      </c>
      <c r="B128" s="6" t="inlineStr">
        <is>
          <t>Paulo Ricardo Santos</t>
        </is>
      </c>
      <c r="C128" s="3" t="inlineStr">
        <is>
          <t>JR</t>
        </is>
      </c>
      <c r="D128" s="3" t="n">
        <v>17</v>
      </c>
      <c r="E128" s="3" t="n">
        <v>17</v>
      </c>
      <c r="G128" s="3" t="n">
        <v>0</v>
      </c>
      <c r="I128" s="3">
        <f>E128+G128+H128</f>
        <v/>
      </c>
      <c r="J128" s="3">
        <f>IF(C128="Técnico III","35",IF(C128="Técnico II","28",IF(C128="Técnico I","23",IF(C128="JR","20",IF(C128="Estágio","10",)))))</f>
        <v/>
      </c>
      <c r="K128" s="3">
        <f>I128-J128</f>
        <v/>
      </c>
      <c r="L128" s="3">
        <f>IF(K128&lt;-5,"CRÍTICO",IF(K128&lt;0,"ATENÇÃO",IF(K128&lt;=5,"BOM","EXCELENTE")))</f>
        <v/>
      </c>
      <c r="M128" s="3" t="n">
        <v>15</v>
      </c>
      <c r="N128" s="3" t="n">
        <v>100</v>
      </c>
      <c r="O128" s="3" t="n">
        <v>19.13875598086124</v>
      </c>
    </row>
    <row r="129" hidden="1">
      <c r="A129" s="5" t="n">
        <v>46148</v>
      </c>
      <c r="B129" s="6" t="inlineStr">
        <is>
          <t>Pedro Luiz Mota Sousa</t>
        </is>
      </c>
      <c r="C129" s="3" t="inlineStr">
        <is>
          <t>JR</t>
        </is>
      </c>
      <c r="D129" s="3" t="n">
        <v>22</v>
      </c>
      <c r="E129" s="3" t="n">
        <v>21</v>
      </c>
      <c r="G129" s="3" t="n">
        <v>3</v>
      </c>
      <c r="I129" s="3">
        <f>E129+G129+H129</f>
        <v/>
      </c>
      <c r="J129" s="3">
        <f>IF(C129="Técnico III","35",IF(C129="Técnico II","28",IF(C129="Técnico I","23",IF(C129="JR","20",IF(C129="Estágio","10",)))))</f>
        <v/>
      </c>
      <c r="K129" s="3">
        <f>I129-J129</f>
        <v/>
      </c>
      <c r="L129" s="3">
        <f>IF(K129&lt;-5,"CRÍTICO",IF(K129&lt;0,"ATENÇÃO",IF(K129&lt;=5,"BOM","EXCELENTE")))</f>
        <v/>
      </c>
      <c r="M129" s="3" t="n">
        <v>18</v>
      </c>
      <c r="N129" s="3" t="n">
        <v>100</v>
      </c>
      <c r="O129" s="3" t="n">
        <v>15.02145922746781</v>
      </c>
    </row>
    <row r="130" hidden="1">
      <c r="A130" s="5" t="n">
        <v>46148</v>
      </c>
      <c r="B130" s="6" t="inlineStr">
        <is>
          <t>Raane Batista Matos</t>
        </is>
      </c>
      <c r="C130" s="3" t="inlineStr">
        <is>
          <t>Técnico I</t>
        </is>
      </c>
      <c r="D130" s="3" t="n">
        <v>34</v>
      </c>
      <c r="E130" s="3" t="n">
        <v>30</v>
      </c>
      <c r="G130" s="3" t="n">
        <v>5</v>
      </c>
      <c r="I130" s="3">
        <f>E130+G130+H130</f>
        <v/>
      </c>
      <c r="J130" s="3">
        <f>IF(C130="Técnico III","35",IF(C130="Técnico II","28",IF(C130="Técnico I","23",IF(C130="JR","20",IF(C130="Estágio","10",)))))</f>
        <v/>
      </c>
      <c r="K130" s="3">
        <f>I130-J130</f>
        <v/>
      </c>
      <c r="L130" s="3">
        <f>IF(K130&lt;-5,"CRÍTICO",IF(K130&lt;0,"ATENÇÃO",IF(K130&lt;=5,"BOM","EXCELENTE")))</f>
        <v/>
      </c>
      <c r="M130" s="3" t="n">
        <v>23</v>
      </c>
      <c r="N130" s="3" t="n">
        <v>97.56</v>
      </c>
      <c r="O130" s="3" t="n">
        <v>19.28783382789317</v>
      </c>
    </row>
    <row r="131" hidden="1">
      <c r="A131" s="5" t="n">
        <v>46148</v>
      </c>
      <c r="B131" s="6" t="inlineStr">
        <is>
          <t>Rafael Gomes de Morais</t>
        </is>
      </c>
      <c r="C131" s="3" t="inlineStr">
        <is>
          <t>Técnico III</t>
        </is>
      </c>
      <c r="D131" s="3" t="n">
        <v>57</v>
      </c>
      <c r="E131" s="3" t="n">
        <v>51</v>
      </c>
      <c r="G131" s="3" t="n">
        <v>1</v>
      </c>
      <c r="I131" s="3">
        <f>E131+G131+H131</f>
        <v/>
      </c>
      <c r="J131" s="3">
        <f>IF(C131="Técnico III","35",IF(C131="Técnico II","28",IF(C131="Técnico I","23",IF(C131="JR","20",IF(C131="Estágio","10",)))))</f>
        <v/>
      </c>
      <c r="K131" s="3">
        <f>I131-J131</f>
        <v/>
      </c>
      <c r="L131" s="3">
        <f>IF(K131&lt;-5,"CRÍTICO",IF(K131&lt;0,"ATENÇÃO",IF(K131&lt;=5,"BOM","EXCELENTE")))</f>
        <v/>
      </c>
      <c r="M131" s="3" t="n">
        <v>37</v>
      </c>
      <c r="N131" s="3" t="n">
        <v>99.29000000000001</v>
      </c>
      <c r="O131" s="3" t="n">
        <v>22.49443207126949</v>
      </c>
    </row>
    <row r="132" hidden="1">
      <c r="A132" s="5" t="n">
        <v>46148</v>
      </c>
      <c r="B132" s="6" t="inlineStr">
        <is>
          <t>Sara Maria Monteiro Lopes</t>
        </is>
      </c>
      <c r="C132" s="3" t="inlineStr">
        <is>
          <t>Técnico I</t>
        </is>
      </c>
      <c r="D132" s="3" t="n">
        <v>19</v>
      </c>
      <c r="E132" s="3" t="n">
        <v>18</v>
      </c>
      <c r="G132" s="3" t="n">
        <v>1</v>
      </c>
      <c r="I132" s="3">
        <f>E132+G132+H132</f>
        <v/>
      </c>
      <c r="J132" s="3">
        <f>IF(C132="Técnico III","35",IF(C132="Técnico II","28",IF(C132="Técnico I","23",IF(C132="JR","20",IF(C132="Estágio","10",)))))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18</v>
      </c>
      <c r="N132" s="3" t="n">
        <v>100</v>
      </c>
      <c r="O132" s="3" t="n">
        <v>16.97247706422019</v>
      </c>
    </row>
    <row r="133" hidden="1">
      <c r="A133" s="5" t="n">
        <v>46148</v>
      </c>
      <c r="B133" s="6" t="inlineStr">
        <is>
          <t>Sarah Steffanie de Lima Borges</t>
        </is>
      </c>
      <c r="C133" s="3" t="inlineStr">
        <is>
          <t>Técnico III</t>
        </is>
      </c>
      <c r="D133" s="3" t="n">
        <v>21</v>
      </c>
      <c r="E133" s="3" t="n">
        <v>20</v>
      </c>
      <c r="G133" s="3" t="n">
        <v>8</v>
      </c>
      <c r="I133" s="3">
        <f>E133+G133+H133</f>
        <v/>
      </c>
      <c r="J133" s="3">
        <f>IF(C133="Técnico III","35",IF(C133="Técnico II","28",IF(C133="Técnico I","23",IF(C133="JR","20",IF(C133="Estágio","10",)))))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25</v>
      </c>
      <c r="N133" s="3" t="n">
        <v>97.33</v>
      </c>
      <c r="O133" s="3" t="n">
        <v>15.80547112462006</v>
      </c>
    </row>
    <row r="134" hidden="1">
      <c r="A134" s="5" t="n">
        <v>46149</v>
      </c>
      <c r="B134" s="6" t="inlineStr">
        <is>
          <t>Alisson de Freitas Silva</t>
        </is>
      </c>
      <c r="C134" s="3" t="inlineStr">
        <is>
          <t>Técnico II</t>
        </is>
      </c>
      <c r="D134" s="3" t="n">
        <v>39</v>
      </c>
      <c r="E134" s="3" t="n">
        <v>34</v>
      </c>
      <c r="G134" s="3" t="n">
        <v>0</v>
      </c>
      <c r="I134" s="3">
        <f>E134+G134+H134</f>
        <v/>
      </c>
      <c r="J134" s="3">
        <f>IF(C134="Técnico III","35",IF(C134="Técnico II","28",IF(C134="Técnico I","23",IF(C134="JR","20",IF(C134="Estágio","10",)))))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19</v>
      </c>
      <c r="N134" s="3" t="n">
        <v>98.94</v>
      </c>
      <c r="O134" s="3" t="n">
        <v>19.61414790996785</v>
      </c>
    </row>
    <row r="135" hidden="1">
      <c r="A135" s="5" t="n">
        <v>46149</v>
      </c>
      <c r="B135" s="6" t="inlineStr">
        <is>
          <t>Amanda Moura Ferreira</t>
        </is>
      </c>
      <c r="C135" s="3" t="inlineStr">
        <is>
          <t>Técnico III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>
        <f>IF(K135&lt;-5,"CRÍTICO",IF(K135&lt;0,"ATENÇÃO",IF(K135&lt;=5,"BOM","EXCELENTE")))</f>
        <v/>
      </c>
      <c r="M135" s="9" t="n">
        <v>0</v>
      </c>
      <c r="N135" s="9" t="n">
        <v>100</v>
      </c>
      <c r="O135" s="9" t="n">
        <v>0</v>
      </c>
    </row>
    <row r="136" hidden="1">
      <c r="A136" s="5" t="n">
        <v>46149</v>
      </c>
      <c r="B136" s="6" t="inlineStr">
        <is>
          <t>Ana Karollyne Souza Faria</t>
        </is>
      </c>
      <c r="C136" s="3" t="inlineStr">
        <is>
          <t>Técnico I</t>
        </is>
      </c>
      <c r="D136" s="3" t="n">
        <v>31</v>
      </c>
      <c r="E136" s="3" t="n">
        <v>28</v>
      </c>
      <c r="G136" s="3" t="n">
        <v>10</v>
      </c>
      <c r="I136" s="3">
        <f>E136+G136+H136</f>
        <v/>
      </c>
      <c r="J136" s="3">
        <f>IF(C136="Técnico III","35",IF(C136="Técnico II","28",IF(C136="Técnico I","23",IF(C136="JR","20",IF(C136="Estágio","10",)))))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36</v>
      </c>
      <c r="N136" s="3" t="n">
        <v>95.38</v>
      </c>
      <c r="O136" s="3" t="n">
        <v>21.5962441314554</v>
      </c>
    </row>
    <row r="137" hidden="1">
      <c r="A137" s="5" t="n">
        <v>46149</v>
      </c>
      <c r="B137" s="6" t="inlineStr">
        <is>
          <t>Ana Paula Da Luz Silva Aleixo</t>
        </is>
      </c>
      <c r="C137" s="9" t="inlineStr">
        <is>
          <t>Técnico III</t>
        </is>
      </c>
      <c r="D137" s="3" t="n">
        <v>32</v>
      </c>
      <c r="E137" s="3" t="n">
        <v>32</v>
      </c>
      <c r="G137" s="3" t="n">
        <v>0</v>
      </c>
      <c r="I137" s="3">
        <f>E137+G137+H137</f>
        <v/>
      </c>
      <c r="J137" s="3">
        <f>IF(C137="Técnico III","35",IF(C137="Técnico II","28",IF(C137="Técnico I","23",IF(C137="JR","20",IF(C137="Estágio","10",)))))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33</v>
      </c>
      <c r="N137" s="3" t="n">
        <v>96.34</v>
      </c>
      <c r="O137" s="3" t="n">
        <v>17.57188498402556</v>
      </c>
    </row>
    <row r="138" hidden="1">
      <c r="A138" s="5" t="n">
        <v>46149</v>
      </c>
      <c r="B138" s="6" t="inlineStr">
        <is>
          <t>Brenda de Menezes Silva</t>
        </is>
      </c>
      <c r="C138" s="3" t="inlineStr">
        <is>
          <t>Técnico II</t>
        </is>
      </c>
      <c r="D138" s="3" t="n">
        <v>33</v>
      </c>
      <c r="E138" s="3" t="n">
        <v>29</v>
      </c>
      <c r="G138" s="3" t="n">
        <v>5</v>
      </c>
      <c r="I138" s="3">
        <f>E138+G138+H138</f>
        <v/>
      </c>
      <c r="J138" s="3">
        <f>IF(C138="Técnico III","35",IF(C138="Técnico II","28",IF(C138="Técnico I","23",IF(C138="JR","20",IF(C138="Estágio","10",)))))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31</v>
      </c>
      <c r="N138" s="3" t="n">
        <v>99.13</v>
      </c>
      <c r="O138" s="3" t="n">
        <v>14.7239263803681</v>
      </c>
    </row>
    <row r="139" hidden="1">
      <c r="A139" s="5" t="n">
        <v>46149</v>
      </c>
      <c r="B139" s="6" t="inlineStr">
        <is>
          <t>Carlos Mateus Cassimiro Nunes</t>
        </is>
      </c>
      <c r="C139" s="9" t="inlineStr">
        <is>
          <t>Técnico II</t>
        </is>
      </c>
      <c r="D139" s="3" t="n">
        <v>24</v>
      </c>
      <c r="E139" s="3" t="n">
        <v>24</v>
      </c>
      <c r="G139" s="3" t="n">
        <v>5</v>
      </c>
      <c r="I139" s="3">
        <f>E139+G139+H139</f>
        <v/>
      </c>
      <c r="J139" s="3">
        <f>IF(C139="Técnico III","35",IF(C139="Técnico II","28",IF(C139="Técnico I","23",IF(C139="JR","20",IF(C139="Estágio","10",)))))</f>
        <v/>
      </c>
      <c r="K139" s="3">
        <f>I139-J139</f>
        <v/>
      </c>
      <c r="L139" s="3">
        <f>IF(K139&lt;-5,"CRÍTICO",IF(K139&lt;0,"ATENÇÃO",IF(K139&lt;=5,"BOM","EXCELENTE")))</f>
        <v/>
      </c>
      <c r="M139" s="3" t="n">
        <v>27</v>
      </c>
      <c r="N139" s="3" t="n">
        <v>98.8</v>
      </c>
      <c r="O139" s="3" t="n">
        <v>16.89750692520776</v>
      </c>
    </row>
    <row r="140" hidden="1">
      <c r="A140" s="5" t="n">
        <v>46149</v>
      </c>
      <c r="B140" s="6" t="inlineStr">
        <is>
          <t>Anna Luiza Rezende Tavares</t>
        </is>
      </c>
      <c r="C140" s="3" t="inlineStr">
        <is>
          <t>Estágio</t>
        </is>
      </c>
      <c r="D140" s="3" t="n">
        <v>33</v>
      </c>
      <c r="E140" s="3" t="n">
        <v>32</v>
      </c>
      <c r="G140" s="3" t="n">
        <v>0</v>
      </c>
      <c r="H140" s="3" t="n">
        <v>0</v>
      </c>
      <c r="I140" s="3">
        <f>E140+G140+H140</f>
        <v/>
      </c>
      <c r="J140" s="3">
        <f>IF(C140="Técnico III","35",IF(C140="Técnico II","28",IF(C140="Técnico I","23",IF(C140="JR","20",IF(C140="Estágio","10",)))))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30</v>
      </c>
      <c r="N140" s="3" t="n">
        <v>99.11</v>
      </c>
      <c r="O140" s="3" t="n">
        <v>17.72151898734177</v>
      </c>
    </row>
    <row r="141" hidden="1">
      <c r="A141" s="5" t="n">
        <v>46149</v>
      </c>
      <c r="B141" s="6" t="inlineStr">
        <is>
          <t>Claudio de Sousa Velasco Filho</t>
        </is>
      </c>
      <c r="C141" s="3" t="inlineStr">
        <is>
          <t>Estágio</t>
        </is>
      </c>
      <c r="D141" s="3" t="n">
        <v>12</v>
      </c>
      <c r="E141" s="3" t="n">
        <v>12</v>
      </c>
      <c r="G141" s="3" t="n">
        <v>0</v>
      </c>
      <c r="I141" s="3">
        <f>E141+G141+H141</f>
        <v/>
      </c>
      <c r="J141" s="3">
        <f>IF(C141="Técnico III","35",IF(C141="Técnico II","28",IF(C141="Técnico I","23",IF(C141="JR","20",IF(C141="Estágio","10",)))))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9</v>
      </c>
      <c r="N141" s="3" t="n">
        <v>96.43000000000001</v>
      </c>
      <c r="O141" s="3" t="n">
        <v>20</v>
      </c>
    </row>
    <row r="142" hidden="1">
      <c r="A142" s="5" t="n">
        <v>46149</v>
      </c>
      <c r="B142" s="6" t="inlineStr">
        <is>
          <t>Emilly Caylane Costa</t>
        </is>
      </c>
      <c r="C142" s="3" t="inlineStr">
        <is>
          <t>Estágio</t>
        </is>
      </c>
      <c r="D142" s="3" t="n">
        <v>51</v>
      </c>
      <c r="E142" s="3" t="n">
        <v>32</v>
      </c>
      <c r="G142" s="3" t="n">
        <v>0</v>
      </c>
      <c r="I142" s="3">
        <f>E142+G142+H142</f>
        <v/>
      </c>
      <c r="J142" s="3">
        <f>IF(C142="Técnico III","35",IF(C142="Técnico II","28",IF(C142="Técnico I","23",IF(C142="JR","20",IF(C142="Estágio","10",)))))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1</v>
      </c>
      <c r="N142" s="3" t="n">
        <v>100</v>
      </c>
      <c r="O142" s="3" t="n">
        <v>29.03225806451613</v>
      </c>
    </row>
    <row r="143" hidden="1">
      <c r="A143" s="5" t="n">
        <v>46149</v>
      </c>
      <c r="B143" s="6" t="inlineStr">
        <is>
          <t>Maria Eduarda Sousa Costa</t>
        </is>
      </c>
      <c r="C143" s="3" t="inlineStr">
        <is>
          <t>Estágio</t>
        </is>
      </c>
      <c r="D143" s="3" t="n">
        <v>52</v>
      </c>
      <c r="E143" s="3" t="n">
        <v>37</v>
      </c>
      <c r="G143" s="3" t="n">
        <v>0</v>
      </c>
      <c r="H143" s="3" t="n">
        <v>0</v>
      </c>
      <c r="I143" s="3">
        <f>E143+G143+H143</f>
        <v/>
      </c>
      <c r="J143" s="3">
        <f>IF(C143="Técnico III","35",IF(C143="Técnico II","28",IF(C143="Técnico I","23",IF(C143="JR","20",IF(C143="Estágio","10",)))))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4</v>
      </c>
      <c r="N143" s="3" t="n">
        <v>100</v>
      </c>
      <c r="O143" s="3" t="n">
        <v>11.86440677966102</v>
      </c>
    </row>
    <row r="144" hidden="1">
      <c r="A144" s="5" t="n">
        <v>46149</v>
      </c>
      <c r="B144" s="6" t="inlineStr">
        <is>
          <t>Clessiane Pereira dos Santos</t>
        </is>
      </c>
      <c r="C144" s="3" t="inlineStr">
        <is>
          <t>Técnico I</t>
        </is>
      </c>
      <c r="D144" s="3" t="n">
        <v>25</v>
      </c>
      <c r="E144" s="3" t="n">
        <v>23</v>
      </c>
      <c r="G144" s="3" t="n">
        <v>1</v>
      </c>
      <c r="I144" s="3">
        <f>E144+G144+H144</f>
        <v/>
      </c>
      <c r="J144" s="3">
        <f>IF(C144="Técnico III","35",IF(C144="Técnico II","28",IF(C144="Técnico I","23",IF(C144="JR","20",IF(C144="Estágio","10",)))))</f>
        <v/>
      </c>
      <c r="K144" s="3">
        <f>I144-J144</f>
        <v/>
      </c>
      <c r="L144" s="3">
        <f>IF(K144&lt;-5,"CRÍTICO",IF(K144&lt;0,"ATENÇÃO",IF(K144&lt;=5,"BOM","EXCELENTE")))</f>
        <v/>
      </c>
      <c r="M144" s="3" t="n">
        <v>22</v>
      </c>
      <c r="N144" s="3" t="n">
        <v>96.88</v>
      </c>
      <c r="O144" s="3" t="n">
        <v>19.52662721893491</v>
      </c>
    </row>
    <row r="145" hidden="1">
      <c r="A145" s="5" t="n">
        <v>46149</v>
      </c>
      <c r="B145" s="6" t="inlineStr">
        <is>
          <t>Cristiane Ramos da Silva Rocha</t>
        </is>
      </c>
      <c r="C145" s="3" t="inlineStr">
        <is>
          <t>Técnico III</t>
        </is>
      </c>
      <c r="D145" s="3" t="n">
        <v>47</v>
      </c>
      <c r="E145" s="3" t="n">
        <v>44</v>
      </c>
      <c r="G145" s="3" t="n">
        <v>0</v>
      </c>
      <c r="I145" s="3">
        <f>E145+G145+H145</f>
        <v/>
      </c>
      <c r="J145" s="3">
        <f>IF(C145="Técnico III","35",IF(C145="Técnico II","28",IF(C145="Técnico I","23",IF(C145="JR","20",IF(C145="Estágio","10",)))))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38</v>
      </c>
      <c r="N145" s="3" t="n">
        <v>91.84999999999999</v>
      </c>
      <c r="O145" s="3" t="n">
        <v>20.87155963302752</v>
      </c>
    </row>
    <row r="146" hidden="1">
      <c r="A146" s="5" t="n">
        <v>46149</v>
      </c>
      <c r="B146" s="6" t="inlineStr">
        <is>
          <t>Damyllis Lorraine de Oliveira Gonçalves</t>
        </is>
      </c>
      <c r="C146" s="3" t="inlineStr">
        <is>
          <t>Técnico II</t>
        </is>
      </c>
      <c r="D146" s="3" t="n">
        <v>17</v>
      </c>
      <c r="E146" s="3" t="n">
        <v>16</v>
      </c>
      <c r="G146" s="3" t="n">
        <v>4</v>
      </c>
      <c r="I146" s="3">
        <f>E146+G146+H146</f>
        <v/>
      </c>
      <c r="J146" s="3">
        <f>IF(C146="Técnico III","35",IF(C146="Técnico II","28",IF(C146="Técnico I","23",IF(C146="JR","20",IF(C146="Estágio","10",)))))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19</v>
      </c>
      <c r="N146" s="3" t="n">
        <v>98.63</v>
      </c>
      <c r="O146" s="3" t="n">
        <v>18.75</v>
      </c>
    </row>
    <row r="147" hidden="1">
      <c r="A147" s="5" t="n">
        <v>46149</v>
      </c>
      <c r="B147" s="6" t="inlineStr">
        <is>
          <t>Daniel Gomes da Silva</t>
        </is>
      </c>
      <c r="C147" s="3" t="inlineStr">
        <is>
          <t>Técnico I</t>
        </is>
      </c>
      <c r="D147" s="3" t="n">
        <v>17</v>
      </c>
      <c r="E147" s="3" t="n">
        <v>17</v>
      </c>
      <c r="G147" s="3" t="n">
        <v>7</v>
      </c>
      <c r="I147" s="3">
        <f>E147+G147+H147</f>
        <v/>
      </c>
      <c r="J147" s="3">
        <f>IF(C147="Técnico III","35",IF(C147="Técnico II","28",IF(C147="Técnico I","23",IF(C147="JR","20",IF(C147="Estágio","10",)))))</f>
        <v/>
      </c>
      <c r="K147" s="3">
        <f>I147-J147</f>
        <v/>
      </c>
      <c r="L147" s="3">
        <f>IF(K147&lt;-5,"CRÍTICO",IF(K147&lt;0,"ATENÇÃO",IF(K147&lt;=5,"BOM","EXCELENTE")))</f>
        <v/>
      </c>
      <c r="M147" s="3" t="n">
        <v>19</v>
      </c>
      <c r="N147" s="3" t="n">
        <v>100</v>
      </c>
      <c r="O147" s="3" t="n">
        <v>18.14516129032258</v>
      </c>
    </row>
    <row r="148" hidden="1">
      <c r="A148" s="5" t="n">
        <v>46149</v>
      </c>
      <c r="B148" s="6" t="inlineStr">
        <is>
          <t>Davylla Rodrigues Freitas Silva</t>
        </is>
      </c>
      <c r="C148" s="9" t="inlineStr">
        <is>
          <t>Técnico III</t>
        </is>
      </c>
      <c r="D148" s="3" t="n">
        <v>31</v>
      </c>
      <c r="E148" s="3" t="n">
        <v>30</v>
      </c>
      <c r="G148" s="3" t="n">
        <v>0</v>
      </c>
      <c r="I148" s="3">
        <f>E148+G148+H148</f>
        <v/>
      </c>
      <c r="J148" s="3">
        <f>IF(C148="Técnico III","35",IF(C148="Técnico II","28",IF(C148="Técnico I","23",IF(C148="JR","20",IF(C148="Estágio","10",)))))</f>
        <v/>
      </c>
      <c r="K148" s="3">
        <f>I148-J148</f>
        <v/>
      </c>
      <c r="L148" s="3">
        <f>IF(K148&lt;-5,"CRÍTICO",IF(K148&lt;0,"ATENÇÃO",IF(K148&lt;=5,"BOM","EXCELENTE")))</f>
        <v/>
      </c>
      <c r="M148" s="3" t="n">
        <v>29</v>
      </c>
      <c r="N148" s="3" t="n">
        <v>99.06</v>
      </c>
      <c r="O148" s="3" t="n">
        <v>22.95719844357977</v>
      </c>
    </row>
    <row r="149" hidden="1">
      <c r="A149" s="5" t="n">
        <v>46149</v>
      </c>
      <c r="B149" s="6" t="inlineStr">
        <is>
          <t>Michelle G Santos</t>
        </is>
      </c>
      <c r="C149" s="3" t="inlineStr">
        <is>
          <t>Estágio</t>
        </is>
      </c>
      <c r="D149" s="3" t="n">
        <v>16</v>
      </c>
      <c r="E149" s="3" t="n">
        <v>15</v>
      </c>
      <c r="G149" s="3" t="n">
        <v>0</v>
      </c>
      <c r="I149" s="3">
        <f>E149+G149+H149</f>
        <v/>
      </c>
      <c r="J149" s="3">
        <f>IF(C149="Técnico III","35",IF(C149="Técnico II","28",IF(C149="Técnico I","23",IF(C149="JR","20",IF(C149="Estágio","10",)))))</f>
        <v/>
      </c>
      <c r="K149" s="3">
        <f>I149-J149</f>
        <v/>
      </c>
      <c r="L149" s="3">
        <f>IF(K149&lt;-5,"CRÍTICO",IF(K149&lt;0,"ATENÇÃO",IF(K149&lt;=5,"BOM","EXCELENTE")))</f>
        <v/>
      </c>
      <c r="M149" s="3" t="n">
        <v>13</v>
      </c>
      <c r="N149" s="3" t="n">
        <v>100</v>
      </c>
      <c r="O149" s="3" t="n">
        <v>16.8141592920354</v>
      </c>
    </row>
    <row r="150" hidden="1">
      <c r="A150" s="5" t="n">
        <v>46149</v>
      </c>
      <c r="B150" s="6" t="inlineStr">
        <is>
          <t>Quirino Diogo Leite Torres</t>
        </is>
      </c>
      <c r="C150" s="3" t="inlineStr">
        <is>
          <t>Estágio</t>
        </is>
      </c>
      <c r="D150" s="3" t="n">
        <v>15</v>
      </c>
      <c r="E150" s="3" t="n">
        <v>15</v>
      </c>
      <c r="G150" s="3" t="n">
        <v>0</v>
      </c>
      <c r="H150" s="3" t="n">
        <v>0</v>
      </c>
      <c r="I150" s="3">
        <f>E150+G150+H150</f>
        <v/>
      </c>
      <c r="J150" s="3">
        <f>IF(C150="Técnico III","35",IF(C150="Técnico II","28",IF(C150="Técnico I","23",IF(C150="JR","20",IF(C150="Estágio","10",)))))</f>
        <v/>
      </c>
      <c r="K150" s="3">
        <f>I150-J150</f>
        <v/>
      </c>
      <c r="L150" s="3">
        <f>IF(K150&lt;-5,"CRÍTICO",IF(K150&lt;0,"ATENÇÃO",IF(K150&lt;=5,"BOM","EXCELENTE")))</f>
        <v/>
      </c>
      <c r="M150" s="3" t="n">
        <v>13</v>
      </c>
      <c r="N150" s="3" t="n">
        <v>98.11</v>
      </c>
      <c r="O150" s="3" t="n">
        <v>20.40816326530612</v>
      </c>
    </row>
    <row r="151" hidden="1">
      <c r="A151" s="5" t="n">
        <v>46149</v>
      </c>
      <c r="B151" s="6" t="inlineStr">
        <is>
          <t>Emilly Kamilly Medeiros Miranda</t>
        </is>
      </c>
      <c r="C151" s="3" t="inlineStr">
        <is>
          <t>Técnico II</t>
        </is>
      </c>
      <c r="D151" s="3" t="n">
        <v>30</v>
      </c>
      <c r="E151" s="3" t="n">
        <v>29</v>
      </c>
      <c r="G151" s="3" t="n">
        <v>2</v>
      </c>
      <c r="I151" s="3">
        <f>E151+G151+H151</f>
        <v/>
      </c>
      <c r="J151" s="3">
        <f>IF(C151="Técnico III","35",IF(C151="Técnico II","28",IF(C151="Técnico I","23",IF(C151="JR","20",IF(C151="Estágio","10",)))))</f>
        <v/>
      </c>
      <c r="K151" s="3">
        <f>I151-J151</f>
        <v/>
      </c>
      <c r="L151" s="3">
        <f>IF(K151&lt;-5,"CRÍTICO",IF(K151&lt;0,"ATENÇÃO",IF(K151&lt;=5,"BOM","EXCELENTE")))</f>
        <v/>
      </c>
      <c r="M151" s="3" t="n">
        <v>28</v>
      </c>
      <c r="N151" s="3" t="n">
        <v>100</v>
      </c>
      <c r="O151" s="3" t="n">
        <v>13.8121546961326</v>
      </c>
    </row>
    <row r="152" hidden="1">
      <c r="A152" s="5" t="n">
        <v>46149</v>
      </c>
      <c r="B152" s="6" t="inlineStr">
        <is>
          <t>Francielson de Oliveira</t>
        </is>
      </c>
      <c r="C152" s="9" t="inlineStr">
        <is>
          <t>Técnico III</t>
        </is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>
        <f>IF(K152&lt;-5,"CRÍTICO",IF(K152&lt;0,"ATENÇÃO",IF(K152&lt;=5,"BOM","EXCELENTE")))</f>
        <v/>
      </c>
      <c r="M152" s="3" t="n">
        <v>0</v>
      </c>
      <c r="N152" s="3" t="n">
        <v>100</v>
      </c>
      <c r="O152" s="3" t="n">
        <v>9.523809523809524</v>
      </c>
    </row>
    <row r="153" hidden="1">
      <c r="A153" s="5" t="n">
        <v>46149</v>
      </c>
      <c r="B153" s="6" t="inlineStr">
        <is>
          <t>Francilene Ferreira de Jesus</t>
        </is>
      </c>
      <c r="C153" s="3" t="inlineStr">
        <is>
          <t>Técnico II</t>
        </is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>
        <f>IF(K153&lt;-5,"CRÍTICO",IF(K153&lt;0,"ATENÇÃO",IF(K153&lt;=5,"BOM","EXCELENTE")))</f>
        <v/>
      </c>
      <c r="M153" s="3" t="n">
        <v>0</v>
      </c>
      <c r="N153" s="3" t="n">
        <v>100</v>
      </c>
      <c r="O153" s="3" t="n">
        <v>17.24137931034483</v>
      </c>
    </row>
    <row r="154" hidden="1">
      <c r="A154" s="5" t="n">
        <v>46149</v>
      </c>
      <c r="B154" s="6" t="inlineStr">
        <is>
          <t>Gabriel Gomes de Andrade</t>
        </is>
      </c>
      <c r="C154" s="3" t="inlineStr">
        <is>
          <t>Técnico I</t>
        </is>
      </c>
      <c r="D154" s="3" t="n">
        <v>26</v>
      </c>
      <c r="E154" s="3" t="n">
        <v>26</v>
      </c>
      <c r="G154" s="3" t="n">
        <v>2</v>
      </c>
      <c r="I154" s="3">
        <f>E154+G154+H154</f>
        <v/>
      </c>
      <c r="J154" s="3">
        <f>IF(C154="Técnico III","35",IF(C154="Técnico II","28",IF(C154="Técnico I","23",IF(C154="JR","20",IF(C154="Estágio","10",)))))</f>
        <v/>
      </c>
      <c r="K154" s="3">
        <f>I154-J154</f>
        <v/>
      </c>
      <c r="L154" s="3">
        <f>IF(K154&lt;-5,"CRÍTICO",IF(K154&lt;0,"ATENÇÃO",IF(K154&lt;=5,"BOM","EXCELENTE")))</f>
        <v/>
      </c>
      <c r="M154" s="3" t="n">
        <v>24</v>
      </c>
      <c r="N154" s="3" t="n">
        <v>98.8</v>
      </c>
      <c r="O154" s="3" t="n">
        <v>15.41353383458646</v>
      </c>
    </row>
    <row r="155" hidden="1">
      <c r="A155" s="5" t="n">
        <v>46149</v>
      </c>
      <c r="B155" s="6" t="inlineStr">
        <is>
          <t>Isabella Borges de Oliveira</t>
        </is>
      </c>
      <c r="C155" s="9" t="inlineStr">
        <is>
          <t>Técnico II</t>
        </is>
      </c>
      <c r="D155" s="3" t="n">
        <v>25</v>
      </c>
      <c r="E155" s="3" t="n">
        <v>24</v>
      </c>
      <c r="G155" s="3" t="n">
        <v>0</v>
      </c>
      <c r="I155" s="3">
        <f>E155+G155+H155</f>
        <v/>
      </c>
      <c r="J155" s="3">
        <f>IF(C155="Técnico III","35",IF(C155="Técnico II","28",IF(C155="Técnico I","23",IF(C155="JR","20",IF(C155="Estágio","10",)))))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22</v>
      </c>
      <c r="N155" s="3" t="n">
        <v>98.63</v>
      </c>
      <c r="O155" s="3" t="n">
        <v>15.75757575757576</v>
      </c>
    </row>
    <row r="156" hidden="1">
      <c r="A156" s="5" t="n">
        <v>46149</v>
      </c>
      <c r="B156" s="6" t="inlineStr">
        <is>
          <t>Janaina Lima dos Reis Urany</t>
        </is>
      </c>
      <c r="C156" s="3" t="inlineStr">
        <is>
          <t>Técnico III</t>
        </is>
      </c>
      <c r="D156" s="3" t="n">
        <v>56</v>
      </c>
      <c r="E156" s="3" t="n">
        <v>51</v>
      </c>
      <c r="G156" s="3" t="n">
        <v>9</v>
      </c>
      <c r="I156" s="3">
        <f>E156+G156+H156</f>
        <v/>
      </c>
      <c r="J156" s="3">
        <f>IF(C156="Técnico III","35",IF(C156="Técnico II","28",IF(C156="Técnico I","23",IF(C156="JR","20",IF(C156="Estágio","10",)))))</f>
        <v/>
      </c>
      <c r="K156" s="3">
        <f>I156-J156</f>
        <v/>
      </c>
      <c r="L156" s="3">
        <f>IF(K156&lt;-5,"CRÍTICO",IF(K156&lt;0,"ATENÇÃO",IF(K156&lt;=5,"BOM","EXCELENTE")))</f>
        <v/>
      </c>
      <c r="M156" s="3" t="n">
        <v>49</v>
      </c>
      <c r="N156" s="3" t="n">
        <v>98.64</v>
      </c>
      <c r="O156" s="3" t="n">
        <v>16.6383701188455</v>
      </c>
    </row>
    <row r="157" hidden="1">
      <c r="A157" s="5" t="n">
        <v>46149</v>
      </c>
      <c r="B157" s="6" t="inlineStr">
        <is>
          <t>Jaqueline Evangelista da Silva Martins</t>
        </is>
      </c>
      <c r="C157" s="3" t="inlineStr">
        <is>
          <t>Técnico III</t>
        </is>
      </c>
      <c r="D157" s="3" t="n">
        <v>48</v>
      </c>
      <c r="E157" s="3" t="n">
        <v>39</v>
      </c>
      <c r="G157" s="3" t="n">
        <v>6</v>
      </c>
      <c r="I157" s="3">
        <f>E157+G157+H157</f>
        <v/>
      </c>
      <c r="J157" s="3">
        <f>IF(C157="Técnico III","35",IF(C157="Técnico II","28",IF(C157="Técnico I","23",IF(C157="JR","20",IF(C157="Estágio","10",)))))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41</v>
      </c>
      <c r="N157" s="3" t="n">
        <v>95.40000000000001</v>
      </c>
      <c r="O157" s="3" t="n">
        <v>20.53333333333333</v>
      </c>
    </row>
    <row r="158" hidden="1">
      <c r="A158" s="5" t="n">
        <v>46149</v>
      </c>
      <c r="B158" s="6" t="inlineStr">
        <is>
          <t>Jessica Faria da Silveira</t>
        </is>
      </c>
      <c r="C158" s="3" t="inlineStr">
        <is>
          <t>Técnico II</t>
        </is>
      </c>
      <c r="D158" s="3" t="n">
        <v>34</v>
      </c>
      <c r="E158" s="3" t="n">
        <v>28</v>
      </c>
      <c r="G158" s="3" t="n">
        <v>0</v>
      </c>
      <c r="I158" s="3">
        <f>E158+G158+H158</f>
        <v/>
      </c>
      <c r="J158" s="3">
        <f>IF(C158="Técnico III","35",IF(C158="Técnico II","28",IF(C158="Técnico I","23",IF(C158="JR","20",IF(C158="Estágio","10",)))))</f>
        <v/>
      </c>
      <c r="K158" s="3">
        <f>I158-J158</f>
        <v/>
      </c>
      <c r="L158" s="3">
        <f>IF(K158&lt;-5,"CRÍTICO",IF(K158&lt;0,"ATENÇÃO",IF(K158&lt;=5,"BOM","EXCELENTE")))</f>
        <v/>
      </c>
      <c r="M158" s="3" t="n">
        <v>26</v>
      </c>
      <c r="N158" s="3" t="n">
        <v>98.61</v>
      </c>
      <c r="O158" s="3" t="n">
        <v>16.97530864197531</v>
      </c>
    </row>
    <row r="159" hidden="1">
      <c r="A159" s="5" t="n">
        <v>46149</v>
      </c>
      <c r="B159" s="6" t="inlineStr">
        <is>
          <t>Jéssica Fé Moura</t>
        </is>
      </c>
      <c r="C159" s="3" t="inlineStr">
        <is>
          <t>Técnico III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>
        <f>IF(K159&lt;-5,"CRÍTICO",IF(K159&lt;0,"ATENÇÃO",IF(K159&lt;=5,"BOM","EXCELENTE")))</f>
        <v/>
      </c>
      <c r="M159" s="3" t="n">
        <v>0</v>
      </c>
      <c r="N159" s="3" t="n">
        <v>0</v>
      </c>
      <c r="O159" s="3" t="n">
        <v>0</v>
      </c>
    </row>
    <row r="160" hidden="1">
      <c r="A160" s="5" t="n">
        <v>46149</v>
      </c>
      <c r="B160" s="6" t="inlineStr">
        <is>
          <t>Karina Gonçalves Martins</t>
        </is>
      </c>
      <c r="C160" s="3" t="inlineStr">
        <is>
          <t>JR</t>
        </is>
      </c>
      <c r="D160" s="3" t="n">
        <v>18</v>
      </c>
      <c r="E160" s="3" t="n">
        <v>17</v>
      </c>
      <c r="G160" s="3" t="n">
        <v>9</v>
      </c>
      <c r="I160" s="3">
        <f>E160+G160+H160</f>
        <v/>
      </c>
      <c r="J160" s="3">
        <f>IF(C160="Técnico III","35",IF(C160="Técnico II","28",IF(C160="Técnico I","23",IF(C160="JR","20",IF(C160="Estágio","10",)))))</f>
        <v/>
      </c>
      <c r="K160" s="3">
        <f>I160-J160</f>
        <v/>
      </c>
      <c r="L160" s="3">
        <f>IF(K160&lt;-5,"CRÍTICO",IF(K160&lt;0,"ATENÇÃO",IF(K160&lt;=5,"BOM","EXCELENTE")))</f>
        <v/>
      </c>
      <c r="M160" s="3" t="n">
        <v>22</v>
      </c>
      <c r="N160" s="3" t="n">
        <v>97.01000000000001</v>
      </c>
      <c r="O160" s="3" t="n">
        <v>13.96103896103896</v>
      </c>
    </row>
    <row r="161" hidden="1">
      <c r="A161" s="5" t="n">
        <v>46149</v>
      </c>
      <c r="B161" s="6" t="inlineStr">
        <is>
          <t>Kerollen Cristielly de Jesus Siqueira</t>
        </is>
      </c>
      <c r="C161" s="9" t="inlineStr">
        <is>
          <t>Técnico III</t>
        </is>
      </c>
      <c r="D161" s="3" t="n">
        <v>20</v>
      </c>
      <c r="E161" s="3" t="n">
        <v>19</v>
      </c>
      <c r="G161" s="3" t="n">
        <v>4</v>
      </c>
      <c r="I161" s="3">
        <f>E161+G161+H161</f>
        <v/>
      </c>
      <c r="J161" s="3">
        <f>IF(C161="Técnico III","35",IF(C161="Técnico II","28",IF(C161="Técnico I","23",IF(C161="JR","20",IF(C161="Estágio","10",)))))</f>
        <v/>
      </c>
      <c r="K161" s="3">
        <f>I161-J161</f>
        <v/>
      </c>
      <c r="L161" s="3">
        <f>IF(K161&lt;-5,"CRÍTICO",IF(K161&lt;0,"ATENÇÃO",IF(K161&lt;=5,"BOM","EXCELENTE")))</f>
        <v/>
      </c>
      <c r="M161" s="3" t="n">
        <v>23</v>
      </c>
      <c r="N161" s="3" t="n">
        <v>95.52</v>
      </c>
      <c r="O161" s="3" t="n">
        <v>10.56105610561056</v>
      </c>
    </row>
    <row r="162" hidden="1">
      <c r="A162" s="5" t="n">
        <v>46149</v>
      </c>
      <c r="B162" s="6" t="inlineStr">
        <is>
          <t>Leandro de Souza Silva</t>
        </is>
      </c>
      <c r="C162" s="3" t="inlineStr">
        <is>
          <t>JR</t>
        </is>
      </c>
      <c r="D162" s="3" t="n">
        <v>12</v>
      </c>
      <c r="E162" s="3" t="n">
        <v>12</v>
      </c>
      <c r="G162" s="3" t="n">
        <v>4</v>
      </c>
      <c r="I162" s="3">
        <f>E162+G162+H162</f>
        <v/>
      </c>
      <c r="J162" s="3">
        <f>IF(C162="Técnico III","35",IF(C162="Técnico II","28",IF(C162="Técnico I","23",IF(C162="JR","20",IF(C162="Estágio","10",)))))</f>
        <v/>
      </c>
      <c r="K162" s="3">
        <f>I162-J162</f>
        <v/>
      </c>
      <c r="L162" s="3">
        <f>IF(K162&lt;-5,"CRÍTICO",IF(K162&lt;0,"ATENÇÃO",IF(K162&lt;=5,"BOM","EXCELENTE")))</f>
        <v/>
      </c>
      <c r="M162" s="3" t="n">
        <v>8</v>
      </c>
      <c r="N162" s="3" t="n">
        <v>100</v>
      </c>
      <c r="O162" s="3" t="n">
        <v>16.95906432748538</v>
      </c>
    </row>
    <row r="163" hidden="1">
      <c r="A163" s="5" t="n">
        <v>46149</v>
      </c>
      <c r="B163" s="6" t="inlineStr">
        <is>
          <t>Leandro Oliveira de Sousa</t>
        </is>
      </c>
      <c r="C163" s="9" t="inlineStr">
        <is>
          <t>Técnico III</t>
        </is>
      </c>
      <c r="D163" s="3" t="n">
        <v>25</v>
      </c>
      <c r="E163" s="3" t="n">
        <v>23</v>
      </c>
      <c r="G163" s="3" t="n">
        <v>0</v>
      </c>
      <c r="I163" s="3">
        <f>E163+G163+H163</f>
        <v/>
      </c>
      <c r="J163" s="3">
        <f>IF(C163="Técnico III","35",IF(C163="Técnico II","28",IF(C163="Técnico I","23",IF(C163="JR","20",IF(C163="Estágio","10",)))))</f>
        <v/>
      </c>
      <c r="K163" s="3">
        <f>I163-J163</f>
        <v/>
      </c>
      <c r="L163" s="3">
        <f>IF(K163&lt;-5,"CRÍTICO",IF(K163&lt;0,"ATENÇÃO",IF(K163&lt;=5,"BOM","EXCELENTE")))</f>
        <v/>
      </c>
      <c r="M163" s="3" t="n">
        <v>25</v>
      </c>
      <c r="N163" s="3" t="n">
        <v>100</v>
      </c>
      <c r="O163" s="3" t="n">
        <v>15.58441558441558</v>
      </c>
    </row>
    <row r="164" hidden="1">
      <c r="A164" s="5" t="n">
        <v>46149</v>
      </c>
      <c r="B164" s="6" t="inlineStr">
        <is>
          <t>Lizandra Gomes Duarte</t>
        </is>
      </c>
      <c r="C164" s="3" t="inlineStr">
        <is>
          <t>Técnico II</t>
        </is>
      </c>
      <c r="D164" s="3" t="n">
        <v>40</v>
      </c>
      <c r="E164" s="3" t="n">
        <v>37</v>
      </c>
      <c r="G164" s="3" t="n">
        <v>6</v>
      </c>
      <c r="I164" s="3">
        <f>E164+G164+H164</f>
        <v/>
      </c>
      <c r="J164" s="3">
        <f>IF(C164="Técnico III","35",IF(C164="Técnico II","28",IF(C164="Técnico I","23",IF(C164="JR","20",IF(C164="Estágio","10",)))))</f>
        <v/>
      </c>
      <c r="K164" s="3">
        <f>I164-J164</f>
        <v/>
      </c>
      <c r="L164" s="3">
        <f>IF(K164&lt;-5,"CRÍTICO",IF(K164&lt;0,"ATENÇÃO",IF(K164&lt;=5,"BOM","EXCELENTE")))</f>
        <v/>
      </c>
      <c r="M164" s="3" t="n">
        <v>51</v>
      </c>
      <c r="N164" s="3" t="n">
        <v>98.61</v>
      </c>
      <c r="O164" s="3" t="n">
        <v>16.86746987951807</v>
      </c>
    </row>
    <row r="165" hidden="1">
      <c r="A165" s="5" t="n">
        <v>46149</v>
      </c>
      <c r="B165" s="6" t="inlineStr">
        <is>
          <t>Lorena Dias de Araujo</t>
        </is>
      </c>
      <c r="C165" s="3" t="inlineStr">
        <is>
          <t>Técnico II</t>
        </is>
      </c>
      <c r="D165" s="3" t="n">
        <v>26</v>
      </c>
      <c r="E165" s="3" t="n">
        <v>24</v>
      </c>
      <c r="G165" s="3" t="n">
        <v>3</v>
      </c>
      <c r="I165" s="3">
        <f>E165+G165+H165</f>
        <v/>
      </c>
      <c r="J165" s="3">
        <f>IF(C165="Técnico III","35",IF(C165="Técnico II","28",IF(C165="Técnico I","23",IF(C165="JR","20",IF(C165="Estágio","10",)))))</f>
        <v/>
      </c>
      <c r="K165" s="3">
        <f>I165-J165</f>
        <v/>
      </c>
      <c r="L165" s="3">
        <f>IF(K165&lt;-5,"CRÍTICO",IF(K165&lt;0,"ATENÇÃO",IF(K165&lt;=5,"BOM","EXCELENTE")))</f>
        <v/>
      </c>
      <c r="M165" s="3" t="n">
        <v>26</v>
      </c>
      <c r="N165" s="3" t="n">
        <v>100</v>
      </c>
      <c r="O165" s="3" t="n">
        <v>20.82018927444795</v>
      </c>
    </row>
    <row r="166" hidden="1">
      <c r="A166" s="5" t="n">
        <v>46149</v>
      </c>
      <c r="B166" s="6" t="inlineStr">
        <is>
          <t>Lucas Luiz Romero</t>
        </is>
      </c>
      <c r="C166" s="3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IF(K166&lt;-5,"CRÍTICO",IF(K166&lt;0,"ATENÇÃO",IF(K166&lt;=5,"BOM","EXCELENTE")))</f>
        <v/>
      </c>
      <c r="M166" s="3" t="n">
        <v>0</v>
      </c>
      <c r="N166" s="3" t="n">
        <v>100</v>
      </c>
      <c r="O166" s="3" t="n">
        <v>4.347826086956522</v>
      </c>
    </row>
    <row r="167" hidden="1">
      <c r="A167" s="5" t="n">
        <v>46149</v>
      </c>
      <c r="B167" s="6" t="inlineStr">
        <is>
          <t>Luiz Fernando de Carvalho Junior</t>
        </is>
      </c>
      <c r="C167" s="3" t="inlineStr">
        <is>
          <t>Técnico I</t>
        </is>
      </c>
      <c r="D167" s="3" t="n">
        <v>25</v>
      </c>
      <c r="E167" s="3" t="n">
        <v>25</v>
      </c>
      <c r="G167" s="3" t="n">
        <v>1</v>
      </c>
      <c r="I167" s="3">
        <f>E167+G167+H167</f>
        <v/>
      </c>
      <c r="J167" s="3">
        <f>IF(C167="Técnico III","35",IF(C167="Técnico II","28",IF(C167="Técnico I","23",IF(C167="JR","20",IF(C167="Estágio","10",)))))</f>
        <v/>
      </c>
      <c r="K167" s="3">
        <f>I167-J167</f>
        <v/>
      </c>
      <c r="L167" s="3">
        <f>IF(K167&lt;-5,"CRÍTICO",IF(K167&lt;0,"ATENÇÃO",IF(K167&lt;=5,"BOM","EXCELENTE")))</f>
        <v/>
      </c>
      <c r="M167" s="3" t="n">
        <v>25</v>
      </c>
      <c r="N167" s="3" t="n">
        <v>93.26000000000001</v>
      </c>
      <c r="O167" s="3" t="n">
        <v>19.93957703927493</v>
      </c>
    </row>
    <row r="168" hidden="1">
      <c r="A168" s="5" t="n">
        <v>46149</v>
      </c>
      <c r="B168" s="6" t="inlineStr">
        <is>
          <t>Matheus Farias De Souza</t>
        </is>
      </c>
      <c r="C168" s="3" t="inlineStr">
        <is>
          <t>Técnico III</t>
        </is>
      </c>
      <c r="D168" s="3" t="n">
        <v>15</v>
      </c>
      <c r="E168" s="3" t="n">
        <v>14</v>
      </c>
      <c r="G168" s="3" t="n">
        <v>0</v>
      </c>
      <c r="H168" s="3" t="n">
        <v>32</v>
      </c>
      <c r="I168" s="3">
        <f>E168+G168+H168</f>
        <v/>
      </c>
      <c r="J168" s="3">
        <f>IF(C168="Técnico III","35",IF(C168="Técnico II","28",IF(C168="Técnico I","23",IF(C168="JR","20",IF(C168="Estágio","10",)))))</f>
        <v/>
      </c>
      <c r="K168" s="3">
        <f>I168-J168</f>
        <v/>
      </c>
      <c r="L168" s="3">
        <f>IF(K168&lt;-5,"CRÍTICO",IF(K168&lt;0,"ATENÇÃO",IF(K168&lt;=5,"BOM","EXCELENTE")))</f>
        <v/>
      </c>
      <c r="M168" s="3" t="n">
        <v>35</v>
      </c>
      <c r="N168" s="3" t="n">
        <v>98.28</v>
      </c>
      <c r="O168" s="3" t="n">
        <v>9.037900874635568</v>
      </c>
    </row>
    <row r="169" hidden="1">
      <c r="A169" s="5" t="n">
        <v>46149</v>
      </c>
      <c r="B169" s="6" t="inlineStr">
        <is>
          <t>Maysa Victoria Dias Moura</t>
        </is>
      </c>
      <c r="C169" s="3" t="inlineStr">
        <is>
          <t>Técnico III</t>
        </is>
      </c>
      <c r="D169" s="3" t="n">
        <v>26</v>
      </c>
      <c r="E169" s="3" t="n">
        <v>23</v>
      </c>
      <c r="G169" s="3" t="n">
        <v>6</v>
      </c>
      <c r="I169" s="3">
        <f>E169+G169+H169</f>
        <v/>
      </c>
      <c r="J169" s="3">
        <f>IF(C169="Técnico III","35",IF(C169="Técnico II","28",IF(C169="Técnico I","23",IF(C169="JR","20",IF(C169="Estágio","10",)))))</f>
        <v/>
      </c>
      <c r="K169" s="3">
        <f>I169-J169</f>
        <v/>
      </c>
      <c r="L169" s="3">
        <f>IF(K169&lt;-5,"CRÍTICO",IF(K169&lt;0,"ATENÇÃO",IF(K169&lt;=5,"BOM","EXCELENTE")))</f>
        <v/>
      </c>
      <c r="M169" s="3" t="n">
        <v>26</v>
      </c>
      <c r="N169" s="3" t="n">
        <v>97.22</v>
      </c>
      <c r="O169" s="3" t="n">
        <v>19.09547738693467</v>
      </c>
    </row>
    <row r="170" hidden="1">
      <c r="A170" s="5" t="n">
        <v>46149</v>
      </c>
      <c r="B170" s="6" t="inlineStr">
        <is>
          <t>Milena Sales</t>
        </is>
      </c>
      <c r="C170" s="3" t="inlineStr">
        <is>
          <t>JR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IF(K170&lt;-5,"CRÍTICO",IF(K170&lt;0,"ATENÇÃO",IF(K170&lt;=5,"BOM","EXCELENTE")))</f>
        <v/>
      </c>
      <c r="M170" s="3" t="n">
        <v>0</v>
      </c>
      <c r="N170" s="3" t="n">
        <v>98</v>
      </c>
      <c r="O170" s="3" t="n">
        <v>16.43835616438356</v>
      </c>
    </row>
    <row r="171" hidden="1">
      <c r="A171" s="5" t="n">
        <v>46149</v>
      </c>
      <c r="B171" s="6" t="inlineStr">
        <is>
          <t>Patrícia Karla de Sousa Araújo</t>
        </is>
      </c>
      <c r="C171" s="3" t="inlineStr">
        <is>
          <t>Técnico II</t>
        </is>
      </c>
      <c r="D171" s="3" t="n">
        <v>10</v>
      </c>
      <c r="E171" s="3" t="n">
        <v>10</v>
      </c>
      <c r="G171" s="3" t="n">
        <v>0</v>
      </c>
      <c r="I171" s="3">
        <f>E171+G171+H171</f>
        <v/>
      </c>
      <c r="J171" s="3">
        <f>IF(C171="Técnico III","35",IF(C171="Técnico II","28",IF(C171="Técnico I","23",IF(C171="JR","20",IF(C171="Estágio","10",)))))</f>
        <v/>
      </c>
      <c r="K171" s="3">
        <f>I171-J171</f>
        <v/>
      </c>
      <c r="L171" s="3">
        <f>IF(K171&lt;-5,"CRÍTICO",IF(K171&lt;0,"ATENÇÃO",IF(K171&lt;=5,"BOM","EXCELENTE")))</f>
        <v/>
      </c>
      <c r="M171" s="3" t="n">
        <v>9</v>
      </c>
      <c r="N171" s="3" t="n">
        <v>100</v>
      </c>
      <c r="O171" s="3" t="n">
        <v>16.89497716894977</v>
      </c>
    </row>
    <row r="172" hidden="1">
      <c r="A172" s="5" t="n">
        <v>46149</v>
      </c>
      <c r="B172" s="6" t="inlineStr">
        <is>
          <t>Paulo Ricardo Santos</t>
        </is>
      </c>
      <c r="C172" s="3" t="inlineStr">
        <is>
          <t>JR</t>
        </is>
      </c>
      <c r="D172" s="3" t="n">
        <v>16</v>
      </c>
      <c r="E172" s="3" t="n">
        <v>16</v>
      </c>
      <c r="G172" s="3" t="n">
        <v>8</v>
      </c>
      <c r="I172" s="3">
        <f>E172+G172+H172</f>
        <v/>
      </c>
      <c r="J172" s="3">
        <f>IF(C172="Técnico III","35",IF(C172="Técnico II","28",IF(C172="Técnico I","23",IF(C172="JR","20",IF(C172="Estágio","10",)))))</f>
        <v/>
      </c>
      <c r="K172" s="3">
        <f>I172-J172</f>
        <v/>
      </c>
      <c r="L172" s="3">
        <f>IF(K172&lt;-5,"CRÍTICO",IF(K172&lt;0,"ATENÇÃO",IF(K172&lt;=5,"BOM","EXCELENTE")))</f>
        <v/>
      </c>
      <c r="M172" s="3" t="n">
        <v>18</v>
      </c>
      <c r="N172" s="3" t="n">
        <v>100</v>
      </c>
      <c r="O172" s="3" t="n">
        <v>19.13875598086124</v>
      </c>
    </row>
    <row r="173" hidden="1">
      <c r="A173" s="5" t="n">
        <v>46149</v>
      </c>
      <c r="B173" s="6" t="inlineStr">
        <is>
          <t>Pedro Luiz Mota Sousa</t>
        </is>
      </c>
      <c r="C173" s="3" t="inlineStr">
        <is>
          <t>JR</t>
        </is>
      </c>
      <c r="D173" s="3" t="n">
        <v>19</v>
      </c>
      <c r="E173" s="3" t="n">
        <v>19</v>
      </c>
      <c r="G173" s="3" t="n">
        <v>5</v>
      </c>
      <c r="I173" s="3">
        <f>E173+G173+H173</f>
        <v/>
      </c>
      <c r="J173" s="3">
        <f>IF(C173="Técnico III","35",IF(C173="Técnico II","28",IF(C173="Técnico I","23",IF(C173="JR","20",IF(C173="Estágio","10",)))))</f>
        <v/>
      </c>
      <c r="K173" s="3">
        <f>I173-J173</f>
        <v/>
      </c>
      <c r="L173" s="3">
        <f>IF(K173&lt;-5,"CRÍTICO",IF(K173&lt;0,"ATENÇÃO",IF(K173&lt;=5,"BOM","EXCELENTE")))</f>
        <v/>
      </c>
      <c r="M173" s="3" t="n">
        <v>25</v>
      </c>
      <c r="N173" s="3" t="n">
        <v>100</v>
      </c>
      <c r="O173" s="3" t="n">
        <v>15.02145922746781</v>
      </c>
    </row>
    <row r="174" hidden="1">
      <c r="A174" s="5" t="n">
        <v>46149</v>
      </c>
      <c r="B174" s="6" t="inlineStr">
        <is>
          <t>Raane Batista Matos</t>
        </is>
      </c>
      <c r="C174" s="3" t="inlineStr">
        <is>
          <t>Técnico I</t>
        </is>
      </c>
      <c r="D174" s="3" t="n">
        <v>31</v>
      </c>
      <c r="E174" s="3" t="n">
        <v>26</v>
      </c>
      <c r="G174" s="3" t="n">
        <v>14</v>
      </c>
      <c r="I174" s="3">
        <f>E174+G174+H174</f>
        <v/>
      </c>
      <c r="J174" s="3">
        <f>IF(C174="Técnico III","35",IF(C174="Técnico II","28",IF(C174="Técnico I","23",IF(C174="JR","20",IF(C174="Estágio","10",)))))</f>
        <v/>
      </c>
      <c r="K174" s="3">
        <f>I174-J174</f>
        <v/>
      </c>
      <c r="L174" s="3">
        <f>IF(K174&lt;-5,"CRÍTICO",IF(K174&lt;0,"ATENÇÃO",IF(K174&lt;=5,"BOM","EXCELENTE")))</f>
        <v/>
      </c>
      <c r="M174" s="3" t="n">
        <v>23</v>
      </c>
      <c r="N174" s="3" t="n">
        <v>97.56</v>
      </c>
      <c r="O174" s="3" t="n">
        <v>19.28783382789317</v>
      </c>
    </row>
    <row r="175" hidden="1">
      <c r="A175" s="5" t="n">
        <v>46149</v>
      </c>
      <c r="B175" s="6" t="inlineStr">
        <is>
          <t>Rafael Gomes de Morais</t>
        </is>
      </c>
      <c r="C175" s="3" t="inlineStr">
        <is>
          <t>Técnico III</t>
        </is>
      </c>
      <c r="D175" s="3" t="n">
        <v>35</v>
      </c>
      <c r="E175" s="3" t="n">
        <v>30</v>
      </c>
      <c r="G175" s="3" t="n">
        <v>8</v>
      </c>
      <c r="I175" s="3">
        <f>E175+G175+H175</f>
        <v/>
      </c>
      <c r="J175" s="3">
        <f>IF(C175="Técnico III","35",IF(C175="Técnico II","28",IF(C175="Técnico I","23",IF(C175="JR","20",IF(C175="Estágio","10",)))))</f>
        <v/>
      </c>
      <c r="K175" s="3">
        <f>I175-J175</f>
        <v/>
      </c>
      <c r="L175" s="3">
        <f>IF(K175&lt;-5,"CRÍTICO",IF(K175&lt;0,"ATENÇÃO",IF(K175&lt;=5,"BOM","EXCELENTE")))</f>
        <v/>
      </c>
      <c r="M175" s="3" t="n">
        <v>37</v>
      </c>
      <c r="N175" s="3" t="n">
        <v>99.29000000000001</v>
      </c>
      <c r="O175" s="3" t="n">
        <v>22.49443207126949</v>
      </c>
    </row>
    <row r="176" hidden="1">
      <c r="A176" s="5" t="n">
        <v>46149</v>
      </c>
      <c r="B176" s="6" t="inlineStr">
        <is>
          <t>Sara Maria Monteiro Lopes</t>
        </is>
      </c>
      <c r="C176" s="3" t="inlineStr">
        <is>
          <t>Técnico I</t>
        </is>
      </c>
      <c r="D176" s="3" t="n">
        <v>14</v>
      </c>
      <c r="E176" s="3" t="n">
        <v>14</v>
      </c>
      <c r="G176" s="3" t="n">
        <v>6</v>
      </c>
      <c r="I176" s="3">
        <f>E176+G176+H176</f>
        <v/>
      </c>
      <c r="J176" s="3">
        <f>IF(C176="Técnico III","35",IF(C176="Técnico II","28",IF(C176="Técnico I","23",IF(C176="JR","20",IF(C176="Estágio","10",)))))</f>
        <v/>
      </c>
      <c r="K176" s="3">
        <f>I176-J176</f>
        <v/>
      </c>
      <c r="L176" s="3">
        <f>IF(K176&lt;-5,"CRÍTICO",IF(K176&lt;0,"ATENÇÃO",IF(K176&lt;=5,"BOM","EXCELENTE")))</f>
        <v/>
      </c>
      <c r="M176" s="3" t="n">
        <v>20</v>
      </c>
      <c r="N176" s="3" t="n">
        <v>100</v>
      </c>
      <c r="O176" s="3" t="n">
        <v>16.97247706422019</v>
      </c>
    </row>
    <row r="177" hidden="1">
      <c r="A177" s="5" t="n">
        <v>46149</v>
      </c>
      <c r="B177" s="6" t="inlineStr">
        <is>
          <t>Sarah Steffanie de Lima Borges</t>
        </is>
      </c>
      <c r="C177" s="3" t="inlineStr">
        <is>
          <t>Técnico III</t>
        </is>
      </c>
      <c r="D177" s="3" t="n">
        <v>34</v>
      </c>
      <c r="E177" s="3" t="n">
        <v>31</v>
      </c>
      <c r="G177" s="3" t="n">
        <v>1</v>
      </c>
      <c r="H177" s="3" t="n">
        <v>0</v>
      </c>
      <c r="I177" s="3">
        <f>E177+G177+H177</f>
        <v/>
      </c>
      <c r="J177" s="3">
        <f>IF(C177="Técnico III","35",IF(C177="Técnico II","28",IF(C177="Técnico I","23",IF(C177="JR","20",IF(C177="Estágio","10",)))))</f>
        <v/>
      </c>
      <c r="K177" s="3">
        <f>I177-J177</f>
        <v/>
      </c>
      <c r="L177" s="3">
        <f>IF(K177&lt;-5,"CRÍTICO",IF(K177&lt;0,"ATENÇÃO",IF(K177&lt;=5,"BOM","EXCELENTE")))</f>
        <v/>
      </c>
      <c r="M177" s="3" t="n">
        <v>28</v>
      </c>
      <c r="N177" s="3" t="n">
        <v>97.33</v>
      </c>
      <c r="O177" s="3" t="n">
        <v>15.80547112462006</v>
      </c>
    </row>
    <row r="178" hidden="1">
      <c r="A178" s="5" t="n">
        <v>46150</v>
      </c>
      <c r="B178" s="6" t="inlineStr">
        <is>
          <t>Alisson de Freitas Silva</t>
        </is>
      </c>
      <c r="C178" s="3" t="inlineStr">
        <is>
          <t>Técnico II</t>
        </is>
      </c>
      <c r="D178" s="3" t="n">
        <v>34</v>
      </c>
      <c r="E178" s="3" t="n">
        <v>30</v>
      </c>
      <c r="G178" s="3" t="n">
        <v>4</v>
      </c>
      <c r="H178" s="3" t="n">
        <v>0</v>
      </c>
      <c r="I178" s="3">
        <f>E178+G178+H178</f>
        <v/>
      </c>
      <c r="J178" s="3">
        <f>IF(C178="Técnico III","35",IF(C178="Técnico II","28",IF(C178="Técnico I","23",IF(C178="JR","20",IF(C178="Estágio","10",)))))</f>
        <v/>
      </c>
      <c r="K178" s="3">
        <f>I178-J178</f>
        <v/>
      </c>
      <c r="L178" s="3">
        <f>IF(K178&lt;-5,"CRÍTICO",IF(K178&lt;0,"ATENÇÃO",IF(K178&lt;=5,"BOM","EXCELENTE")))</f>
        <v/>
      </c>
      <c r="M178" s="3" t="n">
        <v>21</v>
      </c>
      <c r="N178" s="3" t="n">
        <v>98.94</v>
      </c>
      <c r="O178" s="3" t="n">
        <v>19.61414790996785</v>
      </c>
    </row>
    <row r="179" hidden="1">
      <c r="A179" s="5" t="n">
        <v>46150</v>
      </c>
      <c r="B179" s="6" t="inlineStr">
        <is>
          <t>Amanda Moura Ferreira</t>
        </is>
      </c>
      <c r="C179" s="3" t="inlineStr">
        <is>
          <t>Técnico III</t>
        </is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>
        <f>IF(K179&lt;-5,"CRÍTICO",IF(K179&lt;0,"ATENÇÃO",IF(K179&lt;=5,"BOM","EXCELENTE")))</f>
        <v/>
      </c>
      <c r="M179" s="9" t="n">
        <v>0</v>
      </c>
      <c r="N179" s="9" t="n">
        <v>100</v>
      </c>
      <c r="O179" s="9" t="n">
        <v>0</v>
      </c>
    </row>
    <row r="180" hidden="1">
      <c r="A180" s="5" t="n">
        <v>46150</v>
      </c>
      <c r="B180" s="6" t="inlineStr">
        <is>
          <t>Ana Karollyne Souza Faria</t>
        </is>
      </c>
      <c r="C180" s="3" t="inlineStr">
        <is>
          <t>Técnico I</t>
        </is>
      </c>
      <c r="D180" s="3" t="n">
        <v>26</v>
      </c>
      <c r="E180" s="3" t="n">
        <v>25</v>
      </c>
      <c r="G180" s="3" t="n">
        <v>0</v>
      </c>
      <c r="H180" s="3" t="n">
        <v>0</v>
      </c>
      <c r="I180" s="3">
        <f>E180+G180+H180</f>
        <v/>
      </c>
      <c r="J180" s="3">
        <f>IF(C180="Técnico III","35",IF(C180="Técnico II","28",IF(C180="Técnico I","23",IF(C180="JR","20",IF(C180="Estágio","10",)))))</f>
        <v/>
      </c>
      <c r="K180" s="3">
        <f>I180-J180</f>
        <v/>
      </c>
      <c r="L180" s="3">
        <f>IF(K180&lt;-5,"CRÍTICO",IF(K180&lt;0,"ATENÇÃO",IF(K180&lt;=5,"BOM","EXCELENTE")))</f>
        <v/>
      </c>
      <c r="M180" s="3" t="n">
        <v>24</v>
      </c>
      <c r="N180" s="3" t="n">
        <v>95.38</v>
      </c>
      <c r="O180" s="3" t="n">
        <v>21.5962441314554</v>
      </c>
    </row>
    <row r="181" hidden="1">
      <c r="A181" s="5" t="n">
        <v>46150</v>
      </c>
      <c r="B181" s="6" t="inlineStr">
        <is>
          <t>Ana Paula Da Luz Silva Aleixo</t>
        </is>
      </c>
      <c r="C181" s="9" t="inlineStr">
        <is>
          <t>Técnico III</t>
        </is>
      </c>
      <c r="D181" s="3" t="n">
        <v>22</v>
      </c>
      <c r="E181" s="3" t="n">
        <v>21</v>
      </c>
      <c r="G181" s="3" t="n">
        <v>3</v>
      </c>
      <c r="H181" s="3" t="n">
        <v>0</v>
      </c>
      <c r="I181" s="3">
        <f>E181+G181+H181</f>
        <v/>
      </c>
      <c r="J181" s="3">
        <f>IF(C181="Técnico III","35",IF(C181="Técnico II","28",IF(C181="Técnico I","23",IF(C181="JR","20",IF(C181="Estágio","10",)))))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20</v>
      </c>
      <c r="N181" t="n">
        <v>96.34</v>
      </c>
      <c r="O181" t="n">
        <v>17.57188498402556</v>
      </c>
    </row>
    <row r="182" hidden="1">
      <c r="A182" s="5" t="n">
        <v>46150</v>
      </c>
      <c r="B182" s="6" t="inlineStr">
        <is>
          <t>Brenda de Menezes Silva</t>
        </is>
      </c>
      <c r="C182" s="3" t="inlineStr">
        <is>
          <t>Técnico II</t>
        </is>
      </c>
      <c r="D182" s="3" t="n">
        <v>31</v>
      </c>
      <c r="E182" s="3" t="n">
        <v>28</v>
      </c>
      <c r="G182" s="3" t="n">
        <v>4</v>
      </c>
      <c r="H182" s="3" t="n">
        <v>0</v>
      </c>
      <c r="I182" s="3">
        <f>E182+G182+H182</f>
        <v/>
      </c>
      <c r="J182" s="3">
        <f>IF(C182="Técnico III","35",IF(C182="Técnico II","28",IF(C182="Técnico I","23",IF(C182="JR","20",IF(C182="Estágio","10",)))))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35</v>
      </c>
      <c r="N182" t="n">
        <v>99.13</v>
      </c>
      <c r="O182" t="n">
        <v>14.7239263803681</v>
      </c>
    </row>
    <row r="183" hidden="1">
      <c r="A183" s="5" t="n">
        <v>46150</v>
      </c>
      <c r="B183" s="6" t="inlineStr">
        <is>
          <t>Carlos Mateus Cassimiro Nunes</t>
        </is>
      </c>
      <c r="C183" s="9" t="inlineStr">
        <is>
          <t>Técnico II</t>
        </is>
      </c>
      <c r="D183" s="3" t="n">
        <v>12</v>
      </c>
      <c r="E183" s="3" t="n">
        <v>12</v>
      </c>
      <c r="G183" s="3" t="n">
        <v>0</v>
      </c>
      <c r="H183" s="3" t="n">
        <v>0</v>
      </c>
      <c r="I183" s="3">
        <f>E183+G183+H183</f>
        <v/>
      </c>
      <c r="J183" s="3">
        <f>IF(C183="Técnico III","35",IF(C183="Técnico II","28",IF(C183="Técnico I","23",IF(C183="JR","20",IF(C183="Estágio","10",)))))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12</v>
      </c>
      <c r="N183" t="n">
        <v>98.8</v>
      </c>
      <c r="O183" t="n">
        <v>16.89750692520776</v>
      </c>
    </row>
    <row r="184" hidden="1">
      <c r="A184" s="5" t="n">
        <v>46150</v>
      </c>
      <c r="B184" s="6" t="inlineStr">
        <is>
          <t>Clessiane Pereira dos Santos</t>
        </is>
      </c>
      <c r="C184" s="3" t="inlineStr">
        <is>
          <t>Técnico I</t>
        </is>
      </c>
      <c r="D184" s="3" t="n">
        <v>25</v>
      </c>
      <c r="E184" s="3" t="n">
        <v>24</v>
      </c>
      <c r="G184" s="3" t="n">
        <v>6</v>
      </c>
      <c r="H184" s="3" t="n">
        <v>0</v>
      </c>
      <c r="I184" s="3">
        <f>E184+G184+H184</f>
        <v/>
      </c>
      <c r="J184" s="3">
        <f>IF(C184="Técnico III","35",IF(C184="Técnico II","28",IF(C184="Técnico I","23",IF(C184="JR","20",IF(C184="Estágio","10",)))))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27</v>
      </c>
      <c r="N184" t="n">
        <v>96.88</v>
      </c>
      <c r="O184" t="n">
        <v>19.52662721893491</v>
      </c>
    </row>
    <row r="185" hidden="1">
      <c r="A185" s="5" t="n">
        <v>46150</v>
      </c>
      <c r="B185" s="6" t="inlineStr">
        <is>
          <t>Cristiane Ramos da Silva Rocha</t>
        </is>
      </c>
      <c r="C185" s="3" t="inlineStr">
        <is>
          <t>Técnico III</t>
        </is>
      </c>
      <c r="D185" s="3" t="n">
        <v>27</v>
      </c>
      <c r="E185" s="3" t="n">
        <v>26</v>
      </c>
      <c r="G185" s="3" t="n">
        <v>0</v>
      </c>
      <c r="H185" s="3" t="n">
        <v>0</v>
      </c>
      <c r="I185" s="3">
        <f>E185+G185+H185</f>
        <v/>
      </c>
      <c r="J185" s="3">
        <f>IF(C185="Técnico III","35",IF(C185="Técnico II","28",IF(C185="Técnico I","23",IF(C185="JR","20",IF(C185="Estágio","10",)))))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25</v>
      </c>
      <c r="N185" t="n">
        <v>91.84999999999999</v>
      </c>
      <c r="O185" t="n">
        <v>20.87155963302752</v>
      </c>
    </row>
    <row r="186" hidden="1">
      <c r="A186" s="5" t="n">
        <v>46150</v>
      </c>
      <c r="B186" s="6" t="inlineStr">
        <is>
          <t>Damyllis Lorraine de Oliveira Gonçalves</t>
        </is>
      </c>
      <c r="C186" s="3" t="inlineStr">
        <is>
          <t>Técnico II</t>
        </is>
      </c>
      <c r="D186" s="3" t="n">
        <v>19</v>
      </c>
      <c r="E186" s="3" t="n">
        <v>17</v>
      </c>
      <c r="G186" s="3" t="n">
        <v>0</v>
      </c>
      <c r="H186" s="3" t="n">
        <v>0</v>
      </c>
      <c r="I186" s="3">
        <f>E186+G186+H186</f>
        <v/>
      </c>
      <c r="J186" s="3">
        <f>IF(C186="Técnico III","35",IF(C186="Técnico II","28",IF(C186="Técnico I","23",IF(C186="JR","20",IF(C186="Estágio","10",)))))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16</v>
      </c>
      <c r="N186" t="n">
        <v>98.63</v>
      </c>
      <c r="O186" t="n">
        <v>18.75</v>
      </c>
    </row>
    <row r="187" hidden="1">
      <c r="A187" s="5" t="n">
        <v>46150</v>
      </c>
      <c r="B187" s="6" t="inlineStr">
        <is>
          <t>Daniel Gomes da Silva</t>
        </is>
      </c>
      <c r="C187" s="3" t="inlineStr">
        <is>
          <t>Técnico I</t>
        </is>
      </c>
      <c r="D187" s="3" t="n">
        <v>16</v>
      </c>
      <c r="E187" s="3" t="n">
        <v>16</v>
      </c>
      <c r="G187" s="3" t="n">
        <v>0</v>
      </c>
      <c r="H187" s="3" t="n">
        <v>0</v>
      </c>
      <c r="I187" s="3">
        <f>E187+G187+H187</f>
        <v/>
      </c>
      <c r="J187" s="3">
        <f>IF(C187="Técnico III","35",IF(C187="Técnico II","28",IF(C187="Técnico I","23",IF(C187="JR","20",IF(C187="Estágio","10",)))))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11</v>
      </c>
      <c r="N187" t="n">
        <v>100</v>
      </c>
      <c r="O187" t="n">
        <v>18.14516129032258</v>
      </c>
    </row>
    <row r="188" hidden="1">
      <c r="A188" s="5" t="n">
        <v>46150</v>
      </c>
      <c r="B188" s="6" t="inlineStr">
        <is>
          <t>Davylla Rodrigues Freitas Silva</t>
        </is>
      </c>
      <c r="C188" s="9" t="inlineStr">
        <is>
          <t>Técnico III</t>
        </is>
      </c>
      <c r="D188" s="3" t="n">
        <v>17</v>
      </c>
      <c r="E188" s="3" t="n">
        <v>17</v>
      </c>
      <c r="G188" s="3" t="n">
        <v>5</v>
      </c>
      <c r="H188" s="3" t="n">
        <v>0</v>
      </c>
      <c r="I188" s="3">
        <f>E188+G188+H188</f>
        <v/>
      </c>
      <c r="J188" s="3">
        <f>IF(C188="Técnico III","35",IF(C188="Técnico II","28",IF(C188="Técnico I","23",IF(C188="JR","20",IF(C188="Estágio","10",)))))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22</v>
      </c>
      <c r="N188" t="n">
        <v>99.06</v>
      </c>
      <c r="O188" t="n">
        <v>22.95719844357977</v>
      </c>
    </row>
    <row r="189" hidden="1">
      <c r="A189" s="5" t="n">
        <v>46150</v>
      </c>
      <c r="B189" s="6" t="inlineStr">
        <is>
          <t>Anna Luiza Rezende Tavares</t>
        </is>
      </c>
      <c r="C189" s="3" t="inlineStr">
        <is>
          <t>Estágio</t>
        </is>
      </c>
      <c r="D189" s="3" t="n">
        <v>38</v>
      </c>
      <c r="E189" s="3" t="n">
        <v>35</v>
      </c>
      <c r="G189" s="3" t="n">
        <v>0</v>
      </c>
      <c r="H189" s="3" t="n">
        <v>0</v>
      </c>
      <c r="I189" s="3">
        <f>E189+G189+H189</f>
        <v/>
      </c>
      <c r="J189" s="3">
        <f>IF(C189="Técnico III","35",IF(C189="Técnico II","28",IF(C189="Técnico I","23",IF(C189="JR","20",IF(C189="Estágio","10",)))))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29</v>
      </c>
      <c r="N189" t="n">
        <v>99.11</v>
      </c>
      <c r="O189" t="n">
        <v>17.72151898734177</v>
      </c>
    </row>
    <row r="190" hidden="1">
      <c r="A190" s="5" t="n">
        <v>46150</v>
      </c>
      <c r="B190" s="6" t="inlineStr">
        <is>
          <t>Claudio de Sousa Velasco Filho</t>
        </is>
      </c>
      <c r="C190" s="3" t="inlineStr">
        <is>
          <t>Estágio</t>
        </is>
      </c>
      <c r="D190" s="3" t="n">
        <v>10</v>
      </c>
      <c r="E190" s="3" t="n">
        <v>9</v>
      </c>
      <c r="G190" s="3" t="n">
        <v>0</v>
      </c>
      <c r="H190" s="3" t="n">
        <v>0</v>
      </c>
      <c r="I190" s="3">
        <f>E190+G190+H190</f>
        <v/>
      </c>
      <c r="J190" s="3">
        <f>IF(C190="Técnico III","35",IF(C190="Técnico II","28",IF(C190="Técnico I","23",IF(C190="JR","20",IF(C190="Estágio","10",)))))</f>
        <v/>
      </c>
      <c r="K190" s="3">
        <f>I190-J190</f>
        <v/>
      </c>
      <c r="L190" s="3">
        <f>IF(K190&lt;-5,"CRÍTICO",IF(K190&lt;0,"ATENÇÃO",IF(K190&lt;=5,"BOM","EXCELENTE")))</f>
        <v/>
      </c>
      <c r="M190" t="n">
        <v>7</v>
      </c>
      <c r="N190" t="n">
        <v>96.43000000000001</v>
      </c>
      <c r="O190" t="n">
        <v>20</v>
      </c>
    </row>
    <row r="191" hidden="1">
      <c r="A191" s="5" t="n">
        <v>46150</v>
      </c>
      <c r="B191" s="6" t="inlineStr">
        <is>
          <t>Emilly Caylane Costa</t>
        </is>
      </c>
      <c r="C191" s="3" t="inlineStr">
        <is>
          <t>Estágio</t>
        </is>
      </c>
      <c r="D191" s="3" t="n">
        <v>9</v>
      </c>
      <c r="E191" s="3" t="n">
        <v>8</v>
      </c>
      <c r="G191" s="3" t="n">
        <v>0</v>
      </c>
      <c r="H191" s="3" t="n">
        <v>0</v>
      </c>
      <c r="I191" s="3">
        <f>E191+G191+H191</f>
        <v/>
      </c>
      <c r="J191" s="3">
        <f>IF(C191="Técnico III","35",IF(C191="Técnico II","28",IF(C191="Técnico I","23",IF(C191="JR","20",IF(C191="Estágio","10",)))))</f>
        <v/>
      </c>
      <c r="K191" s="3">
        <f>I191-J191</f>
        <v/>
      </c>
      <c r="L191" s="3">
        <f>IF(K191&lt;-5,"CRÍTICO",IF(K191&lt;0,"ATENÇÃO",IF(K191&lt;=5,"BOM","EXCELENTE")))</f>
        <v/>
      </c>
      <c r="M191" t="n">
        <v>6</v>
      </c>
      <c r="N191" t="n">
        <v>100</v>
      </c>
      <c r="O191" t="n">
        <v>29.03225806451613</v>
      </c>
    </row>
    <row r="192" hidden="1">
      <c r="A192" s="5" t="n">
        <v>46150</v>
      </c>
      <c r="B192" s="6" t="inlineStr">
        <is>
          <t>Gabriel Alves</t>
        </is>
      </c>
      <c r="C192" s="3" t="inlineStr">
        <is>
          <t>Estágio</t>
        </is>
      </c>
      <c r="D192" s="3" t="n">
        <v>46</v>
      </c>
      <c r="E192" s="3" t="n">
        <v>42</v>
      </c>
      <c r="G192" s="3" t="n">
        <v>0</v>
      </c>
      <c r="H192" s="3" t="n">
        <v>0</v>
      </c>
      <c r="I192" s="3">
        <f>E192+G192+H192</f>
        <v/>
      </c>
      <c r="J192" s="3">
        <f>IF(C192="Técnico III","35",IF(C192="Técnico II","28",IF(C192="Técnico I","23",IF(C192="JR","20",IF(C192="Estágio","10",)))))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0</v>
      </c>
      <c r="N192" t="n">
        <v>100</v>
      </c>
      <c r="O192" t="n">
        <v>14.28571428571428</v>
      </c>
    </row>
    <row r="193" hidden="1">
      <c r="A193" s="5" t="n">
        <v>46150</v>
      </c>
      <c r="B193" s="6" t="inlineStr">
        <is>
          <t>Maria Eduarda Sousa Costa</t>
        </is>
      </c>
      <c r="C193" s="3" t="inlineStr">
        <is>
          <t>Estágio</t>
        </is>
      </c>
      <c r="D193" s="3" t="n">
        <v>55</v>
      </c>
      <c r="E193" s="3" t="n">
        <v>34</v>
      </c>
      <c r="G193" s="3" t="n">
        <v>0</v>
      </c>
      <c r="H193" s="3" t="n">
        <v>0</v>
      </c>
      <c r="I193" s="3">
        <f>E193+G193+H193</f>
        <v/>
      </c>
      <c r="J193" s="3">
        <f>IF(C193="Técnico III","35",IF(C193="Técnico II","28",IF(C193="Técnico I","23",IF(C193="JR","20",IF(C193="Estágio","10",)))))</f>
        <v/>
      </c>
      <c r="K193" s="3">
        <f>I193-J193</f>
        <v/>
      </c>
      <c r="L193" s="3">
        <f>IF(K193&lt;-5,"CRÍTICO",IF(K193&lt;0,"ATENÇÃO",IF(K193&lt;=5,"BOM","EXCELENTE")))</f>
        <v/>
      </c>
      <c r="M193" t="n">
        <v>1</v>
      </c>
      <c r="N193" t="n">
        <v>100</v>
      </c>
      <c r="O193" t="n">
        <v>11.86440677966102</v>
      </c>
    </row>
    <row r="194" hidden="1">
      <c r="A194" s="5" t="n">
        <v>46150</v>
      </c>
      <c r="B194" s="6" t="inlineStr">
        <is>
          <t>Michelle G Santos</t>
        </is>
      </c>
      <c r="C194" s="3" t="inlineStr">
        <is>
          <t>Estágio</t>
        </is>
      </c>
      <c r="D194" s="3" t="n">
        <v>14</v>
      </c>
      <c r="E194" s="3" t="n">
        <v>13</v>
      </c>
      <c r="G194" s="3" t="n">
        <v>0</v>
      </c>
      <c r="H194" s="3" t="n">
        <v>0</v>
      </c>
      <c r="I194" s="3">
        <f>E194+G194+H194</f>
        <v/>
      </c>
      <c r="J194" s="3">
        <f>IF(C194="Técnico III","35",IF(C194="Técnico II","28",IF(C194="Técnico I","23",IF(C194="JR","20",IF(C194="Estágio","10",)))))</f>
        <v/>
      </c>
      <c r="K194" s="3">
        <f>I194-J194</f>
        <v/>
      </c>
      <c r="L194" s="3">
        <f>IF(K194&lt;-5,"CRÍTICO",IF(K194&lt;0,"ATENÇÃO",IF(K194&lt;=5,"BOM","EXCELENTE")))</f>
        <v/>
      </c>
      <c r="M194" t="n">
        <v>9</v>
      </c>
      <c r="N194" t="n">
        <v>100</v>
      </c>
      <c r="O194" t="n">
        <v>16.8141592920354</v>
      </c>
    </row>
    <row r="195" hidden="1">
      <c r="A195" s="5" t="n">
        <v>46150</v>
      </c>
      <c r="B195" s="6" t="inlineStr">
        <is>
          <t>Quirino Diogo Leite Torres</t>
        </is>
      </c>
      <c r="C195" s="3" t="inlineStr">
        <is>
          <t>Estágio</t>
        </is>
      </c>
      <c r="D195" s="3" t="n">
        <v>17</v>
      </c>
      <c r="E195" s="3" t="n">
        <v>17</v>
      </c>
      <c r="G195" s="3" t="n">
        <v>0</v>
      </c>
      <c r="H195" s="3" t="n">
        <v>0</v>
      </c>
      <c r="I195" s="3">
        <f>E195+G195+H195</f>
        <v/>
      </c>
      <c r="J195" s="3">
        <f>IF(C195="Técnico III","35",IF(C195="Técnico II","28",IF(C195="Técnico I","23",IF(C195="JR","20",IF(C195="Estágio","10",)))))</f>
        <v/>
      </c>
      <c r="K195" s="3">
        <f>I195-J195</f>
        <v/>
      </c>
      <c r="L195" s="3">
        <f>IF(K195&lt;-5,"CRÍTICO",IF(K195&lt;0,"ATENÇÃO",IF(K195&lt;=5,"BOM","EXCELENTE")))</f>
        <v/>
      </c>
      <c r="M195" t="n">
        <v>11</v>
      </c>
      <c r="N195" t="n">
        <v>98.11</v>
      </c>
      <c r="O195" t="n">
        <v>20.40816326530612</v>
      </c>
    </row>
    <row r="196" hidden="1">
      <c r="A196" s="5" t="n">
        <v>46150</v>
      </c>
      <c r="B196" s="6" t="inlineStr">
        <is>
          <t>Emilly Kamilly Medeiros Miranda</t>
        </is>
      </c>
      <c r="C196" s="3" t="inlineStr">
        <is>
          <t>Técnico II</t>
        </is>
      </c>
      <c r="D196" s="3" t="n">
        <v>25</v>
      </c>
      <c r="E196" s="3" t="n">
        <v>23</v>
      </c>
      <c r="G196" s="3" t="n">
        <v>6</v>
      </c>
      <c r="H196" s="3" t="n">
        <v>0</v>
      </c>
      <c r="I196" s="3">
        <f>E196+G196+H196</f>
        <v/>
      </c>
      <c r="J196" s="3">
        <f>IF(C196="Técnico III","35",IF(C196="Técnico II","28",IF(C196="Técnico I","23",IF(C196="JR","20",IF(C196="Estágio","10",)))))</f>
        <v/>
      </c>
      <c r="K196" s="3">
        <f>I196-J196</f>
        <v/>
      </c>
      <c r="L196" s="3">
        <f>IF(K196&lt;-5,"CRÍTICO",IF(K196&lt;0,"ATENÇÃO",IF(K196&lt;=5,"BOM","EXCELENTE")))</f>
        <v/>
      </c>
      <c r="M196" t="n">
        <v>26</v>
      </c>
      <c r="N196" t="n">
        <v>100</v>
      </c>
      <c r="O196" t="n">
        <v>13.8121546961326</v>
      </c>
    </row>
    <row r="197" hidden="1">
      <c r="A197" s="5" t="n">
        <v>46150</v>
      </c>
      <c r="B197" s="6" t="inlineStr">
        <is>
          <t>Francielson de Oliveira</t>
        </is>
      </c>
      <c r="C197" s="9" t="inlineStr">
        <is>
          <t>Técnico III</t>
        </is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>
        <f>IF(K197&lt;-5,"CRÍTICO",IF(K197&lt;0,"ATENÇÃO",IF(K197&lt;=5,"BOM","EXCELENTE")))</f>
        <v/>
      </c>
      <c r="M197" t="n">
        <v>0</v>
      </c>
      <c r="N197" t="n">
        <v>100</v>
      </c>
      <c r="O197" t="n">
        <v>9.523809523809524</v>
      </c>
    </row>
    <row r="198" hidden="1">
      <c r="A198" s="5" t="n">
        <v>46150</v>
      </c>
      <c r="B198" s="6" t="inlineStr">
        <is>
          <t>Francilene Ferreira de Jesus</t>
        </is>
      </c>
      <c r="C198" s="3" t="inlineStr">
        <is>
          <t>Técnico II</t>
        </is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>
        <f>IF(K198&lt;-5,"CRÍTICO",IF(K198&lt;0,"ATENÇÃO",IF(K198&lt;=5,"BOM","EXCELENTE")))</f>
        <v/>
      </c>
      <c r="M198" t="n">
        <v>0</v>
      </c>
      <c r="N198" t="n">
        <v>100</v>
      </c>
      <c r="O198" t="n">
        <v>17.24137931034483</v>
      </c>
    </row>
    <row r="199" hidden="1">
      <c r="A199" s="5" t="n">
        <v>46150</v>
      </c>
      <c r="B199" s="6" t="inlineStr">
        <is>
          <t>Gabriel Gomes de Andrade</t>
        </is>
      </c>
      <c r="C199" s="3" t="inlineStr">
        <is>
          <t>Técnico I</t>
        </is>
      </c>
      <c r="D199" s="3" t="n">
        <v>0</v>
      </c>
      <c r="E199" s="3" t="n">
        <v>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0</v>
      </c>
      <c r="L199" s="3">
        <f>IF(K199&lt;-5,"CRÍTICO",IF(K199&lt;0,"ATENÇÃO",IF(K199&lt;=5,"BOM","EXCELENTE")))</f>
        <v/>
      </c>
      <c r="M199" t="n">
        <v>0</v>
      </c>
      <c r="N199" t="n">
        <v>98.8</v>
      </c>
      <c r="O199" t="n">
        <v>15.41353383458646</v>
      </c>
    </row>
    <row r="200" hidden="1">
      <c r="A200" s="5" t="n">
        <v>46150</v>
      </c>
      <c r="B200" s="6" t="inlineStr">
        <is>
          <t>Isabella Borges de Oliveira</t>
        </is>
      </c>
      <c r="C200" s="9" t="inlineStr">
        <is>
          <t>Técnico II</t>
        </is>
      </c>
      <c r="D200" s="3" t="n">
        <v>30</v>
      </c>
      <c r="E200" s="3" t="n">
        <v>27</v>
      </c>
      <c r="G200" s="3" t="n">
        <v>0</v>
      </c>
      <c r="H200" s="3" t="n">
        <v>0</v>
      </c>
      <c r="I200" s="3">
        <f>E200+G200+H200</f>
        <v/>
      </c>
      <c r="J200" s="3">
        <f>IF(C200="Técnico III","35",IF(C200="Técnico II","28",IF(C200="Técnico I","23",IF(C200="JR","20",IF(C200="Estágio","10",)))))</f>
        <v/>
      </c>
      <c r="K200" s="3">
        <f>I200-J200</f>
        <v/>
      </c>
      <c r="L200" s="3">
        <f>IF(K200&lt;-5,"CRÍTICO",IF(K200&lt;0,"ATENÇÃO",IF(K200&lt;=5,"BOM","EXCELENTE")))</f>
        <v/>
      </c>
      <c r="M200" t="n">
        <v>22</v>
      </c>
      <c r="N200" t="n">
        <v>98.63</v>
      </c>
      <c r="O200" t="n">
        <v>15.75757575757576</v>
      </c>
    </row>
    <row r="201" hidden="1">
      <c r="A201" s="5" t="n">
        <v>46150</v>
      </c>
      <c r="B201" s="6" t="inlineStr">
        <is>
          <t>Janaina Lima dos Reis Urany</t>
        </is>
      </c>
      <c r="C201" s="3" t="inlineStr">
        <is>
          <t>Técnico III</t>
        </is>
      </c>
      <c r="D201" s="3" t="n">
        <v>41</v>
      </c>
      <c r="E201" s="3" t="n">
        <v>37</v>
      </c>
      <c r="G201" s="3" t="n">
        <v>8</v>
      </c>
      <c r="H201" s="3" t="n">
        <v>0</v>
      </c>
      <c r="I201" s="3">
        <f>E201+G201+H201</f>
        <v/>
      </c>
      <c r="J201" s="3">
        <f>IF(C201="Técnico III","35",IF(C201="Técnico II","28",IF(C201="Técnico I","23",IF(C201="JR","20",IF(C201="Estágio","10",)))))</f>
        <v/>
      </c>
      <c r="K201" s="3">
        <f>I201-J201</f>
        <v/>
      </c>
      <c r="L201" s="3">
        <f>IF(K201&lt;-5,"CRÍTICO",IF(K201&lt;0,"ATENÇÃO",IF(K201&lt;=5,"BOM","EXCELENTE")))</f>
        <v/>
      </c>
      <c r="M201" t="n">
        <v>41</v>
      </c>
      <c r="N201" t="n">
        <v>98.64</v>
      </c>
      <c r="O201" t="n">
        <v>16.6383701188455</v>
      </c>
    </row>
    <row r="202" hidden="1">
      <c r="A202" s="5" t="n">
        <v>46150</v>
      </c>
      <c r="B202" s="6" t="inlineStr">
        <is>
          <t>Jaqueline Evangelista da Silva Martins</t>
        </is>
      </c>
      <c r="C202" s="3" t="inlineStr">
        <is>
          <t>Técnico III</t>
        </is>
      </c>
      <c r="D202" s="3" t="n">
        <v>20</v>
      </c>
      <c r="E202" s="3" t="n">
        <v>19</v>
      </c>
      <c r="G202" s="3" t="n">
        <v>5</v>
      </c>
      <c r="H202" s="3" t="n">
        <v>0</v>
      </c>
      <c r="I202" s="3">
        <f>E202+G202+H202</f>
        <v/>
      </c>
      <c r="J202" s="3">
        <f>IF(C202="Técnico III","35",IF(C202="Técnico II","28",IF(C202="Técnico I","23",IF(C202="JR","20",IF(C202="Estágio","10",)))))</f>
        <v/>
      </c>
      <c r="K202" s="3">
        <f>I202-J202</f>
        <v/>
      </c>
      <c r="L202" s="3">
        <f>IF(K202&lt;-5,"CRÍTICO",IF(K202&lt;0,"ATENÇÃO",IF(K202&lt;=5,"BOM","EXCELENTE")))</f>
        <v/>
      </c>
      <c r="M202" t="n">
        <v>21</v>
      </c>
      <c r="N202" t="n">
        <v>95.40000000000001</v>
      </c>
      <c r="O202" t="n">
        <v>20.53333333333333</v>
      </c>
    </row>
    <row r="203" hidden="1">
      <c r="A203" s="5" t="n">
        <v>46150</v>
      </c>
      <c r="B203" s="6" t="inlineStr">
        <is>
          <t>Jessica Faria da Silveira</t>
        </is>
      </c>
      <c r="C203" s="3" t="inlineStr">
        <is>
          <t>Técnico II</t>
        </is>
      </c>
      <c r="D203" s="3" t="n">
        <v>25</v>
      </c>
      <c r="E203" s="3" t="n">
        <v>20</v>
      </c>
      <c r="G203" s="3" t="n">
        <v>3</v>
      </c>
      <c r="H203" s="3" t="n">
        <v>0</v>
      </c>
      <c r="I203" s="3">
        <f>E203+G203+H203</f>
        <v/>
      </c>
      <c r="J203" s="3">
        <f>IF(C203="Técnico III","35",IF(C203="Técnico II","28",IF(C203="Técnico I","23",IF(C203="JR","20",IF(C203="Estágio","10",)))))</f>
        <v/>
      </c>
      <c r="K203" s="3">
        <f>I203-J203</f>
        <v/>
      </c>
      <c r="L203" s="3">
        <f>IF(K203&lt;-5,"CRÍTICO",IF(K203&lt;0,"ATENÇÃO",IF(K203&lt;=5,"BOM","EXCELENTE")))</f>
        <v/>
      </c>
      <c r="M203" t="n">
        <v>24</v>
      </c>
      <c r="N203" t="n">
        <v>98.61</v>
      </c>
      <c r="O203" t="n">
        <v>16.97530864197531</v>
      </c>
    </row>
    <row r="204" hidden="1">
      <c r="A204" s="5" t="n">
        <v>46150</v>
      </c>
      <c r="B204" s="6" t="inlineStr">
        <is>
          <t>Jéssica Fé Moura</t>
        </is>
      </c>
      <c r="C204" s="3" t="inlineStr">
        <is>
          <t>Técnico III</t>
        </is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>
        <f>IF(K204&lt;-5,"CRÍTICO",IF(K204&lt;0,"ATENÇÃO",IF(K204&lt;=5,"BOM","EXCELENTE")))</f>
        <v/>
      </c>
      <c r="M204" t="n">
        <v>0</v>
      </c>
      <c r="N204" t="n">
        <v>0</v>
      </c>
      <c r="O204" t="n">
        <v>0</v>
      </c>
    </row>
    <row r="205" hidden="1">
      <c r="A205" s="5" t="n">
        <v>46150</v>
      </c>
      <c r="B205" s="6" t="inlineStr">
        <is>
          <t>Karina Gonçalves Martins</t>
        </is>
      </c>
      <c r="C205" s="3" t="inlineStr">
        <is>
          <t>JR</t>
        </is>
      </c>
      <c r="D205" s="3" t="n">
        <v>21</v>
      </c>
      <c r="E205" s="3" t="n">
        <v>20</v>
      </c>
      <c r="G205" s="3" t="n">
        <v>1</v>
      </c>
      <c r="H205" s="3" t="n">
        <v>0</v>
      </c>
      <c r="I205" s="3">
        <f>E205+G205+H205</f>
        <v/>
      </c>
      <c r="J205" s="3">
        <f>IF(C205="Técnico III","35",IF(C205="Técnico II","28",IF(C205="Técnico I","23",IF(C205="JR","20",IF(C205="Estágio","10",)))))</f>
        <v/>
      </c>
      <c r="K205" s="3">
        <f>I205-J205</f>
        <v/>
      </c>
      <c r="L205" s="3">
        <f>IF(K205&lt;-5,"CRÍTICO",IF(K205&lt;0,"ATENÇÃO",IF(K205&lt;=5,"BOM","EXCELENTE")))</f>
        <v/>
      </c>
      <c r="M205" t="n">
        <v>16</v>
      </c>
      <c r="N205" t="n">
        <v>97.01000000000001</v>
      </c>
      <c r="O205" t="n">
        <v>13.96103896103896</v>
      </c>
    </row>
    <row r="206" hidden="1">
      <c r="A206" s="5" t="n">
        <v>46150</v>
      </c>
      <c r="B206" s="6" t="inlineStr">
        <is>
          <t>Kerollen Cristielly de Jesus Siqueira</t>
        </is>
      </c>
      <c r="C206" s="9" t="inlineStr">
        <is>
          <t>Técnico III</t>
        </is>
      </c>
      <c r="D206" s="3" t="n">
        <v>4</v>
      </c>
      <c r="E206" s="3" t="n">
        <v>4</v>
      </c>
      <c r="G206" s="3" t="n">
        <v>0</v>
      </c>
      <c r="H206" s="3" t="n">
        <v>0</v>
      </c>
      <c r="I206" s="3">
        <f>E206+G206+H206</f>
        <v/>
      </c>
      <c r="J206" s="3">
        <f>IF(C206="Técnico III","35",IF(C206="Técnico II","28",IF(C206="Técnico I","23",IF(C206="JR","20",IF(C206="Estágio","10",)))))</f>
        <v/>
      </c>
      <c r="K206" s="3">
        <f>I206-J206</f>
        <v/>
      </c>
      <c r="L206" s="3">
        <f>IF(K206&lt;-5,"CRÍTICO",IF(K206&lt;0,"ATENÇÃO",IF(K206&lt;=5,"BOM","EXCELENTE")))</f>
        <v/>
      </c>
      <c r="M206" t="n">
        <v>4</v>
      </c>
      <c r="N206" t="n">
        <v>95.52</v>
      </c>
      <c r="O206" t="n">
        <v>10.56105610561056</v>
      </c>
    </row>
    <row r="207" hidden="1">
      <c r="A207" s="5" t="n">
        <v>46150</v>
      </c>
      <c r="B207" s="6" t="inlineStr">
        <is>
          <t>Leandro de Souza Silva</t>
        </is>
      </c>
      <c r="C207" s="3" t="inlineStr">
        <is>
          <t>JR</t>
        </is>
      </c>
      <c r="D207" s="3" t="n">
        <v>11</v>
      </c>
      <c r="E207" s="3" t="n">
        <v>11</v>
      </c>
      <c r="G207" s="3" t="n">
        <v>4</v>
      </c>
      <c r="H207" s="3" t="n">
        <v>0</v>
      </c>
      <c r="I207" s="3">
        <f>E207+G207+H207</f>
        <v/>
      </c>
      <c r="J207" s="3">
        <f>IF(C207="Técnico III","35",IF(C207="Técnico II","28",IF(C207="Técnico I","23",IF(C207="JR","20",IF(C207="Estágio","10",)))))</f>
        <v/>
      </c>
      <c r="K207" s="3">
        <f>I207-J207</f>
        <v/>
      </c>
      <c r="L207" s="3">
        <f>IF(K207&lt;-5,"CRÍTICO",IF(K207&lt;0,"ATENÇÃO",IF(K207&lt;=5,"BOM","EXCELENTE")))</f>
        <v/>
      </c>
      <c r="M207" t="n">
        <v>14</v>
      </c>
      <c r="N207" t="n">
        <v>100</v>
      </c>
      <c r="O207" t="n">
        <v>16.95906432748538</v>
      </c>
    </row>
    <row r="208" hidden="1">
      <c r="A208" s="5" t="n">
        <v>46150</v>
      </c>
      <c r="B208" s="6" t="inlineStr">
        <is>
          <t>Leandro Oliveira de Sousa</t>
        </is>
      </c>
      <c r="C208" s="9" t="inlineStr">
        <is>
          <t>Técnico III</t>
        </is>
      </c>
      <c r="D208" s="3" t="n">
        <v>29</v>
      </c>
      <c r="E208" s="3" t="n">
        <v>28</v>
      </c>
      <c r="G208" s="3" t="n">
        <v>0</v>
      </c>
      <c r="H208" s="3" t="n">
        <v>0</v>
      </c>
      <c r="I208" s="3">
        <f>E208+G208+H208</f>
        <v/>
      </c>
      <c r="J208" s="3">
        <f>IF(C208="Técnico III","35",IF(C208="Técnico II","28",IF(C208="Técnico I","23",IF(C208="JR","20",IF(C208="Estágio","10",)))))</f>
        <v/>
      </c>
      <c r="K208" s="3">
        <f>I208-J208</f>
        <v/>
      </c>
      <c r="L208" s="3">
        <f>IF(K208&lt;-5,"CRÍTICO",IF(K208&lt;0,"ATENÇÃO",IF(K208&lt;=5,"BOM","EXCELENTE")))</f>
        <v/>
      </c>
      <c r="M208" t="n">
        <v>24</v>
      </c>
      <c r="N208" t="n">
        <v>100</v>
      </c>
      <c r="O208" t="n">
        <v>15.58441558441558</v>
      </c>
    </row>
    <row r="209" hidden="1">
      <c r="A209" s="5" t="n">
        <v>46150</v>
      </c>
      <c r="B209" s="6" t="inlineStr">
        <is>
          <t>Lizandra Gomes Duarte</t>
        </is>
      </c>
      <c r="C209" s="3" t="inlineStr">
        <is>
          <t>Técnico II</t>
        </is>
      </c>
      <c r="D209" s="3" t="n">
        <v>22</v>
      </c>
      <c r="E209" s="3" t="n">
        <v>18</v>
      </c>
      <c r="G209" s="3" t="n">
        <v>3</v>
      </c>
      <c r="H209" s="3" t="n">
        <v>0</v>
      </c>
      <c r="I209" s="3">
        <f>E209+G209+H209</f>
        <v/>
      </c>
      <c r="J209" s="3">
        <f>IF(C209="Técnico III","35",IF(C209="Técnico II","28",IF(C209="Técnico I","23",IF(C209="JR","20",IF(C209="Estágio","10",)))))</f>
        <v/>
      </c>
      <c r="K209" s="3">
        <f>I209-J209</f>
        <v/>
      </c>
      <c r="L209" s="3">
        <f>IF(K209&lt;-5,"CRÍTICO",IF(K209&lt;0,"ATENÇÃO",IF(K209&lt;=5,"BOM","EXCELENTE")))</f>
        <v/>
      </c>
      <c r="M209" t="n">
        <v>18</v>
      </c>
      <c r="N209" t="n">
        <v>98.61</v>
      </c>
      <c r="O209" t="n">
        <v>16.86746987951807</v>
      </c>
    </row>
    <row r="210" hidden="1">
      <c r="A210" s="5" t="n">
        <v>46150</v>
      </c>
      <c r="B210" s="6" t="inlineStr">
        <is>
          <t>Lorena Dias de Araujo</t>
        </is>
      </c>
      <c r="C210" s="3" t="inlineStr">
        <is>
          <t>Técnico II</t>
        </is>
      </c>
      <c r="D210" s="3" t="n">
        <v>26</v>
      </c>
      <c r="E210" s="3" t="n">
        <v>26</v>
      </c>
      <c r="G210" s="3" t="n">
        <v>0</v>
      </c>
      <c r="H210" s="3" t="n">
        <v>0</v>
      </c>
      <c r="I210" s="3">
        <f>E210+G210+H210</f>
        <v/>
      </c>
      <c r="J210" s="3">
        <f>IF(C210="Técnico III","35",IF(C210="Técnico II","28",IF(C210="Técnico I","23",IF(C210="JR","20",IF(C210="Estágio","10",)))))</f>
        <v/>
      </c>
      <c r="K210" s="3">
        <f>I210-J210</f>
        <v/>
      </c>
      <c r="L210" s="3">
        <f>IF(K210&lt;-5,"CRÍTICO",IF(K210&lt;0,"ATENÇÃO",IF(K210&lt;=5,"BOM","EXCELENTE")))</f>
        <v/>
      </c>
      <c r="M210" t="n">
        <v>21</v>
      </c>
      <c r="N210" t="n">
        <v>100</v>
      </c>
      <c r="O210" t="n">
        <v>20.82018927444795</v>
      </c>
    </row>
    <row r="211" hidden="1">
      <c r="A211" s="5" t="n">
        <v>46150</v>
      </c>
      <c r="B211" s="6" t="inlineStr">
        <is>
          <t>Lucas Luiz Romero</t>
        </is>
      </c>
      <c r="C211" s="3" t="inlineStr">
        <is>
          <t>Técnico III</t>
        </is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IF(K211&lt;-5,"CRÍTICO",IF(K211&lt;0,"ATENÇÃO",IF(K211&lt;=5,"BOM","EXCELENTE")))</f>
        <v/>
      </c>
      <c r="M211" t="n">
        <v>0</v>
      </c>
      <c r="N211" t="n">
        <v>100</v>
      </c>
      <c r="O211" t="n">
        <v>4.347826086956522</v>
      </c>
    </row>
    <row r="212" hidden="1">
      <c r="A212" s="5" t="n">
        <v>46150</v>
      </c>
      <c r="B212" s="6" t="inlineStr">
        <is>
          <t>Luiz Fernando de Carvalho Junior</t>
        </is>
      </c>
      <c r="C212" s="3" t="inlineStr">
        <is>
          <t>Técnico I</t>
        </is>
      </c>
      <c r="D212" s="3" t="n">
        <v>18</v>
      </c>
      <c r="E212" s="3" t="n">
        <v>17</v>
      </c>
      <c r="G212" s="3" t="n">
        <v>6</v>
      </c>
      <c r="H212" s="3" t="n">
        <v>0</v>
      </c>
      <c r="I212" s="3">
        <f>E212+G212+H212</f>
        <v/>
      </c>
      <c r="J212" s="3">
        <f>IF(C212="Técnico III","35",IF(C212="Técnico II","28",IF(C212="Técnico I","23",IF(C212="JR","20",IF(C212="Estágio","10",)))))</f>
        <v/>
      </c>
      <c r="K212" s="3">
        <f>I212-J212</f>
        <v/>
      </c>
      <c r="L212" s="3">
        <f>IF(K212&lt;-5,"CRÍTICO",IF(K212&lt;0,"ATENÇÃO",IF(K212&lt;=5,"BOM","EXCELENTE")))</f>
        <v/>
      </c>
      <c r="M212" t="n">
        <v>23</v>
      </c>
      <c r="N212" t="n">
        <v>93.26000000000001</v>
      </c>
      <c r="O212" t="n">
        <v>19.93957703927493</v>
      </c>
    </row>
    <row r="213" hidden="1">
      <c r="A213" s="5" t="n">
        <v>46150</v>
      </c>
      <c r="B213" s="6" t="inlineStr">
        <is>
          <t>Matheus Farias De Souza</t>
        </is>
      </c>
      <c r="C213" s="3" t="inlineStr">
        <is>
          <t>Técnico III</t>
        </is>
      </c>
      <c r="D213" s="3" t="n">
        <v>0</v>
      </c>
      <c r="E213" s="3" t="n">
        <v>0</v>
      </c>
      <c r="G213" s="3" t="n">
        <v>0</v>
      </c>
      <c r="H213" s="3" t="n">
        <v>31</v>
      </c>
      <c r="I213" s="3">
        <f>E213+G213+H213</f>
        <v/>
      </c>
      <c r="J213" s="3">
        <f>IF(C213="Técnico III","35",IF(C213="Técnico II","28",IF(C213="Técnico I","23",IF(C213="JR","20",IF(C213="Estágio","10",)))))</f>
        <v/>
      </c>
      <c r="K213" s="3">
        <f>I213-J213</f>
        <v/>
      </c>
      <c r="L213" s="3">
        <f>IF(K213&lt;-5,"CRÍTICO",IF(K213&lt;0,"ATENÇÃO",IF(K213&lt;=5,"BOM","EXCELENTE")))</f>
        <v/>
      </c>
      <c r="M213" t="n">
        <v>21</v>
      </c>
      <c r="N213" t="n">
        <v>98.28</v>
      </c>
      <c r="O213" t="n">
        <v>9.037900874635568</v>
      </c>
    </row>
    <row r="214" hidden="1">
      <c r="A214" s="5" t="n">
        <v>46150</v>
      </c>
      <c r="B214" s="6" t="inlineStr">
        <is>
          <t>Maysa Victoria Dias Moura</t>
        </is>
      </c>
      <c r="C214" s="3" t="inlineStr">
        <is>
          <t>Técnico III</t>
        </is>
      </c>
      <c r="D214" s="3" t="n">
        <v>30</v>
      </c>
      <c r="E214" s="3" t="n">
        <v>28</v>
      </c>
      <c r="G214" s="3" t="n">
        <v>1</v>
      </c>
      <c r="H214" s="3" t="n">
        <v>0</v>
      </c>
      <c r="I214" s="3">
        <f>E214+G214+H214</f>
        <v/>
      </c>
      <c r="J214" s="3">
        <f>IF(C214="Técnico III","35",IF(C214="Técnico II","28",IF(C214="Técnico I","23",IF(C214="JR","20",IF(C214="Estágio","10",)))))</f>
        <v/>
      </c>
      <c r="K214" s="3">
        <f>I214-J214</f>
        <v/>
      </c>
      <c r="L214" s="3">
        <f>IF(K214&lt;-5,"CRÍTICO",IF(K214&lt;0,"ATENÇÃO",IF(K214&lt;=5,"BOM","EXCELENTE")))</f>
        <v/>
      </c>
      <c r="M214" t="n">
        <v>23</v>
      </c>
      <c r="N214" t="n">
        <v>97.22</v>
      </c>
      <c r="O214" t="n">
        <v>19.09547738693467</v>
      </c>
    </row>
    <row r="215" hidden="1">
      <c r="A215" s="5" t="n">
        <v>46150</v>
      </c>
      <c r="B215" s="6" t="inlineStr">
        <is>
          <t>Milena Sales</t>
        </is>
      </c>
      <c r="C215" s="3" t="inlineStr">
        <is>
          <t>JR</t>
        </is>
      </c>
      <c r="D215" s="3" t="n">
        <v>53</v>
      </c>
      <c r="E215" s="3" t="n">
        <v>26</v>
      </c>
      <c r="G215" s="3" t="n">
        <v>0</v>
      </c>
      <c r="H215" s="3" t="n">
        <v>0</v>
      </c>
      <c r="I215" s="3">
        <f>E215+G215+H215</f>
        <v/>
      </c>
      <c r="J215" s="3">
        <f>IF(C215="Técnico III","35",IF(C215="Técnico II","28",IF(C215="Técnico I","23",IF(C215="JR","20",IF(C215="Estágio","10",)))))</f>
        <v/>
      </c>
      <c r="K215" s="3">
        <f>I215-J215</f>
        <v/>
      </c>
      <c r="L215" s="3">
        <f>IF(K215&lt;-5,"CRÍTICO",IF(K215&lt;0,"ATENÇÃO",IF(K215&lt;=5,"BOM","EXCELENTE")))</f>
        <v/>
      </c>
      <c r="M215" t="n">
        <v>20</v>
      </c>
      <c r="N215" t="n">
        <v>98</v>
      </c>
      <c r="O215" t="n">
        <v>16.43835616438356</v>
      </c>
    </row>
    <row r="216" hidden="1">
      <c r="A216" s="5" t="n">
        <v>46150</v>
      </c>
      <c r="B216" s="6" t="inlineStr">
        <is>
          <t>Patrícia Karla de Sousa Araújo</t>
        </is>
      </c>
      <c r="C216" s="3" t="inlineStr">
        <is>
          <t>Técnico II</t>
        </is>
      </c>
      <c r="D216" s="3" t="n">
        <v>19</v>
      </c>
      <c r="E216" s="3" t="n">
        <v>19</v>
      </c>
      <c r="G216" s="3" t="n">
        <v>0</v>
      </c>
      <c r="H216" s="3" t="n">
        <v>0</v>
      </c>
      <c r="I216" s="3">
        <f>E216+G216+H216</f>
        <v/>
      </c>
      <c r="J216" s="3">
        <f>IF(C216="Técnico III","35",IF(C216="Técnico II","28",IF(C216="Técnico I","23",IF(C216="JR","20",IF(C216="Estágio","10",)))))</f>
        <v/>
      </c>
      <c r="K216" s="3">
        <f>I216-J216</f>
        <v/>
      </c>
      <c r="L216" s="3">
        <f>IF(K216&lt;-5,"CRÍTICO",IF(K216&lt;0,"ATENÇÃO",IF(K216&lt;=5,"BOM","EXCELENTE")))</f>
        <v/>
      </c>
      <c r="M216" t="n">
        <v>17</v>
      </c>
      <c r="N216" t="n">
        <v>100</v>
      </c>
      <c r="O216" t="n">
        <v>16.89497716894977</v>
      </c>
    </row>
    <row r="217" hidden="1">
      <c r="A217" s="5" t="n">
        <v>46150</v>
      </c>
      <c r="B217" s="6" t="inlineStr">
        <is>
          <t>Paulo Ricardo Santos</t>
        </is>
      </c>
      <c r="C217" s="3" t="inlineStr">
        <is>
          <t>JR</t>
        </is>
      </c>
      <c r="D217" s="3" t="n">
        <v>14</v>
      </c>
      <c r="E217" s="3" t="n">
        <v>14</v>
      </c>
      <c r="G217" s="3" t="n">
        <v>0</v>
      </c>
      <c r="H217" s="3" t="n">
        <v>0</v>
      </c>
      <c r="I217" s="3">
        <f>E217+G217+H217</f>
        <v/>
      </c>
      <c r="J217" s="3">
        <f>IF(C217="Técnico III","35",IF(C217="Técnico II","28",IF(C217="Técnico I","23",IF(C217="JR","20",IF(C217="Estágio","10",)))))</f>
        <v/>
      </c>
      <c r="K217" s="3">
        <f>I217-J217</f>
        <v/>
      </c>
      <c r="L217" s="3">
        <f>IF(K217&lt;-5,"CRÍTICO",IF(K217&lt;0,"ATENÇÃO",IF(K217&lt;=5,"BOM","EXCELENTE")))</f>
        <v/>
      </c>
      <c r="M217" t="n">
        <v>14</v>
      </c>
      <c r="N217" t="n">
        <v>100</v>
      </c>
      <c r="O217" t="n">
        <v>19.13875598086124</v>
      </c>
    </row>
    <row r="218" hidden="1">
      <c r="A218" s="5" t="n">
        <v>46150</v>
      </c>
      <c r="B218" s="6" t="inlineStr">
        <is>
          <t>Pedro Luiz Mota Sousa</t>
        </is>
      </c>
      <c r="C218" s="3" t="inlineStr">
        <is>
          <t>JR</t>
        </is>
      </c>
      <c r="D218" s="3" t="n">
        <v>18</v>
      </c>
      <c r="E218" s="3" t="n">
        <v>17</v>
      </c>
      <c r="G218" s="3" t="n">
        <v>0</v>
      </c>
      <c r="H218" s="3" t="n">
        <v>0</v>
      </c>
      <c r="I218" s="3">
        <f>E218+G218+H218</f>
        <v/>
      </c>
      <c r="J218" s="3">
        <f>IF(C218="Técnico III","35",IF(C218="Técnico II","28",IF(C218="Técnico I","23",IF(C218="JR","20",IF(C218="Estágio","10",)))))</f>
        <v/>
      </c>
      <c r="K218" s="3">
        <f>I218-J218</f>
        <v/>
      </c>
      <c r="L218" s="3">
        <f>IF(K218&lt;-5,"CRÍTICO",IF(K218&lt;0,"ATENÇÃO",IF(K218&lt;=5,"BOM","EXCELENTE")))</f>
        <v/>
      </c>
      <c r="M218" t="n">
        <v>16</v>
      </c>
      <c r="N218" t="n">
        <v>100</v>
      </c>
      <c r="O218" t="n">
        <v>15.02145922746781</v>
      </c>
    </row>
    <row r="219" hidden="1">
      <c r="A219" s="5" t="n">
        <v>46150</v>
      </c>
      <c r="B219" s="6" t="inlineStr">
        <is>
          <t>Raane Batista Matos</t>
        </is>
      </c>
      <c r="C219" s="3" t="inlineStr">
        <is>
          <t>Técnico I</t>
        </is>
      </c>
      <c r="D219" s="3" t="n">
        <v>39</v>
      </c>
      <c r="E219" s="3" t="n">
        <v>34</v>
      </c>
      <c r="G219" s="3" t="n">
        <v>2</v>
      </c>
      <c r="H219" s="3" t="n">
        <v>0</v>
      </c>
      <c r="I219" s="3">
        <f>E219+G219+H219</f>
        <v/>
      </c>
      <c r="J219" s="3">
        <f>IF(C219="Técnico III","35",IF(C219="Técnico II","28",IF(C219="Técnico I","23",IF(C219="JR","20",IF(C219="Estágio","10",)))))</f>
        <v/>
      </c>
      <c r="K219" s="3">
        <f>I219-J219</f>
        <v/>
      </c>
      <c r="L219" s="3">
        <f>IF(K219&lt;-5,"CRÍTICO",IF(K219&lt;0,"ATENÇÃO",IF(K219&lt;=5,"BOM","EXCELENTE")))</f>
        <v/>
      </c>
      <c r="M219" t="n">
        <v>32</v>
      </c>
      <c r="N219" t="n">
        <v>97.56</v>
      </c>
      <c r="O219" t="n">
        <v>19.28783382789317</v>
      </c>
    </row>
    <row r="220" hidden="1">
      <c r="A220" s="5" t="n">
        <v>46150</v>
      </c>
      <c r="B220" s="6" t="inlineStr">
        <is>
          <t>Rafael Gomes de Morais</t>
        </is>
      </c>
      <c r="C220" s="3" t="inlineStr">
        <is>
          <t>Técnico III</t>
        </is>
      </c>
      <c r="D220" s="3" t="n">
        <v>44</v>
      </c>
      <c r="E220" s="3" t="n">
        <v>38</v>
      </c>
      <c r="G220" s="3" t="n">
        <v>0</v>
      </c>
      <c r="H220" s="3" t="n">
        <v>0</v>
      </c>
      <c r="I220" s="3">
        <f>E220+G220+H220</f>
        <v/>
      </c>
      <c r="J220" s="3">
        <f>IF(C220="Técnico III","35",IF(C220="Técnico II","28",IF(C220="Técnico I","23",IF(C220="JR","20",IF(C220="Estágio","10",)))))</f>
        <v/>
      </c>
      <c r="K220" s="3">
        <f>I220-J220</f>
        <v/>
      </c>
      <c r="L220" s="3">
        <f>IF(K220&lt;-5,"CRÍTICO",IF(K220&lt;0,"ATENÇÃO",IF(K220&lt;=5,"BOM","EXCELENTE")))</f>
        <v/>
      </c>
      <c r="M220" t="n">
        <v>26</v>
      </c>
      <c r="N220" t="n">
        <v>99.29000000000001</v>
      </c>
      <c r="O220" t="n">
        <v>22.49443207126949</v>
      </c>
    </row>
    <row r="221" hidden="1">
      <c r="A221" s="5" t="n">
        <v>46150</v>
      </c>
      <c r="B221" s="6" t="inlineStr">
        <is>
          <t>Sara Maria Monteiro Lopes</t>
        </is>
      </c>
      <c r="C221" s="3" t="inlineStr">
        <is>
          <t>Técnico I</t>
        </is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>
        <f>IF(K221&lt;-5,"CRÍTICO",IF(K221&lt;0,"ATENÇÃO",IF(K221&lt;=5,"BOM","EXCELENTE")))</f>
        <v/>
      </c>
      <c r="M221" t="n">
        <v>0</v>
      </c>
      <c r="N221" t="n">
        <v>100</v>
      </c>
      <c r="O221" t="n">
        <v>16.97247706422019</v>
      </c>
    </row>
    <row r="222" hidden="1">
      <c r="A222" s="5" t="n">
        <v>46150</v>
      </c>
      <c r="B222" s="6" t="inlineStr">
        <is>
          <t>Sarah Steffanie de Lima Borges</t>
        </is>
      </c>
      <c r="C222" s="3" t="inlineStr">
        <is>
          <t>Técnico III</t>
        </is>
      </c>
      <c r="D222" s="3" t="n">
        <v>22</v>
      </c>
      <c r="E222" s="3" t="n">
        <v>21</v>
      </c>
      <c r="G222" s="3" t="n">
        <v>5</v>
      </c>
      <c r="H222" s="3" t="n">
        <v>0</v>
      </c>
      <c r="I222" s="3">
        <f>E222+G222+H222</f>
        <v/>
      </c>
      <c r="J222" s="3">
        <f>IF(C222="Técnico III","35",IF(C222="Técnico II","28",IF(C222="Técnico I","23",IF(C222="JR","20",IF(C222="Estágio","10",)))))</f>
        <v/>
      </c>
      <c r="K222" s="3">
        <f>I222-J222</f>
        <v/>
      </c>
      <c r="L222" s="3">
        <f>IF(K222&lt;-5,"CRÍTICO",IF(K222&lt;0,"ATENÇÃO",IF(K222&lt;=5,"BOM","EXCELENTE")))</f>
        <v/>
      </c>
      <c r="M222" t="n">
        <v>25</v>
      </c>
      <c r="N222" t="n">
        <v>97.33</v>
      </c>
      <c r="O222" t="n">
        <v>15.80547112462006</v>
      </c>
    </row>
    <row r="223" hidden="1">
      <c r="A223" s="5" t="n">
        <v>46153</v>
      </c>
      <c r="B223" s="6" t="inlineStr">
        <is>
          <t>Alisson de Freitas Silva</t>
        </is>
      </c>
      <c r="C223" s="3" t="inlineStr">
        <is>
          <t>Técnico II</t>
        </is>
      </c>
      <c r="D223" s="3" t="n">
        <v>36</v>
      </c>
      <c r="E223" s="3" t="n">
        <v>29</v>
      </c>
      <c r="G223" s="3" t="n">
        <v>5</v>
      </c>
      <c r="I223" s="3">
        <f>E223+G223+H223</f>
        <v/>
      </c>
      <c r="J223" s="3">
        <f>IF(C223="Técnico III","35",IF(C223="Técnico II","28",IF(C223="Técnico I","23",IF(C223="JR","20",IF(C223="Estágio","10",)))))</f>
        <v/>
      </c>
      <c r="K223" s="3">
        <f>I223-J223</f>
        <v/>
      </c>
      <c r="L223" s="3">
        <f>IF(K223&lt;-5,"CRÍTICO",IF(K223&lt;0,"ATENÇÃO",IF(K223&lt;=5,"BOM","EXCELENTE")))</f>
        <v/>
      </c>
      <c r="M223" s="3" t="n">
        <v>18</v>
      </c>
      <c r="N223" s="3" t="n">
        <v>98.94</v>
      </c>
      <c r="O223" s="3" t="n">
        <v>19.61414790996785</v>
      </c>
    </row>
    <row r="224" hidden="1">
      <c r="A224" s="5" t="n">
        <v>46153</v>
      </c>
      <c r="B224" s="6" t="inlineStr">
        <is>
          <t>Amanda Moura Ferreira</t>
        </is>
      </c>
      <c r="C224" s="3" t="inlineStr">
        <is>
          <t>Técnico III</t>
        </is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>
        <f>IF(K224&lt;-5,"CRÍTICO",IF(K224&lt;0,"ATENÇÃO",IF(K224&lt;=5,"BOM","EXCELENTE")))</f>
        <v/>
      </c>
      <c r="M224" s="9" t="n">
        <v>0</v>
      </c>
      <c r="N224" s="9" t="n">
        <v>100</v>
      </c>
      <c r="O224" s="9" t="n">
        <v>0</v>
      </c>
    </row>
    <row r="225" hidden="1">
      <c r="A225" s="5" t="n">
        <v>46153</v>
      </c>
      <c r="B225" s="6" t="inlineStr">
        <is>
          <t>Ana Karollyne Souza Faria</t>
        </is>
      </c>
      <c r="C225" s="3" t="inlineStr">
        <is>
          <t>Técnico I</t>
        </is>
      </c>
      <c r="D225" s="3" t="n">
        <v>40</v>
      </c>
      <c r="E225" s="3" t="n">
        <v>38</v>
      </c>
      <c r="G225" s="3" t="n">
        <v>8</v>
      </c>
      <c r="I225" s="3">
        <f>E225+G225+H225</f>
        <v/>
      </c>
      <c r="J225" s="3">
        <f>IF(C225="Técnico III","35",IF(C225="Técnico II","28",IF(C225="Técnico I","23",IF(C225="JR","20",IF(C225="Estágio","10",)))))</f>
        <v/>
      </c>
      <c r="K225" s="3">
        <f>I225-J225</f>
        <v/>
      </c>
      <c r="L225" s="3">
        <f>IF(K225&lt;-5,"CRÍTICO",IF(K225&lt;0,"ATENÇÃO",IF(K225&lt;=5,"BOM","EXCELENTE")))</f>
        <v/>
      </c>
      <c r="M225" s="3" t="n">
        <v>38</v>
      </c>
      <c r="N225" s="3" t="n">
        <v>95.38</v>
      </c>
      <c r="O225" s="3" t="n">
        <v>21.5962441314554</v>
      </c>
    </row>
    <row r="226" hidden="1">
      <c r="A226" s="5" t="n">
        <v>46153</v>
      </c>
      <c r="B226" s="6" t="inlineStr">
        <is>
          <t>Ana Paula Da Luz Silva Aleixo</t>
        </is>
      </c>
      <c r="C226" s="9" t="inlineStr">
        <is>
          <t>Técnico III</t>
        </is>
      </c>
      <c r="D226" s="3" t="n">
        <v>18</v>
      </c>
      <c r="E226" s="3" t="n">
        <v>16</v>
      </c>
      <c r="I226" s="3">
        <f>E226+G226+H226</f>
        <v/>
      </c>
      <c r="J226" s="3">
        <f>IF(C226="Técnico III","35",IF(C226="Técnico II","28",IF(C226="Técnico I","23",IF(C226="JR","20",IF(C226="Estágio","10",)))))</f>
        <v/>
      </c>
      <c r="K226" s="3">
        <f>I226-J226</f>
        <v/>
      </c>
      <c r="L226" s="3">
        <f>IF(K226&lt;-5,"CRÍTICO",IF(K226&lt;0,"ATENÇÃO",IF(K226&lt;=5,"BOM","EXCELENTE")))</f>
        <v/>
      </c>
      <c r="M226" t="n">
        <v>13</v>
      </c>
      <c r="N226" t="n">
        <v>96.34</v>
      </c>
      <c r="O226" t="n">
        <v>17.57188498402556</v>
      </c>
    </row>
    <row r="227" hidden="1">
      <c r="A227" s="5" t="n">
        <v>46153</v>
      </c>
      <c r="B227" s="6" t="inlineStr">
        <is>
          <t>Brenda de Menezes Silva</t>
        </is>
      </c>
      <c r="C227" s="3" t="inlineStr">
        <is>
          <t>Técnico II</t>
        </is>
      </c>
      <c r="D227" s="3" t="n">
        <v>31</v>
      </c>
      <c r="E227" s="3" t="n">
        <v>29</v>
      </c>
      <c r="G227" s="3" t="n">
        <v>1</v>
      </c>
      <c r="I227" s="3">
        <f>E227+G227+H227</f>
        <v/>
      </c>
      <c r="J227" s="3">
        <f>IF(C227="Técnico III","35",IF(C227="Técnico II","28",IF(C227="Técnico I","23",IF(C227="JR","20",IF(C227="Estágio","10",)))))</f>
        <v/>
      </c>
      <c r="K227" s="3">
        <f>I227-J227</f>
        <v/>
      </c>
      <c r="L227" s="3">
        <f>IF(K227&lt;-5,"CRÍTICO",IF(K227&lt;0,"ATENÇÃO",IF(K227&lt;=5,"BOM","EXCELENTE")))</f>
        <v/>
      </c>
      <c r="M227" t="n">
        <v>30</v>
      </c>
      <c r="N227" t="n">
        <v>99.13</v>
      </c>
      <c r="O227" t="n">
        <v>14.7239263803681</v>
      </c>
    </row>
    <row r="228" hidden="1">
      <c r="A228" s="5" t="n">
        <v>46153</v>
      </c>
      <c r="B228" s="6" t="inlineStr">
        <is>
          <t>Carlos Mateus Cassimiro Nunes</t>
        </is>
      </c>
      <c r="C228" s="9" t="inlineStr">
        <is>
          <t>Técnico II</t>
        </is>
      </c>
      <c r="D228" s="3" t="n">
        <v>22</v>
      </c>
      <c r="E228" s="3" t="n">
        <v>22</v>
      </c>
      <c r="G228" s="3" t="n">
        <v>4</v>
      </c>
      <c r="I228" s="3">
        <f>E228+G228+H228</f>
        <v/>
      </c>
      <c r="J228" s="3">
        <f>IF(C228="Técnico III","35",IF(C228="Técnico II","28",IF(C228="Técnico I","23",IF(C228="JR","20",IF(C228="Estágio","10",)))))</f>
        <v/>
      </c>
      <c r="K228" s="3">
        <f>I228-J228</f>
        <v/>
      </c>
      <c r="L228" s="3">
        <f>IF(K228&lt;-5,"CRÍTICO",IF(K228&lt;0,"ATENÇÃO",IF(K228&lt;=5,"BOM","EXCELENTE")))</f>
        <v/>
      </c>
      <c r="M228" t="n">
        <v>26</v>
      </c>
      <c r="N228" t="n">
        <v>98.8</v>
      </c>
      <c r="O228" t="n">
        <v>16.89750692520776</v>
      </c>
    </row>
    <row r="229" hidden="1">
      <c r="A229" s="5" t="n">
        <v>46153</v>
      </c>
      <c r="B229" s="6" t="inlineStr">
        <is>
          <t>Clessiane Pereira dos Santos</t>
        </is>
      </c>
      <c r="C229" s="3" t="inlineStr">
        <is>
          <t>Técnico I</t>
        </is>
      </c>
      <c r="D229" s="3" t="n">
        <v>24</v>
      </c>
      <c r="E229" s="3" t="n">
        <v>23</v>
      </c>
      <c r="G229" s="3" t="n">
        <v>2</v>
      </c>
      <c r="I229" s="3">
        <f>E229+G229+H229</f>
        <v/>
      </c>
      <c r="J229" s="3">
        <f>IF(C229="Técnico III","35",IF(C229="Técnico II","28",IF(C229="Técnico I","23",IF(C229="JR","20",IF(C229="Estágio","10",)))))</f>
        <v/>
      </c>
      <c r="K229" s="3">
        <f>I229-J229</f>
        <v/>
      </c>
      <c r="L229" s="3">
        <f>IF(K229&lt;-5,"CRÍTICO",IF(K229&lt;0,"ATENÇÃO",IF(K229&lt;=5,"BOM","EXCELENTE")))</f>
        <v/>
      </c>
      <c r="M229" t="n">
        <v>21</v>
      </c>
      <c r="N229" t="n">
        <v>96.88</v>
      </c>
      <c r="O229" t="n">
        <v>19.52662721893491</v>
      </c>
    </row>
    <row r="230" hidden="1">
      <c r="A230" s="5" t="n">
        <v>46153</v>
      </c>
      <c r="B230" s="6" t="inlineStr">
        <is>
          <t>Cristiane Ramos da Silva Rocha</t>
        </is>
      </c>
      <c r="C230" s="3" t="inlineStr">
        <is>
          <t>Técnico III</t>
        </is>
      </c>
      <c r="D230" s="3" t="n">
        <v>35</v>
      </c>
      <c r="E230" s="3" t="n">
        <v>35</v>
      </c>
      <c r="I230" s="3">
        <f>E230+G230+H230</f>
        <v/>
      </c>
      <c r="J230" s="3">
        <f>IF(C230="Técnico III","35",IF(C230="Técnico II","28",IF(C230="Técnico I","23",IF(C230="JR","20",IF(C230="Estágio","10",)))))</f>
        <v/>
      </c>
      <c r="K230" s="3">
        <f>I230-J230</f>
        <v/>
      </c>
      <c r="L230" s="3">
        <f>IF(K230&lt;-5,"CRÍTICO",IF(K230&lt;0,"ATENÇÃO",IF(K230&lt;=5,"BOM","EXCELENTE")))</f>
        <v/>
      </c>
      <c r="M230" t="n">
        <v>31</v>
      </c>
      <c r="N230" t="n">
        <v>91.84999999999999</v>
      </c>
      <c r="O230" t="n">
        <v>20.87155963302752</v>
      </c>
    </row>
    <row r="231" hidden="1">
      <c r="A231" s="5" t="n">
        <v>46153</v>
      </c>
      <c r="B231" s="6" t="inlineStr">
        <is>
          <t>Damyllis Lorraine de Oliveira Gonçalves</t>
        </is>
      </c>
      <c r="C231" s="3" t="inlineStr">
        <is>
          <t>Técnico II</t>
        </is>
      </c>
      <c r="D231" s="3" t="n">
        <v>30</v>
      </c>
      <c r="E231" s="3" t="n">
        <v>27</v>
      </c>
      <c r="G231" s="3" t="n">
        <v>4</v>
      </c>
      <c r="I231" s="3">
        <f>E231+G231+H231</f>
        <v/>
      </c>
      <c r="J231" s="3">
        <f>IF(C231="Técnico III","35",IF(C231="Técnico II","28",IF(C231="Técnico I","23",IF(C231="JR","20",IF(C231="Estágio","10",)))))</f>
        <v/>
      </c>
      <c r="K231" s="3">
        <f>I231-J231</f>
        <v/>
      </c>
      <c r="L231" s="3">
        <f>IF(K231&lt;-5,"CRÍTICO",IF(K231&lt;0,"ATENÇÃO",IF(K231&lt;=5,"BOM","EXCELENTE")))</f>
        <v/>
      </c>
      <c r="M231" t="n">
        <v>22</v>
      </c>
      <c r="N231" t="n">
        <v>98.63</v>
      </c>
      <c r="O231" t="n">
        <v>18.75</v>
      </c>
    </row>
    <row r="232" hidden="1">
      <c r="A232" s="5" t="n">
        <v>46153</v>
      </c>
      <c r="B232" s="6" t="inlineStr">
        <is>
          <t>Daniel Gomes da Silva</t>
        </is>
      </c>
      <c r="C232" s="3" t="inlineStr">
        <is>
          <t>Técnico I</t>
        </is>
      </c>
      <c r="D232" s="3" t="n">
        <v>24</v>
      </c>
      <c r="E232" s="3" t="n">
        <v>20</v>
      </c>
      <c r="G232" s="3" t="n">
        <v>2</v>
      </c>
      <c r="I232" s="3">
        <f>E232+G232+H232</f>
        <v/>
      </c>
      <c r="J232" s="3">
        <f>IF(C232="Técnico III","35",IF(C232="Técnico II","28",IF(C232="Técnico I","23",IF(C232="JR","20",IF(C232="Estágio","10",)))))</f>
        <v/>
      </c>
      <c r="K232" s="3">
        <f>I232-J232</f>
        <v/>
      </c>
      <c r="L232" s="3">
        <f>IF(K232&lt;-5,"CRÍTICO",IF(K232&lt;0,"ATENÇÃO",IF(K232&lt;=5,"BOM","EXCELENTE")))</f>
        <v/>
      </c>
      <c r="M232" t="n">
        <v>19</v>
      </c>
      <c r="N232" t="n">
        <v>100</v>
      </c>
      <c r="O232" t="n">
        <v>18.14516129032258</v>
      </c>
    </row>
    <row r="233" hidden="1">
      <c r="A233" s="5" t="n">
        <v>46153</v>
      </c>
      <c r="B233" s="6" t="inlineStr">
        <is>
          <t>Davylla Rodrigues Freitas Silva</t>
        </is>
      </c>
      <c r="C233" s="9" t="inlineStr">
        <is>
          <t>Técnico III</t>
        </is>
      </c>
      <c r="D233" s="3" t="n">
        <v>25</v>
      </c>
      <c r="E233" s="3" t="n">
        <v>25</v>
      </c>
      <c r="I233" s="3">
        <f>E233+G233+H233</f>
        <v/>
      </c>
      <c r="J233" s="3">
        <f>IF(C233="Técnico III","35",IF(C233="Técnico II","28",IF(C233="Técnico I","23",IF(C233="JR","20",IF(C233="Estágio","10",)))))</f>
        <v/>
      </c>
      <c r="K233" s="3">
        <f>I233-J233</f>
        <v/>
      </c>
      <c r="L233" s="3">
        <f>IF(K233&lt;-5,"CRÍTICO",IF(K233&lt;0,"ATENÇÃO",IF(K233&lt;=5,"BOM","EXCELENTE")))</f>
        <v/>
      </c>
      <c r="M233" t="n">
        <v>25</v>
      </c>
      <c r="N233" t="n">
        <v>99.06</v>
      </c>
      <c r="O233" t="n">
        <v>22.95719844357977</v>
      </c>
    </row>
    <row r="234" hidden="1">
      <c r="A234" s="5" t="n">
        <v>46153</v>
      </c>
      <c r="B234" s="6" t="inlineStr">
        <is>
          <t>Anna Luiza Rezende Tavares</t>
        </is>
      </c>
      <c r="C234" s="3" t="inlineStr">
        <is>
          <t>Estágio</t>
        </is>
      </c>
      <c r="D234" s="3" t="n">
        <v>32</v>
      </c>
      <c r="E234" s="3" t="n">
        <v>32</v>
      </c>
      <c r="G234" s="3" t="n">
        <v>0</v>
      </c>
      <c r="H234" s="3" t="n">
        <v>0</v>
      </c>
      <c r="I234" s="3">
        <f>E234+G234+H234</f>
        <v/>
      </c>
      <c r="J234" s="3">
        <f>IF(C234="Técnico III","35",IF(C234="Técnico II","28",IF(C234="Técnico I","23",IF(C234="JR","20",IF(C234="Estágio","10",)))))</f>
        <v/>
      </c>
      <c r="K234" s="3">
        <f>I234-J234</f>
        <v/>
      </c>
      <c r="L234" s="3">
        <f>IF(K234&lt;-5,"CRÍTICO",IF(K234&lt;0,"ATENÇÃO",IF(K234&lt;=5,"BOM","EXCELENTE")))</f>
        <v/>
      </c>
      <c r="M234" t="n">
        <v>29</v>
      </c>
      <c r="N234" t="n">
        <v>99.11</v>
      </c>
      <c r="O234" t="n">
        <v>17.72151898734177</v>
      </c>
    </row>
    <row r="235" hidden="1">
      <c r="A235" s="5" t="n">
        <v>46153</v>
      </c>
      <c r="B235" s="6" t="inlineStr">
        <is>
          <t>Claudio de Sousa Velasco Filho</t>
        </is>
      </c>
      <c r="C235" s="3" t="inlineStr">
        <is>
          <t>Estágio</t>
        </is>
      </c>
      <c r="D235" s="3" t="n">
        <v>1</v>
      </c>
      <c r="E235" s="3" t="n">
        <v>1</v>
      </c>
      <c r="I235" s="3">
        <f>E235+G235+H235</f>
        <v/>
      </c>
      <c r="J235" s="3">
        <f>IF(C235="Técnico III","35",IF(C235="Técnico II","28",IF(C235="Técnico I","23",IF(C235="JR","20",IF(C235="Estágio","10",)))))</f>
        <v/>
      </c>
      <c r="K235" s="3">
        <f>I235-J235</f>
        <v/>
      </c>
      <c r="L235" s="3">
        <f>IF(K235&lt;-5,"CRÍTICO",IF(K235&lt;0,"ATENÇÃO",IF(K235&lt;=5,"BOM","EXCELENTE")))</f>
        <v/>
      </c>
      <c r="M235" t="n">
        <v>1</v>
      </c>
      <c r="N235" t="n">
        <v>96.43000000000001</v>
      </c>
      <c r="O235" t="n">
        <v>20</v>
      </c>
    </row>
    <row r="236" hidden="1">
      <c r="A236" s="5" t="n">
        <v>46153</v>
      </c>
      <c r="B236" s="6" t="inlineStr">
        <is>
          <t>Emilly Caylane Costa</t>
        </is>
      </c>
      <c r="C236" s="3" t="inlineStr">
        <is>
          <t>Estágio</t>
        </is>
      </c>
      <c r="D236" s="3" t="n">
        <v>8</v>
      </c>
      <c r="E236" s="3" t="n">
        <v>5</v>
      </c>
      <c r="I236" s="3">
        <f>E236+G236+H236</f>
        <v/>
      </c>
      <c r="J236" s="3">
        <f>IF(C236="Técnico III","35",IF(C236="Técnico II","28",IF(C236="Técnico I","23",IF(C236="JR","20",IF(C236="Estágio","10",)))))</f>
        <v/>
      </c>
      <c r="K236" s="3">
        <f>I236-J236</f>
        <v/>
      </c>
      <c r="L236" s="3">
        <f>IF(K236&lt;-5,"CRÍTICO",IF(K236&lt;0,"ATENÇÃO",IF(K236&lt;=5,"BOM","EXCELENTE")))</f>
        <v/>
      </c>
      <c r="M236" t="n">
        <v>2</v>
      </c>
      <c r="N236" t="n">
        <v>100</v>
      </c>
      <c r="O236" t="n">
        <v>29.03225806451613</v>
      </c>
    </row>
    <row r="237" hidden="1">
      <c r="A237" s="5" t="n">
        <v>46153</v>
      </c>
      <c r="B237" s="6" t="inlineStr">
        <is>
          <t>Emilly Kamilly Medeiros Miranda</t>
        </is>
      </c>
      <c r="C237" s="3" t="inlineStr">
        <is>
          <t>Técnico II</t>
        </is>
      </c>
      <c r="D237" s="3" t="n">
        <v>28</v>
      </c>
      <c r="E237" s="3" t="n">
        <v>27</v>
      </c>
      <c r="G237" s="3" t="n">
        <v>4</v>
      </c>
      <c r="I237" s="3">
        <f>E237+G237+H237</f>
        <v/>
      </c>
      <c r="J237" s="3">
        <f>IF(C237="Técnico III","35",IF(C237="Técnico II","28",IF(C237="Técnico I","23",IF(C237="JR","20",IF(C237="Estágio","10",)))))</f>
        <v/>
      </c>
      <c r="K237" s="3">
        <f>I237-J237</f>
        <v/>
      </c>
      <c r="L237" s="3">
        <f>IF(K237&lt;-5,"CRÍTICO",IF(K237&lt;0,"ATENÇÃO",IF(K237&lt;=5,"BOM","EXCELENTE")))</f>
        <v/>
      </c>
      <c r="M237" t="n">
        <v>27</v>
      </c>
      <c r="N237" t="n">
        <v>100</v>
      </c>
      <c r="O237" t="n">
        <v>13.8121546961326</v>
      </c>
    </row>
    <row r="238" hidden="1">
      <c r="A238" s="5" t="n">
        <v>46153</v>
      </c>
      <c r="B238" s="6" t="inlineStr">
        <is>
          <t>Francielson de Oliveira</t>
        </is>
      </c>
      <c r="C238" s="9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IF(K238&lt;-5,"CRÍTICO",IF(K238&lt;0,"ATENÇÃO",IF(K238&lt;=5,"BOM","EXCELENTE")))</f>
        <v/>
      </c>
      <c r="M238" t="n">
        <v>0</v>
      </c>
      <c r="N238" t="n">
        <v>100</v>
      </c>
      <c r="O238" t="n">
        <v>9.523809523809524</v>
      </c>
    </row>
    <row r="239" hidden="1">
      <c r="A239" s="5" t="n">
        <v>46153</v>
      </c>
      <c r="B239" s="6" t="inlineStr">
        <is>
          <t>Francilene Ferreira de Jesus</t>
        </is>
      </c>
      <c r="C239" s="3" t="inlineStr">
        <is>
          <t>Técnico 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IF(K239&lt;-5,"CRÍTICO",IF(K239&lt;0,"ATENÇÃO",IF(K239&lt;=5,"BOM","EXCELENTE")))</f>
        <v/>
      </c>
      <c r="M239" t="n">
        <v>0</v>
      </c>
      <c r="N239" t="n">
        <v>100</v>
      </c>
      <c r="O239" t="n">
        <v>17.24137931034483</v>
      </c>
    </row>
    <row r="240" hidden="1">
      <c r="A240" s="5" t="n">
        <v>46153</v>
      </c>
      <c r="B240" s="6" t="inlineStr">
        <is>
          <t>Maria Eduarda Sousa Costa</t>
        </is>
      </c>
      <c r="C240" s="3" t="inlineStr">
        <is>
          <t>Estágio</t>
        </is>
      </c>
      <c r="D240" s="3" t="n">
        <v>52</v>
      </c>
      <c r="E240" s="3" t="n">
        <v>32</v>
      </c>
      <c r="G240" s="3" t="n">
        <v>0</v>
      </c>
      <c r="H240" s="3" t="n">
        <v>0</v>
      </c>
      <c r="I240" s="3">
        <f>E240+G240+H240</f>
        <v/>
      </c>
      <c r="J240" s="3">
        <f>IF(C240="Técnico III","35",IF(C240="Técnico II","28",IF(C240="Técnico I","23",IF(C240="JR","20",IF(C240="Estágio","10",)))))</f>
        <v/>
      </c>
      <c r="K240" s="3">
        <f>I240-J240</f>
        <v/>
      </c>
      <c r="L240" s="3">
        <f>IF(K240&lt;-5,"CRÍTICO",IF(K240&lt;0,"ATENÇÃO",IF(K240&lt;=5,"BOM","EXCELENTE")))</f>
        <v/>
      </c>
      <c r="M240" t="n">
        <v>4</v>
      </c>
      <c r="N240" t="n">
        <v>100</v>
      </c>
      <c r="O240" t="n">
        <v>11.86440677966102</v>
      </c>
    </row>
    <row r="241" hidden="1">
      <c r="A241" s="5" t="n">
        <v>46153</v>
      </c>
      <c r="B241" s="6" t="inlineStr">
        <is>
          <t>Michelle G Santos</t>
        </is>
      </c>
      <c r="C241" s="3" t="inlineStr">
        <is>
          <t>Estágio</t>
        </is>
      </c>
      <c r="D241" s="3" t="n">
        <v>7</v>
      </c>
      <c r="E241" s="3" t="n">
        <v>7</v>
      </c>
      <c r="I241" s="3">
        <f>E241+G241+H241</f>
        <v/>
      </c>
      <c r="J241" s="3">
        <f>IF(C241="Técnico III","35",IF(C241="Técnico II","28",IF(C241="Técnico I","23",IF(C241="JR","20",IF(C241="Estágio","10",)))))</f>
        <v/>
      </c>
      <c r="K241" s="3">
        <f>I241-J241</f>
        <v/>
      </c>
      <c r="L241" s="3">
        <f>IF(K241&lt;-5,"CRÍTICO",IF(K241&lt;0,"ATENÇÃO",IF(K241&lt;=5,"BOM","EXCELENTE")))</f>
        <v/>
      </c>
      <c r="M241" t="n">
        <v>4</v>
      </c>
      <c r="N241" t="n">
        <v>100</v>
      </c>
      <c r="O241" t="n">
        <v>16.8141592920354</v>
      </c>
    </row>
    <row r="242" hidden="1">
      <c r="A242" s="5" t="n">
        <v>46153</v>
      </c>
      <c r="B242" s="6" t="inlineStr">
        <is>
          <t>Quirino Diogo Leite Torres</t>
        </is>
      </c>
      <c r="C242" s="3" t="inlineStr">
        <is>
          <t>Estágio</t>
        </is>
      </c>
      <c r="D242" s="3" t="n">
        <v>16</v>
      </c>
      <c r="E242" s="3" t="n">
        <v>16</v>
      </c>
      <c r="I242" s="3">
        <f>E242+G242+H242</f>
        <v/>
      </c>
      <c r="J242" s="3">
        <f>IF(C242="Técnico III","35",IF(C242="Técnico II","28",IF(C242="Técnico I","23",IF(C242="JR","20",IF(C242="Estágio","10",)))))</f>
        <v/>
      </c>
      <c r="K242" s="3">
        <f>I242-J242</f>
        <v/>
      </c>
      <c r="L242" s="3">
        <f>IF(K242&lt;-5,"CRÍTICO",IF(K242&lt;0,"ATENÇÃO",IF(K242&lt;=5,"BOM","EXCELENTE")))</f>
        <v/>
      </c>
      <c r="M242" t="n">
        <v>15</v>
      </c>
      <c r="N242" t="n">
        <v>98.11</v>
      </c>
      <c r="O242" t="n">
        <v>20.40816326530612</v>
      </c>
    </row>
    <row r="243" hidden="1">
      <c r="A243" s="5" t="n">
        <v>46153</v>
      </c>
      <c r="B243" s="6" t="inlineStr">
        <is>
          <t>Gabriel Gomes de Andrade</t>
        </is>
      </c>
      <c r="C243" s="3" t="inlineStr">
        <is>
          <t>Técnico I</t>
        </is>
      </c>
      <c r="D243" s="3" t="n">
        <v>25</v>
      </c>
      <c r="E243" s="3" t="n">
        <v>22</v>
      </c>
      <c r="G243" s="3" t="n">
        <v>5</v>
      </c>
      <c r="I243" s="3">
        <f>E243+G243+H243</f>
        <v/>
      </c>
      <c r="J243" s="3">
        <f>IF(C243="Técnico III","35",IF(C243="Técnico II","28",IF(C243="Técnico I","23",IF(C243="JR","20",IF(C243="Estágio","10",)))))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23</v>
      </c>
      <c r="N243" t="n">
        <v>98.8</v>
      </c>
      <c r="O243" t="n">
        <v>15.41353383458646</v>
      </c>
    </row>
    <row r="244" hidden="1">
      <c r="A244" s="5" t="n">
        <v>46153</v>
      </c>
      <c r="B244" s="6" t="inlineStr">
        <is>
          <t>Isabella Borges de Oliveira</t>
        </is>
      </c>
      <c r="C244" s="9" t="inlineStr">
        <is>
          <t>Técnico II</t>
        </is>
      </c>
      <c r="D244" s="3" t="n">
        <v>26</v>
      </c>
      <c r="E244" s="3" t="n">
        <v>24</v>
      </c>
      <c r="I244" s="3">
        <f>E244+G244+H244</f>
        <v/>
      </c>
      <c r="J244" s="3">
        <f>IF(C244="Técnico III","35",IF(C244="Técnico II","28",IF(C244="Técnico I","23",IF(C244="JR","20",IF(C244="Estágio","10",)))))</f>
        <v/>
      </c>
      <c r="K244" s="3">
        <f>I244-J244</f>
        <v/>
      </c>
      <c r="L244" s="3">
        <f>IF(K244&lt;-5,"CRÍTICO",IF(K244&lt;0,"ATENÇÃO",IF(K244&lt;=5,"BOM","EXCELENTE")))</f>
        <v/>
      </c>
      <c r="M244" t="n">
        <v>23</v>
      </c>
      <c r="N244" t="n">
        <v>98.63</v>
      </c>
      <c r="O244" t="n">
        <v>15.75757575757576</v>
      </c>
    </row>
    <row r="245" hidden="1">
      <c r="A245" s="5" t="n">
        <v>46153</v>
      </c>
      <c r="B245" s="6" t="inlineStr">
        <is>
          <t>Janaina Lima dos Reis Urany</t>
        </is>
      </c>
      <c r="C245" s="3" t="inlineStr">
        <is>
          <t>Técnico III</t>
        </is>
      </c>
      <c r="D245" s="3" t="n">
        <v>53</v>
      </c>
      <c r="E245" s="3" t="n">
        <v>46</v>
      </c>
      <c r="G245" s="3" t="n">
        <v>3</v>
      </c>
      <c r="I245" s="3">
        <f>E245+G245+H245</f>
        <v/>
      </c>
      <c r="J245" s="3">
        <f>IF(C245="Técnico III","35",IF(C245="Técnico II","28",IF(C245="Técnico I","23",IF(C245="JR","20",IF(C245="Estágio","10",)))))</f>
        <v/>
      </c>
      <c r="K245" s="3">
        <f>I245-J245</f>
        <v/>
      </c>
      <c r="L245" s="3">
        <f>IF(K245&lt;-5,"CRÍTICO",IF(K245&lt;0,"ATENÇÃO",IF(K245&lt;=5,"BOM","EXCELENTE")))</f>
        <v/>
      </c>
      <c r="M245" t="n">
        <v>44</v>
      </c>
      <c r="N245" t="n">
        <v>98.64</v>
      </c>
      <c r="O245" t="n">
        <v>16.6383701188455</v>
      </c>
    </row>
    <row r="246" hidden="1">
      <c r="A246" s="5" t="n">
        <v>46153</v>
      </c>
      <c r="B246" s="6" t="inlineStr">
        <is>
          <t>Jaqueline Evangelista da Silva Martins</t>
        </is>
      </c>
      <c r="C246" s="3" t="inlineStr">
        <is>
          <t>Técnico III</t>
        </is>
      </c>
      <c r="D246" s="3" t="n">
        <v>22</v>
      </c>
      <c r="E246" s="3" t="n">
        <v>20</v>
      </c>
      <c r="G246" s="3" t="n">
        <v>4</v>
      </c>
      <c r="I246" s="3">
        <f>E246+G246+H246</f>
        <v/>
      </c>
      <c r="J246" s="3">
        <f>IF(C246="Técnico III","35",IF(C246="Técnico II","28",IF(C246="Técnico I","23",IF(C246="JR","20",IF(C246="Estágio","10",)))))</f>
        <v/>
      </c>
      <c r="K246" s="3">
        <f>I246-J246</f>
        <v/>
      </c>
      <c r="L246" s="3">
        <f>IF(K246&lt;-5,"CRÍTICO",IF(K246&lt;0,"ATENÇÃO",IF(K246&lt;=5,"BOM","EXCELENTE")))</f>
        <v/>
      </c>
      <c r="M246" t="n">
        <v>17</v>
      </c>
      <c r="N246" t="n">
        <v>95.40000000000001</v>
      </c>
      <c r="O246" t="n">
        <v>20.53333333333333</v>
      </c>
    </row>
    <row r="247" hidden="1">
      <c r="A247" s="5" t="n">
        <v>46153</v>
      </c>
      <c r="B247" s="6" t="inlineStr">
        <is>
          <t>Jessica Faria da Silveira</t>
        </is>
      </c>
      <c r="C247" s="3" t="inlineStr">
        <is>
          <t>Técnico II</t>
        </is>
      </c>
      <c r="D247" s="3" t="n">
        <v>39</v>
      </c>
      <c r="E247" s="3" t="n">
        <v>31</v>
      </c>
      <c r="G247" s="3" t="n">
        <v>1</v>
      </c>
      <c r="I247" s="3">
        <f>E247+G247+H247</f>
        <v/>
      </c>
      <c r="J247" s="3">
        <f>IF(C247="Técnico III","35",IF(C247="Técnico II","28",IF(C247="Técnico I","23",IF(C247="JR","20",IF(C247="Estágio","10",)))))</f>
        <v/>
      </c>
      <c r="K247" s="3">
        <f>I247-J247</f>
        <v/>
      </c>
      <c r="L247" s="3">
        <f>IF(K247&lt;-5,"CRÍTICO",IF(K247&lt;0,"ATENÇÃO",IF(K247&lt;=5,"BOM","EXCELENTE")))</f>
        <v/>
      </c>
      <c r="M247" t="n">
        <v>25</v>
      </c>
      <c r="N247" t="n">
        <v>98.61</v>
      </c>
      <c r="O247" t="n">
        <v>16.97530864197531</v>
      </c>
    </row>
    <row r="248" hidden="1">
      <c r="A248" s="5" t="n">
        <v>46153</v>
      </c>
      <c r="B248" s="6" t="inlineStr">
        <is>
          <t>Jéssica Fé Moura</t>
        </is>
      </c>
      <c r="C248" s="3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IF(K248&lt;-5,"CRÍTICO",IF(K248&lt;0,"ATENÇÃO",IF(K248&lt;=5,"BOM","EXCELENTE")))</f>
        <v/>
      </c>
      <c r="M248" t="n">
        <v>0</v>
      </c>
      <c r="N248" t="n">
        <v>0</v>
      </c>
      <c r="O248" t="n">
        <v>0</v>
      </c>
    </row>
    <row r="249" hidden="1">
      <c r="A249" s="5" t="n">
        <v>46153</v>
      </c>
      <c r="B249" s="6" t="inlineStr">
        <is>
          <t>Karina Gonçalves Martins</t>
        </is>
      </c>
      <c r="C249" s="3" t="inlineStr">
        <is>
          <t>JR</t>
        </is>
      </c>
      <c r="D249" s="3" t="n">
        <v>17</v>
      </c>
      <c r="E249" s="3" t="n">
        <v>17</v>
      </c>
      <c r="G249" s="3" t="n">
        <v>2</v>
      </c>
      <c r="I249" s="3">
        <f>E249+G249+H249</f>
        <v/>
      </c>
      <c r="J249" s="3">
        <f>IF(C249="Técnico III","35",IF(C249="Técnico II","28",IF(C249="Técnico I","23",IF(C249="JR","20",IF(C249="Estágio","10",)))))</f>
        <v/>
      </c>
      <c r="K249" s="3">
        <f>I249-J249</f>
        <v/>
      </c>
      <c r="L249" s="3">
        <f>IF(K249&lt;-5,"CRÍTICO",IF(K249&lt;0,"ATENÇÃO",IF(K249&lt;=5,"BOM","EXCELENTE")))</f>
        <v/>
      </c>
      <c r="M249" t="n">
        <v>18</v>
      </c>
      <c r="N249" t="n">
        <v>97.01000000000001</v>
      </c>
      <c r="O249" t="n">
        <v>13.96103896103896</v>
      </c>
    </row>
    <row r="250" hidden="1">
      <c r="A250" s="5" t="n">
        <v>46153</v>
      </c>
      <c r="B250" s="6" t="inlineStr">
        <is>
          <t>Kerollen Cristielly de Jesus Siqueira</t>
        </is>
      </c>
      <c r="C250" s="9" t="inlineStr">
        <is>
          <t>Técnico III</t>
        </is>
      </c>
      <c r="D250" s="3" t="n">
        <v>24</v>
      </c>
      <c r="E250" s="3" t="n">
        <v>23</v>
      </c>
      <c r="G250" s="3" t="n">
        <v>1</v>
      </c>
      <c r="I250" s="3">
        <f>E250+G250+H250</f>
        <v/>
      </c>
      <c r="J250" s="3">
        <f>IF(C250="Técnico III","35",IF(C250="Técnico II","28",IF(C250="Técnico I","23",IF(C250="JR","20",IF(C250="Estágio","10",)))))</f>
        <v/>
      </c>
      <c r="K250" s="3">
        <f>I250-J250</f>
        <v/>
      </c>
      <c r="L250" s="3">
        <f>IF(K250&lt;-5,"CRÍTICO",IF(K250&lt;0,"ATENÇÃO",IF(K250&lt;=5,"BOM","EXCELENTE")))</f>
        <v/>
      </c>
      <c r="M250" t="n">
        <v>23</v>
      </c>
      <c r="N250" t="n">
        <v>95.52</v>
      </c>
      <c r="O250" t="n">
        <v>10.56105610561056</v>
      </c>
    </row>
    <row r="251" hidden="1">
      <c r="A251" s="5" t="n">
        <v>46153</v>
      </c>
      <c r="B251" s="6" t="inlineStr">
        <is>
          <t>Leandro de Souza Silva</t>
        </is>
      </c>
      <c r="C251" s="3" t="inlineStr">
        <is>
          <t>JR</t>
        </is>
      </c>
      <c r="D251" s="3" t="n">
        <v>12</v>
      </c>
      <c r="E251" s="3" t="n">
        <v>11</v>
      </c>
      <c r="G251" s="3" t="n">
        <v>1</v>
      </c>
      <c r="I251" s="3">
        <f>E251+G251+H251</f>
        <v/>
      </c>
      <c r="J251" s="3">
        <f>IF(C251="Técnico III","35",IF(C251="Técnico II","28",IF(C251="Técnico I","23",IF(C251="JR","20",IF(C251="Estágio","10",)))))</f>
        <v/>
      </c>
      <c r="K251" s="3">
        <f>I251-J251</f>
        <v/>
      </c>
      <c r="L251" s="3">
        <f>IF(K251&lt;-5,"CRÍTICO",IF(K251&lt;0,"ATENÇÃO",IF(K251&lt;=5,"BOM","EXCELENTE")))</f>
        <v/>
      </c>
      <c r="M251" t="n">
        <v>11</v>
      </c>
      <c r="N251" t="n">
        <v>100</v>
      </c>
      <c r="O251" t="n">
        <v>16.95906432748538</v>
      </c>
    </row>
    <row r="252" hidden="1">
      <c r="A252" s="5" t="n">
        <v>46153</v>
      </c>
      <c r="B252" s="6" t="inlineStr">
        <is>
          <t>Leandro Oliveira de Sousa</t>
        </is>
      </c>
      <c r="C252" s="9" t="inlineStr">
        <is>
          <t>Técnico III</t>
        </is>
      </c>
      <c r="D252" s="3" t="n">
        <v>31</v>
      </c>
      <c r="E252" s="3" t="n">
        <v>29</v>
      </c>
      <c r="G252" s="3" t="n">
        <v>0</v>
      </c>
      <c r="I252" s="3">
        <f>E252+G252+H252</f>
        <v/>
      </c>
      <c r="J252" s="3">
        <f>IF(C252="Técnico III","35",IF(C252="Técnico II","28",IF(C252="Técnico I","23",IF(C252="JR","20",IF(C252="Estágio","10",)))))</f>
        <v/>
      </c>
      <c r="K252" s="3">
        <f>I252-J252</f>
        <v/>
      </c>
      <c r="L252" s="3">
        <f>IF(K252&lt;-5,"CRÍTICO",IF(K252&lt;0,"ATENÇÃO",IF(K252&lt;=5,"BOM","EXCELENTE")))</f>
        <v/>
      </c>
      <c r="M252" t="n">
        <v>29</v>
      </c>
      <c r="N252" t="n">
        <v>100</v>
      </c>
      <c r="O252" t="n">
        <v>15.58441558441558</v>
      </c>
    </row>
    <row r="253" hidden="1">
      <c r="A253" s="5" t="n">
        <v>46153</v>
      </c>
      <c r="B253" s="6" t="inlineStr">
        <is>
          <t>Lizandra Gomes Duarte</t>
        </is>
      </c>
      <c r="C253" s="3" t="inlineStr">
        <is>
          <t>Técnico II</t>
        </is>
      </c>
      <c r="D253" s="3" t="n">
        <v>25</v>
      </c>
      <c r="E253" s="3" t="n">
        <v>22</v>
      </c>
      <c r="G253" s="3" t="n">
        <v>2</v>
      </c>
      <c r="I253" s="3">
        <f>E253+G253+H253</f>
        <v/>
      </c>
      <c r="J253" s="3">
        <f>IF(C253="Técnico III","35",IF(C253="Técnico II","28",IF(C253="Técnico I","23",IF(C253="JR","20",IF(C253="Estágio","10",)))))</f>
        <v/>
      </c>
      <c r="K253" s="3">
        <f>I253-J253</f>
        <v/>
      </c>
      <c r="L253" s="3">
        <f>IF(K253&lt;-5,"CRÍTICO",IF(K253&lt;0,"ATENÇÃO",IF(K253&lt;=5,"BOM","EXCELENTE")))</f>
        <v/>
      </c>
      <c r="M253" t="n">
        <v>21</v>
      </c>
      <c r="N253" t="n">
        <v>98.61</v>
      </c>
      <c r="O253" t="n">
        <v>16.86746987951807</v>
      </c>
    </row>
    <row r="254" hidden="1">
      <c r="A254" s="5" t="n">
        <v>46153</v>
      </c>
      <c r="B254" s="6" t="inlineStr">
        <is>
          <t>Lorena Dias de Araujo</t>
        </is>
      </c>
      <c r="C254" s="3" t="inlineStr">
        <is>
          <t>Técnico II</t>
        </is>
      </c>
      <c r="D254" s="3" t="n">
        <v>31</v>
      </c>
      <c r="E254" s="3" t="n">
        <v>30</v>
      </c>
      <c r="I254" s="3">
        <f>E254+G254+H254</f>
        <v/>
      </c>
      <c r="J254" s="3">
        <f>IF(C254="Técnico III","35",IF(C254="Técnico II","28",IF(C254="Técnico I","23",IF(C254="JR","20",IF(C254="Estágio","10",)))))</f>
        <v/>
      </c>
      <c r="K254" s="3">
        <f>I254-J254</f>
        <v/>
      </c>
      <c r="L254" s="3">
        <f>IF(K254&lt;-5,"CRÍTICO",IF(K254&lt;0,"ATENÇÃO",IF(K254&lt;=5,"BOM","EXCELENTE")))</f>
        <v/>
      </c>
      <c r="M254" t="n">
        <v>25</v>
      </c>
      <c r="N254" t="n">
        <v>100</v>
      </c>
      <c r="O254" t="n">
        <v>20.82018927444795</v>
      </c>
    </row>
    <row r="255" hidden="1">
      <c r="A255" s="5" t="n">
        <v>46153</v>
      </c>
      <c r="B255" s="6" t="inlineStr">
        <is>
          <t>Lucas Luiz Romero</t>
        </is>
      </c>
      <c r="C255" s="3" t="inlineStr">
        <is>
          <t>Técnico III</t>
        </is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>
        <f>IF(K255&lt;-5,"CRÍTICO",IF(K255&lt;0,"ATENÇÃO",IF(K255&lt;=5,"BOM","EXCELENTE")))</f>
        <v/>
      </c>
      <c r="M255" t="n">
        <v>0</v>
      </c>
      <c r="N255" t="n">
        <v>100</v>
      </c>
      <c r="O255" t="n">
        <v>4.347826086956522</v>
      </c>
    </row>
    <row r="256" hidden="1">
      <c r="A256" s="5" t="n">
        <v>46153</v>
      </c>
      <c r="B256" s="6" t="inlineStr">
        <is>
          <t>Luiz Fernando de Carvalho Junior</t>
        </is>
      </c>
      <c r="C256" s="3" t="inlineStr">
        <is>
          <t>Técnico I</t>
        </is>
      </c>
      <c r="D256" s="3" t="n">
        <v>24</v>
      </c>
      <c r="E256" s="3" t="n">
        <v>23</v>
      </c>
      <c r="G256" s="3" t="n">
        <v>1</v>
      </c>
      <c r="I256" s="3">
        <f>E256+G256+H256</f>
        <v/>
      </c>
      <c r="J256" s="3">
        <f>IF(C256="Técnico III","35",IF(C256="Técnico II","28",IF(C256="Técnico I","23",IF(C256="JR","20",IF(C256="Estágio","10",)))))</f>
        <v/>
      </c>
      <c r="K256" s="3">
        <f>I256-J256</f>
        <v/>
      </c>
      <c r="L256" s="3">
        <f>IF(K256&lt;-5,"CRÍTICO",IF(K256&lt;0,"ATENÇÃO",IF(K256&lt;=5,"BOM","EXCELENTE")))</f>
        <v/>
      </c>
      <c r="M256" t="n">
        <v>25</v>
      </c>
      <c r="N256" t="n">
        <v>93.26000000000001</v>
      </c>
      <c r="O256" t="n">
        <v>19.93957703927493</v>
      </c>
    </row>
    <row r="257" hidden="1">
      <c r="A257" s="5" t="n">
        <v>46153</v>
      </c>
      <c r="B257" s="6" t="inlineStr">
        <is>
          <t>Matheus Farias De Souza</t>
        </is>
      </c>
      <c r="C257" s="3" t="inlineStr">
        <is>
          <t>Técnico III</t>
        </is>
      </c>
      <c r="D257" s="3" t="n">
        <v>0</v>
      </c>
      <c r="E257" s="3" t="n">
        <v>0</v>
      </c>
      <c r="H257" s="3" t="n">
        <v>46</v>
      </c>
      <c r="I257" s="3">
        <f>E257+G257+H257</f>
        <v/>
      </c>
      <c r="J257" s="3">
        <f>IF(C257="Técnico III","35",IF(C257="Técnico II","28",IF(C257="Técnico I","23",IF(C257="JR","20",IF(C257="Estágio","10",)))))</f>
        <v/>
      </c>
      <c r="K257" s="3">
        <f>I257-J257</f>
        <v/>
      </c>
      <c r="L257" s="3">
        <f>IF(K257&lt;-5,"CRÍTICO",IF(K257&lt;0,"ATENÇÃO",IF(K257&lt;=5,"BOM","EXCELENTE")))</f>
        <v/>
      </c>
      <c r="M257" t="n">
        <v>27</v>
      </c>
      <c r="N257" t="n">
        <v>98.28</v>
      </c>
      <c r="O257" t="n">
        <v>9.037900874635568</v>
      </c>
    </row>
    <row r="258" hidden="1">
      <c r="A258" s="5" t="n">
        <v>46153</v>
      </c>
      <c r="B258" s="6" t="inlineStr">
        <is>
          <t>Maysa Victoria Dias Moura</t>
        </is>
      </c>
      <c r="C258" s="3" t="inlineStr">
        <is>
          <t>Técnico III</t>
        </is>
      </c>
      <c r="D258" s="3" t="n">
        <v>33</v>
      </c>
      <c r="E258" s="3" t="n">
        <v>24</v>
      </c>
      <c r="G258" s="3" t="n">
        <v>5</v>
      </c>
      <c r="I258" s="3">
        <f>E258+G258+H258</f>
        <v/>
      </c>
      <c r="J258" s="3">
        <f>IF(C258="Técnico III","35",IF(C258="Técnico II","28",IF(C258="Técnico I","23",IF(C258="JR","20",IF(C258="Estágio","10",)))))</f>
        <v/>
      </c>
      <c r="K258" s="3">
        <f>I258-J258</f>
        <v/>
      </c>
      <c r="L258" s="3">
        <f>IF(K258&lt;-5,"CRÍTICO",IF(K258&lt;0,"ATENÇÃO",IF(K258&lt;=5,"BOM","EXCELENTE")))</f>
        <v/>
      </c>
      <c r="M258" t="n">
        <v>26</v>
      </c>
      <c r="N258" t="n">
        <v>97.22</v>
      </c>
      <c r="O258" t="n">
        <v>19.09547738693467</v>
      </c>
    </row>
    <row r="259" hidden="1">
      <c r="A259" s="5" t="n">
        <v>46153</v>
      </c>
      <c r="B259" s="6" t="inlineStr">
        <is>
          <t>Milena Sales</t>
        </is>
      </c>
      <c r="C259" s="3" t="inlineStr">
        <is>
          <t>JR</t>
        </is>
      </c>
      <c r="D259" s="3" t="n">
        <v>44</v>
      </c>
      <c r="E259" s="3" t="n">
        <v>23</v>
      </c>
      <c r="I259" s="3">
        <f>E259+G259+H259</f>
        <v/>
      </c>
      <c r="J259" s="3">
        <f>IF(C259="Técnico III","35",IF(C259="Técnico II","28",IF(C259="Técnico I","23",IF(C259="JR","20",IF(C259="Estágio","10",)))))</f>
        <v/>
      </c>
      <c r="K259" s="3">
        <f>I259-J259</f>
        <v/>
      </c>
      <c r="L259" s="3">
        <f>IF(K259&lt;-5,"CRÍTICO",IF(K259&lt;0,"ATENÇÃO",IF(K259&lt;=5,"BOM","EXCELENTE")))</f>
        <v/>
      </c>
      <c r="M259" t="n">
        <v>13</v>
      </c>
      <c r="N259" t="n">
        <v>98</v>
      </c>
      <c r="O259" t="n">
        <v>16.43835616438356</v>
      </c>
    </row>
    <row r="260" hidden="1">
      <c r="A260" s="5" t="n">
        <v>46153</v>
      </c>
      <c r="B260" s="6" t="inlineStr">
        <is>
          <t>Patrícia Karla de Sousa Araújo</t>
        </is>
      </c>
      <c r="C260" s="3" t="inlineStr">
        <is>
          <t>Técnico II</t>
        </is>
      </c>
      <c r="D260" s="3" t="n">
        <v>9</v>
      </c>
      <c r="E260" s="3" t="n">
        <v>8</v>
      </c>
      <c r="I260" s="3">
        <f>E260+G260+H260</f>
        <v/>
      </c>
      <c r="J260" s="3">
        <f>IF(C260="Técnico III","35",IF(C260="Técnico II","28",IF(C260="Técnico I","23",IF(C260="JR","20",IF(C260="Estágio","10",)))))</f>
        <v/>
      </c>
      <c r="K260" s="3">
        <f>I260-J260</f>
        <v/>
      </c>
      <c r="L260" s="3">
        <f>IF(K260&lt;-5,"CRÍTICO",IF(K260&lt;0,"ATENÇÃO",IF(K260&lt;=5,"BOM","EXCELENTE")))</f>
        <v/>
      </c>
      <c r="M260" t="n">
        <v>7</v>
      </c>
      <c r="N260" t="n">
        <v>100</v>
      </c>
      <c r="O260" t="n">
        <v>16.89497716894977</v>
      </c>
    </row>
    <row r="261" hidden="1">
      <c r="A261" s="5" t="n">
        <v>46153</v>
      </c>
      <c r="B261" s="6" t="inlineStr">
        <is>
          <t>Paulo Ricardo Santos</t>
        </is>
      </c>
      <c r="C261" s="3" t="inlineStr">
        <is>
          <t>JR</t>
        </is>
      </c>
      <c r="D261" s="3" t="n">
        <v>11</v>
      </c>
      <c r="E261" s="3" t="n">
        <v>11</v>
      </c>
      <c r="I261" s="3">
        <f>E261+G261+H261</f>
        <v/>
      </c>
      <c r="J261" s="3">
        <f>IF(C261="Técnico III","35",IF(C261="Técnico II","28",IF(C261="Técnico I","23",IF(C261="JR","20",IF(C261="Estágio","10",)))))</f>
        <v/>
      </c>
      <c r="K261" s="3">
        <f>I261-J261</f>
        <v/>
      </c>
      <c r="L261" s="3">
        <f>IF(K261&lt;-5,"CRÍTICO",IF(K261&lt;0,"ATENÇÃO",IF(K261&lt;=5,"BOM","EXCELENTE")))</f>
        <v/>
      </c>
      <c r="M261" t="n">
        <v>12</v>
      </c>
      <c r="N261" t="n">
        <v>100</v>
      </c>
      <c r="O261" t="n">
        <v>19.13875598086124</v>
      </c>
    </row>
    <row r="262" hidden="1">
      <c r="A262" s="5" t="n">
        <v>46153</v>
      </c>
      <c r="B262" s="6" t="inlineStr">
        <is>
          <t>Pedro Luiz Mota Sousa</t>
        </is>
      </c>
      <c r="C262" s="3" t="inlineStr">
        <is>
          <t>JR</t>
        </is>
      </c>
      <c r="D262" s="3" t="n">
        <v>17</v>
      </c>
      <c r="E262" s="3" t="n">
        <v>17</v>
      </c>
      <c r="G262" s="3" t="n">
        <v>3</v>
      </c>
      <c r="I262" s="3">
        <f>E262+G262+H262</f>
        <v/>
      </c>
      <c r="J262" s="3">
        <f>IF(C262="Técnico III","35",IF(C262="Técnico II","28",IF(C262="Técnico I","23",IF(C262="JR","20",IF(C262="Estágio","10",)))))</f>
        <v/>
      </c>
      <c r="K262" s="3">
        <f>I262-J262</f>
        <v/>
      </c>
      <c r="L262" s="3">
        <f>IF(K262&lt;-5,"CRÍTICO",IF(K262&lt;0,"ATENÇÃO",IF(K262&lt;=5,"BOM","EXCELENTE")))</f>
        <v/>
      </c>
      <c r="M262" t="n">
        <v>17</v>
      </c>
      <c r="N262" t="n">
        <v>100</v>
      </c>
      <c r="O262" t="n">
        <v>15.02145922746781</v>
      </c>
    </row>
    <row r="263" hidden="1">
      <c r="A263" s="5" t="n">
        <v>46153</v>
      </c>
      <c r="B263" s="6" t="inlineStr">
        <is>
          <t>Raane Batista Matos</t>
        </is>
      </c>
      <c r="C263" s="3" t="inlineStr">
        <is>
          <t>Técnico I</t>
        </is>
      </c>
      <c r="D263" s="3" t="n">
        <v>29</v>
      </c>
      <c r="E263" s="3" t="n">
        <v>25</v>
      </c>
      <c r="G263" s="3" t="n">
        <v>6</v>
      </c>
      <c r="I263" s="3">
        <f>E263+G263+H263</f>
        <v/>
      </c>
      <c r="J263" s="3">
        <f>IF(C263="Técnico III","35",IF(C263="Técnico II","28",IF(C263="Técnico I","23",IF(C263="JR","20",IF(C263="Estágio","10",)))))</f>
        <v/>
      </c>
      <c r="K263" s="3">
        <f>I263-J263</f>
        <v/>
      </c>
      <c r="L263" s="3">
        <f>IF(K263&lt;-5,"CRÍTICO",IF(K263&lt;0,"ATENÇÃO",IF(K263&lt;=5,"BOM","EXCELENTE")))</f>
        <v/>
      </c>
      <c r="M263" t="n">
        <v>24</v>
      </c>
      <c r="N263" t="n">
        <v>97.56</v>
      </c>
      <c r="O263" t="n">
        <v>19.28783382789317</v>
      </c>
    </row>
    <row r="264" hidden="1">
      <c r="A264" s="5" t="n">
        <v>46153</v>
      </c>
      <c r="B264" s="6" t="inlineStr">
        <is>
          <t>Rafael Gomes de Morais</t>
        </is>
      </c>
      <c r="C264" s="3" t="inlineStr">
        <is>
          <t>Técnico III</t>
        </is>
      </c>
      <c r="D264" s="3" t="n">
        <v>23</v>
      </c>
      <c r="E264" s="3" t="n">
        <v>21</v>
      </c>
      <c r="G264" s="3" t="n">
        <v>2</v>
      </c>
      <c r="I264" s="3">
        <f>E264+G264+H264</f>
        <v/>
      </c>
      <c r="J264" s="3">
        <f>IF(C264="Técnico III","35",IF(C264="Técnico II","28",IF(C264="Técnico I","23",IF(C264="JR","20",IF(C264="Estágio","10",)))))</f>
        <v/>
      </c>
      <c r="K264" s="3">
        <f>I264-J264</f>
        <v/>
      </c>
      <c r="L264" s="3">
        <f>IF(K264&lt;-5,"CRÍTICO",IF(K264&lt;0,"ATENÇÃO",IF(K264&lt;=5,"BOM","EXCELENTE")))</f>
        <v/>
      </c>
      <c r="M264" t="n">
        <v>17</v>
      </c>
      <c r="N264" t="n">
        <v>99.29000000000001</v>
      </c>
      <c r="O264" t="n">
        <v>22.49443207126949</v>
      </c>
    </row>
    <row r="265" hidden="1">
      <c r="A265" s="5" t="n">
        <v>46153</v>
      </c>
      <c r="B265" s="6" t="inlineStr">
        <is>
          <t>Sara Maria Monteiro Lopes</t>
        </is>
      </c>
      <c r="C265" s="3" t="inlineStr">
        <is>
          <t>Técnico I</t>
        </is>
      </c>
      <c r="D265" s="3" t="n">
        <v>16</v>
      </c>
      <c r="E265" s="3" t="n">
        <v>16</v>
      </c>
      <c r="G265" s="3" t="n">
        <v>1</v>
      </c>
      <c r="I265" s="3">
        <f>E265+G265+H265</f>
        <v/>
      </c>
      <c r="J265" s="3">
        <f>IF(C265="Técnico III","35",IF(C265="Técnico II","28",IF(C265="Técnico I","23",IF(C265="JR","20",IF(C265="Estágio","10",)))))</f>
        <v/>
      </c>
      <c r="K265" s="3">
        <f>I265-J265</f>
        <v/>
      </c>
      <c r="L265" s="3">
        <f>IF(K265&lt;-5,"CRÍTICO",IF(K265&lt;0,"ATENÇÃO",IF(K265&lt;=5,"BOM","EXCELENTE")))</f>
        <v/>
      </c>
      <c r="M265" t="n">
        <v>15</v>
      </c>
      <c r="N265" t="n">
        <v>100</v>
      </c>
      <c r="O265" t="n">
        <v>16.97247706422019</v>
      </c>
    </row>
    <row r="266" hidden="1">
      <c r="A266" s="5" t="n">
        <v>46153</v>
      </c>
      <c r="B266" s="6" t="inlineStr">
        <is>
          <t>Sarah Steffanie de Lima Borges</t>
        </is>
      </c>
      <c r="C266" s="3" t="inlineStr">
        <is>
          <t>Técnico III</t>
        </is>
      </c>
      <c r="D266" s="3" t="n">
        <v>25</v>
      </c>
      <c r="E266" s="3" t="n">
        <v>21</v>
      </c>
      <c r="I266" s="3">
        <f>E266+G266+H266</f>
        <v/>
      </c>
      <c r="J266" s="3">
        <f>IF(C266="Técnico III","35",IF(C266="Técnico II","28",IF(C266="Técnico I","23",IF(C266="JR","20",IF(C266="Estágio","10",)))))</f>
        <v/>
      </c>
      <c r="K266" s="3">
        <f>I266-J266</f>
        <v/>
      </c>
      <c r="L266" s="3">
        <f>IF(K266&lt;-5,"CRÍTICO",IF(K266&lt;0,"ATENÇÃO",IF(K266&lt;=5,"BOM","EXCELENTE")))</f>
        <v/>
      </c>
      <c r="M266" t="n">
        <v>16</v>
      </c>
      <c r="N266" t="n">
        <v>97.33</v>
      </c>
      <c r="O266" t="n">
        <v>15.80547112462006</v>
      </c>
    </row>
    <row r="267" hidden="1">
      <c r="A267" s="5" t="n">
        <v>46154</v>
      </c>
      <c r="B267" s="6" t="inlineStr">
        <is>
          <t>Alisson de Freitas Silva</t>
        </is>
      </c>
      <c r="C267" s="3" t="inlineStr">
        <is>
          <t>Técnico II</t>
        </is>
      </c>
      <c r="D267" s="3" t="n">
        <v>25</v>
      </c>
      <c r="E267" s="3" t="n">
        <v>18</v>
      </c>
      <c r="G267" s="3" t="n">
        <v>8</v>
      </c>
      <c r="I267" s="3">
        <f>E267+G267+H267</f>
        <v/>
      </c>
      <c r="J267" s="3">
        <f>IF(C267="Técnico III","35",IF(C267="Técnico II","28",IF(C267="Técnico I","23",IF(C267="JR","20",IF(C267="Estágio","10",)))))</f>
        <v/>
      </c>
      <c r="K267" s="3">
        <f>I267-J267</f>
        <v/>
      </c>
      <c r="L267" s="3">
        <f>IF(K267&lt;-5,"CRÍTICO",IF(K267&lt;0,"ATENÇÃO",IF(K267&lt;=5,"BOM","EXCELENTE")))</f>
        <v/>
      </c>
      <c r="M267" s="3" t="n">
        <v>17</v>
      </c>
      <c r="N267" s="3" t="n">
        <v>98.94</v>
      </c>
      <c r="O267" s="3" t="n">
        <v>19.61414790996785</v>
      </c>
    </row>
    <row r="268" hidden="1">
      <c r="A268" s="5" t="n">
        <v>46154</v>
      </c>
      <c r="B268" s="6" t="inlineStr">
        <is>
          <t>Amanda Moura Ferreira</t>
        </is>
      </c>
      <c r="C268" s="3" t="inlineStr">
        <is>
          <t>Técnico III</t>
        </is>
      </c>
      <c r="D268" s="3" t="n">
        <v>0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>
        <f>IF(K268&lt;-5,"CRÍTICO",IF(K268&lt;0,"ATENÇÃO",IF(K268&lt;=5,"BOM","EXCELENTE")))</f>
        <v/>
      </c>
      <c r="M268" s="9" t="n">
        <v>0</v>
      </c>
      <c r="N268" s="9" t="n">
        <v>100</v>
      </c>
      <c r="O268" s="9" t="n">
        <v>0</v>
      </c>
    </row>
    <row r="269" hidden="1">
      <c r="A269" s="5" t="n">
        <v>46154</v>
      </c>
      <c r="B269" s="6" t="inlineStr">
        <is>
          <t>Ana Karollyne Souza Faria</t>
        </is>
      </c>
      <c r="C269" s="3" t="inlineStr">
        <is>
          <t>Técnico I</t>
        </is>
      </c>
      <c r="D269" s="3" t="n">
        <v>31</v>
      </c>
      <c r="E269" s="3" t="n">
        <v>29</v>
      </c>
      <c r="G269" s="3" t="n">
        <v>2</v>
      </c>
      <c r="I269" s="3">
        <f>E269+G269+H269</f>
        <v/>
      </c>
      <c r="J269" s="3">
        <f>IF(C269="Técnico III","35",IF(C269="Técnico II","28",IF(C269="Técnico I","23",IF(C269="JR","20",IF(C269="Estágio","10",)))))</f>
        <v/>
      </c>
      <c r="K269" s="3">
        <f>I269-J269</f>
        <v/>
      </c>
      <c r="L269" s="3">
        <f>IF(K269&lt;-5,"CRÍTICO",IF(K269&lt;0,"ATENÇÃO",IF(K269&lt;=5,"BOM","EXCELENTE")))</f>
        <v/>
      </c>
      <c r="M269" s="3" t="n">
        <v>27</v>
      </c>
      <c r="N269" s="3" t="n">
        <v>95.38</v>
      </c>
      <c r="O269" s="3" t="n">
        <v>21.5962441314554</v>
      </c>
    </row>
    <row r="270" hidden="1">
      <c r="A270" s="5" t="n">
        <v>46154</v>
      </c>
      <c r="B270" s="6" t="inlineStr">
        <is>
          <t>Ana Paula Da Luz Silva Aleixo</t>
        </is>
      </c>
      <c r="C270" s="9" t="inlineStr">
        <is>
          <t>Técnico III</t>
        </is>
      </c>
      <c r="D270" s="3" t="n">
        <v>28</v>
      </c>
      <c r="E270" s="3" t="n">
        <v>24</v>
      </c>
      <c r="G270" s="3" t="n">
        <v>4</v>
      </c>
      <c r="I270" s="3">
        <f>E270+G270+H270</f>
        <v/>
      </c>
      <c r="J270" s="3">
        <f>IF(C270="Técnico III","35",IF(C270="Técnico II","28",IF(C270="Técnico I","23",IF(C270="JR","20",IF(C270="Estágio","10",)))))</f>
        <v/>
      </c>
      <c r="K270" s="3">
        <f>I270-J270</f>
        <v/>
      </c>
      <c r="L270" s="3">
        <f>IF(K270&lt;-5,"CRÍTICO",IF(K270&lt;0,"ATENÇÃO",IF(K270&lt;=5,"BOM","EXCELENTE")))</f>
        <v/>
      </c>
      <c r="M270" t="n">
        <v>25</v>
      </c>
      <c r="N270" t="n">
        <v>96.34</v>
      </c>
      <c r="O270" t="n">
        <v>17.57188498402556</v>
      </c>
    </row>
    <row r="271" hidden="1">
      <c r="A271" s="5" t="n">
        <v>46154</v>
      </c>
      <c r="B271" s="6" t="inlineStr">
        <is>
          <t>Brenda de Menezes Silva</t>
        </is>
      </c>
      <c r="C271" s="3" t="inlineStr">
        <is>
          <t>Técnico II</t>
        </is>
      </c>
      <c r="D271" s="3" t="n">
        <v>38</v>
      </c>
      <c r="E271" s="3" t="n">
        <v>35</v>
      </c>
      <c r="G271" s="3" t="n">
        <v>3</v>
      </c>
      <c r="I271" s="3">
        <f>E271+G271+H271</f>
        <v/>
      </c>
      <c r="J271" s="3">
        <f>IF(C271="Técnico III","35",IF(C271="Técnico II","28",IF(C271="Técnico I","23",IF(C271="JR","20",IF(C271="Estágio","10",)))))</f>
        <v/>
      </c>
      <c r="K271" s="3">
        <f>I271-J271</f>
        <v/>
      </c>
      <c r="L271" s="3">
        <f>IF(K271&lt;-5,"CRÍTICO",IF(K271&lt;0,"ATENÇÃO",IF(K271&lt;=5,"BOM","EXCELENTE")))</f>
        <v/>
      </c>
      <c r="M271" t="n">
        <v>34</v>
      </c>
      <c r="N271" t="n">
        <v>99.13</v>
      </c>
      <c r="O271" t="n">
        <v>14.7239263803681</v>
      </c>
    </row>
    <row r="272" hidden="1">
      <c r="A272" s="5" t="n">
        <v>46154</v>
      </c>
      <c r="B272" s="6" t="inlineStr">
        <is>
          <t>Carlos Mateus Cassimiro Nunes</t>
        </is>
      </c>
      <c r="C272" s="9" t="inlineStr">
        <is>
          <t>Técnico II</t>
        </is>
      </c>
      <c r="D272" s="3" t="n">
        <v>26</v>
      </c>
      <c r="E272" s="3" t="n">
        <v>26</v>
      </c>
      <c r="I272" s="3">
        <f>E272+G272+H272</f>
        <v/>
      </c>
      <c r="J272" s="3">
        <f>IF(C272="Técnico III","35",IF(C272="Técnico II","28",IF(C272="Técnico I","23",IF(C272="JR","20",IF(C272="Estágio","10",)))))</f>
        <v/>
      </c>
      <c r="K272" s="3">
        <f>I272-J272</f>
        <v/>
      </c>
      <c r="L272" s="3">
        <f>IF(K272&lt;-5,"CRÍTICO",IF(K272&lt;0,"ATENÇÃO",IF(K272&lt;=5,"BOM","EXCELENTE")))</f>
        <v/>
      </c>
      <c r="M272" t="n">
        <v>24</v>
      </c>
      <c r="N272" t="n">
        <v>98.8</v>
      </c>
      <c r="O272" t="n">
        <v>16.89750692520776</v>
      </c>
    </row>
    <row r="273" hidden="1">
      <c r="A273" s="5" t="n">
        <v>46154</v>
      </c>
      <c r="B273" s="6" t="inlineStr">
        <is>
          <t>Clessiane Pereira dos Santos</t>
        </is>
      </c>
      <c r="C273" s="3" t="inlineStr">
        <is>
          <t>Técnico I</t>
        </is>
      </c>
      <c r="D273" s="3" t="n">
        <v>24</v>
      </c>
      <c r="E273" s="3" t="n">
        <v>23</v>
      </c>
      <c r="G273" s="3" t="n">
        <v>5</v>
      </c>
      <c r="I273" s="3">
        <f>E273+G273+H273</f>
        <v/>
      </c>
      <c r="J273" s="3">
        <f>IF(C273="Técnico III","35",IF(C273="Técnico II","28",IF(C273="Técnico I","23",IF(C273="JR","20",IF(C273="Estágio","10",)))))</f>
        <v/>
      </c>
      <c r="K273" s="3">
        <f>I273-J273</f>
        <v/>
      </c>
      <c r="L273" s="3">
        <f>IF(K273&lt;-5,"CRÍTICO",IF(K273&lt;0,"ATENÇÃO",IF(K273&lt;=5,"BOM","EXCELENTE")))</f>
        <v/>
      </c>
      <c r="M273" t="n">
        <v>25</v>
      </c>
      <c r="N273" t="n">
        <v>96.88</v>
      </c>
      <c r="O273" t="n">
        <v>19.52662721893491</v>
      </c>
    </row>
    <row r="274" hidden="1">
      <c r="A274" s="5" t="n">
        <v>46154</v>
      </c>
      <c r="B274" s="6" t="inlineStr">
        <is>
          <t>Cristiane Ramos da Silva Rocha</t>
        </is>
      </c>
      <c r="C274" s="3" t="inlineStr">
        <is>
          <t>Técnico III</t>
        </is>
      </c>
      <c r="D274" s="3" t="n">
        <v>41</v>
      </c>
      <c r="E274" s="3" t="n">
        <v>39</v>
      </c>
      <c r="I274" s="3">
        <f>E274+G274+H274</f>
        <v/>
      </c>
      <c r="J274" s="3">
        <f>IF(C274="Técnico III","35",IF(C274="Técnico II","28",IF(C274="Técnico I","23",IF(C274="JR","20",IF(C274="Estágio","10",)))))</f>
        <v/>
      </c>
      <c r="K274" s="3">
        <f>I274-J274</f>
        <v/>
      </c>
      <c r="L274" s="3">
        <f>IF(K274&lt;-5,"CRÍTICO",IF(K274&lt;0,"ATENÇÃO",IF(K274&lt;=5,"BOM","EXCELENTE")))</f>
        <v/>
      </c>
      <c r="M274" t="n">
        <v>33</v>
      </c>
      <c r="N274" t="n">
        <v>91.84999999999999</v>
      </c>
      <c r="O274" t="n">
        <v>20.87155963302752</v>
      </c>
    </row>
    <row r="275" hidden="1">
      <c r="A275" s="5" t="n">
        <v>46154</v>
      </c>
      <c r="B275" s="6" t="inlineStr">
        <is>
          <t>Damyllis Lorraine de Oliveira Gonçalves</t>
        </is>
      </c>
      <c r="C275" s="3" t="inlineStr">
        <is>
          <t>Técnico II</t>
        </is>
      </c>
      <c r="D275" s="3" t="n">
        <v>37</v>
      </c>
      <c r="E275" s="3" t="n">
        <v>30</v>
      </c>
      <c r="I275" s="3">
        <f>E275+G275+H275</f>
        <v/>
      </c>
      <c r="J275" s="3">
        <f>IF(C275="Técnico III","35",IF(C275="Técnico II","28",IF(C275="Técnico I","23",IF(C275="JR","20",IF(C275="Estágio","10",)))))</f>
        <v/>
      </c>
      <c r="K275" s="3">
        <f>I275-J275</f>
        <v/>
      </c>
      <c r="L275" s="3">
        <f>IF(K275&lt;-5,"CRÍTICO",IF(K275&lt;0,"ATENÇÃO",IF(K275&lt;=5,"BOM","EXCELENTE")))</f>
        <v/>
      </c>
      <c r="M275" t="n">
        <v>27</v>
      </c>
      <c r="N275" t="n">
        <v>98.63</v>
      </c>
      <c r="O275" t="n">
        <v>18.75</v>
      </c>
    </row>
    <row r="276" hidden="1">
      <c r="A276" s="5" t="n">
        <v>46154</v>
      </c>
      <c r="B276" s="6" t="inlineStr">
        <is>
          <t>Daniel Gomes da Silva</t>
        </is>
      </c>
      <c r="C276" s="3" t="inlineStr">
        <is>
          <t>Técnico I</t>
        </is>
      </c>
      <c r="D276" s="3" t="n">
        <v>28</v>
      </c>
      <c r="E276" s="3" t="n">
        <v>26</v>
      </c>
      <c r="I276" s="3">
        <f>E276+G276+H276</f>
        <v/>
      </c>
      <c r="J276" s="3">
        <f>IF(C276="Técnico III","35",IF(C276="Técnico II","28",IF(C276="Técnico I","23",IF(C276="JR","20",IF(C276="Estágio","10",)))))</f>
        <v/>
      </c>
      <c r="K276" s="3">
        <f>I276-J276</f>
        <v/>
      </c>
      <c r="L276" s="3">
        <f>IF(K276&lt;-5,"CRÍTICO",IF(K276&lt;0,"ATENÇÃO",IF(K276&lt;=5,"BOM","EXCELENTE")))</f>
        <v/>
      </c>
      <c r="M276" t="n">
        <v>17</v>
      </c>
      <c r="N276" t="n">
        <v>100</v>
      </c>
      <c r="O276" t="n">
        <v>18.14516129032258</v>
      </c>
    </row>
    <row r="277" hidden="1">
      <c r="A277" s="5" t="n">
        <v>46154</v>
      </c>
      <c r="B277" s="6" t="inlineStr">
        <is>
          <t>Davylla Rodrigues Freitas Silva</t>
        </is>
      </c>
      <c r="C277" s="9" t="inlineStr">
        <is>
          <t>Técnico III</t>
        </is>
      </c>
      <c r="D277" s="3" t="n">
        <v>23</v>
      </c>
      <c r="E277" s="3" t="n">
        <v>23</v>
      </c>
      <c r="G277" s="3" t="n">
        <v>2</v>
      </c>
      <c r="I277" s="3">
        <f>E277+G277+H277</f>
        <v/>
      </c>
      <c r="J277" s="3">
        <f>IF(C277="Técnico III","35",IF(C277="Técnico II","28",IF(C277="Técnico I","23",IF(C277="JR","20",IF(C277="Estágio","10",)))))</f>
        <v/>
      </c>
      <c r="K277" s="3">
        <f>I277-J277</f>
        <v/>
      </c>
      <c r="L277" s="3">
        <f>IF(K277&lt;-5,"CRÍTICO",IF(K277&lt;0,"ATENÇÃO",IF(K277&lt;=5,"BOM","EXCELENTE")))</f>
        <v/>
      </c>
      <c r="M277" t="n">
        <v>27</v>
      </c>
      <c r="N277" t="n">
        <v>99.06</v>
      </c>
      <c r="O277" t="n">
        <v>22.95719844357977</v>
      </c>
    </row>
    <row r="278" hidden="1">
      <c r="A278" s="5" t="n">
        <v>46154</v>
      </c>
      <c r="B278" s="6" t="inlineStr">
        <is>
          <t>Emilly Kamilly Medeiros Miranda</t>
        </is>
      </c>
      <c r="C278" s="3" t="inlineStr">
        <is>
          <t>Técnico II</t>
        </is>
      </c>
      <c r="D278" s="3" t="n">
        <v>25</v>
      </c>
      <c r="E278" s="3" t="n">
        <v>24</v>
      </c>
      <c r="G278" s="3" t="n">
        <v>5</v>
      </c>
      <c r="I278" s="3">
        <f>E278+G278+H278</f>
        <v/>
      </c>
      <c r="J278" s="3">
        <f>IF(C278="Técnico III","35",IF(C278="Técnico II","28",IF(C278="Técnico I","23",IF(C278="JR","20",IF(C278="Estágio","10",)))))</f>
        <v/>
      </c>
      <c r="K278" s="3">
        <f>I278-J278</f>
        <v/>
      </c>
      <c r="L278" s="3">
        <f>IF(K278&lt;-5,"CRÍTICO",IF(K278&lt;0,"ATENÇÃO",IF(K278&lt;=5,"BOM","EXCELENTE")))</f>
        <v/>
      </c>
      <c r="M278" t="n">
        <v>26</v>
      </c>
      <c r="N278" t="n">
        <v>100</v>
      </c>
      <c r="O278" t="n">
        <v>13.8121546961326</v>
      </c>
    </row>
    <row r="279" hidden="1">
      <c r="A279" s="5" t="n">
        <v>46154</v>
      </c>
      <c r="B279" s="6" t="inlineStr">
        <is>
          <t>Francielson de Oliveira</t>
        </is>
      </c>
      <c r="C279" s="9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IF(K279&lt;-5,"CRÍTICO",IF(K279&lt;0,"ATENÇÃO",IF(K279&lt;=5,"BOM","EXCELENTE")))</f>
        <v/>
      </c>
      <c r="M279" t="n">
        <v>0</v>
      </c>
      <c r="N279" t="n">
        <v>100</v>
      </c>
      <c r="O279" t="n">
        <v>9.523809523809524</v>
      </c>
    </row>
    <row r="280" hidden="1">
      <c r="A280" s="5" t="n">
        <v>46154</v>
      </c>
      <c r="B280" s="6" t="inlineStr">
        <is>
          <t>Francilene Ferreira de Jesus</t>
        </is>
      </c>
      <c r="C280" s="3" t="inlineStr">
        <is>
          <t>Técnico II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>
        <f>IF(K280&lt;-5,"CRÍTICO",IF(K280&lt;0,"ATENÇÃO",IF(K280&lt;=5,"BOM","EXCELENTE")))</f>
        <v/>
      </c>
      <c r="M280" t="n">
        <v>0</v>
      </c>
      <c r="N280" t="n">
        <v>100</v>
      </c>
      <c r="O280" t="n">
        <v>17.24137931034483</v>
      </c>
    </row>
    <row r="281" hidden="1">
      <c r="A281" s="5" t="n">
        <v>46154</v>
      </c>
      <c r="B281" s="6" t="inlineStr">
        <is>
          <t>Anna Luiza Rezende Tavares</t>
        </is>
      </c>
      <c r="C281" s="3" t="inlineStr">
        <is>
          <t>Estágio</t>
        </is>
      </c>
      <c r="D281" s="3" t="n">
        <v>25</v>
      </c>
      <c r="E281" s="3" t="n">
        <v>25</v>
      </c>
      <c r="I281" s="3">
        <f>E281+G281+H281</f>
        <v/>
      </c>
      <c r="J281" s="3">
        <f>IF(C281="Técnico III","35",IF(C281="Técnico II","28",IF(C281="Técnico I","23",IF(C281="JR","20",IF(C281="Estágio","10",)))))</f>
        <v/>
      </c>
      <c r="K281" s="3">
        <f>I281-J281</f>
        <v/>
      </c>
      <c r="L281" s="3">
        <f>IF(K281&lt;-5,"CRÍTICO",IF(K281&lt;0,"ATENÇÃO",IF(K281&lt;=5,"BOM","EXCELENTE")))</f>
        <v/>
      </c>
      <c r="M281" t="n">
        <v>18</v>
      </c>
      <c r="N281" t="n">
        <v>99.11</v>
      </c>
      <c r="O281" t="n">
        <v>17.72151898734177</v>
      </c>
    </row>
    <row r="282" hidden="1">
      <c r="A282" s="5" t="n">
        <v>46154</v>
      </c>
      <c r="B282" s="6" t="inlineStr">
        <is>
          <t>Gabriel Gomes de Andrade</t>
        </is>
      </c>
      <c r="C282" s="3" t="inlineStr">
        <is>
          <t>Técnico I</t>
        </is>
      </c>
      <c r="D282" s="3" t="n">
        <v>17</v>
      </c>
      <c r="E282" s="3" t="n">
        <v>17</v>
      </c>
      <c r="H282" s="3" t="n">
        <v>7</v>
      </c>
      <c r="I282" s="3">
        <f>E282+G282+H282</f>
        <v/>
      </c>
      <c r="J282" s="3">
        <f>IF(C282="Técnico III","35",IF(C282="Técnico II","28",IF(C282="Técnico I","23",IF(C282="JR","20",IF(C282="Estágio","10",)))))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24</v>
      </c>
      <c r="N282" t="n">
        <v>98.8</v>
      </c>
      <c r="O282" t="n">
        <v>15.41353383458646</v>
      </c>
    </row>
    <row r="283" hidden="1">
      <c r="A283" s="5" t="n">
        <v>46154</v>
      </c>
      <c r="B283" s="6" t="inlineStr">
        <is>
          <t>Isabella Borges de Oliveira</t>
        </is>
      </c>
      <c r="C283" s="9" t="inlineStr">
        <is>
          <t>Técnico II</t>
        </is>
      </c>
      <c r="D283" s="3" t="n">
        <v>26</v>
      </c>
      <c r="E283" s="3" t="n">
        <v>24</v>
      </c>
      <c r="I283" s="3">
        <f>E283+G283+H283</f>
        <v/>
      </c>
      <c r="J283" s="3">
        <f>IF(C283="Técnico III","35",IF(C283="Técnico II","28",IF(C283="Técnico I","23",IF(C283="JR","20",IF(C283="Estágio","10",)))))</f>
        <v/>
      </c>
      <c r="K283" s="3">
        <f>I283-J283</f>
        <v/>
      </c>
      <c r="L283" s="3">
        <f>IF(K283&lt;-5,"CRÍTICO",IF(K283&lt;0,"ATENÇÃO",IF(K283&lt;=5,"BOM","EXCELENTE")))</f>
        <v/>
      </c>
      <c r="M283" t="n">
        <v>18</v>
      </c>
      <c r="N283" t="n">
        <v>98.63</v>
      </c>
      <c r="O283" t="n">
        <v>15.75757575757576</v>
      </c>
    </row>
    <row r="284" hidden="1">
      <c r="A284" s="5" t="n">
        <v>46154</v>
      </c>
      <c r="B284" s="6" t="inlineStr">
        <is>
          <t>Janaina Lima dos Reis Urany</t>
        </is>
      </c>
      <c r="C284" s="3" t="inlineStr">
        <is>
          <t>Técnico III</t>
        </is>
      </c>
      <c r="D284" s="3" t="n">
        <v>47</v>
      </c>
      <c r="E284" s="3" t="n">
        <v>43</v>
      </c>
      <c r="G284" s="3" t="n">
        <v>8</v>
      </c>
      <c r="I284" s="3">
        <f>E284+G284+H284</f>
        <v/>
      </c>
      <c r="J284" s="3">
        <f>IF(C284="Técnico III","35",IF(C284="Técnico II","28",IF(C284="Técnico I","23",IF(C284="JR","20",IF(C284="Estágio","10",)))))</f>
        <v/>
      </c>
      <c r="K284" s="3">
        <f>I284-J284</f>
        <v/>
      </c>
      <c r="L284" s="3">
        <f>IF(K284&lt;-5,"CRÍTICO",IF(K284&lt;0,"ATENÇÃO",IF(K284&lt;=5,"BOM","EXCELENTE")))</f>
        <v/>
      </c>
      <c r="M284" t="n">
        <v>45</v>
      </c>
      <c r="N284" t="n">
        <v>98.64</v>
      </c>
      <c r="O284" t="n">
        <v>16.6383701188455</v>
      </c>
    </row>
    <row r="285" hidden="1">
      <c r="A285" s="5" t="n">
        <v>46154</v>
      </c>
      <c r="B285" s="6" t="inlineStr">
        <is>
          <t>Jaqueline Evangelista da Silva Martins</t>
        </is>
      </c>
      <c r="C285" s="3" t="inlineStr">
        <is>
          <t>Técnico III</t>
        </is>
      </c>
      <c r="D285" s="3" t="n">
        <v>42</v>
      </c>
      <c r="E285" s="3" t="n">
        <v>37</v>
      </c>
      <c r="G285" s="3" t="n">
        <v>9</v>
      </c>
      <c r="I285" s="3">
        <f>E285+G285+H285</f>
        <v/>
      </c>
      <c r="J285" s="3">
        <f>IF(C285="Técnico III","35",IF(C285="Técnico II","28",IF(C285="Técnico I","23",IF(C285="JR","20",IF(C285="Estágio","10",)))))</f>
        <v/>
      </c>
      <c r="K285" s="3">
        <f>I285-J285</f>
        <v/>
      </c>
      <c r="L285" s="3">
        <f>IF(K285&lt;-5,"CRÍTICO",IF(K285&lt;0,"ATENÇÃO",IF(K285&lt;=5,"BOM","EXCELENTE")))</f>
        <v/>
      </c>
      <c r="M285" t="n">
        <v>37</v>
      </c>
      <c r="N285" t="n">
        <v>95.40000000000001</v>
      </c>
      <c r="O285" t="n">
        <v>20.53333333333333</v>
      </c>
    </row>
    <row r="286" hidden="1">
      <c r="A286" s="5" t="n">
        <v>46154</v>
      </c>
      <c r="B286" s="6" t="inlineStr">
        <is>
          <t>Jessica Faria da Silveira</t>
        </is>
      </c>
      <c r="C286" s="3" t="inlineStr">
        <is>
          <t>Técnico II</t>
        </is>
      </c>
      <c r="D286" s="3" t="n">
        <v>29</v>
      </c>
      <c r="E286" s="3" t="n">
        <v>26</v>
      </c>
      <c r="G286" s="3" t="n">
        <v>5</v>
      </c>
      <c r="I286" s="3">
        <f>E286+G286+H286</f>
        <v/>
      </c>
      <c r="J286" s="3">
        <f>IF(C286="Técnico III","35",IF(C286="Técnico II","28",IF(C286="Técnico I","23",IF(C286="JR","20",IF(C286="Estágio","10",)))))</f>
        <v/>
      </c>
      <c r="K286" s="3">
        <f>I286-J286</f>
        <v/>
      </c>
      <c r="L286" s="3">
        <f>IF(K286&lt;-5,"CRÍTICO",IF(K286&lt;0,"ATENÇÃO",IF(K286&lt;=5,"BOM","EXCELENTE")))</f>
        <v/>
      </c>
      <c r="M286" t="n">
        <v>26</v>
      </c>
      <c r="N286" t="n">
        <v>98.61</v>
      </c>
      <c r="O286" t="n">
        <v>16.97530864197531</v>
      </c>
    </row>
    <row r="287" hidden="1">
      <c r="A287" s="5" t="n">
        <v>46154</v>
      </c>
      <c r="B287" s="6" t="inlineStr">
        <is>
          <t>Jéssica Fé Moura</t>
        </is>
      </c>
      <c r="C287" s="3" t="inlineStr">
        <is>
          <t>Técnico III</t>
        </is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t="n">
        <v>0</v>
      </c>
      <c r="N287" t="n">
        <v>0</v>
      </c>
      <c r="O287" t="n">
        <v>0</v>
      </c>
    </row>
    <row r="288" hidden="1">
      <c r="A288" s="5" t="n">
        <v>46154</v>
      </c>
      <c r="B288" s="6" t="inlineStr">
        <is>
          <t>Karina Gonçalves Martins</t>
        </is>
      </c>
      <c r="C288" s="3" t="inlineStr">
        <is>
          <t>JR</t>
        </is>
      </c>
      <c r="D288" s="3" t="n">
        <v>26</v>
      </c>
      <c r="E288" s="3" t="n">
        <v>22</v>
      </c>
      <c r="I288" s="3">
        <f>E288+G288+H288</f>
        <v/>
      </c>
      <c r="J288" s="3">
        <f>IF(C288="Técnico III","35",IF(C288="Técnico II","28",IF(C288="Técnico I","23",IF(C288="JR","20",IF(C288="Estágio","10",)))))</f>
        <v/>
      </c>
      <c r="K288" s="3">
        <f>I288-J288</f>
        <v/>
      </c>
      <c r="L288" s="3">
        <f>IF(K288&lt;-5,"CRÍTICO",IF(K288&lt;0,"ATENÇÃO",IF(K288&lt;=5,"BOM","EXCELENTE")))</f>
        <v/>
      </c>
      <c r="M288" t="n">
        <v>22</v>
      </c>
      <c r="N288" t="n">
        <v>97.01000000000001</v>
      </c>
      <c r="O288" t="n">
        <v>13.96103896103896</v>
      </c>
    </row>
    <row r="289" hidden="1">
      <c r="A289" s="5" t="n">
        <v>46154</v>
      </c>
      <c r="B289" s="6" t="inlineStr">
        <is>
          <t>Kerollen Cristielly de Jesus Siqueira</t>
        </is>
      </c>
      <c r="C289" s="9" t="inlineStr">
        <is>
          <t>Técnico III</t>
        </is>
      </c>
      <c r="D289" s="3" t="n">
        <v>19</v>
      </c>
      <c r="E289" s="3" t="n">
        <v>17</v>
      </c>
      <c r="G289" s="3" t="n">
        <v>1</v>
      </c>
      <c r="I289" s="3">
        <f>E289+G289+H289</f>
        <v/>
      </c>
      <c r="J289" s="3">
        <f>IF(C289="Técnico III","35",IF(C289="Técnico II","28",IF(C289="Técnico I","23",IF(C289="JR","20",IF(C289="Estágio","10",)))))</f>
        <v/>
      </c>
      <c r="K289" s="3">
        <f>I289-J289</f>
        <v/>
      </c>
      <c r="L289" s="3">
        <f>IF(K289&lt;-5,"CRÍTICO",IF(K289&lt;0,"ATENÇÃO",IF(K289&lt;=5,"BOM","EXCELENTE")))</f>
        <v/>
      </c>
      <c r="M289" t="n">
        <v>18</v>
      </c>
      <c r="N289" t="n">
        <v>95.52</v>
      </c>
      <c r="O289" t="n">
        <v>10.56105610561056</v>
      </c>
    </row>
    <row r="290" hidden="1">
      <c r="A290" s="5" t="n">
        <v>46154</v>
      </c>
      <c r="B290" s="6" t="inlineStr">
        <is>
          <t>Leandro de Souza Silva</t>
        </is>
      </c>
      <c r="C290" s="3" t="inlineStr">
        <is>
          <t>JR</t>
        </is>
      </c>
      <c r="D290" s="3" t="n">
        <v>10</v>
      </c>
      <c r="E290" s="3" t="n">
        <v>6</v>
      </c>
      <c r="G290" s="3" t="n">
        <v>7</v>
      </c>
      <c r="I290" s="3">
        <f>E290+G290+H290</f>
        <v/>
      </c>
      <c r="J290" s="3">
        <f>IF(C290="Técnico III","35",IF(C290="Técnico II","28",IF(C290="Técnico I","23",IF(C290="JR","20",IF(C290="Estágio","10",)))))</f>
        <v/>
      </c>
      <c r="K290" s="3">
        <f>I290-J290</f>
        <v/>
      </c>
      <c r="L290" s="3">
        <f>IF(K290&lt;-5,"CRÍTICO",IF(K290&lt;0,"ATENÇÃO",IF(K290&lt;=5,"BOM","EXCELENTE")))</f>
        <v/>
      </c>
      <c r="M290" t="n">
        <v>12</v>
      </c>
      <c r="N290" t="n">
        <v>100</v>
      </c>
      <c r="O290" t="n">
        <v>16.95906432748538</v>
      </c>
    </row>
    <row r="291" hidden="1">
      <c r="A291" s="5" t="n">
        <v>46154</v>
      </c>
      <c r="B291" s="6" t="inlineStr">
        <is>
          <t>Leandro Oliveira de Sousa</t>
        </is>
      </c>
      <c r="C291" s="9" t="inlineStr">
        <is>
          <t>Técnico III</t>
        </is>
      </c>
      <c r="D291" s="3" t="n">
        <v>31</v>
      </c>
      <c r="E291" s="3" t="n">
        <v>25</v>
      </c>
      <c r="G291" s="3" t="n">
        <v>0</v>
      </c>
      <c r="I291" s="3">
        <f>E291+G291+H291</f>
        <v/>
      </c>
      <c r="J291" s="3">
        <f>IF(C291="Técnico III","35",IF(C291="Técnico II","28",IF(C291="Técnico I","23",IF(C291="JR","20",IF(C291="Estágio","10",)))))</f>
        <v/>
      </c>
      <c r="K291" s="3">
        <f>I291-J291</f>
        <v/>
      </c>
      <c r="L291" s="3">
        <f>IF(K291&lt;-5,"CRÍTICO",IF(K291&lt;0,"ATENÇÃO",IF(K291&lt;=5,"BOM","EXCELENTE")))</f>
        <v/>
      </c>
      <c r="M291" t="n">
        <v>28</v>
      </c>
      <c r="N291" t="n">
        <v>100</v>
      </c>
      <c r="O291" t="n">
        <v>15.58441558441558</v>
      </c>
    </row>
    <row r="292" hidden="1">
      <c r="A292" s="5" t="n">
        <v>46154</v>
      </c>
      <c r="B292" s="6" t="inlineStr">
        <is>
          <t>Lizandra Gomes Duarte</t>
        </is>
      </c>
      <c r="C292" s="3" t="inlineStr">
        <is>
          <t>Técnico II</t>
        </is>
      </c>
      <c r="D292" s="3" t="n">
        <v>28</v>
      </c>
      <c r="E292" s="3" t="n">
        <v>26</v>
      </c>
      <c r="G292" s="3" t="n">
        <v>2</v>
      </c>
      <c r="I292" s="3">
        <f>E292+G292+H292</f>
        <v/>
      </c>
      <c r="J292" s="3">
        <f>IF(C292="Técnico III","35",IF(C292="Técnico II","28",IF(C292="Técnico I","23",IF(C292="JR","20",IF(C292="Estágio","10",)))))</f>
        <v/>
      </c>
      <c r="K292" s="3">
        <f>I292-J292</f>
        <v/>
      </c>
      <c r="L292" s="3">
        <f>IF(K292&lt;-5,"CRÍTICO",IF(K292&lt;0,"ATENÇÃO",IF(K292&lt;=5,"BOM","EXCELENTE")))</f>
        <v/>
      </c>
      <c r="M292" t="n">
        <v>22</v>
      </c>
      <c r="N292" t="n">
        <v>98.61</v>
      </c>
      <c r="O292" t="n">
        <v>16.86746987951807</v>
      </c>
    </row>
    <row r="293" hidden="1">
      <c r="A293" s="5" t="n">
        <v>46154</v>
      </c>
      <c r="B293" s="6" t="inlineStr">
        <is>
          <t>Lorena Dias de Araujo</t>
        </is>
      </c>
      <c r="C293" s="3" t="inlineStr">
        <is>
          <t>Técnico II</t>
        </is>
      </c>
      <c r="D293" s="3" t="n">
        <v>25</v>
      </c>
      <c r="E293" s="3" t="n">
        <v>24</v>
      </c>
      <c r="I293" s="3">
        <f>E293+G293+H293</f>
        <v/>
      </c>
      <c r="J293" s="3">
        <f>IF(C293="Técnico III","35",IF(C293="Técnico II","28",IF(C293="Técnico I","23",IF(C293="JR","20",IF(C293="Estágio","10",)))))</f>
        <v/>
      </c>
      <c r="K293" s="3">
        <f>I293-J293</f>
        <v/>
      </c>
      <c r="L293" s="3">
        <f>IF(K293&lt;-5,"CRÍTICO",IF(K293&lt;0,"ATENÇÃO",IF(K293&lt;=5,"BOM","EXCELENTE")))</f>
        <v/>
      </c>
      <c r="M293" t="n">
        <v>19</v>
      </c>
      <c r="N293" t="n">
        <v>100</v>
      </c>
      <c r="O293" t="n">
        <v>20.82018927444795</v>
      </c>
    </row>
    <row r="294" hidden="1">
      <c r="A294" s="5" t="n">
        <v>46154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t="n">
        <v>0</v>
      </c>
      <c r="N294" t="n">
        <v>100</v>
      </c>
      <c r="O294" t="n">
        <v>4.347826086956522</v>
      </c>
    </row>
    <row r="295" hidden="1">
      <c r="A295" s="5" t="n">
        <v>46154</v>
      </c>
      <c r="B295" s="6" t="inlineStr">
        <is>
          <t>Luiz Fernando de Carvalho Junior</t>
        </is>
      </c>
      <c r="C295" s="3" t="inlineStr">
        <is>
          <t>Técnico I</t>
        </is>
      </c>
      <c r="D295" s="3" t="n">
        <v>24</v>
      </c>
      <c r="E295" s="3" t="n">
        <v>20</v>
      </c>
      <c r="G295" s="3" t="n">
        <v>4</v>
      </c>
      <c r="I295" s="3">
        <f>E295+G295+H295</f>
        <v/>
      </c>
      <c r="J295" s="3">
        <f>IF(C295="Técnico III","35",IF(C295="Técnico II","28",IF(C295="Técnico I","23",IF(C295="JR","20",IF(C295="Estágio","10",)))))</f>
        <v/>
      </c>
      <c r="K295" s="3">
        <f>I295-J295</f>
        <v/>
      </c>
      <c r="L295" s="3">
        <f>IF(K295&lt;-5,"CRÍTICO",IF(K295&lt;0,"ATENÇÃO",IF(K295&lt;=5,"BOM","EXCELENTE")))</f>
        <v/>
      </c>
      <c r="M295" t="n">
        <v>22</v>
      </c>
      <c r="N295" t="n">
        <v>93.26000000000001</v>
      </c>
      <c r="O295" t="n">
        <v>19.93957703927493</v>
      </c>
    </row>
    <row r="296" hidden="1">
      <c r="A296" s="5" t="n">
        <v>46154</v>
      </c>
      <c r="B296" s="6" t="inlineStr">
        <is>
          <t>Claudio de Sousa Velasco Filho</t>
        </is>
      </c>
      <c r="C296" s="3" t="inlineStr">
        <is>
          <t>Estágio</t>
        </is>
      </c>
      <c r="D296" s="3" t="n">
        <v>8</v>
      </c>
      <c r="E296" s="3" t="n">
        <v>7</v>
      </c>
      <c r="I296" s="3">
        <f>E296+G296+H296</f>
        <v/>
      </c>
      <c r="J296" s="3">
        <f>IF(C296="Técnico III","35",IF(C296="Técnico II","28",IF(C296="Técnico I","23",IF(C296="JR","20",IF(C296="Estágio","10",)))))</f>
        <v/>
      </c>
      <c r="K296" s="3">
        <f>I296-J296</f>
        <v/>
      </c>
      <c r="L296" s="3">
        <f>IF(K296&lt;-5,"CRÍTICO",IF(K296&lt;0,"ATENÇÃO",IF(K296&lt;=5,"BOM","EXCELENTE")))</f>
        <v/>
      </c>
      <c r="M296" t="n">
        <v>6</v>
      </c>
      <c r="N296" t="n">
        <v>96.43000000000001</v>
      </c>
      <c r="O296" t="n">
        <v>20</v>
      </c>
    </row>
    <row r="297" hidden="1">
      <c r="A297" s="5" t="n">
        <v>46154</v>
      </c>
      <c r="B297" s="6" t="inlineStr">
        <is>
          <t>Emilly Caylane Costa</t>
        </is>
      </c>
      <c r="C297" s="3" t="inlineStr">
        <is>
          <t>Estágio</t>
        </is>
      </c>
      <c r="D297" s="3" t="n">
        <v>28</v>
      </c>
      <c r="E297" s="3" t="n">
        <v>16</v>
      </c>
      <c r="I297" s="3">
        <f>E297+G297+H297</f>
        <v/>
      </c>
      <c r="J297" s="3">
        <f>IF(C297="Técnico III","35",IF(C297="Técnico II","28",IF(C297="Técnico I","23",IF(C297="JR","20",IF(C297="Estágio","10",)))))</f>
        <v/>
      </c>
      <c r="K297" s="3">
        <f>I297-J297</f>
        <v/>
      </c>
      <c r="L297" s="3">
        <f>IF(K297&lt;-5,"CRÍTICO",IF(K297&lt;0,"ATENÇÃO",IF(K297&lt;=5,"BOM","EXCELENTE")))</f>
        <v/>
      </c>
      <c r="M297" t="n">
        <v>0</v>
      </c>
      <c r="N297" t="n">
        <v>100</v>
      </c>
      <c r="O297" t="n">
        <v>29.03225806451613</v>
      </c>
    </row>
    <row r="298" hidden="1">
      <c r="A298" s="5" t="n">
        <v>46154</v>
      </c>
      <c r="B298" s="6" t="inlineStr">
        <is>
          <t>Maria Eduarda Sousa Costa</t>
        </is>
      </c>
      <c r="C298" s="3" t="inlineStr">
        <is>
          <t>Estágio</t>
        </is>
      </c>
      <c r="D298" s="3" t="n">
        <v>45</v>
      </c>
      <c r="E298" s="3" t="n">
        <v>27</v>
      </c>
      <c r="I298" s="3">
        <f>E298+G298+H298</f>
        <v/>
      </c>
      <c r="J298" s="3">
        <f>IF(C298="Técnico III","35",IF(C298="Técnico II","28",IF(C298="Técnico I","23",IF(C298="JR","20",IF(C298="Estágio","10",)))))</f>
        <v/>
      </c>
      <c r="K298" s="3">
        <f>I298-J298</f>
        <v/>
      </c>
      <c r="L298" s="3">
        <f>IF(K298&lt;-5,"CRÍTICO",IF(K298&lt;0,"ATENÇÃO",IF(K298&lt;=5,"BOM","EXCELENTE")))</f>
        <v/>
      </c>
      <c r="M298" t="n">
        <v>1</v>
      </c>
      <c r="N298" t="n">
        <v>100</v>
      </c>
      <c r="O298" t="n">
        <v>11.86440677966102</v>
      </c>
    </row>
    <row r="299" hidden="1">
      <c r="A299" s="5" t="n">
        <v>46154</v>
      </c>
      <c r="B299" s="6" t="inlineStr">
        <is>
          <t>Michelle G Santos</t>
        </is>
      </c>
      <c r="C299" s="3" t="inlineStr">
        <is>
          <t>Estágio</t>
        </is>
      </c>
      <c r="D299" s="3" t="n">
        <v>9</v>
      </c>
      <c r="E299" s="3" t="n">
        <v>7</v>
      </c>
      <c r="I299" s="3">
        <f>E299+G299+H299</f>
        <v/>
      </c>
      <c r="J299" s="3">
        <f>IF(C299="Técnico III","35",IF(C299="Técnico II","28",IF(C299="Técnico I","23",IF(C299="JR","20",IF(C299="Estágio","10",)))))</f>
        <v/>
      </c>
      <c r="K299" s="3">
        <f>I299-J299</f>
        <v/>
      </c>
      <c r="L299" s="3">
        <f>IF(K299&lt;-5,"CRÍTICO",IF(K299&lt;0,"ATENÇÃO",IF(K299&lt;=5,"BOM","EXCELENTE")))</f>
        <v/>
      </c>
      <c r="M299" t="n">
        <v>4</v>
      </c>
      <c r="N299" t="n">
        <v>100</v>
      </c>
      <c r="O299" t="n">
        <v>16.8141592920354</v>
      </c>
    </row>
    <row r="300" hidden="1">
      <c r="A300" s="5" t="n">
        <v>46154</v>
      </c>
      <c r="B300" s="6" t="inlineStr">
        <is>
          <t>Quirino Diogo Leite Torres</t>
        </is>
      </c>
      <c r="C300" s="3" t="inlineStr">
        <is>
          <t>Estágio</t>
        </is>
      </c>
      <c r="D300" s="3" t="n">
        <v>20</v>
      </c>
      <c r="E300" s="3" t="n">
        <v>17</v>
      </c>
      <c r="G300" s="3" t="n">
        <v>0</v>
      </c>
      <c r="H300" s="3" t="n">
        <v>0</v>
      </c>
      <c r="I300" s="3">
        <f>E300+G300+H300</f>
        <v/>
      </c>
      <c r="J300" s="3">
        <f>IF(C300="Técnico III","35",IF(C300="Técnico II","28",IF(C300="Técnico I","23",IF(C300="JR","20",IF(C300="Estágio","10",)))))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13</v>
      </c>
      <c r="N300" t="n">
        <v>98.11</v>
      </c>
      <c r="O300" t="n">
        <v>20.40816326530612</v>
      </c>
    </row>
    <row r="301" hidden="1">
      <c r="A301" s="5" t="n">
        <v>46154</v>
      </c>
      <c r="B301" s="6" t="inlineStr">
        <is>
          <t>Matheus Farias De Souza</t>
        </is>
      </c>
      <c r="C301" s="3" t="inlineStr">
        <is>
          <t>Técnico III</t>
        </is>
      </c>
      <c r="D301" s="3" t="n">
        <v>0</v>
      </c>
      <c r="E301" s="3" t="n">
        <v>0</v>
      </c>
      <c r="H301" s="3" t="n">
        <v>51</v>
      </c>
      <c r="I301" s="3">
        <f>E301+G301+H301</f>
        <v/>
      </c>
      <c r="J301" s="3">
        <f>IF(C301="Técnico III","35",IF(C301="Técnico II","28",IF(C301="Técnico I","23",IF(C301="JR","20",IF(C301="Estágio","10",)))))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98.28</v>
      </c>
      <c r="O301" t="n">
        <v>9.037900874635568</v>
      </c>
    </row>
    <row r="302" hidden="1">
      <c r="A302" s="5" t="n">
        <v>46154</v>
      </c>
      <c r="B302" s="6" t="inlineStr">
        <is>
          <t>Maysa Victoria Dias Moura</t>
        </is>
      </c>
      <c r="C302" s="3" t="inlineStr">
        <is>
          <t>Técnico III</t>
        </is>
      </c>
      <c r="D302" s="3" t="n">
        <v>36</v>
      </c>
      <c r="E302" s="3" t="n">
        <v>31</v>
      </c>
      <c r="G302" s="3" t="n">
        <v>2</v>
      </c>
      <c r="I302" s="3">
        <f>E302+G302+H302</f>
        <v/>
      </c>
      <c r="J302" s="3">
        <f>IF(C302="Técnico III","35",IF(C302="Técnico II","28",IF(C302="Técnico I","23",IF(C302="JR","20",IF(C302="Estágio","10",)))))</f>
        <v/>
      </c>
      <c r="K302" s="3">
        <f>I302-J302</f>
        <v/>
      </c>
      <c r="L302" s="3">
        <f>IF(K302&lt;-5,"CRÍTICO",IF(K302&lt;0,"ATENÇÃO",IF(K302&lt;=5,"BOM","EXCELENTE")))</f>
        <v/>
      </c>
      <c r="M302" t="n">
        <v>28</v>
      </c>
      <c r="N302" t="n">
        <v>97.22</v>
      </c>
      <c r="O302" t="n">
        <v>19.09547738693467</v>
      </c>
    </row>
    <row r="303" hidden="1">
      <c r="A303" s="5" t="n">
        <v>46154</v>
      </c>
      <c r="B303" s="6" t="inlineStr">
        <is>
          <t>Milena Sales</t>
        </is>
      </c>
      <c r="C303" s="3" t="inlineStr">
        <is>
          <t>JR</t>
        </is>
      </c>
      <c r="D303" s="3" t="n">
        <v>47</v>
      </c>
      <c r="E303" s="3" t="n">
        <v>23</v>
      </c>
      <c r="I303" s="3">
        <f>E303+G303+H303</f>
        <v/>
      </c>
      <c r="J303" s="3">
        <f>IF(C303="Técnico III","35",IF(C303="Técnico II","28",IF(C303="Técnico I","23",IF(C303="JR","20",IF(C303="Estágio","10",)))))</f>
        <v/>
      </c>
      <c r="K303" s="3">
        <f>I303-J303</f>
        <v/>
      </c>
      <c r="L303" s="3">
        <f>IF(K303&lt;-5,"CRÍTICO",IF(K303&lt;0,"ATENÇÃO",IF(K303&lt;=5,"BOM","EXCELENTE")))</f>
        <v/>
      </c>
      <c r="M303" t="n">
        <v>15</v>
      </c>
      <c r="N303" t="n">
        <v>98</v>
      </c>
      <c r="O303" t="n">
        <v>16.43835616438356</v>
      </c>
    </row>
    <row r="304" hidden="1">
      <c r="A304" s="5" t="n">
        <v>46154</v>
      </c>
      <c r="B304" s="6" t="inlineStr">
        <is>
          <t>Patrícia Karla de Sousa Araújo</t>
        </is>
      </c>
      <c r="C304" s="3" t="inlineStr">
        <is>
          <t>Técnico II</t>
        </is>
      </c>
      <c r="D304" s="3" t="n">
        <v>30</v>
      </c>
      <c r="E304" s="3" t="n">
        <v>26</v>
      </c>
      <c r="I304" s="3">
        <f>E304+G304+H304</f>
        <v/>
      </c>
      <c r="J304" s="3">
        <f>IF(C304="Técnico III","35",IF(C304="Técnico II","28",IF(C304="Técnico I","23",IF(C304="JR","20",IF(C304="Estágio","10",)))))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22</v>
      </c>
      <c r="N304" t="n">
        <v>100</v>
      </c>
      <c r="O304" t="n">
        <v>16.89497716894977</v>
      </c>
    </row>
    <row r="305" hidden="1">
      <c r="A305" s="5" t="n">
        <v>46154</v>
      </c>
      <c r="B305" s="6" t="inlineStr">
        <is>
          <t>Paulo Ricardo Santos</t>
        </is>
      </c>
      <c r="C305" s="3" t="inlineStr">
        <is>
          <t>JR</t>
        </is>
      </c>
      <c r="D305" s="3" t="n">
        <v>21</v>
      </c>
      <c r="E305" s="3" t="n">
        <v>21</v>
      </c>
      <c r="I305" s="3">
        <f>E305+G305+H305</f>
        <v/>
      </c>
      <c r="J305" s="3">
        <f>IF(C305="Técnico III","35",IF(C305="Técnico II","28",IF(C305="Técnico I","23",IF(C305="JR","20",IF(C305="Estágio","10",)))))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19</v>
      </c>
      <c r="N305" t="n">
        <v>100</v>
      </c>
      <c r="O305" t="n">
        <v>19.13875598086124</v>
      </c>
    </row>
    <row r="306" hidden="1">
      <c r="A306" s="5" t="n">
        <v>46154</v>
      </c>
      <c r="B306" s="6" t="inlineStr">
        <is>
          <t>Pedro Luiz Mota Sousa</t>
        </is>
      </c>
      <c r="C306" s="3" t="inlineStr">
        <is>
          <t>JR</t>
        </is>
      </c>
      <c r="D306" s="3" t="n">
        <v>12</v>
      </c>
      <c r="E306" s="3" t="n">
        <v>12</v>
      </c>
      <c r="I306" s="3">
        <f>E306+G306+H306</f>
        <v/>
      </c>
      <c r="J306" s="3">
        <f>IF(C306="Técnico III","35",IF(C306="Técnico II","28",IF(C306="Técnico I","23",IF(C306="JR","20",IF(C306="Estágio","10",)))))</f>
        <v/>
      </c>
      <c r="K306" s="3">
        <f>I306-J306</f>
        <v/>
      </c>
      <c r="L306" s="3">
        <f>IF(K306&lt;-5,"CRÍTICO",IF(K306&lt;0,"ATENÇÃO",IF(K306&lt;=5,"BOM","EXCELENTE")))</f>
        <v/>
      </c>
      <c r="M306" t="n">
        <v>9</v>
      </c>
      <c r="N306" t="n">
        <v>100</v>
      </c>
      <c r="O306" t="n">
        <v>15.02145922746781</v>
      </c>
    </row>
    <row r="307" hidden="1">
      <c r="A307" s="5" t="n">
        <v>46154</v>
      </c>
      <c r="B307" s="6" t="inlineStr">
        <is>
          <t>Raane Batista Matos</t>
        </is>
      </c>
      <c r="C307" s="3" t="inlineStr">
        <is>
          <t>Técnico I</t>
        </is>
      </c>
      <c r="D307" s="3" t="n">
        <v>27</v>
      </c>
      <c r="E307" s="3" t="n">
        <v>26</v>
      </c>
      <c r="G307" s="3" t="n">
        <v>1</v>
      </c>
      <c r="I307" s="3">
        <f>E307+G307+H307</f>
        <v/>
      </c>
      <c r="J307" s="3">
        <f>IF(C307="Técnico III","35",IF(C307="Técnico II","28",IF(C307="Técnico I","23",IF(C307="JR","20",IF(C307="Estágio","10",)))))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20</v>
      </c>
      <c r="N307" t="n">
        <v>97.56</v>
      </c>
      <c r="O307" t="n">
        <v>19.28783382789317</v>
      </c>
    </row>
    <row r="308" hidden="1">
      <c r="A308" s="5" t="n">
        <v>46154</v>
      </c>
      <c r="B308" s="6" t="inlineStr">
        <is>
          <t>Rafael Gomes de Morais</t>
        </is>
      </c>
      <c r="C308" s="3" t="inlineStr">
        <is>
          <t>Técnico III</t>
        </is>
      </c>
      <c r="D308" s="3" t="n">
        <v>33</v>
      </c>
      <c r="E308" s="3" t="n">
        <v>28</v>
      </c>
      <c r="G308" s="3" t="n">
        <v>1</v>
      </c>
      <c r="I308" s="3">
        <f>E308+G308+H308</f>
        <v/>
      </c>
      <c r="J308" s="3">
        <f>IF(C308="Técnico III","35",IF(C308="Técnico II","28",IF(C308="Técnico I","23",IF(C308="JR","20",IF(C308="Estágio","10",)))))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22</v>
      </c>
      <c r="N308" t="n">
        <v>99.29000000000001</v>
      </c>
      <c r="O308" t="n">
        <v>22.49443207126949</v>
      </c>
    </row>
    <row r="309" hidden="1">
      <c r="A309" s="5" t="n">
        <v>46154</v>
      </c>
      <c r="B309" s="6" t="inlineStr">
        <is>
          <t>Sara Maria Monteiro Lopes</t>
        </is>
      </c>
      <c r="C309" s="3" t="inlineStr">
        <is>
          <t>Técnico I</t>
        </is>
      </c>
      <c r="D309" s="3" t="n">
        <v>19</v>
      </c>
      <c r="E309" s="3" t="n">
        <v>19</v>
      </c>
      <c r="I309" s="3">
        <f>E309+G309+H309</f>
        <v/>
      </c>
      <c r="J309" s="3">
        <f>IF(C309="Técnico III","35",IF(C309="Técnico II","28",IF(C309="Técnico I","23",IF(C309="JR","20",IF(C309="Estágio","10",)))))</f>
        <v/>
      </c>
      <c r="K309" s="3">
        <f>I309-J309</f>
        <v/>
      </c>
      <c r="L309" s="3">
        <f>IF(K309&lt;-5,"CRÍTICO",IF(K309&lt;0,"ATENÇÃO",IF(K309&lt;=5,"BOM","EXCELENTE")))</f>
        <v/>
      </c>
      <c r="M309" t="n">
        <v>19</v>
      </c>
      <c r="N309" t="n">
        <v>100</v>
      </c>
      <c r="O309" t="n">
        <v>16.97247706422019</v>
      </c>
    </row>
    <row r="310" hidden="1">
      <c r="A310" s="5" t="n">
        <v>46154</v>
      </c>
      <c r="B310" s="6" t="inlineStr">
        <is>
          <t>Sarah Steffanie de Lima Borges</t>
        </is>
      </c>
      <c r="C310" s="3" t="inlineStr">
        <is>
          <t>Técnico III</t>
        </is>
      </c>
      <c r="D310" s="3" t="n">
        <v>29</v>
      </c>
      <c r="E310" s="3" t="n">
        <v>28</v>
      </c>
      <c r="G310" s="3" t="n">
        <v>4</v>
      </c>
      <c r="I310" s="3">
        <f>E310+G310+H310</f>
        <v/>
      </c>
      <c r="J310" s="3">
        <f>IF(C310="Técnico III","35",IF(C310="Técnico II","28",IF(C310="Técnico I","23",IF(C310="JR","20",IF(C310="Estágio","10",)))))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25</v>
      </c>
      <c r="N310" t="n">
        <v>97.33</v>
      </c>
      <c r="O310" t="n">
        <v>15.80547112462006</v>
      </c>
    </row>
    <row r="311" hidden="1">
      <c r="A311" s="5" t="n">
        <v>46155</v>
      </c>
      <c r="B311" s="6" t="inlineStr">
        <is>
          <t>Alisson de Freitas Silva</t>
        </is>
      </c>
      <c r="C311" s="3" t="inlineStr">
        <is>
          <t>Técnico II</t>
        </is>
      </c>
      <c r="D311" s="3" t="n">
        <v>28</v>
      </c>
      <c r="E311" s="3" t="n">
        <v>21</v>
      </c>
      <c r="G311" s="3" t="n">
        <v>2</v>
      </c>
      <c r="I311" s="3">
        <f>E311+G311+H311</f>
        <v/>
      </c>
      <c r="J311" s="3">
        <f>IF(C311="Técnico III","35",IF(C311="Técnico II","28",IF(C311="Técnico I","23",IF(C311="JR","20",IF(C311="Estágio","10",)))))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17</v>
      </c>
      <c r="N311" s="3" t="n">
        <v>98.94</v>
      </c>
      <c r="O311" s="3" t="n">
        <v>19.61414790996785</v>
      </c>
    </row>
    <row r="312" hidden="1">
      <c r="A312" s="5" t="n">
        <v>46155</v>
      </c>
      <c r="B312" s="6" t="inlineStr">
        <is>
          <t>Amanda Moura Ferreira</t>
        </is>
      </c>
      <c r="C312" s="3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IF(K312&lt;-5,"CRÍTICO",IF(K312&lt;0,"ATENÇÃO",IF(K312&lt;=5,"BOM","EXCELENTE")))</f>
        <v/>
      </c>
      <c r="M312" s="9" t="n">
        <v>0</v>
      </c>
      <c r="N312" s="9" t="n">
        <v>100</v>
      </c>
      <c r="O312" s="9" t="n">
        <v>0</v>
      </c>
    </row>
    <row r="313" hidden="1">
      <c r="A313" s="5" t="n">
        <v>46155</v>
      </c>
      <c r="B313" s="6" t="inlineStr">
        <is>
          <t>Ana Karollyne Souza Faria</t>
        </is>
      </c>
      <c r="C313" s="3" t="inlineStr">
        <is>
          <t>Técnico I</t>
        </is>
      </c>
      <c r="D313" s="3" t="n">
        <v>25</v>
      </c>
      <c r="E313" s="3" t="n">
        <v>21</v>
      </c>
      <c r="G313" s="3" t="n">
        <v>7</v>
      </c>
      <c r="I313" s="3">
        <f>E313+G313+H313</f>
        <v/>
      </c>
      <c r="J313" s="3">
        <f>IF(C313="Técnico III","35",IF(C313="Técnico II","28",IF(C313="Técnico I","23",IF(C313="JR","20",IF(C313="Estágio","10",)))))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26</v>
      </c>
      <c r="N313" s="3" t="n">
        <v>95.38</v>
      </c>
      <c r="O313" s="3" t="n">
        <v>21.5962441314554</v>
      </c>
    </row>
    <row r="314" hidden="1">
      <c r="A314" s="5" t="n">
        <v>46155</v>
      </c>
      <c r="B314" s="6" t="inlineStr">
        <is>
          <t>Ana Paula Da Luz Silva Aleixo</t>
        </is>
      </c>
      <c r="C314" s="9" t="inlineStr">
        <is>
          <t>Técnico III</t>
        </is>
      </c>
      <c r="D314" s="3" t="n">
        <v>26</v>
      </c>
      <c r="E314" s="3" t="n">
        <v>23</v>
      </c>
      <c r="I314" s="3">
        <f>E314+G314+H314</f>
        <v/>
      </c>
      <c r="J314" s="3">
        <f>IF(C314="Técnico III","35",IF(C314="Técnico II","28",IF(C314="Técnico I","23",IF(C314="JR","20",IF(C314="Estágio","10",)))))</f>
        <v/>
      </c>
      <c r="K314" s="3">
        <f>I314-J314</f>
        <v/>
      </c>
      <c r="L314" s="3">
        <f>IF(K314&lt;-5,"CRÍTICO",IF(K314&lt;0,"ATENÇÃO",IF(K314&lt;=5,"BOM","EXCELENTE")))</f>
        <v/>
      </c>
      <c r="M314" t="n">
        <v>21</v>
      </c>
      <c r="N314" t="n">
        <v>96.34</v>
      </c>
      <c r="O314" t="n">
        <v>17.57188498402556</v>
      </c>
    </row>
    <row r="315" hidden="1">
      <c r="A315" s="5" t="n">
        <v>46155</v>
      </c>
      <c r="B315" s="6" t="inlineStr">
        <is>
          <t>Brenda de Menezes Silva</t>
        </is>
      </c>
      <c r="C315" s="3" t="inlineStr">
        <is>
          <t>Técnico II</t>
        </is>
      </c>
      <c r="D315" s="3" t="n">
        <v>33</v>
      </c>
      <c r="E315" s="3" t="n">
        <v>29</v>
      </c>
      <c r="G315" s="3" t="n">
        <v>1</v>
      </c>
      <c r="I315" s="3">
        <f>E315+G315+H315</f>
        <v/>
      </c>
      <c r="J315" s="3">
        <f>IF(C315="Técnico III","35",IF(C315="Técnico II","28",IF(C315="Técnico I","23",IF(C315="JR","20",IF(C315="Estágio","10",)))))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30</v>
      </c>
      <c r="N315" t="n">
        <v>99.13</v>
      </c>
      <c r="O315" t="n">
        <v>14.7239263803681</v>
      </c>
    </row>
    <row r="316" hidden="1">
      <c r="A316" s="5" t="n">
        <v>46155</v>
      </c>
      <c r="B316" s="6" t="inlineStr">
        <is>
          <t>Carlos Mateus Cassimiro Nunes</t>
        </is>
      </c>
      <c r="C316" s="9" t="inlineStr">
        <is>
          <t>Técnico II</t>
        </is>
      </c>
      <c r="D316" s="3" t="n">
        <v>17</v>
      </c>
      <c r="E316" s="3" t="n">
        <v>16</v>
      </c>
      <c r="G316" s="3" t="n">
        <v>5</v>
      </c>
      <c r="I316" s="3">
        <f>E316+G316+H316</f>
        <v/>
      </c>
      <c r="J316" s="3">
        <f>IF(C316="Técnico III","35",IF(C316="Técnico II","28",IF(C316="Técnico I","23",IF(C316="JR","20",IF(C316="Estágio","10",)))))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19</v>
      </c>
      <c r="N316" t="n">
        <v>98.8</v>
      </c>
      <c r="O316" t="n">
        <v>16.89750692520776</v>
      </c>
    </row>
    <row r="317" hidden="1">
      <c r="A317" s="5" t="n">
        <v>46155</v>
      </c>
      <c r="B317" s="6" t="inlineStr">
        <is>
          <t>Clessiane Pereira dos Santos</t>
        </is>
      </c>
      <c r="C317" s="3" t="inlineStr">
        <is>
          <t>Técnico I</t>
        </is>
      </c>
      <c r="D317" s="3" t="n">
        <v>37</v>
      </c>
      <c r="E317" s="3" t="n">
        <v>32</v>
      </c>
      <c r="G317" s="3" t="n">
        <v>3</v>
      </c>
      <c r="I317" s="3">
        <f>E317+G317+H317</f>
        <v/>
      </c>
      <c r="J317" s="3">
        <f>IF(C317="Técnico III","35",IF(C317="Técnico II","28",IF(C317="Técnico I","23",IF(C317="JR","20",IF(C317="Estágio","10",)))))</f>
        <v/>
      </c>
      <c r="K317" s="3">
        <f>I317-J317</f>
        <v/>
      </c>
      <c r="L317" s="3">
        <f>IF(K317&lt;-5,"CRÍTICO",IF(K317&lt;0,"ATENÇÃO",IF(K317&lt;=5,"BOM","EXCELENTE")))</f>
        <v/>
      </c>
      <c r="M317" t="n">
        <v>26</v>
      </c>
      <c r="N317" t="n">
        <v>96.88</v>
      </c>
      <c r="O317" t="n">
        <v>19.52662721893491</v>
      </c>
    </row>
    <row r="318" hidden="1">
      <c r="A318" s="5" t="n">
        <v>46155</v>
      </c>
      <c r="B318" s="6" t="inlineStr">
        <is>
          <t>Cristiane Ramos da Silva Rocha</t>
        </is>
      </c>
      <c r="C318" s="3" t="inlineStr">
        <is>
          <t>Técnico III</t>
        </is>
      </c>
      <c r="D318" s="3" t="n">
        <v>34</v>
      </c>
      <c r="E318" s="3" t="n">
        <v>30</v>
      </c>
      <c r="I318" s="3">
        <f>E318+G318+H318</f>
        <v/>
      </c>
      <c r="J318" s="3">
        <f>IF(C318="Técnico III","35",IF(C318="Técnico II","28",IF(C318="Técnico I","23",IF(C318="JR","20",IF(C318="Estágio","10",)))))</f>
        <v/>
      </c>
      <c r="K318" s="3">
        <f>I318-J318</f>
        <v/>
      </c>
      <c r="L318" s="3">
        <f>IF(K318&lt;-5,"CRÍTICO",IF(K318&lt;0,"ATENÇÃO",IF(K318&lt;=5,"BOM","EXCELENTE")))</f>
        <v/>
      </c>
      <c r="M318" t="n">
        <v>31</v>
      </c>
      <c r="N318" t="n">
        <v>91.84999999999999</v>
      </c>
      <c r="O318" t="n">
        <v>20.87155963302752</v>
      </c>
    </row>
    <row r="319" hidden="1">
      <c r="A319" s="5" t="n">
        <v>46155</v>
      </c>
      <c r="B319" s="6" t="inlineStr">
        <is>
          <t>Damyllis Lorraine de Oliveira Gonçalves</t>
        </is>
      </c>
      <c r="C319" s="3" t="inlineStr">
        <is>
          <t>Técnico II</t>
        </is>
      </c>
      <c r="D319" s="3" t="n">
        <v>12</v>
      </c>
      <c r="E319" s="3" t="n">
        <v>9</v>
      </c>
      <c r="G319" s="3" t="n">
        <v>4</v>
      </c>
      <c r="I319" s="3">
        <f>E319+G319+H319</f>
        <v/>
      </c>
      <c r="J319" s="3">
        <f>IF(C319="Técnico III","35",IF(C319="Técnico II","28",IF(C319="Técnico I","23",IF(C319="JR","20",IF(C319="Estágio","10",)))))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13</v>
      </c>
      <c r="N319" t="n">
        <v>98.63</v>
      </c>
      <c r="O319" t="n">
        <v>18.75</v>
      </c>
    </row>
    <row r="320" hidden="1">
      <c r="A320" s="5" t="n">
        <v>46155</v>
      </c>
      <c r="B320" s="6" t="inlineStr">
        <is>
          <t>Daniel Gomes da Silva</t>
        </is>
      </c>
      <c r="C320" s="3" t="inlineStr">
        <is>
          <t>Técnico I</t>
        </is>
      </c>
      <c r="D320" s="3" t="n">
        <v>17</v>
      </c>
      <c r="E320" s="3" t="n">
        <v>16</v>
      </c>
      <c r="G320" s="3" t="n">
        <v>5</v>
      </c>
      <c r="I320" s="3">
        <f>E320+G320+H320</f>
        <v/>
      </c>
      <c r="J320" s="3">
        <f>IF(C320="Técnico III","35",IF(C320="Técnico II","28",IF(C320="Técnico I","23",IF(C320="JR","20",IF(C320="Estágio","10",)))))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19</v>
      </c>
      <c r="N320" t="n">
        <v>100</v>
      </c>
      <c r="O320" t="n">
        <v>18.14516129032258</v>
      </c>
    </row>
    <row r="321" hidden="1">
      <c r="A321" s="5" t="n">
        <v>46155</v>
      </c>
      <c r="B321" s="6" t="inlineStr">
        <is>
          <t>Davylla Rodrigues Freitas Silva</t>
        </is>
      </c>
      <c r="C321" s="9" t="inlineStr">
        <is>
          <t>Técnico III</t>
        </is>
      </c>
      <c r="D321" s="3" t="n">
        <v>23</v>
      </c>
      <c r="E321" s="3" t="n">
        <v>23</v>
      </c>
      <c r="I321" s="3">
        <f>E321+G321+H321</f>
        <v/>
      </c>
      <c r="J321" s="3">
        <f>IF(C321="Técnico III","35",IF(C321="Técnico II","28",IF(C321="Técnico I","23",IF(C321="JR","20",IF(C321="Estágio","10",)))))</f>
        <v/>
      </c>
      <c r="K321" s="3">
        <f>I321-J321</f>
        <v/>
      </c>
      <c r="L321" s="3">
        <f>IF(K321&lt;-5,"CRÍTICO",IF(K321&lt;0,"ATENÇÃO",IF(K321&lt;=5,"BOM","EXCELENTE")))</f>
        <v/>
      </c>
      <c r="M321" t="n">
        <v>21</v>
      </c>
      <c r="N321" t="n">
        <v>99.06</v>
      </c>
      <c r="O321" t="n">
        <v>22.95719844357977</v>
      </c>
    </row>
    <row r="322" hidden="1">
      <c r="A322" s="5" t="n">
        <v>46155</v>
      </c>
      <c r="B322" s="6" t="inlineStr">
        <is>
          <t>Emilly Kamilly Medeiros Miranda</t>
        </is>
      </c>
      <c r="C322" s="3" t="inlineStr">
        <is>
          <t>Técnico II</t>
        </is>
      </c>
      <c r="D322" s="3" t="n">
        <v>28</v>
      </c>
      <c r="E322" s="3" t="n">
        <v>25</v>
      </c>
      <c r="G322" s="3" t="n">
        <v>2</v>
      </c>
      <c r="I322" s="3">
        <f>E322+G322+H322</f>
        <v/>
      </c>
      <c r="J322" s="3">
        <f>IF(C322="Técnico III","35",IF(C322="Técnico II","28",IF(C322="Técnico I","23",IF(C322="JR","20",IF(C322="Estágio","10",)))))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19</v>
      </c>
      <c r="N322" t="n">
        <v>100</v>
      </c>
      <c r="O322" t="n">
        <v>13.8121546961326</v>
      </c>
    </row>
    <row r="323" hidden="1">
      <c r="A323" s="5" t="n">
        <v>46155</v>
      </c>
      <c r="B323" s="6" t="inlineStr">
        <is>
          <t>Francielson de Oliveira</t>
        </is>
      </c>
      <c r="C323" s="9" t="inlineStr">
        <is>
          <t>Técnico III</t>
        </is>
      </c>
      <c r="D323" s="3" t="n">
        <v>0</v>
      </c>
      <c r="E323" s="3" t="n">
        <v>0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>
        <f>IF(K323&lt;-5,"CRÍTICO",IF(K323&lt;0,"ATENÇÃO",IF(K323&lt;=5,"BOM","EXCELENTE")))</f>
        <v/>
      </c>
      <c r="M323" t="n">
        <v>0</v>
      </c>
      <c r="N323" t="n">
        <v>100</v>
      </c>
      <c r="O323" t="n">
        <v>9.523809523809524</v>
      </c>
    </row>
    <row r="324" hidden="1">
      <c r="A324" s="5" t="n">
        <v>46155</v>
      </c>
      <c r="B324" s="6" t="inlineStr">
        <is>
          <t>Francilene Ferreira de Jesus</t>
        </is>
      </c>
      <c r="C324" s="3" t="inlineStr">
        <is>
          <t>Técnico 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t="n">
        <v>0</v>
      </c>
      <c r="N324" t="n">
        <v>100</v>
      </c>
      <c r="O324" t="n">
        <v>17.24137931034483</v>
      </c>
    </row>
    <row r="325" hidden="1">
      <c r="A325" s="5" t="n">
        <v>46155</v>
      </c>
      <c r="B325" s="6" t="inlineStr">
        <is>
          <t>Gabriel Gomes de Andrade</t>
        </is>
      </c>
      <c r="C325" s="3" t="inlineStr">
        <is>
          <t>Técnico I</t>
        </is>
      </c>
      <c r="D325" s="3" t="n">
        <v>20</v>
      </c>
      <c r="E325" s="3" t="n">
        <v>16</v>
      </c>
      <c r="G325" s="3" t="n">
        <v>11</v>
      </c>
      <c r="H325" s="3" t="n">
        <v>7</v>
      </c>
      <c r="I325" s="3">
        <f>E325+G325+H325</f>
        <v/>
      </c>
      <c r="J325" s="3">
        <f>IF(C325="Técnico III","35",IF(C325="Técnico II","28",IF(C325="Técnico I","23",IF(C325="JR","20",IF(C325="Estágio","10",)))))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18</v>
      </c>
      <c r="N325" t="n">
        <v>98.8</v>
      </c>
      <c r="O325" t="n">
        <v>15.41353383458646</v>
      </c>
    </row>
    <row r="326" hidden="1">
      <c r="A326" s="5" t="n">
        <v>46155</v>
      </c>
      <c r="B326" s="6" t="inlineStr">
        <is>
          <t>Isabella Borges de Oliveira</t>
        </is>
      </c>
      <c r="C326" s="9" t="inlineStr">
        <is>
          <t>Técnico II</t>
        </is>
      </c>
      <c r="D326" s="3" t="n">
        <v>21</v>
      </c>
      <c r="E326" s="3" t="n">
        <v>21</v>
      </c>
      <c r="G326" s="3" t="n">
        <v>1</v>
      </c>
      <c r="I326" s="3">
        <f>E326+G326+H326</f>
        <v/>
      </c>
      <c r="J326" s="3">
        <f>IF(C326="Técnico III","35",IF(C326="Técnico II","28",IF(C326="Técnico I","23",IF(C326="JR","20",IF(C326="Estágio","10",)))))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22</v>
      </c>
      <c r="N326" t="n">
        <v>98.63</v>
      </c>
      <c r="O326" t="n">
        <v>15.75757575757576</v>
      </c>
    </row>
    <row r="327" hidden="1">
      <c r="A327" s="5" t="n">
        <v>46155</v>
      </c>
      <c r="B327" s="6" t="inlineStr">
        <is>
          <t>Janaina Lima dos Reis Urany</t>
        </is>
      </c>
      <c r="C327" s="3" t="inlineStr">
        <is>
          <t>Técnico III</t>
        </is>
      </c>
      <c r="D327" s="3" t="n">
        <v>46</v>
      </c>
      <c r="E327" s="3" t="n">
        <v>40</v>
      </c>
      <c r="G327" s="3" t="n">
        <v>3</v>
      </c>
      <c r="I327" s="3">
        <f>E327+G327+H327</f>
        <v/>
      </c>
      <c r="J327" s="3">
        <f>IF(C327="Técnico III","35",IF(C327="Técnico II","28",IF(C327="Técnico I","23",IF(C327="JR","20",IF(C327="Estágio","10",)))))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37</v>
      </c>
      <c r="N327" t="n">
        <v>98.64</v>
      </c>
      <c r="O327" t="n">
        <v>16.6383701188455</v>
      </c>
    </row>
    <row r="328" hidden="1">
      <c r="A328" s="5" t="n">
        <v>46155</v>
      </c>
      <c r="B328" s="6" t="inlineStr">
        <is>
          <t>Jaqueline Evangelista da Silva Martins</t>
        </is>
      </c>
      <c r="C328" s="3" t="inlineStr">
        <is>
          <t>Técnico III</t>
        </is>
      </c>
      <c r="D328" s="3" t="n">
        <v>30</v>
      </c>
      <c r="E328" s="3" t="n">
        <v>29</v>
      </c>
      <c r="G328" s="3" t="n">
        <v>5</v>
      </c>
      <c r="I328" s="3">
        <f>E328+G328+H328</f>
        <v/>
      </c>
      <c r="J328" s="3">
        <f>IF(C328="Técnico III","35",IF(C328="Técnico II","28",IF(C328="Técnico I","23",IF(C328="JR","20",IF(C328="Estágio","10",)))))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31</v>
      </c>
      <c r="N328" t="n">
        <v>95.40000000000001</v>
      </c>
      <c r="O328" t="n">
        <v>20.53333333333333</v>
      </c>
    </row>
    <row r="329" hidden="1">
      <c r="A329" s="5" t="n">
        <v>46155</v>
      </c>
      <c r="B329" s="6" t="inlineStr">
        <is>
          <t>Jessica Faria da Silveira</t>
        </is>
      </c>
      <c r="C329" s="3" t="inlineStr">
        <is>
          <t>Técnico II</t>
        </is>
      </c>
      <c r="D329" s="3" t="n">
        <v>33</v>
      </c>
      <c r="E329" s="3" t="n">
        <v>27</v>
      </c>
      <c r="I329" s="3">
        <f>E329+G329+H329</f>
        <v/>
      </c>
      <c r="J329" s="3">
        <f>IF(C329="Técnico III","35",IF(C329="Técnico II","28",IF(C329="Técnico I","23",IF(C329="JR","20",IF(C329="Estágio","10",)))))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23</v>
      </c>
      <c r="N329" t="n">
        <v>98.61</v>
      </c>
      <c r="O329" t="n">
        <v>16.97530864197531</v>
      </c>
    </row>
    <row r="330" hidden="1">
      <c r="A330" s="5" t="n">
        <v>46155</v>
      </c>
      <c r="B330" s="6" t="inlineStr">
        <is>
          <t>Jéssica Fé Moura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t="n">
        <v>0</v>
      </c>
      <c r="N330" t="n">
        <v>0</v>
      </c>
      <c r="O330" t="n">
        <v>0</v>
      </c>
    </row>
    <row r="331" hidden="1">
      <c r="A331" s="5" t="n">
        <v>46155</v>
      </c>
      <c r="B331" s="6" t="inlineStr">
        <is>
          <t>Karina Gonçalves Martins</t>
        </is>
      </c>
      <c r="C331" s="3" t="inlineStr">
        <is>
          <t>JR</t>
        </is>
      </c>
      <c r="D331" s="3" t="n">
        <v>17</v>
      </c>
      <c r="E331" s="3" t="n">
        <v>14</v>
      </c>
      <c r="G331" s="3" t="n">
        <v>6</v>
      </c>
      <c r="I331" s="3">
        <f>E331+G331+H331</f>
        <v/>
      </c>
      <c r="J331" s="3">
        <f>IF(C331="Técnico III","35",IF(C331="Técnico II","28",IF(C331="Técnico I","23",IF(C331="JR","20",IF(C331="Estágio","10",)))))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18</v>
      </c>
      <c r="N331" t="n">
        <v>97.01000000000001</v>
      </c>
      <c r="O331" t="n">
        <v>13.96103896103896</v>
      </c>
    </row>
    <row r="332" hidden="1">
      <c r="A332" s="5" t="n">
        <v>46155</v>
      </c>
      <c r="B332" s="6" t="inlineStr">
        <is>
          <t>Kerollen Cristielly de Jesus Siqueira</t>
        </is>
      </c>
      <c r="C332" s="9" t="inlineStr">
        <is>
          <t>Técnico III</t>
        </is>
      </c>
      <c r="D332" s="3" t="n">
        <v>27</v>
      </c>
      <c r="E332" s="3" t="n">
        <v>26</v>
      </c>
      <c r="I332" s="3">
        <f>E332+G332+H332</f>
        <v/>
      </c>
      <c r="J332" s="3">
        <f>IF(C332="Técnico III","35",IF(C332="Técnico II","28",IF(C332="Técnico I","23",IF(C332="JR","20",IF(C332="Estágio","10",)))))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20</v>
      </c>
      <c r="N332" t="n">
        <v>95.52</v>
      </c>
      <c r="O332" t="n">
        <v>10.56105610561056</v>
      </c>
    </row>
    <row r="333" hidden="1">
      <c r="A333" s="5" t="n">
        <v>46155</v>
      </c>
      <c r="B333" s="6" t="inlineStr">
        <is>
          <t>Leandro de Souza Silva</t>
        </is>
      </c>
      <c r="C333" s="3" t="inlineStr">
        <is>
          <t>JR</t>
        </is>
      </c>
      <c r="D333" s="3" t="n">
        <v>0</v>
      </c>
      <c r="E333" s="3" t="n">
        <v>0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0</v>
      </c>
      <c r="N333" t="n">
        <v>100</v>
      </c>
      <c r="O333" t="n">
        <v>16.95906432748538</v>
      </c>
    </row>
    <row r="334" hidden="1">
      <c r="A334" s="5" t="n">
        <v>46155</v>
      </c>
      <c r="B334" s="6" t="inlineStr">
        <is>
          <t>Leandro Oliveira de Sousa</t>
        </is>
      </c>
      <c r="C334" s="9" t="inlineStr">
        <is>
          <t>Técnico III</t>
        </is>
      </c>
      <c r="D334" s="3" t="n">
        <v>25</v>
      </c>
      <c r="E334" s="3" t="n">
        <v>24</v>
      </c>
      <c r="G334" s="3" t="n">
        <v>1</v>
      </c>
      <c r="I334" s="3">
        <f>E334+G334+H334</f>
        <v/>
      </c>
      <c r="J334" s="3">
        <f>IF(C334="Técnico III","35",IF(C334="Técnico II","28",IF(C334="Técnico I","23",IF(C334="JR","20",IF(C334="Estágio","10",)))))</f>
        <v/>
      </c>
      <c r="K334" s="3">
        <f>I334-J334</f>
        <v/>
      </c>
      <c r="L334" s="3">
        <f>IF(K334&lt;-5,"CRÍTICO",IF(K334&lt;0,"ATENÇÃO",IF(K334&lt;=5,"BOM","EXCELENTE")))</f>
        <v/>
      </c>
      <c r="M334" t="n">
        <v>26</v>
      </c>
      <c r="N334" t="n">
        <v>100</v>
      </c>
      <c r="O334" t="n">
        <v>15.58441558441558</v>
      </c>
    </row>
    <row r="335" hidden="1">
      <c r="A335" s="5" t="n">
        <v>46155</v>
      </c>
      <c r="B335" s="6" t="inlineStr">
        <is>
          <t>Lizandra Gomes Duarte</t>
        </is>
      </c>
      <c r="C335" s="3" t="inlineStr">
        <is>
          <t>Técnico II</t>
        </is>
      </c>
      <c r="D335" s="3" t="n">
        <v>21</v>
      </c>
      <c r="E335" s="3" t="n">
        <v>20</v>
      </c>
      <c r="G335" s="3" t="n">
        <v>5</v>
      </c>
      <c r="I335" s="3">
        <f>E335+G335+H335</f>
        <v/>
      </c>
      <c r="J335" s="3">
        <f>IF(C335="Técnico III","35",IF(C335="Técnico II","28",IF(C335="Técnico I","23",IF(C335="JR","20",IF(C335="Estágio","10",)))))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22</v>
      </c>
      <c r="N335" t="n">
        <v>98.61</v>
      </c>
      <c r="O335" t="n">
        <v>16.86746987951807</v>
      </c>
    </row>
    <row r="336" hidden="1">
      <c r="A336" s="5" t="n">
        <v>46155</v>
      </c>
      <c r="B336" s="6" t="inlineStr">
        <is>
          <t>Lorena Dias de Araujo</t>
        </is>
      </c>
      <c r="C336" s="3" t="inlineStr">
        <is>
          <t>Técnico II</t>
        </is>
      </c>
      <c r="D336" s="3" t="n">
        <v>30</v>
      </c>
      <c r="E336" s="3" t="n">
        <v>29</v>
      </c>
      <c r="G336" s="3" t="n">
        <v>1</v>
      </c>
      <c r="I336" s="3">
        <f>E336+G336+H336</f>
        <v/>
      </c>
      <c r="J336" s="3">
        <f>IF(C336="Técnico III","35",IF(C336="Técnico II","28",IF(C336="Técnico I","23",IF(C336="JR","20",IF(C336="Estágio","10",)))))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26</v>
      </c>
      <c r="N336" t="n">
        <v>100</v>
      </c>
      <c r="O336" t="n">
        <v>20.82018927444795</v>
      </c>
    </row>
    <row r="337" hidden="1">
      <c r="A337" s="5" t="n">
        <v>46155</v>
      </c>
      <c r="B337" s="6" t="inlineStr">
        <is>
          <t>Lucas Luiz Romero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t="n">
        <v>0</v>
      </c>
      <c r="N337" t="n">
        <v>100</v>
      </c>
      <c r="O337" t="n">
        <v>4.347826086956522</v>
      </c>
    </row>
    <row r="338" hidden="1">
      <c r="A338" s="5" t="n">
        <v>46155</v>
      </c>
      <c r="B338" s="6" t="inlineStr">
        <is>
          <t>Luiz Fernando de Carvalho Junior</t>
        </is>
      </c>
      <c r="C338" s="3" t="inlineStr">
        <is>
          <t>Técnico I</t>
        </is>
      </c>
      <c r="D338" s="3" t="n">
        <v>24</v>
      </c>
      <c r="E338" s="3" t="n">
        <v>22</v>
      </c>
      <c r="G338" s="3" t="n">
        <v>1</v>
      </c>
      <c r="I338" s="3">
        <f>E338+G338+H338</f>
        <v/>
      </c>
      <c r="J338" s="3">
        <f>IF(C338="Técnico III","35",IF(C338="Técnico II","28",IF(C338="Técnico I","23",IF(C338="JR","20",IF(C338="Estágio","10",)))))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22</v>
      </c>
      <c r="N338" t="n">
        <v>93.26000000000001</v>
      </c>
      <c r="O338" t="n">
        <v>19.93957703927493</v>
      </c>
    </row>
    <row r="339" hidden="1">
      <c r="A339" s="5" t="n">
        <v>46155</v>
      </c>
      <c r="B339" s="6" t="inlineStr">
        <is>
          <t>Anna Luiza Rezende Tavares</t>
        </is>
      </c>
      <c r="C339" s="3" t="inlineStr">
        <is>
          <t>Estágio</t>
        </is>
      </c>
      <c r="D339" s="3" t="n">
        <v>23</v>
      </c>
      <c r="E339" s="3" t="n">
        <v>23</v>
      </c>
      <c r="G339" s="3" t="n">
        <v>0</v>
      </c>
      <c r="H339" s="3" t="n">
        <v>0</v>
      </c>
      <c r="I339" s="3">
        <f>E339+G339+H339</f>
        <v/>
      </c>
      <c r="J339" s="3">
        <f>IF(C339="Técnico III","35",IF(C339="Técnico II","28",IF(C339="Técnico I","23",IF(C339="JR","20",IF(C339="Estágio","10",)))))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18</v>
      </c>
      <c r="N339" t="n">
        <v>99.11</v>
      </c>
      <c r="O339" t="n">
        <v>17.72151898734177</v>
      </c>
    </row>
    <row r="340" hidden="1">
      <c r="A340" s="5" t="n">
        <v>46155</v>
      </c>
      <c r="B340" s="6" t="inlineStr">
        <is>
          <t>Claudio de Sousa Velasco Filho</t>
        </is>
      </c>
      <c r="C340" s="3" t="inlineStr">
        <is>
          <t>Estágio</t>
        </is>
      </c>
      <c r="D340" s="3" t="n">
        <v>5</v>
      </c>
      <c r="E340" s="3" t="n">
        <v>5</v>
      </c>
      <c r="I340" s="3">
        <f>E340+G340+H340</f>
        <v/>
      </c>
      <c r="J340" s="3">
        <f>IF(C340="Técnico III","35",IF(C340="Técnico II","28",IF(C340="Técnico I","23",IF(C340="JR","20",IF(C340="Estágio","10",)))))</f>
        <v/>
      </c>
      <c r="K340" s="3">
        <f>I340-J340</f>
        <v/>
      </c>
      <c r="L340" s="3">
        <f>IF(K340&lt;-5,"CRÍTICO",IF(K340&lt;0,"ATENÇÃO",IF(K340&lt;=5,"BOM","EXCELENTE")))</f>
        <v/>
      </c>
      <c r="M340" t="n">
        <v>5</v>
      </c>
      <c r="N340" t="n">
        <v>96.43000000000001</v>
      </c>
      <c r="O340" t="n">
        <v>20</v>
      </c>
    </row>
    <row r="341" hidden="1">
      <c r="A341" s="5" t="n">
        <v>46155</v>
      </c>
      <c r="B341" s="6" t="inlineStr">
        <is>
          <t>Emilly Caylane Costa</t>
        </is>
      </c>
      <c r="C341" s="3" t="inlineStr">
        <is>
          <t>Estágio</t>
        </is>
      </c>
      <c r="D341" s="3" t="n">
        <v>60</v>
      </c>
      <c r="E341" s="3" t="n">
        <v>19</v>
      </c>
      <c r="I341" s="3">
        <f>E341+G341+H341</f>
        <v/>
      </c>
      <c r="J341" s="3">
        <f>IF(C341="Técnico III","35",IF(C341="Técnico II","28",IF(C341="Técnico I","23",IF(C341="JR","20",IF(C341="Estágio","10",)))))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0</v>
      </c>
      <c r="N341" t="n">
        <v>100</v>
      </c>
      <c r="O341" t="n">
        <v>29.03225806451613</v>
      </c>
    </row>
    <row r="342" hidden="1">
      <c r="A342" s="5" t="n">
        <v>46155</v>
      </c>
      <c r="B342" s="6" t="inlineStr">
        <is>
          <t>Maria Eduarda Sousa Costa</t>
        </is>
      </c>
      <c r="C342" s="3" t="inlineStr">
        <is>
          <t>Estágio</t>
        </is>
      </c>
      <c r="D342" s="3" t="n">
        <v>37</v>
      </c>
      <c r="E342" s="3" t="n">
        <v>23</v>
      </c>
      <c r="G342" s="3" t="n">
        <v>0</v>
      </c>
      <c r="H342" s="3" t="n">
        <v>0</v>
      </c>
      <c r="I342" s="3">
        <f>E342+G342+H342</f>
        <v/>
      </c>
      <c r="J342" s="3">
        <f>IF(C342="Técnico III","35",IF(C342="Técnico II","28",IF(C342="Técnico I","23",IF(C342="JR","20",IF(C342="Estágio","10",)))))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1</v>
      </c>
      <c r="N342" t="n">
        <v>100</v>
      </c>
      <c r="O342" t="n">
        <v>11.86440677966102</v>
      </c>
    </row>
    <row r="343" hidden="1">
      <c r="A343" s="5" t="n">
        <v>46155</v>
      </c>
      <c r="B343" s="6" t="inlineStr">
        <is>
          <t>Michelle G Santos</t>
        </is>
      </c>
      <c r="C343" s="3" t="inlineStr">
        <is>
          <t>Estágio</t>
        </is>
      </c>
      <c r="D343" s="3" t="n">
        <v>6</v>
      </c>
      <c r="E343" s="3" t="n">
        <v>6</v>
      </c>
      <c r="I343" s="3">
        <f>E343+G343+H343</f>
        <v/>
      </c>
      <c r="J343" s="3">
        <f>IF(C343="Técnico III","35",IF(C343="Técnico II","28",IF(C343="Técnico I","23",IF(C343="JR","20",IF(C343="Estágio","10",)))))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5</v>
      </c>
      <c r="N343" t="n">
        <v>100</v>
      </c>
      <c r="O343" t="n">
        <v>16.8141592920354</v>
      </c>
    </row>
    <row r="344" hidden="1">
      <c r="A344" s="5" t="n">
        <v>46155</v>
      </c>
      <c r="B344" s="6" t="inlineStr">
        <is>
          <t>Quirino Diogo Leite Torres</t>
        </is>
      </c>
      <c r="C344" s="3" t="inlineStr">
        <is>
          <t>Estágio</t>
        </is>
      </c>
      <c r="D344" s="3" t="n">
        <v>19</v>
      </c>
      <c r="E344" s="3" t="n">
        <v>18</v>
      </c>
      <c r="I344" s="3">
        <f>E344+G344+H344</f>
        <v/>
      </c>
      <c r="J344" s="3">
        <f>IF(C344="Técnico III","35",IF(C344="Técnico II","28",IF(C344="Técnico I","23",IF(C344="JR","20",IF(C344="Estágio","10",)))))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13</v>
      </c>
      <c r="N344" t="n">
        <v>98.11</v>
      </c>
      <c r="O344" t="n">
        <v>20.40816326530612</v>
      </c>
    </row>
    <row r="345" hidden="1">
      <c r="A345" s="5" t="n">
        <v>46155</v>
      </c>
      <c r="B345" s="6" t="inlineStr">
        <is>
          <t>Matheus Farias De Souza</t>
        </is>
      </c>
      <c r="C345" s="3" t="inlineStr">
        <is>
          <t>Técnico III</t>
        </is>
      </c>
      <c r="D345" s="3" t="n">
        <v>0</v>
      </c>
      <c r="E345" s="3" t="n">
        <v>0</v>
      </c>
      <c r="G345" s="3" t="n">
        <v>0</v>
      </c>
      <c r="H345" s="3" t="n">
        <v>41</v>
      </c>
      <c r="I345" s="3">
        <f>E345+G345+H345</f>
        <v/>
      </c>
      <c r="J345" s="3">
        <f>IF(C345="Técnico III","35",IF(C345="Técnico II","28",IF(C345="Técnico I","23",IF(C345="JR","20",IF(C345="Estágio","10",)))))</f>
        <v/>
      </c>
      <c r="K345" s="3">
        <f>I345-J345</f>
        <v/>
      </c>
      <c r="L345" s="3">
        <f>IF(K345&lt;-5,"CRÍTICO",IF(K345&lt;0,"ATENÇÃO",IF(K345&lt;=5,"BOM","EXCELENTE")))</f>
        <v/>
      </c>
      <c r="M345" t="n">
        <v>28</v>
      </c>
      <c r="N345" t="n">
        <v>98.28</v>
      </c>
      <c r="O345" t="n">
        <v>9.037900874635568</v>
      </c>
    </row>
    <row r="346" hidden="1">
      <c r="A346" s="5" t="n">
        <v>46155</v>
      </c>
      <c r="B346" s="6" t="inlineStr">
        <is>
          <t>Maysa Victoria Dias Moura</t>
        </is>
      </c>
      <c r="C346" s="3" t="inlineStr">
        <is>
          <t>Técnico III</t>
        </is>
      </c>
      <c r="D346" s="3" t="n">
        <v>36</v>
      </c>
      <c r="E346" s="3" t="n">
        <v>30</v>
      </c>
      <c r="G346" s="3" t="n">
        <v>4</v>
      </c>
      <c r="I346" s="3">
        <f>E346+G346+H346</f>
        <v/>
      </c>
      <c r="J346" s="3">
        <f>IF(C346="Técnico III","35",IF(C346="Técnico II","28",IF(C346="Técnico I","23",IF(C346="JR","20",IF(C346="Estágio","10",)))))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29</v>
      </c>
      <c r="N346" t="n">
        <v>97.22</v>
      </c>
      <c r="O346" t="n">
        <v>19.09547738693467</v>
      </c>
    </row>
    <row r="347" hidden="1">
      <c r="A347" s="5" t="n">
        <v>46155</v>
      </c>
      <c r="B347" s="6" t="inlineStr">
        <is>
          <t>Milena Sales</t>
        </is>
      </c>
      <c r="C347" s="3" t="inlineStr">
        <is>
          <t>JR</t>
        </is>
      </c>
      <c r="D347" s="3" t="n">
        <v>27</v>
      </c>
      <c r="E347" s="3" t="n">
        <v>24</v>
      </c>
      <c r="G347" s="3" t="n">
        <v>1</v>
      </c>
      <c r="I347" s="3">
        <f>E347+G347+H347</f>
        <v/>
      </c>
      <c r="J347" s="3">
        <f>IF(C347="Técnico III","35",IF(C347="Técnico II","28",IF(C347="Técnico I","23",IF(C347="JR","20",IF(C347="Estágio","10",)))))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18</v>
      </c>
      <c r="N347" t="n">
        <v>98</v>
      </c>
      <c r="O347" t="n">
        <v>16.43835616438356</v>
      </c>
    </row>
    <row r="348" hidden="1">
      <c r="A348" s="5" t="n">
        <v>46155</v>
      </c>
      <c r="B348" s="6" t="inlineStr">
        <is>
          <t>Patrícia Karla de Sousa Araújo</t>
        </is>
      </c>
      <c r="C348" s="3" t="inlineStr">
        <is>
          <t>Técnico II</t>
        </is>
      </c>
      <c r="D348" s="3" t="n">
        <v>24</v>
      </c>
      <c r="E348" s="3" t="n">
        <v>22</v>
      </c>
      <c r="I348" s="3">
        <f>E348+G348+H348</f>
        <v/>
      </c>
      <c r="J348" s="3">
        <f>IF(C348="Técnico III","35",IF(C348="Técnico II","28",IF(C348="Técnico I","23",IF(C348="JR","20",IF(C348="Estágio","10",)))))</f>
        <v/>
      </c>
      <c r="K348" s="3">
        <f>I348-J348</f>
        <v/>
      </c>
      <c r="L348" s="3">
        <f>IF(K348&lt;-5,"CRÍTICO",IF(K348&lt;0,"ATENÇÃO",IF(K348&lt;=5,"BOM","EXCELENTE")))</f>
        <v/>
      </c>
      <c r="M348" t="n">
        <v>18</v>
      </c>
      <c r="N348" t="n">
        <v>100</v>
      </c>
      <c r="O348" t="n">
        <v>16.89497716894977</v>
      </c>
    </row>
    <row r="349" hidden="1">
      <c r="A349" s="5" t="n">
        <v>46155</v>
      </c>
      <c r="B349" s="6" t="inlineStr">
        <is>
          <t>Paulo Ricardo Santos</t>
        </is>
      </c>
      <c r="C349" s="3" t="inlineStr">
        <is>
          <t>JR</t>
        </is>
      </c>
      <c r="D349" s="3" t="n">
        <v>12</v>
      </c>
      <c r="E349" s="3" t="n">
        <v>11</v>
      </c>
      <c r="I349" s="3">
        <f>E349+G349+H349</f>
        <v/>
      </c>
      <c r="J349" s="3">
        <f>IF(C349="Técnico III","35",IF(C349="Técnico II","28",IF(C349="Técnico I","23",IF(C349="JR","20",IF(C349="Estágio","10",)))))</f>
        <v/>
      </c>
      <c r="K349" s="3">
        <f>I349-J349</f>
        <v/>
      </c>
      <c r="L349" s="3">
        <f>IF(K349&lt;-5,"CRÍTICO",IF(K349&lt;0,"ATENÇÃO",IF(K349&lt;=5,"BOM","EXCELENTE")))</f>
        <v/>
      </c>
      <c r="M349" t="n">
        <v>14</v>
      </c>
      <c r="N349" t="n">
        <v>100</v>
      </c>
      <c r="O349" t="n">
        <v>19.13875598086124</v>
      </c>
    </row>
    <row r="350" hidden="1">
      <c r="A350" s="5" t="n">
        <v>46155</v>
      </c>
      <c r="B350" s="6" t="inlineStr">
        <is>
          <t>Pedro Luiz Mota Sousa</t>
        </is>
      </c>
      <c r="C350" s="3" t="inlineStr">
        <is>
          <t>JR</t>
        </is>
      </c>
      <c r="D350" s="3" t="n">
        <v>15</v>
      </c>
      <c r="E350" s="3" t="n">
        <v>14</v>
      </c>
      <c r="G350" s="3" t="n">
        <v>4</v>
      </c>
      <c r="I350" s="3">
        <f>E350+G350+H350</f>
        <v/>
      </c>
      <c r="J350" s="3">
        <f>IF(C350="Técnico III","35",IF(C350="Técnico II","28",IF(C350="Técnico I","23",IF(C350="JR","20",IF(C350="Estágio","10",)))))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18</v>
      </c>
      <c r="N350" t="n">
        <v>100</v>
      </c>
      <c r="O350" t="n">
        <v>15.02145922746781</v>
      </c>
    </row>
    <row r="351" hidden="1">
      <c r="A351" s="5" t="n">
        <v>46155</v>
      </c>
      <c r="B351" s="6" t="inlineStr">
        <is>
          <t>Raane Batista Matos</t>
        </is>
      </c>
      <c r="C351" s="3" t="inlineStr">
        <is>
          <t>Técnico I</t>
        </is>
      </c>
      <c r="D351" s="3" t="n">
        <v>33</v>
      </c>
      <c r="E351" s="3" t="n">
        <v>31</v>
      </c>
      <c r="G351" s="3" t="n">
        <v>7</v>
      </c>
      <c r="I351" s="3">
        <f>E351+G351+H351</f>
        <v/>
      </c>
      <c r="J351" s="3">
        <f>IF(C351="Técnico III","35",IF(C351="Técnico II","28",IF(C351="Técnico I","23",IF(C351="JR","20",IF(C351="Estágio","10",)))))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97.56</v>
      </c>
      <c r="O351" t="n">
        <v>19.28783382789317</v>
      </c>
    </row>
    <row r="352" hidden="1">
      <c r="A352" s="5" t="n">
        <v>46155</v>
      </c>
      <c r="B352" s="6" t="inlineStr">
        <is>
          <t>Rafael Gomes de Morais</t>
        </is>
      </c>
      <c r="C352" s="3" t="inlineStr">
        <is>
          <t>Técnico III</t>
        </is>
      </c>
      <c r="D352" s="3" t="n">
        <v>36</v>
      </c>
      <c r="E352" s="3" t="n">
        <v>32</v>
      </c>
      <c r="G352" s="3" t="n">
        <v>5</v>
      </c>
      <c r="I352" s="3">
        <f>E352+G352+H352</f>
        <v/>
      </c>
      <c r="J352" s="3">
        <f>IF(C352="Técnico III","35",IF(C352="Técnico II","28",IF(C352="Técnico I","23",IF(C352="JR","20",IF(C352="Estágio","10",)))))</f>
        <v/>
      </c>
      <c r="K352" s="3">
        <f>I352-J352</f>
        <v/>
      </c>
      <c r="L352" s="3">
        <f>IF(K352&lt;-5,"CRÍTICO",IF(K352&lt;0,"ATENÇÃO",IF(K352&lt;=5,"BOM","EXCELENTE")))</f>
        <v/>
      </c>
      <c r="M352" t="n">
        <v>32</v>
      </c>
      <c r="N352" t="n">
        <v>99.29000000000001</v>
      </c>
      <c r="O352" t="n">
        <v>22.49443207126949</v>
      </c>
    </row>
    <row r="353" hidden="1">
      <c r="A353" s="5" t="n">
        <v>46155</v>
      </c>
      <c r="B353" s="6" t="inlineStr">
        <is>
          <t>Sara Maria Monteiro Lopes</t>
        </is>
      </c>
      <c r="C353" s="3" t="inlineStr">
        <is>
          <t>Técnico I</t>
        </is>
      </c>
      <c r="D353" s="3" t="n">
        <v>11</v>
      </c>
      <c r="E353" s="3" t="n">
        <v>10</v>
      </c>
      <c r="G353" s="3" t="n">
        <v>5</v>
      </c>
      <c r="I353" s="3">
        <f>E353+G353+H353</f>
        <v/>
      </c>
      <c r="J353" s="3">
        <f>IF(C353="Técnico III","35",IF(C353="Técnico II","28",IF(C353="Técnico I","23",IF(C353="JR","20",IF(C353="Estágio","10",)))))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16</v>
      </c>
      <c r="N353" t="n">
        <v>100</v>
      </c>
      <c r="O353" t="n">
        <v>16.97247706422019</v>
      </c>
    </row>
    <row r="354" hidden="1">
      <c r="A354" s="5" t="n">
        <v>46155</v>
      </c>
      <c r="B354" s="6" t="inlineStr">
        <is>
          <t>Sarah Steffanie de Lima Borges</t>
        </is>
      </c>
      <c r="C354" s="3" t="inlineStr">
        <is>
          <t>Técnico III</t>
        </is>
      </c>
      <c r="D354" s="3" t="n">
        <v>25</v>
      </c>
      <c r="E354" s="3" t="n">
        <v>23</v>
      </c>
      <c r="I354" s="3">
        <f>E354+G354+H354</f>
        <v/>
      </c>
      <c r="J354" s="3">
        <f>IF(C354="Técnico III","35",IF(C354="Técnico II","28",IF(C354="Técnico I","23",IF(C354="JR","20",IF(C354="Estágio","10",)))))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21</v>
      </c>
      <c r="N354" t="n">
        <v>97.33</v>
      </c>
      <c r="O354" t="n">
        <v>15.80547112462006</v>
      </c>
    </row>
    <row r="355" hidden="1">
      <c r="A355" s="5" t="n">
        <v>46156</v>
      </c>
      <c r="B355" s="6" t="inlineStr">
        <is>
          <t>Alisson de Freitas Silva</t>
        </is>
      </c>
      <c r="C355" s="3" t="inlineStr">
        <is>
          <t>Técnico II</t>
        </is>
      </c>
      <c r="D355" s="3" t="n">
        <v>33</v>
      </c>
      <c r="E355" s="3" t="n">
        <v>28</v>
      </c>
      <c r="G355" s="3" t="n">
        <v>6</v>
      </c>
      <c r="H355" s="3" t="n">
        <v>0</v>
      </c>
      <c r="I355" s="3">
        <f>E355+G355+H355</f>
        <v/>
      </c>
      <c r="J355" s="3">
        <f>IF(C355="Técnico III","35",IF(C355="Técnico II","28",IF(C355="Técnico I","23",IF(C355="JR","20",IF(C355="Estágio","10",)))))</f>
        <v/>
      </c>
      <c r="K355" s="3">
        <f>I355-J355</f>
        <v/>
      </c>
      <c r="L355" s="3">
        <f>IF(K355&lt;-5,"CRÍTICO",IF(K355&lt;0,"ATENÇÃO",IF(K355&lt;=5,"BOM","EXCELENTE")))</f>
        <v/>
      </c>
      <c r="M355" s="3" t="n">
        <v>23</v>
      </c>
      <c r="N355" s="3" t="n">
        <v>98.94</v>
      </c>
      <c r="O355" s="3" t="n">
        <v>19.61414790996785</v>
      </c>
    </row>
    <row r="356" hidden="1">
      <c r="A356" s="5" t="n">
        <v>46156</v>
      </c>
      <c r="B356" s="6" t="inlineStr">
        <is>
          <t>Amanda Moura Ferreira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0</v>
      </c>
      <c r="I356" s="3" t="n">
        <v>0</v>
      </c>
      <c r="J356" s="3" t="n">
        <v>0</v>
      </c>
      <c r="K356" s="3" t="n">
        <v>0</v>
      </c>
      <c r="L356" s="3">
        <f>IF(K356&lt;-5,"CRÍTICO",IF(K356&lt;0,"ATENÇÃO",IF(K356&lt;=5,"BOM","EXCELENTE")))</f>
        <v/>
      </c>
      <c r="M356" s="9" t="n">
        <v>0</v>
      </c>
      <c r="N356" s="9" t="n">
        <v>100</v>
      </c>
      <c r="O356" s="9" t="n">
        <v>0</v>
      </c>
    </row>
    <row r="357" hidden="1">
      <c r="A357" s="5" t="n">
        <v>46156</v>
      </c>
      <c r="B357" s="6" t="inlineStr">
        <is>
          <t>Ana Karollyne Souza Faria</t>
        </is>
      </c>
      <c r="C357" s="3" t="inlineStr">
        <is>
          <t>Técnico I</t>
        </is>
      </c>
      <c r="D357" s="3" t="n">
        <v>27</v>
      </c>
      <c r="E357" s="3" t="n">
        <v>25</v>
      </c>
      <c r="G357" s="3" t="n">
        <v>1</v>
      </c>
      <c r="H357" s="3" t="n">
        <v>0</v>
      </c>
      <c r="I357" s="3">
        <f>E357+G357+H357</f>
        <v/>
      </c>
      <c r="J357" s="3">
        <f>IF(C357="Técnico III","35",IF(C357="Técnico II","28",IF(C357="Técnico I","23",IF(C357="JR","20",IF(C357="Estágio","10",)))))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23</v>
      </c>
      <c r="N357" s="3" t="n">
        <v>95.38</v>
      </c>
      <c r="O357" s="3" t="n">
        <v>21.5962441314554</v>
      </c>
    </row>
    <row r="358" hidden="1">
      <c r="A358" s="5" t="n">
        <v>46156</v>
      </c>
      <c r="B358" s="6" t="inlineStr">
        <is>
          <t>Ana Paula Da Luz Silva Aleixo</t>
        </is>
      </c>
      <c r="C358" s="9" t="inlineStr">
        <is>
          <t>Técnico III</t>
        </is>
      </c>
      <c r="D358" s="3" t="n">
        <v>25</v>
      </c>
      <c r="E358" s="3" t="n">
        <v>25</v>
      </c>
      <c r="G358" s="3" t="n">
        <v>5</v>
      </c>
      <c r="H358" s="3" t="n">
        <v>0</v>
      </c>
      <c r="I358" s="3">
        <f>E358+G358+H358</f>
        <v/>
      </c>
      <c r="J358" s="3">
        <f>IF(C358="Técnico III","35",IF(C358="Técnico II","28",IF(C358="Técnico I","23",IF(C358="JR","20",IF(C358="Estágio","10",)))))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27</v>
      </c>
      <c r="N358" t="n">
        <v>96.34</v>
      </c>
      <c r="O358" t="n">
        <v>17.57188498402556</v>
      </c>
    </row>
    <row r="359" hidden="1">
      <c r="A359" s="5" t="n">
        <v>46156</v>
      </c>
      <c r="B359" s="6" t="inlineStr">
        <is>
          <t>Brenda de Menezes Silva</t>
        </is>
      </c>
      <c r="C359" s="3" t="inlineStr">
        <is>
          <t>Técnico II</t>
        </is>
      </c>
      <c r="D359" s="3" t="n">
        <v>29</v>
      </c>
      <c r="E359" s="3" t="n">
        <v>29</v>
      </c>
      <c r="G359" s="3" t="n">
        <v>4</v>
      </c>
      <c r="H359" s="3" t="n">
        <v>0</v>
      </c>
      <c r="I359" s="3">
        <f>E359+G359+H359</f>
        <v/>
      </c>
      <c r="J359" s="3">
        <f>IF(C359="Técnico III","35",IF(C359="Técnico II","28",IF(C359="Técnico I","23",IF(C359="JR","20",IF(C359="Estágio","10",)))))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33</v>
      </c>
      <c r="N359" t="n">
        <v>99.13</v>
      </c>
      <c r="O359" t="n">
        <v>14.7239263803681</v>
      </c>
    </row>
    <row r="360" hidden="1">
      <c r="A360" s="5" t="n">
        <v>46156</v>
      </c>
      <c r="B360" s="6" t="inlineStr">
        <is>
          <t>Carlos Mateus Cassimiro Nunes</t>
        </is>
      </c>
      <c r="C360" s="9" t="inlineStr">
        <is>
          <t>Técnico II</t>
        </is>
      </c>
      <c r="D360" s="3" t="n">
        <v>25</v>
      </c>
      <c r="E360" s="3" t="n">
        <v>23</v>
      </c>
      <c r="G360" s="3" t="n">
        <v>4</v>
      </c>
      <c r="H360" s="3" t="n">
        <v>0</v>
      </c>
      <c r="I360" s="3">
        <f>E360+G360+H360</f>
        <v/>
      </c>
      <c r="J360" s="3">
        <f>IF(C360="Técnico III","35",IF(C360="Técnico II","28",IF(C360="Técnico I","23",IF(C360="JR","20",IF(C360="Estágio","10",)))))</f>
        <v/>
      </c>
      <c r="K360" s="3">
        <f>I360-J360</f>
        <v/>
      </c>
      <c r="L360" s="3">
        <f>IF(K360&lt;-5,"CRÍTICO",IF(K360&lt;0,"ATENÇÃO",IF(K360&lt;=5,"BOM","EXCELENTE")))</f>
        <v/>
      </c>
      <c r="M360" t="n">
        <v>25</v>
      </c>
      <c r="N360" t="n">
        <v>98.8</v>
      </c>
      <c r="O360" t="n">
        <v>16.89750692520776</v>
      </c>
    </row>
    <row r="361" hidden="1">
      <c r="A361" s="5" t="n">
        <v>46156</v>
      </c>
      <c r="B361" s="6" t="inlineStr">
        <is>
          <t>Clessiane Pereira dos Santos</t>
        </is>
      </c>
      <c r="C361" s="3" t="inlineStr">
        <is>
          <t>Técnico I</t>
        </is>
      </c>
      <c r="D361" s="3" t="n">
        <v>33</v>
      </c>
      <c r="E361" s="3" t="n">
        <v>29</v>
      </c>
      <c r="G361" s="3" t="n">
        <v>7</v>
      </c>
      <c r="H361" s="3" t="n">
        <v>0</v>
      </c>
      <c r="I361" s="3">
        <f>E361+G361+H361</f>
        <v/>
      </c>
      <c r="J361" s="3">
        <f>IF(C361="Técnico III","35",IF(C361="Técnico II","28",IF(C361="Técnico I","23",IF(C361="JR","20",IF(C361="Estágio","10",)))))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30</v>
      </c>
      <c r="N361" t="n">
        <v>96.88</v>
      </c>
      <c r="O361" t="n">
        <v>19.52662721893491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G362" s="3" t="n">
        <v>0</v>
      </c>
      <c r="H362" s="3" t="n">
        <v>0</v>
      </c>
      <c r="I362" s="3">
        <f>E362+G362+H362</f>
        <v/>
      </c>
      <c r="J362" s="3">
        <f>IF(C362="Técnico III","35",IF(C362="Técnico II","28",IF(C362="Técnico I","23",IF(C362="JR","20",IF(C362="Estágio","10",)))))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Damyllis Lorraine de Oliveira Gonçalves</t>
        </is>
      </c>
      <c r="C363" s="3" t="inlineStr">
        <is>
          <t>Técnico II</t>
        </is>
      </c>
      <c r="D363" s="3" t="n">
        <v>22</v>
      </c>
      <c r="E363" s="3" t="n">
        <v>18</v>
      </c>
      <c r="G363" s="3" t="n">
        <v>0</v>
      </c>
      <c r="H363" s="3" t="n">
        <v>0</v>
      </c>
      <c r="I363" s="3">
        <f>E363+G363+H363</f>
        <v/>
      </c>
      <c r="J363" s="3">
        <f>IF(C363="Técnico III","35",IF(C363="Técnico II","28",IF(C363="Técnico I","23",IF(C363="JR","20",IF(C363="Estágio","10",)))))</f>
        <v/>
      </c>
      <c r="K363" s="3">
        <f>I363-J363</f>
        <v/>
      </c>
      <c r="L363" s="3">
        <f>IF(K363&lt;-5,"CRÍTICO",IF(K363&lt;0,"ATENÇÃO",IF(K363&lt;=5,"BOM","EXCELENTE")))</f>
        <v/>
      </c>
      <c r="M363" t="n">
        <v>17</v>
      </c>
      <c r="N363" t="n">
        <v>98.63</v>
      </c>
      <c r="O363" t="n">
        <v>18.75</v>
      </c>
    </row>
    <row r="364" hidden="1">
      <c r="A364" s="5" t="n">
        <v>46156</v>
      </c>
      <c r="B364" s="6" t="inlineStr">
        <is>
          <t>Daniel Gomes da Silva</t>
        </is>
      </c>
      <c r="C364" s="3" t="inlineStr">
        <is>
          <t>Técnico I</t>
        </is>
      </c>
      <c r="D364" s="3" t="n">
        <v>30</v>
      </c>
      <c r="E364" s="3" t="n">
        <v>28</v>
      </c>
      <c r="G364" s="3" t="n">
        <v>1</v>
      </c>
      <c r="H364" s="3" t="n">
        <v>0</v>
      </c>
      <c r="I364" s="3">
        <f>E364+G364+H364</f>
        <v/>
      </c>
      <c r="J364" s="3">
        <f>IF(C364="Técnico III","35",IF(C364="Técnico II","28",IF(C364="Técnico I","23",IF(C364="JR","20",IF(C364="Estágio","10",)))))</f>
        <v/>
      </c>
      <c r="K364" s="3">
        <f>I364-J364</f>
        <v/>
      </c>
      <c r="L364" s="3">
        <f>IF(K364&lt;-5,"CRÍTICO",IF(K364&lt;0,"ATENÇÃO",IF(K364&lt;=5,"BOM","EXCELENTE")))</f>
        <v/>
      </c>
      <c r="M364" t="n">
        <v>20</v>
      </c>
      <c r="N364" t="n">
        <v>100</v>
      </c>
      <c r="O364" t="n">
        <v>18.14516129032258</v>
      </c>
    </row>
    <row r="365" hidden="1">
      <c r="A365" s="5" t="n">
        <v>46156</v>
      </c>
      <c r="B365" s="6" t="inlineStr">
        <is>
          <t>Davylla Rodrigues Freitas Silva</t>
        </is>
      </c>
      <c r="C365" s="9" t="inlineStr">
        <is>
          <t>Técnico III</t>
        </is>
      </c>
      <c r="D365" s="3" t="n">
        <v>22</v>
      </c>
      <c r="E365" s="3" t="n">
        <v>21</v>
      </c>
      <c r="G365" s="3" t="n">
        <v>5</v>
      </c>
      <c r="H365" s="3" t="n">
        <v>0</v>
      </c>
      <c r="I365" s="3">
        <f>E365+G365+H365</f>
        <v/>
      </c>
      <c r="J365" s="3">
        <f>IF(C365="Técnico III","35",IF(C365="Técnico II","28",IF(C365="Técnico I","23",IF(C365="JR","20",IF(C365="Estágio","10",)))))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26</v>
      </c>
      <c r="N365" t="n">
        <v>99.06</v>
      </c>
      <c r="O365" t="n">
        <v>22.95719844357977</v>
      </c>
    </row>
    <row r="366" hidden="1">
      <c r="A366" s="5" t="n">
        <v>46156</v>
      </c>
      <c r="B366" s="6" t="inlineStr">
        <is>
          <t>Emilly Kamilly Medeiros Miranda</t>
        </is>
      </c>
      <c r="C366" s="3" t="inlineStr">
        <is>
          <t>Técnico II</t>
        </is>
      </c>
      <c r="D366" s="3" t="n">
        <v>14</v>
      </c>
      <c r="E366" s="3" t="n">
        <v>13</v>
      </c>
      <c r="G366" s="3" t="n">
        <v>0</v>
      </c>
      <c r="H366" s="3" t="n">
        <v>0</v>
      </c>
      <c r="I366" s="3">
        <f>E366+G366+H366</f>
        <v/>
      </c>
      <c r="J366" s="3">
        <f>IF(C366="Técnico III","35",IF(C366="Técnico II","28",IF(C366="Técnico I","23",IF(C366="JR","20",IF(C366="Estágio","10",)))))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18</v>
      </c>
      <c r="N366" t="n">
        <v>100</v>
      </c>
      <c r="O366" t="n">
        <v>13.8121546961326</v>
      </c>
    </row>
    <row r="367" hidden="1">
      <c r="A367" s="5" t="n">
        <v>46156</v>
      </c>
      <c r="B367" s="6" t="inlineStr">
        <is>
          <t>Francielson de Oliveira</t>
        </is>
      </c>
      <c r="C367" s="9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t="n">
        <v>0</v>
      </c>
      <c r="N367" t="n">
        <v>100</v>
      </c>
      <c r="O367" t="n">
        <v>9.523809523809524</v>
      </c>
    </row>
    <row r="368" hidden="1">
      <c r="A368" s="5" t="n">
        <v>46156</v>
      </c>
      <c r="B368" s="6" t="inlineStr">
        <is>
          <t>Francilene Ferreira de Jesus</t>
        </is>
      </c>
      <c r="C368" s="3" t="inlineStr">
        <is>
          <t>Técnico II</t>
        </is>
      </c>
      <c r="D368" s="3" t="n">
        <v>0</v>
      </c>
      <c r="E368" s="3" t="n">
        <v>0</v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  <c r="K368" s="3" t="n">
        <v>0</v>
      </c>
      <c r="L368" s="3">
        <f>IF(K368&lt;-5,"CRÍTICO",IF(K368&lt;0,"ATENÇÃO",IF(K368&lt;=5,"BOM","EXCELENTE")))</f>
        <v/>
      </c>
      <c r="M368" t="n">
        <v>0</v>
      </c>
      <c r="N368" t="n">
        <v>100</v>
      </c>
      <c r="O368" t="n">
        <v>17.24137931034483</v>
      </c>
    </row>
    <row r="369" hidden="1">
      <c r="A369" s="5" t="n">
        <v>46156</v>
      </c>
      <c r="B369" s="6" t="inlineStr">
        <is>
          <t>Gabriel Gomes de Andrade</t>
        </is>
      </c>
      <c r="C369" s="3" t="inlineStr">
        <is>
          <t>Técnico I</t>
        </is>
      </c>
      <c r="D369" s="3" t="n">
        <v>19</v>
      </c>
      <c r="E369" s="3" t="n">
        <v>18</v>
      </c>
      <c r="G369" s="3" t="n">
        <v>0</v>
      </c>
      <c r="H369" s="3" t="n">
        <v>5</v>
      </c>
      <c r="I369" s="3">
        <f>E369+G369+H369</f>
        <v/>
      </c>
      <c r="J369" s="3">
        <f>IF(C369="Técnico III","35",IF(C369="Técnico II","28",IF(C369="Técnico I","23",IF(C369="JR","20",IF(C369="Estágio","10",)))))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23</v>
      </c>
      <c r="N369" t="n">
        <v>98.8</v>
      </c>
      <c r="O369" t="n">
        <v>15.41353383458646</v>
      </c>
    </row>
    <row r="370" hidden="1">
      <c r="A370" s="5" t="n">
        <v>46156</v>
      </c>
      <c r="B370" s="6" t="inlineStr">
        <is>
          <t>Isabella Borges de Oliveira</t>
        </is>
      </c>
      <c r="C370" s="9" t="inlineStr">
        <is>
          <t>Técnico II</t>
        </is>
      </c>
      <c r="D370" s="3" t="n">
        <v>17</v>
      </c>
      <c r="E370" s="3" t="n">
        <v>17</v>
      </c>
      <c r="G370" s="3" t="n">
        <v>0</v>
      </c>
      <c r="H370" s="3" t="n">
        <v>0</v>
      </c>
      <c r="I370" s="3">
        <f>E370+G370+H370</f>
        <v/>
      </c>
      <c r="J370" s="3">
        <f>IF(C370="Técnico III","35",IF(C370="Técnico II","28",IF(C370="Técnico I","23",IF(C370="JR","20",IF(C370="Estágio","10",)))))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13</v>
      </c>
      <c r="N370" t="n">
        <v>98.63</v>
      </c>
      <c r="O370" t="n">
        <v>15.75757575757576</v>
      </c>
    </row>
    <row r="371" hidden="1">
      <c r="A371" s="5" t="n">
        <v>46156</v>
      </c>
      <c r="B371" s="6" t="inlineStr">
        <is>
          <t>Janaina Lima dos Reis Urany</t>
        </is>
      </c>
      <c r="C371" s="3" t="inlineStr">
        <is>
          <t>Técnico III</t>
        </is>
      </c>
      <c r="D371" s="3" t="n">
        <v>35</v>
      </c>
      <c r="E371" s="3" t="n">
        <v>34</v>
      </c>
      <c r="G371" s="3" t="n">
        <v>6</v>
      </c>
      <c r="H371" s="3" t="n">
        <v>0</v>
      </c>
      <c r="I371" s="3">
        <f>E371+G371+H371</f>
        <v/>
      </c>
      <c r="J371" s="3">
        <f>IF(C371="Técnico III","35",IF(C371="Técnico II","28",IF(C371="Técnico I","23",IF(C371="JR","20",IF(C371="Estágio","10",)))))</f>
        <v/>
      </c>
      <c r="K371" s="3">
        <f>I371-J371</f>
        <v/>
      </c>
      <c r="L371" s="3">
        <f>IF(K371&lt;-5,"CRÍTICO",IF(K371&lt;0,"ATENÇÃO",IF(K371&lt;=5,"BOM","EXCELENTE")))</f>
        <v/>
      </c>
      <c r="M371" t="n">
        <v>38</v>
      </c>
      <c r="N371" t="n">
        <v>98.64</v>
      </c>
      <c r="O371" t="n">
        <v>16.6383701188455</v>
      </c>
    </row>
    <row r="372" hidden="1">
      <c r="A372" s="5" t="n">
        <v>46156</v>
      </c>
      <c r="B372" s="6" t="inlineStr">
        <is>
          <t>Jaqueline Evangelista da Silva Martins</t>
        </is>
      </c>
      <c r="C372" s="3" t="inlineStr">
        <is>
          <t>Técnico III</t>
        </is>
      </c>
      <c r="D372" s="3" t="n">
        <v>42</v>
      </c>
      <c r="E372" s="3" t="n">
        <v>40</v>
      </c>
      <c r="G372" s="3" t="n">
        <v>8</v>
      </c>
      <c r="H372" s="3" t="n">
        <v>0</v>
      </c>
      <c r="I372" s="3">
        <f>E372+G372+H372</f>
        <v/>
      </c>
      <c r="J372" s="3">
        <f>IF(C372="Técnico III","35",IF(C372="Técnico II","28",IF(C372="Técnico I","23",IF(C372="JR","20",IF(C372="Estágio","10",)))))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44</v>
      </c>
      <c r="N372" t="n">
        <v>95.40000000000001</v>
      </c>
      <c r="O372" t="n">
        <v>20.53333333333333</v>
      </c>
    </row>
    <row r="373" hidden="1">
      <c r="A373" s="5" t="n">
        <v>46156</v>
      </c>
      <c r="B373" s="6" t="inlineStr">
        <is>
          <t>Jessica Faria da Silveira</t>
        </is>
      </c>
      <c r="C373" s="3" t="inlineStr">
        <is>
          <t>Técnico II</t>
        </is>
      </c>
      <c r="D373" s="3" t="n">
        <v>9</v>
      </c>
      <c r="E373" s="3" t="n">
        <v>9</v>
      </c>
      <c r="G373" s="3" t="n">
        <v>1</v>
      </c>
      <c r="H373" s="3" t="n">
        <v>0</v>
      </c>
      <c r="I373" s="3">
        <f>E373+G373+H373</f>
        <v/>
      </c>
      <c r="J373" s="3">
        <f>IF(C373="Técnico III","35",IF(C373="Técnico II","28",IF(C373="Técnico I","23",IF(C373="JR","20",IF(C373="Estágio","10",)))))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9</v>
      </c>
      <c r="N373" t="n">
        <v>98.61</v>
      </c>
      <c r="O373" t="n">
        <v>16.97530864197531</v>
      </c>
    </row>
    <row r="374" hidden="1">
      <c r="A374" s="5" t="n">
        <v>46156</v>
      </c>
      <c r="B374" s="6" t="inlineStr">
        <is>
          <t>Jéssica Fé Moura</t>
        </is>
      </c>
      <c r="C374" s="3" t="inlineStr">
        <is>
          <t>Técnico III</t>
        </is>
      </c>
      <c r="D374" s="3" t="n">
        <v>0</v>
      </c>
      <c r="E374" s="3" t="n">
        <v>0</v>
      </c>
      <c r="F374" s="3" t="n">
        <v>0</v>
      </c>
      <c r="G374" s="3" t="n">
        <v>0</v>
      </c>
      <c r="H374" s="3" t="n">
        <v>0</v>
      </c>
      <c r="I374" s="3" t="n">
        <v>0</v>
      </c>
      <c r="J374" s="3" t="n">
        <v>0</v>
      </c>
      <c r="K374" s="3" t="n">
        <v>0</v>
      </c>
      <c r="L374" s="3">
        <f>IF(K374&lt;-5,"CRÍTICO",IF(K374&lt;0,"ATENÇÃO",IF(K374&lt;=5,"BOM","EXCELENTE")))</f>
        <v/>
      </c>
      <c r="M374" t="n">
        <v>0</v>
      </c>
      <c r="N374" t="n">
        <v>0</v>
      </c>
      <c r="O374" t="n">
        <v>0</v>
      </c>
    </row>
    <row r="375" hidden="1">
      <c r="A375" s="5" t="n">
        <v>46156</v>
      </c>
      <c r="B375" s="6" t="inlineStr">
        <is>
          <t>Karina Gonçalves Martins</t>
        </is>
      </c>
      <c r="C375" s="3" t="inlineStr">
        <is>
          <t>JR</t>
        </is>
      </c>
      <c r="D375" s="3" t="n">
        <v>23</v>
      </c>
      <c r="E375" s="3" t="n">
        <v>23</v>
      </c>
      <c r="G375" s="3" t="n">
        <v>0</v>
      </c>
      <c r="H375" s="3" t="n">
        <v>0</v>
      </c>
      <c r="I375" s="3">
        <f>E375+G375+H375</f>
        <v/>
      </c>
      <c r="J375" s="3">
        <f>IF(C375="Técnico III","35",IF(C375="Técnico II","28",IF(C375="Técnico I","23",IF(C375="JR","20",IF(C375="Estágio","10",)))))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22</v>
      </c>
      <c r="N375" t="n">
        <v>97.01000000000001</v>
      </c>
      <c r="O375" t="n">
        <v>13.96103896103896</v>
      </c>
    </row>
    <row r="376" hidden="1">
      <c r="A376" s="5" t="n">
        <v>46156</v>
      </c>
      <c r="B376" s="6" t="inlineStr">
        <is>
          <t>Kerollen Cristielly de Jesus Siqueira</t>
        </is>
      </c>
      <c r="C376" s="9" t="inlineStr">
        <is>
          <t>Técnico III</t>
        </is>
      </c>
      <c r="D376" s="3" t="n">
        <v>30</v>
      </c>
      <c r="E376" s="3" t="n">
        <v>29</v>
      </c>
      <c r="G376" s="3" t="n">
        <v>0</v>
      </c>
      <c r="H376" s="3" t="n">
        <v>0</v>
      </c>
      <c r="I376" s="3">
        <f>E376+G376+H376</f>
        <v/>
      </c>
      <c r="J376" s="3">
        <f>IF(C376="Técnico III","35",IF(C376="Técnico II","28",IF(C376="Técnico I","23",IF(C376="JR","20",IF(C376="Estágio","10",)))))</f>
        <v/>
      </c>
      <c r="K376" s="3">
        <f>I376-J376</f>
        <v/>
      </c>
      <c r="L376" s="3">
        <f>IF(K376&lt;-5,"CRÍTICO",IF(K376&lt;0,"ATENÇÃO",IF(K376&lt;=5,"BOM","EXCELENTE")))</f>
        <v/>
      </c>
      <c r="M376" t="n">
        <v>28</v>
      </c>
      <c r="N376" t="n">
        <v>95.52</v>
      </c>
      <c r="O376" t="n">
        <v>10.56105610561056</v>
      </c>
    </row>
    <row r="377" hidden="1">
      <c r="A377" s="5" t="n">
        <v>46156</v>
      </c>
      <c r="B377" s="6" t="inlineStr">
        <is>
          <t>Leandro de Souza Silva</t>
        </is>
      </c>
      <c r="C377" s="3" t="inlineStr">
        <is>
          <t>JR</t>
        </is>
      </c>
      <c r="D377" s="3" t="n">
        <v>9</v>
      </c>
      <c r="E377" s="3" t="n">
        <v>7</v>
      </c>
      <c r="G377" s="3" t="n">
        <v>8</v>
      </c>
      <c r="H377" s="3" t="n">
        <v>0</v>
      </c>
      <c r="I377" s="3">
        <f>E377+G377+H377</f>
        <v/>
      </c>
      <c r="J377" s="3">
        <f>IF(C377="Técnico III","35",IF(C377="Técnico II","28",IF(C377="Técnico I","23",IF(C377="JR","20",IF(C377="Estágio","10",)))))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9</v>
      </c>
      <c r="N377" t="n">
        <v>100</v>
      </c>
      <c r="O377" t="n">
        <v>16.95906432748538</v>
      </c>
    </row>
    <row r="378" hidden="1">
      <c r="A378" s="5" t="n">
        <v>46156</v>
      </c>
      <c r="B378" s="6" t="inlineStr">
        <is>
          <t>Leandro Oliveira de Sousa</t>
        </is>
      </c>
      <c r="C378" s="9" t="inlineStr">
        <is>
          <t>Técnico III</t>
        </is>
      </c>
      <c r="D378" s="3" t="n">
        <v>30</v>
      </c>
      <c r="E378" s="3" t="n">
        <v>27</v>
      </c>
      <c r="G378" s="3" t="n">
        <v>0</v>
      </c>
      <c r="H378" s="3" t="n">
        <v>0</v>
      </c>
      <c r="I378" s="3">
        <f>E378+G378+H378</f>
        <v/>
      </c>
      <c r="J378" s="3">
        <f>IF(C378="Técnico III","35",IF(C378="Técnico II","28",IF(C378="Técnico I","23",IF(C378="JR","20",IF(C378="Estágio","10",)))))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23</v>
      </c>
      <c r="N378" t="n">
        <v>100</v>
      </c>
      <c r="O378" t="n">
        <v>15.58441558441558</v>
      </c>
    </row>
    <row r="379" hidden="1">
      <c r="A379" s="5" t="n">
        <v>46156</v>
      </c>
      <c r="B379" s="6" t="inlineStr">
        <is>
          <t>Lizandra Gomes Duarte</t>
        </is>
      </c>
      <c r="C379" s="3" t="inlineStr">
        <is>
          <t>Técnico II</t>
        </is>
      </c>
      <c r="D379" s="3" t="n">
        <v>26</v>
      </c>
      <c r="E379" s="3" t="n">
        <v>24</v>
      </c>
      <c r="G379" s="3" t="n">
        <v>0</v>
      </c>
      <c r="H379" s="3" t="n">
        <v>0</v>
      </c>
      <c r="I379" s="3">
        <f>E379+G379+H379</f>
        <v/>
      </c>
      <c r="J379" s="3">
        <f>IF(C379="Técnico III","35",IF(C379="Técnico II","28",IF(C379="Técnico I","23",IF(C379="JR","20",IF(C379="Estágio","10",)))))</f>
        <v/>
      </c>
      <c r="K379" s="3">
        <f>I379-J379</f>
        <v/>
      </c>
      <c r="L379" s="3">
        <f>IF(K379&lt;-5,"CRÍTICO",IF(K379&lt;0,"ATENÇÃO",IF(K379&lt;=5,"BOM","EXCELENTE")))</f>
        <v/>
      </c>
      <c r="M379" t="n">
        <v>12</v>
      </c>
      <c r="N379" t="n">
        <v>98.61</v>
      </c>
      <c r="O379" t="n">
        <v>16.86746987951807</v>
      </c>
    </row>
    <row r="380" hidden="1">
      <c r="A380" s="5" t="n">
        <v>46156</v>
      </c>
      <c r="B380" s="6" t="inlineStr">
        <is>
          <t>Lorena Dias de Araujo</t>
        </is>
      </c>
      <c r="C380" s="3" t="inlineStr">
        <is>
          <t>Técnico II</t>
        </is>
      </c>
      <c r="D380" s="3" t="n">
        <v>22</v>
      </c>
      <c r="E380" s="3" t="n">
        <v>18</v>
      </c>
      <c r="G380" s="3" t="n">
        <v>0</v>
      </c>
      <c r="H380" s="3" t="n">
        <v>0</v>
      </c>
      <c r="I380" s="3">
        <f>E380+G380+H380</f>
        <v/>
      </c>
      <c r="J380" s="3">
        <f>IF(C380="Técnico III","35",IF(C380="Técnico II","28",IF(C380="Técnico I","23",IF(C380="JR","20",IF(C380="Estágio","10",)))))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16</v>
      </c>
      <c r="N380" t="n">
        <v>100</v>
      </c>
      <c r="O380" t="n">
        <v>20.82018927444795</v>
      </c>
    </row>
    <row r="381" hidden="1">
      <c r="A381" s="5" t="n">
        <v>46156</v>
      </c>
      <c r="B381" s="6" t="inlineStr">
        <is>
          <t>Lucas Luiz Romero</t>
        </is>
      </c>
      <c r="C381" s="3" t="inlineStr">
        <is>
          <t>Técnico III</t>
        </is>
      </c>
      <c r="D381" s="3" t="n">
        <v>0</v>
      </c>
      <c r="E381" s="3" t="n">
        <v>0</v>
      </c>
      <c r="F381" s="3" t="n">
        <v>0</v>
      </c>
      <c r="G381" s="3" t="n">
        <v>0</v>
      </c>
      <c r="H381" s="3" t="n">
        <v>0</v>
      </c>
      <c r="I381" s="3" t="n">
        <v>0</v>
      </c>
      <c r="J381" s="3" t="n">
        <v>0</v>
      </c>
      <c r="K381" s="3" t="n">
        <v>0</v>
      </c>
      <c r="L381" s="3">
        <f>IF(K381&lt;-5,"CRÍTICO",IF(K381&lt;0,"ATENÇÃO",IF(K381&lt;=5,"BOM","EXCELENTE")))</f>
        <v/>
      </c>
      <c r="M381" t="n">
        <v>0</v>
      </c>
      <c r="N381" t="n">
        <v>100</v>
      </c>
      <c r="O381" t="n">
        <v>4.347826086956522</v>
      </c>
    </row>
    <row r="382" hidden="1">
      <c r="A382" s="5" t="n">
        <v>46156</v>
      </c>
      <c r="B382" s="6" t="inlineStr">
        <is>
          <t>Luiz Fernando de Carvalho Junior</t>
        </is>
      </c>
      <c r="C382" s="3" t="inlineStr">
        <is>
          <t>Técnico I</t>
        </is>
      </c>
      <c r="D382" s="3" t="n">
        <v>11</v>
      </c>
      <c r="E382" s="3" t="n">
        <v>11</v>
      </c>
      <c r="G382" s="3" t="n">
        <v>4</v>
      </c>
      <c r="H382" s="3" t="n">
        <v>0</v>
      </c>
      <c r="I382" s="3">
        <f>E382+G382+H382</f>
        <v/>
      </c>
      <c r="J382" s="3">
        <f>IF(C382="Técnico III","35",IF(C382="Técnico II","28",IF(C382="Técnico I","23",IF(C382="JR","20",IF(C382="Estágio","10",)))))</f>
        <v/>
      </c>
      <c r="K382" s="3">
        <f>I382-J382</f>
        <v/>
      </c>
      <c r="L382" s="3">
        <f>IF(K382&lt;-5,"CRÍTICO",IF(K382&lt;0,"ATENÇÃO",IF(K382&lt;=5,"BOM","EXCELENTE")))</f>
        <v/>
      </c>
      <c r="M382" t="n">
        <v>16</v>
      </c>
      <c r="N382" t="n">
        <v>93.26000000000001</v>
      </c>
      <c r="O382" t="n">
        <v>19.93957703927493</v>
      </c>
    </row>
    <row r="383" hidden="1">
      <c r="A383" s="5" t="n">
        <v>46156</v>
      </c>
      <c r="B383" s="6" t="inlineStr">
        <is>
          <t>Anna Luiza Rezende Tavares</t>
        </is>
      </c>
      <c r="C383" s="3" t="inlineStr">
        <is>
          <t>Estágio</t>
        </is>
      </c>
      <c r="D383" s="3" t="n">
        <v>31</v>
      </c>
      <c r="E383" s="3" t="n">
        <v>29</v>
      </c>
      <c r="G383" s="3" t="n">
        <v>0</v>
      </c>
      <c r="H383" s="3" t="n">
        <v>0</v>
      </c>
      <c r="I383" s="3">
        <f>E383+G383+H383</f>
        <v/>
      </c>
      <c r="J383" s="3">
        <f>IF(C383="Técnico III","35",IF(C383="Técnico II","28",IF(C383="Técnico I","23",IF(C383="JR","20",IF(C383="Estágio","10",)))))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26</v>
      </c>
      <c r="N383" t="n">
        <v>99.11</v>
      </c>
      <c r="O383" t="n">
        <v>17.72151898734177</v>
      </c>
    </row>
    <row r="384" hidden="1">
      <c r="A384" s="5" t="n">
        <v>46156</v>
      </c>
      <c r="B384" s="6" t="inlineStr">
        <is>
          <t>Matheus Farias De Souza</t>
        </is>
      </c>
      <c r="C384" s="3" t="inlineStr">
        <is>
          <t>Técnico III</t>
        </is>
      </c>
      <c r="D384" s="3" t="n">
        <v>0</v>
      </c>
      <c r="E384" s="3" t="n">
        <v>0</v>
      </c>
      <c r="G384" s="3" t="n">
        <v>0</v>
      </c>
      <c r="H384" s="3" t="n">
        <v>52</v>
      </c>
      <c r="I384" s="3">
        <f>E384+G384+H384</f>
        <v/>
      </c>
      <c r="J384" s="3">
        <f>IF(C384="Técnico III","35",IF(C384="Técnico II","28",IF(C384="Técnico I","23",IF(C384="JR","20",IF(C384="Estágio","10",)))))</f>
        <v/>
      </c>
      <c r="K384" s="3">
        <f>I384-J384</f>
        <v/>
      </c>
      <c r="L384" s="3">
        <f>IF(K384&lt;-5,"CRÍTICO",IF(K384&lt;0,"ATENÇÃO",IF(K384&lt;=5,"BOM","EXCELENTE")))</f>
        <v/>
      </c>
      <c r="M384" t="n">
        <v>30</v>
      </c>
      <c r="N384" t="n">
        <v>98.28</v>
      </c>
      <c r="O384" t="n">
        <v>9.037900874635568</v>
      </c>
    </row>
    <row r="385" hidden="1">
      <c r="A385" s="5" t="n">
        <v>46156</v>
      </c>
      <c r="B385" s="6" t="inlineStr">
        <is>
          <t>Maysa Victoria Dias Moura</t>
        </is>
      </c>
      <c r="C385" s="3" t="inlineStr">
        <is>
          <t>Técnico III</t>
        </is>
      </c>
      <c r="D385" s="3" t="n">
        <v>39</v>
      </c>
      <c r="E385" s="3" t="n">
        <v>32</v>
      </c>
      <c r="G385" s="3" t="n">
        <v>3</v>
      </c>
      <c r="H385" s="3" t="n">
        <v>0</v>
      </c>
      <c r="I385" s="3">
        <f>E385+G385+H385</f>
        <v/>
      </c>
      <c r="J385" s="3">
        <f>IF(C385="Técnico III","35",IF(C385="Técnico II","28",IF(C385="Técnico I","23",IF(C385="JR","20",IF(C385="Estágio","10",)))))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29</v>
      </c>
      <c r="N385" t="n">
        <v>97.22</v>
      </c>
      <c r="O385" t="n">
        <v>19.09547738693467</v>
      </c>
    </row>
    <row r="386" hidden="1">
      <c r="A386" s="5" t="n">
        <v>46156</v>
      </c>
      <c r="B386" s="6" t="inlineStr">
        <is>
          <t>Claudio de Sousa Velasco Filho</t>
        </is>
      </c>
      <c r="C386" s="3" t="inlineStr">
        <is>
          <t>Estágio</t>
        </is>
      </c>
      <c r="D386" s="3" t="n">
        <v>9</v>
      </c>
      <c r="E386" s="3" t="n">
        <v>9</v>
      </c>
      <c r="G386" s="3" t="n">
        <v>0</v>
      </c>
      <c r="H386" s="3" t="n">
        <v>0</v>
      </c>
      <c r="I386" s="3">
        <f>E386+G386+H386</f>
        <v/>
      </c>
      <c r="J386" s="3">
        <f>IF(C386="Técnico III","35",IF(C386="Técnico II","28",IF(C386="Técnico I","23",IF(C386="JR","20",IF(C386="Estágio","10",)))))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6</v>
      </c>
      <c r="N386" t="n">
        <v>96.43000000000001</v>
      </c>
      <c r="O386" t="n">
        <v>20</v>
      </c>
    </row>
    <row r="387" hidden="1">
      <c r="A387" s="5" t="n">
        <v>46156</v>
      </c>
      <c r="B387" s="6" t="inlineStr">
        <is>
          <t>Emilly Caylane Costa</t>
        </is>
      </c>
      <c r="C387" s="3" t="inlineStr">
        <is>
          <t>Estágio</t>
        </is>
      </c>
      <c r="D387" s="3" t="n">
        <v>21</v>
      </c>
      <c r="E387" s="3" t="n">
        <v>10</v>
      </c>
      <c r="G387" s="3" t="n">
        <v>5</v>
      </c>
      <c r="H387" s="3" t="n">
        <v>0</v>
      </c>
      <c r="I387" s="3">
        <f>E387+G387+H387</f>
        <v/>
      </c>
      <c r="J387" s="3">
        <f>IF(C387="Técnico III","35",IF(C387="Técnico II","28",IF(C387="Técnico I","23",IF(C387="JR","20",IF(C387="Estágio","10",)))))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0</v>
      </c>
      <c r="N387" t="n">
        <v>100</v>
      </c>
      <c r="O387" t="n">
        <v>29.03225806451613</v>
      </c>
    </row>
    <row r="388" hidden="1">
      <c r="A388" s="5" t="n">
        <v>46156</v>
      </c>
      <c r="B388" s="6" t="inlineStr">
        <is>
          <t>Maria Eduarda Sousa Costa</t>
        </is>
      </c>
      <c r="C388" s="3" t="inlineStr">
        <is>
          <t>Estágio</t>
        </is>
      </c>
      <c r="D388" s="3" t="n">
        <v>63</v>
      </c>
      <c r="E388" s="3" t="n">
        <v>43</v>
      </c>
      <c r="G388" s="3" t="n">
        <v>0</v>
      </c>
      <c r="H388" s="3" t="n">
        <v>0</v>
      </c>
      <c r="I388" s="3">
        <f>E388+G388+H388</f>
        <v/>
      </c>
      <c r="J388" s="3">
        <f>IF(C388="Técnico III","35",IF(C388="Técnico II","28",IF(C388="Técnico I","23",IF(C388="JR","20",IF(C388="Estágio","10",)))))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2</v>
      </c>
      <c r="N388" t="n">
        <v>100</v>
      </c>
      <c r="O388" t="n">
        <v>11.86440677966102</v>
      </c>
    </row>
    <row r="389" hidden="1">
      <c r="A389" s="5" t="n">
        <v>46156</v>
      </c>
      <c r="B389" s="6" t="inlineStr">
        <is>
          <t>Michelle G Santos</t>
        </is>
      </c>
      <c r="C389" s="3" t="inlineStr">
        <is>
          <t>Estágio</t>
        </is>
      </c>
      <c r="D389" s="3" t="n">
        <v>4</v>
      </c>
      <c r="E389" s="3" t="n">
        <v>4</v>
      </c>
      <c r="G389" s="3" t="n">
        <v>0</v>
      </c>
      <c r="H389" s="3" t="n">
        <v>0</v>
      </c>
      <c r="I389" s="3">
        <f>E389+G389+H389</f>
        <v/>
      </c>
      <c r="J389" s="3">
        <f>IF(C389="Técnico III","35",IF(C389="Técnico II","28",IF(C389="Técnico I","23",IF(C389="JR","20",IF(C389="Estágio","10",)))))</f>
        <v/>
      </c>
      <c r="K389" s="3">
        <f>I389-J389</f>
        <v/>
      </c>
      <c r="L389" s="3">
        <f>IF(K389&lt;-5,"CRÍTICO",IF(K389&lt;0,"ATENÇÃO",IF(K389&lt;=5,"BOM","EXCELENTE")))</f>
        <v/>
      </c>
      <c r="M389" t="n">
        <v>3</v>
      </c>
      <c r="N389" t="n">
        <v>100</v>
      </c>
      <c r="O389" t="n">
        <v>16.8141592920354</v>
      </c>
    </row>
    <row r="390" hidden="1">
      <c r="A390" s="5" t="n">
        <v>46156</v>
      </c>
      <c r="B390" s="6" t="inlineStr">
        <is>
          <t>Quirino Diogo Leite Torres</t>
        </is>
      </c>
      <c r="C390" s="3" t="inlineStr">
        <is>
          <t>Estágio</t>
        </is>
      </c>
      <c r="D390" s="3" t="n">
        <v>19</v>
      </c>
      <c r="E390" s="3" t="n">
        <v>18</v>
      </c>
      <c r="G390" s="3" t="n">
        <v>0</v>
      </c>
      <c r="H390" s="3" t="n">
        <v>0</v>
      </c>
      <c r="I390" s="3">
        <f>E390+G390+H390</f>
        <v/>
      </c>
      <c r="J390" s="3">
        <f>IF(C390="Técnico III","35",IF(C390="Técnico II","28",IF(C390="Técnico I","23",IF(C390="JR","20",IF(C390="Estágio","10",)))))</f>
        <v/>
      </c>
      <c r="K390" s="3">
        <f>I390-J390</f>
        <v/>
      </c>
      <c r="L390" s="3">
        <f>IF(K390&lt;-5,"CRÍTICO",IF(K390&lt;0,"ATENÇÃO",IF(K390&lt;=5,"BOM","EXCELENTE")))</f>
        <v/>
      </c>
      <c r="M390" t="n">
        <v>15</v>
      </c>
      <c r="N390" t="n">
        <v>98.11</v>
      </c>
      <c r="O390" t="n">
        <v>20.40816326530612</v>
      </c>
    </row>
    <row r="391" hidden="1">
      <c r="A391" s="5" t="n">
        <v>46156</v>
      </c>
      <c r="B391" s="6" t="inlineStr">
        <is>
          <t>Milena Sales</t>
        </is>
      </c>
      <c r="C391" s="3" t="inlineStr">
        <is>
          <t>JR</t>
        </is>
      </c>
      <c r="D391" s="3" t="n">
        <v>26</v>
      </c>
      <c r="E391" s="3" t="n">
        <v>19</v>
      </c>
      <c r="G391" s="3" t="n">
        <v>4</v>
      </c>
      <c r="H391" s="3" t="n">
        <v>0</v>
      </c>
      <c r="I391" s="3">
        <f>E391+G391+H391</f>
        <v/>
      </c>
      <c r="J391" s="3">
        <f>IF(C391="Técnico III","35",IF(C391="Técnico II","28",IF(C391="Técnico I","23",IF(C391="JR","20",IF(C391="Estágio","10",)))))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15</v>
      </c>
      <c r="N391" t="n">
        <v>98</v>
      </c>
      <c r="O391" t="n">
        <v>16.43835616438356</v>
      </c>
    </row>
    <row r="392" hidden="1">
      <c r="A392" s="5" t="n">
        <v>46156</v>
      </c>
      <c r="B392" s="6" t="inlineStr">
        <is>
          <t>Patrícia Karla de Sousa Araújo</t>
        </is>
      </c>
      <c r="C392" s="3" t="inlineStr">
        <is>
          <t>Técnico II</t>
        </is>
      </c>
      <c r="D392" s="3" t="n">
        <v>29</v>
      </c>
      <c r="E392" s="3" t="n">
        <v>26</v>
      </c>
      <c r="G392" s="3" t="n">
        <v>0</v>
      </c>
      <c r="H392" s="3" t="n">
        <v>0</v>
      </c>
      <c r="I392" s="3">
        <f>E392+G392+H392</f>
        <v/>
      </c>
      <c r="J392" s="3">
        <f>IF(C392="Técnico III","35",IF(C392="Técnico II","28",IF(C392="Técnico I","23",IF(C392="JR","20",IF(C392="Estágio","10",)))))</f>
        <v/>
      </c>
      <c r="K392" s="3">
        <f>I392-J392</f>
        <v/>
      </c>
      <c r="L392" s="3">
        <f>IF(K392&lt;-5,"CRÍTICO",IF(K392&lt;0,"ATENÇÃO",IF(K392&lt;=5,"BOM","EXCELENTE")))</f>
        <v/>
      </c>
      <c r="M392" t="n">
        <v>23</v>
      </c>
      <c r="N392" t="n">
        <v>100</v>
      </c>
      <c r="O392" t="n">
        <v>16.89497716894977</v>
      </c>
    </row>
    <row r="393" hidden="1">
      <c r="A393" s="5" t="n">
        <v>46156</v>
      </c>
      <c r="B393" s="6" t="inlineStr">
        <is>
          <t>Paulo Ricardo Santos</t>
        </is>
      </c>
      <c r="C393" s="3" t="inlineStr">
        <is>
          <t>JR</t>
        </is>
      </c>
      <c r="D393" s="3" t="n">
        <v>15</v>
      </c>
      <c r="E393" s="3" t="n">
        <v>15</v>
      </c>
      <c r="G393" s="3" t="n">
        <v>0</v>
      </c>
      <c r="H393" s="3" t="n">
        <v>0</v>
      </c>
      <c r="I393" s="3">
        <f>E393+G393+H393</f>
        <v/>
      </c>
      <c r="J393" s="3">
        <f>IF(C393="Técnico III","35",IF(C393="Técnico II","28",IF(C393="Técnico I","23",IF(C393="JR","20",IF(C393="Estágio","10",)))))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13</v>
      </c>
      <c r="N393" t="n">
        <v>100</v>
      </c>
      <c r="O393" t="n">
        <v>19.13875598086124</v>
      </c>
    </row>
    <row r="394" hidden="1">
      <c r="A394" s="5" t="n">
        <v>46156</v>
      </c>
      <c r="B394" s="6" t="inlineStr">
        <is>
          <t>Pedro Luiz Mota Sousa</t>
        </is>
      </c>
      <c r="C394" s="3" t="inlineStr">
        <is>
          <t>JR</t>
        </is>
      </c>
      <c r="D394" s="3" t="n">
        <v>6</v>
      </c>
      <c r="E394" s="3" t="n">
        <v>6</v>
      </c>
      <c r="G394" s="3" t="n">
        <v>0</v>
      </c>
      <c r="H394" s="3" t="n">
        <v>0</v>
      </c>
      <c r="I394" s="3">
        <f>E394+G394+H394</f>
        <v/>
      </c>
      <c r="J394" s="3">
        <f>IF(C394="Técnico III","35",IF(C394="Técnico II","28",IF(C394="Técnico I","23",IF(C394="JR","20",IF(C394="Estágio","10",)))))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5</v>
      </c>
      <c r="N394" t="n">
        <v>100</v>
      </c>
      <c r="O394" t="n">
        <v>15.02145922746781</v>
      </c>
    </row>
    <row r="395" hidden="1">
      <c r="A395" s="5" t="n">
        <v>46156</v>
      </c>
      <c r="B395" s="6" t="inlineStr">
        <is>
          <t>Raane Batista Matos</t>
        </is>
      </c>
      <c r="C395" s="3" t="inlineStr">
        <is>
          <t>Técnico I</t>
        </is>
      </c>
      <c r="D395" s="3" t="n">
        <v>26</v>
      </c>
      <c r="E395" s="3" t="n">
        <v>25</v>
      </c>
      <c r="G395" s="3" t="n">
        <v>1</v>
      </c>
      <c r="H395" s="3" t="n">
        <v>0</v>
      </c>
      <c r="I395" s="3">
        <f>E395+G395+H395</f>
        <v/>
      </c>
      <c r="J395" s="3">
        <f>IF(C395="Técnico III","35",IF(C395="Técnico II","28",IF(C395="Técnico I","23",IF(C395="JR","20",IF(C395="Estágio","10",)))))</f>
        <v/>
      </c>
      <c r="K395" s="3">
        <f>I395-J395</f>
        <v/>
      </c>
      <c r="L395" s="3">
        <f>IF(K395&lt;-5,"CRÍTICO",IF(K395&lt;0,"ATENÇÃO",IF(K395&lt;=5,"BOM","EXCELENTE")))</f>
        <v/>
      </c>
      <c r="M395" t="n">
        <v>24</v>
      </c>
      <c r="N395" t="n">
        <v>97.56</v>
      </c>
      <c r="O395" t="n">
        <v>19.28783382789317</v>
      </c>
    </row>
    <row r="396" hidden="1">
      <c r="A396" s="5" t="n">
        <v>46156</v>
      </c>
      <c r="B396" s="6" t="inlineStr">
        <is>
          <t>Rafael Gomes de Morais</t>
        </is>
      </c>
      <c r="C396" s="3" t="inlineStr">
        <is>
          <t>Técnico III</t>
        </is>
      </c>
      <c r="D396" s="3" t="n">
        <v>38</v>
      </c>
      <c r="E396" s="3" t="n">
        <v>37</v>
      </c>
      <c r="G396" s="3" t="n">
        <v>0</v>
      </c>
      <c r="H396" s="3" t="n">
        <v>0</v>
      </c>
      <c r="I396" s="3">
        <f>E396+G396+H396</f>
        <v/>
      </c>
      <c r="J396" s="3">
        <f>IF(C396="Técnico III","35",IF(C396="Técnico II","28",IF(C396="Técnico I","23",IF(C396="JR","20",IF(C396="Estágio","10",)))))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40</v>
      </c>
      <c r="N396" t="n">
        <v>99.29000000000001</v>
      </c>
      <c r="O396" t="n">
        <v>22.49443207126949</v>
      </c>
    </row>
    <row r="397" hidden="1">
      <c r="A397" s="5" t="n">
        <v>46156</v>
      </c>
      <c r="B397" s="6" t="inlineStr">
        <is>
          <t>Sara Maria Monteiro Lopes</t>
        </is>
      </c>
      <c r="C397" s="3" t="inlineStr">
        <is>
          <t>Técnico I</t>
        </is>
      </c>
      <c r="D397" s="3" t="n">
        <v>20</v>
      </c>
      <c r="E397" s="3" t="n">
        <v>19</v>
      </c>
      <c r="G397" s="3" t="n">
        <v>0</v>
      </c>
      <c r="H397" s="3" t="n">
        <v>0</v>
      </c>
      <c r="I397" s="3">
        <f>E397+G397+H397</f>
        <v/>
      </c>
      <c r="J397" s="3">
        <f>IF(C397="Técnico III","35",IF(C397="Técnico II","28",IF(C397="Técnico I","23",IF(C397="JR","20",IF(C397="Estágio","10",)))))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17</v>
      </c>
      <c r="N397" t="n">
        <v>100</v>
      </c>
      <c r="O397" t="n">
        <v>16.97247706422019</v>
      </c>
    </row>
    <row r="398" hidden="1">
      <c r="A398" s="5" t="n">
        <v>46156</v>
      </c>
      <c r="B398" s="6" t="inlineStr">
        <is>
          <t>Sarah Steffanie de Lima Borges</t>
        </is>
      </c>
      <c r="C398" s="3" t="inlineStr">
        <is>
          <t>Técnico III</t>
        </is>
      </c>
      <c r="D398" s="3" t="n">
        <v>22</v>
      </c>
      <c r="E398" s="3" t="n">
        <v>22</v>
      </c>
      <c r="G398" s="3" t="n">
        <v>5</v>
      </c>
      <c r="H398" s="3" t="n">
        <v>0</v>
      </c>
      <c r="I398" s="3">
        <f>E398+G398+H398</f>
        <v/>
      </c>
      <c r="J398" s="3">
        <f>IF(C398="Técnico III","35",IF(C398="Técnico II","28",IF(C398="Técnico I","23",IF(C398="JR","20",IF(C398="Estágio","10",)))))</f>
        <v/>
      </c>
      <c r="K398" s="3">
        <f>I398-J398</f>
        <v/>
      </c>
      <c r="L398" s="3">
        <f>IF(K398&lt;-5,"CRÍTICO",IF(K398&lt;0,"ATENÇÃO",IF(K398&lt;=5,"BOM","EXCELENTE")))</f>
        <v/>
      </c>
      <c r="M398" t="n">
        <v>21</v>
      </c>
      <c r="N398" t="n">
        <v>97.33</v>
      </c>
      <c r="O398" t="n">
        <v>15.80547112462006</v>
      </c>
    </row>
    <row r="399" hidden="1">
      <c r="A399" s="5" t="n">
        <v>46157</v>
      </c>
      <c r="B399" s="6" t="inlineStr">
        <is>
          <t>Alisson de Freitas Silva</t>
        </is>
      </c>
      <c r="C399" s="3" t="inlineStr">
        <is>
          <t>Técnico II</t>
        </is>
      </c>
      <c r="D399" s="3" t="n">
        <v>20</v>
      </c>
      <c r="E399" s="3" t="n">
        <v>19</v>
      </c>
      <c r="G399" s="3" t="n">
        <v>1</v>
      </c>
      <c r="H399" s="3" t="n">
        <v>0</v>
      </c>
      <c r="I399" s="3">
        <f>E399+G399+H399</f>
        <v/>
      </c>
      <c r="J399" s="3">
        <f>IF(C399="Técnico III","35",IF(C399="Técnico II","28",IF(C399="Técnico I","23",IF(C399="JR","20",IF(C399="Estágio","10",)))))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12</v>
      </c>
      <c r="N399" s="3" t="n">
        <v>98.94</v>
      </c>
      <c r="O399" s="3" t="n">
        <v>19.61414790996785</v>
      </c>
    </row>
    <row r="400" hidden="1">
      <c r="A400" s="5" t="n">
        <v>46157</v>
      </c>
      <c r="B400" s="6" t="inlineStr">
        <is>
          <t>Amanda Moura Ferreira</t>
        </is>
      </c>
      <c r="C400" s="3" t="inlineStr">
        <is>
          <t>Técnico III</t>
        </is>
      </c>
      <c r="D400" s="3" t="n">
        <v>0</v>
      </c>
      <c r="E400" s="3" t="n">
        <v>0</v>
      </c>
      <c r="F400" s="3" t="n">
        <v>0</v>
      </c>
      <c r="G400" s="3" t="n">
        <v>0</v>
      </c>
      <c r="H400" s="3" t="n">
        <v>0</v>
      </c>
      <c r="I400" s="3" t="n">
        <v>0</v>
      </c>
      <c r="J400" s="3" t="n">
        <v>0</v>
      </c>
      <c r="K400" s="3" t="n">
        <v>0</v>
      </c>
      <c r="L400" s="3">
        <f>IF(K400&lt;-5,"CRÍTICO",IF(K400&lt;0,"ATENÇÃO",IF(K400&lt;=5,"BOM","EXCELENTE")))</f>
        <v/>
      </c>
      <c r="M400" s="9" t="n">
        <v>0</v>
      </c>
      <c r="N400" s="9" t="n">
        <v>100</v>
      </c>
      <c r="O400" s="9" t="n">
        <v>0</v>
      </c>
    </row>
    <row r="401" hidden="1">
      <c r="A401" s="5" t="n">
        <v>46157</v>
      </c>
      <c r="B401" s="6" t="inlineStr">
        <is>
          <t>Ana Karollyne Souza Faria</t>
        </is>
      </c>
      <c r="C401" s="3" t="inlineStr">
        <is>
          <t>Técnico I</t>
        </is>
      </c>
      <c r="D401" s="3" t="n">
        <v>40</v>
      </c>
      <c r="E401" s="3" t="n">
        <v>38</v>
      </c>
      <c r="G401" s="3" t="n">
        <v>5</v>
      </c>
      <c r="H401" s="3" t="n">
        <v>0</v>
      </c>
      <c r="I401" s="3">
        <f>E401+G401+H401</f>
        <v/>
      </c>
      <c r="J401" s="3">
        <f>IF(C401="Técnico III","35",IF(C401="Técnico II","28",IF(C401="Técnico I","23",IF(C401="JR","20",IF(C401="Estágio","10",)))))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36</v>
      </c>
      <c r="N401" s="3" t="n">
        <v>95.38</v>
      </c>
      <c r="O401" s="3" t="n">
        <v>21.5962441314554</v>
      </c>
    </row>
    <row r="402" hidden="1">
      <c r="A402" s="5" t="n">
        <v>46157</v>
      </c>
      <c r="B402" s="6" t="inlineStr">
        <is>
          <t>Ana Paula Da Luz Silva Aleixo</t>
        </is>
      </c>
      <c r="C402" s="9" t="inlineStr">
        <is>
          <t>Técnico III</t>
        </is>
      </c>
      <c r="D402" s="3" t="n">
        <v>29</v>
      </c>
      <c r="E402" s="3" t="n">
        <v>28</v>
      </c>
      <c r="G402" s="3" t="n">
        <v>3</v>
      </c>
      <c r="H402" s="3" t="n">
        <v>0</v>
      </c>
      <c r="I402" s="3">
        <f>E402+G402+H402</f>
        <v/>
      </c>
      <c r="J402" s="3">
        <f>IF(C402="Técnico III","35",IF(C402="Técnico II","28",IF(C402="Técnico I","23",IF(C402="JR","20",IF(C402="Estágio","10",)))))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25</v>
      </c>
      <c r="N402" t="n">
        <v>96.34</v>
      </c>
      <c r="O402" t="n">
        <v>17.57188498402556</v>
      </c>
    </row>
    <row r="403" hidden="1">
      <c r="A403" s="5" t="n">
        <v>46157</v>
      </c>
      <c r="B403" s="6" t="inlineStr">
        <is>
          <t>Brenda de Menezes Silva</t>
        </is>
      </c>
      <c r="C403" s="3" t="inlineStr">
        <is>
          <t>Técnico II</t>
        </is>
      </c>
      <c r="D403" s="3" t="n">
        <v>20</v>
      </c>
      <c r="E403" s="3" t="n">
        <v>19</v>
      </c>
      <c r="G403" s="3" t="n">
        <v>2</v>
      </c>
      <c r="H403" s="3" t="n">
        <v>0</v>
      </c>
      <c r="I403" s="3">
        <f>E403+G403+H403</f>
        <v/>
      </c>
      <c r="J403" s="3">
        <f>IF(C403="Técnico III","35",IF(C403="Técnico II","28",IF(C403="Técnico I","23",IF(C403="JR","20",IF(C403="Estágio","10",)))))</f>
        <v/>
      </c>
      <c r="K403" s="3">
        <f>I403-J403</f>
        <v/>
      </c>
      <c r="L403" s="3">
        <f>IF(K403&lt;-5,"CRÍTICO",IF(K403&lt;0,"ATENÇÃO",IF(K403&lt;=5,"BOM","EXCELENTE")))</f>
        <v/>
      </c>
      <c r="M403" t="n">
        <v>21</v>
      </c>
      <c r="N403" t="n">
        <v>99.13</v>
      </c>
      <c r="O403" t="n">
        <v>14.7239263803681</v>
      </c>
    </row>
    <row r="404" hidden="1">
      <c r="A404" s="5" t="n">
        <v>46157</v>
      </c>
      <c r="B404" s="6" t="inlineStr">
        <is>
          <t>Carlos Mateus Cassimiro Nunes</t>
        </is>
      </c>
      <c r="C404" s="9" t="inlineStr">
        <is>
          <t>Técnico II</t>
        </is>
      </c>
      <c r="D404" s="3" t="n">
        <v>26</v>
      </c>
      <c r="E404" s="3" t="n">
        <v>26</v>
      </c>
      <c r="G404" s="3" t="n">
        <v>3</v>
      </c>
      <c r="H404" s="3" t="n">
        <v>0</v>
      </c>
      <c r="I404" s="3">
        <f>E404+G404+H404</f>
        <v/>
      </c>
      <c r="J404" s="3">
        <f>IF(C404="Técnico III","35",IF(C404="Técnico II","28",IF(C404="Técnico I","23",IF(C404="JR","20",IF(C404="Estágio","10",)))))</f>
        <v/>
      </c>
      <c r="K404" s="3">
        <f>I404-J404</f>
        <v/>
      </c>
      <c r="L404" s="3">
        <f>IF(K404&lt;-5,"CRÍTICO",IF(K404&lt;0,"ATENÇÃO",IF(K404&lt;=5,"BOM","EXCELENTE")))</f>
        <v/>
      </c>
      <c r="M404" t="n">
        <v>29</v>
      </c>
      <c r="N404" t="n">
        <v>98.8</v>
      </c>
      <c r="O404" t="n">
        <v>16.89750692520776</v>
      </c>
    </row>
    <row r="405" hidden="1">
      <c r="A405" s="5" t="n">
        <v>46157</v>
      </c>
      <c r="B405" s="6" t="inlineStr">
        <is>
          <t>Clessiane Pereira dos Santos</t>
        </is>
      </c>
      <c r="C405" s="3" t="inlineStr">
        <is>
          <t>Técnico I</t>
        </is>
      </c>
      <c r="D405" s="3" t="n">
        <v>24</v>
      </c>
      <c r="E405" s="3" t="n">
        <v>20</v>
      </c>
      <c r="G405" s="3" t="n">
        <v>3</v>
      </c>
      <c r="H405" s="3" t="n">
        <v>0</v>
      </c>
      <c r="I405" s="3">
        <f>E405+G405+H405</f>
        <v/>
      </c>
      <c r="J405" s="3">
        <f>IF(C405="Técnico III","35",IF(C405="Técnico II","28",IF(C405="Técnico I","23",IF(C405="JR","20",IF(C405="Estágio","10",)))))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20</v>
      </c>
      <c r="N405" t="n">
        <v>96.88</v>
      </c>
      <c r="O405" t="n">
        <v>19.52662721893491</v>
      </c>
    </row>
    <row r="406" hidden="1">
      <c r="A406" s="5" t="n">
        <v>46157</v>
      </c>
      <c r="B406" s="6" t="inlineStr">
        <is>
          <t>Cristiane Ramos da Silva Rocha</t>
        </is>
      </c>
      <c r="C406" s="3" t="inlineStr">
        <is>
          <t>Técnico III</t>
        </is>
      </c>
      <c r="D406" s="3" t="n">
        <v>37</v>
      </c>
      <c r="E406" s="3" t="n">
        <v>31</v>
      </c>
      <c r="G406" s="3" t="n">
        <v>0</v>
      </c>
      <c r="H406" s="3" t="n">
        <v>0</v>
      </c>
      <c r="I406" s="3">
        <f>E406+G406+H406</f>
        <v/>
      </c>
      <c r="J406" s="3">
        <f>IF(C406="Técnico III","35",IF(C406="Técnico II","28",IF(C406="Técnico I","23",IF(C406="JR","20",IF(C406="Estágio","10",)))))</f>
        <v/>
      </c>
      <c r="K406" s="3">
        <f>I406-J406</f>
        <v/>
      </c>
      <c r="L406" s="3">
        <f>IF(K406&lt;-5,"CRÍTICO",IF(K406&lt;0,"ATENÇÃO",IF(K406&lt;=5,"BOM","EXCELENTE")))</f>
        <v/>
      </c>
      <c r="M406" t="n">
        <v>29</v>
      </c>
      <c r="N406" t="n">
        <v>91.84999999999999</v>
      </c>
      <c r="O406" t="n">
        <v>20.87155963302752</v>
      </c>
    </row>
    <row r="407" hidden="1">
      <c r="A407" s="5" t="n">
        <v>46157</v>
      </c>
      <c r="B407" s="6" t="inlineStr">
        <is>
          <t>Damyllis Lorraine de Oliveira Gonçalves</t>
        </is>
      </c>
      <c r="C407" s="3" t="inlineStr">
        <is>
          <t>Técnico II</t>
        </is>
      </c>
      <c r="D407" s="3" t="n">
        <v>35</v>
      </c>
      <c r="E407" s="3" t="n">
        <v>31</v>
      </c>
      <c r="G407" s="3" t="n">
        <v>3</v>
      </c>
      <c r="H407" s="3" t="n">
        <v>0</v>
      </c>
      <c r="I407" s="3">
        <f>E407+G407+H407</f>
        <v/>
      </c>
      <c r="J407" s="3">
        <f>IF(C407="Técnico III","35",IF(C407="Técnico II","28",IF(C407="Técnico I","23",IF(C407="JR","20",IF(C407="Estágio","10",)))))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30</v>
      </c>
      <c r="N407" t="n">
        <v>98.63</v>
      </c>
      <c r="O407" t="n">
        <v>18.75</v>
      </c>
    </row>
    <row r="408" hidden="1">
      <c r="A408" s="5" t="n">
        <v>46157</v>
      </c>
      <c r="B408" s="6" t="inlineStr">
        <is>
          <t>Daniel Gomes da Silva</t>
        </is>
      </c>
      <c r="C408" s="3" t="inlineStr">
        <is>
          <t>Técnico I</t>
        </is>
      </c>
      <c r="D408" s="3" t="n">
        <v>18</v>
      </c>
      <c r="E408" s="3" t="n">
        <v>18</v>
      </c>
      <c r="G408" s="3" t="n">
        <v>3</v>
      </c>
      <c r="H408" s="3" t="n">
        <v>0</v>
      </c>
      <c r="I408" s="3">
        <f>E408+G408+H408</f>
        <v/>
      </c>
      <c r="J408" s="3">
        <f>IF(C408="Técnico III","35",IF(C408="Técnico II","28",IF(C408="Técnico I","23",IF(C408="JR","20",IF(C408="Estágio","10",)))))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19</v>
      </c>
      <c r="N408" t="n">
        <v>100</v>
      </c>
      <c r="O408" t="n">
        <v>18.14516129032258</v>
      </c>
    </row>
    <row r="409" hidden="1">
      <c r="A409" s="5" t="n">
        <v>46157</v>
      </c>
      <c r="B409" s="6" t="inlineStr">
        <is>
          <t>Davylla Rodrigues Freitas Silva</t>
        </is>
      </c>
      <c r="C409" s="9" t="inlineStr">
        <is>
          <t>Técnico III</t>
        </is>
      </c>
      <c r="D409" s="3" t="n">
        <v>20</v>
      </c>
      <c r="E409" s="3" t="n">
        <v>20</v>
      </c>
      <c r="G409" s="3" t="n">
        <v>3</v>
      </c>
      <c r="H409" s="3" t="n">
        <v>0</v>
      </c>
      <c r="I409" s="3">
        <f>E409+G409+H409</f>
        <v/>
      </c>
      <c r="J409" s="3">
        <f>IF(C409="Técnico III","35",IF(C409="Técnico II","28",IF(C409="Técnico I","23",IF(C409="JR","20",IF(C409="Estágio","10",)))))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23</v>
      </c>
      <c r="N409" t="n">
        <v>99.06</v>
      </c>
      <c r="O409" t="n">
        <v>22.95719844357977</v>
      </c>
    </row>
    <row r="410" hidden="1">
      <c r="A410" s="5" t="n">
        <v>46157</v>
      </c>
      <c r="B410" s="6" t="inlineStr">
        <is>
          <t>Emilly Kamilly Medeiros Miranda</t>
        </is>
      </c>
      <c r="C410" s="3" t="inlineStr">
        <is>
          <t>Técnico II</t>
        </is>
      </c>
      <c r="D410" s="3" t="n">
        <v>27</v>
      </c>
      <c r="E410" s="3" t="n">
        <v>25</v>
      </c>
      <c r="G410" s="3" t="n">
        <v>2</v>
      </c>
      <c r="H410" s="3" t="n">
        <v>0</v>
      </c>
      <c r="I410" s="3">
        <f>E410+G410+H410</f>
        <v/>
      </c>
      <c r="J410" s="3">
        <f>IF(C410="Técnico III","35",IF(C410="Técnico II","28",IF(C410="Técnico I","23",IF(C410="JR","20",IF(C410="Estágio","10",)))))</f>
        <v/>
      </c>
      <c r="K410" s="3">
        <f>I410-J410</f>
        <v/>
      </c>
      <c r="L410" s="3">
        <f>IF(K410&lt;-5,"CRÍTICO",IF(K410&lt;0,"ATENÇÃO",IF(K410&lt;=5,"BOM","EXCELENTE")))</f>
        <v/>
      </c>
      <c r="M410" t="n">
        <v>23</v>
      </c>
      <c r="N410" t="n">
        <v>100</v>
      </c>
      <c r="O410" t="n">
        <v>13.8121546961326</v>
      </c>
    </row>
    <row r="411" hidden="1">
      <c r="A411" s="5" t="n">
        <v>46157</v>
      </c>
      <c r="B411" s="6" t="inlineStr">
        <is>
          <t>Francilene Ferreira de Jesus</t>
        </is>
      </c>
      <c r="C411" s="3" t="inlineStr">
        <is>
          <t>Técnico 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  <c r="K411" s="3" t="n">
        <v>0</v>
      </c>
      <c r="L411" s="3">
        <f>IF(K411&lt;-5,"CRÍTICO",IF(K411&lt;0,"ATENÇÃO",IF(K411&lt;=5,"BOM","EXCELENTE")))</f>
        <v/>
      </c>
      <c r="M411" t="n">
        <v>0</v>
      </c>
      <c r="N411" t="n">
        <v>100</v>
      </c>
      <c r="O411" t="n">
        <v>17.24137931034483</v>
      </c>
    </row>
    <row r="412" hidden="1">
      <c r="A412" s="5" t="n">
        <v>46157</v>
      </c>
      <c r="B412" s="6" t="inlineStr">
        <is>
          <t>Gabriel Gomes de Andrade</t>
        </is>
      </c>
      <c r="C412" s="3" t="inlineStr">
        <is>
          <t>Técnico I</t>
        </is>
      </c>
      <c r="D412" s="3" t="n">
        <v>19</v>
      </c>
      <c r="E412" s="3" t="n">
        <v>16</v>
      </c>
      <c r="G412" s="3" t="n">
        <v>6</v>
      </c>
      <c r="H412" s="3" t="n">
        <v>1</v>
      </c>
      <c r="I412" s="3">
        <f>E412+G412+H412</f>
        <v/>
      </c>
      <c r="J412" s="3">
        <f>IF(C412="Técnico III","35",IF(C412="Técnico II","28",IF(C412="Técnico I","23",IF(C412="JR","20",IF(C412="Estágio","10",)))))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15</v>
      </c>
      <c r="N412" t="n">
        <v>98.8</v>
      </c>
      <c r="O412" t="n">
        <v>15.41353383458646</v>
      </c>
    </row>
    <row r="413" hidden="1">
      <c r="A413" s="5" t="n">
        <v>46157</v>
      </c>
      <c r="B413" s="6" t="inlineStr">
        <is>
          <t>Isabella Borges de Oliveira</t>
        </is>
      </c>
      <c r="C413" s="9" t="inlineStr">
        <is>
          <t>Técnico II</t>
        </is>
      </c>
      <c r="D413" s="3" t="n">
        <v>28</v>
      </c>
      <c r="E413" s="3" t="n">
        <v>25</v>
      </c>
      <c r="G413" s="3" t="n">
        <v>0</v>
      </c>
      <c r="H413" s="3" t="n">
        <v>0</v>
      </c>
      <c r="I413" s="3">
        <f>E413+G413+H413</f>
        <v/>
      </c>
      <c r="J413" s="3">
        <f>IF(C413="Técnico III","35",IF(C413="Técnico II","28",IF(C413="Técnico I","23",IF(C413="JR","20",IF(C413="Estágio","10",)))))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23</v>
      </c>
      <c r="N413" t="n">
        <v>98.63</v>
      </c>
      <c r="O413" t="n">
        <v>15.75757575757576</v>
      </c>
    </row>
    <row r="414" hidden="1">
      <c r="A414" s="5" t="n">
        <v>46157</v>
      </c>
      <c r="B414" s="6" t="inlineStr">
        <is>
          <t>Janaina Lima dos Reis Urany</t>
        </is>
      </c>
      <c r="C414" s="3" t="inlineStr">
        <is>
          <t>Técnico III</t>
        </is>
      </c>
      <c r="D414" s="3" t="n">
        <v>44</v>
      </c>
      <c r="E414" s="3" t="n">
        <v>38</v>
      </c>
      <c r="G414" s="3" t="n">
        <v>6</v>
      </c>
      <c r="H414" s="3" t="n">
        <v>0</v>
      </c>
      <c r="I414" s="3">
        <f>E414+G414+H414</f>
        <v/>
      </c>
      <c r="J414" s="3">
        <f>IF(C414="Técnico III","35",IF(C414="Técnico II","28",IF(C414="Técnico I","23",IF(C414="JR","20",IF(C414="Estágio","10",)))))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39</v>
      </c>
      <c r="N414" t="n">
        <v>98.64</v>
      </c>
      <c r="O414" t="n">
        <v>16.6383701188455</v>
      </c>
    </row>
    <row r="415" hidden="1">
      <c r="A415" s="5" t="n">
        <v>46157</v>
      </c>
      <c r="B415" s="6" t="inlineStr">
        <is>
          <t>Jaqueline Evangelista da Silva Martins</t>
        </is>
      </c>
      <c r="C415" s="3" t="inlineStr">
        <is>
          <t>Técnico III</t>
        </is>
      </c>
      <c r="D415" s="3" t="n">
        <v>30</v>
      </c>
      <c r="E415" s="3" t="n">
        <v>29</v>
      </c>
      <c r="G415" s="3" t="n">
        <v>5</v>
      </c>
      <c r="H415" s="3" t="n">
        <v>0</v>
      </c>
      <c r="I415" s="3">
        <f>E415+G415+H415</f>
        <v/>
      </c>
      <c r="J415" s="3">
        <f>IF(C415="Técnico III","35",IF(C415="Técnico II","28",IF(C415="Técnico I","23",IF(C415="JR","20",IF(C415="Estágio","10",)))))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23</v>
      </c>
      <c r="N415" t="n">
        <v>95.40000000000001</v>
      </c>
      <c r="O415" t="n">
        <v>20.53333333333333</v>
      </c>
    </row>
    <row r="416" hidden="1">
      <c r="A416" s="5" t="n">
        <v>46157</v>
      </c>
      <c r="B416" s="6" t="inlineStr">
        <is>
          <t>Jessica Faria da Silveira</t>
        </is>
      </c>
      <c r="C416" s="3" t="inlineStr">
        <is>
          <t>Técnico II</t>
        </is>
      </c>
      <c r="D416" s="3" t="n">
        <v>17</v>
      </c>
      <c r="E416" s="3" t="n">
        <v>14</v>
      </c>
      <c r="G416" s="3" t="n">
        <v>1</v>
      </c>
      <c r="H416" s="3" t="n">
        <v>0</v>
      </c>
      <c r="I416" s="3">
        <f>E416+G416+H416</f>
        <v/>
      </c>
      <c r="J416" s="3">
        <f>IF(C416="Técnico III","35",IF(C416="Técnico II","28",IF(C416="Técnico I","23",IF(C416="JR","20",IF(C416="Estágio","10",)))))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14</v>
      </c>
      <c r="N416" t="n">
        <v>98.61</v>
      </c>
      <c r="O416" t="n">
        <v>16.97530864197531</v>
      </c>
    </row>
    <row r="417" hidden="1">
      <c r="A417" s="5" t="n">
        <v>46157</v>
      </c>
      <c r="B417" s="6" t="inlineStr">
        <is>
          <t>Jéssica Fé Moura</t>
        </is>
      </c>
      <c r="C417" s="3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IF(K417&lt;-5,"CRÍTICO",IF(K417&lt;0,"ATENÇÃO",IF(K417&lt;=5,"BOM","EXCELENTE")))</f>
        <v/>
      </c>
      <c r="M417" t="n">
        <v>0</v>
      </c>
      <c r="N417" t="n">
        <v>0</v>
      </c>
      <c r="O417" t="n">
        <v>0</v>
      </c>
    </row>
    <row r="418" hidden="1">
      <c r="A418" s="5" t="n">
        <v>46157</v>
      </c>
      <c r="B418" s="6" t="inlineStr">
        <is>
          <t>Karina Gonçalves Martins</t>
        </is>
      </c>
      <c r="C418" s="3" t="inlineStr">
        <is>
          <t>JR</t>
        </is>
      </c>
      <c r="D418" s="3" t="n">
        <v>23</v>
      </c>
      <c r="E418" s="3" t="n">
        <v>20</v>
      </c>
      <c r="G418" s="3" t="n">
        <v>5</v>
      </c>
      <c r="H418" s="3" t="n">
        <v>0</v>
      </c>
      <c r="I418" s="3">
        <f>E418+G418+H418</f>
        <v/>
      </c>
      <c r="J418" s="3">
        <f>IF(C418="Técnico III","35",IF(C418="Técnico II","28",IF(C418="Técnico I","23",IF(C418="JR","20",IF(C418="Estágio","10",)))))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23</v>
      </c>
      <c r="N418" t="n">
        <v>97.01000000000001</v>
      </c>
      <c r="O418" t="n">
        <v>13.96103896103896</v>
      </c>
    </row>
    <row r="419" hidden="1">
      <c r="A419" s="5" t="n">
        <v>46157</v>
      </c>
      <c r="B419" s="6" t="inlineStr">
        <is>
          <t>Leandro de Souza Silva</t>
        </is>
      </c>
      <c r="C419" s="3" t="inlineStr">
        <is>
          <t>JR</t>
        </is>
      </c>
      <c r="D419" s="3" t="n">
        <v>15</v>
      </c>
      <c r="E419" s="3" t="n">
        <v>14</v>
      </c>
      <c r="G419" s="3" t="n">
        <v>2</v>
      </c>
      <c r="H419" s="3" t="n">
        <v>0</v>
      </c>
      <c r="I419" s="3">
        <f>E419+G419+H419</f>
        <v/>
      </c>
      <c r="J419" s="3">
        <f>IF(C419="Técnico III","35",IF(C419="Técnico II","28",IF(C419="Técnico I","23",IF(C419="JR","20",IF(C419="Estágio","10",)))))</f>
        <v/>
      </c>
      <c r="K419" s="3">
        <f>I419-J419</f>
        <v/>
      </c>
      <c r="L419" s="3">
        <f>IF(K419&lt;-5,"CRÍTICO",IF(K419&lt;0,"ATENÇÃO",IF(K419&lt;=5,"BOM","EXCELENTE")))</f>
        <v/>
      </c>
      <c r="M419" t="n">
        <v>11</v>
      </c>
      <c r="N419" t="n">
        <v>100</v>
      </c>
      <c r="O419" t="n">
        <v>16.95906432748538</v>
      </c>
    </row>
    <row r="420" hidden="1">
      <c r="A420" s="5" t="n">
        <v>46157</v>
      </c>
      <c r="B420" s="6" t="inlineStr">
        <is>
          <t>Leandro Oliveira de Sousa</t>
        </is>
      </c>
      <c r="C420" s="9" t="inlineStr">
        <is>
          <t>Técnico III</t>
        </is>
      </c>
      <c r="D420" s="3" t="n">
        <v>23</v>
      </c>
      <c r="E420" s="3" t="n">
        <v>22</v>
      </c>
      <c r="G420" s="3" t="n">
        <v>1</v>
      </c>
      <c r="H420" s="3" t="n">
        <v>0</v>
      </c>
      <c r="I420" s="3">
        <f>E420+G420+H420</f>
        <v/>
      </c>
      <c r="J420" s="3">
        <f>IF(C420="Técnico III","35",IF(C420="Técnico II","28",IF(C420="Técnico I","23",IF(C420="JR","20",IF(C420="Estágio","10",)))))</f>
        <v/>
      </c>
      <c r="K420" s="3">
        <f>I420-J420</f>
        <v/>
      </c>
      <c r="L420" s="3">
        <f>IF(K420&lt;-5,"CRÍTICO",IF(K420&lt;0,"ATENÇÃO",IF(K420&lt;=5,"BOM","EXCELENTE")))</f>
        <v/>
      </c>
      <c r="M420" t="n">
        <v>19</v>
      </c>
      <c r="N420" t="n">
        <v>100</v>
      </c>
      <c r="O420" t="n">
        <v>15.58441558441558</v>
      </c>
    </row>
    <row r="421" hidden="1">
      <c r="A421" s="5" t="n">
        <v>46157</v>
      </c>
      <c r="B421" s="6" t="inlineStr">
        <is>
          <t>Lizandra Gomes Duarte</t>
        </is>
      </c>
      <c r="C421" s="3" t="inlineStr">
        <is>
          <t>Técnico II</t>
        </is>
      </c>
      <c r="D421" s="3" t="n">
        <v>34</v>
      </c>
      <c r="E421" s="3" t="n">
        <v>32</v>
      </c>
      <c r="G421" s="3" t="n">
        <v>0</v>
      </c>
      <c r="H421" s="3" t="n">
        <v>0</v>
      </c>
      <c r="I421" s="3">
        <f>E421+G421+H421</f>
        <v/>
      </c>
      <c r="J421" s="3">
        <f>IF(C421="Técnico III","35",IF(C421="Técnico II","28",IF(C421="Técnico I","23",IF(C421="JR","20",IF(C421="Estágio","10",)))))</f>
        <v/>
      </c>
      <c r="K421" s="3">
        <f>I421-J421</f>
        <v/>
      </c>
      <c r="L421" s="3">
        <f>IF(K421&lt;-5,"CRÍTICO",IF(K421&lt;0,"ATENÇÃO",IF(K421&lt;=5,"BOM","EXCELENTE")))</f>
        <v/>
      </c>
      <c r="M421" t="n">
        <v>13</v>
      </c>
      <c r="N421" t="n">
        <v>98.61</v>
      </c>
      <c r="O421" t="n">
        <v>16.86746987951807</v>
      </c>
    </row>
    <row r="422" hidden="1">
      <c r="A422" s="5" t="n">
        <v>46157</v>
      </c>
      <c r="B422" s="6" t="inlineStr">
        <is>
          <t>Lorena Dias de Araujo</t>
        </is>
      </c>
      <c r="C422" s="3" t="inlineStr">
        <is>
          <t>Técnico II</t>
        </is>
      </c>
      <c r="D422" s="3" t="n">
        <v>28</v>
      </c>
      <c r="E422" s="3" t="n">
        <v>25</v>
      </c>
      <c r="G422" s="3" t="n">
        <v>0</v>
      </c>
      <c r="H422" s="3" t="n">
        <v>0</v>
      </c>
      <c r="I422" s="3">
        <f>E422+G422+H422</f>
        <v/>
      </c>
      <c r="J422" s="3">
        <f>IF(C422="Técnico III","35",IF(C422="Técnico II","28",IF(C422="Técnico I","23",IF(C422="JR","20",IF(C422="Estágio","10",)))))</f>
        <v/>
      </c>
      <c r="K422" s="3">
        <f>I422-J422</f>
        <v/>
      </c>
      <c r="L422" s="3">
        <f>IF(K422&lt;-5,"CRÍTICO",IF(K422&lt;0,"ATENÇÃO",IF(K422&lt;=5,"BOM","EXCELENTE")))</f>
        <v/>
      </c>
      <c r="M422" t="n">
        <v>24</v>
      </c>
      <c r="N422" t="n">
        <v>100</v>
      </c>
      <c r="O422" t="n">
        <v>20.82018927444795</v>
      </c>
    </row>
    <row r="423" hidden="1">
      <c r="A423" s="5" t="n">
        <v>46157</v>
      </c>
      <c r="B423" s="6" t="inlineStr">
        <is>
          <t>Lucas Luiz Romero</t>
        </is>
      </c>
      <c r="C423" s="3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IF(K423&lt;-5,"CRÍTICO",IF(K423&lt;0,"ATENÇÃO",IF(K423&lt;=5,"BOM","EXCELENTE")))</f>
        <v/>
      </c>
      <c r="M423" t="n">
        <v>0</v>
      </c>
      <c r="N423" t="n">
        <v>100</v>
      </c>
      <c r="O423" t="n">
        <v>4.347826086956522</v>
      </c>
    </row>
    <row r="424" hidden="1">
      <c r="A424" s="5" t="n">
        <v>46157</v>
      </c>
      <c r="B424" s="6" t="inlineStr">
        <is>
          <t>Luiz Fernando de Carvalho Junior</t>
        </is>
      </c>
      <c r="C424" s="3" t="inlineStr">
        <is>
          <t>Técnico I</t>
        </is>
      </c>
      <c r="D424" s="3" t="n">
        <v>24</v>
      </c>
      <c r="E424" s="3" t="n">
        <v>21</v>
      </c>
      <c r="G424" s="3" t="n">
        <v>2</v>
      </c>
      <c r="H424" s="3" t="n">
        <v>0</v>
      </c>
      <c r="I424" s="3">
        <f>E424+G424+H424</f>
        <v/>
      </c>
      <c r="J424" s="3">
        <f>IF(C424="Técnico III","35",IF(C424="Técnico II","28",IF(C424="Técnico I","23",IF(C424="JR","20",IF(C424="Estágio","10",)))))</f>
        <v/>
      </c>
      <c r="K424" s="3">
        <f>I424-J424</f>
        <v/>
      </c>
      <c r="L424" s="3">
        <f>IF(K424&lt;-5,"CRÍTICO",IF(K424&lt;0,"ATENÇÃO",IF(K424&lt;=5,"BOM","EXCELENTE")))</f>
        <v/>
      </c>
      <c r="M424" t="n">
        <v>24</v>
      </c>
      <c r="N424" t="n">
        <v>93.26000000000001</v>
      </c>
      <c r="O424" t="n">
        <v>19.93957703927493</v>
      </c>
    </row>
    <row r="425" hidden="1">
      <c r="A425" s="5" t="n">
        <v>46157</v>
      </c>
      <c r="B425" s="6" t="inlineStr">
        <is>
          <t>Matheus Farias De Souza</t>
        </is>
      </c>
      <c r="C425" s="3" t="inlineStr">
        <is>
          <t>Técnico III</t>
        </is>
      </c>
      <c r="D425" s="3" t="n">
        <v>0</v>
      </c>
      <c r="E425" s="3" t="n">
        <v>0</v>
      </c>
      <c r="G425" s="3" t="n">
        <v>0</v>
      </c>
      <c r="H425" s="3" t="n">
        <v>31</v>
      </c>
      <c r="I425" s="3">
        <f>E425+G425+H425</f>
        <v/>
      </c>
      <c r="J425" s="3">
        <f>IF(C425="Técnico III","35",IF(C425="Técnico II","28",IF(C425="Técnico I","23",IF(C425="JR","20",IF(C425="Estágio","10",)))))</f>
        <v/>
      </c>
      <c r="K425" s="3">
        <f>I425-J425</f>
        <v/>
      </c>
      <c r="L425" s="3">
        <f>IF(K425&lt;-5,"CRÍTICO",IF(K425&lt;0,"ATENÇÃO",IF(K425&lt;=5,"BOM","EXCELENTE")))</f>
        <v/>
      </c>
      <c r="M425" t="n">
        <v>19</v>
      </c>
      <c r="N425" t="n">
        <v>98.28</v>
      </c>
      <c r="O425" t="n">
        <v>9.037900874635568</v>
      </c>
    </row>
    <row r="426" hidden="1">
      <c r="A426" s="5" t="n">
        <v>46157</v>
      </c>
      <c r="B426" s="6" t="inlineStr">
        <is>
          <t>Maysa Victoria Dias Moura</t>
        </is>
      </c>
      <c r="C426" s="3" t="inlineStr">
        <is>
          <t>Técnico III</t>
        </is>
      </c>
      <c r="D426" s="3" t="n">
        <v>26</v>
      </c>
      <c r="E426" s="3" t="n">
        <v>24</v>
      </c>
      <c r="G426" s="3" t="n">
        <v>2</v>
      </c>
      <c r="H426" s="3" t="n">
        <v>0</v>
      </c>
      <c r="I426" s="3">
        <f>E426+G426+H426</f>
        <v/>
      </c>
      <c r="J426" s="3">
        <f>IF(C426="Técnico III","35",IF(C426="Técnico II","28",IF(C426="Técnico I","23",IF(C426="JR","20",IF(C426="Estágio","10",)))))</f>
        <v/>
      </c>
      <c r="K426" s="3">
        <f>I426-J426</f>
        <v/>
      </c>
      <c r="L426" s="3">
        <f>IF(K426&lt;-5,"CRÍTICO",IF(K426&lt;0,"ATENÇÃO",IF(K426&lt;=5,"BOM","EXCELENTE")))</f>
        <v/>
      </c>
      <c r="M426" t="n">
        <v>22</v>
      </c>
      <c r="N426" t="n">
        <v>97.22</v>
      </c>
      <c r="O426" t="n">
        <v>19.09547738693467</v>
      </c>
    </row>
    <row r="427" hidden="1">
      <c r="A427" s="5" t="n">
        <v>46157</v>
      </c>
      <c r="B427" s="6" t="inlineStr">
        <is>
          <t>Anna Luiza Rezende Tavares</t>
        </is>
      </c>
      <c r="C427" s="3" t="inlineStr">
        <is>
          <t>Estágio</t>
        </is>
      </c>
      <c r="D427" s="3" t="n">
        <v>42</v>
      </c>
      <c r="E427" s="3" t="n">
        <v>40</v>
      </c>
      <c r="G427" s="3" t="n">
        <v>0</v>
      </c>
      <c r="H427" s="3" t="n">
        <v>0</v>
      </c>
      <c r="I427" s="3">
        <f>E427+G427+H427</f>
        <v/>
      </c>
      <c r="J427" s="3">
        <f>IF(C427="Técnico III","35",IF(C427="Técnico II","28",IF(C427="Técnico I","23",IF(C427="JR","20",IF(C427="Estágio","10",)))))</f>
        <v/>
      </c>
      <c r="K427" s="3">
        <f>I427-J427</f>
        <v/>
      </c>
      <c r="L427" s="3">
        <f>IF(K427&lt;-5,"CRÍTICO",IF(K427&lt;0,"ATENÇÃO",IF(K427&lt;=5,"BOM","EXCELENTE")))</f>
        <v/>
      </c>
      <c r="M427" t="n">
        <v>34</v>
      </c>
      <c r="N427" t="n">
        <v>99.11</v>
      </c>
      <c r="O427" t="n">
        <v>17.72151898734177</v>
      </c>
    </row>
    <row r="428" hidden="1">
      <c r="A428" s="5" t="n">
        <v>46157</v>
      </c>
      <c r="B428" s="6" t="inlineStr">
        <is>
          <t>Claudio de Sousa Velasco Filho</t>
        </is>
      </c>
      <c r="C428" s="3" t="inlineStr">
        <is>
          <t>Estágio</t>
        </is>
      </c>
      <c r="D428" s="3" t="n">
        <v>11</v>
      </c>
      <c r="E428" s="3" t="n">
        <v>10</v>
      </c>
      <c r="G428" s="3" t="n">
        <v>0</v>
      </c>
      <c r="H428" s="3" t="n">
        <v>0</v>
      </c>
      <c r="I428" s="3">
        <f>E428+G428+H428</f>
        <v/>
      </c>
      <c r="J428" s="3">
        <f>IF(C428="Técnico III","35",IF(C428="Técnico II","28",IF(C428="Técnico I","23",IF(C428="JR","20",IF(C428="Estágio","10",)))))</f>
        <v/>
      </c>
      <c r="K428" s="3">
        <f>I428-J428</f>
        <v/>
      </c>
      <c r="L428" s="3">
        <f>IF(K428&lt;-5,"CRÍTICO",IF(K428&lt;0,"ATENÇÃO",IF(K428&lt;=5,"BOM","EXCELENTE")))</f>
        <v/>
      </c>
      <c r="M428" t="n">
        <v>8</v>
      </c>
      <c r="N428" t="n">
        <v>96.43000000000001</v>
      </c>
      <c r="O428" t="n">
        <v>20</v>
      </c>
    </row>
    <row r="429" hidden="1">
      <c r="A429" s="5" t="n">
        <v>46157</v>
      </c>
      <c r="B429" s="6" t="inlineStr">
        <is>
          <t>Emilly Caylane Costa</t>
        </is>
      </c>
      <c r="C429" s="3" t="inlineStr">
        <is>
          <t>Estágio</t>
        </is>
      </c>
      <c r="D429" s="3" t="n">
        <v>39</v>
      </c>
      <c r="E429" s="3" t="n">
        <v>24</v>
      </c>
      <c r="G429" s="3" t="n">
        <v>0</v>
      </c>
      <c r="H429" s="3" t="n">
        <v>0</v>
      </c>
      <c r="I429" s="3">
        <f>E429+G429+H429</f>
        <v/>
      </c>
      <c r="J429" s="3">
        <f>IF(C429="Técnico III","35",IF(C429="Técnico II","28",IF(C429="Técnico I","23",IF(C429="JR","20",IF(C429="Estágio","10",)))))</f>
        <v/>
      </c>
      <c r="K429" s="3">
        <f>I429-J429</f>
        <v/>
      </c>
      <c r="L429" s="3">
        <f>IF(K429&lt;-5,"CRÍTICO",IF(K429&lt;0,"ATENÇÃO",IF(K429&lt;=5,"BOM","EXCELENTE")))</f>
        <v/>
      </c>
      <c r="M429" t="n">
        <v>0</v>
      </c>
      <c r="N429" t="n">
        <v>100</v>
      </c>
      <c r="O429" t="n">
        <v>29.03225806451613</v>
      </c>
    </row>
    <row r="430" hidden="1">
      <c r="A430" s="5" t="n">
        <v>46157</v>
      </c>
      <c r="B430" s="6" t="inlineStr">
        <is>
          <t>Gabriel Alves</t>
        </is>
      </c>
      <c r="C430" s="3" t="inlineStr">
        <is>
          <t>Estágio</t>
        </is>
      </c>
      <c r="D430" s="3" t="n">
        <v>4</v>
      </c>
      <c r="E430" s="3" t="n">
        <v>4</v>
      </c>
      <c r="G430" s="3" t="n">
        <v>0</v>
      </c>
      <c r="H430" s="3" t="n">
        <v>0</v>
      </c>
      <c r="I430" s="3">
        <f>E430+G430+H430</f>
        <v/>
      </c>
      <c r="J430" s="3">
        <f>IF(C430="Técnico III","35",IF(C430="Técnico II","28",IF(C430="Técnico I","23",IF(C430="JR","20",IF(C430="Estágio","10",)))))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3</v>
      </c>
      <c r="N430" t="n">
        <v>100</v>
      </c>
      <c r="O430" t="n">
        <v>14.28571428571428</v>
      </c>
    </row>
    <row r="431" hidden="1">
      <c r="A431" s="5" t="n">
        <v>46157</v>
      </c>
      <c r="B431" s="6" t="inlineStr">
        <is>
          <t>Maria Eduarda Sousa Costa</t>
        </is>
      </c>
      <c r="C431" s="3" t="inlineStr">
        <is>
          <t>Estágio</t>
        </is>
      </c>
      <c r="D431" s="3" t="n">
        <v>54</v>
      </c>
      <c r="E431" s="3" t="n">
        <v>32</v>
      </c>
      <c r="G431" s="3" t="n">
        <v>0</v>
      </c>
      <c r="H431" s="3" t="n">
        <v>0</v>
      </c>
      <c r="I431" s="3">
        <f>E431+G431+H431</f>
        <v/>
      </c>
      <c r="J431" s="3">
        <f>IF(C431="Técnico III","35",IF(C431="Técnico II","28",IF(C431="Técnico I","23",IF(C431="JR","20",IF(C431="Estágio","10",)))))</f>
        <v/>
      </c>
      <c r="K431" s="3">
        <f>I431-J431</f>
        <v/>
      </c>
      <c r="L431" s="3">
        <f>IF(K431&lt;-5,"CRÍTICO",IF(K431&lt;0,"ATENÇÃO",IF(K431&lt;=5,"BOM","EXCELENTE")))</f>
        <v/>
      </c>
      <c r="M431" t="n">
        <v>1</v>
      </c>
      <c r="N431" t="n">
        <v>100</v>
      </c>
      <c r="O431" t="n">
        <v>11.86440677966102</v>
      </c>
    </row>
    <row r="432" hidden="1">
      <c r="A432" s="5" t="n">
        <v>46157</v>
      </c>
      <c r="B432" s="6" t="inlineStr">
        <is>
          <t>Michelle G Santos</t>
        </is>
      </c>
      <c r="C432" s="3" t="inlineStr">
        <is>
          <t>Estágio</t>
        </is>
      </c>
      <c r="D432" s="3" t="n">
        <v>9</v>
      </c>
      <c r="E432" s="3" t="n">
        <v>8</v>
      </c>
      <c r="G432" s="3" t="n">
        <v>0</v>
      </c>
      <c r="H432" s="3" t="n">
        <v>0</v>
      </c>
      <c r="I432" s="3">
        <f>E432+G432+H432</f>
        <v/>
      </c>
      <c r="J432" s="3">
        <f>IF(C432="Técnico III","35",IF(C432="Técnico II","28",IF(C432="Técnico I","23",IF(C432="JR","20",IF(C432="Estágio","10",)))))</f>
        <v/>
      </c>
      <c r="K432" s="3">
        <f>I432-J432</f>
        <v/>
      </c>
      <c r="L432" s="3">
        <f>IF(K432&lt;-5,"CRÍTICO",IF(K432&lt;0,"ATENÇÃO",IF(K432&lt;=5,"BOM","EXCELENTE")))</f>
        <v/>
      </c>
      <c r="M432" t="n">
        <v>7</v>
      </c>
      <c r="N432" t="n">
        <v>100</v>
      </c>
      <c r="O432" t="n">
        <v>16.8141592920354</v>
      </c>
    </row>
    <row r="433" hidden="1">
      <c r="A433" s="5" t="n">
        <v>46157</v>
      </c>
      <c r="B433" s="6" t="inlineStr">
        <is>
          <t>Quirino Diogo Leite Torres</t>
        </is>
      </c>
      <c r="C433" s="3" t="inlineStr">
        <is>
          <t>Estágio</t>
        </is>
      </c>
      <c r="D433" s="3" t="n">
        <v>17</v>
      </c>
      <c r="E433" s="3" t="n">
        <v>15</v>
      </c>
      <c r="G433" s="3" t="n">
        <v>0</v>
      </c>
      <c r="H433" s="3" t="n">
        <v>0</v>
      </c>
      <c r="I433" s="3">
        <f>E433+G433+H433</f>
        <v/>
      </c>
      <c r="J433" s="3">
        <f>IF(C433="Técnico III","35",IF(C433="Técnico II","28",IF(C433="Técnico I","23",IF(C433="JR","20",IF(C433="Estágio","10",)))))</f>
        <v/>
      </c>
      <c r="K433" s="3">
        <f>I433-J433</f>
        <v/>
      </c>
      <c r="L433" s="3">
        <f>IF(K433&lt;-5,"CRÍTICO",IF(K433&lt;0,"ATENÇÃO",IF(K433&lt;=5,"BOM","EXCELENTE")))</f>
        <v/>
      </c>
      <c r="M433" t="n">
        <v>14</v>
      </c>
      <c r="N433" t="n">
        <v>98.11</v>
      </c>
      <c r="O433" t="n">
        <v>20.40816326530612</v>
      </c>
    </row>
    <row r="434" hidden="1">
      <c r="A434" s="5" t="n">
        <v>46157</v>
      </c>
      <c r="B434" s="6" t="inlineStr">
        <is>
          <t>Milena Sales</t>
        </is>
      </c>
      <c r="C434" s="3" t="inlineStr">
        <is>
          <t>JR</t>
        </is>
      </c>
      <c r="D434" s="3" t="n">
        <v>29</v>
      </c>
      <c r="E434" s="3" t="n">
        <v>21</v>
      </c>
      <c r="G434" s="3" t="n">
        <v>2</v>
      </c>
      <c r="H434" s="3" t="n">
        <v>0</v>
      </c>
      <c r="I434" s="3">
        <f>E434+G434+H434</f>
        <v/>
      </c>
      <c r="J434" s="3">
        <f>IF(C434="Técnico III","35",IF(C434="Técnico II","28",IF(C434="Técnico I","23",IF(C434="JR","20",IF(C434="Estágio","10",)))))</f>
        <v/>
      </c>
      <c r="K434" s="3">
        <f>I434-J434</f>
        <v/>
      </c>
      <c r="L434" s="3">
        <f>IF(K434&lt;-5,"CRÍTICO",IF(K434&lt;0,"ATENÇÃO",IF(K434&lt;=5,"BOM","EXCELENTE")))</f>
        <v/>
      </c>
      <c r="M434" t="n">
        <v>19</v>
      </c>
      <c r="N434" t="n">
        <v>98</v>
      </c>
      <c r="O434" t="n">
        <v>16.43835616438356</v>
      </c>
    </row>
    <row r="435" hidden="1">
      <c r="A435" s="5" t="n">
        <v>46157</v>
      </c>
      <c r="B435" s="6" t="inlineStr">
        <is>
          <t>Patrícia Karla de Sousa Araújo</t>
        </is>
      </c>
      <c r="C435" s="3" t="inlineStr">
        <is>
          <t>Técnico II</t>
        </is>
      </c>
      <c r="D435" s="3" t="n">
        <v>13</v>
      </c>
      <c r="E435" s="3" t="n">
        <v>13</v>
      </c>
      <c r="G435" s="3" t="n">
        <v>0</v>
      </c>
      <c r="H435" s="3" t="n">
        <v>0</v>
      </c>
      <c r="I435" s="3">
        <f>E435+G435+H435</f>
        <v/>
      </c>
      <c r="J435" s="3">
        <f>IF(C435="Técnico III","35",IF(C435="Técnico II","28",IF(C435="Técnico I","23",IF(C435="JR","20",IF(C435="Estágio","10",)))))</f>
        <v/>
      </c>
      <c r="K435" s="3">
        <f>I435-J435</f>
        <v/>
      </c>
      <c r="L435" s="3">
        <f>IF(K435&lt;-5,"CRÍTICO",IF(K435&lt;0,"ATENÇÃO",IF(K435&lt;=5,"BOM","EXCELENTE")))</f>
        <v/>
      </c>
      <c r="M435" t="n">
        <v>12</v>
      </c>
      <c r="N435" t="n">
        <v>100</v>
      </c>
      <c r="O435" t="n">
        <v>16.89497716894977</v>
      </c>
    </row>
    <row r="436" hidden="1">
      <c r="A436" s="5" t="n">
        <v>46157</v>
      </c>
      <c r="B436" s="6" t="inlineStr">
        <is>
          <t>Paulo Ricardo Santos</t>
        </is>
      </c>
      <c r="C436" s="3" t="inlineStr">
        <is>
          <t>JR</t>
        </is>
      </c>
      <c r="D436" s="3" t="n">
        <v>13</v>
      </c>
      <c r="E436" s="3" t="n">
        <v>13</v>
      </c>
      <c r="G436" s="3" t="n">
        <v>0</v>
      </c>
      <c r="H436" s="3" t="n">
        <v>0</v>
      </c>
      <c r="I436" s="3">
        <f>E436+G436+H436</f>
        <v/>
      </c>
      <c r="J436" s="3">
        <f>IF(C436="Técnico III","35",IF(C436="Técnico II","28",IF(C436="Técnico I","23",IF(C436="JR","20",IF(C436="Estágio","10",)))))</f>
        <v/>
      </c>
      <c r="K436" s="3">
        <f>I436-J436</f>
        <v/>
      </c>
      <c r="L436" s="3">
        <f>IF(K436&lt;-5,"CRÍTICO",IF(K436&lt;0,"ATENÇÃO",IF(K436&lt;=5,"BOM","EXCELENTE")))</f>
        <v/>
      </c>
      <c r="M436" t="n">
        <v>14</v>
      </c>
      <c r="N436" t="n">
        <v>100</v>
      </c>
      <c r="O436" t="n">
        <v>19.13875598086124</v>
      </c>
    </row>
    <row r="437" hidden="1">
      <c r="A437" s="5" t="n">
        <v>46157</v>
      </c>
      <c r="B437" s="6" t="inlineStr">
        <is>
          <t>Pedro Luiz Mota Sousa</t>
        </is>
      </c>
      <c r="C437" s="3" t="inlineStr">
        <is>
          <t>JR</t>
        </is>
      </c>
      <c r="D437" s="3" t="n">
        <v>14</v>
      </c>
      <c r="E437" s="3" t="n">
        <v>12</v>
      </c>
      <c r="G437" s="3" t="n">
        <v>2</v>
      </c>
      <c r="H437" s="3" t="n">
        <v>0</v>
      </c>
      <c r="I437" s="3">
        <f>E437+G437+H437</f>
        <v/>
      </c>
      <c r="J437" s="3">
        <f>IF(C437="Técnico III","35",IF(C437="Técnico II","28",IF(C437="Técnico I","23",IF(C437="JR","20",IF(C437="Estágio","10",)))))</f>
        <v/>
      </c>
      <c r="K437" s="3">
        <f>I437-J437</f>
        <v/>
      </c>
      <c r="L437" s="3">
        <f>IF(K437&lt;-5,"CRÍTICO",IF(K437&lt;0,"ATENÇÃO",IF(K437&lt;=5,"BOM","EXCELENTE")))</f>
        <v/>
      </c>
      <c r="M437" t="n">
        <v>15</v>
      </c>
      <c r="N437" t="n">
        <v>100</v>
      </c>
      <c r="O437" t="n">
        <v>15.02145922746781</v>
      </c>
    </row>
    <row r="438" hidden="1">
      <c r="A438" s="5" t="n">
        <v>46157</v>
      </c>
      <c r="B438" s="6" t="inlineStr">
        <is>
          <t>Raane Batista Matos</t>
        </is>
      </c>
      <c r="C438" s="3" t="inlineStr">
        <is>
          <t>Técnico I</t>
        </is>
      </c>
      <c r="D438" s="3" t="n">
        <v>28</v>
      </c>
      <c r="E438" s="3" t="n">
        <v>25</v>
      </c>
      <c r="G438" s="3" t="n">
        <v>5</v>
      </c>
      <c r="H438" s="3" t="n">
        <v>0</v>
      </c>
      <c r="I438" s="3">
        <f>E438+G438+H438</f>
        <v/>
      </c>
      <c r="J438" s="3">
        <f>IF(C438="Técnico III","35",IF(C438="Técnico II","28",IF(C438="Técnico I","23",IF(C438="JR","20",IF(C438="Estágio","10",)))))</f>
        <v/>
      </c>
      <c r="K438" s="3">
        <f>I438-J438</f>
        <v/>
      </c>
      <c r="L438" s="3">
        <f>IF(K438&lt;-5,"CRÍTICO",IF(K438&lt;0,"ATENÇÃO",IF(K438&lt;=5,"BOM","EXCELENTE")))</f>
        <v/>
      </c>
      <c r="M438" t="n">
        <v>23</v>
      </c>
      <c r="N438" t="n">
        <v>97.56</v>
      </c>
      <c r="O438" t="n">
        <v>19.28783382789317</v>
      </c>
    </row>
    <row r="439" hidden="1">
      <c r="A439" s="5" t="n">
        <v>46157</v>
      </c>
      <c r="B439" s="6" t="inlineStr">
        <is>
          <t>Rafael Gomes de Morais</t>
        </is>
      </c>
      <c r="C439" s="3" t="inlineStr">
        <is>
          <t>Técnico III</t>
        </is>
      </c>
      <c r="D439" s="3" t="n">
        <v>31</v>
      </c>
      <c r="E439" s="3" t="n">
        <v>29</v>
      </c>
      <c r="G439" s="3" t="n">
        <v>2</v>
      </c>
      <c r="H439" s="3" t="n">
        <v>0</v>
      </c>
      <c r="I439" s="3">
        <f>E439+G439+H439</f>
        <v/>
      </c>
      <c r="J439" s="3">
        <f>IF(C439="Técnico III","35",IF(C439="Técnico II","28",IF(C439="Técnico I","23",IF(C439="JR","20",IF(C439="Estágio","10",)))))</f>
        <v/>
      </c>
      <c r="K439" s="3">
        <f>I439-J439</f>
        <v/>
      </c>
      <c r="L439" s="3">
        <f>IF(K439&lt;-5,"CRÍTICO",IF(K439&lt;0,"ATENÇÃO",IF(K439&lt;=5,"BOM","EXCELENTE")))</f>
        <v/>
      </c>
      <c r="M439" t="n">
        <v>29</v>
      </c>
      <c r="N439" t="n">
        <v>99.29000000000001</v>
      </c>
      <c r="O439" t="n">
        <v>22.49443207126949</v>
      </c>
    </row>
    <row r="440" hidden="1">
      <c r="A440" s="5" t="n">
        <v>46157</v>
      </c>
      <c r="B440" s="6" t="inlineStr">
        <is>
          <t>Sara Maria Monteiro Lopes</t>
        </is>
      </c>
      <c r="C440" s="3" t="inlineStr">
        <is>
          <t>Técnico I</t>
        </is>
      </c>
      <c r="D440" s="3" t="n">
        <v>18</v>
      </c>
      <c r="E440" s="3" t="n">
        <v>17</v>
      </c>
      <c r="G440" s="3" t="n">
        <v>3</v>
      </c>
      <c r="H440" s="3" t="n">
        <v>0</v>
      </c>
      <c r="I440" s="3">
        <f>E440+G440+H440</f>
        <v/>
      </c>
      <c r="J440" s="3">
        <f>IF(C440="Técnico III","35",IF(C440="Técnico II","28",IF(C440="Técnico I","23",IF(C440="JR","20",IF(C440="Estágio","10",)))))</f>
        <v/>
      </c>
      <c r="K440" s="3">
        <f>I440-J440</f>
        <v/>
      </c>
      <c r="L440" s="3">
        <f>IF(K440&lt;-5,"CRÍTICO",IF(K440&lt;0,"ATENÇÃO",IF(K440&lt;=5,"BOM","EXCELENTE")))</f>
        <v/>
      </c>
      <c r="M440" t="n">
        <v>14</v>
      </c>
      <c r="N440" t="n">
        <v>100</v>
      </c>
      <c r="O440" t="n">
        <v>16.97247706422019</v>
      </c>
    </row>
    <row r="441" hidden="1">
      <c r="A441" s="5" t="n">
        <v>46157</v>
      </c>
      <c r="B441" s="6" t="inlineStr">
        <is>
          <t>Sarah Steffanie de Lima Borges</t>
        </is>
      </c>
      <c r="C441" s="3" t="inlineStr">
        <is>
          <t>Técnico III</t>
        </is>
      </c>
      <c r="D441" s="3" t="n">
        <v>20</v>
      </c>
      <c r="E441" s="3" t="n">
        <v>20</v>
      </c>
      <c r="G441" s="3" t="n">
        <v>1</v>
      </c>
      <c r="H441" s="3" t="n">
        <v>0</v>
      </c>
      <c r="I441" s="3">
        <f>E441+G441+H441</f>
        <v/>
      </c>
      <c r="J441" s="3">
        <f>IF(C441="Técnico III","35",IF(C441="Técnico II","28",IF(C441="Técnico I","23",IF(C441="JR","20",IF(C441="Estágio","10",)))))</f>
        <v/>
      </c>
      <c r="K441" s="3">
        <f>I441-J441</f>
        <v/>
      </c>
      <c r="L441" s="3">
        <f>IF(K441&lt;-5,"CRÍTICO",IF(K441&lt;0,"ATENÇÃO",IF(K441&lt;=5,"BOM","EXCELENTE")))</f>
        <v/>
      </c>
      <c r="M441" t="n">
        <v>17</v>
      </c>
      <c r="N441" t="n">
        <v>97.33</v>
      </c>
      <c r="O441" t="n">
        <v>15.80547112462006</v>
      </c>
    </row>
    <row r="442" hidden="1">
      <c r="A442" s="5" t="n">
        <v>46160</v>
      </c>
      <c r="B442" s="6" t="inlineStr">
        <is>
          <t>Alisson de Freitas Silva</t>
        </is>
      </c>
      <c r="C442" s="3" t="inlineStr">
        <is>
          <t>Técnico II</t>
        </is>
      </c>
      <c r="D442" s="3" t="n">
        <v>42</v>
      </c>
      <c r="E442" s="3" t="n">
        <v>27</v>
      </c>
      <c r="G442" s="3" t="n">
        <v>4</v>
      </c>
      <c r="H442" s="3" t="n">
        <v>0</v>
      </c>
      <c r="I442" s="3">
        <f>E442+G442+H442</f>
        <v/>
      </c>
      <c r="J442" s="3">
        <f>IF(C442="Técnico III","35",IF(C442="Técnico II","28",IF(C442="Técnico I","23",IF(C442="JR","20",IF(C442="Estágio","10",)))))</f>
        <v/>
      </c>
      <c r="K442" s="3">
        <f>I442-J442</f>
        <v/>
      </c>
      <c r="L442" s="3">
        <f>IF(K442&lt;-5,"CRÍTICO",IF(K442&lt;0,"ATENÇÃO",IF(K442&lt;=5,"BOM","EXCELENTE")))</f>
        <v/>
      </c>
      <c r="M442" s="3" t="n">
        <v>19</v>
      </c>
      <c r="N442" s="3" t="n">
        <v>98.94</v>
      </c>
      <c r="O442" s="3" t="n">
        <v>19.61414790996785</v>
      </c>
    </row>
    <row r="443" hidden="1">
      <c r="A443" s="5" t="n">
        <v>46160</v>
      </c>
      <c r="B443" s="6" t="inlineStr">
        <is>
          <t>Amanda Moura Ferreira</t>
        </is>
      </c>
      <c r="C443" s="3" t="inlineStr">
        <is>
          <t>Técnico III</t>
        </is>
      </c>
      <c r="D443" s="3" t="n">
        <v>0</v>
      </c>
      <c r="E443" s="3" t="n">
        <v>0</v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  <c r="K443" s="3" t="n">
        <v>0</v>
      </c>
      <c r="L443" s="3">
        <f>IF(K443&lt;-5,"CRÍTICO",IF(K443&lt;0,"ATENÇÃO",IF(K443&lt;=5,"BOM","EXCELENTE")))</f>
        <v/>
      </c>
      <c r="M443" s="9" t="n">
        <v>0</v>
      </c>
      <c r="N443" s="9" t="n">
        <v>100</v>
      </c>
      <c r="O443" s="9" t="n">
        <v>0</v>
      </c>
    </row>
    <row r="444" hidden="1">
      <c r="A444" s="5" t="n">
        <v>46160</v>
      </c>
      <c r="B444" s="6" t="inlineStr">
        <is>
          <t>Ana Karollyne Souza Faria</t>
        </is>
      </c>
      <c r="C444" s="3" t="inlineStr">
        <is>
          <t>Técnico I</t>
        </is>
      </c>
      <c r="D444" s="3" t="n">
        <v>18</v>
      </c>
      <c r="E444" s="3" t="n">
        <v>17</v>
      </c>
      <c r="G444" s="3" t="n">
        <v>2</v>
      </c>
      <c r="H444" s="3" t="n">
        <v>0</v>
      </c>
      <c r="I444" s="3">
        <f>E444+G444+H444</f>
        <v/>
      </c>
      <c r="J444" s="3">
        <f>IF(C444="Técnico III","35",IF(C444="Técnico II","28",IF(C444="Técnico I","23",IF(C444="JR","20",IF(C444="Estágio","10",)))))</f>
        <v/>
      </c>
      <c r="K444" s="3">
        <f>I444-J444</f>
        <v/>
      </c>
      <c r="L444" s="3">
        <f>IF(K444&lt;-5,"CRÍTICO",IF(K444&lt;0,"ATENÇÃO",IF(K444&lt;=5,"BOM","EXCELENTE")))</f>
        <v/>
      </c>
      <c r="M444" s="3" t="n">
        <v>18</v>
      </c>
      <c r="N444" s="3" t="n">
        <v>95.38</v>
      </c>
      <c r="O444" s="3" t="n">
        <v>21.5962441314554</v>
      </c>
    </row>
    <row r="445" hidden="1">
      <c r="A445" s="5" t="n">
        <v>46160</v>
      </c>
      <c r="B445" s="6" t="inlineStr">
        <is>
          <t>Ana Paula Da Luz Silva Aleixo</t>
        </is>
      </c>
      <c r="C445" s="9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IF(K445&lt;-5,"CRÍTICO",IF(K445&lt;0,"ATENÇÃO",IF(K445&lt;=5,"BOM","EXCELENTE")))</f>
        <v/>
      </c>
      <c r="M445" t="n">
        <v>0</v>
      </c>
      <c r="N445" t="n">
        <v>96.34</v>
      </c>
      <c r="O445" t="n">
        <v>17.57188498402556</v>
      </c>
    </row>
    <row r="446" hidden="1">
      <c r="A446" s="5" t="n">
        <v>46160</v>
      </c>
      <c r="B446" s="6" t="inlineStr">
        <is>
          <t>Anna Luiza Rezende Tavares</t>
        </is>
      </c>
      <c r="C446" s="3" t="inlineStr">
        <is>
          <t>JR</t>
        </is>
      </c>
      <c r="D446" s="3" t="n">
        <v>28</v>
      </c>
      <c r="E446" s="3" t="n">
        <v>27</v>
      </c>
      <c r="G446" s="3" t="n">
        <v>0</v>
      </c>
      <c r="H446" s="3" t="n">
        <v>0</v>
      </c>
      <c r="I446" s="3">
        <f>E446+G446+H446</f>
        <v/>
      </c>
      <c r="J446" s="3">
        <f>IF(C446="Técnico III","35",IF(C446="Técnico II","28",IF(C446="Técnico I","23",IF(C446="JR","20",IF(C446="Estágio","10",)))))</f>
        <v/>
      </c>
      <c r="K446" s="3">
        <f>I446-J446</f>
        <v/>
      </c>
      <c r="L446" s="3">
        <f>IF(K446&lt;-5,"CRÍTICO",IF(K446&lt;0,"ATENÇÃO",IF(K446&lt;=5,"BOM","EXCELENTE")))</f>
        <v/>
      </c>
      <c r="M446" t="n">
        <v>28</v>
      </c>
      <c r="N446" t="n">
        <v>99.11</v>
      </c>
      <c r="O446" t="n">
        <v>17.72151898734177</v>
      </c>
    </row>
    <row r="447" hidden="1">
      <c r="A447" s="5" t="n">
        <v>46160</v>
      </c>
      <c r="B447" s="6" t="inlineStr">
        <is>
          <t>Brenda de Menezes Silva</t>
        </is>
      </c>
      <c r="C447" s="3" t="inlineStr">
        <is>
          <t>Técnico II</t>
        </is>
      </c>
      <c r="D447" s="3" t="n">
        <v>46</v>
      </c>
      <c r="E447" s="3" t="n">
        <v>39</v>
      </c>
      <c r="G447" s="3" t="n">
        <v>7</v>
      </c>
      <c r="H447" s="3" t="n">
        <v>0</v>
      </c>
      <c r="I447" s="3">
        <f>E447+G447+H447</f>
        <v/>
      </c>
      <c r="J447" s="3">
        <f>IF(C447="Técnico III","35",IF(C447="Técnico II","28",IF(C447="Técnico I","23",IF(C447="JR","20",IF(C447="Estágio","10",)))))</f>
        <v/>
      </c>
      <c r="K447" s="3">
        <f>I447-J447</f>
        <v/>
      </c>
      <c r="L447" s="3">
        <f>IF(K447&lt;-5,"CRÍTICO",IF(K447&lt;0,"ATENÇÃO",IF(K447&lt;=5,"BOM","EXCELENTE")))</f>
        <v/>
      </c>
      <c r="M447" t="n">
        <v>42</v>
      </c>
      <c r="N447" t="n">
        <v>99.13</v>
      </c>
      <c r="O447" t="n">
        <v>14.7239263803681</v>
      </c>
    </row>
    <row r="448" hidden="1">
      <c r="A448" s="5" t="n">
        <v>46160</v>
      </c>
      <c r="B448" s="6" t="inlineStr">
        <is>
          <t>Carlos Mateus Cassimiro Nunes</t>
        </is>
      </c>
      <c r="C448" s="9" t="inlineStr">
        <is>
          <t>Técnico II</t>
        </is>
      </c>
      <c r="D448" s="3" t="n">
        <v>23</v>
      </c>
      <c r="E448" s="3" t="n">
        <v>23</v>
      </c>
      <c r="G448" s="3" t="n">
        <v>3</v>
      </c>
      <c r="H448" s="3" t="n">
        <v>0</v>
      </c>
      <c r="I448" s="3">
        <f>E448+G448+H448</f>
        <v/>
      </c>
      <c r="J448" s="3">
        <f>IF(C448="Técnico III","35",IF(C448="Técnico II","28",IF(C448="Técnico I","23",IF(C448="JR","20",IF(C448="Estágio","10",)))))</f>
        <v/>
      </c>
      <c r="K448" s="3">
        <f>I448-J448</f>
        <v/>
      </c>
      <c r="L448" s="3">
        <f>IF(K448&lt;-5,"CRÍTICO",IF(K448&lt;0,"ATENÇÃO",IF(K448&lt;=5,"BOM","EXCELENTE")))</f>
        <v/>
      </c>
      <c r="M448" t="n">
        <v>26</v>
      </c>
      <c r="N448" t="n">
        <v>98.8</v>
      </c>
      <c r="O448" t="n">
        <v>16.89750692520776</v>
      </c>
    </row>
    <row r="449" hidden="1">
      <c r="A449" s="5" t="n">
        <v>46160</v>
      </c>
      <c r="B449" s="6" t="inlineStr">
        <is>
          <t>Clessiane Pereira dos Santos</t>
        </is>
      </c>
      <c r="C449" s="3" t="inlineStr">
        <is>
          <t>Técnico I</t>
        </is>
      </c>
      <c r="D449" s="3" t="n">
        <v>22</v>
      </c>
      <c r="E449" s="3" t="n">
        <v>21</v>
      </c>
      <c r="G449" s="3" t="n">
        <v>3</v>
      </c>
      <c r="H449" s="3" t="n">
        <v>0</v>
      </c>
      <c r="I449" s="3">
        <f>E449+G449+H449</f>
        <v/>
      </c>
      <c r="J449" s="3">
        <f>IF(C449="Técnico III","35",IF(C449="Técnico II","28",IF(C449="Técnico I","23",IF(C449="JR","20",IF(C449="Estágio","10",)))))</f>
        <v/>
      </c>
      <c r="K449" s="3">
        <f>I449-J449</f>
        <v/>
      </c>
      <c r="L449" s="3">
        <f>IF(K449&lt;-5,"CRÍTICO",IF(K449&lt;0,"ATENÇÃO",IF(K449&lt;=5,"BOM","EXCELENTE")))</f>
        <v/>
      </c>
      <c r="M449" t="n">
        <v>22</v>
      </c>
      <c r="N449" t="n">
        <v>96.88</v>
      </c>
      <c r="O449" t="n">
        <v>19.52662721893491</v>
      </c>
    </row>
    <row r="450" hidden="1">
      <c r="A450" s="5" t="n">
        <v>46160</v>
      </c>
      <c r="B450" s="6" t="inlineStr">
        <is>
          <t>Cristiane Ramos da Silva Rocha</t>
        </is>
      </c>
      <c r="C450" s="3" t="inlineStr">
        <is>
          <t>Técnico III</t>
        </is>
      </c>
      <c r="D450" s="3" t="n">
        <v>30</v>
      </c>
      <c r="E450" s="3" t="n">
        <v>27</v>
      </c>
      <c r="G450" s="3" t="n">
        <v>0</v>
      </c>
      <c r="H450" s="3" t="n">
        <v>0</v>
      </c>
      <c r="I450" s="3">
        <f>E450+G450+H450</f>
        <v/>
      </c>
      <c r="J450" s="3">
        <f>IF(C450="Técnico III","35",IF(C450="Técnico II","28",IF(C450="Técnico I","23",IF(C450="JR","20",IF(C450="Estágio","10",)))))</f>
        <v/>
      </c>
      <c r="K450" s="3">
        <f>I450-J450</f>
        <v/>
      </c>
      <c r="L450" s="3">
        <f>IF(K450&lt;-5,"CRÍTICO",IF(K450&lt;0,"ATENÇÃO",IF(K450&lt;=5,"BOM","EXCELENTE")))</f>
        <v/>
      </c>
      <c r="M450" t="n">
        <v>25</v>
      </c>
      <c r="N450" t="n">
        <v>91.84999999999999</v>
      </c>
      <c r="O450" t="n">
        <v>20.87155963302752</v>
      </c>
    </row>
    <row r="451" hidden="1">
      <c r="A451" s="5" t="n">
        <v>46160</v>
      </c>
      <c r="B451" s="6" t="inlineStr">
        <is>
          <t>Damyllis Lorraine de Oliveira Gonçalves</t>
        </is>
      </c>
      <c r="C451" s="3" t="inlineStr">
        <is>
          <t>Técnico 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IF(K451&lt;-5,"CRÍTICO",IF(K451&lt;0,"ATENÇÃO",IF(K451&lt;=5,"BOM","EXCELENTE")))</f>
        <v/>
      </c>
      <c r="M451" t="n">
        <v>0</v>
      </c>
      <c r="N451" t="n">
        <v>98.63</v>
      </c>
      <c r="O451" t="n">
        <v>18.75</v>
      </c>
    </row>
    <row r="452" hidden="1">
      <c r="A452" s="5" t="n">
        <v>46160</v>
      </c>
      <c r="B452" s="6" t="inlineStr">
        <is>
          <t>Daniel Gomes da Silva</t>
        </is>
      </c>
      <c r="C452" s="3" t="inlineStr">
        <is>
          <t>Técnico I</t>
        </is>
      </c>
      <c r="D452" s="3" t="n">
        <v>20</v>
      </c>
      <c r="E452" s="3" t="n">
        <v>19</v>
      </c>
      <c r="G452" s="3" t="n">
        <v>3</v>
      </c>
      <c r="H452" s="3" t="n">
        <v>0</v>
      </c>
      <c r="I452" s="3">
        <f>E452+G452+H452</f>
        <v/>
      </c>
      <c r="J452" s="3">
        <f>IF(C452="Técnico III","35",IF(C452="Técnico II","28",IF(C452="Técnico I","23",IF(C452="JR","20",IF(C452="Estágio","10",)))))</f>
        <v/>
      </c>
      <c r="K452" s="3">
        <f>I452-J452</f>
        <v/>
      </c>
      <c r="L452" s="3">
        <f>IF(K452&lt;-5,"CRÍTICO",IF(K452&lt;0,"ATENÇÃO",IF(K452&lt;=5,"BOM","EXCELENTE")))</f>
        <v/>
      </c>
      <c r="M452" t="n">
        <v>18</v>
      </c>
      <c r="N452" t="n">
        <v>100</v>
      </c>
      <c r="O452" t="n">
        <v>18.14516129032258</v>
      </c>
    </row>
    <row r="453" hidden="1">
      <c r="A453" s="5" t="n">
        <v>46160</v>
      </c>
      <c r="B453" s="6" t="inlineStr">
        <is>
          <t>Davylla Rodrigues Freitas Silva</t>
        </is>
      </c>
      <c r="C453" s="9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IF(K453&lt;-5,"CRÍTICO",IF(K453&lt;0,"ATENÇÃO",IF(K453&lt;=5,"BOM","EXCELENTE")))</f>
        <v/>
      </c>
      <c r="M453" t="n">
        <v>0</v>
      </c>
      <c r="N453" t="n">
        <v>99.06</v>
      </c>
      <c r="O453" t="n">
        <v>22.95719844357977</v>
      </c>
    </row>
    <row r="454" hidden="1">
      <c r="A454" s="5" t="n">
        <v>46160</v>
      </c>
      <c r="B454" s="6" t="inlineStr">
        <is>
          <t>Emilly Kamilly Medeiros Miranda</t>
        </is>
      </c>
      <c r="C454" s="3" t="inlineStr">
        <is>
          <t>Técnico II</t>
        </is>
      </c>
      <c r="D454" s="3" t="n">
        <v>29</v>
      </c>
      <c r="E454" s="3" t="n">
        <v>27</v>
      </c>
      <c r="G454" s="3" t="n">
        <v>3</v>
      </c>
      <c r="H454" s="3" t="n">
        <v>0</v>
      </c>
      <c r="I454" s="3">
        <f>E454+G454+H454</f>
        <v/>
      </c>
      <c r="J454" s="3">
        <f>IF(C454="Técnico III","35",IF(C454="Técnico II","28",IF(C454="Técnico I","23",IF(C454="JR","20",IF(C454="Estágio","10",)))))</f>
        <v/>
      </c>
      <c r="K454" s="3">
        <f>I454-J454</f>
        <v/>
      </c>
      <c r="L454" s="3">
        <f>IF(K454&lt;-5,"CRÍTICO",IF(K454&lt;0,"ATENÇÃO",IF(K454&lt;=5,"BOM","EXCELENTE")))</f>
        <v/>
      </c>
      <c r="M454" t="n">
        <v>25</v>
      </c>
      <c r="N454" t="n">
        <v>100</v>
      </c>
      <c r="O454" t="n">
        <v>13.8121546961326</v>
      </c>
    </row>
    <row r="455" hidden="1">
      <c r="A455" s="5" t="n">
        <v>46160</v>
      </c>
      <c r="B455" s="6" t="inlineStr">
        <is>
          <t>Francilene Ferreira de Jesus</t>
        </is>
      </c>
      <c r="C455" s="3" t="inlineStr">
        <is>
          <t>Técnico II</t>
        </is>
      </c>
      <c r="D455" s="3" t="n">
        <v>0</v>
      </c>
      <c r="E455" s="3" t="n">
        <v>0</v>
      </c>
      <c r="F455" s="3" t="n">
        <v>0</v>
      </c>
      <c r="G455" s="3" t="n">
        <v>0</v>
      </c>
      <c r="H455" s="3" t="n">
        <v>0</v>
      </c>
      <c r="I455" s="3" t="n">
        <v>0</v>
      </c>
      <c r="J455" s="3" t="n">
        <v>0</v>
      </c>
      <c r="K455" s="3" t="n">
        <v>0</v>
      </c>
      <c r="L455" s="3">
        <f>IF(K455&lt;-5,"CRÍTICO",IF(K455&lt;0,"ATENÇÃO",IF(K455&lt;=5,"BOM","EXCELENTE")))</f>
        <v/>
      </c>
      <c r="M455" t="n">
        <v>0</v>
      </c>
      <c r="N455" t="n">
        <v>100</v>
      </c>
      <c r="O455" t="n">
        <v>17.24137931034483</v>
      </c>
    </row>
    <row r="456" hidden="1">
      <c r="A456" s="5" t="n">
        <v>46160</v>
      </c>
      <c r="B456" s="6" t="inlineStr">
        <is>
          <t>Gabriel Gomes de Andrade</t>
        </is>
      </c>
      <c r="C456" s="3" t="inlineStr">
        <is>
          <t>Técnico I</t>
        </is>
      </c>
      <c r="D456" s="3" t="n">
        <v>21</v>
      </c>
      <c r="E456" s="3" t="n">
        <v>18</v>
      </c>
      <c r="G456" s="3" t="n">
        <v>6</v>
      </c>
      <c r="H456" s="3" t="n">
        <v>1</v>
      </c>
      <c r="I456" s="3">
        <f>E456+G456+H456</f>
        <v/>
      </c>
      <c r="J456" s="3">
        <f>IF(C456="Técnico III","35",IF(C456="Técnico II","28",IF(C456="Técnico I","23",IF(C456="JR","20",IF(C456="Estágio","10",)))))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18</v>
      </c>
      <c r="N456" t="n">
        <v>98.8</v>
      </c>
      <c r="O456" t="n">
        <v>15.41353383458646</v>
      </c>
    </row>
    <row r="457" hidden="1">
      <c r="A457" s="5" t="n">
        <v>46160</v>
      </c>
      <c r="B457" s="6" t="inlineStr">
        <is>
          <t>Isabella Borges de Oliveira</t>
        </is>
      </c>
      <c r="C457" s="9" t="inlineStr">
        <is>
          <t>Técnico II</t>
        </is>
      </c>
      <c r="D457" s="3" t="n">
        <v>20</v>
      </c>
      <c r="E457" s="3" t="n">
        <v>20</v>
      </c>
      <c r="G457" s="3" t="n">
        <v>3</v>
      </c>
      <c r="H457" s="3" t="n">
        <v>0</v>
      </c>
      <c r="I457" s="3">
        <f>E457+G457+H457</f>
        <v/>
      </c>
      <c r="J457" s="3">
        <f>IF(C457="Técnico III","35",IF(C457="Técnico II","28",IF(C457="Técnico I","23",IF(C457="JR","20",IF(C457="Estágio","10",)))))</f>
        <v/>
      </c>
      <c r="K457" s="3">
        <f>I457-J457</f>
        <v/>
      </c>
      <c r="L457" s="3">
        <f>IF(K457&lt;-5,"CRÍTICO",IF(K457&lt;0,"ATENÇÃO",IF(K457&lt;=5,"BOM","EXCELENTE")))</f>
        <v/>
      </c>
      <c r="M457" t="n">
        <v>21</v>
      </c>
      <c r="N457" t="n">
        <v>98.63</v>
      </c>
      <c r="O457" t="n">
        <v>15.75757575757576</v>
      </c>
    </row>
    <row r="458" hidden="1">
      <c r="A458" s="5" t="n">
        <v>46160</v>
      </c>
      <c r="B458" s="6" t="inlineStr">
        <is>
          <t>Janaina Lima dos Reis Urany</t>
        </is>
      </c>
      <c r="C458" s="3" t="inlineStr">
        <is>
          <t>Técnico III</t>
        </is>
      </c>
      <c r="D458" s="3" t="n">
        <v>37</v>
      </c>
      <c r="E458" s="3" t="n">
        <v>32</v>
      </c>
      <c r="G458" s="3" t="n">
        <v>5</v>
      </c>
      <c r="H458" s="3" t="n">
        <v>0</v>
      </c>
      <c r="I458" s="3">
        <f>E458+G458+H458</f>
        <v/>
      </c>
      <c r="J458" s="3">
        <f>IF(C458="Técnico III","35",IF(C458="Técnico II","28",IF(C458="Técnico I","23",IF(C458="JR","20",IF(C458="Estágio","10",)))))</f>
        <v/>
      </c>
      <c r="K458" s="3">
        <f>I458-J458</f>
        <v/>
      </c>
      <c r="L458" s="3">
        <f>IF(K458&lt;-5,"CRÍTICO",IF(K458&lt;0,"ATENÇÃO",IF(K458&lt;=5,"BOM","EXCELENTE")))</f>
        <v/>
      </c>
      <c r="M458" t="n">
        <v>34</v>
      </c>
      <c r="N458" t="n">
        <v>98.64</v>
      </c>
      <c r="O458" t="n">
        <v>16.6383701188455</v>
      </c>
    </row>
    <row r="459" hidden="1">
      <c r="A459" s="5" t="n">
        <v>46160</v>
      </c>
      <c r="B459" s="6" t="inlineStr">
        <is>
          <t>Jaqueline Evangelista da Silva Martins</t>
        </is>
      </c>
      <c r="C459" s="3" t="inlineStr">
        <is>
          <t>Técnico III</t>
        </is>
      </c>
      <c r="D459" s="3" t="n">
        <v>26</v>
      </c>
      <c r="E459" s="3" t="n">
        <v>25</v>
      </c>
      <c r="G459" s="3" t="n">
        <v>6</v>
      </c>
      <c r="H459" s="3" t="n">
        <v>0</v>
      </c>
      <c r="I459" s="3">
        <f>E459+G459+H459</f>
        <v/>
      </c>
      <c r="J459" s="3">
        <f>IF(C459="Técnico III","35",IF(C459="Técnico II","28",IF(C459="Técnico I","23",IF(C459="JR","20",IF(C459="Estágio","10",)))))</f>
        <v/>
      </c>
      <c r="K459" s="3">
        <f>I459-J459</f>
        <v/>
      </c>
      <c r="L459" s="3">
        <f>IF(K459&lt;-5,"CRÍTICO",IF(K459&lt;0,"ATENÇÃO",IF(K459&lt;=5,"BOM","EXCELENTE")))</f>
        <v/>
      </c>
      <c r="M459" t="n">
        <v>23</v>
      </c>
      <c r="N459" t="n">
        <v>95.40000000000001</v>
      </c>
      <c r="O459" t="n">
        <v>20.53333333333333</v>
      </c>
    </row>
    <row r="460" hidden="1">
      <c r="A460" s="5" t="n">
        <v>46160</v>
      </c>
      <c r="B460" s="6" t="inlineStr">
        <is>
          <t>Jessica Faria da Silveira</t>
        </is>
      </c>
      <c r="C460" s="3" t="inlineStr">
        <is>
          <t>Técnico II</t>
        </is>
      </c>
      <c r="D460" s="3" t="n">
        <v>28</v>
      </c>
      <c r="E460" s="3" t="n">
        <v>22</v>
      </c>
      <c r="G460" s="3" t="n">
        <v>0</v>
      </c>
      <c r="H460" s="3" t="n">
        <v>0</v>
      </c>
      <c r="I460" s="3">
        <f>E460+G460+H460</f>
        <v/>
      </c>
      <c r="J460" s="3">
        <f>IF(C460="Técnico III","35",IF(C460="Técnico II","28",IF(C460="Técnico I","23",IF(C460="JR","20",IF(C460="Estágio","10",)))))</f>
        <v/>
      </c>
      <c r="K460" s="3">
        <f>I460-J460</f>
        <v/>
      </c>
      <c r="L460" s="3">
        <f>IF(K460&lt;-5,"CRÍTICO",IF(K460&lt;0,"ATENÇÃO",IF(K460&lt;=5,"BOM","EXCELENTE")))</f>
        <v/>
      </c>
      <c r="M460" t="n">
        <v>19</v>
      </c>
      <c r="N460" t="n">
        <v>98.61</v>
      </c>
      <c r="O460" t="n">
        <v>16.97530864197531</v>
      </c>
    </row>
    <row r="461" hidden="1">
      <c r="A461" s="5" t="n">
        <v>46160</v>
      </c>
      <c r="B461" s="6" t="inlineStr">
        <is>
          <t>Jéssica Fé Moura</t>
        </is>
      </c>
      <c r="C461" s="3" t="inlineStr">
        <is>
          <t>Técnico III</t>
        </is>
      </c>
      <c r="D461" s="3" t="n">
        <v>0</v>
      </c>
      <c r="E461" s="3" t="n">
        <v>0</v>
      </c>
      <c r="F461" s="3" t="n">
        <v>0</v>
      </c>
      <c r="G461" s="3" t="n">
        <v>0</v>
      </c>
      <c r="H461" s="3" t="n">
        <v>0</v>
      </c>
      <c r="I461" s="3" t="n">
        <v>0</v>
      </c>
      <c r="J461" s="3" t="n">
        <v>0</v>
      </c>
      <c r="K461" s="3" t="n">
        <v>0</v>
      </c>
      <c r="L461" s="3">
        <f>IF(K461&lt;-5,"CRÍTICO",IF(K461&lt;0,"ATENÇÃO",IF(K461&lt;=5,"BOM","EXCELENTE")))</f>
        <v/>
      </c>
      <c r="M461" t="n">
        <v>0</v>
      </c>
      <c r="N461" t="n">
        <v>0</v>
      </c>
      <c r="O461" t="n">
        <v>0</v>
      </c>
    </row>
    <row r="462" hidden="1">
      <c r="A462" s="5" t="n">
        <v>46160</v>
      </c>
      <c r="B462" s="6" t="inlineStr">
        <is>
          <t>Karina Gonçalves Martins</t>
        </is>
      </c>
      <c r="C462" s="3" t="inlineStr">
        <is>
          <t>JR</t>
        </is>
      </c>
      <c r="D462" s="3" t="n">
        <v>18</v>
      </c>
      <c r="E462" s="3" t="n">
        <v>17</v>
      </c>
      <c r="G462" s="3" t="n">
        <v>2</v>
      </c>
      <c r="H462" s="3" t="n">
        <v>0</v>
      </c>
      <c r="I462" s="3">
        <f>E462+G462+H462</f>
        <v/>
      </c>
      <c r="J462" s="3">
        <f>IF(C462="Técnico III","35",IF(C462="Técnico II","28",IF(C462="Técnico I","23",IF(C462="JR","20",IF(C462="Estágio","10",)))))</f>
        <v/>
      </c>
      <c r="K462" s="3">
        <f>I462-J462</f>
        <v/>
      </c>
      <c r="L462" s="3">
        <f>IF(K462&lt;-5,"CRÍTICO",IF(K462&lt;0,"ATENÇÃO",IF(K462&lt;=5,"BOM","EXCELENTE")))</f>
        <v/>
      </c>
      <c r="M462" t="n">
        <v>21</v>
      </c>
      <c r="N462" t="n">
        <v>97.01000000000001</v>
      </c>
      <c r="O462" t="n">
        <v>13.96103896103896</v>
      </c>
    </row>
    <row r="463" hidden="1">
      <c r="A463" s="5" t="n">
        <v>46160</v>
      </c>
      <c r="B463" s="6" t="inlineStr">
        <is>
          <t>Kerollen Cristielly de Jesus Siqueira</t>
        </is>
      </c>
      <c r="C463" s="9" t="inlineStr">
        <is>
          <t>Técnico III</t>
        </is>
      </c>
      <c r="D463" s="3" t="n">
        <v>25</v>
      </c>
      <c r="E463" s="3" t="n">
        <v>24</v>
      </c>
      <c r="G463" s="3" t="n">
        <v>0</v>
      </c>
      <c r="H463" s="3" t="n">
        <v>0</v>
      </c>
      <c r="I463" s="3">
        <f>E463+G463+H463</f>
        <v/>
      </c>
      <c r="J463" s="3">
        <f>IF(C463="Técnico III","35",IF(C463="Técnico II","28",IF(C463="Técnico I","23",IF(C463="JR","20",IF(C463="Estágio","10",)))))</f>
        <v/>
      </c>
      <c r="K463" s="3">
        <f>I463-J463</f>
        <v/>
      </c>
      <c r="L463" s="3">
        <f>IF(K463&lt;-5,"CRÍTICO",IF(K463&lt;0,"ATENÇÃO",IF(K463&lt;=5,"BOM","EXCELENTE")))</f>
        <v/>
      </c>
      <c r="M463" t="n">
        <v>21</v>
      </c>
      <c r="N463" t="n">
        <v>95.52</v>
      </c>
      <c r="O463" t="n">
        <v>10.56105610561056</v>
      </c>
    </row>
    <row r="464" hidden="1">
      <c r="A464" s="5" t="n">
        <v>46160</v>
      </c>
      <c r="B464" s="6" t="inlineStr">
        <is>
          <t>Leandro de Souza Silva</t>
        </is>
      </c>
      <c r="C464" s="3" t="inlineStr">
        <is>
          <t>JR</t>
        </is>
      </c>
      <c r="D464" s="3" t="n">
        <v>16</v>
      </c>
      <c r="E464" s="3" t="n">
        <v>13</v>
      </c>
      <c r="G464" s="3" t="n">
        <v>4</v>
      </c>
      <c r="H464" s="3" t="n">
        <v>0</v>
      </c>
      <c r="I464" s="3">
        <f>E464+G464+H464</f>
        <v/>
      </c>
      <c r="J464" s="3">
        <f>IF(C464="Técnico III","35",IF(C464="Técnico II","28",IF(C464="Técnico I","23",IF(C464="JR","20",IF(C464="Estágio","10",)))))</f>
        <v/>
      </c>
      <c r="K464" s="3">
        <f>I464-J464</f>
        <v/>
      </c>
      <c r="L464" s="3">
        <f>IF(K464&lt;-5,"CRÍTICO",IF(K464&lt;0,"ATENÇÃO",IF(K464&lt;=5,"BOM","EXCELENTE")))</f>
        <v/>
      </c>
      <c r="M464" t="n">
        <v>14</v>
      </c>
      <c r="N464" t="n">
        <v>100</v>
      </c>
      <c r="O464" t="n">
        <v>16.95906432748538</v>
      </c>
    </row>
    <row r="465" hidden="1">
      <c r="A465" s="5" t="n">
        <v>46160</v>
      </c>
      <c r="B465" s="6" t="inlineStr">
        <is>
          <t>Leandro Oliveira de Sousa</t>
        </is>
      </c>
      <c r="C465" s="9" t="inlineStr">
        <is>
          <t>Técnico III</t>
        </is>
      </c>
      <c r="D465" s="3" t="n">
        <v>28</v>
      </c>
      <c r="E465" s="3" t="n">
        <v>25</v>
      </c>
      <c r="G465" s="3" t="n">
        <v>0</v>
      </c>
      <c r="H465" s="3" t="n">
        <v>0</v>
      </c>
      <c r="I465" s="3">
        <f>E465+G465+H465</f>
        <v/>
      </c>
      <c r="J465" s="3">
        <f>IF(C465="Técnico III","35",IF(C465="Técnico II","28",IF(C465="Técnico I","23",IF(C465="JR","20",IF(C465="Estágio","10",)))))</f>
        <v/>
      </c>
      <c r="K465" s="3">
        <f>I465-J465</f>
        <v/>
      </c>
      <c r="L465" s="3">
        <f>IF(K465&lt;-5,"CRÍTICO",IF(K465&lt;0,"ATENÇÃO",IF(K465&lt;=5,"BOM","EXCELENTE")))</f>
        <v/>
      </c>
      <c r="M465" t="n">
        <v>25</v>
      </c>
      <c r="N465" t="n">
        <v>100</v>
      </c>
      <c r="O465" t="n">
        <v>15.58441558441558</v>
      </c>
    </row>
    <row r="466" hidden="1">
      <c r="A466" s="5" t="n">
        <v>46160</v>
      </c>
      <c r="B466" s="6" t="inlineStr">
        <is>
          <t>Lizandra Gomes Duarte</t>
        </is>
      </c>
      <c r="C466" s="3" t="inlineStr">
        <is>
          <t>Técnico II</t>
        </is>
      </c>
      <c r="D466" s="3" t="n">
        <v>25</v>
      </c>
      <c r="E466" s="3" t="n">
        <v>23</v>
      </c>
      <c r="G466" s="3" t="n">
        <v>2</v>
      </c>
      <c r="H466" s="3" t="n">
        <v>0</v>
      </c>
      <c r="I466" s="3">
        <f>E466+G466+H466</f>
        <v/>
      </c>
      <c r="J466" s="3">
        <f>IF(C466="Técnico III","35",IF(C466="Técnico II","28",IF(C466="Técnico I","23",IF(C466="JR","20",IF(C466="Estágio","10",)))))</f>
        <v/>
      </c>
      <c r="K466" s="3">
        <f>I466-J466</f>
        <v/>
      </c>
      <c r="L466" s="3">
        <f>IF(K466&lt;-5,"CRÍTICO",IF(K466&lt;0,"ATENÇÃO",IF(K466&lt;=5,"BOM","EXCELENTE")))</f>
        <v/>
      </c>
      <c r="M466" t="n">
        <v>20</v>
      </c>
      <c r="N466" t="n">
        <v>98.61</v>
      </c>
      <c r="O466" t="n">
        <v>16.86746987951807</v>
      </c>
    </row>
    <row r="467" hidden="1">
      <c r="A467" s="5" t="n">
        <v>46160</v>
      </c>
      <c r="B467" s="6" t="inlineStr">
        <is>
          <t>Lorena Dias de Araujo</t>
        </is>
      </c>
      <c r="C467" s="3" t="inlineStr">
        <is>
          <t>Técnico II</t>
        </is>
      </c>
      <c r="D467" s="3" t="n">
        <v>28</v>
      </c>
      <c r="E467" s="3" t="n">
        <v>26</v>
      </c>
      <c r="G467" s="3" t="n">
        <v>0</v>
      </c>
      <c r="H467" s="3" t="n">
        <v>0</v>
      </c>
      <c r="I467" s="3">
        <f>E467+G467+H467</f>
        <v/>
      </c>
      <c r="J467" s="3">
        <f>IF(C467="Técnico III","35",IF(C467="Técnico II","28",IF(C467="Técnico I","23",IF(C467="JR","20",IF(C467="Estágio","10",)))))</f>
        <v/>
      </c>
      <c r="K467" s="3">
        <f>I467-J467</f>
        <v/>
      </c>
      <c r="L467" s="3">
        <f>IF(K467&lt;-5,"CRÍTICO",IF(K467&lt;0,"ATENÇÃO",IF(K467&lt;=5,"BOM","EXCELENTE")))</f>
        <v/>
      </c>
      <c r="M467" t="n">
        <v>23</v>
      </c>
      <c r="N467" t="n">
        <v>100</v>
      </c>
      <c r="O467" t="n">
        <v>20.82018927444795</v>
      </c>
    </row>
    <row r="468" hidden="1">
      <c r="A468" s="5" t="n">
        <v>46160</v>
      </c>
      <c r="B468" s="6" t="inlineStr">
        <is>
          <t>Lucas Luiz Romero</t>
        </is>
      </c>
      <c r="C468" s="3" t="inlineStr">
        <is>
          <t>Técnico III</t>
        </is>
      </c>
      <c r="D468" s="3" t="n">
        <v>0</v>
      </c>
      <c r="E468" s="3" t="n">
        <v>0</v>
      </c>
      <c r="F468" s="3" t="n">
        <v>0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IF(K468&lt;-5,"CRÍTICO",IF(K468&lt;0,"ATENÇÃO",IF(K468&lt;=5,"BOM","EXCELENTE")))</f>
        <v/>
      </c>
      <c r="M468" t="n">
        <v>0</v>
      </c>
      <c r="N468" t="n">
        <v>100</v>
      </c>
      <c r="O468" t="n">
        <v>4.347826086956522</v>
      </c>
    </row>
    <row r="469" hidden="1">
      <c r="A469" s="5" t="n">
        <v>46160</v>
      </c>
      <c r="B469" s="6" t="inlineStr">
        <is>
          <t>Luiz Fernando de Carvalho Junior</t>
        </is>
      </c>
      <c r="C469" s="3" t="inlineStr">
        <is>
          <t>Técnico I</t>
        </is>
      </c>
      <c r="D469" s="3" t="n">
        <v>21</v>
      </c>
      <c r="E469" s="3" t="n">
        <v>20</v>
      </c>
      <c r="G469" s="3" t="n">
        <v>2</v>
      </c>
      <c r="H469" s="3" t="n">
        <v>0</v>
      </c>
      <c r="I469" s="3">
        <f>E469+G469+H469</f>
        <v/>
      </c>
      <c r="J469" s="3">
        <f>IF(C469="Técnico III","35",IF(C469="Técnico II","28",IF(C469="Técnico I","23",IF(C469="JR","20",IF(C469="Estágio","10",)))))</f>
        <v/>
      </c>
      <c r="K469" s="3">
        <f>I469-J469</f>
        <v/>
      </c>
      <c r="L469" s="3">
        <f>IF(K469&lt;-5,"CRÍTICO",IF(K469&lt;0,"ATENÇÃO",IF(K469&lt;=5,"BOM","EXCELENTE")))</f>
        <v/>
      </c>
      <c r="M469" t="n">
        <v>20</v>
      </c>
      <c r="N469" t="n">
        <v>93.26000000000001</v>
      </c>
      <c r="O469" t="n">
        <v>19.93957703927493</v>
      </c>
    </row>
    <row r="470" hidden="1">
      <c r="A470" s="5" t="n">
        <v>46160</v>
      </c>
      <c r="B470" s="6" t="inlineStr">
        <is>
          <t>Matheus Farias De Souza</t>
        </is>
      </c>
      <c r="C470" s="3" t="inlineStr">
        <is>
          <t>Técnico III</t>
        </is>
      </c>
      <c r="D470" s="3" t="n">
        <v>0</v>
      </c>
      <c r="E470" s="3" t="n">
        <v>0</v>
      </c>
      <c r="G470" s="3" t="n">
        <v>0</v>
      </c>
      <c r="H470" s="3" t="n">
        <v>32</v>
      </c>
      <c r="I470" s="3">
        <f>E470+G470+H470</f>
        <v/>
      </c>
      <c r="J470" s="3">
        <f>IF(C470="Técnico III","35",IF(C470="Técnico II","28",IF(C470="Técnico I","23",IF(C470="JR","20",IF(C470="Estágio","10",)))))</f>
        <v/>
      </c>
      <c r="K470" s="3">
        <f>I470-J470</f>
        <v/>
      </c>
      <c r="L470" s="3">
        <f>IF(K470&lt;-5,"CRÍTICO",IF(K470&lt;0,"ATENÇÃO",IF(K470&lt;=5,"BOM","EXCELENTE")))</f>
        <v/>
      </c>
      <c r="M470" t="n">
        <v>16</v>
      </c>
      <c r="N470" t="n">
        <v>98.28</v>
      </c>
      <c r="O470" t="n">
        <v>9.037900874635568</v>
      </c>
    </row>
    <row r="471" hidden="1">
      <c r="A471" s="5" t="n">
        <v>46160</v>
      </c>
      <c r="B471" s="6" t="inlineStr">
        <is>
          <t>Maysa Victoria Dias Moura</t>
        </is>
      </c>
      <c r="C471" s="3" t="inlineStr">
        <is>
          <t>Técnico III</t>
        </is>
      </c>
      <c r="D471" s="3" t="n">
        <v>30</v>
      </c>
      <c r="E471" s="3" t="n">
        <v>27</v>
      </c>
      <c r="G471" s="3" t="n">
        <v>2</v>
      </c>
      <c r="H471" s="3" t="n">
        <v>0</v>
      </c>
      <c r="I471" s="3">
        <f>E471+G471+H471</f>
        <v/>
      </c>
      <c r="J471" s="3">
        <f>IF(C471="Técnico III","35",IF(C471="Técnico II","28",IF(C471="Técnico I","23",IF(C471="JR","20",IF(C471="Estágio","10",)))))</f>
        <v/>
      </c>
      <c r="K471" s="3">
        <f>I471-J471</f>
        <v/>
      </c>
      <c r="L471" s="3">
        <f>IF(K471&lt;-5,"CRÍTICO",IF(K471&lt;0,"ATENÇÃO",IF(K471&lt;=5,"BOM","EXCELENTE")))</f>
        <v/>
      </c>
      <c r="M471" t="n">
        <v>27</v>
      </c>
      <c r="N471" t="n">
        <v>97.22</v>
      </c>
      <c r="O471" t="n">
        <v>19.09547738693467</v>
      </c>
    </row>
    <row r="472" hidden="1">
      <c r="A472" s="5" t="n">
        <v>46160</v>
      </c>
      <c r="B472" s="6" t="inlineStr">
        <is>
          <t>Milena Sales</t>
        </is>
      </c>
      <c r="C472" s="3" t="inlineStr">
        <is>
          <t>JR</t>
        </is>
      </c>
      <c r="D472" s="3" t="n">
        <v>11</v>
      </c>
      <c r="E472" s="3" t="n">
        <v>9</v>
      </c>
      <c r="G472" s="3" t="n">
        <v>1</v>
      </c>
      <c r="H472" s="3" t="n">
        <v>0</v>
      </c>
      <c r="I472" s="3">
        <f>E472+G472+H472</f>
        <v/>
      </c>
      <c r="J472" s="3">
        <f>IF(C472="Técnico III","35",IF(C472="Técnico II","28",IF(C472="Técnico I","23",IF(C472="JR","20",IF(C472="Estágio","10",)))))</f>
        <v/>
      </c>
      <c r="K472" s="3">
        <f>I472-J472</f>
        <v/>
      </c>
      <c r="L472" s="3">
        <f>IF(K472&lt;-5,"CRÍTICO",IF(K472&lt;0,"ATENÇÃO",IF(K472&lt;=5,"BOM","EXCELENTE")))</f>
        <v/>
      </c>
      <c r="M472" t="n">
        <v>6</v>
      </c>
      <c r="N472" t="n">
        <v>98</v>
      </c>
      <c r="O472" t="n">
        <v>16.43835616438356</v>
      </c>
    </row>
    <row r="473" hidden="1">
      <c r="A473" s="5" t="n">
        <v>46160</v>
      </c>
      <c r="B473" s="6" t="inlineStr">
        <is>
          <t>Patrícia Karla de Sousa Araújo</t>
        </is>
      </c>
      <c r="C473" s="3" t="inlineStr">
        <is>
          <t>Técnico II</t>
        </is>
      </c>
      <c r="D473" s="3" t="n">
        <v>16</v>
      </c>
      <c r="E473" s="3" t="n">
        <v>15</v>
      </c>
      <c r="G473" s="3" t="n">
        <v>0</v>
      </c>
      <c r="H473" s="3" t="n">
        <v>0</v>
      </c>
      <c r="I473" s="3">
        <f>E473+G473+H473</f>
        <v/>
      </c>
      <c r="J473" s="3">
        <f>IF(C473="Técnico III","35",IF(C473="Técnico II","28",IF(C473="Técnico I","23",IF(C473="JR","20",IF(C473="Estágio","10",)))))</f>
        <v/>
      </c>
      <c r="K473" s="3">
        <f>I473-J473</f>
        <v/>
      </c>
      <c r="L473" s="3">
        <f>IF(K473&lt;-5,"CRÍTICO",IF(K473&lt;0,"ATENÇÃO",IF(K473&lt;=5,"BOM","EXCELENTE")))</f>
        <v/>
      </c>
      <c r="M473" t="n">
        <v>13</v>
      </c>
      <c r="N473" t="n">
        <v>100</v>
      </c>
      <c r="O473" t="n">
        <v>16.89497716894977</v>
      </c>
    </row>
    <row r="474" hidden="1">
      <c r="A474" s="5" t="n">
        <v>46160</v>
      </c>
      <c r="B474" s="6" t="inlineStr">
        <is>
          <t>Paulo Ricardo Santos</t>
        </is>
      </c>
      <c r="C474" s="3" t="inlineStr">
        <is>
          <t>JR</t>
        </is>
      </c>
      <c r="D474" s="3" t="n">
        <v>11</v>
      </c>
      <c r="E474" s="3" t="n">
        <v>10</v>
      </c>
      <c r="G474" s="3" t="n">
        <v>0</v>
      </c>
      <c r="H474" s="3" t="n">
        <v>0</v>
      </c>
      <c r="I474" s="3">
        <f>E474+G474+H474</f>
        <v/>
      </c>
      <c r="J474" s="3">
        <f>IF(C474="Técnico III","35",IF(C474="Técnico II","28",IF(C474="Técnico I","23",IF(C474="JR","20",IF(C474="Estágio","10",)))))</f>
        <v/>
      </c>
      <c r="K474" s="3">
        <f>I474-J474</f>
        <v/>
      </c>
      <c r="L474" s="3">
        <f>IF(K474&lt;-5,"CRÍTICO",IF(K474&lt;0,"ATENÇÃO",IF(K474&lt;=5,"BOM","EXCELENTE")))</f>
        <v/>
      </c>
      <c r="M474" t="n">
        <v>11</v>
      </c>
      <c r="N474" t="n">
        <v>100</v>
      </c>
      <c r="O474" t="n">
        <v>19.13875598086124</v>
      </c>
    </row>
    <row r="475" hidden="1">
      <c r="A475" s="5" t="n">
        <v>46160</v>
      </c>
      <c r="B475" s="6" t="inlineStr">
        <is>
          <t>Pedro Luiz Mota Sousa</t>
        </is>
      </c>
      <c r="C475" s="3" t="inlineStr">
        <is>
          <t>JR</t>
        </is>
      </c>
      <c r="D475" s="3" t="n">
        <v>14</v>
      </c>
      <c r="E475" s="3" t="n">
        <v>13</v>
      </c>
      <c r="G475" s="3" t="n">
        <v>2</v>
      </c>
      <c r="H475" s="3" t="n">
        <v>0</v>
      </c>
      <c r="I475" s="3">
        <f>E475+G475+H475</f>
        <v/>
      </c>
      <c r="J475" s="3">
        <f>IF(C475="Técnico III","35",IF(C475="Técnico II","28",IF(C475="Técnico I","23",IF(C475="JR","20",IF(C475="Estágio","10",)))))</f>
        <v/>
      </c>
      <c r="K475" s="3">
        <f>I475-J475</f>
        <v/>
      </c>
      <c r="L475" s="3">
        <f>IF(K475&lt;-5,"CRÍTICO",IF(K475&lt;0,"ATENÇÃO",IF(K475&lt;=5,"BOM","EXCELENTE")))</f>
        <v/>
      </c>
      <c r="M475" t="n">
        <v>14</v>
      </c>
      <c r="N475" t="n">
        <v>100</v>
      </c>
      <c r="O475" t="n">
        <v>15.02145922746781</v>
      </c>
    </row>
    <row r="476" hidden="1">
      <c r="A476" s="5" t="n">
        <v>46160</v>
      </c>
      <c r="B476" s="6" t="inlineStr">
        <is>
          <t>Claudio de Sousa Velasco Filho</t>
        </is>
      </c>
      <c r="C476" s="3" t="inlineStr">
        <is>
          <t>Estágio</t>
        </is>
      </c>
      <c r="D476" s="3" t="n">
        <v>6</v>
      </c>
      <c r="E476" s="3" t="n">
        <v>6</v>
      </c>
      <c r="G476" s="3" t="n">
        <v>0</v>
      </c>
      <c r="H476" s="3" t="n">
        <v>0</v>
      </c>
      <c r="I476" s="3">
        <f>E476+G476+H476</f>
        <v/>
      </c>
      <c r="J476" s="3">
        <f>IF(C476="Técnico III","35",IF(C476="Técnico II","28",IF(C476="Técnico I","23",IF(C476="JR","20",IF(C476="Estágio","10",)))))</f>
        <v/>
      </c>
      <c r="K476" s="3">
        <f>I476-J476</f>
        <v/>
      </c>
      <c r="L476" s="3">
        <f>IF(K476&lt;-5,"CRÍTICO",IF(K476&lt;0,"ATENÇÃO",IF(K476&lt;=5,"BOM","EXCELENTE")))</f>
        <v/>
      </c>
      <c r="M476" t="n">
        <v>6</v>
      </c>
      <c r="N476" t="n">
        <v>96.43000000000001</v>
      </c>
      <c r="O476" t="n">
        <v>20</v>
      </c>
    </row>
    <row r="477" hidden="1">
      <c r="A477" s="5" t="n">
        <v>46160</v>
      </c>
      <c r="B477" s="6" t="inlineStr">
        <is>
          <t>Emilly Caylane Costa</t>
        </is>
      </c>
      <c r="C477" s="3" t="inlineStr">
        <is>
          <t>Estágio</t>
        </is>
      </c>
      <c r="D477" s="3" t="n">
        <v>32</v>
      </c>
      <c r="E477" s="3" t="n">
        <v>13</v>
      </c>
      <c r="G477" s="3" t="n">
        <v>0</v>
      </c>
      <c r="H477" s="3" t="n">
        <v>0</v>
      </c>
      <c r="I477" s="3">
        <f>E477+G477+H477</f>
        <v/>
      </c>
      <c r="J477" s="3">
        <f>IF(C477="Técnico III","35",IF(C477="Técnico II","28",IF(C477="Técnico I","23",IF(C477="JR","20",IF(C477="Estágio","10",)))))</f>
        <v/>
      </c>
      <c r="K477" s="3">
        <f>I477-J477</f>
        <v/>
      </c>
      <c r="L477" s="3">
        <f>IF(K477&lt;-5,"CRÍTICO",IF(K477&lt;0,"ATENÇÃO",IF(K477&lt;=5,"BOM","EXCELENTE")))</f>
        <v/>
      </c>
      <c r="M477" t="n">
        <v>0</v>
      </c>
      <c r="N477" t="n">
        <v>100</v>
      </c>
      <c r="O477" t="n">
        <v>29.03225806451613</v>
      </c>
    </row>
    <row r="478" hidden="1">
      <c r="A478" s="5" t="n">
        <v>46160</v>
      </c>
      <c r="B478" s="6" t="inlineStr">
        <is>
          <t>Gabriel Alves</t>
        </is>
      </c>
      <c r="C478" s="3" t="inlineStr">
        <is>
          <t>Estágio</t>
        </is>
      </c>
      <c r="D478" s="3" t="n">
        <v>2</v>
      </c>
      <c r="E478" s="3" t="n">
        <v>2</v>
      </c>
      <c r="G478" s="3" t="n">
        <v>0</v>
      </c>
      <c r="H478" s="3" t="n">
        <v>0</v>
      </c>
      <c r="I478" s="3">
        <f>E478+G478+H478</f>
        <v/>
      </c>
      <c r="J478" s="3">
        <f>IF(C478="Técnico III","35",IF(C478="Técnico II","28",IF(C478="Técnico I","23",IF(C478="JR","20",IF(C478="Estágio","10",)))))</f>
        <v/>
      </c>
      <c r="K478" s="3">
        <f>I478-J478</f>
        <v/>
      </c>
      <c r="L478" s="3">
        <f>IF(K478&lt;-5,"CRÍTICO",IF(K478&lt;0,"ATENÇÃO",IF(K478&lt;=5,"BOM","EXCELENTE")))</f>
        <v/>
      </c>
      <c r="M478" t="n">
        <v>2</v>
      </c>
      <c r="N478" t="n">
        <v>100</v>
      </c>
      <c r="O478" t="n">
        <v>14.28571428571428</v>
      </c>
    </row>
    <row r="479" hidden="1">
      <c r="A479" s="5" t="n">
        <v>46160</v>
      </c>
      <c r="B479" s="6" t="inlineStr">
        <is>
          <t>Maria Eduarda Sousa Costa</t>
        </is>
      </c>
      <c r="C479" s="3" t="inlineStr">
        <is>
          <t>Estágio</t>
        </is>
      </c>
      <c r="D479" s="3" t="n">
        <v>72</v>
      </c>
      <c r="E479" s="3" t="n">
        <v>45</v>
      </c>
      <c r="G479" s="3" t="n">
        <v>0</v>
      </c>
      <c r="H479" s="3" t="n">
        <v>0</v>
      </c>
      <c r="I479" s="3">
        <f>E479+G479+H479</f>
        <v/>
      </c>
      <c r="J479" s="3">
        <f>IF(C479="Técnico III","35",IF(C479="Técnico II","28",IF(C479="Técnico I","23",IF(C479="JR","20",IF(C479="Estágio","10",)))))</f>
        <v/>
      </c>
      <c r="K479" s="3">
        <f>I479-J479</f>
        <v/>
      </c>
      <c r="L479" s="3">
        <f>IF(K479&lt;-5,"CRÍTICO",IF(K479&lt;0,"ATENÇÃO",IF(K479&lt;=5,"BOM","EXCELENTE")))</f>
        <v/>
      </c>
      <c r="M479" t="n">
        <v>11</v>
      </c>
      <c r="N479" t="n">
        <v>100</v>
      </c>
      <c r="O479" t="n">
        <v>11.86440677966102</v>
      </c>
    </row>
    <row r="480" hidden="1">
      <c r="A480" s="5" t="n">
        <v>46160</v>
      </c>
      <c r="B480" s="6" t="inlineStr">
        <is>
          <t>Michelle G Santos</t>
        </is>
      </c>
      <c r="C480" s="3" t="inlineStr">
        <is>
          <t>Estágio</t>
        </is>
      </c>
      <c r="D480" s="3" t="n">
        <v>7</v>
      </c>
      <c r="E480" s="3" t="n">
        <v>7</v>
      </c>
      <c r="G480" s="3" t="n">
        <v>0</v>
      </c>
      <c r="H480" s="3" t="n">
        <v>0</v>
      </c>
      <c r="I480" s="3">
        <f>E480+G480+H480</f>
        <v/>
      </c>
      <c r="J480" s="3">
        <f>IF(C480="Técnico III","35",IF(C480="Técnico II","28",IF(C480="Técnico I","23",IF(C480="JR","20",IF(C480="Estágio","10",)))))</f>
        <v/>
      </c>
      <c r="K480" s="3">
        <f>I480-J480</f>
        <v/>
      </c>
      <c r="L480" s="3">
        <f>IF(K480&lt;-5,"CRÍTICO",IF(K480&lt;0,"ATENÇÃO",IF(K480&lt;=5,"BOM","EXCELENTE")))</f>
        <v/>
      </c>
      <c r="M480" t="n">
        <v>6</v>
      </c>
      <c r="N480" t="n">
        <v>100</v>
      </c>
      <c r="O480" t="n">
        <v>16.8141592920354</v>
      </c>
    </row>
    <row r="481" hidden="1">
      <c r="A481" s="5" t="n">
        <v>46160</v>
      </c>
      <c r="B481" s="6" t="inlineStr">
        <is>
          <t>Quirino Diogo Leite Torres</t>
        </is>
      </c>
      <c r="C481" s="3" t="inlineStr">
        <is>
          <t>Estágio</t>
        </is>
      </c>
      <c r="D481" s="3" t="n">
        <v>14</v>
      </c>
      <c r="E481" s="3" t="n">
        <v>13</v>
      </c>
      <c r="G481" s="3" t="n">
        <v>0</v>
      </c>
      <c r="H481" s="3" t="n">
        <v>0</v>
      </c>
      <c r="I481" s="3">
        <f>E481+G481+H481</f>
        <v/>
      </c>
      <c r="J481" s="3">
        <f>IF(C481="Técnico III","35",IF(C481="Técnico II","28",IF(C481="Técnico I","23",IF(C481="JR","20",IF(C481="Estágio","10",)))))</f>
        <v/>
      </c>
      <c r="K481" s="3">
        <f>I481-J481</f>
        <v/>
      </c>
      <c r="L481" s="3">
        <f>IF(K481&lt;-5,"CRÍTICO",IF(K481&lt;0,"ATENÇÃO",IF(K481&lt;=5,"BOM","EXCELENTE")))</f>
        <v/>
      </c>
      <c r="M481" t="n">
        <v>9</v>
      </c>
      <c r="N481" t="n">
        <v>98.11</v>
      </c>
      <c r="O481" t="n">
        <v>20.40816326530612</v>
      </c>
    </row>
    <row r="482" hidden="1">
      <c r="A482" s="5" t="n">
        <v>46160</v>
      </c>
      <c r="B482" s="6" t="inlineStr">
        <is>
          <t>Raane Batista Matos</t>
        </is>
      </c>
      <c r="C482" s="3" t="inlineStr">
        <is>
          <t>Técnico I</t>
        </is>
      </c>
      <c r="D482" s="3" t="n">
        <v>28</v>
      </c>
      <c r="E482" s="3" t="n">
        <v>25</v>
      </c>
      <c r="G482" s="3" t="n">
        <v>1</v>
      </c>
      <c r="H482" s="3" t="n">
        <v>0</v>
      </c>
      <c r="I482" s="3">
        <f>E482+G482+H482</f>
        <v/>
      </c>
      <c r="J482" s="3">
        <f>IF(C482="Técnico III","35",IF(C482="Técnico II","28",IF(C482="Técnico I","23",IF(C482="JR","20",IF(C482="Estágio","10",)))))</f>
        <v/>
      </c>
      <c r="K482" s="3">
        <f>I482-J482</f>
        <v/>
      </c>
      <c r="L482" s="3">
        <f>IF(K482&lt;-5,"CRÍTICO",IF(K482&lt;0,"ATENÇÃO",IF(K482&lt;=5,"BOM","EXCELENTE")))</f>
        <v/>
      </c>
      <c r="M482" t="n">
        <v>20</v>
      </c>
      <c r="N482" t="n">
        <v>97.56</v>
      </c>
      <c r="O482" t="n">
        <v>19.28783382789317</v>
      </c>
    </row>
    <row r="483" hidden="1">
      <c r="A483" s="5" t="n">
        <v>46160</v>
      </c>
      <c r="B483" s="6" t="inlineStr">
        <is>
          <t>Rafael Gomes de Morais</t>
        </is>
      </c>
      <c r="C483" s="3" t="inlineStr">
        <is>
          <t>Técnico III</t>
        </is>
      </c>
      <c r="D483" s="3" t="n">
        <v>34</v>
      </c>
      <c r="E483" s="3" t="n">
        <v>28</v>
      </c>
      <c r="G483" s="3" t="n">
        <v>3</v>
      </c>
      <c r="H483" s="3" t="n">
        <v>0</v>
      </c>
      <c r="I483" s="3">
        <f>E483+G483+H483</f>
        <v/>
      </c>
      <c r="J483" s="3">
        <f>IF(C483="Técnico III","35",IF(C483="Técnico II","28",IF(C483="Técnico I","23",IF(C483="JR","20",IF(C483="Estágio","10",)))))</f>
        <v/>
      </c>
      <c r="K483" s="3">
        <f>I483-J483</f>
        <v/>
      </c>
      <c r="L483" s="3">
        <f>IF(K483&lt;-5,"CRÍTICO",IF(K483&lt;0,"ATENÇÃO",IF(K483&lt;=5,"BOM","EXCELENTE")))</f>
        <v/>
      </c>
      <c r="M483" t="n">
        <v>26</v>
      </c>
      <c r="N483" t="n">
        <v>99.29000000000001</v>
      </c>
      <c r="O483" t="n">
        <v>22.49443207126949</v>
      </c>
    </row>
    <row r="484" hidden="1">
      <c r="A484" s="5" t="n">
        <v>46160</v>
      </c>
      <c r="B484" s="6" t="inlineStr">
        <is>
          <t>Sara Maria Monteiro Lopes</t>
        </is>
      </c>
      <c r="C484" s="3" t="inlineStr">
        <is>
          <t>Técnico I</t>
        </is>
      </c>
      <c r="D484" s="3" t="n">
        <v>23</v>
      </c>
      <c r="E484" s="3" t="n">
        <v>19</v>
      </c>
      <c r="G484" s="3" t="n">
        <v>3</v>
      </c>
      <c r="H484" s="3" t="n">
        <v>0</v>
      </c>
      <c r="I484" s="3">
        <f>E484+G484+H484</f>
        <v/>
      </c>
      <c r="J484" s="3">
        <f>IF(C484="Técnico III","35",IF(C484="Técnico II","28",IF(C484="Técnico I","23",IF(C484="JR","20",IF(C484="Estágio","10",)))))</f>
        <v/>
      </c>
      <c r="K484" s="3">
        <f>I484-J484</f>
        <v/>
      </c>
      <c r="L484" s="3">
        <f>IF(K484&lt;-5,"CRÍTICO",IF(K484&lt;0,"ATENÇÃO",IF(K484&lt;=5,"BOM","EXCELENTE")))</f>
        <v/>
      </c>
      <c r="M484" t="n">
        <v>18</v>
      </c>
      <c r="N484" t="n">
        <v>100</v>
      </c>
      <c r="O484" t="n">
        <v>16.97247706422019</v>
      </c>
    </row>
    <row r="485" hidden="1">
      <c r="A485" s="5" t="n">
        <v>46160</v>
      </c>
      <c r="B485" s="6" t="inlineStr">
        <is>
          <t>Sarah Steffanie de Lima Borges</t>
        </is>
      </c>
      <c r="C485" s="3" t="inlineStr">
        <is>
          <t>Técnico III</t>
        </is>
      </c>
      <c r="D485" s="3" t="n">
        <v>25</v>
      </c>
      <c r="E485" s="3" t="n">
        <v>22</v>
      </c>
      <c r="G485" s="3" t="n">
        <v>4</v>
      </c>
      <c r="H485" s="3" t="n">
        <v>0</v>
      </c>
      <c r="I485" s="3">
        <f>E485+G485+H485</f>
        <v/>
      </c>
      <c r="J485" s="3">
        <f>IF(C485="Técnico III","35",IF(C485="Técnico II","28",IF(C485="Técnico I","23",IF(C485="JR","20",IF(C485="Estágio","10",)))))</f>
        <v/>
      </c>
      <c r="K485" s="3">
        <f>I485-J485</f>
        <v/>
      </c>
      <c r="L485" s="3">
        <f>IF(K485&lt;-5,"CRÍTICO",IF(K485&lt;0,"ATENÇÃO",IF(K485&lt;=5,"BOM","EXCELENTE")))</f>
        <v/>
      </c>
      <c r="M485" t="n">
        <v>21</v>
      </c>
      <c r="N485" t="n">
        <v>97.33</v>
      </c>
      <c r="O485" t="n">
        <v>15.80547112462006</v>
      </c>
    </row>
    <row r="486" hidden="1">
      <c r="A486" s="7" t="n">
        <v>46161</v>
      </c>
      <c r="B486" s="8" t="inlineStr">
        <is>
          <t>Alisson de Freitas Silva</t>
        </is>
      </c>
      <c r="C486" s="9" t="inlineStr">
        <is>
          <t>Técnico II</t>
        </is>
      </c>
      <c r="D486" s="3" t="n">
        <v>38</v>
      </c>
      <c r="E486" s="3" t="n">
        <v>33</v>
      </c>
      <c r="G486" s="3" t="n">
        <v>1</v>
      </c>
      <c r="H486" s="3" t="n">
        <v>0</v>
      </c>
      <c r="I486" s="3">
        <f>E486+G486+H486</f>
        <v/>
      </c>
      <c r="J486" s="3">
        <f>IF(C486="Técnico III","35",IF(C486="Técnico II","28",IF(C486="Técnico I","23",IF(C486="JR","20",IF(C486="Estágio","10",)))))</f>
        <v/>
      </c>
      <c r="K486" s="3">
        <f>I486-J486</f>
        <v/>
      </c>
      <c r="L486" s="3">
        <f>IF(K486&lt;-5,"CRÍTICO",IF(K486&lt;0,"ATENÇÃO",IF(K486&lt;=5,"BOM","EXCELENTE")))</f>
        <v/>
      </c>
      <c r="M486" s="3" t="n">
        <v>17</v>
      </c>
      <c r="N486" s="3" t="n">
        <v>98.94</v>
      </c>
      <c r="O486" s="3" t="n">
        <v>19.61414790996785</v>
      </c>
    </row>
    <row r="487" hidden="1">
      <c r="A487" s="7" t="n">
        <v>46161</v>
      </c>
      <c r="B487" s="8" t="inlineStr">
        <is>
          <t>Amanda Moura Ferreira</t>
        </is>
      </c>
      <c r="C487" s="9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IF(K487&lt;-5,"CRÍTICO",IF(K487&lt;0,"ATENÇÃO",IF(K487&lt;=5,"BOM","EXCELENTE")))</f>
        <v/>
      </c>
      <c r="M487" s="9" t="n">
        <v>0</v>
      </c>
      <c r="N487" s="9" t="n">
        <v>100</v>
      </c>
      <c r="O487" s="9" t="n">
        <v>0</v>
      </c>
    </row>
    <row r="488" hidden="1">
      <c r="A488" s="7" t="n">
        <v>46161</v>
      </c>
      <c r="B488" s="8" t="inlineStr">
        <is>
          <t>Ana Karollyne Souza Faria</t>
        </is>
      </c>
      <c r="C488" s="9" t="inlineStr">
        <is>
          <t>Técnico I</t>
        </is>
      </c>
      <c r="D488" s="3" t="n">
        <v>30</v>
      </c>
      <c r="E488" s="3" t="n">
        <v>29</v>
      </c>
      <c r="G488" s="3" t="n">
        <v>1</v>
      </c>
      <c r="H488" s="3" t="n">
        <v>0</v>
      </c>
      <c r="I488" s="3">
        <f>E488+G488+H488</f>
        <v/>
      </c>
      <c r="J488" s="3">
        <f>IF(C488="Técnico III","35",IF(C488="Técnico II","28",IF(C488="Técnico I","23",IF(C488="JR","20",IF(C488="Estágio","10",)))))</f>
        <v/>
      </c>
      <c r="K488" s="3">
        <f>I488-J488</f>
        <v/>
      </c>
      <c r="L488" s="3">
        <f>IF(K488&lt;-5,"CRÍTICO",IF(K488&lt;0,"ATENÇÃO",IF(K488&lt;=5,"BOM","EXCELENTE")))</f>
        <v/>
      </c>
      <c r="M488" s="3" t="n">
        <v>29</v>
      </c>
      <c r="N488" s="3" t="n">
        <v>95.38</v>
      </c>
      <c r="O488" s="3" t="n">
        <v>21.5962441314554</v>
      </c>
    </row>
    <row r="489" hidden="1">
      <c r="A489" s="7" t="n">
        <v>46161</v>
      </c>
      <c r="B489" s="8" t="inlineStr">
        <is>
          <t>Ana Paula Da Luz Silva Aleixo</t>
        </is>
      </c>
      <c r="C489" s="9" t="inlineStr">
        <is>
          <t>Técnico III</t>
        </is>
      </c>
      <c r="D489" s="3" t="n">
        <v>22</v>
      </c>
      <c r="E489" s="3" t="n">
        <v>19</v>
      </c>
      <c r="G489" s="3" t="n">
        <v>1</v>
      </c>
      <c r="H489" s="3" t="n">
        <v>0</v>
      </c>
      <c r="I489" s="3">
        <f>E489+G489+H489</f>
        <v/>
      </c>
      <c r="J489" s="3">
        <f>IF(C489="Técnico III","35",IF(C489="Técnico II","28",IF(C489="Técnico I","23",IF(C489="JR","20",IF(C489="Estágio","10",)))))</f>
        <v/>
      </c>
      <c r="K489" s="3">
        <f>I489-J489</f>
        <v/>
      </c>
      <c r="L489" s="3">
        <f>IF(K489&lt;-5,"CRÍTICO",IF(K489&lt;0,"ATENÇÃO",IF(K489&lt;=5,"BOM","EXCELENTE")))</f>
        <v/>
      </c>
      <c r="M489" s="3" t="n">
        <v>16</v>
      </c>
      <c r="N489" s="3" t="n">
        <v>96.34</v>
      </c>
      <c r="O489" s="3" t="n">
        <v>17.57188498402556</v>
      </c>
    </row>
    <row r="490" hidden="1">
      <c r="A490" s="7" t="n">
        <v>46161</v>
      </c>
      <c r="B490" s="8" t="inlineStr">
        <is>
          <t>Anna Luiza Rezende Tavares</t>
        </is>
      </c>
      <c r="C490" s="9" t="inlineStr">
        <is>
          <t>JR</t>
        </is>
      </c>
      <c r="D490" s="3" t="n">
        <v>30</v>
      </c>
      <c r="E490" s="3" t="n">
        <v>29</v>
      </c>
      <c r="G490" s="3" t="n">
        <v>0</v>
      </c>
      <c r="H490" s="3" t="n">
        <v>0</v>
      </c>
      <c r="I490" s="3">
        <f>E490+G490+H490</f>
        <v/>
      </c>
      <c r="J490" s="3">
        <f>IF(C490="Técnico III","35",IF(C490="Técnico II","28",IF(C490="Técnico I","23",IF(C490="JR","20",IF(C490="Estágio","10",)))))</f>
        <v/>
      </c>
      <c r="K490" s="3">
        <f>I490-J490</f>
        <v/>
      </c>
      <c r="L490" s="3">
        <f>IF(K490&lt;-5,"CRÍTICO",IF(K490&lt;0,"ATENÇÃO",IF(K490&lt;=5,"BOM","EXCELENTE")))</f>
        <v/>
      </c>
      <c r="M490" t="n">
        <v>28</v>
      </c>
      <c r="N490" t="n">
        <v>99.11</v>
      </c>
      <c r="O490" t="n">
        <v>17.72151898734177</v>
      </c>
    </row>
    <row r="491" hidden="1">
      <c r="A491" s="7" t="n">
        <v>46161</v>
      </c>
      <c r="B491" s="8" t="inlineStr">
        <is>
          <t>Brenda de Menezes Silva</t>
        </is>
      </c>
      <c r="C491" s="9" t="inlineStr">
        <is>
          <t>Técnico II</t>
        </is>
      </c>
      <c r="D491" s="3" t="n">
        <v>33</v>
      </c>
      <c r="E491" s="3" t="n">
        <v>31</v>
      </c>
      <c r="G491" s="3" t="n">
        <v>3</v>
      </c>
      <c r="H491" s="3" t="n">
        <v>0</v>
      </c>
      <c r="I491" s="3">
        <f>E491+G491+H491</f>
        <v/>
      </c>
      <c r="J491" s="3">
        <f>IF(C491="Técnico III","35",IF(C491="Técnico II","28",IF(C491="Técnico I","23",IF(C491="JR","20",IF(C491="Estágio","10",)))))</f>
        <v/>
      </c>
      <c r="K491" s="3">
        <f>I491-J491</f>
        <v/>
      </c>
      <c r="L491" s="3">
        <f>IF(K491&lt;-5,"CRÍTICO",IF(K491&lt;0,"ATENÇÃO",IF(K491&lt;=5,"BOM","EXCELENTE")))</f>
        <v/>
      </c>
      <c r="M491" t="n">
        <v>33</v>
      </c>
      <c r="N491" t="n">
        <v>99.13</v>
      </c>
      <c r="O491" t="n">
        <v>14.7239263803681</v>
      </c>
    </row>
    <row r="492" hidden="1">
      <c r="A492" s="7" t="n">
        <v>46161</v>
      </c>
      <c r="B492" s="8" t="inlineStr">
        <is>
          <t>Carlos Mateus Cassimiro Nunes</t>
        </is>
      </c>
      <c r="C492" s="9" t="inlineStr">
        <is>
          <t>Técnico II</t>
        </is>
      </c>
      <c r="D492" s="3" t="n">
        <v>33</v>
      </c>
      <c r="E492" s="3" t="n">
        <v>32</v>
      </c>
      <c r="G492" s="3" t="n">
        <v>2</v>
      </c>
      <c r="H492" s="3" t="n">
        <v>0</v>
      </c>
      <c r="I492" s="3">
        <f>E492+G492+H492</f>
        <v/>
      </c>
      <c r="J492" s="3">
        <f>IF(C492="Técnico III","35",IF(C492="Técnico II","28",IF(C492="Técnico I","23",IF(C492="JR","20",IF(C492="Estágio","10",)))))</f>
        <v/>
      </c>
      <c r="K492" s="3">
        <f>I492-J492</f>
        <v/>
      </c>
      <c r="L492" s="3">
        <f>IF(K492&lt;-5,"CRÍTICO",IF(K492&lt;0,"ATENÇÃO",IF(K492&lt;=5,"BOM","EXCELENTE")))</f>
        <v/>
      </c>
      <c r="M492" t="n">
        <v>29</v>
      </c>
      <c r="N492" t="n">
        <v>98.8</v>
      </c>
      <c r="O492" t="n">
        <v>16.89750692520776</v>
      </c>
    </row>
    <row r="493" hidden="1">
      <c r="A493" s="7" t="n">
        <v>46161</v>
      </c>
      <c r="B493" s="8" t="inlineStr">
        <is>
          <t>Claudio de Sousa Velasco Filho</t>
        </is>
      </c>
      <c r="C493" s="9" t="inlineStr">
        <is>
          <t>Estágio</t>
        </is>
      </c>
      <c r="D493" s="3" t="n">
        <v>9</v>
      </c>
      <c r="E493" s="3" t="n">
        <v>9</v>
      </c>
      <c r="G493" s="3" t="n">
        <v>0</v>
      </c>
      <c r="H493" s="3" t="n">
        <v>0</v>
      </c>
      <c r="I493" s="3">
        <f>E493+G493+H493</f>
        <v/>
      </c>
      <c r="J493" s="3">
        <f>IF(C493="Técnico III","35",IF(C493="Técnico II","28",IF(C493="Técnico I","23",IF(C493="JR","20",IF(C493="Estágio","10",)))))</f>
        <v/>
      </c>
      <c r="K493" s="3">
        <f>I493-J493</f>
        <v/>
      </c>
      <c r="L493" s="3">
        <f>IF(K493&lt;-5,"CRÍTICO",IF(K493&lt;0,"ATENÇÃO",IF(K493&lt;=5,"BOM","EXCELENTE")))</f>
        <v/>
      </c>
      <c r="M493" t="n">
        <v>7</v>
      </c>
      <c r="N493" t="n">
        <v>96.43000000000001</v>
      </c>
      <c r="O493" t="n">
        <v>20</v>
      </c>
    </row>
    <row r="494" hidden="1">
      <c r="A494" s="7" t="n">
        <v>46161</v>
      </c>
      <c r="B494" s="8" t="inlineStr">
        <is>
          <t>Clessiane Pereira dos Santos</t>
        </is>
      </c>
      <c r="C494" s="9" t="inlineStr">
        <is>
          <t>Técnico I</t>
        </is>
      </c>
      <c r="D494" s="3" t="n">
        <v>26</v>
      </c>
      <c r="E494" s="3" t="n">
        <v>25</v>
      </c>
      <c r="G494" s="3" t="n">
        <v>1</v>
      </c>
      <c r="H494" s="3" t="n">
        <v>0</v>
      </c>
      <c r="I494" s="3">
        <f>E494+G494+H494</f>
        <v/>
      </c>
      <c r="J494" s="3">
        <f>IF(C494="Técnico III","35",IF(C494="Técnico II","28",IF(C494="Técnico I","23",IF(C494="JR","20",IF(C494="Estágio","10",)))))</f>
        <v/>
      </c>
      <c r="K494" s="3">
        <f>I494-J494</f>
        <v/>
      </c>
      <c r="L494" s="3">
        <f>IF(K494&lt;-5,"CRÍTICO",IF(K494&lt;0,"ATENÇÃO",IF(K494&lt;=5,"BOM","EXCELENTE")))</f>
        <v/>
      </c>
      <c r="M494" t="n">
        <v>19</v>
      </c>
      <c r="N494" t="n">
        <v>96.88</v>
      </c>
      <c r="O494" t="n">
        <v>19.52662721893491</v>
      </c>
    </row>
    <row r="495" hidden="1">
      <c r="A495" s="7" t="n">
        <v>46161</v>
      </c>
      <c r="B495" s="8" t="inlineStr">
        <is>
          <t>Cristiane Ramos da Silva Rocha</t>
        </is>
      </c>
      <c r="C495" s="9" t="inlineStr">
        <is>
          <t>Técnico III</t>
        </is>
      </c>
      <c r="D495" s="3" t="n">
        <v>33</v>
      </c>
      <c r="E495" s="3" t="n">
        <v>30</v>
      </c>
      <c r="G495" s="3" t="n">
        <v>0</v>
      </c>
      <c r="H495" s="3" t="n">
        <v>0</v>
      </c>
      <c r="I495" s="3">
        <f>E495+G495+H495</f>
        <v/>
      </c>
      <c r="J495" s="3">
        <f>IF(C495="Técnico III","35",IF(C495="Técnico II","28",IF(C495="Técnico I","23",IF(C495="JR","20",IF(C495="Estágio","10",)))))</f>
        <v/>
      </c>
      <c r="K495" s="3">
        <f>I495-J495</f>
        <v/>
      </c>
      <c r="L495" s="3">
        <f>IF(K495&lt;-5,"CRÍTICO",IF(K495&lt;0,"ATENÇÃO",IF(K495&lt;=5,"BOM","EXCELENTE")))</f>
        <v/>
      </c>
      <c r="M495" t="n">
        <v>30</v>
      </c>
      <c r="N495" t="n">
        <v>91.84999999999999</v>
      </c>
      <c r="O495" t="n">
        <v>20.87155963302752</v>
      </c>
    </row>
    <row r="496" hidden="1">
      <c r="A496" s="7" t="n">
        <v>46161</v>
      </c>
      <c r="B496" s="8" t="inlineStr">
        <is>
          <t>Damyllis Lorraine de Oliveira Gonçalves</t>
        </is>
      </c>
      <c r="C496" s="9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IF(K496&lt;-5,"CRÍTICO",IF(K496&lt;0,"ATENÇÃO",IF(K496&lt;=5,"BOM","EXCELENTE")))</f>
        <v/>
      </c>
      <c r="M496" t="n">
        <v>0</v>
      </c>
      <c r="N496" t="n">
        <v>98.63</v>
      </c>
      <c r="O496" t="n">
        <v>18.75</v>
      </c>
    </row>
    <row r="497" hidden="1">
      <c r="A497" s="7" t="n">
        <v>46161</v>
      </c>
      <c r="B497" s="8" t="inlineStr">
        <is>
          <t>Daniel Gomes da Silva</t>
        </is>
      </c>
      <c r="C497" s="9" t="inlineStr">
        <is>
          <t>Técnico I</t>
        </is>
      </c>
      <c r="D497" s="3" t="n">
        <v>21</v>
      </c>
      <c r="E497" s="3" t="n">
        <v>20</v>
      </c>
      <c r="G497" s="3" t="n">
        <v>1</v>
      </c>
      <c r="H497" s="3" t="n">
        <v>0</v>
      </c>
      <c r="I497" s="3">
        <f>E497+G497+H497</f>
        <v/>
      </c>
      <c r="J497" s="3">
        <f>IF(C497="Técnico III","35",IF(C497="Técnico II","28",IF(C497="Técnico I","23",IF(C497="JR","20",IF(C497="Estágio","10",)))))</f>
        <v/>
      </c>
      <c r="K497" s="3">
        <f>I497-J497</f>
        <v/>
      </c>
      <c r="L497" s="3">
        <f>IF(K497&lt;-5,"CRÍTICO",IF(K497&lt;0,"ATENÇÃO",IF(K497&lt;=5,"BOM","EXCELENTE")))</f>
        <v/>
      </c>
      <c r="M497" t="n">
        <v>15</v>
      </c>
      <c r="N497" t="n">
        <v>100</v>
      </c>
      <c r="O497" t="n">
        <v>18.14516129032258</v>
      </c>
    </row>
    <row r="498" hidden="1">
      <c r="A498" s="7" t="n">
        <v>46161</v>
      </c>
      <c r="B498" s="8" t="inlineStr">
        <is>
          <t>Davylla Rodrigues Freitas Silva</t>
        </is>
      </c>
      <c r="C498" s="9" t="inlineStr">
        <is>
          <t>Técnico III</t>
        </is>
      </c>
      <c r="D498" s="3" t="n">
        <v>0</v>
      </c>
      <c r="E498" s="3" t="n">
        <v>0</v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  <c r="K498" s="3" t="n">
        <v>0</v>
      </c>
      <c r="L498" s="3">
        <f>IF(K498&lt;-5,"CRÍTICO",IF(K498&lt;0,"ATENÇÃO",IF(K498&lt;=5,"BOM","EXCELENTE")))</f>
        <v/>
      </c>
      <c r="M498" t="n">
        <v>0</v>
      </c>
      <c r="N498" t="n">
        <v>99.06</v>
      </c>
      <c r="O498" t="n">
        <v>22.95719844357977</v>
      </c>
    </row>
    <row r="499" hidden="1">
      <c r="A499" s="7" t="n">
        <v>46161</v>
      </c>
      <c r="B499" s="8" t="inlineStr">
        <is>
          <t>Emilly Caylane Costa</t>
        </is>
      </c>
      <c r="C499" s="9" t="inlineStr">
        <is>
          <t>Estágio</t>
        </is>
      </c>
      <c r="D499" s="3" t="n">
        <v>17</v>
      </c>
      <c r="E499" s="3" t="n">
        <v>5</v>
      </c>
      <c r="G499" s="3" t="n">
        <v>0</v>
      </c>
      <c r="H499" s="3" t="n">
        <v>0</v>
      </c>
      <c r="I499" s="3">
        <f>E499+G499+H499</f>
        <v/>
      </c>
      <c r="J499" s="3">
        <f>IF(C499="Técnico III","35",IF(C499="Técnico II","28",IF(C499="Técnico I","23",IF(C499="JR","20",IF(C499="Estágio","10",)))))</f>
        <v/>
      </c>
      <c r="K499" s="3">
        <f>I499-J499</f>
        <v/>
      </c>
      <c r="L499" s="3">
        <f>IF(K499&lt;-5,"CRÍTICO",IF(K499&lt;0,"ATENÇÃO",IF(K499&lt;=5,"BOM","EXCELENTE")))</f>
        <v/>
      </c>
      <c r="M499" t="n">
        <v>0</v>
      </c>
      <c r="N499" t="n">
        <v>100</v>
      </c>
      <c r="O499" t="n">
        <v>29.03225806451613</v>
      </c>
    </row>
    <row r="500" hidden="1">
      <c r="A500" s="7" t="n">
        <v>46161</v>
      </c>
      <c r="B500" s="8" t="inlineStr">
        <is>
          <t>Emilly Kamilly Medeiros Miranda</t>
        </is>
      </c>
      <c r="C500" s="9" t="inlineStr">
        <is>
          <t>Técnico II</t>
        </is>
      </c>
      <c r="D500" s="3" t="n">
        <v>23</v>
      </c>
      <c r="E500" s="3" t="n">
        <v>22</v>
      </c>
      <c r="G500" s="3" t="n">
        <v>2</v>
      </c>
      <c r="H500" s="3" t="n">
        <v>0</v>
      </c>
      <c r="I500" s="3">
        <f>E500+G500+H500</f>
        <v/>
      </c>
      <c r="J500" s="3">
        <f>IF(C500="Técnico III","35",IF(C500="Técnico II","28",IF(C500="Técnico I","23",IF(C500="JR","20",IF(C500="Estágio","10",)))))</f>
        <v/>
      </c>
      <c r="K500" s="3">
        <f>I500-J500</f>
        <v/>
      </c>
      <c r="L500" s="3">
        <f>IF(K500&lt;-5,"CRÍTICO",IF(K500&lt;0,"ATENÇÃO",IF(K500&lt;=5,"BOM","EXCELENTE")))</f>
        <v/>
      </c>
      <c r="M500" t="n">
        <v>23</v>
      </c>
      <c r="N500" t="n">
        <v>100</v>
      </c>
      <c r="O500" t="n">
        <v>13.8121546961326</v>
      </c>
    </row>
    <row r="501" hidden="1">
      <c r="A501" s="7" t="n">
        <v>46161</v>
      </c>
      <c r="B501" s="8" t="inlineStr">
        <is>
          <t>Francielson de Oliveira</t>
        </is>
      </c>
      <c r="C501" s="9" t="inlineStr">
        <is>
          <t>Técnico III</t>
        </is>
      </c>
      <c r="D501" s="3" t="n">
        <v>12</v>
      </c>
      <c r="E501" s="3" t="n">
        <v>12</v>
      </c>
      <c r="G501" s="3" t="n">
        <v>0</v>
      </c>
      <c r="H501" s="3" t="n">
        <v>0</v>
      </c>
      <c r="I501" s="3">
        <f>E501+G501+H501</f>
        <v/>
      </c>
      <c r="J501" s="3">
        <f>IF(C501="Técnico III","35",IF(C501="Técnico II","28",IF(C501="Técnico I","23",IF(C501="JR","20",IF(C501="Estágio","10",)))))</f>
        <v/>
      </c>
      <c r="K501" s="3">
        <f>I501-J501</f>
        <v/>
      </c>
      <c r="L501" s="3">
        <f>IF(K501&lt;-5,"CRÍTICO",IF(K501&lt;0,"ATENÇÃO",IF(K501&lt;=5,"BOM","EXCELENTE")))</f>
        <v/>
      </c>
      <c r="M501" t="n">
        <v>11</v>
      </c>
      <c r="N501" t="n">
        <v>100</v>
      </c>
      <c r="O501" t="n">
        <v>9.523809523809524</v>
      </c>
    </row>
    <row r="502" hidden="1">
      <c r="A502" s="7" t="n">
        <v>46161</v>
      </c>
      <c r="B502" s="8" t="inlineStr">
        <is>
          <t>Francilene Ferreira de Jesus</t>
        </is>
      </c>
      <c r="C502" s="9" t="inlineStr">
        <is>
          <t>Técnico II</t>
        </is>
      </c>
      <c r="D502" s="3" t="n">
        <v>0</v>
      </c>
      <c r="E502" s="3" t="n">
        <v>0</v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  <c r="K502" s="3" t="n">
        <v>0</v>
      </c>
      <c r="L502" s="3">
        <f>IF(K502&lt;-5,"CRÍTICO",IF(K502&lt;0,"ATENÇÃO",IF(K502&lt;=5,"BOM","EXCELENTE")))</f>
        <v/>
      </c>
      <c r="M502" t="n">
        <v>0</v>
      </c>
      <c r="N502" t="n">
        <v>100</v>
      </c>
      <c r="O502" t="n">
        <v>17.24137931034483</v>
      </c>
    </row>
    <row r="503" hidden="1">
      <c r="A503" s="7" t="n">
        <v>46161</v>
      </c>
      <c r="B503" s="8" t="inlineStr">
        <is>
          <t>Gabriel Alves</t>
        </is>
      </c>
      <c r="C503" s="9" t="inlineStr">
        <is>
          <t>Estágio</t>
        </is>
      </c>
      <c r="D503" s="3" t="n">
        <v>4</v>
      </c>
      <c r="E503" s="3" t="n">
        <v>4</v>
      </c>
      <c r="G503" s="3" t="n">
        <v>0</v>
      </c>
      <c r="H503" s="3" t="n">
        <v>0</v>
      </c>
      <c r="I503" s="3">
        <f>E503+G503+H503</f>
        <v/>
      </c>
      <c r="J503" s="3">
        <f>IF(C503="Técnico III","35",IF(C503="Técnico II","28",IF(C503="Técnico I","23",IF(C503="JR","20",IF(C503="Estágio","10",)))))</f>
        <v/>
      </c>
      <c r="K503" s="3">
        <f>I503-J503</f>
        <v/>
      </c>
      <c r="L503" s="3">
        <f>IF(K503&lt;-5,"CRÍTICO",IF(K503&lt;0,"ATENÇÃO",IF(K503&lt;=5,"BOM","EXCELENTE")))</f>
        <v/>
      </c>
      <c r="M503" t="n">
        <v>3</v>
      </c>
      <c r="N503" t="n">
        <v>100</v>
      </c>
      <c r="O503" t="n">
        <v>14.28571428571428</v>
      </c>
    </row>
    <row r="504" hidden="1">
      <c r="A504" s="7" t="n">
        <v>46161</v>
      </c>
      <c r="B504" s="8" t="inlineStr">
        <is>
          <t>Gabriel Gomes de Andrade</t>
        </is>
      </c>
      <c r="C504" s="9" t="inlineStr">
        <is>
          <t>Técnico I</t>
        </is>
      </c>
      <c r="D504" s="3" t="n">
        <v>19</v>
      </c>
      <c r="E504" s="3" t="n">
        <v>18</v>
      </c>
      <c r="G504" s="3" t="n">
        <v>3</v>
      </c>
      <c r="H504" s="3" t="n">
        <v>3</v>
      </c>
      <c r="I504" s="3">
        <f>E504+G504+H504</f>
        <v/>
      </c>
      <c r="J504" s="3">
        <f>IF(C504="Técnico III","35",IF(C504="Técnico II","28",IF(C504="Técnico I","23",IF(C504="JR","20",IF(C504="Estágio","10",)))))</f>
        <v/>
      </c>
      <c r="K504" s="3">
        <f>I504-J504</f>
        <v/>
      </c>
      <c r="L504" s="3">
        <f>IF(K504&lt;-5,"CRÍTICO",IF(K504&lt;0,"ATENÇÃO",IF(K504&lt;=5,"BOM","EXCELENTE")))</f>
        <v/>
      </c>
      <c r="M504" t="n">
        <v>20</v>
      </c>
      <c r="N504" t="n">
        <v>98.8</v>
      </c>
      <c r="O504" t="n">
        <v>15.41353383458646</v>
      </c>
    </row>
    <row r="505" hidden="1">
      <c r="A505" s="7" t="n">
        <v>46161</v>
      </c>
      <c r="B505" s="8" t="inlineStr">
        <is>
          <t>Isabella Borges de Oliveira</t>
        </is>
      </c>
      <c r="C505" s="9" t="inlineStr">
        <is>
          <t>Técnico II</t>
        </is>
      </c>
      <c r="D505" s="3" t="n">
        <v>28</v>
      </c>
      <c r="E505" s="3" t="n">
        <v>25</v>
      </c>
      <c r="G505" s="3" t="n">
        <v>0</v>
      </c>
      <c r="H505" s="3" t="n">
        <v>0</v>
      </c>
      <c r="I505" s="3">
        <f>E505+G505+H505</f>
        <v/>
      </c>
      <c r="J505" s="3">
        <f>IF(C505="Técnico III","35",IF(C505="Técnico II","28",IF(C505="Técnico I","23",IF(C505="JR","20",IF(C505="Estágio","10",)))))</f>
        <v/>
      </c>
      <c r="K505" s="3">
        <f>I505-J505</f>
        <v/>
      </c>
      <c r="L505" s="3">
        <f>IF(K505&lt;-5,"CRÍTICO",IF(K505&lt;0,"ATENÇÃO",IF(K505&lt;=5,"BOM","EXCELENTE")))</f>
        <v/>
      </c>
      <c r="M505" t="n">
        <v>22</v>
      </c>
      <c r="N505" t="n">
        <v>98.63</v>
      </c>
      <c r="O505" t="n">
        <v>15.75757575757576</v>
      </c>
    </row>
    <row r="506" hidden="1">
      <c r="A506" s="7" t="n">
        <v>46161</v>
      </c>
      <c r="B506" s="8" t="inlineStr">
        <is>
          <t>Janaina Lima dos Reis Urany</t>
        </is>
      </c>
      <c r="C506" s="9" t="inlineStr">
        <is>
          <t>Técnico III</t>
        </is>
      </c>
      <c r="D506" s="3" t="n">
        <v>43</v>
      </c>
      <c r="E506" s="3" t="n">
        <v>39</v>
      </c>
      <c r="G506" s="3" t="n">
        <v>3</v>
      </c>
      <c r="H506" s="3" t="n">
        <v>0</v>
      </c>
      <c r="I506" s="3">
        <f>E506+G506+H506</f>
        <v/>
      </c>
      <c r="J506" s="3">
        <f>IF(C506="Técnico III","35",IF(C506="Técnico II","28",IF(C506="Técnico I","23",IF(C506="JR","20",IF(C506="Estágio","10",)))))</f>
        <v/>
      </c>
      <c r="K506" s="3">
        <f>I506-J506</f>
        <v/>
      </c>
      <c r="L506" s="3">
        <f>IF(K506&lt;-5,"CRÍTICO",IF(K506&lt;0,"ATENÇÃO",IF(K506&lt;=5,"BOM","EXCELENTE")))</f>
        <v/>
      </c>
      <c r="M506" t="n">
        <v>40</v>
      </c>
      <c r="N506" t="n">
        <v>98.64</v>
      </c>
      <c r="O506" t="n">
        <v>16.6383701188455</v>
      </c>
    </row>
    <row r="507" hidden="1">
      <c r="A507" s="7" t="n">
        <v>46161</v>
      </c>
      <c r="B507" s="8" t="inlineStr">
        <is>
          <t>Jaqueline Evangelista da Silva Martins</t>
        </is>
      </c>
      <c r="C507" s="9" t="inlineStr">
        <is>
          <t>Técnico III</t>
        </is>
      </c>
      <c r="D507" s="3" t="n">
        <v>11</v>
      </c>
      <c r="E507" s="3" t="n">
        <v>10</v>
      </c>
      <c r="G507" s="3" t="n">
        <v>4</v>
      </c>
      <c r="H507" s="3" t="n">
        <v>0</v>
      </c>
      <c r="I507" s="3">
        <f>E507+G507+H507</f>
        <v/>
      </c>
      <c r="J507" s="3">
        <f>IF(C507="Técnico III","35",IF(C507="Técnico II","28",IF(C507="Técnico I","23",IF(C507="JR","20",IF(C507="Estágio","10",)))))</f>
        <v/>
      </c>
      <c r="K507" s="3">
        <f>I507-J507</f>
        <v/>
      </c>
      <c r="L507" s="3">
        <f>IF(K507&lt;-5,"CRÍTICO",IF(K507&lt;0,"ATENÇÃO",IF(K507&lt;=5,"BOM","EXCELENTE")))</f>
        <v/>
      </c>
      <c r="M507" t="n">
        <v>12</v>
      </c>
      <c r="N507" t="n">
        <v>95.40000000000001</v>
      </c>
      <c r="O507" t="n">
        <v>20.53333333333333</v>
      </c>
    </row>
    <row r="508" hidden="1">
      <c r="A508" s="7" t="n">
        <v>46161</v>
      </c>
      <c r="B508" s="8" t="inlineStr">
        <is>
          <t>Jessica Faria da Silveira</t>
        </is>
      </c>
      <c r="C508" s="9" t="inlineStr">
        <is>
          <t>Técnico II</t>
        </is>
      </c>
      <c r="D508" s="3" t="n">
        <v>24</v>
      </c>
      <c r="E508" s="3" t="n">
        <v>20</v>
      </c>
      <c r="G508" s="3" t="n">
        <v>2</v>
      </c>
      <c r="H508" s="3" t="n">
        <v>0</v>
      </c>
      <c r="I508" s="3">
        <f>E508+G508+H508</f>
        <v/>
      </c>
      <c r="J508" s="3">
        <f>IF(C508="Técnico III","35",IF(C508="Técnico II","28",IF(C508="Técnico I","23",IF(C508="JR","20",IF(C508="Estágio","10",)))))</f>
        <v/>
      </c>
      <c r="K508" s="3">
        <f>I508-J508</f>
        <v/>
      </c>
      <c r="L508" s="3">
        <f>IF(K508&lt;-5,"CRÍTICO",IF(K508&lt;0,"ATENÇÃO",IF(K508&lt;=5,"BOM","EXCELENTE")))</f>
        <v/>
      </c>
      <c r="M508" t="n">
        <v>16</v>
      </c>
      <c r="N508" t="n">
        <v>98.61</v>
      </c>
      <c r="O508" t="n">
        <v>16.97530864197531</v>
      </c>
    </row>
    <row r="509" hidden="1">
      <c r="A509" s="7" t="n">
        <v>46161</v>
      </c>
      <c r="B509" s="8" t="inlineStr">
        <is>
          <t>Jéssica Fé Moura</t>
        </is>
      </c>
      <c r="C509" s="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IF(K509&lt;-5,"CRÍTICO",IF(K509&lt;0,"ATENÇÃO",IF(K509&lt;=5,"BOM","EXCELENTE")))</f>
        <v/>
      </c>
      <c r="M509" t="n">
        <v>0</v>
      </c>
      <c r="N509" t="n">
        <v>0</v>
      </c>
      <c r="O509" t="n">
        <v>0</v>
      </c>
    </row>
    <row r="510" hidden="1">
      <c r="A510" s="7" t="n">
        <v>46161</v>
      </c>
      <c r="B510" s="8" t="inlineStr">
        <is>
          <t>Karina Gonçalves Martins</t>
        </is>
      </c>
      <c r="C510" s="9" t="inlineStr">
        <is>
          <t>JR</t>
        </is>
      </c>
      <c r="D510" s="3" t="n">
        <v>20</v>
      </c>
      <c r="E510" s="3" t="n">
        <v>19</v>
      </c>
      <c r="G510" s="3" t="n">
        <v>2</v>
      </c>
      <c r="H510" s="3" t="n">
        <v>0</v>
      </c>
      <c r="I510" s="3">
        <f>E510+G510+H510</f>
        <v/>
      </c>
      <c r="J510" s="3">
        <f>IF(C510="Técnico III","35",IF(C510="Técnico II","28",IF(C510="Técnico I","23",IF(C510="JR","20",IF(C510="Estágio","10",)))))</f>
        <v/>
      </c>
      <c r="K510" s="3">
        <f>I510-J510</f>
        <v/>
      </c>
      <c r="L510" s="3">
        <f>IF(K510&lt;-5,"CRÍTICO",IF(K510&lt;0,"ATENÇÃO",IF(K510&lt;=5,"BOM","EXCELENTE")))</f>
        <v/>
      </c>
      <c r="M510" t="n">
        <v>20</v>
      </c>
      <c r="N510" t="n">
        <v>97.01000000000001</v>
      </c>
      <c r="O510" t="n">
        <v>13.96103896103896</v>
      </c>
    </row>
    <row r="511" hidden="1">
      <c r="A511" s="7" t="n">
        <v>46161</v>
      </c>
      <c r="B511" s="8" t="inlineStr">
        <is>
          <t>Kerollen Cristielly de Jesus Siqueira</t>
        </is>
      </c>
      <c r="C511" s="9" t="inlineStr">
        <is>
          <t>Técnico III</t>
        </is>
      </c>
      <c r="D511" s="3" t="n">
        <v>32</v>
      </c>
      <c r="E511" s="3" t="n">
        <v>32</v>
      </c>
      <c r="G511" s="3" t="n">
        <v>0</v>
      </c>
      <c r="H511" s="3" t="n">
        <v>0</v>
      </c>
      <c r="I511" s="3">
        <f>E511+G511+H511</f>
        <v/>
      </c>
      <c r="J511" s="3">
        <f>IF(C511="Técnico III","35",IF(C511="Técnico II","28",IF(C511="Técnico I","23",IF(C511="JR","20",IF(C511="Estágio","10",)))))</f>
        <v/>
      </c>
      <c r="K511" s="3">
        <f>I511-J511</f>
        <v/>
      </c>
      <c r="L511" s="3">
        <f>IF(K511&lt;-5,"CRÍTICO",IF(K511&lt;0,"ATENÇÃO",IF(K511&lt;=5,"BOM","EXCELENTE")))</f>
        <v/>
      </c>
      <c r="M511" t="n">
        <v>28</v>
      </c>
      <c r="N511" t="n">
        <v>95.52</v>
      </c>
      <c r="O511" t="n">
        <v>10.56105610561056</v>
      </c>
    </row>
    <row r="512" hidden="1">
      <c r="A512" s="7" t="n">
        <v>46161</v>
      </c>
      <c r="B512" s="8" t="inlineStr">
        <is>
          <t>Leandro de Souza Silva</t>
        </is>
      </c>
      <c r="C512" s="9" t="inlineStr">
        <is>
          <t>JR</t>
        </is>
      </c>
      <c r="D512" s="3" t="n">
        <v>19</v>
      </c>
      <c r="E512" s="3" t="n">
        <v>17</v>
      </c>
      <c r="G512" s="3" t="n">
        <v>1</v>
      </c>
      <c r="H512" s="3" t="n">
        <v>0</v>
      </c>
      <c r="I512" s="3">
        <f>E512+G512+H512</f>
        <v/>
      </c>
      <c r="J512" s="3">
        <f>IF(C512="Técnico III","35",IF(C512="Técnico II","28",IF(C512="Técnico I","23",IF(C512="JR","20",IF(C512="Estágio","10",)))))</f>
        <v/>
      </c>
      <c r="K512" s="3">
        <f>I512-J512</f>
        <v/>
      </c>
      <c r="L512" s="3">
        <f>IF(K512&lt;-5,"CRÍTICO",IF(K512&lt;0,"ATENÇÃO",IF(K512&lt;=5,"BOM","EXCELENTE")))</f>
        <v/>
      </c>
      <c r="M512" t="n">
        <v>15</v>
      </c>
      <c r="N512" t="n">
        <v>100</v>
      </c>
      <c r="O512" t="n">
        <v>16.95906432748538</v>
      </c>
    </row>
    <row r="513" hidden="1">
      <c r="A513" s="7" t="n">
        <v>46161</v>
      </c>
      <c r="B513" s="8" t="inlineStr">
        <is>
          <t>Leandro Oliveira de Sousa</t>
        </is>
      </c>
      <c r="C513" s="9" t="inlineStr">
        <is>
          <t>Técnico III</t>
        </is>
      </c>
      <c r="D513" s="3" t="n">
        <v>27</v>
      </c>
      <c r="E513" s="3" t="n">
        <v>26</v>
      </c>
      <c r="G513" s="3" t="n">
        <v>0</v>
      </c>
      <c r="H513" s="3" t="n">
        <v>0</v>
      </c>
      <c r="I513" s="3">
        <f>E513+G513+H513</f>
        <v/>
      </c>
      <c r="J513" s="3">
        <f>IF(C513="Técnico III","35",IF(C513="Técnico II","28",IF(C513="Técnico I","23",IF(C513="JR","20",IF(C513="Estágio","10",)))))</f>
        <v/>
      </c>
      <c r="K513" s="3">
        <f>I513-J513</f>
        <v/>
      </c>
      <c r="L513" s="3">
        <f>IF(K513&lt;-5,"CRÍTICO",IF(K513&lt;0,"ATENÇÃO",IF(K513&lt;=5,"BOM","EXCELENTE")))</f>
        <v/>
      </c>
      <c r="M513" t="n">
        <v>24</v>
      </c>
      <c r="N513" t="n">
        <v>100</v>
      </c>
      <c r="O513" t="n">
        <v>15.58441558441558</v>
      </c>
    </row>
    <row r="514" hidden="1">
      <c r="A514" s="7" t="n">
        <v>46161</v>
      </c>
      <c r="B514" s="8" t="inlineStr">
        <is>
          <t>Lizandra Gomes Duarte</t>
        </is>
      </c>
      <c r="C514" s="9" t="inlineStr">
        <is>
          <t>Técnico II</t>
        </is>
      </c>
      <c r="D514" s="3" t="n">
        <v>28</v>
      </c>
      <c r="E514" s="3" t="n">
        <v>25</v>
      </c>
      <c r="G514" s="3" t="n">
        <v>3</v>
      </c>
      <c r="H514" s="3" t="n">
        <v>0</v>
      </c>
      <c r="I514" s="3">
        <f>E514+G514+H514</f>
        <v/>
      </c>
      <c r="J514" s="3">
        <f>IF(C514="Técnico III","35",IF(C514="Técnico II","28",IF(C514="Técnico I","23",IF(C514="JR","20",IF(C514="Estágio","10",)))))</f>
        <v/>
      </c>
      <c r="K514" s="3">
        <f>I514-J514</f>
        <v/>
      </c>
      <c r="L514" s="3">
        <f>IF(K514&lt;-5,"CRÍTICO",IF(K514&lt;0,"ATENÇÃO",IF(K514&lt;=5,"BOM","EXCELENTE")))</f>
        <v/>
      </c>
      <c r="M514" t="n">
        <v>45</v>
      </c>
      <c r="N514" t="n">
        <v>98.61</v>
      </c>
      <c r="O514" t="n">
        <v>16.86746987951807</v>
      </c>
    </row>
    <row r="515" hidden="1">
      <c r="A515" s="7" t="n">
        <v>46161</v>
      </c>
      <c r="B515" s="8" t="inlineStr">
        <is>
          <t>Lorena Dias de Araujo</t>
        </is>
      </c>
      <c r="C515" s="9" t="inlineStr">
        <is>
          <t>Técnico II</t>
        </is>
      </c>
      <c r="D515" s="3" t="n">
        <v>22</v>
      </c>
      <c r="E515" s="3" t="n">
        <v>21</v>
      </c>
      <c r="G515" s="3" t="n">
        <v>1</v>
      </c>
      <c r="H515" s="3" t="n">
        <v>0</v>
      </c>
      <c r="I515" s="3">
        <f>E515+G515+H515</f>
        <v/>
      </c>
      <c r="J515" s="3">
        <f>IF(C515="Técnico III","35",IF(C515="Técnico II","28",IF(C515="Técnico I","23",IF(C515="JR","20",IF(C515="Estágio","10",)))))</f>
        <v/>
      </c>
      <c r="K515" s="3">
        <f>I515-J515</f>
        <v/>
      </c>
      <c r="L515" s="3">
        <f>IF(K515&lt;-5,"CRÍTICO",IF(K515&lt;0,"ATENÇÃO",IF(K515&lt;=5,"BOM","EXCELENTE")))</f>
        <v/>
      </c>
      <c r="M515" t="n">
        <v>19</v>
      </c>
      <c r="N515" t="n">
        <v>100</v>
      </c>
      <c r="O515" t="n">
        <v>20.82018927444795</v>
      </c>
    </row>
    <row r="516" hidden="1">
      <c r="A516" s="7" t="n">
        <v>46161</v>
      </c>
      <c r="B516" s="8" t="inlineStr">
        <is>
          <t>Lucas Luiz Romero</t>
        </is>
      </c>
      <c r="C516" s="9" t="inlineStr">
        <is>
          <t>Técnico III</t>
        </is>
      </c>
      <c r="D516" s="3" t="n">
        <v>22</v>
      </c>
      <c r="E516" s="3" t="n">
        <v>20</v>
      </c>
      <c r="G516" s="3" t="n">
        <v>0</v>
      </c>
      <c r="H516" s="3" t="n">
        <v>0</v>
      </c>
      <c r="I516" s="3">
        <f>E516+G516+H516</f>
        <v/>
      </c>
      <c r="J516" s="3">
        <f>IF(C516="Técnico III","35",IF(C516="Técnico II","28",IF(C516="Técnico I","23",IF(C516="JR","20",IF(C516="Estágio","10",)))))</f>
        <v/>
      </c>
      <c r="K516" s="3">
        <f>I516-J516</f>
        <v/>
      </c>
      <c r="L516" s="3">
        <f>IF(K516&lt;-5,"CRÍTICO",IF(K516&lt;0,"ATENÇÃO",IF(K516&lt;=5,"BOM","EXCELENTE")))</f>
        <v/>
      </c>
      <c r="M516" t="n">
        <v>18</v>
      </c>
      <c r="N516" t="n">
        <v>100</v>
      </c>
      <c r="O516" t="n">
        <v>4.347826086956522</v>
      </c>
    </row>
    <row r="517" hidden="1">
      <c r="A517" s="7" t="n">
        <v>46161</v>
      </c>
      <c r="B517" s="8" t="inlineStr">
        <is>
          <t>Luiz Fernando de Carvalho Junior</t>
        </is>
      </c>
      <c r="C517" s="9" t="inlineStr">
        <is>
          <t>Técnico I</t>
        </is>
      </c>
      <c r="D517" s="3" t="n">
        <v>18</v>
      </c>
      <c r="E517" s="3" t="n">
        <v>17</v>
      </c>
      <c r="G517" s="3" t="n">
        <v>2</v>
      </c>
      <c r="H517" s="3" t="n">
        <v>0</v>
      </c>
      <c r="I517" s="3">
        <f>E517+G517+H517</f>
        <v/>
      </c>
      <c r="J517" s="3">
        <f>IF(C517="Técnico III","35",IF(C517="Técnico II","28",IF(C517="Técnico I","23",IF(C517="JR","20",IF(C517="Estágio","10",)))))</f>
        <v/>
      </c>
      <c r="K517" s="3">
        <f>I517-J517</f>
        <v/>
      </c>
      <c r="L517" s="3">
        <f>IF(K517&lt;-5,"CRÍTICO",IF(K517&lt;0,"ATENÇÃO",IF(K517&lt;=5,"BOM","EXCELENTE")))</f>
        <v/>
      </c>
      <c r="M517" t="n">
        <v>18</v>
      </c>
      <c r="N517" t="n">
        <v>93.26000000000001</v>
      </c>
      <c r="O517" t="n">
        <v>19.93957703927493</v>
      </c>
    </row>
    <row r="518" hidden="1">
      <c r="A518" s="7" t="n">
        <v>46161</v>
      </c>
      <c r="B518" s="8" t="inlineStr">
        <is>
          <t>Maria Eduarda Sousa Costa</t>
        </is>
      </c>
      <c r="C518" s="9" t="inlineStr">
        <is>
          <t>Estágio</t>
        </is>
      </c>
      <c r="D518" s="3" t="n">
        <v>36</v>
      </c>
      <c r="E518" s="3" t="n">
        <v>24</v>
      </c>
      <c r="G518" s="3" t="n">
        <v>0</v>
      </c>
      <c r="H518" s="3" t="n">
        <v>0</v>
      </c>
      <c r="I518" s="3">
        <f>E518+G518+H518</f>
        <v/>
      </c>
      <c r="J518" s="3">
        <f>IF(C518="Técnico III","35",IF(C518="Técnico II","28",IF(C518="Técnico I","23",IF(C518="JR","20",IF(C518="Estágio","10",)))))</f>
        <v/>
      </c>
      <c r="K518" s="3">
        <f>I518-J518</f>
        <v/>
      </c>
      <c r="L518" s="3">
        <f>IF(K518&lt;-5,"CRÍTICO",IF(K518&lt;0,"ATENÇÃO",IF(K518&lt;=5,"BOM","EXCELENTE")))</f>
        <v/>
      </c>
      <c r="M518" t="n">
        <v>12</v>
      </c>
      <c r="N518" t="n">
        <v>100</v>
      </c>
      <c r="O518" t="n">
        <v>11.86440677966102</v>
      </c>
    </row>
    <row r="519" hidden="1">
      <c r="A519" s="7" t="n">
        <v>46161</v>
      </c>
      <c r="B519" s="8" t="inlineStr">
        <is>
          <t>Matheus Farias De Souza</t>
        </is>
      </c>
      <c r="C519" s="9" t="inlineStr">
        <is>
          <t>Técnico III</t>
        </is>
      </c>
      <c r="D519" s="3" t="n">
        <v>0</v>
      </c>
      <c r="E519" s="3" t="n">
        <v>0</v>
      </c>
      <c r="G519" s="3" t="n">
        <v>0</v>
      </c>
      <c r="H519" s="3" t="n">
        <v>33</v>
      </c>
      <c r="I519" s="3">
        <f>E519+G519+H519</f>
        <v/>
      </c>
      <c r="J519" s="3">
        <f>IF(C519="Técnico III","35",IF(C519="Técnico II","28",IF(C519="Técnico I","23",IF(C519="JR","20",IF(C519="Estágio","10",)))))</f>
        <v/>
      </c>
      <c r="K519" s="3">
        <f>I519-J519</f>
        <v/>
      </c>
      <c r="L519" s="3">
        <f>IF(K519&lt;-5,"CRÍTICO",IF(K519&lt;0,"ATENÇÃO",IF(K519&lt;=5,"BOM","EXCELENTE")))</f>
        <v/>
      </c>
      <c r="M519" t="n">
        <v>14</v>
      </c>
      <c r="N519" t="n">
        <v>98.28</v>
      </c>
      <c r="O519" t="n">
        <v>9.037900874635568</v>
      </c>
    </row>
    <row r="520" hidden="1">
      <c r="A520" s="7" t="n">
        <v>46161</v>
      </c>
      <c r="B520" s="8" t="inlineStr">
        <is>
          <t>Maysa Victoria Dias Moura</t>
        </is>
      </c>
      <c r="C520" s="9" t="inlineStr">
        <is>
          <t>Técnico III</t>
        </is>
      </c>
      <c r="D520" s="3" t="n">
        <v>35</v>
      </c>
      <c r="E520" s="3" t="n">
        <v>31</v>
      </c>
      <c r="G520" s="3" t="n">
        <v>4</v>
      </c>
      <c r="H520" s="3" t="n">
        <v>0</v>
      </c>
      <c r="I520" s="3">
        <f>E520+G520+H520</f>
        <v/>
      </c>
      <c r="J520" s="3">
        <f>IF(C520="Técnico III","35",IF(C520="Técnico II","28",IF(C520="Técnico I","23",IF(C520="JR","20",IF(C520="Estágio","10",)))))</f>
        <v/>
      </c>
      <c r="K520" s="3">
        <f>I520-J520</f>
        <v/>
      </c>
      <c r="L520" s="3">
        <f>IF(K520&lt;-5,"CRÍTICO",IF(K520&lt;0,"ATENÇÃO",IF(K520&lt;=5,"BOM","EXCELENTE")))</f>
        <v/>
      </c>
      <c r="M520" t="n">
        <v>30</v>
      </c>
      <c r="N520" t="n">
        <v>97.22</v>
      </c>
      <c r="O520" t="n">
        <v>19.09547738693467</v>
      </c>
    </row>
    <row r="521" hidden="1">
      <c r="A521" s="7" t="n">
        <v>46161</v>
      </c>
      <c r="B521" s="8" t="inlineStr">
        <is>
          <t>Michelle G Santos</t>
        </is>
      </c>
      <c r="C521" s="9" t="inlineStr">
        <is>
          <t>Estágio</t>
        </is>
      </c>
      <c r="D521" s="3" t="n">
        <v>15</v>
      </c>
      <c r="E521" s="3" t="n">
        <v>13</v>
      </c>
      <c r="G521" s="3" t="n">
        <v>0</v>
      </c>
      <c r="H521" s="3" t="n">
        <v>0</v>
      </c>
      <c r="I521" s="3">
        <f>E521+G521+H521</f>
        <v/>
      </c>
      <c r="J521" s="3">
        <f>IF(C521="Técnico III","35",IF(C521="Técnico II","28",IF(C521="Técnico I","23",IF(C521="JR","20",IF(C521="Estágio","10",)))))</f>
        <v/>
      </c>
      <c r="K521" s="3">
        <f>I521-J521</f>
        <v/>
      </c>
      <c r="L521" s="3">
        <f>IF(K521&lt;-5,"CRÍTICO",IF(K521&lt;0,"ATENÇÃO",IF(K521&lt;=5,"BOM","EXCELENTE")))</f>
        <v/>
      </c>
      <c r="M521" t="n">
        <v>9</v>
      </c>
      <c r="N521" t="n">
        <v>100</v>
      </c>
      <c r="O521" t="n">
        <v>16.8141592920354</v>
      </c>
    </row>
    <row r="522" hidden="1">
      <c r="A522" s="7" t="n">
        <v>46161</v>
      </c>
      <c r="B522" s="8" t="inlineStr">
        <is>
          <t>Milena Sales</t>
        </is>
      </c>
      <c r="C522" s="9" t="inlineStr">
        <is>
          <t>JR</t>
        </is>
      </c>
      <c r="D522" s="3" t="n">
        <v>42</v>
      </c>
      <c r="E522" s="3" t="n">
        <v>23</v>
      </c>
      <c r="G522" s="3" t="n">
        <v>0</v>
      </c>
      <c r="H522" s="3" t="n">
        <v>0</v>
      </c>
      <c r="I522" s="3">
        <f>E522+G522+H522</f>
        <v/>
      </c>
      <c r="J522" s="3">
        <f>IF(C522="Técnico III","35",IF(C522="Técnico II","28",IF(C522="Técnico I","23",IF(C522="JR","20",IF(C522="Estágio","10",)))))</f>
        <v/>
      </c>
      <c r="K522" s="3">
        <f>I522-J522</f>
        <v/>
      </c>
      <c r="L522" s="3">
        <f>IF(K522&lt;-5,"CRÍTICO",IF(K522&lt;0,"ATENÇÃO",IF(K522&lt;=5,"BOM","EXCELENTE")))</f>
        <v/>
      </c>
      <c r="M522" t="n">
        <v>22</v>
      </c>
      <c r="N522" t="n">
        <v>98</v>
      </c>
      <c r="O522" t="n">
        <v>16.43835616438356</v>
      </c>
    </row>
    <row r="523" hidden="1">
      <c r="A523" s="7" t="n">
        <v>46161</v>
      </c>
      <c r="B523" s="8" t="inlineStr">
        <is>
          <t>Patrícia Karla de Sousa Araújo</t>
        </is>
      </c>
      <c r="C523" s="9" t="inlineStr">
        <is>
          <t>Técnico II</t>
        </is>
      </c>
      <c r="D523" s="3" t="n">
        <v>25</v>
      </c>
      <c r="E523" s="3" t="n">
        <v>23</v>
      </c>
      <c r="G523" s="3" t="n">
        <v>0</v>
      </c>
      <c r="H523" s="3" t="n">
        <v>0</v>
      </c>
      <c r="I523" s="3">
        <f>E523+G523+H523</f>
        <v/>
      </c>
      <c r="J523" s="3">
        <f>IF(C523="Técnico III","35",IF(C523="Técnico II","28",IF(C523="Técnico I","23",IF(C523="JR","20",IF(C523="Estágio","10",)))))</f>
        <v/>
      </c>
      <c r="K523" s="3">
        <f>I523-J523</f>
        <v/>
      </c>
      <c r="L523" s="3">
        <f>IF(K523&lt;-5,"CRÍTICO",IF(K523&lt;0,"ATENÇÃO",IF(K523&lt;=5,"BOM","EXCELENTE")))</f>
        <v/>
      </c>
      <c r="M523" t="n">
        <v>22</v>
      </c>
      <c r="N523" t="n">
        <v>100</v>
      </c>
      <c r="O523" t="n">
        <v>16.89497716894977</v>
      </c>
    </row>
    <row r="524" hidden="1">
      <c r="A524" s="7" t="n">
        <v>46161</v>
      </c>
      <c r="B524" s="8" t="inlineStr">
        <is>
          <t>Paulo Ricardo Santos</t>
        </is>
      </c>
      <c r="C524" s="9" t="inlineStr">
        <is>
          <t>JR</t>
        </is>
      </c>
      <c r="D524" s="3" t="n">
        <v>13</v>
      </c>
      <c r="E524" s="3" t="n">
        <v>13</v>
      </c>
      <c r="G524" s="3" t="n">
        <v>0</v>
      </c>
      <c r="H524" s="3" t="n">
        <v>0</v>
      </c>
      <c r="I524" s="3">
        <f>E524+G524+H524</f>
        <v/>
      </c>
      <c r="J524" s="3">
        <f>IF(C524="Técnico III","35",IF(C524="Técnico II","28",IF(C524="Técnico I","23",IF(C524="JR","20",IF(C524="Estágio","10",)))))</f>
        <v/>
      </c>
      <c r="K524" s="3">
        <f>I524-J524</f>
        <v/>
      </c>
      <c r="L524" s="3">
        <f>IF(K524&lt;-5,"CRÍTICO",IF(K524&lt;0,"ATENÇÃO",IF(K524&lt;=5,"BOM","EXCELENTE")))</f>
        <v/>
      </c>
      <c r="M524" t="n">
        <v>12</v>
      </c>
      <c r="N524" t="n">
        <v>100</v>
      </c>
      <c r="O524" t="n">
        <v>19.13875598086124</v>
      </c>
    </row>
    <row r="525" hidden="1">
      <c r="A525" s="7" t="n">
        <v>46161</v>
      </c>
      <c r="B525" s="8" t="inlineStr">
        <is>
          <t>Pedro Luiz Mota Sousa</t>
        </is>
      </c>
      <c r="C525" s="9" t="inlineStr">
        <is>
          <t>JR</t>
        </is>
      </c>
      <c r="D525" s="3" t="n">
        <v>17</v>
      </c>
      <c r="E525" s="3" t="n">
        <v>17</v>
      </c>
      <c r="G525" s="3" t="n">
        <v>0</v>
      </c>
      <c r="H525" s="3" t="n">
        <v>0</v>
      </c>
      <c r="I525" s="3">
        <f>E525+G525+H525</f>
        <v/>
      </c>
      <c r="J525" s="3">
        <f>IF(C525="Técnico III","35",IF(C525="Técnico II","28",IF(C525="Técnico I","23",IF(C525="JR","20",IF(C525="Estágio","10",)))))</f>
        <v/>
      </c>
      <c r="K525" s="3">
        <f>I525-J525</f>
        <v/>
      </c>
      <c r="L525" s="3">
        <f>IF(K525&lt;-5,"CRÍTICO",IF(K525&lt;0,"ATENÇÃO",IF(K525&lt;=5,"BOM","EXCELENTE")))</f>
        <v/>
      </c>
      <c r="M525" t="n">
        <v>15</v>
      </c>
      <c r="N525" t="n">
        <v>100</v>
      </c>
      <c r="O525" t="n">
        <v>15.02145922746781</v>
      </c>
    </row>
    <row r="526" hidden="1">
      <c r="A526" s="7" t="n">
        <v>46161</v>
      </c>
      <c r="B526" s="8" t="inlineStr">
        <is>
          <t>Quirino Diogo Leite Torres</t>
        </is>
      </c>
      <c r="C526" s="9" t="inlineStr">
        <is>
          <t>Estágio</t>
        </is>
      </c>
      <c r="D526" s="3" t="n">
        <v>20</v>
      </c>
      <c r="E526" s="3" t="n">
        <v>19</v>
      </c>
      <c r="G526" s="3" t="n">
        <v>0</v>
      </c>
      <c r="H526" s="3" t="n">
        <v>0</v>
      </c>
      <c r="I526" s="3">
        <f>E526+G526+H526</f>
        <v/>
      </c>
      <c r="J526" s="3">
        <f>IF(C526="Técnico III","35",IF(C526="Técnico II","28",IF(C526="Técnico I","23",IF(C526="JR","20",IF(C526="Estágio","10",)))))</f>
        <v/>
      </c>
      <c r="K526" s="3">
        <f>I526-J526</f>
        <v/>
      </c>
      <c r="L526" s="3">
        <f>IF(K526&lt;-5,"CRÍTICO",IF(K526&lt;0,"ATENÇÃO",IF(K526&lt;=5,"BOM","EXCELENTE")))</f>
        <v/>
      </c>
      <c r="M526" t="n">
        <v>16</v>
      </c>
      <c r="N526" t="n">
        <v>98.11</v>
      </c>
      <c r="O526" t="n">
        <v>20.40816326530612</v>
      </c>
    </row>
    <row r="527" hidden="1">
      <c r="A527" s="7" t="n">
        <v>46161</v>
      </c>
      <c r="B527" s="8" t="inlineStr">
        <is>
          <t>Raane Batista Matos</t>
        </is>
      </c>
      <c r="C527" s="9" t="inlineStr">
        <is>
          <t>Técnico I</t>
        </is>
      </c>
      <c r="D527" s="3" t="n">
        <v>35</v>
      </c>
      <c r="E527" s="3" t="n">
        <v>31</v>
      </c>
      <c r="G527" s="3" t="n">
        <v>2</v>
      </c>
      <c r="H527" s="3" t="n">
        <v>0</v>
      </c>
      <c r="I527" s="3">
        <f>E527+G527+H527</f>
        <v/>
      </c>
      <c r="J527" s="3">
        <f>IF(C527="Técnico III","35",IF(C527="Técnico II","28",IF(C527="Técnico I","23",IF(C527="JR","20",IF(C527="Estágio","10",)))))</f>
        <v/>
      </c>
      <c r="K527" s="3">
        <f>I527-J527</f>
        <v/>
      </c>
      <c r="L527" s="3">
        <f>IF(K527&lt;-5,"CRÍTICO",IF(K527&lt;0,"ATENÇÃO",IF(K527&lt;=5,"BOM","EXCELENTE")))</f>
        <v/>
      </c>
      <c r="M527" t="n">
        <v>26</v>
      </c>
      <c r="N527" t="n">
        <v>97.56</v>
      </c>
      <c r="O527" t="n">
        <v>19.28783382789317</v>
      </c>
    </row>
    <row r="528" hidden="1">
      <c r="A528" s="7" t="n">
        <v>46161</v>
      </c>
      <c r="B528" s="8" t="inlineStr">
        <is>
          <t>Rafael Gomes de Morais</t>
        </is>
      </c>
      <c r="C528" s="9" t="inlineStr">
        <is>
          <t>Técnico III</t>
        </is>
      </c>
      <c r="D528" s="3" t="n">
        <v>39</v>
      </c>
      <c r="E528" s="3" t="n">
        <v>35</v>
      </c>
      <c r="G528" s="3" t="n">
        <v>3</v>
      </c>
      <c r="H528" s="3" t="n">
        <v>0</v>
      </c>
      <c r="I528" s="3">
        <f>E528+G528+H528</f>
        <v/>
      </c>
      <c r="J528" s="3">
        <f>IF(C528="Técnico III","35",IF(C528="Técnico II","28",IF(C528="Técnico I","23",IF(C528="JR","20",IF(C528="Estágio","10",)))))</f>
        <v/>
      </c>
      <c r="K528" s="3">
        <f>I528-J528</f>
        <v/>
      </c>
      <c r="L528" s="3">
        <f>IF(K528&lt;-5,"CRÍTICO",IF(K528&lt;0,"ATENÇÃO",IF(K528&lt;=5,"BOM","EXCELENTE")))</f>
        <v/>
      </c>
      <c r="M528" t="n">
        <v>34</v>
      </c>
      <c r="N528" t="n">
        <v>99.29000000000001</v>
      </c>
      <c r="O528" t="n">
        <v>22.49443207126949</v>
      </c>
    </row>
    <row r="529" hidden="1">
      <c r="A529" s="7" t="n">
        <v>46161</v>
      </c>
      <c r="B529" s="8" t="inlineStr">
        <is>
          <t>Sara Maria Monteiro Lopes</t>
        </is>
      </c>
      <c r="C529" s="9" t="inlineStr">
        <is>
          <t>Técnico I</t>
        </is>
      </c>
      <c r="D529" s="3" t="n">
        <v>18</v>
      </c>
      <c r="E529" s="3" t="n">
        <v>18</v>
      </c>
      <c r="G529" s="3" t="n">
        <v>0</v>
      </c>
      <c r="H529" s="3" t="n">
        <v>0</v>
      </c>
      <c r="I529" s="3">
        <f>E529+G529+H529</f>
        <v/>
      </c>
      <c r="J529" s="3">
        <f>IF(C529="Técnico III","35",IF(C529="Técnico II","28",IF(C529="Técnico I","23",IF(C529="JR","20",IF(C529="Estágio","10",)))))</f>
        <v/>
      </c>
      <c r="K529" s="3">
        <f>I529-J529</f>
        <v/>
      </c>
      <c r="L529" s="3">
        <f>IF(K529&lt;-5,"CRÍTICO",IF(K529&lt;0,"ATENÇÃO",IF(K529&lt;=5,"BOM","EXCELENTE")))</f>
        <v/>
      </c>
      <c r="M529" t="n">
        <v>17</v>
      </c>
      <c r="N529" t="n">
        <v>100</v>
      </c>
      <c r="O529" t="n">
        <v>16.97247706422019</v>
      </c>
    </row>
    <row r="530" hidden="1">
      <c r="A530" s="7" t="n">
        <v>46161</v>
      </c>
      <c r="B530" s="8" t="inlineStr">
        <is>
          <t>Sarah Steffanie de Lima Borges</t>
        </is>
      </c>
      <c r="C530" s="9" t="inlineStr">
        <is>
          <t>Técnico III</t>
        </is>
      </c>
      <c r="D530" s="3" t="n">
        <v>25</v>
      </c>
      <c r="E530" s="3" t="n">
        <v>24</v>
      </c>
      <c r="G530" s="3" t="n">
        <v>3</v>
      </c>
      <c r="H530" s="3" t="n">
        <v>0</v>
      </c>
      <c r="I530" s="3">
        <f>E530+G530+H530</f>
        <v/>
      </c>
      <c r="J530" s="3">
        <f>IF(C530="Técnico III","35",IF(C530="Técnico II","28",IF(C530="Técnico I","23",IF(C530="JR","20",IF(C530="Estágio","10",)))))</f>
        <v/>
      </c>
      <c r="K530" s="3">
        <f>I530-J530</f>
        <v/>
      </c>
      <c r="L530" s="3">
        <f>IF(K530&lt;-5,"CRÍTICO",IF(K530&lt;0,"ATENÇÃO",IF(K530&lt;=5,"BOM","EXCELENTE")))</f>
        <v/>
      </c>
      <c r="M530" t="n">
        <v>21</v>
      </c>
      <c r="N530" t="n">
        <v>97.33</v>
      </c>
      <c r="O530" t="n">
        <v>15.80547112462006</v>
      </c>
    </row>
    <row r="531" hidden="1">
      <c r="A531" s="7" t="n">
        <v>46162</v>
      </c>
      <c r="B531" s="8" t="inlineStr">
        <is>
          <t>Alisson de Freitas Silva</t>
        </is>
      </c>
      <c r="C531" s="9" t="inlineStr">
        <is>
          <t>Técnico II</t>
        </is>
      </c>
      <c r="D531" s="3" t="n">
        <v>36</v>
      </c>
      <c r="E531" s="3" t="n">
        <v>25</v>
      </c>
      <c r="F531" s="3" t="n">
        <v>7.03</v>
      </c>
      <c r="G531" s="3" t="n">
        <v>6</v>
      </c>
      <c r="H531" s="3" t="n">
        <v>0</v>
      </c>
      <c r="I531" s="3">
        <f>E531+G531+H531</f>
        <v/>
      </c>
      <c r="J531" s="9">
        <f>IF(C531="Técnico III","35",IF(C531="Técnico II","28",IF(C531="Técnico I","23",IF(C531="JR","20",IF(C531="Estágio","10")))))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20</v>
      </c>
      <c r="N531" s="3" t="n">
        <v>98.94</v>
      </c>
      <c r="O531" s="3" t="n">
        <v>19.61414790996785</v>
      </c>
    </row>
    <row r="532" hidden="1">
      <c r="A532" s="7" t="n">
        <v>46162</v>
      </c>
      <c r="B532" s="8" t="inlineStr">
        <is>
          <t>Amanda Moura Ferreira</t>
        </is>
      </c>
      <c r="C532" s="9" t="inlineStr">
        <is>
          <t>Técnico III</t>
        </is>
      </c>
      <c r="D532" s="3" t="n">
        <v>0</v>
      </c>
      <c r="E532" s="3" t="n">
        <v>0</v>
      </c>
      <c r="F532" s="3" t="n">
        <v>0</v>
      </c>
      <c r="G532" s="3" t="n">
        <v>0</v>
      </c>
      <c r="H532" s="3" t="n">
        <v>0</v>
      </c>
      <c r="I532" s="3">
        <f>E532+G532+H532</f>
        <v/>
      </c>
      <c r="J532" s="9" t="n">
        <v>0</v>
      </c>
      <c r="K532" s="3">
        <f>I532-J532</f>
        <v/>
      </c>
      <c r="L532" s="3">
        <f>IF(K532&lt;-5,"CRÍTICO",IF(K532&lt;0,"ATENÇÃO",IF(K532&lt;=5,"OPORTUNO","MUITO BOM")))</f>
        <v/>
      </c>
      <c r="M532" s="9" t="n">
        <v>0</v>
      </c>
      <c r="N532" s="9" t="n">
        <v>100</v>
      </c>
      <c r="O532" s="9" t="n">
        <v>0</v>
      </c>
    </row>
    <row r="533" hidden="1">
      <c r="A533" s="7" t="n">
        <v>46162</v>
      </c>
      <c r="B533" s="8" t="inlineStr">
        <is>
          <t>Ana Karollyne Souza Faria</t>
        </is>
      </c>
      <c r="C533" s="9" t="inlineStr">
        <is>
          <t>Técnico I</t>
        </is>
      </c>
      <c r="D533" s="3" t="n">
        <v>26</v>
      </c>
      <c r="E533" s="3" t="n">
        <v>25</v>
      </c>
      <c r="F533" s="3" t="n">
        <v>9.369999999999999</v>
      </c>
      <c r="G533" s="3" t="n">
        <v>1</v>
      </c>
      <c r="H533" s="3" t="n">
        <v>0</v>
      </c>
      <c r="I533" s="3">
        <f>E533+G533+H533</f>
        <v/>
      </c>
      <c r="J533" s="9">
        <f>IF(C533="Técnico III","35",IF(C533="Técnico II","28",IF(C533="Técnico I","23",IF(C533="JR","20",IF(C533="Estágio","10")))))</f>
        <v/>
      </c>
      <c r="K533" s="3">
        <f>I533-J533</f>
        <v/>
      </c>
      <c r="L533" s="3">
        <f>IF(K533&lt;-5,"CRÍTICO",IF(K533&lt;0,"ATENÇÃO",IF(K533&lt;=5,"OPORTUNO","MUITO BOM")))</f>
        <v/>
      </c>
      <c r="M533" s="9" t="n">
        <v>26</v>
      </c>
      <c r="N533" s="9" t="n">
        <v>95.38</v>
      </c>
      <c r="O533" s="9" t="n">
        <v>21.5962441314554</v>
      </c>
    </row>
    <row r="534" hidden="1">
      <c r="A534" s="7" t="n">
        <v>46162</v>
      </c>
      <c r="B534" s="8" t="inlineStr">
        <is>
          <t>Ana Paula Da Luz Silva Aleixo</t>
        </is>
      </c>
      <c r="C534" s="9" t="inlineStr">
        <is>
          <t>Técnico III</t>
        </is>
      </c>
      <c r="D534" s="3" t="n">
        <v>22</v>
      </c>
      <c r="E534" s="3" t="n">
        <v>21</v>
      </c>
      <c r="F534" s="3" t="n">
        <v>11.14</v>
      </c>
      <c r="G534" s="3" t="n">
        <v>1</v>
      </c>
      <c r="H534" s="3" t="n">
        <v>0</v>
      </c>
      <c r="I534" s="3">
        <f>E534+G534+H534</f>
        <v/>
      </c>
      <c r="J534" s="9">
        <f>IF(C534="Técnico III","35",IF(C534="Técnico II","28",IF(C534="Técnico I","23",IF(C534="JR","20",IF(C534="Estágio","10")))))</f>
        <v/>
      </c>
      <c r="K534" s="3">
        <f>I534-J534</f>
        <v/>
      </c>
      <c r="L534" s="3">
        <f>IF(K534&lt;-5,"CRÍTICO",IF(K534&lt;0,"ATENÇÃO",IF(K534&lt;=5,"OPORTUNO","MUITO BOM")))</f>
        <v/>
      </c>
      <c r="M534" s="9" t="n">
        <v>18</v>
      </c>
      <c r="N534" s="9" t="n">
        <v>96.34</v>
      </c>
      <c r="O534" s="9" t="n">
        <v>17.57188498402556</v>
      </c>
    </row>
    <row r="535" hidden="1">
      <c r="A535" s="7" t="n">
        <v>46162</v>
      </c>
      <c r="B535" s="8" t="inlineStr">
        <is>
          <t>Anna Luiza Rezende Tavares</t>
        </is>
      </c>
      <c r="C535" s="9" t="inlineStr">
        <is>
          <t>JR</t>
        </is>
      </c>
      <c r="D535" s="3" t="n">
        <v>33</v>
      </c>
      <c r="E535" s="3" t="n">
        <v>33</v>
      </c>
      <c r="F535" s="3" t="n">
        <v>8.470000000000001</v>
      </c>
      <c r="G535" s="3" t="n">
        <v>0</v>
      </c>
      <c r="H535" s="3" t="n">
        <v>0</v>
      </c>
      <c r="I535" s="3">
        <f>E535+G535+H535</f>
        <v/>
      </c>
      <c r="J535" s="9">
        <f>IF(C535="Técnico III","35",IF(C535="Técnico II","28",IF(C535="Técnico I","23",IF(C535="JR","20",IF(C535="Estágio","10")))))</f>
        <v/>
      </c>
      <c r="K535" s="3">
        <f>I535-J535</f>
        <v/>
      </c>
      <c r="L535" s="3">
        <f>IF(K535&lt;-5,"CRÍTICO",IF(K535&lt;0,"ATENÇÃO",IF(K535&lt;=5,"OPORTUNO","MUITO BOM")))</f>
        <v/>
      </c>
      <c r="M535" s="9" t="n">
        <v>32</v>
      </c>
      <c r="N535" s="9" t="n">
        <v>99.11</v>
      </c>
      <c r="O535" s="9" t="n">
        <v>17.72151898734177</v>
      </c>
    </row>
    <row r="536" hidden="1">
      <c r="A536" s="7" t="n">
        <v>46162</v>
      </c>
      <c r="B536" s="8" t="inlineStr">
        <is>
          <t>Brenda de Menezes Silva</t>
        </is>
      </c>
      <c r="C536" s="9" t="inlineStr">
        <is>
          <t>Técnico II</t>
        </is>
      </c>
      <c r="D536" s="3" t="n">
        <v>25</v>
      </c>
      <c r="E536" s="3" t="n">
        <v>23</v>
      </c>
      <c r="F536" s="3" t="n">
        <v>9.109999999999999</v>
      </c>
      <c r="G536" s="3" t="n">
        <v>2</v>
      </c>
      <c r="H536" s="3" t="n">
        <v>0</v>
      </c>
      <c r="I536" s="3">
        <f>E536+G536+H536</f>
        <v/>
      </c>
      <c r="J536" s="9">
        <f>IF(C536="Técnico III","35",IF(C536="Técnico II","28",IF(C536="Técnico I","23",IF(C536="JR","20",IF(C536="Estágio","10")))))</f>
        <v/>
      </c>
      <c r="K536" s="3">
        <f>I536-J536</f>
        <v/>
      </c>
      <c r="L536" s="3">
        <f>IF(K536&lt;-5,"CRÍTICO",IF(K536&lt;0,"ATENÇÃO",IF(K536&lt;=5,"OPORTUNO","MUITO BOM")))</f>
        <v/>
      </c>
      <c r="M536" s="9" t="n">
        <v>29</v>
      </c>
      <c r="N536" s="9" t="n">
        <v>99.13</v>
      </c>
      <c r="O536" s="9" t="n">
        <v>14.7239263803681</v>
      </c>
    </row>
    <row r="537" hidden="1">
      <c r="A537" s="7" t="n">
        <v>46162</v>
      </c>
      <c r="B537" s="8" t="inlineStr">
        <is>
          <t>Carlos Mateus Cassimiro Nunes</t>
        </is>
      </c>
      <c r="C537" s="9" t="inlineStr">
        <is>
          <t>Técnico II</t>
        </is>
      </c>
      <c r="D537" s="3" t="n">
        <v>27</v>
      </c>
      <c r="E537" s="3" t="n">
        <v>26</v>
      </c>
      <c r="F537" s="3" t="n">
        <v>11.38</v>
      </c>
      <c r="G537" s="3" t="n">
        <v>1</v>
      </c>
      <c r="H537" s="3" t="n">
        <v>0</v>
      </c>
      <c r="I537" s="3">
        <f>E537+G537+H537</f>
        <v/>
      </c>
      <c r="J537" s="9">
        <f>IF(C537="Técnico III","35",IF(C537="Técnico II","28",IF(C537="Técnico I","23",IF(C537="JR","20",IF(C537="Estágio","10")))))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25</v>
      </c>
      <c r="N537" s="9" t="n">
        <v>98.8</v>
      </c>
      <c r="O537" s="9" t="n">
        <v>16.89750692520776</v>
      </c>
    </row>
    <row r="538" hidden="1">
      <c r="A538" s="7" t="n">
        <v>46162</v>
      </c>
      <c r="B538" s="8" t="inlineStr">
        <is>
          <t>Claudio de Sousa Velasco Filho</t>
        </is>
      </c>
      <c r="C538" s="9" t="inlineStr">
        <is>
          <t>Estágio</t>
        </is>
      </c>
      <c r="D538" s="3" t="n">
        <v>11</v>
      </c>
      <c r="E538" s="3" t="n">
        <v>10</v>
      </c>
      <c r="F538" s="3" t="n">
        <v>12.44</v>
      </c>
      <c r="G538" s="3" t="n">
        <v>0</v>
      </c>
      <c r="H538" s="3" t="n">
        <v>0</v>
      </c>
      <c r="I538" s="3">
        <f>E538+G538+H538</f>
        <v/>
      </c>
      <c r="J538" s="9">
        <f>IF(C538="Técnico III","35",IF(C538="Técnico II","28",IF(C538="Técnico I","23",IF(C538="JR","20",IF(C538="Estágio","10")))))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8</v>
      </c>
      <c r="N538" s="9" t="n">
        <v>96.43000000000001</v>
      </c>
      <c r="O538" s="9" t="n">
        <v>20</v>
      </c>
    </row>
    <row r="539" hidden="1">
      <c r="A539" s="7" t="n">
        <v>46162</v>
      </c>
      <c r="B539" s="8" t="inlineStr">
        <is>
          <t>Clessiane Pereira dos Santos</t>
        </is>
      </c>
      <c r="C539" s="9" t="inlineStr">
        <is>
          <t>Técnico I</t>
        </is>
      </c>
      <c r="D539" s="3" t="n">
        <v>23</v>
      </c>
      <c r="E539" s="3" t="n">
        <v>23</v>
      </c>
      <c r="F539" s="3" t="n">
        <v>9.5</v>
      </c>
      <c r="G539" s="3" t="n">
        <v>1</v>
      </c>
      <c r="H539" s="3" t="n">
        <v>0</v>
      </c>
      <c r="I539" s="3">
        <f>E539+G539+H539</f>
        <v/>
      </c>
      <c r="J539" s="9">
        <f>IF(C539="Técnico III","35",IF(C539="Técnico II","28",IF(C539="Técnico I","23",IF(C539="JR","20",IF(C539="Estágio","10")))))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22</v>
      </c>
      <c r="N539" s="9" t="n">
        <v>96.88</v>
      </c>
      <c r="O539" s="9" t="n">
        <v>19.52662721893491</v>
      </c>
    </row>
    <row r="540" hidden="1">
      <c r="A540" s="7" t="n">
        <v>46162</v>
      </c>
      <c r="B540" s="8" t="inlineStr">
        <is>
          <t>Cristiane Ramos da Silva Rocha</t>
        </is>
      </c>
      <c r="C540" s="9" t="inlineStr">
        <is>
          <t>Técnico III</t>
        </is>
      </c>
      <c r="D540" s="3" t="n">
        <v>31</v>
      </c>
      <c r="E540" s="3" t="n">
        <v>26</v>
      </c>
      <c r="F540" s="3" t="n">
        <v>8.4</v>
      </c>
      <c r="G540" s="3" t="n">
        <v>0</v>
      </c>
      <c r="H540" s="3" t="n">
        <v>0</v>
      </c>
      <c r="I540" s="3">
        <f>E540+G540+H540</f>
        <v/>
      </c>
      <c r="J540" s="9">
        <f>IF(C540="Técnico III","35",IF(C540="Técnico II","28",IF(C540="Técnico I","23",IF(C540="JR","20",IF(C540="Estágio","10")))))</f>
        <v/>
      </c>
      <c r="K540" s="3">
        <f>I540-J540</f>
        <v/>
      </c>
      <c r="L540" s="3">
        <f>IF(K540&lt;-5,"CRÍTICO",IF(K540&lt;0,"ATENÇÃO",IF(K540&lt;=5,"OPORTUNO","MUITO BOM")))</f>
        <v/>
      </c>
      <c r="M540" s="9" t="n">
        <v>21</v>
      </c>
      <c r="N540" s="9" t="n">
        <v>91.84999999999999</v>
      </c>
      <c r="O540" s="9" t="n">
        <v>20.87155963302752</v>
      </c>
    </row>
    <row r="541" hidden="1">
      <c r="A541" s="7" t="n">
        <v>46162</v>
      </c>
      <c r="B541" s="8" t="inlineStr">
        <is>
          <t>Damyllis Lorraine de Oliveira Gonçalves</t>
        </is>
      </c>
      <c r="C541" s="9" t="inlineStr">
        <is>
          <t>Técnico II</t>
        </is>
      </c>
      <c r="D541" s="3" t="n">
        <v>0</v>
      </c>
      <c r="E541" s="3" t="n">
        <v>0</v>
      </c>
      <c r="F541" s="3" t="n">
        <v>0</v>
      </c>
      <c r="G541" s="3" t="n">
        <v>0</v>
      </c>
      <c r="H541" s="3" t="n">
        <v>0</v>
      </c>
      <c r="I541" s="3">
        <f>E541+G541+H541</f>
        <v/>
      </c>
      <c r="J541" s="9">
        <f>IF(C541="Técnico III","35",IF(C541="Técnico II","28",IF(C541="Técnico I","23",IF(C541="JR","20",IF(C541="Estágio","10")))))</f>
        <v/>
      </c>
      <c r="K541" s="3">
        <f>I541-J541</f>
        <v/>
      </c>
      <c r="L541" s="3">
        <f>IF(K541&lt;-5,"CRÍTICO",IF(K541&lt;0,"ATENÇÃO",IF(K541&lt;=5,"OPORTUNO","MUITO BOM")))</f>
        <v/>
      </c>
      <c r="M541" s="9" t="n">
        <v>0</v>
      </c>
      <c r="N541" s="9" t="n">
        <v>98.63</v>
      </c>
      <c r="O541" s="9" t="n">
        <v>18.75</v>
      </c>
    </row>
    <row r="542" hidden="1">
      <c r="A542" s="7" t="n">
        <v>46162</v>
      </c>
      <c r="B542" s="8" t="inlineStr">
        <is>
          <t>Daniel Gomes da Silva</t>
        </is>
      </c>
      <c r="C542" s="9" t="inlineStr">
        <is>
          <t>Técnico I</t>
        </is>
      </c>
      <c r="D542" s="3" t="n">
        <v>17</v>
      </c>
      <c r="E542" s="3" t="n">
        <v>14</v>
      </c>
      <c r="F542" s="3" t="n">
        <v>9.58</v>
      </c>
      <c r="G542" s="3" t="n">
        <v>2</v>
      </c>
      <c r="H542" s="3" t="n">
        <v>0</v>
      </c>
      <c r="I542" s="3">
        <f>E542+G542+H542</f>
        <v/>
      </c>
      <c r="J542" s="9">
        <f>IF(C542="Técnico III","35",IF(C542="Técnico II","28",IF(C542="Técnico I","23",IF(C542="JR","20",IF(C542="Estágio","10")))))</f>
        <v/>
      </c>
      <c r="K542" s="3">
        <f>I542-J542</f>
        <v/>
      </c>
      <c r="L542" s="3">
        <f>IF(K542&lt;-5,"CRÍTICO",IF(K542&lt;0,"ATENÇÃO",IF(K542&lt;=5,"OPORTUNO","MUITO BOM")))</f>
        <v/>
      </c>
      <c r="M542" s="9" t="n">
        <v>13</v>
      </c>
      <c r="N542" s="9" t="n">
        <v>100</v>
      </c>
      <c r="O542" s="9" t="n">
        <v>18.14516129032258</v>
      </c>
    </row>
    <row r="543" hidden="1">
      <c r="A543" s="7" t="n">
        <v>46162</v>
      </c>
      <c r="B543" s="8" t="inlineStr">
        <is>
          <t>Davylla Rodrigues Freitas Silva</t>
        </is>
      </c>
      <c r="C543" s="9" t="inlineStr">
        <is>
          <t>Técnico III</t>
        </is>
      </c>
      <c r="D543" s="3" t="n">
        <v>0</v>
      </c>
      <c r="E543" s="3" t="n">
        <v>0</v>
      </c>
      <c r="F543" s="3" t="n">
        <v>0</v>
      </c>
      <c r="G543" s="3" t="n">
        <v>0</v>
      </c>
      <c r="H543" s="3" t="n">
        <v>0</v>
      </c>
      <c r="I543" s="3">
        <f>E543+G543+H543</f>
        <v/>
      </c>
      <c r="J543" s="9">
        <f>IF(C543="Técnico III","35",IF(C543="Técnico II","28",IF(C543="Técnico I","23",IF(C543="JR","20",IF(C543="Estágio","10")))))</f>
        <v/>
      </c>
      <c r="K543" s="3">
        <f>I543-J543</f>
        <v/>
      </c>
      <c r="L543" s="3">
        <f>IF(K543&lt;-5,"CRÍTICO",IF(K543&lt;0,"ATENÇÃO",IF(K543&lt;=5,"OPORTUNO","MUITO BOM")))</f>
        <v/>
      </c>
      <c r="M543" s="9" t="n">
        <v>0</v>
      </c>
      <c r="N543" s="9" t="n">
        <v>99.06</v>
      </c>
      <c r="O543" s="9" t="n">
        <v>22.95719844357977</v>
      </c>
    </row>
    <row r="544" hidden="1">
      <c r="A544" s="7" t="n">
        <v>46162</v>
      </c>
      <c r="B544" s="8" t="inlineStr">
        <is>
          <t>Emilly Caylane Costa</t>
        </is>
      </c>
      <c r="C544" s="9" t="inlineStr">
        <is>
          <t>Estágio</t>
        </is>
      </c>
      <c r="D544" s="3" t="n">
        <v>10</v>
      </c>
      <c r="E544" s="3" t="n">
        <v>4</v>
      </c>
      <c r="F544" s="3" t="n">
        <v>2.02</v>
      </c>
      <c r="G544" s="3" t="n">
        <v>0</v>
      </c>
      <c r="H544" s="3" t="n">
        <v>0</v>
      </c>
      <c r="I544" s="3">
        <f>E544+G544+H544</f>
        <v/>
      </c>
      <c r="J544" s="9">
        <f>IF(C544="Técnico III","35",IF(C544="Técnico II","28",IF(C544="Técnico I","23",IF(C544="JR","20",IF(C544="Estágio","10")))))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0</v>
      </c>
      <c r="N544" s="9" t="n">
        <v>100</v>
      </c>
      <c r="O544" s="9" t="n">
        <v>29.03225806451613</v>
      </c>
    </row>
    <row r="545" hidden="1">
      <c r="A545" s="7" t="n">
        <v>46162</v>
      </c>
      <c r="B545" s="8" t="inlineStr">
        <is>
          <t>Emilly Kamilly Medeiros Miranda</t>
        </is>
      </c>
      <c r="C545" s="9" t="inlineStr">
        <is>
          <t>Técnico II</t>
        </is>
      </c>
      <c r="D545" s="3" t="n">
        <v>30</v>
      </c>
      <c r="E545" s="3" t="n">
        <v>28</v>
      </c>
      <c r="F545" s="3" t="n">
        <v>6.26</v>
      </c>
      <c r="G545" s="3" t="n">
        <v>2</v>
      </c>
      <c r="H545" s="3" t="n">
        <v>0</v>
      </c>
      <c r="I545" s="3">
        <f>E545+G545+H545</f>
        <v/>
      </c>
      <c r="J545" s="9">
        <f>IF(C545="Técnico III","35",IF(C545="Técnico II","28",IF(C545="Técnico I","23",IF(C545="JR","20",IF(C545="Estágio","10")))))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28</v>
      </c>
      <c r="N545" s="9" t="n">
        <v>100</v>
      </c>
      <c r="O545" s="9" t="n">
        <v>13.8121546961326</v>
      </c>
    </row>
    <row r="546" hidden="1">
      <c r="A546" s="7" t="n">
        <v>46162</v>
      </c>
      <c r="B546" s="8" t="inlineStr">
        <is>
          <t>Francielson de Oliveira</t>
        </is>
      </c>
      <c r="C546" s="9" t="inlineStr">
        <is>
          <t>Técnico III</t>
        </is>
      </c>
      <c r="D546" s="3" t="n">
        <v>0</v>
      </c>
      <c r="E546" s="3" t="n">
        <v>0</v>
      </c>
      <c r="F546" s="3" t="n">
        <v>0</v>
      </c>
      <c r="G546" s="3" t="n">
        <v>0</v>
      </c>
      <c r="H546" s="3" t="n">
        <v>0</v>
      </c>
      <c r="I546" s="3">
        <f>E546+G546+H546</f>
        <v/>
      </c>
      <c r="J546" s="9">
        <f>IF(C546="Técnico III","35",IF(C546="Técnico II","28",IF(C546="Técnico I","23",IF(C546="JR","20",IF(C546="Estágio","10")))))</f>
        <v/>
      </c>
      <c r="K546" s="3">
        <f>I546-J546</f>
        <v/>
      </c>
      <c r="L546" s="3">
        <f>IF(K546&lt;-5,"CRÍTICO",IF(K546&lt;0,"ATENÇÃO",IF(K546&lt;=5,"OPORTUNO","MUITO BOM")))</f>
        <v/>
      </c>
      <c r="M546" s="9" t="n">
        <v>0</v>
      </c>
      <c r="N546" s="9" t="n">
        <v>100</v>
      </c>
      <c r="O546" s="9" t="n">
        <v>9.523809523809524</v>
      </c>
    </row>
    <row r="547" hidden="1">
      <c r="A547" s="7" t="n">
        <v>46162</v>
      </c>
      <c r="B547" s="8" t="inlineStr">
        <is>
          <t>Francilene Ferreira de Jesus</t>
        </is>
      </c>
      <c r="C547" s="9" t="inlineStr">
        <is>
          <t>Técnico II</t>
        </is>
      </c>
      <c r="D547" s="3" t="n">
        <v>0</v>
      </c>
      <c r="E547" s="3" t="n">
        <v>0</v>
      </c>
      <c r="F547" s="3" t="n">
        <v>0</v>
      </c>
      <c r="G547" s="3" t="n">
        <v>0</v>
      </c>
      <c r="H547" s="3" t="n">
        <v>0</v>
      </c>
      <c r="I547" s="3">
        <f>E547+G547+H547</f>
        <v/>
      </c>
      <c r="J547" s="9">
        <f>IF(C547="Técnico III","35",IF(C547="Técnico II","28",IF(C547="Técnico I","23",IF(C547="JR","20",IF(C547="Estágio","10")))))</f>
        <v/>
      </c>
      <c r="K547" s="3">
        <f>I547-J547</f>
        <v/>
      </c>
      <c r="L547" s="3">
        <f>IF(K547&lt;-5,"CRÍTICO",IF(K547&lt;0,"ATENÇÃO",IF(K547&lt;=5,"OPORTUNO","MUITO BOM")))</f>
        <v/>
      </c>
      <c r="M547" s="9" t="n">
        <v>0</v>
      </c>
      <c r="N547" s="9" t="n">
        <v>100</v>
      </c>
      <c r="O547" s="9" t="n">
        <v>17.24137931034483</v>
      </c>
    </row>
    <row r="548" hidden="1">
      <c r="A548" s="7" t="n">
        <v>46162</v>
      </c>
      <c r="B548" s="8" t="inlineStr">
        <is>
          <t>Gabriel Alves</t>
        </is>
      </c>
      <c r="C548" s="9" t="inlineStr">
        <is>
          <t>Estágio</t>
        </is>
      </c>
      <c r="D548" s="3" t="n">
        <v>7</v>
      </c>
      <c r="E548" s="3" t="n">
        <v>7</v>
      </c>
      <c r="F548" s="3" t="n">
        <v>22.26</v>
      </c>
      <c r="G548" s="3" t="n">
        <v>0</v>
      </c>
      <c r="H548" s="3" t="n">
        <v>0</v>
      </c>
      <c r="I548" s="3">
        <f>E548+G548+H548</f>
        <v/>
      </c>
      <c r="J548" s="9">
        <f>IF(C548="Técnico III","35",IF(C548="Técnico II","28",IF(C548="Técnico I","23",IF(C548="JR","20",IF(C548="Estágio","10")))))</f>
        <v/>
      </c>
      <c r="K548" s="3">
        <f>I548-J548</f>
        <v/>
      </c>
      <c r="L548" s="3">
        <f>IF(K548&lt;-5,"CRÍTICO",IF(K548&lt;0,"ATENÇÃO",IF(K548&lt;=5,"OPORTUNO","MUITO BOM")))</f>
        <v/>
      </c>
      <c r="M548" s="9" t="n">
        <v>6</v>
      </c>
      <c r="N548" s="9" t="n">
        <v>100</v>
      </c>
      <c r="O548" s="9" t="n">
        <v>14.28571428571428</v>
      </c>
    </row>
    <row r="549" hidden="1">
      <c r="A549" s="7" t="n">
        <v>46162</v>
      </c>
      <c r="B549" s="8" t="inlineStr">
        <is>
          <t>Gabriel Gomes de Andrade</t>
        </is>
      </c>
      <c r="C549" s="9" t="inlineStr">
        <is>
          <t>Técnico I</t>
        </is>
      </c>
      <c r="D549" s="3" t="n">
        <v>26</v>
      </c>
      <c r="E549" s="3" t="n">
        <v>20</v>
      </c>
      <c r="F549" s="3" t="n">
        <v>9.09</v>
      </c>
      <c r="G549" s="3" t="n">
        <v>5</v>
      </c>
      <c r="H549" s="3" t="n">
        <v>2</v>
      </c>
      <c r="I549" s="3">
        <f>E549+G549+H549</f>
        <v/>
      </c>
      <c r="J549" s="9">
        <f>IF(C549="Técnico III","35",IF(C549="Técnico II","28",IF(C549="Técnico I","23",IF(C549="JR","20",IF(C549="Estágio","10")))))</f>
        <v/>
      </c>
      <c r="K549" s="3">
        <f>I549-J549</f>
        <v/>
      </c>
      <c r="L549" s="3">
        <f>IF(K549&lt;-5,"CRÍTICO",IF(K549&lt;0,"ATENÇÃO",IF(K549&lt;=5,"OPORTUNO","MUITO BOM")))</f>
        <v/>
      </c>
      <c r="M549" s="9" t="n">
        <v>21</v>
      </c>
      <c r="N549" s="9" t="n">
        <v>98.8</v>
      </c>
      <c r="O549" s="9" t="n">
        <v>15.41353383458646</v>
      </c>
    </row>
    <row r="550" hidden="1">
      <c r="A550" s="7" t="n">
        <v>46162</v>
      </c>
      <c r="B550" s="8" t="inlineStr">
        <is>
          <t>Isabella Borges de Oliveira</t>
        </is>
      </c>
      <c r="C550" s="9" t="inlineStr">
        <is>
          <t>Técnico II</t>
        </is>
      </c>
      <c r="D550" s="3" t="n">
        <v>24</v>
      </c>
      <c r="E550" s="3" t="n">
        <v>24</v>
      </c>
      <c r="F550" s="3" t="n">
        <v>14.32</v>
      </c>
      <c r="G550" s="3" t="n">
        <v>1</v>
      </c>
      <c r="H550" s="3" t="n">
        <v>0</v>
      </c>
      <c r="I550" s="3">
        <f>E550+G550+H550</f>
        <v/>
      </c>
      <c r="J550" s="9">
        <f>IF(C550="Técnico III","35",IF(C550="Técnico II","28",IF(C550="Técnico I","23",IF(C550="JR","20",IF(C550="Estágio","10")))))</f>
        <v/>
      </c>
      <c r="K550" s="3">
        <f>I550-J550</f>
        <v/>
      </c>
      <c r="L550" s="3">
        <f>IF(K550&lt;-5,"CRÍTICO",IF(K550&lt;0,"ATENÇÃO",IF(K550&lt;=5,"OPORTUNO","MUITO BOM")))</f>
        <v/>
      </c>
      <c r="M550" s="9" t="n">
        <v>22</v>
      </c>
      <c r="N550" s="9" t="n">
        <v>98.63</v>
      </c>
      <c r="O550" s="9" t="n">
        <v>15.75757575757576</v>
      </c>
    </row>
    <row r="551" hidden="1">
      <c r="A551" s="7" t="n">
        <v>46162</v>
      </c>
      <c r="B551" s="8" t="inlineStr">
        <is>
          <t>Janaina Lima dos Reis Urany</t>
        </is>
      </c>
      <c r="C551" s="9" t="inlineStr">
        <is>
          <t>Técnico III</t>
        </is>
      </c>
      <c r="D551" s="3" t="n">
        <v>38</v>
      </c>
      <c r="E551" s="3" t="n">
        <v>35</v>
      </c>
      <c r="F551" s="3" t="n">
        <v>8.050000000000001</v>
      </c>
      <c r="G551" s="3" t="n">
        <v>3</v>
      </c>
      <c r="H551" s="3" t="n">
        <v>0</v>
      </c>
      <c r="I551" s="3">
        <f>E551+G551+H551</f>
        <v/>
      </c>
      <c r="J551" s="9">
        <f>IF(C551="Técnico III","35",IF(C551="Técnico II","28",IF(C551="Técnico I","23",IF(C551="JR","20",IF(C551="Estágio","10")))))</f>
        <v/>
      </c>
      <c r="K551" s="3">
        <f>I551-J551</f>
        <v/>
      </c>
      <c r="L551" s="3">
        <f>IF(K551&lt;-5,"CRÍTICO",IF(K551&lt;0,"ATENÇÃO",IF(K551&lt;=5,"OPORTUNO","MUITO BOM")))</f>
        <v/>
      </c>
      <c r="M551" s="9" t="n">
        <v>34</v>
      </c>
      <c r="N551" s="9" t="n">
        <v>98.64</v>
      </c>
      <c r="O551" s="9" t="n">
        <v>16.6383701188455</v>
      </c>
    </row>
    <row r="552" hidden="1">
      <c r="A552" s="7" t="n">
        <v>46162</v>
      </c>
      <c r="B552" s="8" t="inlineStr">
        <is>
          <t>Jaqueline Evangelista da Silva Martins</t>
        </is>
      </c>
      <c r="C552" s="9" t="inlineStr">
        <is>
          <t>Técnico III</t>
        </is>
      </c>
      <c r="D552" s="3" t="n">
        <v>24</v>
      </c>
      <c r="E552" s="3" t="n">
        <v>21</v>
      </c>
      <c r="F552" s="3" t="n">
        <v>9.529999999999999</v>
      </c>
      <c r="G552" s="3" t="n">
        <v>2</v>
      </c>
      <c r="H552" s="3" t="n">
        <v>0</v>
      </c>
      <c r="I552" s="3">
        <f>E552+G552+H552</f>
        <v/>
      </c>
      <c r="J552" s="9">
        <f>IF(C552="Técnico III","35",IF(C552="Técnico II","28",IF(C552="Técnico I","23",IF(C552="JR","20",IF(C552="Estágio","10")))))</f>
        <v/>
      </c>
      <c r="K552" s="3">
        <f>I552-J552</f>
        <v/>
      </c>
      <c r="L552" s="3">
        <f>IF(K552&lt;-5,"CRÍTICO",IF(K552&lt;0,"ATENÇÃO",IF(K552&lt;=5,"OPORTUNO","MUITO BOM")))</f>
        <v/>
      </c>
      <c r="M552" s="9" t="n">
        <v>19</v>
      </c>
      <c r="N552" s="9" t="n">
        <v>95.40000000000001</v>
      </c>
      <c r="O552" s="9" t="n">
        <v>20.53333333333333</v>
      </c>
    </row>
    <row r="553" hidden="1">
      <c r="A553" s="7" t="n">
        <v>46162</v>
      </c>
      <c r="B553" s="8" t="inlineStr">
        <is>
          <t>Jessica Faria da Silveira</t>
        </is>
      </c>
      <c r="C553" s="9" t="inlineStr">
        <is>
          <t>Técnico II</t>
        </is>
      </c>
      <c r="D553" s="3" t="n">
        <v>32</v>
      </c>
      <c r="E553" s="3" t="n">
        <v>26</v>
      </c>
      <c r="F553" s="3" t="n">
        <v>8.51</v>
      </c>
      <c r="G553" s="3" t="n">
        <v>0</v>
      </c>
      <c r="H553" s="3" t="n">
        <v>0</v>
      </c>
      <c r="I553" s="3">
        <f>E553+G553+H553</f>
        <v/>
      </c>
      <c r="J553" s="9">
        <f>IF(C553="Técnico III","35",IF(C553="Técnico II","28",IF(C553="Técnico I","23",IF(C553="JR","20",IF(C553="Estágio","10")))))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23</v>
      </c>
      <c r="N553" s="9" t="n">
        <v>98.61</v>
      </c>
      <c r="O553" s="9" t="n">
        <v>16.97530864197531</v>
      </c>
    </row>
    <row r="554" hidden="1">
      <c r="A554" s="7" t="n">
        <v>46162</v>
      </c>
      <c r="B554" s="8" t="inlineStr">
        <is>
          <t>Jéssica Fé Moura</t>
        </is>
      </c>
      <c r="C554" s="9" t="inlineStr">
        <is>
          <t>Técnico III</t>
        </is>
      </c>
      <c r="D554" s="3" t="n">
        <v>0</v>
      </c>
      <c r="E554" s="3" t="n">
        <v>0</v>
      </c>
      <c r="F554" s="3" t="n">
        <v>0</v>
      </c>
      <c r="G554" s="3" t="n">
        <v>0</v>
      </c>
      <c r="H554" s="3" t="n">
        <v>0</v>
      </c>
      <c r="I554" s="3">
        <f>E554+G554+H554</f>
        <v/>
      </c>
      <c r="J554" s="9">
        <f>IF(C554="Técnico III","35",IF(C554="Técnico II","28",IF(C554="Técnico I","23",IF(C554="JR","20",IF(C554="Estágio","10")))))</f>
        <v/>
      </c>
      <c r="K554" s="3">
        <f>I554-J554</f>
        <v/>
      </c>
      <c r="L554" s="3">
        <f>IF(K554&lt;-5,"CRÍTICO",IF(K554&lt;0,"ATENÇÃO",IF(K554&lt;=5,"OPORTUNO","MUITO BOM")))</f>
        <v/>
      </c>
      <c r="M554" s="9" t="n">
        <v>0</v>
      </c>
      <c r="N554" s="9" t="n">
        <v>0</v>
      </c>
      <c r="O554" s="9" t="n">
        <v>0</v>
      </c>
    </row>
    <row r="555" hidden="1">
      <c r="A555" s="7" t="n">
        <v>46162</v>
      </c>
      <c r="B555" s="8" t="inlineStr">
        <is>
          <t>Karina Gonçalves Martins</t>
        </is>
      </c>
      <c r="C555" s="9" t="inlineStr">
        <is>
          <t>JR</t>
        </is>
      </c>
      <c r="D555" s="3" t="n">
        <v>21</v>
      </c>
      <c r="E555" s="3" t="n">
        <v>20</v>
      </c>
      <c r="F555" s="3" t="n">
        <v>14.07</v>
      </c>
      <c r="G555" s="3" t="n">
        <v>0</v>
      </c>
      <c r="H555" s="3" t="n">
        <v>0</v>
      </c>
      <c r="I555" s="3">
        <f>E555+G555+H555</f>
        <v/>
      </c>
      <c r="J555" s="9">
        <f>IF(C555="Técnico III","35",IF(C555="Técnico II","28",IF(C555="Técnico I","23",IF(C555="JR","20",IF(C555="Estágio","10")))))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20</v>
      </c>
      <c r="N555" s="9" t="n">
        <v>97.01000000000001</v>
      </c>
      <c r="O555" s="9" t="n">
        <v>13.96103896103896</v>
      </c>
    </row>
    <row r="556" hidden="1">
      <c r="A556" s="7" t="n">
        <v>46162</v>
      </c>
      <c r="B556" s="8" t="inlineStr">
        <is>
          <t>Kerollen Cristielly de Jesus Siqueira</t>
        </is>
      </c>
      <c r="C556" s="9" t="inlineStr">
        <is>
          <t>Técnico III</t>
        </is>
      </c>
      <c r="D556" s="3" t="n">
        <v>17</v>
      </c>
      <c r="E556" s="3" t="n">
        <v>16</v>
      </c>
      <c r="F556" s="3" t="n">
        <v>14.11</v>
      </c>
      <c r="G556" s="3" t="n">
        <v>1</v>
      </c>
      <c r="H556" s="3" t="n">
        <v>0</v>
      </c>
      <c r="I556" s="3">
        <f>E556+G556+H556</f>
        <v/>
      </c>
      <c r="J556" s="9">
        <f>IF(C556="Técnico III","35",IF(C556="Técnico II","28",IF(C556="Técnico I","23",IF(C556="JR","20",IF(C556="Estágio","10")))))</f>
        <v/>
      </c>
      <c r="K556" s="3">
        <f>I556-J556</f>
        <v/>
      </c>
      <c r="L556" s="3">
        <f>IF(K556&lt;-5,"CRÍTICO",IF(K556&lt;0,"ATENÇÃO",IF(K556&lt;=5,"OPORTUNO","MUITO BOM")))</f>
        <v/>
      </c>
      <c r="M556" s="9" t="n">
        <v>18</v>
      </c>
      <c r="N556" s="9" t="n">
        <v>95.52</v>
      </c>
      <c r="O556" s="9" t="n">
        <v>10.56105610561056</v>
      </c>
    </row>
    <row r="557" hidden="1">
      <c r="A557" s="7" t="n">
        <v>46162</v>
      </c>
      <c r="B557" s="8" t="inlineStr">
        <is>
          <t>Leandro de Souza Silva</t>
        </is>
      </c>
      <c r="C557" s="9" t="inlineStr">
        <is>
          <t>JR</t>
        </is>
      </c>
      <c r="D557" s="3" t="n">
        <v>11</v>
      </c>
      <c r="E557" s="3" t="n">
        <v>10</v>
      </c>
      <c r="F557" s="3" t="n">
        <v>17.02</v>
      </c>
      <c r="G557" s="3" t="n">
        <v>2</v>
      </c>
      <c r="H557" s="3" t="n">
        <v>0</v>
      </c>
      <c r="I557" s="3">
        <f>E557+G557+H557</f>
        <v/>
      </c>
      <c r="J557" s="9">
        <f>IF(C557="Técnico III","35",IF(C557="Técnico II","28",IF(C557="Técnico I","23",IF(C557="JR","20",IF(C557="Estágio","10")))))</f>
        <v/>
      </c>
      <c r="K557" s="3">
        <f>I557-J557</f>
        <v/>
      </c>
      <c r="L557" s="3">
        <f>IF(K557&lt;-5,"CRÍTICO",IF(K557&lt;0,"ATENÇÃO",IF(K557&lt;=5,"OPORTUNO","MUITO BOM")))</f>
        <v/>
      </c>
      <c r="M557" s="9" t="n">
        <v>12</v>
      </c>
      <c r="N557" s="9" t="n">
        <v>100</v>
      </c>
      <c r="O557" s="9" t="n">
        <v>16.95906432748538</v>
      </c>
    </row>
    <row r="558" hidden="1">
      <c r="A558" s="7" t="n">
        <v>46162</v>
      </c>
      <c r="B558" s="8" t="inlineStr">
        <is>
          <t>Leandro Oliveira de Sousa</t>
        </is>
      </c>
      <c r="C558" s="9" t="inlineStr">
        <is>
          <t>Técnico III</t>
        </is>
      </c>
      <c r="D558" s="3" t="n">
        <v>34</v>
      </c>
      <c r="E558" s="3" t="n">
        <v>29</v>
      </c>
      <c r="F558" s="3" t="n">
        <v>7.53</v>
      </c>
      <c r="G558" s="3" t="n">
        <v>0</v>
      </c>
      <c r="H558" s="3" t="n">
        <v>0</v>
      </c>
      <c r="I558" s="3">
        <f>E558+G558+H558</f>
        <v/>
      </c>
      <c r="J558" s="9">
        <f>IF(C558="Técnico III","35",IF(C558="Técnico II","28",IF(C558="Técnico I","23",IF(C558="JR","20",IF(C558="Estágio","10")))))</f>
        <v/>
      </c>
      <c r="K558" s="3">
        <f>I558-J558</f>
        <v/>
      </c>
      <c r="L558" s="3">
        <f>IF(K558&lt;-5,"CRÍTICO",IF(K558&lt;0,"ATENÇÃO",IF(K558&lt;=5,"OPORTUNO","MUITO BOM")))</f>
        <v/>
      </c>
      <c r="M558" s="9" t="n">
        <v>28</v>
      </c>
      <c r="N558" s="9" t="n">
        <v>100</v>
      </c>
      <c r="O558" s="9" t="n">
        <v>15.58441558441558</v>
      </c>
    </row>
    <row r="559" hidden="1">
      <c r="A559" s="7" t="n">
        <v>46162</v>
      </c>
      <c r="B559" s="8" t="inlineStr">
        <is>
          <t>Lizandra Gomes Duarte</t>
        </is>
      </c>
      <c r="C559" s="9" t="inlineStr">
        <is>
          <t>Técnico II</t>
        </is>
      </c>
      <c r="D559" s="3" t="n">
        <v>25</v>
      </c>
      <c r="E559" s="3" t="n">
        <v>23</v>
      </c>
      <c r="F559" s="3" t="n">
        <v>12.02</v>
      </c>
      <c r="G559" s="3" t="n">
        <v>2</v>
      </c>
      <c r="H559" s="3" t="n">
        <v>0</v>
      </c>
      <c r="I559" s="3">
        <f>E559+G559+H559</f>
        <v/>
      </c>
      <c r="J559" s="9">
        <f>IF(C559="Técnico III","35",IF(C559="Técnico II","28",IF(C559="Técnico I","23",IF(C559="JR","20",IF(C559="Estágio","10")))))</f>
        <v/>
      </c>
      <c r="K559" s="3">
        <f>I559-J559</f>
        <v/>
      </c>
      <c r="L559" s="3">
        <f>IF(K559&lt;-5,"CRÍTICO",IF(K559&lt;0,"ATENÇÃO",IF(K559&lt;=5,"OPORTUNO","MUITO BOM")))</f>
        <v/>
      </c>
      <c r="M559" s="9" t="n">
        <v>19</v>
      </c>
      <c r="N559" s="9" t="n">
        <v>98.61</v>
      </c>
      <c r="O559" s="9" t="n">
        <v>16.86746987951807</v>
      </c>
    </row>
    <row r="560" hidden="1">
      <c r="A560" s="7" t="n">
        <v>46162</v>
      </c>
      <c r="B560" s="8" t="inlineStr">
        <is>
          <t>Lorena Dias de Araujo</t>
        </is>
      </c>
      <c r="C560" s="9" t="inlineStr">
        <is>
          <t>Técnico II</t>
        </is>
      </c>
      <c r="D560" s="3" t="n">
        <v>16</v>
      </c>
      <c r="E560" s="3" t="n">
        <v>13</v>
      </c>
      <c r="F560" s="3" t="n">
        <v>15.44</v>
      </c>
      <c r="G560" s="3" t="n">
        <v>0</v>
      </c>
      <c r="H560" s="3" t="n">
        <v>0</v>
      </c>
      <c r="I560" s="3">
        <f>E560+G560+H560</f>
        <v/>
      </c>
      <c r="J560" s="9">
        <f>IF(C560="Técnico III","35",IF(C560="Técnico II","28",IF(C560="Técnico I","23",IF(C560="JR","20",IF(C560="Estágio","10")))))</f>
        <v/>
      </c>
      <c r="K560" s="3">
        <f>I560-J560</f>
        <v/>
      </c>
      <c r="L560" s="3">
        <f>IF(K560&lt;-5,"CRÍTICO",IF(K560&lt;0,"ATENÇÃO",IF(K560&lt;=5,"OPORTUNO","MUITO BOM")))</f>
        <v/>
      </c>
      <c r="M560" s="9" t="n">
        <v>8</v>
      </c>
      <c r="N560" s="9" t="n">
        <v>100</v>
      </c>
      <c r="O560" s="9" t="n">
        <v>20.82018927444795</v>
      </c>
    </row>
    <row r="561" hidden="1">
      <c r="A561" s="7" t="n">
        <v>46162</v>
      </c>
      <c r="B561" s="8" t="inlineStr">
        <is>
          <t>Lucas Luiz Romero</t>
        </is>
      </c>
      <c r="C561" s="9" t="inlineStr">
        <is>
          <t>Técnico III</t>
        </is>
      </c>
      <c r="D561" s="3" t="n">
        <v>26</v>
      </c>
      <c r="E561" s="3" t="n">
        <v>21</v>
      </c>
      <c r="F561" s="3" t="n">
        <v>9.25</v>
      </c>
      <c r="G561" s="3" t="n">
        <v>0</v>
      </c>
      <c r="H561" s="3" t="n">
        <v>0</v>
      </c>
      <c r="I561" s="3">
        <f>E561+G561+H561</f>
        <v/>
      </c>
      <c r="J561" s="9">
        <f>IF(C561="Técnico III","35",IF(C561="Técnico II","28",IF(C561="Técnico I","23",IF(C561="JR","20",IF(C561="Estágio","10")))))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18</v>
      </c>
      <c r="N561" s="9" t="n">
        <v>100</v>
      </c>
      <c r="O561" s="9" t="n">
        <v>4.347826086956522</v>
      </c>
    </row>
    <row r="562" hidden="1">
      <c r="A562" s="7" t="n">
        <v>46162</v>
      </c>
      <c r="B562" s="8" t="inlineStr">
        <is>
          <t>Luiz Fernando de Carvalho Junior</t>
        </is>
      </c>
      <c r="C562" s="9" t="inlineStr">
        <is>
          <t>Técnico I</t>
        </is>
      </c>
      <c r="D562" s="3" t="n">
        <v>18</v>
      </c>
      <c r="E562" s="3" t="n">
        <v>17</v>
      </c>
      <c r="F562" s="3" t="n">
        <v>9.33</v>
      </c>
      <c r="G562" s="3" t="n">
        <v>1</v>
      </c>
      <c r="H562" s="3" t="n">
        <v>0</v>
      </c>
      <c r="I562" s="3">
        <f>E562+G562+H562</f>
        <v/>
      </c>
      <c r="J562" s="9">
        <f>IF(C562="Técnico III","35",IF(C562="Técnico II","28",IF(C562="Técnico I","23",IF(C562="JR","20",IF(C562="Estágio","10")))))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16</v>
      </c>
      <c r="N562" s="9" t="n">
        <v>93.26000000000001</v>
      </c>
      <c r="O562" s="9" t="n">
        <v>19.93957703927493</v>
      </c>
    </row>
    <row r="563" hidden="1">
      <c r="A563" s="7" t="n">
        <v>46162</v>
      </c>
      <c r="B563" s="8" t="inlineStr">
        <is>
          <t>Maria Eduarda Sousa Costa</t>
        </is>
      </c>
      <c r="C563" s="9" t="inlineStr">
        <is>
          <t>Estágio</t>
        </is>
      </c>
      <c r="D563" s="3" t="n">
        <v>15</v>
      </c>
      <c r="E563" s="3" t="n">
        <v>10</v>
      </c>
      <c r="F563" s="3" t="n">
        <v>6.49</v>
      </c>
      <c r="G563" s="3" t="n">
        <v>0</v>
      </c>
      <c r="H563" s="3" t="n">
        <v>0</v>
      </c>
      <c r="I563" s="3">
        <f>E563+G563+H563</f>
        <v/>
      </c>
      <c r="J563" s="9">
        <f>IF(C563="Técnico III","35",IF(C563="Técnico II","28",IF(C563="Técnico I","23",IF(C563="JR","20",IF(C563="Estágio","10")))))</f>
        <v/>
      </c>
      <c r="K563" s="3">
        <f>I563-J563</f>
        <v/>
      </c>
      <c r="L563" s="3">
        <f>IF(K563&lt;-5,"CRÍTICO",IF(K563&lt;0,"ATENÇÃO",IF(K563&lt;=5,"OPORTUNO","MUITO BOM")))</f>
        <v/>
      </c>
      <c r="M563" s="9" t="n">
        <v>5</v>
      </c>
      <c r="N563" s="9" t="n">
        <v>100</v>
      </c>
      <c r="O563" s="9" t="n">
        <v>11.86440677966102</v>
      </c>
    </row>
    <row r="564" hidden="1">
      <c r="A564" s="7" t="n">
        <v>46162</v>
      </c>
      <c r="B564" s="8" t="inlineStr">
        <is>
          <t>Matheus Farias De Souza</t>
        </is>
      </c>
      <c r="C564" s="9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25</v>
      </c>
      <c r="I564" s="3">
        <f>E564+G564+H564</f>
        <v/>
      </c>
      <c r="J564" s="9">
        <f>IF(C564="Técnico III","35",IF(C564="Técnico II","28",IF(C564="Técnico I","23",IF(C564="JR","20",IF(C564="Estágio","10")))))</f>
        <v/>
      </c>
      <c r="K564" s="3">
        <f>I564-J564</f>
        <v/>
      </c>
      <c r="L564" s="3">
        <f>IF(K564&lt;-5,"CRÍTICO",IF(K564&lt;0,"ATENÇÃO",IF(K564&lt;=5,"OPORTUNO","MUITO BOM")))</f>
        <v/>
      </c>
      <c r="M564" s="9" t="n">
        <v>16</v>
      </c>
      <c r="N564" s="9" t="n">
        <v>98.28</v>
      </c>
      <c r="O564" s="9" t="n">
        <v>9.037900874635568</v>
      </c>
    </row>
    <row r="565" hidden="1">
      <c r="A565" s="7" t="n">
        <v>46162</v>
      </c>
      <c r="B565" s="8" t="inlineStr">
        <is>
          <t>Maysa Victoria Dias Moura</t>
        </is>
      </c>
      <c r="C565" s="9" t="inlineStr">
        <is>
          <t>Técnico III</t>
        </is>
      </c>
      <c r="D565" s="3" t="n">
        <v>27</v>
      </c>
      <c r="E565" s="3" t="n">
        <v>25</v>
      </c>
      <c r="F565" s="3" t="n">
        <v>9.01</v>
      </c>
      <c r="G565" s="3" t="n">
        <v>2</v>
      </c>
      <c r="H565" s="3" t="n">
        <v>0</v>
      </c>
      <c r="I565" s="3">
        <f>E565+G565+H565</f>
        <v/>
      </c>
      <c r="J565" s="9">
        <f>IF(C565="Técnico III","35",IF(C565="Técnico II","28",IF(C565="Técnico I","23",IF(C565="JR","20",IF(C565="Estágio","10")))))</f>
        <v/>
      </c>
      <c r="K565" s="3">
        <f>I565-J565</f>
        <v/>
      </c>
      <c r="L565" s="3">
        <f>IF(K565&lt;-5,"CRÍTICO",IF(K565&lt;0,"ATENÇÃO",IF(K565&lt;=5,"OPORTUNO","MUITO BOM")))</f>
        <v/>
      </c>
      <c r="M565" s="9" t="n">
        <v>23</v>
      </c>
      <c r="N565" s="9" t="n">
        <v>97.22</v>
      </c>
      <c r="O565" s="9" t="n">
        <v>19.09547738693467</v>
      </c>
    </row>
    <row r="566" hidden="1">
      <c r="A566" s="7" t="n">
        <v>46162</v>
      </c>
      <c r="B566" s="8" t="inlineStr">
        <is>
          <t>Michelle G Santos</t>
        </is>
      </c>
      <c r="C566" s="9" t="inlineStr">
        <is>
          <t>Estágio</t>
        </is>
      </c>
      <c r="D566" s="3" t="n">
        <v>19</v>
      </c>
      <c r="E566" s="3" t="n">
        <v>17</v>
      </c>
      <c r="F566" s="3" t="n">
        <v>13.23</v>
      </c>
      <c r="G566" s="3" t="n">
        <v>0</v>
      </c>
      <c r="H566" s="3" t="n">
        <v>0</v>
      </c>
      <c r="I566" s="3">
        <f>E566+G566+H566</f>
        <v/>
      </c>
      <c r="J566" s="9">
        <f>IF(C566="Técnico III","35",IF(C566="Técnico II","28",IF(C566="Técnico I","23",IF(C566="JR","20",IF(C566="Estágio","10")))))</f>
        <v/>
      </c>
      <c r="K566" s="3">
        <f>I566-J566</f>
        <v/>
      </c>
      <c r="L566" s="3">
        <f>IF(K566&lt;-5,"CRÍTICO",IF(K566&lt;0,"ATENÇÃO",IF(K566&lt;=5,"OPORTUNO","MUITO BOM")))</f>
        <v/>
      </c>
      <c r="M566" s="9" t="n">
        <v>14</v>
      </c>
      <c r="N566" s="9" t="n">
        <v>100</v>
      </c>
      <c r="O566" s="9" t="n">
        <v>16.8141592920354</v>
      </c>
    </row>
    <row r="567" hidden="1">
      <c r="A567" s="7" t="n">
        <v>46162</v>
      </c>
      <c r="B567" s="8" t="inlineStr">
        <is>
          <t>Milena Sales</t>
        </is>
      </c>
      <c r="C567" s="9" t="inlineStr">
        <is>
          <t>JR</t>
        </is>
      </c>
      <c r="D567" s="3" t="n">
        <v>25</v>
      </c>
      <c r="E567" s="3" t="n">
        <v>20</v>
      </c>
      <c r="F567" s="3" t="n">
        <v>9.380000000000001</v>
      </c>
      <c r="G567" s="3" t="n">
        <v>1</v>
      </c>
      <c r="H567" s="3" t="n">
        <v>0</v>
      </c>
      <c r="I567" s="3">
        <f>E567+G567+H567</f>
        <v/>
      </c>
      <c r="J567" s="9">
        <f>IF(C567="Técnico III","35",IF(C567="Técnico II","28",IF(C567="Técnico I","23",IF(C567="JR","20",IF(C567="Estágio","10")))))</f>
        <v/>
      </c>
      <c r="K567" s="3">
        <f>I567-J567</f>
        <v/>
      </c>
      <c r="L567" s="3">
        <f>IF(K567&lt;-5,"CRÍTICO",IF(K567&lt;0,"ATENÇÃO",IF(K567&lt;=5,"OPORTUNO","MUITO BOM")))</f>
        <v/>
      </c>
      <c r="M567" s="9" t="n">
        <v>19</v>
      </c>
      <c r="N567" s="9" t="n">
        <v>98</v>
      </c>
      <c r="O567" s="9" t="n">
        <v>16.43835616438356</v>
      </c>
    </row>
    <row r="568" hidden="1">
      <c r="A568" s="7" t="n">
        <v>46162</v>
      </c>
      <c r="B568" s="8" t="inlineStr">
        <is>
          <t>Patrícia Karla de Sousa Araújo</t>
        </is>
      </c>
      <c r="C568" s="9" t="inlineStr">
        <is>
          <t>Técnico 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>
        <f>E568+G568+H568</f>
        <v/>
      </c>
      <c r="J568" s="9">
        <f>IF(C568="Técnico III","35",IF(C568="Técnico II","28",IF(C568="Técnico I","23",IF(C568="JR","20",IF(C568="Estágio","10")))))</f>
        <v/>
      </c>
      <c r="K568" s="3">
        <f>I568-J568</f>
        <v/>
      </c>
      <c r="L568" s="3">
        <f>IF(K568&lt;-5,"CRÍTICO",IF(K568&lt;0,"ATENÇÃO",IF(K568&lt;=5,"OPORTUNO","MUITO BOM")))</f>
        <v/>
      </c>
      <c r="M568" s="9" t="n">
        <v>0</v>
      </c>
      <c r="N568" s="9" t="n">
        <v>100</v>
      </c>
      <c r="O568" s="9" t="n">
        <v>16.89497716894977</v>
      </c>
    </row>
    <row r="569" hidden="1">
      <c r="A569" s="7" t="n">
        <v>46162</v>
      </c>
      <c r="B569" s="8" t="inlineStr">
        <is>
          <t>Paulo Ricardo Santos</t>
        </is>
      </c>
      <c r="C569" s="9" t="inlineStr">
        <is>
          <t>JR</t>
        </is>
      </c>
      <c r="D569" s="3" t="n">
        <v>14</v>
      </c>
      <c r="E569" s="3" t="n">
        <v>14</v>
      </c>
      <c r="F569" s="3" t="n">
        <v>13.29</v>
      </c>
      <c r="G569" s="3" t="n">
        <v>0</v>
      </c>
      <c r="H569" s="3" t="n">
        <v>0</v>
      </c>
      <c r="I569" s="3">
        <f>E569+G569+H569</f>
        <v/>
      </c>
      <c r="J569" s="9">
        <f>IF(C569="Técnico III","35",IF(C569="Técnico II","28",IF(C569="Técnico I","23",IF(C569="JR","20",IF(C569="Estágio","10")))))</f>
        <v/>
      </c>
      <c r="K569" s="3">
        <f>I569-J569</f>
        <v/>
      </c>
      <c r="L569" s="3">
        <f>IF(K569&lt;-5,"CRÍTICO",IF(K569&lt;0,"ATENÇÃO",IF(K569&lt;=5,"OPORTUNO","MUITO BOM")))</f>
        <v/>
      </c>
      <c r="M569" s="9" t="n">
        <v>11</v>
      </c>
      <c r="N569" s="9" t="n">
        <v>100</v>
      </c>
      <c r="O569" s="9" t="n">
        <v>19.13875598086124</v>
      </c>
    </row>
    <row r="570" hidden="1">
      <c r="A570" s="7" t="n">
        <v>46162</v>
      </c>
      <c r="B570" s="8" t="inlineStr">
        <is>
          <t>Pedro Luiz Mota Sousa</t>
        </is>
      </c>
      <c r="C570" s="9" t="inlineStr">
        <is>
          <t>JR</t>
        </is>
      </c>
      <c r="D570" s="3" t="n">
        <v>15</v>
      </c>
      <c r="E570" s="3" t="n">
        <v>13</v>
      </c>
      <c r="F570" s="3" t="n">
        <v>11.01</v>
      </c>
      <c r="G570" s="3" t="n">
        <v>2</v>
      </c>
      <c r="H570" s="3" t="n">
        <v>0</v>
      </c>
      <c r="I570" s="3">
        <f>E570+G570+H570</f>
        <v/>
      </c>
      <c r="J570" s="9">
        <f>IF(C570="Técnico III","35",IF(C570="Técnico II","28",IF(C570="Técnico I","23",IF(C570="JR","20",IF(C570="Estágio","10")))))</f>
        <v/>
      </c>
      <c r="K570" s="3">
        <f>I570-J570</f>
        <v/>
      </c>
      <c r="L570" s="3">
        <f>IF(K570&lt;-5,"CRÍTICO",IF(K570&lt;0,"ATENÇÃO",IF(K570&lt;=5,"OPORTUNO","MUITO BOM")))</f>
        <v/>
      </c>
      <c r="M570" s="9" t="n">
        <v>15</v>
      </c>
      <c r="N570" s="9" t="n">
        <v>100</v>
      </c>
      <c r="O570" s="9" t="n">
        <v>15.02145922746781</v>
      </c>
    </row>
    <row r="571" hidden="1">
      <c r="A571" s="7" t="n">
        <v>46162</v>
      </c>
      <c r="B571" s="8" t="inlineStr">
        <is>
          <t>Quirino Diogo Leite Torres</t>
        </is>
      </c>
      <c r="C571" s="9" t="inlineStr">
        <is>
          <t>Estágio</t>
        </is>
      </c>
      <c r="D571" s="3" t="n">
        <v>18</v>
      </c>
      <c r="E571" s="3" t="n">
        <v>15</v>
      </c>
      <c r="F571" s="3" t="n">
        <v>15.22</v>
      </c>
      <c r="G571" s="3" t="n">
        <v>0</v>
      </c>
      <c r="H571" s="3" t="n">
        <v>0</v>
      </c>
      <c r="I571" s="3">
        <f>E571+G571+H571</f>
        <v/>
      </c>
      <c r="J571" s="9">
        <f>IF(C571="Técnico III","35",IF(C571="Técnico II","28",IF(C571="Técnico I","23",IF(C571="JR","20",IF(C571="Estágio","10")))))</f>
        <v/>
      </c>
      <c r="K571" s="3">
        <f>I571-J571</f>
        <v/>
      </c>
      <c r="L571" s="3">
        <f>IF(K571&lt;-5,"CRÍTICO",IF(K571&lt;0,"ATENÇÃO",IF(K571&lt;=5,"OPORTUNO","MUITO BOM")))</f>
        <v/>
      </c>
      <c r="M571" s="9" t="n">
        <v>13</v>
      </c>
      <c r="N571" s="9" t="n">
        <v>98.11</v>
      </c>
      <c r="O571" s="9" t="n">
        <v>20.40816326530612</v>
      </c>
    </row>
    <row r="572" hidden="1">
      <c r="A572" s="7" t="n">
        <v>46162</v>
      </c>
      <c r="B572" s="8" t="inlineStr">
        <is>
          <t>Raane Batista Matos</t>
        </is>
      </c>
      <c r="C572" s="9" t="inlineStr">
        <is>
          <t>Técnico I</t>
        </is>
      </c>
      <c r="D572" s="3" t="n">
        <v>25</v>
      </c>
      <c r="E572" s="3" t="n">
        <v>24</v>
      </c>
      <c r="F572" s="3" t="n">
        <v>10.26</v>
      </c>
      <c r="G572" s="3" t="n">
        <v>1</v>
      </c>
      <c r="H572" s="3" t="n">
        <v>0</v>
      </c>
      <c r="I572" s="3">
        <f>E572+G572+H572</f>
        <v/>
      </c>
      <c r="J572" s="9">
        <f>IF(C572="Técnico III","35",IF(C572="Técnico II","28",IF(C572="Técnico I","23",IF(C572="JR","20",IF(C572="Estágio","10")))))</f>
        <v/>
      </c>
      <c r="K572" s="3">
        <f>I572-J572</f>
        <v/>
      </c>
      <c r="L572" s="3">
        <f>IF(K572&lt;-5,"CRÍTICO",IF(K572&lt;0,"ATENÇÃO",IF(K572&lt;=5,"OPORTUNO","MUITO BOM")))</f>
        <v/>
      </c>
      <c r="M572" s="9" t="n">
        <v>18</v>
      </c>
      <c r="N572" s="9" t="n">
        <v>97.56</v>
      </c>
      <c r="O572" s="9" t="n">
        <v>19.28783382789317</v>
      </c>
    </row>
    <row r="573" hidden="1">
      <c r="A573" s="7" t="n">
        <v>46162</v>
      </c>
      <c r="B573" s="8" t="inlineStr">
        <is>
          <t>Rafael Gomes de Morais</t>
        </is>
      </c>
      <c r="C573" s="9" t="inlineStr">
        <is>
          <t>Técnico III</t>
        </is>
      </c>
      <c r="D573" s="3" t="n">
        <v>37</v>
      </c>
      <c r="E573" s="3" t="n">
        <v>33</v>
      </c>
      <c r="F573" s="3" t="n">
        <v>9.26</v>
      </c>
      <c r="G573" s="3" t="n">
        <v>0</v>
      </c>
      <c r="H573" s="3" t="n">
        <v>0</v>
      </c>
      <c r="I573" s="3">
        <f>E573+G573+H573</f>
        <v/>
      </c>
      <c r="J573" s="9">
        <f>IF(C573="Técnico III","35",IF(C573="Técnico II","28",IF(C573="Técnico I","23",IF(C573="JR","20",IF(C573="Estágio","10")))))</f>
        <v/>
      </c>
      <c r="K573" s="3">
        <f>I573-J573</f>
        <v/>
      </c>
      <c r="L573" s="3">
        <f>IF(K573&lt;-5,"CRÍTICO",IF(K573&lt;0,"ATENÇÃO",IF(K573&lt;=5,"OPORTUNO","MUITO BOM")))</f>
        <v/>
      </c>
      <c r="M573" s="9" t="n">
        <v>28</v>
      </c>
      <c r="N573" s="9" t="n">
        <v>99.29000000000001</v>
      </c>
      <c r="O573" s="9" t="n">
        <v>22.49443207126949</v>
      </c>
    </row>
    <row r="574" hidden="1">
      <c r="A574" s="7" t="n">
        <v>46162</v>
      </c>
      <c r="B574" s="8" t="inlineStr">
        <is>
          <t>Sara Maria Monteiro Lopes</t>
        </is>
      </c>
      <c r="C574" s="9" t="inlineStr">
        <is>
          <t>Técnico I</t>
        </is>
      </c>
      <c r="D574" s="3" t="n">
        <v>17</v>
      </c>
      <c r="E574" s="3" t="n">
        <v>17</v>
      </c>
      <c r="F574" s="3" t="n">
        <v>20.44</v>
      </c>
      <c r="G574" s="3" t="n">
        <v>1</v>
      </c>
      <c r="H574" s="3" t="n">
        <v>0</v>
      </c>
      <c r="I574" s="3">
        <f>E574+G574+H574</f>
        <v/>
      </c>
      <c r="J574" s="9">
        <f>IF(C574="Técnico III","35",IF(C574="Técnico II","28",IF(C574="Técnico I","23",IF(C574="JR","20",IF(C574="Estágio","10")))))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14</v>
      </c>
      <c r="N574" s="9" t="n">
        <v>100</v>
      </c>
      <c r="O574" s="9" t="n">
        <v>16.97247706422019</v>
      </c>
    </row>
    <row r="575" hidden="1">
      <c r="A575" s="7" t="n">
        <v>46162</v>
      </c>
      <c r="B575" s="8" t="inlineStr">
        <is>
          <t>Sarah Steffanie de Lima Borges</t>
        </is>
      </c>
      <c r="C575" s="9" t="inlineStr">
        <is>
          <t>Técnico III</t>
        </is>
      </c>
      <c r="D575" s="3" t="n">
        <v>25</v>
      </c>
      <c r="E575" s="3" t="n">
        <v>23</v>
      </c>
      <c r="F575" s="3" t="n">
        <v>7.27</v>
      </c>
      <c r="G575" s="3" t="n">
        <v>1</v>
      </c>
      <c r="H575" s="3" t="n">
        <v>0</v>
      </c>
      <c r="I575" s="3">
        <f>E575+G575+H575</f>
        <v/>
      </c>
      <c r="J575" s="9">
        <f>IF(C575="Técnico III","35",IF(C575="Técnico II","28",IF(C575="Técnico I","23",IF(C575="JR","20",IF(C575="Estágio","10")))))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21</v>
      </c>
      <c r="N575" s="9" t="n">
        <v>97.33</v>
      </c>
      <c r="O575" s="9" t="n">
        <v>15.80547112462006</v>
      </c>
    </row>
    <row r="576">
      <c r="A576" s="5" t="n">
        <v>46163</v>
      </c>
      <c r="B576" s="6" t="inlineStr">
        <is>
          <t>Alisson de Freitas Silva</t>
        </is>
      </c>
      <c r="C576" s="3" t="inlineStr">
        <is>
          <t>Técnico II</t>
        </is>
      </c>
      <c r="D576" s="3" t="n">
        <v>31</v>
      </c>
      <c r="E576" s="3" t="n">
        <v>19</v>
      </c>
      <c r="F576" s="3" t="n">
        <v>5.55</v>
      </c>
      <c r="G576" s="3" t="n">
        <v>1</v>
      </c>
      <c r="H576" s="3" t="n">
        <v>0</v>
      </c>
      <c r="I576" s="3">
        <f>E576+G576+H576</f>
        <v/>
      </c>
      <c r="J576" s="3">
        <f>IF(C576="Técnico III","35",IF(C576="Técnico II","28",IF(C576="Técnico I","23",IF(C576="JR","20",IF(C576="Estágio","10")))))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17</v>
      </c>
      <c r="N576" s="3" t="n">
        <v>98.94</v>
      </c>
      <c r="O576" s="3" t="n">
        <v>19.61414790996785</v>
      </c>
    </row>
    <row r="577">
      <c r="A577" s="5" t="n">
        <v>46163</v>
      </c>
      <c r="B577" s="6" t="inlineStr">
        <is>
          <t>Amanda Moura Ferreira</t>
        </is>
      </c>
      <c r="C577" s="3" t="inlineStr">
        <is>
          <t>Técnico III</t>
        </is>
      </c>
      <c r="D577" s="3" t="n">
        <v>4</v>
      </c>
      <c r="E577" s="3" t="n">
        <v>4</v>
      </c>
      <c r="F577" s="3" t="n">
        <v>12.1</v>
      </c>
      <c r="G577" s="3" t="n">
        <v>0</v>
      </c>
      <c r="H577" s="3" t="n">
        <v>0</v>
      </c>
      <c r="I577" s="3">
        <f>E577+G577+H577</f>
        <v/>
      </c>
      <c r="J577" s="3">
        <f>IF(C577="Técnico III","35",IF(C577="Técnico II","28",IF(C577="Técnico I","23",IF(C577="JR","20",IF(C577="Estágio","10")))))</f>
        <v/>
      </c>
      <c r="K577" s="3">
        <f>I577-J577</f>
        <v/>
      </c>
      <c r="L577" s="3">
        <f>IF(K577&lt;-5,"CRÍTICO",IF(K577&lt;0,"ATENÇÃO",IF(K577&lt;=5,"OPORTUNO","MUITO BOM")))</f>
        <v/>
      </c>
      <c r="M577" s="3" t="n">
        <v>0</v>
      </c>
      <c r="N577" s="3" t="n">
        <v>100</v>
      </c>
      <c r="O577" s="3" t="n">
        <v>0</v>
      </c>
    </row>
    <row r="578">
      <c r="A578" s="5" t="n">
        <v>46163</v>
      </c>
      <c r="B578" s="6" t="inlineStr">
        <is>
          <t>Ana Karollyne Souza Faria</t>
        </is>
      </c>
      <c r="C578" s="3" t="inlineStr">
        <is>
          <t>Técnico I</t>
        </is>
      </c>
      <c r="D578" s="3" t="n">
        <v>24</v>
      </c>
      <c r="E578" s="3" t="n">
        <v>23</v>
      </c>
      <c r="F578" s="3" t="n">
        <v>10.27</v>
      </c>
      <c r="G578" s="3" t="n">
        <v>0</v>
      </c>
      <c r="H578" s="3" t="n">
        <v>0</v>
      </c>
      <c r="I578" s="3">
        <f>E578+G578+H578</f>
        <v/>
      </c>
      <c r="J578" s="3">
        <f>IF(C578="Técnico III","35",IF(C578="Técnico II","28",IF(C578="Técnico I","23",IF(C578="JR","20",IF(C578="Estágio","10")))))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21</v>
      </c>
      <c r="N578" s="3" t="n">
        <v>95.38</v>
      </c>
      <c r="O578" s="3" t="n">
        <v>21.5962441314554</v>
      </c>
    </row>
    <row r="579">
      <c r="A579" s="5" t="n">
        <v>46163</v>
      </c>
      <c r="B579" s="6" t="inlineStr">
        <is>
          <t>Ana Paula Da Luz Silva Aleixo</t>
        </is>
      </c>
      <c r="C579" s="3" t="inlineStr">
        <is>
          <t>Técnico III</t>
        </is>
      </c>
      <c r="D579" s="3" t="n">
        <v>17</v>
      </c>
      <c r="E579" s="3" t="n">
        <v>15</v>
      </c>
      <c r="F579" s="3" t="n">
        <v>20.24</v>
      </c>
      <c r="G579" s="3" t="n">
        <v>0</v>
      </c>
      <c r="H579" s="3" t="n">
        <v>0</v>
      </c>
      <c r="I579" s="3">
        <f>E579+G579+H579</f>
        <v/>
      </c>
      <c r="J579" s="3">
        <f>IF(C579="Técnico III","35",IF(C579="Técnico II","28",IF(C579="Técnico I","23",IF(C579="JR","20",IF(C579="Estágio","10")))))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13</v>
      </c>
      <c r="N579" s="3" t="n">
        <v>96.34</v>
      </c>
      <c r="O579" s="3" t="n">
        <v>17.57188498402556</v>
      </c>
    </row>
    <row r="580">
      <c r="A580" s="5" t="n">
        <v>46163</v>
      </c>
      <c r="B580" s="6" t="inlineStr">
        <is>
          <t>Anna Luiza Rezende Tavares</t>
        </is>
      </c>
      <c r="C580" s="3" t="inlineStr">
        <is>
          <t>JR</t>
        </is>
      </c>
      <c r="D580" s="3" t="n">
        <v>24</v>
      </c>
      <c r="E580" s="3" t="n">
        <v>22</v>
      </c>
      <c r="F580" s="3" t="n">
        <v>9.57</v>
      </c>
      <c r="G580" s="3" t="n">
        <v>0</v>
      </c>
      <c r="H580" s="3" t="n">
        <v>0</v>
      </c>
      <c r="I580" s="3">
        <f>E580+G580+H580</f>
        <v/>
      </c>
      <c r="J580" s="3">
        <f>IF(C580="Técnico III","35",IF(C580="Técnico II","28",IF(C580="Técnico I","23",IF(C580="JR","20",IF(C580="Estágio","10")))))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20</v>
      </c>
      <c r="N580" s="3" t="n">
        <v>99.11</v>
      </c>
      <c r="O580" s="3" t="n">
        <v>17.72151898734177</v>
      </c>
    </row>
    <row r="581">
      <c r="A581" s="5" t="n">
        <v>46163</v>
      </c>
      <c r="B581" s="6" t="inlineStr">
        <is>
          <t>Brenda de Menezes Silva</t>
        </is>
      </c>
      <c r="C581" s="3" t="inlineStr">
        <is>
          <t>Técnico II</t>
        </is>
      </c>
      <c r="D581" s="3" t="n">
        <v>31</v>
      </c>
      <c r="E581" s="3" t="n">
        <v>27</v>
      </c>
      <c r="F581" s="3" t="n">
        <v>6.15</v>
      </c>
      <c r="G581" s="3" t="n">
        <v>4</v>
      </c>
      <c r="H581" s="3" t="n">
        <v>0</v>
      </c>
      <c r="I581" s="3">
        <f>E581+G581+H581</f>
        <v/>
      </c>
      <c r="J581" s="3">
        <f>IF(C581="Técnico III","35",IF(C581="Técnico II","28",IF(C581="Técnico I","23",IF(C581="JR","20",IF(C581="Estágio","10")))))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28</v>
      </c>
      <c r="N581" s="3" t="n">
        <v>99.13</v>
      </c>
      <c r="O581" s="3" t="n">
        <v>14.7239263803681</v>
      </c>
    </row>
    <row r="582">
      <c r="A582" s="5" t="n">
        <v>46163</v>
      </c>
      <c r="B582" s="6" t="inlineStr">
        <is>
          <t>Carlos Mateus Cassimiro Nunes</t>
        </is>
      </c>
      <c r="C582" s="3" t="inlineStr">
        <is>
          <t>Técnico II</t>
        </is>
      </c>
      <c r="D582" s="3" t="n">
        <v>24</v>
      </c>
      <c r="E582" s="3" t="n">
        <v>22</v>
      </c>
      <c r="F582" s="3" t="n">
        <v>11.35</v>
      </c>
      <c r="G582" s="3" t="n">
        <v>1</v>
      </c>
      <c r="H582" s="3" t="n">
        <v>0</v>
      </c>
      <c r="I582" s="3">
        <f>E582+G582+H582</f>
        <v/>
      </c>
      <c r="J582" s="3">
        <f>IF(C582="Técnico III","35",IF(C582="Técnico II","28",IF(C582="Técnico I","23",IF(C582="JR","20",IF(C582="Estágio","10")))))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98.8</v>
      </c>
      <c r="O582" s="3" t="n">
        <v>16.89750692520776</v>
      </c>
    </row>
    <row r="583">
      <c r="A583" s="5" t="n">
        <v>46163</v>
      </c>
      <c r="B583" s="6" t="inlineStr">
        <is>
          <t>Claudio de Sousa Velasco Filho</t>
        </is>
      </c>
      <c r="C583" s="3" t="inlineStr">
        <is>
          <t>Estágio</t>
        </is>
      </c>
      <c r="D583" s="3" t="n">
        <v>7</v>
      </c>
      <c r="E583" s="3" t="n">
        <v>6</v>
      </c>
      <c r="F583" s="3" t="n">
        <v>16.34</v>
      </c>
      <c r="G583" s="3" t="n">
        <v>0</v>
      </c>
      <c r="H583" s="3" t="n">
        <v>0</v>
      </c>
      <c r="I583" s="3">
        <f>E583+G583+H583</f>
        <v/>
      </c>
      <c r="J583" s="3">
        <f>IF(C583="Técnico III","35",IF(C583="Técnico II","28",IF(C583="Técnico I","23",IF(C583="JR","20",IF(C583="Estágio","10")))))</f>
        <v/>
      </c>
      <c r="K583" s="3">
        <f>I583-J583</f>
        <v/>
      </c>
      <c r="L583" s="3">
        <f>IF(K583&lt;-5,"CRÍTICO",IF(K583&lt;0,"ATENÇÃO",IF(K583&lt;=5,"OPORTUNO","MUITO BOM")))</f>
        <v/>
      </c>
      <c r="M583" s="3" t="n">
        <v>4</v>
      </c>
      <c r="N583" s="3" t="n">
        <v>96.43000000000001</v>
      </c>
      <c r="O583" s="3" t="n">
        <v>20</v>
      </c>
    </row>
    <row r="584">
      <c r="A584" s="5" t="n">
        <v>46163</v>
      </c>
      <c r="B584" s="6" t="inlineStr">
        <is>
          <t>Clessiane Pereira dos Santos</t>
        </is>
      </c>
      <c r="C584" s="3" t="inlineStr">
        <is>
          <t>Técnico I</t>
        </is>
      </c>
      <c r="D584" s="3" t="n">
        <v>23</v>
      </c>
      <c r="E584" s="3" t="n">
        <v>22</v>
      </c>
      <c r="F584" s="3" t="n">
        <v>17.08</v>
      </c>
      <c r="G584" s="3" t="n">
        <v>0</v>
      </c>
      <c r="H584" s="3" t="n">
        <v>0</v>
      </c>
      <c r="I584" s="3">
        <f>E584+G584+H584</f>
        <v/>
      </c>
      <c r="J584" s="3">
        <f>IF(C584="Técnico III","35",IF(C584="Técnico II","28",IF(C584="Técnico I","23",IF(C584="JR","20",IF(C584="Estágio","10")))))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17</v>
      </c>
      <c r="N584" s="3" t="n">
        <v>96.88</v>
      </c>
      <c r="O584" s="3" t="n">
        <v>19.52662721893491</v>
      </c>
    </row>
    <row r="585">
      <c r="A585" s="5" t="n">
        <v>46163</v>
      </c>
      <c r="B585" s="6" t="inlineStr">
        <is>
          <t>Cristiane Ramos da Silva Rocha</t>
        </is>
      </c>
      <c r="C585" s="3" t="inlineStr">
        <is>
          <t>Técnico III</t>
        </is>
      </c>
      <c r="D585" s="3" t="n">
        <v>22</v>
      </c>
      <c r="E585" s="3" t="n">
        <v>22</v>
      </c>
      <c r="F585" s="3" t="n">
        <v>8.220000000000001</v>
      </c>
      <c r="G585" s="3" t="n">
        <v>0</v>
      </c>
      <c r="H585" s="3" t="n">
        <v>0</v>
      </c>
      <c r="I585" s="3">
        <f>E585+G585+H585</f>
        <v/>
      </c>
      <c r="J585" s="3">
        <f>IF(C585="Técnico III","35",IF(C585="Técnico II","28",IF(C585="Técnico I","23",IF(C585="JR","20",IF(C585="Estágio","10")))))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20</v>
      </c>
      <c r="N585" s="3" t="n">
        <v>91.84999999999999</v>
      </c>
      <c r="O585" s="3" t="n">
        <v>20.87155963302752</v>
      </c>
    </row>
    <row r="586">
      <c r="A586" s="5" t="n">
        <v>46163</v>
      </c>
      <c r="B586" s="6" t="inlineStr">
        <is>
          <t>Damyllis Lorraine de Oliveira Gonçalves</t>
        </is>
      </c>
      <c r="C586" s="3" t="inlineStr">
        <is>
          <t>Técnico 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>
        <f>E586+G586+H586</f>
        <v/>
      </c>
      <c r="J586" s="3">
        <f>IF(C586="Técnico III","35",IF(C586="Técnico II","28",IF(C586="Técnico I","23",IF(C586="JR","20",IF(C586="Estágio","10")))))</f>
        <v/>
      </c>
      <c r="K586" s="3">
        <f>I586-J586</f>
        <v/>
      </c>
      <c r="L586" s="3">
        <f>IF(K586&lt;-5,"CRÍTICO",IF(K586&lt;0,"ATENÇÃO",IF(K586&lt;=5,"OPORTUNO","MUITO BOM")))</f>
        <v/>
      </c>
      <c r="M586" s="3" t="n">
        <v>0</v>
      </c>
      <c r="N586" s="3" t="n">
        <v>98.63</v>
      </c>
      <c r="O586" s="3" t="n">
        <v>18.75</v>
      </c>
    </row>
    <row r="587">
      <c r="A587" s="5" t="n">
        <v>46163</v>
      </c>
      <c r="B587" s="6" t="inlineStr">
        <is>
          <t>Daniel Gomes da Silva</t>
        </is>
      </c>
      <c r="C587" s="3" t="inlineStr">
        <is>
          <t>Técnico I</t>
        </is>
      </c>
      <c r="D587" s="3" t="n">
        <v>16</v>
      </c>
      <c r="E587" s="3" t="n">
        <v>16</v>
      </c>
      <c r="F587" s="3" t="n">
        <v>26.5</v>
      </c>
      <c r="G587" s="3" t="n">
        <v>0</v>
      </c>
      <c r="H587" s="3" t="n">
        <v>0</v>
      </c>
      <c r="I587" s="3">
        <f>E587+G587+H587</f>
        <v/>
      </c>
      <c r="J587" s="3">
        <f>IF(C587="Técnico III","35",IF(C587="Técnico II","28",IF(C587="Técnico I","23",IF(C587="JR","20",IF(C587="Estágio","10")))))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14</v>
      </c>
      <c r="N587" s="3" t="n">
        <v>100</v>
      </c>
      <c r="O587" s="3" t="n">
        <v>18.14516129032258</v>
      </c>
    </row>
    <row r="588">
      <c r="A588" s="5" t="n">
        <v>46163</v>
      </c>
      <c r="B588" s="6" t="inlineStr">
        <is>
          <t>Davylla Rodrigues Freitas Silva</t>
        </is>
      </c>
      <c r="C588" s="3" t="inlineStr">
        <is>
          <t>Técnico III</t>
        </is>
      </c>
      <c r="D588" s="3" t="n">
        <v>0</v>
      </c>
      <c r="E588" s="3" t="n">
        <v>0</v>
      </c>
      <c r="F588" s="3" t="n">
        <v>0</v>
      </c>
      <c r="G588" s="3" t="n">
        <v>0</v>
      </c>
      <c r="H588" s="3" t="n">
        <v>0</v>
      </c>
      <c r="I588" s="3">
        <f>E588+G588+H588</f>
        <v/>
      </c>
      <c r="J588" s="3">
        <f>IF(C588="Técnico III","35",IF(C588="Técnico II","28",IF(C588="Técnico I","23",IF(C588="JR","20",IF(C588="Estágio","10")))))</f>
        <v/>
      </c>
      <c r="K588" s="3">
        <f>I588-J588</f>
        <v/>
      </c>
      <c r="L588" s="3">
        <f>IF(K588&lt;-5,"CRÍTICO",IF(K588&lt;0,"ATENÇÃO",IF(K588&lt;=5,"OPORTUNO","MUITO BOM")))</f>
        <v/>
      </c>
      <c r="M588" s="3" t="n">
        <v>0</v>
      </c>
      <c r="N588" s="3" t="n">
        <v>99.06</v>
      </c>
      <c r="O588" s="3" t="n">
        <v>22.95719844357977</v>
      </c>
    </row>
    <row r="589">
      <c r="A589" s="5" t="n">
        <v>46163</v>
      </c>
      <c r="B589" s="6" t="inlineStr">
        <is>
          <t>Emilly Caylane Costa</t>
        </is>
      </c>
      <c r="C589" s="3" t="inlineStr">
        <is>
          <t>Estágio</t>
        </is>
      </c>
      <c r="D589" s="3" t="n">
        <v>9</v>
      </c>
      <c r="E589" s="3" t="n">
        <v>8</v>
      </c>
      <c r="F589" s="3" t="n">
        <v>23.57</v>
      </c>
      <c r="G589" s="3" t="n">
        <v>0</v>
      </c>
      <c r="H589" s="3" t="n">
        <v>0</v>
      </c>
      <c r="I589" s="3">
        <f>E589+G589+H589</f>
        <v/>
      </c>
      <c r="J589" s="3">
        <f>IF(C589="Técnico III","35",IF(C589="Técnico II","28",IF(C589="Técnico I","23",IF(C589="JR","20",IF(C589="Estágio","10")))))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6</v>
      </c>
      <c r="N589" s="3" t="n">
        <v>100</v>
      </c>
      <c r="O589" s="3" t="n">
        <v>29.03225806451613</v>
      </c>
    </row>
    <row r="590">
      <c r="A590" s="5" t="n">
        <v>46163</v>
      </c>
      <c r="B590" s="6" t="inlineStr">
        <is>
          <t>Emilly Kamilly Medeiros Miranda</t>
        </is>
      </c>
      <c r="C590" s="3" t="inlineStr">
        <is>
          <t>Técnico II</t>
        </is>
      </c>
      <c r="D590" s="3" t="n">
        <v>28</v>
      </c>
      <c r="E590" s="3" t="n">
        <v>23</v>
      </c>
      <c r="F590" s="3" t="n">
        <v>5.42</v>
      </c>
      <c r="G590" s="3" t="n">
        <v>3</v>
      </c>
      <c r="H590" s="3" t="n">
        <v>0</v>
      </c>
      <c r="I590" s="3">
        <f>E590+G590+H590</f>
        <v/>
      </c>
      <c r="J590" s="3">
        <f>IF(C590="Técnico III","35",IF(C590="Técnico II","28",IF(C590="Técnico I","23",IF(C590="JR","20",IF(C590="Estágio","10")))))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25</v>
      </c>
      <c r="N590" s="3" t="n">
        <v>100</v>
      </c>
      <c r="O590" s="3" t="n">
        <v>13.8121546961326</v>
      </c>
    </row>
    <row r="591">
      <c r="A591" s="5" t="n">
        <v>46163</v>
      </c>
      <c r="B591" s="6" t="inlineStr">
        <is>
          <t>Francielson de Oliveira</t>
        </is>
      </c>
      <c r="C591" s="3" t="inlineStr">
        <is>
          <t>Técnico III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>
        <f>E591+G591+H591</f>
        <v/>
      </c>
      <c r="J591" s="3">
        <f>IF(C591="Técnico III","35",IF(C591="Técnico II","28",IF(C591="Técnico I","23",IF(C591="JR","20",IF(C591="Estágio","10")))))</f>
        <v/>
      </c>
      <c r="K591" s="3">
        <f>I591-J591</f>
        <v/>
      </c>
      <c r="L591" s="3">
        <f>IF(K591&lt;-5,"CRÍTICO",IF(K591&lt;0,"ATENÇÃO",IF(K591&lt;=5,"OPORTUNO","MUITO BOM")))</f>
        <v/>
      </c>
      <c r="M591" s="3" t="n">
        <v>0</v>
      </c>
      <c r="N591" s="3" t="n">
        <v>100</v>
      </c>
      <c r="O591" s="3" t="n">
        <v>9.523809523809524</v>
      </c>
    </row>
    <row r="592">
      <c r="A592" s="5" t="n">
        <v>46163</v>
      </c>
      <c r="B592" s="6" t="inlineStr">
        <is>
          <t>Francilene Ferreira de Jesus</t>
        </is>
      </c>
      <c r="C592" s="3" t="inlineStr">
        <is>
          <t>Técnico II</t>
        </is>
      </c>
      <c r="D592" s="3" t="n">
        <v>0</v>
      </c>
      <c r="E592" s="3" t="n">
        <v>0</v>
      </c>
      <c r="F592" s="3" t="n">
        <v>0</v>
      </c>
      <c r="G592" s="3" t="n">
        <v>0</v>
      </c>
      <c r="H592" s="3" t="n">
        <v>0</v>
      </c>
      <c r="I592" s="3">
        <f>E592+G592+H592</f>
        <v/>
      </c>
      <c r="J592" s="3">
        <f>IF(C592="Técnico III","35",IF(C592="Técnico II","28",IF(C592="Técnico I","23",IF(C592="JR","20",IF(C592="Estágio","10")))))</f>
        <v/>
      </c>
      <c r="K592" s="3">
        <f>I592-J592</f>
        <v/>
      </c>
      <c r="L592" s="3">
        <f>IF(K592&lt;-5,"CRÍTICO",IF(K592&lt;0,"ATENÇÃO",IF(K592&lt;=5,"OPORTUNO","MUITO BOM")))</f>
        <v/>
      </c>
      <c r="M592" s="3" t="n">
        <v>0</v>
      </c>
      <c r="N592" s="3" t="n">
        <v>100</v>
      </c>
      <c r="O592" s="3" t="n">
        <v>17.24137931034483</v>
      </c>
    </row>
    <row r="593">
      <c r="A593" s="5" t="n">
        <v>46163</v>
      </c>
      <c r="B593" s="6" t="inlineStr">
        <is>
          <t>Gabriel Alves</t>
        </is>
      </c>
      <c r="C593" s="3" t="inlineStr">
        <is>
          <t>Estágio</t>
        </is>
      </c>
      <c r="D593" s="3" t="n">
        <v>0</v>
      </c>
      <c r="E593" s="3" t="n">
        <v>0</v>
      </c>
      <c r="F593" s="3" t="n">
        <v>0</v>
      </c>
      <c r="G593" s="3" t="n">
        <v>0</v>
      </c>
      <c r="H593" s="3" t="n">
        <v>0</v>
      </c>
      <c r="I593" s="3">
        <f>E593+G593+H593</f>
        <v/>
      </c>
      <c r="J593" s="3">
        <f>IF(C593="Técnico III","35",IF(C593="Técnico II","28",IF(C593="Técnico I","23",IF(C593="JR","20",IF(C593="Estágio","10")))))</f>
        <v/>
      </c>
      <c r="K593" s="3">
        <f>I593-J593</f>
        <v/>
      </c>
      <c r="L593" s="3">
        <f>IF(K593&lt;-5,"CRÍTICO",IF(K593&lt;0,"ATENÇÃO",IF(K593&lt;=5,"OPORTUNO","MUITO BOM")))</f>
        <v/>
      </c>
      <c r="M593" s="3" t="n">
        <v>0</v>
      </c>
      <c r="N593" s="3" t="n">
        <v>100</v>
      </c>
      <c r="O593" s="3" t="n">
        <v>14.28571428571428</v>
      </c>
    </row>
    <row r="594">
      <c r="A594" s="5" t="n">
        <v>46163</v>
      </c>
      <c r="B594" s="6" t="inlineStr">
        <is>
          <t>Gabriel Gomes de Andrade</t>
        </is>
      </c>
      <c r="C594" s="3" t="inlineStr">
        <is>
          <t>Técnico I</t>
        </is>
      </c>
      <c r="D594" s="3" t="n">
        <v>16</v>
      </c>
      <c r="E594" s="3" t="n">
        <v>15</v>
      </c>
      <c r="F594" s="3" t="n">
        <v>25.07</v>
      </c>
      <c r="G594" s="3" t="n">
        <v>3</v>
      </c>
      <c r="H594" s="3" t="n">
        <v>0</v>
      </c>
      <c r="I594" s="3">
        <f>E594+G594+H594</f>
        <v/>
      </c>
      <c r="J594" s="3">
        <f>IF(C594="Técnico III","35",IF(C594="Técnico II","28",IF(C594="Técnico I","23",IF(C594="JR","20",IF(C594="Estágio","10")))))</f>
        <v/>
      </c>
      <c r="K594" s="3">
        <f>I594-J594</f>
        <v/>
      </c>
      <c r="L594" s="3">
        <f>IF(K594&lt;-5,"CRÍTICO",IF(K594&lt;0,"ATENÇÃO",IF(K594&lt;=5,"OPORTUNO","MUITO BOM")))</f>
        <v/>
      </c>
      <c r="M594" s="3" t="n">
        <v>15</v>
      </c>
      <c r="N594" s="3" t="n">
        <v>98.8</v>
      </c>
      <c r="O594" s="3" t="n">
        <v>15.41353383458646</v>
      </c>
    </row>
    <row r="595">
      <c r="A595" s="5" t="n">
        <v>46163</v>
      </c>
      <c r="B595" s="6" t="inlineStr">
        <is>
          <t>Isabella Borges de Oliveira</t>
        </is>
      </c>
      <c r="C595" s="3" t="inlineStr">
        <is>
          <t>Técnico II</t>
        </is>
      </c>
      <c r="D595" s="3" t="n">
        <v>22</v>
      </c>
      <c r="E595" s="3" t="n">
        <v>21</v>
      </c>
      <c r="F595" s="3" t="n">
        <v>19.05</v>
      </c>
      <c r="G595" s="3" t="n">
        <v>1</v>
      </c>
      <c r="H595" s="3" t="n">
        <v>0</v>
      </c>
      <c r="I595" s="3">
        <f>E595+G595+H595</f>
        <v/>
      </c>
      <c r="J595" s="3">
        <f>IF(C595="Técnico III","35",IF(C595="Técnico II","28",IF(C595="Técnico I","23",IF(C595="JR","20",IF(C595="Estágio","10")))))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19</v>
      </c>
      <c r="N595" s="3" t="n">
        <v>98.63</v>
      </c>
      <c r="O595" s="3" t="n">
        <v>15.75757575757576</v>
      </c>
    </row>
    <row r="596">
      <c r="A596" s="5" t="n">
        <v>46163</v>
      </c>
      <c r="B596" s="6" t="inlineStr">
        <is>
          <t>Janaina Lima dos Reis Urany</t>
        </is>
      </c>
      <c r="C596" s="3" t="inlineStr">
        <is>
          <t>Técnico III</t>
        </is>
      </c>
      <c r="D596" s="3" t="n">
        <v>31</v>
      </c>
      <c r="E596" s="3" t="n">
        <v>28</v>
      </c>
      <c r="F596" s="3" t="n">
        <v>13.35</v>
      </c>
      <c r="G596" s="3" t="n">
        <v>2</v>
      </c>
      <c r="H596" s="3" t="n">
        <v>0</v>
      </c>
      <c r="I596" s="3">
        <f>E596+G596+H596</f>
        <v/>
      </c>
      <c r="J596" s="3">
        <f>IF(C596="Técnico III","35",IF(C596="Técnico II","28",IF(C596="Técnico I","23",IF(C596="JR","20",IF(C596="Estágio","10")))))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28</v>
      </c>
      <c r="N596" s="3" t="n">
        <v>98.64</v>
      </c>
      <c r="O596" s="3" t="n">
        <v>16.6383701188455</v>
      </c>
    </row>
    <row r="597">
      <c r="A597" s="5" t="n">
        <v>46163</v>
      </c>
      <c r="B597" s="6" t="inlineStr">
        <is>
          <t>Jaqueline Evangelista da Silva Martins</t>
        </is>
      </c>
      <c r="C597" s="3" t="inlineStr">
        <is>
          <t>Técnico III</t>
        </is>
      </c>
      <c r="D597" s="3" t="n">
        <v>10</v>
      </c>
      <c r="E597" s="3" t="n">
        <v>10</v>
      </c>
      <c r="F597" s="3" t="n">
        <v>19.12</v>
      </c>
      <c r="G597" s="3" t="n">
        <v>2</v>
      </c>
      <c r="H597" s="3" t="n">
        <v>0</v>
      </c>
      <c r="I597" s="3">
        <f>E597+G597+H597</f>
        <v/>
      </c>
      <c r="J597" s="3">
        <f>IF(C597="Técnico III","35",IF(C597="Técnico II","28",IF(C597="Técnico I","23",IF(C597="JR","20",IF(C597="Estágio","10")))))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10</v>
      </c>
      <c r="N597" s="3" t="n">
        <v>95.40000000000001</v>
      </c>
      <c r="O597" s="3" t="n">
        <v>20.53333333333333</v>
      </c>
    </row>
    <row r="598">
      <c r="A598" s="5" t="n">
        <v>46163</v>
      </c>
      <c r="B598" s="6" t="inlineStr">
        <is>
          <t>Jessica Faria da Silveira</t>
        </is>
      </c>
      <c r="C598" s="3" t="inlineStr">
        <is>
          <t>Técnico II</t>
        </is>
      </c>
      <c r="D598" s="3" t="n">
        <v>17</v>
      </c>
      <c r="E598" s="3" t="n">
        <v>14</v>
      </c>
      <c r="F598" s="3" t="n">
        <v>17.2</v>
      </c>
      <c r="G598" s="3" t="n">
        <v>0</v>
      </c>
      <c r="H598" s="3" t="n">
        <v>0</v>
      </c>
      <c r="I598" s="3">
        <f>E598+G598+H598</f>
        <v/>
      </c>
      <c r="J598" s="3">
        <f>IF(C598="Técnico III","35",IF(C598="Técnico II","28",IF(C598="Técnico I","23",IF(C598="JR","20",IF(C598="Estágio","10")))))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14</v>
      </c>
      <c r="N598" s="3" t="n">
        <v>98.61</v>
      </c>
      <c r="O598" s="3" t="n">
        <v>16.97530864197531</v>
      </c>
    </row>
    <row r="599">
      <c r="A599" s="5" t="n">
        <v>46163</v>
      </c>
      <c r="B599" s="6" t="inlineStr">
        <is>
          <t>Jéssica Fé Moura</t>
        </is>
      </c>
      <c r="C599" s="3" t="inlineStr">
        <is>
          <t>Técnico III</t>
        </is>
      </c>
      <c r="D599" s="3" t="n">
        <v>0</v>
      </c>
      <c r="E599" s="3" t="n">
        <v>0</v>
      </c>
      <c r="F599" s="3" t="n">
        <v>0</v>
      </c>
      <c r="G599" s="3" t="n">
        <v>0</v>
      </c>
      <c r="H599" s="3" t="n">
        <v>0</v>
      </c>
      <c r="I599" s="3">
        <f>E599+G599+H599</f>
        <v/>
      </c>
      <c r="J599" s="3">
        <f>IF(C599="Técnico III","35",IF(C599="Técnico II","28",IF(C599="Técnico I","23",IF(C599="JR","20",IF(C599="Estágio","10")))))</f>
        <v/>
      </c>
      <c r="K599" s="3">
        <f>I599-J599</f>
        <v/>
      </c>
      <c r="L599" s="3">
        <f>IF(K599&lt;-5,"CRÍTICO",IF(K599&lt;0,"ATENÇÃO",IF(K599&lt;=5,"OPORTUNO","MUITO BOM")))</f>
        <v/>
      </c>
      <c r="M599" s="3" t="n">
        <v>0</v>
      </c>
      <c r="N599" s="3" t="n">
        <v>0</v>
      </c>
      <c r="O599" s="3" t="n">
        <v>0</v>
      </c>
    </row>
    <row r="600">
      <c r="A600" s="5" t="n">
        <v>46163</v>
      </c>
      <c r="B600" s="6" t="inlineStr">
        <is>
          <t>Karina Gonçalves Martins</t>
        </is>
      </c>
      <c r="C600" s="3" t="inlineStr">
        <is>
          <t>JR</t>
        </is>
      </c>
      <c r="D600" s="3" t="n">
        <v>15</v>
      </c>
      <c r="E600" s="3" t="n">
        <v>13</v>
      </c>
      <c r="F600" s="3" t="n">
        <v>20.57</v>
      </c>
      <c r="G600" s="3" t="n">
        <v>1</v>
      </c>
      <c r="H600" s="3" t="n">
        <v>0</v>
      </c>
      <c r="I600" s="3">
        <f>E600+G600+H600</f>
        <v/>
      </c>
      <c r="J600" s="3">
        <f>IF(C600="Técnico III","35",IF(C600="Técnico II","28",IF(C600="Técnico I","23",IF(C600="JR","20",IF(C600="Estágio","10")))))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15</v>
      </c>
      <c r="N600" s="3" t="n">
        <v>97.01000000000001</v>
      </c>
      <c r="O600" s="3" t="n">
        <v>13.96103896103896</v>
      </c>
    </row>
    <row r="601">
      <c r="A601" s="5" t="n">
        <v>46163</v>
      </c>
      <c r="B601" s="6" t="inlineStr">
        <is>
          <t>Kerollen Cristielly de Jesus Siqueira</t>
        </is>
      </c>
      <c r="C601" s="3" t="inlineStr">
        <is>
          <t>Técnico III</t>
        </is>
      </c>
      <c r="D601" s="3" t="n">
        <v>21</v>
      </c>
      <c r="E601" s="3" t="n">
        <v>20</v>
      </c>
      <c r="F601" s="3" t="n">
        <v>14.13</v>
      </c>
      <c r="G601" s="3" t="n">
        <v>1</v>
      </c>
      <c r="H601" s="3" t="n">
        <v>0</v>
      </c>
      <c r="I601" s="3">
        <f>E601+G601+H601</f>
        <v/>
      </c>
      <c r="J601" s="3">
        <f>IF(C601="Técnico III","35",IF(C601="Técnico II","28",IF(C601="Técnico I","23",IF(C601="JR","20",IF(C601="Estágio","10")))))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21</v>
      </c>
      <c r="N601" s="3" t="n">
        <v>95.52</v>
      </c>
      <c r="O601" s="3" t="n">
        <v>10.56105610561056</v>
      </c>
    </row>
    <row r="602">
      <c r="A602" s="5" t="n">
        <v>46163</v>
      </c>
      <c r="B602" s="6" t="inlineStr">
        <is>
          <t>Leandro de Souza Silva</t>
        </is>
      </c>
      <c r="C602" s="3" t="inlineStr">
        <is>
          <t>JR</t>
        </is>
      </c>
      <c r="D602" s="3" t="n">
        <v>13</v>
      </c>
      <c r="E602" s="3" t="n">
        <v>11</v>
      </c>
      <c r="F602" s="3" t="n">
        <v>20.49</v>
      </c>
      <c r="G602" s="3" t="n">
        <v>1</v>
      </c>
      <c r="H602" s="3" t="n">
        <v>0</v>
      </c>
      <c r="I602" s="3">
        <f>E602+G602+H602</f>
        <v/>
      </c>
      <c r="J602" s="3">
        <f>IF(C602="Técnico III","35",IF(C602="Técnico II","28",IF(C602="Técnico I","23",IF(C602="JR","20",IF(C602="Estágio","10")))))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10</v>
      </c>
      <c r="N602" s="3" t="n">
        <v>100</v>
      </c>
      <c r="O602" s="3" t="n">
        <v>16.95906432748538</v>
      </c>
    </row>
    <row r="603">
      <c r="A603" s="5" t="n">
        <v>46163</v>
      </c>
      <c r="B603" s="6" t="inlineStr">
        <is>
          <t>Leandro Oliveira de Sousa</t>
        </is>
      </c>
      <c r="C603" s="3" t="inlineStr">
        <is>
          <t>Técnico III</t>
        </is>
      </c>
      <c r="D603" s="3" t="n">
        <v>22</v>
      </c>
      <c r="E603" s="3" t="n">
        <v>21</v>
      </c>
      <c r="F603" s="3" t="n">
        <v>15.35</v>
      </c>
      <c r="G603" s="3" t="n">
        <v>0</v>
      </c>
      <c r="H603" s="3" t="n">
        <v>0</v>
      </c>
      <c r="I603" s="3">
        <f>E603+G603+H603</f>
        <v/>
      </c>
      <c r="J603" s="3">
        <f>IF(C603="Técnico III","35",IF(C603="Técnico II","28",IF(C603="Técnico I","23",IF(C603="JR","20",IF(C603="Estágio","10")))))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20</v>
      </c>
      <c r="N603" s="3" t="n">
        <v>100</v>
      </c>
      <c r="O603" s="3" t="n">
        <v>15.58441558441558</v>
      </c>
    </row>
    <row r="604">
      <c r="A604" s="5" t="n">
        <v>46163</v>
      </c>
      <c r="B604" s="6" t="inlineStr">
        <is>
          <t>Lizandra Gomes Duarte</t>
        </is>
      </c>
      <c r="C604" s="3" t="inlineStr">
        <is>
          <t>Técnico II</t>
        </is>
      </c>
      <c r="D604" s="3" t="n">
        <v>19</v>
      </c>
      <c r="E604" s="3" t="n">
        <v>19</v>
      </c>
      <c r="F604" s="3" t="n">
        <v>24.12</v>
      </c>
      <c r="G604" s="3" t="n">
        <v>0</v>
      </c>
      <c r="H604" s="3" t="n">
        <v>0</v>
      </c>
      <c r="I604" s="3">
        <f>E604+G604+H604</f>
        <v/>
      </c>
      <c r="J604" s="3">
        <f>IF(C604="Técnico III","35",IF(C604="Técnico II","28",IF(C604="Técnico I","23",IF(C604="JR","20",IF(C604="Estágio","10")))))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17</v>
      </c>
      <c r="N604" s="3" t="n">
        <v>98.61</v>
      </c>
      <c r="O604" s="3" t="n">
        <v>16.86746987951807</v>
      </c>
    </row>
    <row r="605">
      <c r="A605" s="5" t="n">
        <v>46163</v>
      </c>
      <c r="B605" s="6" t="inlineStr">
        <is>
          <t>Lorena Dias de Araujo</t>
        </is>
      </c>
      <c r="C605" s="3" t="inlineStr">
        <is>
          <t>Técnico II</t>
        </is>
      </c>
      <c r="D605" s="3" t="n">
        <v>18</v>
      </c>
      <c r="E605" s="3" t="n">
        <v>15</v>
      </c>
      <c r="F605" s="3" t="n">
        <v>8.49</v>
      </c>
      <c r="G605" s="3" t="n">
        <v>0</v>
      </c>
      <c r="H605" s="3" t="n">
        <v>0</v>
      </c>
      <c r="I605" s="3">
        <f>E605+G605+H605</f>
        <v/>
      </c>
      <c r="J605" s="3">
        <f>IF(C605="Técnico III","35",IF(C605="Técnico II","28",IF(C605="Técnico I","23",IF(C605="JR","20",IF(C605="Estágio","10")))))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15</v>
      </c>
      <c r="N605" s="3" t="n">
        <v>100</v>
      </c>
      <c r="O605" s="3" t="n">
        <v>20.82018927444795</v>
      </c>
    </row>
    <row r="606">
      <c r="A606" s="5" t="n">
        <v>46163</v>
      </c>
      <c r="B606" s="6" t="inlineStr">
        <is>
          <t>Lucas Luiz Romero</t>
        </is>
      </c>
      <c r="C606" s="3" t="inlineStr">
        <is>
          <t>Técnico III</t>
        </is>
      </c>
      <c r="D606" s="3" t="n">
        <v>29</v>
      </c>
      <c r="E606" s="3" t="n">
        <v>27</v>
      </c>
      <c r="F606" s="3" t="n">
        <v>15.54</v>
      </c>
      <c r="G606" s="3" t="n">
        <v>0</v>
      </c>
      <c r="H606" s="3" t="n">
        <v>0</v>
      </c>
      <c r="I606" s="3">
        <f>E606+G606+H606</f>
        <v/>
      </c>
      <c r="J606" s="3">
        <f>IF(C606="Técnico III","35",IF(C606="Técnico II","28",IF(C606="Técnico I","23",IF(C606="JR","20",IF(C606="Estágio","10")))))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4.347826086956522</v>
      </c>
    </row>
    <row r="607">
      <c r="A607" s="5" t="n">
        <v>46163</v>
      </c>
      <c r="B607" s="6" t="inlineStr">
        <is>
          <t>Luiz Fernando de Carvalho Junior</t>
        </is>
      </c>
      <c r="C607" s="3" t="inlineStr">
        <is>
          <t>Técnico I</t>
        </is>
      </c>
      <c r="D607" s="3" t="n">
        <v>22</v>
      </c>
      <c r="E607" s="3" t="n">
        <v>20</v>
      </c>
      <c r="F607" s="3" t="n">
        <v>11.46</v>
      </c>
      <c r="G607" s="3" t="n">
        <v>0</v>
      </c>
      <c r="H607" s="3" t="n">
        <v>0</v>
      </c>
      <c r="I607" s="3">
        <f>E607+G607+H607</f>
        <v/>
      </c>
      <c r="J607" s="3">
        <f>IF(C607="Técnico III","35",IF(C607="Técnico II","28",IF(C607="Técnico I","23",IF(C607="JR","20",IF(C607="Estágio","10")))))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21</v>
      </c>
      <c r="N607" s="3" t="n">
        <v>93.26000000000001</v>
      </c>
      <c r="O607" s="3" t="n">
        <v>19.93957703927493</v>
      </c>
    </row>
    <row r="608">
      <c r="A608" s="5" t="n">
        <v>46163</v>
      </c>
      <c r="B608" s="6" t="inlineStr">
        <is>
          <t>Maria Eduarda Sousa Costa</t>
        </is>
      </c>
      <c r="C608" s="3" t="inlineStr">
        <is>
          <t>Estágio</t>
        </is>
      </c>
      <c r="D608" s="3" t="n">
        <v>12</v>
      </c>
      <c r="E608" s="3" t="n">
        <v>12</v>
      </c>
      <c r="F608" s="3" t="n">
        <v>13.03</v>
      </c>
      <c r="G608" s="3" t="n">
        <v>0</v>
      </c>
      <c r="H608" s="3" t="n">
        <v>0</v>
      </c>
      <c r="I608" s="3">
        <f>E608+G608+H608</f>
        <v/>
      </c>
      <c r="J608" s="3">
        <f>IF(C608="Técnico III","35",IF(C608="Técnico II","28",IF(C608="Técnico I","23",IF(C608="JR","20",IF(C608="Estágio","10")))))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8</v>
      </c>
      <c r="N608" s="3" t="n">
        <v>100</v>
      </c>
      <c r="O608" s="3" t="n">
        <v>11.86440677966102</v>
      </c>
    </row>
    <row r="609">
      <c r="A609" s="5" t="n">
        <v>46163</v>
      </c>
      <c r="B609" s="6" t="inlineStr">
        <is>
          <t>Matheus Farias De Souza</t>
        </is>
      </c>
      <c r="C609" s="3" t="inlineStr">
        <is>
          <t>Técnico III</t>
        </is>
      </c>
      <c r="D609" s="3" t="n">
        <v>0</v>
      </c>
      <c r="E609" s="3" t="n">
        <v>0</v>
      </c>
      <c r="F609" s="3" t="n">
        <v>0</v>
      </c>
      <c r="G609" s="3" t="n">
        <v>0</v>
      </c>
      <c r="H609" s="3" t="n">
        <v>30</v>
      </c>
      <c r="I609" s="3">
        <f>E609+G609+H609</f>
        <v/>
      </c>
      <c r="J609" s="3">
        <f>IF(C609="Técnico III","35",IF(C609="Técnico II","28",IF(C609="Técnico I","23",IF(C609="JR","20",IF(C609="Estágio","10")))))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15</v>
      </c>
      <c r="N609" s="3" t="n">
        <v>98.28</v>
      </c>
      <c r="O609" s="3" t="n">
        <v>9.037900874635568</v>
      </c>
    </row>
    <row r="610">
      <c r="A610" s="5" t="n">
        <v>46163</v>
      </c>
      <c r="B610" s="6" t="inlineStr">
        <is>
          <t>Maysa Victoria Dias Moura</t>
        </is>
      </c>
      <c r="C610" s="3" t="inlineStr">
        <is>
          <t>Técnico III</t>
        </is>
      </c>
      <c r="D610" s="3" t="n">
        <v>27</v>
      </c>
      <c r="E610" s="3" t="n">
        <v>22</v>
      </c>
      <c r="F610" s="3" t="n">
        <v>9.16</v>
      </c>
      <c r="G610" s="3" t="n">
        <v>3</v>
      </c>
      <c r="H610" s="3" t="n">
        <v>0</v>
      </c>
      <c r="I610" s="3">
        <f>E610+G610+H610</f>
        <v/>
      </c>
      <c r="J610" s="3">
        <f>IF(C610="Técnico III","35",IF(C610="Técnico II","28",IF(C610="Técnico I","23",IF(C610="JR","20",IF(C610="Estágio","10")))))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21</v>
      </c>
      <c r="N610" s="3" t="n">
        <v>97.22</v>
      </c>
      <c r="O610" s="3" t="n">
        <v>19.09547738693467</v>
      </c>
    </row>
    <row r="611">
      <c r="A611" s="5" t="n">
        <v>46163</v>
      </c>
      <c r="B611" s="6" t="inlineStr">
        <is>
          <t>Michelle G Santos</t>
        </is>
      </c>
      <c r="C611" s="3" t="inlineStr">
        <is>
          <t>Estágio</t>
        </is>
      </c>
      <c r="D611" s="3" t="n">
        <v>14</v>
      </c>
      <c r="E611" s="3" t="n">
        <v>13</v>
      </c>
      <c r="F611" s="3" t="n">
        <v>20.34</v>
      </c>
      <c r="G611" s="3" t="n">
        <v>0</v>
      </c>
      <c r="H611" s="3" t="n">
        <v>0</v>
      </c>
      <c r="I611" s="3">
        <f>E611+G611+H611</f>
        <v/>
      </c>
      <c r="J611" s="3">
        <f>IF(C611="Técnico III","35",IF(C611="Técnico II","28",IF(C611="Técnico I","23",IF(C611="JR","20",IF(C611="Estágio","10")))))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8</v>
      </c>
      <c r="N611" s="3" t="n">
        <v>100</v>
      </c>
      <c r="O611" s="3" t="n">
        <v>16.8141592920354</v>
      </c>
    </row>
    <row r="612">
      <c r="A612" s="5" t="n">
        <v>46163</v>
      </c>
      <c r="B612" s="6" t="inlineStr">
        <is>
          <t>Milena Sales</t>
        </is>
      </c>
      <c r="C612" s="3" t="inlineStr">
        <is>
          <t>JR</t>
        </is>
      </c>
      <c r="D612" s="3" t="n">
        <v>26</v>
      </c>
      <c r="E612" s="3" t="n">
        <v>18</v>
      </c>
      <c r="F612" s="3" t="n">
        <v>12.17</v>
      </c>
      <c r="G612" s="3" t="n">
        <v>0</v>
      </c>
      <c r="H612" s="3" t="n">
        <v>0</v>
      </c>
      <c r="I612" s="3">
        <f>E612+G612+H612</f>
        <v/>
      </c>
      <c r="J612" s="3">
        <f>IF(C612="Técnico III","35",IF(C612="Técnico II","28",IF(C612="Técnico I","23",IF(C612="JR","20",IF(C612="Estágio","10")))))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98</v>
      </c>
      <c r="O612" s="3" t="n">
        <v>16.43835616438356</v>
      </c>
    </row>
    <row r="613">
      <c r="A613" s="5" t="n">
        <v>46163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0</v>
      </c>
      <c r="E613" s="3" t="n">
        <v>0</v>
      </c>
      <c r="F613" s="3" t="n">
        <v>0</v>
      </c>
      <c r="G613" s="3" t="n">
        <v>0</v>
      </c>
      <c r="H613" s="3" t="n">
        <v>0</v>
      </c>
      <c r="I613" s="3">
        <f>E613+G613+H613</f>
        <v/>
      </c>
      <c r="J613" s="3">
        <f>IF(C613="Técnico III","35",IF(C613="Técnico II","28",IF(C613="Técnico I","23",IF(C613="JR","20",IF(C613="Estágio","10")))))</f>
        <v/>
      </c>
      <c r="K613" s="3">
        <f>I613-J613</f>
        <v/>
      </c>
      <c r="L613" s="3">
        <f>IF(K613&lt;-5,"CRÍTICO",IF(K613&lt;0,"ATENÇÃO",IF(K613&lt;=5,"OPORTUNO","MUITO BOM")))</f>
        <v/>
      </c>
      <c r="M613" s="3" t="n">
        <v>0</v>
      </c>
      <c r="N613" s="3" t="n">
        <v>100</v>
      </c>
      <c r="O613" s="3" t="n">
        <v>16.89497716894977</v>
      </c>
    </row>
    <row r="614">
      <c r="A614" s="5" t="n">
        <v>46163</v>
      </c>
      <c r="B614" s="6" t="inlineStr">
        <is>
          <t>Paulo Ricardo Santos</t>
        </is>
      </c>
      <c r="C614" s="3" t="inlineStr">
        <is>
          <t>JR</t>
        </is>
      </c>
      <c r="D614" s="3" t="n">
        <v>10</v>
      </c>
      <c r="E614" s="3" t="n">
        <v>10</v>
      </c>
      <c r="F614" s="3" t="n">
        <v>20.18</v>
      </c>
      <c r="G614" s="3" t="n">
        <v>0</v>
      </c>
      <c r="H614" s="3" t="n">
        <v>0</v>
      </c>
      <c r="I614" s="3">
        <f>E614+G614+H614</f>
        <v/>
      </c>
      <c r="J614" s="3">
        <f>IF(C614="Técnico III","35",IF(C614="Técnico II","28",IF(C614="Técnico I","23",IF(C614="JR","20",IF(C614="Estágio","10")))))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12</v>
      </c>
      <c r="N614" s="3" t="n">
        <v>100</v>
      </c>
      <c r="O614" s="3" t="n">
        <v>19.13875598086124</v>
      </c>
    </row>
    <row r="615">
      <c r="A615" s="5" t="n">
        <v>46163</v>
      </c>
      <c r="B615" s="6" t="inlineStr">
        <is>
          <t>Pedro Luiz Mota Sousa</t>
        </is>
      </c>
      <c r="C615" s="3" t="inlineStr">
        <is>
          <t>JR</t>
        </is>
      </c>
      <c r="D615" s="3" t="n">
        <v>16</v>
      </c>
      <c r="E615" s="3" t="n">
        <v>14</v>
      </c>
      <c r="F615" s="3" t="n">
        <v>23.22</v>
      </c>
      <c r="G615" s="3" t="n">
        <v>0</v>
      </c>
      <c r="H615" s="3" t="n">
        <v>0</v>
      </c>
      <c r="I615" s="3">
        <f>E615+G615+H615</f>
        <v/>
      </c>
      <c r="J615" s="3">
        <f>IF(C615="Técnico III","35",IF(C615="Técnico II","28",IF(C615="Técnico I","23",IF(C615="JR","20",IF(C615="Estágio","10")))))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12</v>
      </c>
      <c r="N615" s="3" t="n">
        <v>100</v>
      </c>
      <c r="O615" s="3" t="n">
        <v>15.02145922746781</v>
      </c>
    </row>
    <row r="616">
      <c r="A616" s="5" t="n">
        <v>46163</v>
      </c>
      <c r="B616" s="6" t="inlineStr">
        <is>
          <t>Quirino Diogo Leite Torres</t>
        </is>
      </c>
      <c r="C616" s="3" t="inlineStr">
        <is>
          <t>Estágio</t>
        </is>
      </c>
      <c r="D616" s="3" t="n">
        <v>20</v>
      </c>
      <c r="E616" s="3" t="n">
        <v>18</v>
      </c>
      <c r="F616" s="3" t="n">
        <v>10.09</v>
      </c>
      <c r="G616" s="3" t="n">
        <v>0</v>
      </c>
      <c r="H616" s="3" t="n">
        <v>0</v>
      </c>
      <c r="I616" s="3">
        <f>E616+G616+H616</f>
        <v/>
      </c>
      <c r="J616" s="3">
        <f>IF(C616="Técnico III","35",IF(C616="Técnico II","28",IF(C616="Técnico I","23",IF(C616="JR","20",IF(C616="Estágio","10")))))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13</v>
      </c>
      <c r="N616" s="3" t="n">
        <v>98.11</v>
      </c>
      <c r="O616" s="3" t="n">
        <v>20.40816326530612</v>
      </c>
    </row>
    <row r="617">
      <c r="A617" s="5" t="n">
        <v>46163</v>
      </c>
      <c r="B617" s="6" t="inlineStr">
        <is>
          <t>Raane Batista Matos</t>
        </is>
      </c>
      <c r="C617" s="3" t="inlineStr">
        <is>
          <t>Técnico I</t>
        </is>
      </c>
      <c r="D617" s="3" t="n">
        <v>27</v>
      </c>
      <c r="E617" s="3" t="n">
        <v>27</v>
      </c>
      <c r="F617" s="3" t="n">
        <v>15.1</v>
      </c>
      <c r="G617" s="3" t="n">
        <v>0</v>
      </c>
      <c r="H617" s="3" t="n">
        <v>0</v>
      </c>
      <c r="I617" s="3">
        <f>E617+G617+H617</f>
        <v/>
      </c>
      <c r="J617" s="3">
        <f>IF(C617="Técnico III","35",IF(C617="Técnico II","28",IF(C617="Técnico I","23",IF(C617="JR","20",IF(C617="Estágio","10")))))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20</v>
      </c>
      <c r="N617" s="3" t="n">
        <v>97.56</v>
      </c>
      <c r="O617" s="3" t="n">
        <v>19.28783382789317</v>
      </c>
    </row>
    <row r="618">
      <c r="A618" s="5" t="n">
        <v>46163</v>
      </c>
      <c r="B618" s="6" t="inlineStr">
        <is>
          <t>Rafael Gomes de Morais</t>
        </is>
      </c>
      <c r="C618" s="3" t="inlineStr">
        <is>
          <t>Técnico III</t>
        </is>
      </c>
      <c r="D618" s="3" t="n">
        <v>35</v>
      </c>
      <c r="E618" s="3" t="n">
        <v>31</v>
      </c>
      <c r="F618" s="3" t="n">
        <v>8.300000000000001</v>
      </c>
      <c r="G618" s="3" t="n">
        <v>2</v>
      </c>
      <c r="H618" s="3" t="n">
        <v>0</v>
      </c>
      <c r="I618" s="3">
        <f>E618+G618+H618</f>
        <v/>
      </c>
      <c r="J618" s="3">
        <f>IF(C618="Técnico III","35",IF(C618="Técnico II","28",IF(C618="Técnico I","23",IF(C618="JR","20",IF(C618="Estágio","10")))))</f>
        <v/>
      </c>
      <c r="K618" s="3">
        <f>I618-J618</f>
        <v/>
      </c>
      <c r="L618" s="3">
        <f>IF(K618&lt;-5,"CRÍTICO",IF(K618&lt;0,"ATENÇÃO",IF(K618&lt;=5,"OPORTUNO","MUITO BOM")))</f>
        <v/>
      </c>
      <c r="M618" s="3" t="n">
        <v>22</v>
      </c>
      <c r="N618" s="3" t="n">
        <v>99.29000000000001</v>
      </c>
      <c r="O618" s="3" t="n">
        <v>22.49443207126949</v>
      </c>
    </row>
    <row r="619">
      <c r="A619" s="5" t="n">
        <v>46163</v>
      </c>
      <c r="B619" s="6" t="inlineStr">
        <is>
          <t>Sara Maria Monteiro Lopes</t>
        </is>
      </c>
      <c r="C619" s="3" t="inlineStr">
        <is>
          <t>Técnico I</t>
        </is>
      </c>
      <c r="D619" s="3" t="n">
        <v>12</v>
      </c>
      <c r="E619" s="3" t="n">
        <v>12</v>
      </c>
      <c r="F619" s="3" t="n">
        <v>26.42</v>
      </c>
      <c r="G619" s="3" t="n">
        <v>0</v>
      </c>
      <c r="H619" s="3" t="n">
        <v>0</v>
      </c>
      <c r="I619" s="3">
        <f>E619+G619+H619</f>
        <v/>
      </c>
      <c r="J619" s="3">
        <f>IF(C619="Técnico III","35",IF(C619="Técnico II","28",IF(C619="Técnico I","23",IF(C619="JR","20",IF(C619="Estágio","10")))))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10</v>
      </c>
      <c r="N619" s="3" t="n">
        <v>100</v>
      </c>
      <c r="O619" s="3" t="n">
        <v>16.97247706422019</v>
      </c>
    </row>
    <row r="620">
      <c r="A620" s="5" t="n">
        <v>46163</v>
      </c>
      <c r="B620" s="6" t="inlineStr">
        <is>
          <t>Sarah Steffanie de Lima Borges</t>
        </is>
      </c>
      <c r="C620" s="3" t="inlineStr">
        <is>
          <t>Técnico III</t>
        </is>
      </c>
      <c r="D620" s="3" t="n">
        <v>23</v>
      </c>
      <c r="E620" s="3" t="n">
        <v>22</v>
      </c>
      <c r="F620" s="3" t="n">
        <v>10.28</v>
      </c>
      <c r="G620" s="3" t="n">
        <v>1</v>
      </c>
      <c r="H620" s="3" t="n">
        <v>0</v>
      </c>
      <c r="I620" s="3">
        <f>E620+G620+H620</f>
        <v/>
      </c>
      <c r="J620" s="3">
        <f>IF(C620="Técnico III","35",IF(C620="Técnico II","28",IF(C620="Técnico I","23",IF(C620="JR","20",IF(C620="Estágio","10")))))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21</v>
      </c>
      <c r="N620" s="3" t="n">
        <v>97.33</v>
      </c>
      <c r="O620" s="3" t="n">
        <v>15.80547112462006</v>
      </c>
    </row>
    <row r="621">
      <c r="A621" s="10" t="n">
        <v>46164</v>
      </c>
      <c r="B621" s="6" t="inlineStr">
        <is>
          <t>Alisson de Freitas Silva</t>
        </is>
      </c>
      <c r="C621" s="3" t="inlineStr">
        <is>
          <t>Técnico II</t>
        </is>
      </c>
      <c r="D621" s="3" t="n">
        <v>23</v>
      </c>
      <c r="E621" s="3" t="n">
        <v>15</v>
      </c>
      <c r="F621" s="3" t="n">
        <v>15.08</v>
      </c>
      <c r="G621" s="3" t="n">
        <v>1</v>
      </c>
      <c r="I621" s="3">
        <f>E621+G621+H621</f>
        <v/>
      </c>
      <c r="J621" s="3">
        <f>IF(C621="Técnico III","35",IF(C621="Técnico II","28",IF(C621="Técnico I","23",IF(C621="JR","20",IF(C621="Estágio","10")))))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11</v>
      </c>
      <c r="N621" s="3" t="n">
        <v>98.94</v>
      </c>
      <c r="O621" s="3" t="n">
        <v>19.61414790996785</v>
      </c>
    </row>
    <row r="622">
      <c r="A622" s="10" t="n">
        <v>46164</v>
      </c>
      <c r="B622" s="6" t="inlineStr">
        <is>
          <t>Amanda Moura Ferreira</t>
        </is>
      </c>
      <c r="C622" s="3" t="inlineStr">
        <is>
          <t>Técnico III</t>
        </is>
      </c>
      <c r="D622" s="3" t="n">
        <v>3</v>
      </c>
      <c r="E622" s="3" t="n">
        <v>3</v>
      </c>
      <c r="F622" s="3" t="n">
        <v>20.14</v>
      </c>
      <c r="G622" s="3" t="n">
        <v>0</v>
      </c>
      <c r="I622" s="3">
        <f>E622+G622+H622</f>
        <v/>
      </c>
      <c r="J622" s="3">
        <f>IF(C622="Técnico III","35",IF(C622="Técnico II","28",IF(C622="Técnico I","23",IF(C622="JR","20",IF(C622="Estágio","10")))))</f>
        <v/>
      </c>
      <c r="K622" s="3">
        <f>I622-J622</f>
        <v/>
      </c>
      <c r="L622" s="3">
        <f>IF(K622&lt;-5,"CRÍTICO",IF(K622&lt;0,"ATENÇÃO",IF(K622&lt;=5,"OPORTUNO","MUITO BOM")))</f>
        <v/>
      </c>
      <c r="M622" s="3" t="n">
        <v>0</v>
      </c>
      <c r="N622" s="3" t="n">
        <v>100</v>
      </c>
      <c r="O622" s="3" t="n">
        <v>0</v>
      </c>
    </row>
    <row r="623">
      <c r="A623" s="10" t="n">
        <v>46164</v>
      </c>
      <c r="B623" s="6" t="inlineStr">
        <is>
          <t>Ana Karollyne Souza Faria</t>
        </is>
      </c>
      <c r="C623" s="3" t="inlineStr">
        <is>
          <t>Técnico I</t>
        </is>
      </c>
      <c r="G623" s="3" t="n">
        <v>3</v>
      </c>
      <c r="I623" s="3">
        <f>E623+G623+H623</f>
        <v/>
      </c>
      <c r="J623" s="3">
        <f>IF(C623="Técnico III","35",IF(C623="Técnico II","28",IF(C623="Técnico I","23",IF(C623="JR","20",IF(C623="Estágio","10")))))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10</v>
      </c>
      <c r="N623" s="3" t="n">
        <v>95.38</v>
      </c>
      <c r="O623" s="3" t="n">
        <v>21.5962441314554</v>
      </c>
    </row>
    <row r="624">
      <c r="A624" s="10" t="n">
        <v>46164</v>
      </c>
      <c r="B624" s="6" t="inlineStr">
        <is>
          <t>Ana Paula Da Luz Silva Aleixo</t>
        </is>
      </c>
      <c r="C624" s="3" t="inlineStr">
        <is>
          <t>Técnico III</t>
        </is>
      </c>
      <c r="D624" s="3" t="n">
        <v>20</v>
      </c>
      <c r="E624" s="3" t="n">
        <v>20</v>
      </c>
      <c r="F624" s="3" t="n">
        <v>20.44</v>
      </c>
      <c r="G624" s="3" t="n">
        <v>3</v>
      </c>
      <c r="I624" s="3">
        <f>E624+G624+H624</f>
        <v/>
      </c>
      <c r="J624" s="3">
        <f>IF(C624="Técnico III","35",IF(C624="Técnico II","28",IF(C624="Técnico I","23",IF(C624="JR","20",IF(C624="Estágio","10")))))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16</v>
      </c>
      <c r="N624" s="3" t="n">
        <v>96.34</v>
      </c>
      <c r="O624" s="3" t="n">
        <v>17.57188498402556</v>
      </c>
    </row>
    <row r="625">
      <c r="A625" s="10" t="n">
        <v>46164</v>
      </c>
      <c r="B625" s="6" t="inlineStr">
        <is>
          <t>Anna Luiza Rezende Tavares</t>
        </is>
      </c>
      <c r="C625" s="3" t="inlineStr">
        <is>
          <t>JR</t>
        </is>
      </c>
      <c r="G625" s="3" t="n">
        <v>0</v>
      </c>
      <c r="I625" s="3">
        <f>E625+G625+H625</f>
        <v/>
      </c>
      <c r="J625" s="3">
        <f>IF(C625="Técnico III","35",IF(C625="Técnico II","28",IF(C625="Técnico I","23",IF(C625="JR","20",IF(C625="Estágio","10")))))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18</v>
      </c>
      <c r="N625" s="3" t="n">
        <v>99.11</v>
      </c>
      <c r="O625" s="3" t="n">
        <v>17.72151898734177</v>
      </c>
    </row>
    <row r="626">
      <c r="A626" s="10" t="n">
        <v>46164</v>
      </c>
      <c r="B626" s="6" t="inlineStr">
        <is>
          <t>Brenda de Menezes Silva</t>
        </is>
      </c>
      <c r="C626" s="3" t="inlineStr">
        <is>
          <t>Técnico II</t>
        </is>
      </c>
      <c r="G626" s="3" t="n">
        <v>6</v>
      </c>
      <c r="I626" s="3">
        <f>E626+G626+H626</f>
        <v/>
      </c>
      <c r="J626" s="3">
        <f>IF(C626="Técnico III","35",IF(C626="Técnico II","28",IF(C626="Técnico I","23",IF(C626="JR","20",IF(C626="Estágio","10")))))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24</v>
      </c>
      <c r="N626" s="3" t="n">
        <v>99.13</v>
      </c>
      <c r="O626" s="3" t="n">
        <v>14.7239263803681</v>
      </c>
    </row>
    <row r="627">
      <c r="A627" s="10" t="n">
        <v>46164</v>
      </c>
      <c r="B627" s="6" t="inlineStr">
        <is>
          <t>Carlos Mateus Cassimiro Nunes</t>
        </is>
      </c>
      <c r="C627" s="3" t="inlineStr">
        <is>
          <t>Técnico II</t>
        </is>
      </c>
      <c r="G627" s="3" t="n">
        <v>0</v>
      </c>
      <c r="I627" s="3">
        <f>E627+G627+H627</f>
        <v/>
      </c>
      <c r="J627" s="3">
        <f>IF(C627="Técnico III","35",IF(C627="Técnico II","28",IF(C627="Técnico I","23",IF(C627="JR","20",IF(C627="Estágio","10")))))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12</v>
      </c>
      <c r="N627" s="3" t="n">
        <v>98.8</v>
      </c>
      <c r="O627" s="3" t="n">
        <v>16.89750692520776</v>
      </c>
    </row>
    <row r="628">
      <c r="A628" s="10" t="n">
        <v>46164</v>
      </c>
      <c r="B628" s="6" t="inlineStr">
        <is>
          <t>Claudio de Sousa Velasco Filho</t>
        </is>
      </c>
      <c r="C628" s="3" t="inlineStr">
        <is>
          <t>Estágio</t>
        </is>
      </c>
      <c r="G628" s="3" t="n">
        <v>0</v>
      </c>
      <c r="I628" s="3">
        <f>E628+G628+H628</f>
        <v/>
      </c>
      <c r="J628" s="3">
        <f>IF(C628="Técnico III","35",IF(C628="Técnico II","28",IF(C628="Técnico I","23",IF(C628="JR","20",IF(C628="Estágio","10")))))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</v>
      </c>
      <c r="N628" s="3" t="n">
        <v>96.43000000000001</v>
      </c>
      <c r="O628" s="3" t="n">
        <v>20</v>
      </c>
    </row>
    <row r="629">
      <c r="A629" s="10" t="n">
        <v>46164</v>
      </c>
      <c r="B629" s="6" t="inlineStr">
        <is>
          <t>Clessiane Pereira dos Santos</t>
        </is>
      </c>
      <c r="C629" s="3" t="inlineStr">
        <is>
          <t>Técnico I</t>
        </is>
      </c>
      <c r="D629" s="3" t="n">
        <v>15</v>
      </c>
      <c r="E629" s="3" t="n">
        <v>14</v>
      </c>
      <c r="F629" s="3" t="n">
        <v>12.06</v>
      </c>
      <c r="G629" s="3" t="n">
        <v>0</v>
      </c>
      <c r="I629" s="3">
        <f>E629+G629+H629</f>
        <v/>
      </c>
      <c r="J629" s="3">
        <f>IF(C629="Técnico III","35",IF(C629="Técnico II","28",IF(C629="Técnico I","23",IF(C629="JR","20",IF(C629="Estágio","10")))))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12</v>
      </c>
      <c r="N629" s="3" t="n">
        <v>96.88</v>
      </c>
      <c r="O629" s="3" t="n">
        <v>19.52662721893491</v>
      </c>
    </row>
    <row r="630">
      <c r="A630" s="10" t="n">
        <v>46164</v>
      </c>
      <c r="B630" s="6" t="inlineStr">
        <is>
          <t>Cristiane Ramos da Silva Rocha</t>
        </is>
      </c>
      <c r="C630" s="3" t="inlineStr">
        <is>
          <t>Técnico III</t>
        </is>
      </c>
      <c r="G630" s="3" t="n">
        <v>0</v>
      </c>
      <c r="I630" s="3">
        <f>E630+G630+H630</f>
        <v/>
      </c>
      <c r="J630" s="3">
        <f>IF(C630="Técnico III","35",IF(C630="Técnico II","28",IF(C630="Técnico I","23",IF(C630="JR","20",IF(C630="Estágio","10")))))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22</v>
      </c>
      <c r="N630" s="3" t="n">
        <v>91.84999999999999</v>
      </c>
      <c r="O630" s="3" t="n">
        <v>20.87155963302752</v>
      </c>
    </row>
    <row r="631">
      <c r="A631" s="10" t="n">
        <v>46164</v>
      </c>
      <c r="B631" s="6" t="inlineStr">
        <is>
          <t>Damyllis Lorraine de Oliveira Gonçalves</t>
        </is>
      </c>
      <c r="C631" s="3" t="inlineStr">
        <is>
          <t>Técnico II</t>
        </is>
      </c>
      <c r="G631" s="3" t="n">
        <v>0</v>
      </c>
      <c r="I631" s="3">
        <f>E631+G631+H631</f>
        <v/>
      </c>
      <c r="J631" s="3">
        <f>IF(C631="Técnico III","35",IF(C631="Técnico II","28",IF(C631="Técnico I","23",IF(C631="JR","20",IF(C631="Estágio","10")))))</f>
        <v/>
      </c>
      <c r="K631" s="3">
        <f>I631-J631</f>
        <v/>
      </c>
      <c r="L631" s="3">
        <f>IF(K631&lt;-5,"CRÍTICO",IF(K631&lt;0,"ATENÇÃO",IF(K631&lt;=5,"OPORTUNO","MUITO BOM")))</f>
        <v/>
      </c>
      <c r="M631" s="3" t="n">
        <v>0</v>
      </c>
      <c r="N631" s="3" t="n">
        <v>98.63</v>
      </c>
      <c r="O631" s="3" t="n">
        <v>18.75</v>
      </c>
    </row>
    <row r="632">
      <c r="A632" s="10" t="n">
        <v>46164</v>
      </c>
      <c r="B632" s="6" t="inlineStr">
        <is>
          <t>Daniel Gomes da Silva</t>
        </is>
      </c>
      <c r="C632" s="3" t="inlineStr">
        <is>
          <t>Técnico I</t>
        </is>
      </c>
      <c r="D632" s="3" t="n">
        <v>24</v>
      </c>
      <c r="E632" s="3" t="n">
        <v>23</v>
      </c>
      <c r="F632" s="3" t="n">
        <v>10.35</v>
      </c>
      <c r="G632" s="3" t="n">
        <v>0</v>
      </c>
      <c r="I632" s="3">
        <f>E632+G632+H632</f>
        <v/>
      </c>
      <c r="J632" s="3">
        <f>IF(C632="Técnico III","35",IF(C632="Técnico II","28",IF(C632="Técnico I","23",IF(C632="JR","20",IF(C632="Estágio","10")))))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18</v>
      </c>
      <c r="N632" s="3" t="n">
        <v>100</v>
      </c>
      <c r="O632" s="3" t="n">
        <v>18.14516129032258</v>
      </c>
    </row>
    <row r="633">
      <c r="A633" s="10" t="n">
        <v>46164</v>
      </c>
      <c r="B633" s="6" t="inlineStr">
        <is>
          <t>Davylla Rodrigues Freitas Silva</t>
        </is>
      </c>
      <c r="C633" s="3" t="inlineStr">
        <is>
          <t>Técnico III</t>
        </is>
      </c>
      <c r="G633" s="3" t="n">
        <v>0</v>
      </c>
      <c r="I633" s="3">
        <f>E633+G633+H633</f>
        <v/>
      </c>
      <c r="J633" s="3">
        <f>IF(C633="Técnico III","35",IF(C633="Técnico II","28",IF(C633="Técnico I","23",IF(C633="JR","20",IF(C633="Estágio","10")))))</f>
        <v/>
      </c>
      <c r="K633" s="3">
        <f>I633-J633</f>
        <v/>
      </c>
      <c r="L633" s="3">
        <f>IF(K633&lt;-5,"CRÍTICO",IF(K633&lt;0,"ATENÇÃO",IF(K633&lt;=5,"OPORTUNO","MUITO BOM")))</f>
        <v/>
      </c>
      <c r="M633" s="3" t="n">
        <v>0</v>
      </c>
      <c r="N633" s="3" t="n">
        <v>99.06</v>
      </c>
      <c r="O633" s="3" t="n">
        <v>22.95719844357977</v>
      </c>
    </row>
    <row r="634">
      <c r="A634" s="10" t="n">
        <v>46164</v>
      </c>
      <c r="B634" s="6" t="inlineStr">
        <is>
          <t>Emilly Caylane Costa</t>
        </is>
      </c>
      <c r="C634" s="3" t="inlineStr">
        <is>
          <t>Estágio</t>
        </is>
      </c>
      <c r="D634" s="3" t="n">
        <v>6</v>
      </c>
      <c r="E634" s="3" t="n">
        <v>6</v>
      </c>
      <c r="F634" s="3" t="n">
        <v>36.58</v>
      </c>
      <c r="G634" s="3" t="n">
        <v>0</v>
      </c>
      <c r="I634" s="3">
        <f>E634+G634+H634</f>
        <v/>
      </c>
      <c r="J634" s="3">
        <f>IF(C634="Técnico III","35",IF(C634="Técnico II","28",IF(C634="Técnico I","23",IF(C634="JR","20",IF(C634="Estágio","10")))))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6</v>
      </c>
      <c r="N634" s="3" t="n">
        <v>100</v>
      </c>
      <c r="O634" s="3" t="n">
        <v>29.03225806451613</v>
      </c>
    </row>
    <row r="635">
      <c r="A635" s="10" t="n">
        <v>46164</v>
      </c>
      <c r="B635" s="6" t="inlineStr">
        <is>
          <t>Emilly Kamilly Medeiros Miranda</t>
        </is>
      </c>
      <c r="C635" s="3" t="inlineStr">
        <is>
          <t>Técnico II</t>
        </is>
      </c>
      <c r="G635" s="3" t="n">
        <v>1</v>
      </c>
      <c r="I635" s="3">
        <f>E635+G635+H635</f>
        <v/>
      </c>
      <c r="J635" s="3">
        <f>IF(C635="Técnico III","35",IF(C635="Técnico II","28",IF(C635="Técnico I","23",IF(C635="JR","20",IF(C635="Estágio","10")))))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15</v>
      </c>
      <c r="N635" s="3" t="n">
        <v>100</v>
      </c>
      <c r="O635" s="3" t="n">
        <v>13.8121546961326</v>
      </c>
    </row>
    <row r="636">
      <c r="A636" s="10" t="n">
        <v>46164</v>
      </c>
      <c r="B636" s="6" t="inlineStr">
        <is>
          <t>Francielson de Oliveira</t>
        </is>
      </c>
      <c r="C636" s="3" t="inlineStr">
        <is>
          <t>Técnico III</t>
        </is>
      </c>
      <c r="G636" s="3" t="n">
        <v>1</v>
      </c>
      <c r="I636" s="3">
        <f>E636+G636+H636</f>
        <v/>
      </c>
      <c r="J636" s="3">
        <f>IF(C636="Técnico III","35",IF(C636="Técnico II","28",IF(C636="Técnico I","23",IF(C636="JR","20",IF(C636="Estágio","10")))))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10</v>
      </c>
      <c r="N636" s="3" t="n">
        <v>100</v>
      </c>
      <c r="O636" s="3" t="n">
        <v>9.523809523809524</v>
      </c>
    </row>
    <row r="637">
      <c r="A637" s="10" t="n">
        <v>46164</v>
      </c>
      <c r="B637" s="6" t="inlineStr">
        <is>
          <t>Francilene Ferreira de Jesus</t>
        </is>
      </c>
      <c r="C637" s="3" t="inlineStr">
        <is>
          <t>Técnico II</t>
        </is>
      </c>
      <c r="G637" s="3" t="n">
        <v>0</v>
      </c>
      <c r="I637" s="3">
        <f>E637+G637+H637</f>
        <v/>
      </c>
      <c r="J637" s="3">
        <f>IF(C637="Técnico III","35",IF(C637="Técnico II","28",IF(C637="Técnico I","23",IF(C637="JR","20",IF(C637="Estágio","10")))))</f>
        <v/>
      </c>
      <c r="K637" s="3">
        <f>I637-J637</f>
        <v/>
      </c>
      <c r="L637" s="3">
        <f>IF(K637&lt;-5,"CRÍTICO",IF(K637&lt;0,"ATENÇÃO",IF(K637&lt;=5,"OPORTUNO","MUITO BOM")))</f>
        <v/>
      </c>
      <c r="M637" s="3" t="n">
        <v>0</v>
      </c>
      <c r="N637" s="3" t="n">
        <v>100</v>
      </c>
      <c r="O637" s="3" t="n">
        <v>17.24137931034483</v>
      </c>
    </row>
    <row r="638">
      <c r="A638" s="10" t="n">
        <v>46164</v>
      </c>
      <c r="B638" s="6" t="inlineStr">
        <is>
          <t>Gabriel Alves</t>
        </is>
      </c>
      <c r="C638" s="3" t="inlineStr">
        <is>
          <t>Estágio</t>
        </is>
      </c>
      <c r="G638" s="3" t="n">
        <v>0</v>
      </c>
      <c r="I638" s="3">
        <f>E638+G638+H638</f>
        <v/>
      </c>
      <c r="J638" s="3">
        <f>IF(C638="Técnico III","35",IF(C638="Técnico II","28",IF(C638="Técnico I","23",IF(C638="JR","20",IF(C638="Estágio","10")))))</f>
        <v/>
      </c>
      <c r="K638" s="3">
        <f>I638-J638</f>
        <v/>
      </c>
      <c r="L638" s="3">
        <f>IF(K638&lt;-5,"CRÍTICO",IF(K638&lt;0,"ATENÇÃO",IF(K638&lt;=5,"OPORTUNO","MUITO BOM")))</f>
        <v/>
      </c>
      <c r="M638" s="3" t="n">
        <v>0</v>
      </c>
      <c r="N638" s="3" t="n">
        <v>100</v>
      </c>
      <c r="O638" s="3" t="n">
        <v>14.28571428571428</v>
      </c>
    </row>
    <row r="639">
      <c r="A639" s="10" t="n">
        <v>46164</v>
      </c>
      <c r="B639" s="6" t="inlineStr">
        <is>
          <t>Gabriel Gomes de Andrade</t>
        </is>
      </c>
      <c r="C639" s="3" t="inlineStr">
        <is>
          <t>Técnico I</t>
        </is>
      </c>
      <c r="D639" s="3" t="n">
        <v>8</v>
      </c>
      <c r="E639" s="3" t="n">
        <v>7</v>
      </c>
      <c r="F639" s="3" t="n">
        <v>18.34</v>
      </c>
      <c r="G639" s="3" t="n">
        <v>0</v>
      </c>
      <c r="I639" s="3">
        <f>E639+G639+H639</f>
        <v/>
      </c>
      <c r="J639" s="3">
        <f>IF(C639="Técnico III","35",IF(C639="Técnico II","28",IF(C639="Técnico I","23",IF(C639="JR","20",IF(C639="Estágio","10")))))</f>
        <v/>
      </c>
      <c r="K639" s="3">
        <f>I639-J639</f>
        <v/>
      </c>
      <c r="L639" s="3">
        <f>IF(K639&lt;-5,"CRÍTICO",IF(K639&lt;0,"ATENÇÃO",IF(K639&lt;=5,"OPORTUNO","MUITO BOM")))</f>
        <v/>
      </c>
      <c r="M639" s="3" t="n">
        <v>7</v>
      </c>
      <c r="N639" s="3" t="n">
        <v>98.8</v>
      </c>
      <c r="O639" s="3" t="n">
        <v>15.41353383458646</v>
      </c>
    </row>
    <row r="640">
      <c r="A640" s="10" t="n">
        <v>46164</v>
      </c>
      <c r="B640" s="6" t="inlineStr">
        <is>
          <t>Isabella Borges de Oliveira</t>
        </is>
      </c>
      <c r="C640" s="3" t="inlineStr">
        <is>
          <t>Técnico II</t>
        </is>
      </c>
      <c r="D640" s="3" t="n">
        <v>15</v>
      </c>
      <c r="E640" s="3" t="n">
        <v>15</v>
      </c>
      <c r="F640" s="3" t="n">
        <v>28.35</v>
      </c>
      <c r="G640" s="3" t="n">
        <v>0</v>
      </c>
      <c r="I640" s="3">
        <f>E640+G640+H640</f>
        <v/>
      </c>
      <c r="J640" s="3">
        <f>IF(C640="Técnico III","35",IF(C640="Técnico II","28",IF(C640="Técnico I","23",IF(C640="JR","20",IF(C640="Estágio","10")))))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14</v>
      </c>
      <c r="N640" s="3" t="n">
        <v>98.63</v>
      </c>
      <c r="O640" s="3" t="n">
        <v>15.75757575757576</v>
      </c>
    </row>
    <row r="641">
      <c r="A641" s="10" t="n">
        <v>46164</v>
      </c>
      <c r="B641" s="6" t="inlineStr">
        <is>
          <t>Janaina Lima dos Reis Urany</t>
        </is>
      </c>
      <c r="C641" s="3" t="inlineStr">
        <is>
          <t>Técnico III</t>
        </is>
      </c>
      <c r="D641" s="3" t="n">
        <v>28</v>
      </c>
      <c r="E641" s="3" t="n">
        <v>26</v>
      </c>
      <c r="F641" s="3" t="n">
        <v>12.35</v>
      </c>
      <c r="G641" s="3" t="n">
        <v>5</v>
      </c>
      <c r="I641" s="3">
        <f>E641+G641+H641</f>
        <v/>
      </c>
      <c r="J641" s="3">
        <f>IF(C641="Técnico III","35",IF(C641="Técnico II","28",IF(C641="Técnico I","23",IF(C641="JR","20",IF(C641="Estágio","10")))))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98.64</v>
      </c>
      <c r="O641" s="3" t="n">
        <v>16.6383701188455</v>
      </c>
    </row>
    <row r="642">
      <c r="A642" s="10" t="n">
        <v>46164</v>
      </c>
      <c r="B642" s="6" t="inlineStr">
        <is>
          <t>Jaqueline Evangelista da Silva Martins</t>
        </is>
      </c>
      <c r="C642" s="3" t="inlineStr">
        <is>
          <t>Técnico III</t>
        </is>
      </c>
      <c r="D642" s="3" t="n">
        <v>14</v>
      </c>
      <c r="E642" s="3" t="n">
        <v>14</v>
      </c>
      <c r="F642" s="3" t="n">
        <v>21.55</v>
      </c>
      <c r="G642" s="3" t="n">
        <v>0</v>
      </c>
      <c r="I642" s="3">
        <f>E642+G642+H642</f>
        <v/>
      </c>
      <c r="J642" s="3">
        <f>IF(C642="Técnico III","35",IF(C642="Técnico II","28",IF(C642="Técnico I","23",IF(C642="JR","20",IF(C642="Estágio","10")))))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14</v>
      </c>
      <c r="N642" s="3" t="n">
        <v>95.40000000000001</v>
      </c>
      <c r="O642" s="3" t="n">
        <v>20.53333333333333</v>
      </c>
    </row>
    <row r="643">
      <c r="A643" s="10" t="n">
        <v>46164</v>
      </c>
      <c r="B643" s="6" t="inlineStr">
        <is>
          <t>Jessica Faria da Silveira</t>
        </is>
      </c>
      <c r="C643" s="3" t="inlineStr">
        <is>
          <t>Técnico II</t>
        </is>
      </c>
      <c r="D643" s="3" t="n">
        <v>13</v>
      </c>
      <c r="E643" s="3" t="n">
        <v>12</v>
      </c>
      <c r="F643" s="3" t="n">
        <v>11.42</v>
      </c>
      <c r="G643" s="3" t="n">
        <v>1</v>
      </c>
      <c r="I643" s="3">
        <f>E643+G643+H643</f>
        <v/>
      </c>
      <c r="J643" s="3">
        <f>IF(C643="Técnico III","35",IF(C643="Técnico II","28",IF(C643="Técnico I","23",IF(C643="JR","20",IF(C643="Estágio","10")))))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10</v>
      </c>
      <c r="N643" s="3" t="n">
        <v>98.61</v>
      </c>
      <c r="O643" s="3" t="n">
        <v>16.97530864197531</v>
      </c>
    </row>
    <row r="644">
      <c r="A644" s="10" t="n">
        <v>46164</v>
      </c>
      <c r="B644" s="6" t="inlineStr">
        <is>
          <t>Jéssica Fé Moura</t>
        </is>
      </c>
      <c r="C644" s="3" t="inlineStr">
        <is>
          <t>Técnico III</t>
        </is>
      </c>
      <c r="G644" s="3" t="n">
        <v>0</v>
      </c>
      <c r="I644" s="3">
        <f>E644+G644+H644</f>
        <v/>
      </c>
      <c r="J644" s="3">
        <f>IF(C644="Técnico III","35",IF(C644="Técnico II","28",IF(C644="Técnico I","23",IF(C644="JR","20",IF(C644="Estágio","10")))))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0</v>
      </c>
      <c r="N644" s="3" t="n">
        <v>0</v>
      </c>
      <c r="O644" s="3" t="n">
        <v>0</v>
      </c>
    </row>
    <row r="645">
      <c r="A645" s="10" t="n">
        <v>46164</v>
      </c>
      <c r="B645" s="6" t="inlineStr">
        <is>
          <t>Karina Gonçalves Martins</t>
        </is>
      </c>
      <c r="C645" s="3" t="inlineStr">
        <is>
          <t>JR</t>
        </is>
      </c>
      <c r="D645" s="3" t="n">
        <v>19</v>
      </c>
      <c r="E645" s="3" t="n">
        <v>19</v>
      </c>
      <c r="F645" s="3" t="n">
        <v>21.43</v>
      </c>
      <c r="G645" s="3" t="n">
        <v>0</v>
      </c>
      <c r="I645" s="3">
        <f>E645+G645+H645</f>
        <v/>
      </c>
      <c r="J645" s="3">
        <f>IF(C645="Técnico III","35",IF(C645="Técnico II","28",IF(C645="Técnico I","23",IF(C645="JR","20",IF(C645="Estágio","10")))))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20</v>
      </c>
      <c r="N645" s="3" t="n">
        <v>97.01000000000001</v>
      </c>
      <c r="O645" s="3" t="n">
        <v>13.96103896103896</v>
      </c>
    </row>
    <row r="646">
      <c r="A646" s="10" t="n">
        <v>46164</v>
      </c>
      <c r="B646" s="6" t="inlineStr">
        <is>
          <t>Kerollen Cristielly de Jesus Siqueira</t>
        </is>
      </c>
      <c r="C646" s="3" t="inlineStr">
        <is>
          <t>Técnico III</t>
        </is>
      </c>
      <c r="G646" s="3" t="n">
        <v>0</v>
      </c>
      <c r="I646" s="3">
        <f>E646+G646+H646</f>
        <v/>
      </c>
      <c r="J646" s="3">
        <f>IF(C646="Técnico III","35",IF(C646="Técnico II","28",IF(C646="Técnico I","23",IF(C646="JR","20",IF(C646="Estágio","10")))))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21</v>
      </c>
      <c r="N646" s="3" t="n">
        <v>95.52</v>
      </c>
      <c r="O646" s="3" t="n">
        <v>10.56105610561056</v>
      </c>
    </row>
    <row r="647">
      <c r="A647" s="10" t="n">
        <v>46164</v>
      </c>
      <c r="B647" s="6" t="inlineStr">
        <is>
          <t>Leandro de Souza Silva</t>
        </is>
      </c>
      <c r="C647" s="3" t="inlineStr">
        <is>
          <t>JR</t>
        </is>
      </c>
      <c r="D647" s="3" t="n">
        <v>10</v>
      </c>
      <c r="E647" s="3" t="n">
        <v>10</v>
      </c>
      <c r="F647" s="3" t="n">
        <v>27.18</v>
      </c>
      <c r="G647" s="3" t="n">
        <v>2</v>
      </c>
      <c r="I647" s="3">
        <f>E647+G647+H647</f>
        <v/>
      </c>
      <c r="J647" s="3">
        <f>IF(C647="Técnico III","35",IF(C647="Técnico II","28",IF(C647="Técnico I","23",IF(C647="JR","20",IF(C647="Estágio","10")))))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8</v>
      </c>
      <c r="N647" s="3" t="n">
        <v>100</v>
      </c>
      <c r="O647" s="3" t="n">
        <v>16.95906432748538</v>
      </c>
    </row>
    <row r="648">
      <c r="A648" s="10" t="n">
        <v>46164</v>
      </c>
      <c r="B648" s="6" t="inlineStr">
        <is>
          <t>Leandro Oliveira de Sousa</t>
        </is>
      </c>
      <c r="C648" s="3" t="inlineStr">
        <is>
          <t>Técnico III</t>
        </is>
      </c>
      <c r="D648" s="3" t="n">
        <v>21</v>
      </c>
      <c r="E648" s="3" t="n">
        <v>20</v>
      </c>
      <c r="F648" s="3" t="n">
        <v>16.59</v>
      </c>
      <c r="G648" s="3" t="n">
        <v>0</v>
      </c>
      <c r="I648" s="3">
        <f>E648+G648+H648</f>
        <v/>
      </c>
      <c r="J648" s="3">
        <f>IF(C648="Técnico III","35",IF(C648="Técnico II","28",IF(C648="Técnico I","23",IF(C648="JR","20",IF(C648="Estágio","10")))))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20</v>
      </c>
      <c r="N648" s="3" t="n">
        <v>100</v>
      </c>
      <c r="O648" s="3" t="n">
        <v>15.58441558441558</v>
      </c>
    </row>
    <row r="649">
      <c r="A649" s="10" t="n">
        <v>46164</v>
      </c>
      <c r="B649" s="6" t="inlineStr">
        <is>
          <t>Lizandra Gomes Duarte</t>
        </is>
      </c>
      <c r="C649" s="3" t="inlineStr">
        <is>
          <t>Técnico II</t>
        </is>
      </c>
      <c r="D649" s="3" t="n">
        <v>19</v>
      </c>
      <c r="E649" s="3" t="n">
        <v>18</v>
      </c>
      <c r="F649" s="3" t="n">
        <v>20.48</v>
      </c>
      <c r="G649" s="3" t="n">
        <v>1</v>
      </c>
      <c r="I649" s="3">
        <f>E649+G649+H649</f>
        <v/>
      </c>
      <c r="J649" s="3">
        <f>IF(C649="Técnico III","35",IF(C649="Técnico II","28",IF(C649="Técnico I","23",IF(C649="JR","20",IF(C649="Estágio","10")))))</f>
        <v/>
      </c>
      <c r="K649" s="3">
        <f>I649-J649</f>
        <v/>
      </c>
      <c r="L649" s="3">
        <f>IF(K649&lt;-5,"CRÍTICO",IF(K649&lt;0,"ATENÇÃO",IF(K649&lt;=5,"OPORTUNO","MUITO BOM")))</f>
        <v/>
      </c>
      <c r="M649" s="3" t="n">
        <v>18</v>
      </c>
      <c r="N649" s="3" t="n">
        <v>98.61</v>
      </c>
      <c r="O649" s="3" t="n">
        <v>16.86746987951807</v>
      </c>
    </row>
    <row r="650">
      <c r="A650" s="10" t="n">
        <v>46164</v>
      </c>
      <c r="B650" s="6" t="inlineStr">
        <is>
          <t>Lorena Dias de Araujo</t>
        </is>
      </c>
      <c r="C650" s="3" t="inlineStr">
        <is>
          <t>Técnico II</t>
        </is>
      </c>
      <c r="G650" s="3" t="n">
        <v>0</v>
      </c>
      <c r="I650" s="3">
        <f>E650+G650+H650</f>
        <v/>
      </c>
      <c r="J650" s="3">
        <f>IF(C650="Técnico III","35",IF(C650="Técnico II","28",IF(C650="Técnico I","23",IF(C650="JR","20",IF(C650="Estágio","10")))))</f>
        <v/>
      </c>
      <c r="K650" s="3">
        <f>I650-J650</f>
        <v/>
      </c>
      <c r="L650" s="3">
        <f>IF(K650&lt;-5,"CRÍTICO",IF(K650&lt;0,"ATENÇÃO",IF(K650&lt;=5,"OPORTUNO","MUITO BOM")))</f>
        <v/>
      </c>
      <c r="M650" s="3" t="n">
        <v>0</v>
      </c>
      <c r="N650" s="3" t="n">
        <v>100</v>
      </c>
      <c r="O650" s="3" t="n">
        <v>20.82018927444795</v>
      </c>
    </row>
    <row r="651">
      <c r="A651" s="10" t="n">
        <v>46164</v>
      </c>
      <c r="B651" s="6" t="inlineStr">
        <is>
          <t>Lucas Luiz Romero</t>
        </is>
      </c>
      <c r="C651" s="3" t="inlineStr">
        <is>
          <t>Técnico III</t>
        </is>
      </c>
      <c r="D651" s="3" t="n">
        <v>26</v>
      </c>
      <c r="E651" s="3" t="n">
        <v>19</v>
      </c>
      <c r="F651" s="3" t="n">
        <v>12.11</v>
      </c>
      <c r="G651" s="3" t="n">
        <v>0</v>
      </c>
      <c r="I651" s="3">
        <f>E651+G651+H651</f>
        <v/>
      </c>
      <c r="J651" s="3">
        <f>IF(C651="Técnico III","35",IF(C651="Técnico II","28",IF(C651="Técnico I","23",IF(C651="JR","20",IF(C651="Estágio","10")))))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15</v>
      </c>
      <c r="N651" s="3" t="n">
        <v>100</v>
      </c>
      <c r="O651" s="3" t="n">
        <v>4.347826086956522</v>
      </c>
    </row>
    <row r="652">
      <c r="A652" s="10" t="n">
        <v>46164</v>
      </c>
      <c r="B652" s="6" t="inlineStr">
        <is>
          <t>Luiz Fernando de Carvalho Junior</t>
        </is>
      </c>
      <c r="C652" s="3" t="inlineStr">
        <is>
          <t>Técnico I</t>
        </is>
      </c>
      <c r="G652" s="3" t="n">
        <v>0</v>
      </c>
      <c r="I652" s="3">
        <f>E652+G652+H652</f>
        <v/>
      </c>
      <c r="J652" s="3">
        <f>IF(C652="Técnico III","35",IF(C652="Técnico II","28",IF(C652="Técnico I","23",IF(C652="JR","20",IF(C652="Estágio","10")))))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8</v>
      </c>
      <c r="N652" s="3" t="n">
        <v>93.26000000000001</v>
      </c>
      <c r="O652" s="3" t="n">
        <v>19.93957703927493</v>
      </c>
    </row>
    <row r="653">
      <c r="A653" s="10" t="n">
        <v>46164</v>
      </c>
      <c r="B653" s="6" t="inlineStr">
        <is>
          <t>Maria Eduarda Sousa Costa</t>
        </is>
      </c>
      <c r="C653" s="3" t="inlineStr">
        <is>
          <t>Estágio</t>
        </is>
      </c>
      <c r="G653" s="3" t="n">
        <v>0</v>
      </c>
      <c r="I653" s="3">
        <f>E653+G653+H653</f>
        <v/>
      </c>
      <c r="J653" s="3">
        <f>IF(C653="Técnico III","35",IF(C653="Técnico II","28",IF(C653="Técnico I","23",IF(C653="JR","20",IF(C653="Estágio","10")))))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6</v>
      </c>
      <c r="N653" s="3" t="n">
        <v>100</v>
      </c>
      <c r="O653" s="3" t="n">
        <v>11.86440677966102</v>
      </c>
    </row>
    <row r="654">
      <c r="A654" s="10" t="n">
        <v>46164</v>
      </c>
      <c r="B654" s="6" t="inlineStr">
        <is>
          <t>Matheus Farias De Souza</t>
        </is>
      </c>
      <c r="C654" s="3" t="inlineStr">
        <is>
          <t>Técnico III</t>
        </is>
      </c>
      <c r="G654" s="3" t="n">
        <v>0</v>
      </c>
      <c r="I654" s="3">
        <f>E654+G654+H654</f>
        <v/>
      </c>
      <c r="J654" s="3">
        <f>IF(C654="Técnico III","35",IF(C654="Técnico II","28",IF(C654="Técnico I","23",IF(C654="JR","20",IF(C654="Estágio","10")))))</f>
        <v/>
      </c>
      <c r="K654" s="3">
        <f>I654-J654</f>
        <v/>
      </c>
      <c r="L654" s="3">
        <f>IF(K654&lt;-5,"CRÍTICO",IF(K654&lt;0,"ATENÇÃO",IF(K654&lt;=5,"OPORTUNO","MUITO BOM")))</f>
        <v/>
      </c>
      <c r="M654" s="3" t="n">
        <v>3</v>
      </c>
      <c r="N654" s="3" t="n">
        <v>98.28</v>
      </c>
      <c r="O654" s="3" t="n">
        <v>9.037900874635568</v>
      </c>
    </row>
    <row r="655">
      <c r="A655" s="10" t="n">
        <v>46164</v>
      </c>
      <c r="B655" s="6" t="inlineStr">
        <is>
          <t>Maysa Victoria Dias Moura</t>
        </is>
      </c>
      <c r="C655" s="3" t="inlineStr">
        <is>
          <t>Técnico III</t>
        </is>
      </c>
      <c r="G655" s="3" t="n">
        <v>5</v>
      </c>
      <c r="I655" s="3">
        <f>E655+G655+H655</f>
        <v/>
      </c>
      <c r="J655" s="3">
        <f>IF(C655="Técnico III","35",IF(C655="Técnico II","28",IF(C655="Técnico I","23",IF(C655="JR","20",IF(C655="Estágio","10")))))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16</v>
      </c>
      <c r="N655" s="3" t="n">
        <v>97.22</v>
      </c>
      <c r="O655" s="3" t="n">
        <v>19.09547738693467</v>
      </c>
    </row>
    <row r="656">
      <c r="A656" s="10" t="n">
        <v>46164</v>
      </c>
      <c r="B656" s="6" t="inlineStr">
        <is>
          <t>Michelle G Santos</t>
        </is>
      </c>
      <c r="C656" s="3" t="inlineStr">
        <is>
          <t>Estágio</t>
        </is>
      </c>
      <c r="G656" s="3" t="n">
        <v>0</v>
      </c>
      <c r="I656" s="3">
        <f>E656+G656+H656</f>
        <v/>
      </c>
      <c r="J656" s="3">
        <f>IF(C656="Técnico III","35",IF(C656="Técnico II","28",IF(C656="Técnico I","23",IF(C656="JR","20",IF(C656="Estágio","10")))))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11</v>
      </c>
      <c r="N656" s="3" t="n">
        <v>100</v>
      </c>
      <c r="O656" s="3" t="n">
        <v>16.8141592920354</v>
      </c>
    </row>
    <row r="657">
      <c r="A657" s="10" t="n">
        <v>46164</v>
      </c>
      <c r="B657" s="6" t="inlineStr">
        <is>
          <t>Milena Sales</t>
        </is>
      </c>
      <c r="C657" s="3" t="inlineStr">
        <is>
          <t>JR</t>
        </is>
      </c>
      <c r="D657" s="3" t="n">
        <v>21</v>
      </c>
      <c r="E657" s="3" t="n">
        <v>18</v>
      </c>
      <c r="F657" s="3" t="n">
        <v>13.49</v>
      </c>
      <c r="G657" s="3" t="n">
        <v>0</v>
      </c>
      <c r="I657" s="3">
        <f>E657+G657+H657</f>
        <v/>
      </c>
      <c r="J657" s="3">
        <f>IF(C657="Técnico III","35",IF(C657="Técnico II","28",IF(C657="Técnico I","23",IF(C657="JR","20",IF(C657="Estágio","10")))))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16</v>
      </c>
      <c r="N657" s="3" t="n">
        <v>98</v>
      </c>
      <c r="O657" s="3" t="n">
        <v>16.43835616438356</v>
      </c>
    </row>
    <row r="658">
      <c r="A658" s="10" t="n">
        <v>46164</v>
      </c>
      <c r="B658" s="6" t="inlineStr">
        <is>
          <t>Patrícia Karla de Sousa Araújo</t>
        </is>
      </c>
      <c r="C658" s="3" t="inlineStr">
        <is>
          <t>Técnico II</t>
        </is>
      </c>
      <c r="G658" s="3" t="n">
        <v>0</v>
      </c>
      <c r="I658" s="3">
        <f>E658+G658+H658</f>
        <v/>
      </c>
      <c r="J658" s="3">
        <f>IF(C658="Técnico III","35",IF(C658="Técnico II","28",IF(C658="Técnico I","23",IF(C658="JR","20",IF(C658="Estágio","10")))))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12</v>
      </c>
      <c r="N658" s="3" t="n">
        <v>100</v>
      </c>
      <c r="O658" s="3" t="n">
        <v>16.89497716894977</v>
      </c>
    </row>
    <row r="659">
      <c r="A659" s="10" t="n">
        <v>46164</v>
      </c>
      <c r="B659" s="6" t="inlineStr">
        <is>
          <t>Paulo Ricardo Santos</t>
        </is>
      </c>
      <c r="C659" s="3" t="inlineStr">
        <is>
          <t>JR</t>
        </is>
      </c>
      <c r="D659" s="3" t="n">
        <v>13</v>
      </c>
      <c r="E659" s="3" t="n">
        <v>13</v>
      </c>
      <c r="F659" s="3" t="n">
        <v>27</v>
      </c>
      <c r="G659" s="3" t="n">
        <v>4</v>
      </c>
      <c r="I659" s="3">
        <f>E659+G659+H659</f>
        <v/>
      </c>
      <c r="J659" s="3">
        <f>IF(C659="Técnico III","35",IF(C659="Técnico II","28",IF(C659="Técnico I","23",IF(C659="JR","20",IF(C659="Estágio","10")))))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9</v>
      </c>
      <c r="N659" s="3" t="n">
        <v>100</v>
      </c>
      <c r="O659" s="3" t="n">
        <v>19.13875598086124</v>
      </c>
    </row>
    <row r="660">
      <c r="A660" s="10" t="n">
        <v>46164</v>
      </c>
      <c r="B660" s="6" t="inlineStr">
        <is>
          <t>Pedro Luiz Mota Sousa</t>
        </is>
      </c>
      <c r="C660" s="3" t="inlineStr">
        <is>
          <t>JR</t>
        </is>
      </c>
      <c r="D660" s="3" t="n">
        <v>17</v>
      </c>
      <c r="E660" s="3" t="n">
        <v>17</v>
      </c>
      <c r="F660" s="3" t="n">
        <v>17.24</v>
      </c>
      <c r="G660" s="3" t="n">
        <v>2</v>
      </c>
      <c r="I660" s="3">
        <f>E660+G660+H660</f>
        <v/>
      </c>
      <c r="J660" s="3">
        <f>IF(C660="Técnico III","35",IF(C660="Técnico II","28",IF(C660="Técnico I","23",IF(C660="JR","20",IF(C660="Estágio","10")))))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15</v>
      </c>
      <c r="N660" s="3" t="n">
        <v>100</v>
      </c>
      <c r="O660" s="3" t="n">
        <v>15.02145922746781</v>
      </c>
    </row>
    <row r="661">
      <c r="A661" s="10" t="n">
        <v>46164</v>
      </c>
      <c r="B661" s="6" t="inlineStr">
        <is>
          <t>Quirino Diogo Leite Torres</t>
        </is>
      </c>
      <c r="C661" s="3" t="inlineStr">
        <is>
          <t>Estágio</t>
        </is>
      </c>
      <c r="G661" s="3" t="n">
        <v>0</v>
      </c>
      <c r="I661" s="3">
        <f>E661+G661+H661</f>
        <v/>
      </c>
      <c r="J661" s="3">
        <f>IF(C661="Técnico III","35",IF(C661="Técnico II","28",IF(C661="Técnico I","23",IF(C661="JR","20",IF(C661="Estágio","10")))))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9</v>
      </c>
      <c r="N661" s="3" t="n">
        <v>98.11</v>
      </c>
      <c r="O661" s="3" t="n">
        <v>20.40816326530612</v>
      </c>
    </row>
    <row r="662">
      <c r="A662" s="10" t="n">
        <v>46164</v>
      </c>
      <c r="B662" s="6" t="inlineStr">
        <is>
          <t>Raane Batista Matos</t>
        </is>
      </c>
      <c r="C662" s="3" t="inlineStr">
        <is>
          <t>Técnico I</t>
        </is>
      </c>
      <c r="D662" s="3" t="n">
        <v>18</v>
      </c>
      <c r="E662" s="3" t="n">
        <v>18</v>
      </c>
      <c r="F662" s="3" t="n">
        <v>20.45</v>
      </c>
      <c r="G662" s="3" t="n">
        <v>2</v>
      </c>
      <c r="I662" s="3">
        <f>E662+G662+H662</f>
        <v/>
      </c>
      <c r="J662" s="3">
        <f>IF(C662="Técnico III","35",IF(C662="Técnico II","28",IF(C662="Técnico I","23",IF(C662="JR","20",IF(C662="Estágio","10")))))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97.56</v>
      </c>
      <c r="O662" s="3" t="n">
        <v>19.28783382789317</v>
      </c>
    </row>
    <row r="663">
      <c r="A663" s="10" t="n">
        <v>46164</v>
      </c>
      <c r="B663" s="6" t="inlineStr">
        <is>
          <t>Rafael Gomes de Morais</t>
        </is>
      </c>
      <c r="C663" s="3" t="inlineStr">
        <is>
          <t>Técnico III</t>
        </is>
      </c>
      <c r="D663" s="3" t="n">
        <v>25</v>
      </c>
      <c r="E663" s="3" t="n">
        <v>22</v>
      </c>
      <c r="F663" s="3" t="n">
        <v>13.32</v>
      </c>
      <c r="G663" s="3" t="n">
        <v>0</v>
      </c>
      <c r="I663" s="3">
        <f>E663+G663+H663</f>
        <v/>
      </c>
      <c r="J663" s="3">
        <f>IF(C663="Técnico III","35",IF(C663="Técnico II","28",IF(C663="Técnico I","23",IF(C663="JR","20",IF(C663="Estágio","10")))))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18</v>
      </c>
      <c r="N663" s="3" t="n">
        <v>99.29000000000001</v>
      </c>
      <c r="O663" s="3" t="n">
        <v>22.49443207126949</v>
      </c>
    </row>
    <row r="664">
      <c r="A664" s="10" t="n">
        <v>46164</v>
      </c>
      <c r="B664" s="6" t="inlineStr">
        <is>
          <t>Sara Maria Monteiro Lopes</t>
        </is>
      </c>
      <c r="C664" s="3" t="inlineStr">
        <is>
          <t>Técnico I</t>
        </is>
      </c>
      <c r="G664" s="3" t="n">
        <v>1</v>
      </c>
      <c r="I664" s="3">
        <f>E664+G664+H664</f>
        <v/>
      </c>
      <c r="J664" s="3">
        <f>IF(C664="Técnico III","35",IF(C664="Técnico II","28",IF(C664="Técnico I","23",IF(C664="JR","20",IF(C664="Estágio","10")))))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17</v>
      </c>
      <c r="N664" s="3" t="n">
        <v>100</v>
      </c>
      <c r="O664" s="3" t="n">
        <v>16.97247706422019</v>
      </c>
    </row>
    <row r="665">
      <c r="A665" s="10" t="n">
        <v>46164</v>
      </c>
      <c r="B665" s="6" t="inlineStr">
        <is>
          <t>Sarah Steffanie de Lima Borges</t>
        </is>
      </c>
      <c r="C665" s="3" t="inlineStr">
        <is>
          <t>Técnico III</t>
        </is>
      </c>
      <c r="G665" s="3" t="n">
        <v>0</v>
      </c>
      <c r="I665" s="3">
        <f>E665+G665+H665</f>
        <v/>
      </c>
      <c r="J665" s="3">
        <f>IF(C665="Técnico III","35",IF(C665="Técnico II","28",IF(C665="Técnico I","23",IF(C665="JR","20",IF(C665="Estágio","10")))))</f>
        <v/>
      </c>
      <c r="K665" s="3">
        <f>I665-J665</f>
        <v/>
      </c>
      <c r="L665" s="3">
        <f>IF(K665&lt;-5,"CRÍTICO",IF(K665&lt;0,"ATENÇÃO",IF(K665&lt;=5,"OPORTUNO","MUITO BOM")))</f>
        <v/>
      </c>
      <c r="M665" s="3" t="n">
        <v>17</v>
      </c>
      <c r="N665" s="3" t="n">
        <v>97.33</v>
      </c>
      <c r="O665" s="3" t="n">
        <v>15.80547112462006</v>
      </c>
    </row>
  </sheetData>
  <autoFilter ref="A1:O665">
    <filterColumn colId="0" hiddenButton="0" showButton="1">
      <filters>
        <dateGroupItem year="2026" month="5" day="21" dateTimeGrouping="day"/>
        <dateGroupItem year="2026" month="5" day="22" dateTimeGrouping="day"/>
      </filters>
    </filterColumn>
    <sortState ref="A590:O590">
      <sortCondition ref="B1:B620"/>
    </sortState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Andrade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  <c r="C47" t="inlineStr"/>
    </row>
    <row r="48">
      <c r="A48" t="inlineStr">
        <is>
          <t>Patr?cia Karla de Sousa Ara?jo</t>
        </is>
      </c>
      <c r="B48" t="inlineStr">
        <is>
          <t>Patricia</t>
        </is>
      </c>
      <c r="C48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2026-05-25T14:47:08Z</dcterms:modified>
  <cp:lastModifiedBy>Esther Queiroz Supervisora Folha</cp:lastModifiedBy>
</cp:coreProperties>
</file>
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2AE36F9A-D02D-4D13-A357-B74DF0596F5B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5" i="1" l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L637" i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L631" i="1"/>
  <c r="J630" i="1"/>
  <c r="I630" i="1"/>
  <c r="K630" i="1" s="1"/>
  <c r="L630" i="1" s="1"/>
  <c r="J629" i="1"/>
  <c r="I629" i="1"/>
  <c r="K629" i="1" s="1"/>
  <c r="L62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L613" i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L599" i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95" i="1"/>
  <c r="I595" i="1"/>
  <c r="K595" i="1" s="1"/>
  <c r="L595" i="1" s="1"/>
  <c r="J594" i="1"/>
  <c r="I594" i="1"/>
  <c r="K594" i="1" s="1"/>
  <c r="L594" i="1" s="1"/>
  <c r="L593" i="1"/>
  <c r="L592" i="1"/>
  <c r="L591" i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L586" i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L568" i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L554" i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L547" i="1"/>
  <c r="L546" i="1"/>
  <c r="J545" i="1"/>
  <c r="I545" i="1"/>
  <c r="K545" i="1" s="1"/>
  <c r="L545" i="1" s="1"/>
  <c r="J544" i="1"/>
  <c r="I544" i="1"/>
  <c r="K544" i="1" s="1"/>
  <c r="L544" i="1" s="1"/>
  <c r="L543" i="1"/>
  <c r="J542" i="1"/>
  <c r="I542" i="1"/>
  <c r="K542" i="1" s="1"/>
  <c r="L542" i="1" s="1"/>
  <c r="L541" i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L532" i="1"/>
  <c r="J531" i="1"/>
  <c r="I531" i="1"/>
  <c r="K531" i="1" s="1"/>
  <c r="L531" i="1" s="1"/>
  <c r="J530" i="1"/>
  <c r="I530" i="1"/>
  <c r="K530" i="1" s="1"/>
  <c r="L530" i="1" s="1"/>
  <c r="J529" i="1"/>
  <c r="I529" i="1"/>
  <c r="K529" i="1" s="1"/>
  <c r="L529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I512" i="1"/>
  <c r="K512" i="1" s="1"/>
  <c r="L512" i="1" s="1"/>
  <c r="J511" i="1"/>
  <c r="I511" i="1"/>
  <c r="K511" i="1" s="1"/>
  <c r="L511" i="1" s="1"/>
  <c r="J510" i="1"/>
  <c r="I510" i="1"/>
  <c r="K510" i="1" s="1"/>
  <c r="L510" i="1" s="1"/>
  <c r="L509" i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L502" i="1"/>
  <c r="J501" i="1"/>
  <c r="I501" i="1"/>
  <c r="K501" i="1" s="1"/>
  <c r="L501" i="1" s="1"/>
  <c r="J500" i="1"/>
  <c r="K500" i="1" s="1"/>
  <c r="L500" i="1" s="1"/>
  <c r="I500" i="1"/>
  <c r="J499" i="1"/>
  <c r="I499" i="1"/>
  <c r="K499" i="1" s="1"/>
  <c r="L499" i="1" s="1"/>
  <c r="L498" i="1"/>
  <c r="J497" i="1"/>
  <c r="I497" i="1"/>
  <c r="K497" i="1" s="1"/>
  <c r="L497" i="1" s="1"/>
  <c r="L496" i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L487" i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8" i="1"/>
  <c r="I478" i="1"/>
  <c r="K478" i="1" s="1"/>
  <c r="L478" i="1" s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74" i="1"/>
  <c r="I474" i="1"/>
  <c r="K474" i="1" s="1"/>
  <c r="L474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L468" i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L461" i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456" i="1"/>
  <c r="I456" i="1"/>
  <c r="K456" i="1" s="1"/>
  <c r="L456" i="1" s="1"/>
  <c r="L455" i="1"/>
  <c r="J454" i="1"/>
  <c r="I454" i="1"/>
  <c r="K454" i="1" s="1"/>
  <c r="L454" i="1" s="1"/>
  <c r="L453" i="1"/>
  <c r="J452" i="1"/>
  <c r="I452" i="1"/>
  <c r="K452" i="1" s="1"/>
  <c r="L452" i="1" s="1"/>
  <c r="L451" i="1"/>
  <c r="J450" i="1"/>
  <c r="I450" i="1"/>
  <c r="K450" i="1" s="1"/>
  <c r="L450" i="1" s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L445" i="1"/>
  <c r="J444" i="1"/>
  <c r="I444" i="1"/>
  <c r="K444" i="1" s="1"/>
  <c r="L444" i="1" s="1"/>
  <c r="L443" i="1"/>
  <c r="J442" i="1"/>
  <c r="I442" i="1"/>
  <c r="K442" i="1" s="1"/>
  <c r="L442" i="1" s="1"/>
  <c r="J441" i="1"/>
  <c r="I441" i="1"/>
  <c r="K441" i="1" s="1"/>
  <c r="L441" i="1" s="1"/>
  <c r="J440" i="1"/>
  <c r="I440" i="1"/>
  <c r="K440" i="1" s="1"/>
  <c r="L440" i="1" s="1"/>
  <c r="J439" i="1"/>
  <c r="I439" i="1"/>
  <c r="K439" i="1" s="1"/>
  <c r="L439" i="1" s="1"/>
  <c r="J438" i="1"/>
  <c r="I438" i="1"/>
  <c r="K438" i="1" s="1"/>
  <c r="L438" i="1" s="1"/>
  <c r="J437" i="1"/>
  <c r="I437" i="1"/>
  <c r="K437" i="1" s="1"/>
  <c r="L437" i="1" s="1"/>
  <c r="J436" i="1"/>
  <c r="I436" i="1"/>
  <c r="K436" i="1" s="1"/>
  <c r="L436" i="1" s="1"/>
  <c r="J435" i="1"/>
  <c r="I435" i="1"/>
  <c r="K435" i="1" s="1"/>
  <c r="L435" i="1" s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J426" i="1"/>
  <c r="I426" i="1"/>
  <c r="K426" i="1" s="1"/>
  <c r="L426" i="1" s="1"/>
  <c r="J425" i="1"/>
  <c r="I425" i="1"/>
  <c r="K425" i="1" s="1"/>
  <c r="L425" i="1" s="1"/>
  <c r="J424" i="1"/>
  <c r="I424" i="1"/>
  <c r="K424" i="1" s="1"/>
  <c r="L424" i="1" s="1"/>
  <c r="L423" i="1"/>
  <c r="J422" i="1"/>
  <c r="I422" i="1"/>
  <c r="K422" i="1" s="1"/>
  <c r="L422" i="1" s="1"/>
  <c r="J421" i="1"/>
  <c r="I421" i="1"/>
  <c r="K421" i="1" s="1"/>
  <c r="L421" i="1" s="1"/>
  <c r="J420" i="1"/>
  <c r="I420" i="1"/>
  <c r="K420" i="1" s="1"/>
  <c r="L420" i="1" s="1"/>
  <c r="J419" i="1"/>
  <c r="I419" i="1"/>
  <c r="K419" i="1" s="1"/>
  <c r="L419" i="1" s="1"/>
  <c r="J418" i="1"/>
  <c r="I418" i="1"/>
  <c r="K418" i="1" s="1"/>
  <c r="L418" i="1" s="1"/>
  <c r="L417" i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L411" i="1"/>
  <c r="J410" i="1"/>
  <c r="I410" i="1"/>
  <c r="K410" i="1" s="1"/>
  <c r="L410" i="1" s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J406" i="1"/>
  <c r="I406" i="1"/>
  <c r="K406" i="1" s="1"/>
  <c r="L406" i="1" s="1"/>
  <c r="J405" i="1"/>
  <c r="I405" i="1"/>
  <c r="K405" i="1" s="1"/>
  <c r="L405" i="1" s="1"/>
  <c r="J404" i="1"/>
  <c r="I404" i="1"/>
  <c r="K404" i="1" s="1"/>
  <c r="L404" i="1" s="1"/>
  <c r="J403" i="1"/>
  <c r="I403" i="1"/>
  <c r="K403" i="1" s="1"/>
  <c r="L403" i="1" s="1"/>
  <c r="J402" i="1"/>
  <c r="I402" i="1"/>
  <c r="K402" i="1" s="1"/>
  <c r="L402" i="1" s="1"/>
  <c r="J401" i="1"/>
  <c r="I401" i="1"/>
  <c r="K401" i="1" s="1"/>
  <c r="L401" i="1" s="1"/>
  <c r="L400" i="1"/>
  <c r="J399" i="1"/>
  <c r="I399" i="1"/>
  <c r="K399" i="1" s="1"/>
  <c r="L399" i="1" s="1"/>
  <c r="J398" i="1"/>
  <c r="I398" i="1"/>
  <c r="K398" i="1" s="1"/>
  <c r="L398" i="1" s="1"/>
  <c r="J397" i="1"/>
  <c r="I397" i="1"/>
  <c r="K397" i="1" s="1"/>
  <c r="L397" i="1" s="1"/>
  <c r="J396" i="1"/>
  <c r="I396" i="1"/>
  <c r="K396" i="1" s="1"/>
  <c r="L396" i="1" s="1"/>
  <c r="J395" i="1"/>
  <c r="I395" i="1"/>
  <c r="K395" i="1" s="1"/>
  <c r="L395" i="1" s="1"/>
  <c r="J394" i="1"/>
  <c r="I394" i="1"/>
  <c r="K394" i="1" s="1"/>
  <c r="L394" i="1" s="1"/>
  <c r="J393" i="1"/>
  <c r="I393" i="1"/>
  <c r="K393" i="1" s="1"/>
  <c r="L393" i="1" s="1"/>
  <c r="J392" i="1"/>
  <c r="I392" i="1"/>
  <c r="K392" i="1" s="1"/>
  <c r="L392" i="1" s="1"/>
  <c r="J391" i="1"/>
  <c r="I391" i="1"/>
  <c r="K391" i="1" s="1"/>
  <c r="L391" i="1" s="1"/>
  <c r="J390" i="1"/>
  <c r="I390" i="1"/>
  <c r="K390" i="1" s="1"/>
  <c r="L390" i="1" s="1"/>
  <c r="J389" i="1"/>
  <c r="I389" i="1"/>
  <c r="K389" i="1" s="1"/>
  <c r="L389" i="1" s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J384" i="1"/>
  <c r="I384" i="1"/>
  <c r="K384" i="1" s="1"/>
  <c r="L384" i="1" s="1"/>
  <c r="J383" i="1"/>
  <c r="I383" i="1"/>
  <c r="K383" i="1" s="1"/>
  <c r="L383" i="1" s="1"/>
  <c r="J382" i="1"/>
  <c r="I382" i="1"/>
  <c r="K382" i="1" s="1"/>
  <c r="L382" i="1" s="1"/>
  <c r="L381" i="1"/>
  <c r="J380" i="1"/>
  <c r="I380" i="1"/>
  <c r="K380" i="1" s="1"/>
  <c r="L380" i="1" s="1"/>
  <c r="J379" i="1"/>
  <c r="I379" i="1"/>
  <c r="K379" i="1" s="1"/>
  <c r="L379" i="1" s="1"/>
  <c r="J378" i="1"/>
  <c r="I378" i="1"/>
  <c r="K378" i="1" s="1"/>
  <c r="L378" i="1" s="1"/>
  <c r="J377" i="1"/>
  <c r="I377" i="1"/>
  <c r="K377" i="1" s="1"/>
  <c r="L377" i="1" s="1"/>
  <c r="J376" i="1"/>
  <c r="I376" i="1"/>
  <c r="K376" i="1" s="1"/>
  <c r="L376" i="1" s="1"/>
  <c r="J375" i="1"/>
  <c r="I375" i="1"/>
  <c r="K375" i="1" s="1"/>
  <c r="L375" i="1" s="1"/>
  <c r="L374" i="1"/>
  <c r="J373" i="1"/>
  <c r="I373" i="1"/>
  <c r="K373" i="1" s="1"/>
  <c r="L373" i="1" s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J369" i="1"/>
  <c r="I369" i="1"/>
  <c r="K369" i="1" s="1"/>
  <c r="L369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K335" i="1" s="1"/>
  <c r="L335" i="1" s="1"/>
  <c r="I335" i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K325" i="1" s="1"/>
  <c r="L325" i="1" s="1"/>
  <c r="L324" i="1"/>
  <c r="L323" i="1"/>
  <c r="J322" i="1"/>
  <c r="I322" i="1"/>
  <c r="K322" i="1" s="1"/>
  <c r="L322" i="1" s="1"/>
  <c r="J321" i="1"/>
  <c r="I321" i="1"/>
  <c r="K321" i="1" s="1"/>
  <c r="L321" i="1" s="1"/>
  <c r="J320" i="1"/>
  <c r="I320" i="1"/>
  <c r="K320" i="1" s="1"/>
  <c r="L320" i="1" s="1"/>
  <c r="J319" i="1"/>
  <c r="I319" i="1"/>
  <c r="K319" i="1" s="1"/>
  <c r="L319" i="1" s="1"/>
  <c r="J318" i="1"/>
  <c r="I318" i="1"/>
  <c r="K318" i="1" s="1"/>
  <c r="L318" i="1" s="1"/>
  <c r="J317" i="1"/>
  <c r="I317" i="1"/>
  <c r="K317" i="1" s="1"/>
  <c r="L317" i="1" s="1"/>
  <c r="J316" i="1"/>
  <c r="I316" i="1"/>
  <c r="K316" i="1" s="1"/>
  <c r="L316" i="1" s="1"/>
  <c r="J315" i="1"/>
  <c r="I315" i="1"/>
  <c r="K315" i="1" s="1"/>
  <c r="L315" i="1" s="1"/>
  <c r="J314" i="1"/>
  <c r="I314" i="1"/>
  <c r="K314" i="1" s="1"/>
  <c r="L314" i="1" s="1"/>
  <c r="J313" i="1"/>
  <c r="I313" i="1"/>
  <c r="K313" i="1" s="1"/>
  <c r="L313" i="1" s="1"/>
  <c r="L312" i="1"/>
  <c r="J311" i="1"/>
  <c r="I311" i="1"/>
  <c r="K311" i="1" s="1"/>
  <c r="L311" i="1" s="1"/>
  <c r="J310" i="1"/>
  <c r="I310" i="1"/>
  <c r="K310" i="1" s="1"/>
  <c r="L310" i="1" s="1"/>
  <c r="J309" i="1"/>
  <c r="I309" i="1"/>
  <c r="K309" i="1" s="1"/>
  <c r="L309" i="1" s="1"/>
  <c r="J308" i="1"/>
  <c r="I308" i="1"/>
  <c r="K308" i="1" s="1"/>
  <c r="L308" i="1" s="1"/>
  <c r="J307" i="1"/>
  <c r="I307" i="1"/>
  <c r="K307" i="1" s="1"/>
  <c r="L307" i="1" s="1"/>
  <c r="J306" i="1"/>
  <c r="I306" i="1"/>
  <c r="K306" i="1" s="1"/>
  <c r="L306" i="1" s="1"/>
  <c r="J305" i="1"/>
  <c r="I305" i="1"/>
  <c r="K305" i="1" s="1"/>
  <c r="L305" i="1" s="1"/>
  <c r="J304" i="1"/>
  <c r="I304" i="1"/>
  <c r="K304" i="1" s="1"/>
  <c r="L304" i="1" s="1"/>
  <c r="J303" i="1"/>
  <c r="I303" i="1"/>
  <c r="K303" i="1" s="1"/>
  <c r="L303" i="1" s="1"/>
  <c r="J302" i="1"/>
  <c r="I302" i="1"/>
  <c r="K302" i="1" s="1"/>
  <c r="L302" i="1" s="1"/>
  <c r="J301" i="1"/>
  <c r="I301" i="1"/>
  <c r="K301" i="1" s="1"/>
  <c r="L301" i="1" s="1"/>
  <c r="J300" i="1"/>
  <c r="I300" i="1"/>
  <c r="K300" i="1" s="1"/>
  <c r="L300" i="1" s="1"/>
  <c r="J299" i="1"/>
  <c r="I299" i="1"/>
  <c r="K299" i="1" s="1"/>
  <c r="L299" i="1" s="1"/>
  <c r="J298" i="1"/>
  <c r="I298" i="1"/>
  <c r="K298" i="1" s="1"/>
  <c r="L298" i="1" s="1"/>
  <c r="J297" i="1"/>
  <c r="I297" i="1"/>
  <c r="K297" i="1" s="1"/>
  <c r="L297" i="1" s="1"/>
  <c r="J296" i="1"/>
  <c r="I296" i="1"/>
  <c r="K296" i="1" s="1"/>
  <c r="L296" i="1" s="1"/>
  <c r="J295" i="1"/>
  <c r="I295" i="1"/>
  <c r="K295" i="1" s="1"/>
  <c r="L295" i="1" s="1"/>
  <c r="L294" i="1"/>
  <c r="J293" i="1"/>
  <c r="I293" i="1"/>
  <c r="K293" i="1" s="1"/>
  <c r="L293" i="1" s="1"/>
  <c r="J292" i="1"/>
  <c r="I292" i="1"/>
  <c r="K292" i="1" s="1"/>
  <c r="L292" i="1" s="1"/>
  <c r="J291" i="1"/>
  <c r="I291" i="1"/>
  <c r="K291" i="1" s="1"/>
  <c r="L291" i="1" s="1"/>
  <c r="J290" i="1"/>
  <c r="I290" i="1"/>
  <c r="K290" i="1" s="1"/>
  <c r="L290" i="1" s="1"/>
  <c r="J289" i="1"/>
  <c r="I289" i="1"/>
  <c r="K289" i="1" s="1"/>
  <c r="L289" i="1" s="1"/>
  <c r="J288" i="1"/>
  <c r="I288" i="1"/>
  <c r="K288" i="1" s="1"/>
  <c r="L288" i="1" s="1"/>
  <c r="L287" i="1"/>
  <c r="J286" i="1"/>
  <c r="I286" i="1"/>
  <c r="K286" i="1" s="1"/>
  <c r="L286" i="1" s="1"/>
  <c r="J285" i="1"/>
  <c r="I285" i="1"/>
  <c r="K285" i="1" s="1"/>
  <c r="L285" i="1" s="1"/>
  <c r="J284" i="1"/>
  <c r="I284" i="1"/>
  <c r="K284" i="1" s="1"/>
  <c r="L284" i="1" s="1"/>
  <c r="J283" i="1"/>
  <c r="I283" i="1"/>
  <c r="K283" i="1" s="1"/>
  <c r="L283" i="1" s="1"/>
  <c r="J282" i="1"/>
  <c r="I282" i="1"/>
  <c r="K282" i="1" s="1"/>
  <c r="L282" i="1" s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J200" i="1"/>
  <c r="I200" i="1"/>
  <c r="L199" i="1"/>
  <c r="L198" i="1"/>
  <c r="L197" i="1"/>
  <c r="J196" i="1"/>
  <c r="I196" i="1"/>
  <c r="J195" i="1"/>
  <c r="I195" i="1"/>
  <c r="J194" i="1"/>
  <c r="I194" i="1"/>
  <c r="J193" i="1"/>
  <c r="I193" i="1"/>
  <c r="J192" i="1"/>
  <c r="I192" i="1"/>
  <c r="K192" i="1" s="1"/>
  <c r="L192" i="1" s="1"/>
  <c r="J191" i="1"/>
  <c r="I191" i="1"/>
  <c r="K191" i="1" s="1"/>
  <c r="L191" i="1" s="1"/>
  <c r="J190" i="1"/>
  <c r="I190" i="1"/>
  <c r="K190" i="1" s="1"/>
  <c r="L190" i="1" s="1"/>
  <c r="J189" i="1"/>
  <c r="I189" i="1"/>
  <c r="K189" i="1" s="1"/>
  <c r="L189" i="1" s="1"/>
  <c r="J188" i="1"/>
  <c r="I188" i="1"/>
  <c r="K188" i="1" s="1"/>
  <c r="L188" i="1" s="1"/>
  <c r="J187" i="1"/>
  <c r="I187" i="1"/>
  <c r="K187" i="1" s="1"/>
  <c r="L187" i="1" s="1"/>
  <c r="J186" i="1"/>
  <c r="I186" i="1"/>
  <c r="K186" i="1" s="1"/>
  <c r="L186" i="1" s="1"/>
  <c r="J185" i="1"/>
  <c r="I185" i="1"/>
  <c r="K185" i="1" s="1"/>
  <c r="L185" i="1" s="1"/>
  <c r="J184" i="1"/>
  <c r="I184" i="1"/>
  <c r="K184" i="1" s="1"/>
  <c r="L184" i="1" s="1"/>
  <c r="J183" i="1"/>
  <c r="I183" i="1"/>
  <c r="K183" i="1" s="1"/>
  <c r="L183" i="1" s="1"/>
  <c r="J182" i="1"/>
  <c r="I182" i="1"/>
  <c r="K182" i="1" s="1"/>
  <c r="L182" i="1" s="1"/>
  <c r="J181" i="1"/>
  <c r="I181" i="1"/>
  <c r="K181" i="1" s="1"/>
  <c r="L181" i="1" s="1"/>
  <c r="J180" i="1"/>
  <c r="I180" i="1"/>
  <c r="K180" i="1" s="1"/>
  <c r="L180" i="1" s="1"/>
  <c r="L179" i="1"/>
  <c r="J178" i="1"/>
  <c r="I178" i="1"/>
  <c r="K178" i="1" s="1"/>
  <c r="L178" i="1" s="1"/>
  <c r="J177" i="1"/>
  <c r="I177" i="1"/>
  <c r="K177" i="1" s="1"/>
  <c r="L177" i="1" s="1"/>
  <c r="J176" i="1"/>
  <c r="I176" i="1"/>
  <c r="K176" i="1" s="1"/>
  <c r="L176" i="1" s="1"/>
  <c r="J175" i="1"/>
  <c r="I175" i="1"/>
  <c r="K175" i="1" s="1"/>
  <c r="L175" i="1" s="1"/>
  <c r="J174" i="1"/>
  <c r="I174" i="1"/>
  <c r="K174" i="1" s="1"/>
  <c r="L174" i="1" s="1"/>
  <c r="J173" i="1"/>
  <c r="I173" i="1"/>
  <c r="K173" i="1" s="1"/>
  <c r="L173" i="1" s="1"/>
  <c r="J172" i="1"/>
  <c r="I172" i="1"/>
  <c r="K172" i="1" s="1"/>
  <c r="L172" i="1" s="1"/>
  <c r="J171" i="1"/>
  <c r="I171" i="1"/>
  <c r="K171" i="1" s="1"/>
  <c r="L171" i="1" s="1"/>
  <c r="L170" i="1"/>
  <c r="J169" i="1"/>
  <c r="I169" i="1"/>
  <c r="J168" i="1"/>
  <c r="I168" i="1"/>
  <c r="K168" i="1" s="1"/>
  <c r="L168" i="1" s="1"/>
  <c r="J167" i="1"/>
  <c r="I167" i="1"/>
  <c r="K167" i="1" s="1"/>
  <c r="L167" i="1" s="1"/>
  <c r="L166" i="1"/>
  <c r="J165" i="1"/>
  <c r="I165" i="1"/>
  <c r="K165" i="1" s="1"/>
  <c r="L165" i="1" s="1"/>
  <c r="J164" i="1"/>
  <c r="I164" i="1"/>
  <c r="K164" i="1" s="1"/>
  <c r="L164" i="1" s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L159" i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L153" i="1"/>
  <c r="L152" i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J144" i="1"/>
  <c r="I144" i="1"/>
  <c r="K144" i="1" s="1"/>
  <c r="L144" i="1" s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J139" i="1"/>
  <c r="I139" i="1"/>
  <c r="K139" i="1" s="1"/>
  <c r="L139" i="1" s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L135" i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L126" i="1"/>
  <c r="J125" i="1"/>
  <c r="I125" i="1"/>
  <c r="K125" i="1" s="1"/>
  <c r="L125" i="1" s="1"/>
  <c r="J124" i="1"/>
  <c r="I124" i="1"/>
  <c r="K124" i="1" s="1"/>
  <c r="L124" i="1" s="1"/>
  <c r="J123" i="1"/>
  <c r="I123" i="1"/>
  <c r="K123" i="1" s="1"/>
  <c r="L123" i="1" s="1"/>
  <c r="L122" i="1"/>
  <c r="J121" i="1"/>
  <c r="I121" i="1"/>
  <c r="K121" i="1" s="1"/>
  <c r="L121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K117" i="1" s="1"/>
  <c r="L117" i="1" s="1"/>
  <c r="J116" i="1"/>
  <c r="I116" i="1"/>
  <c r="K116" i="1" s="1"/>
  <c r="L116" i="1" s="1"/>
  <c r="L115" i="1"/>
  <c r="J114" i="1"/>
  <c r="I114" i="1"/>
  <c r="J113" i="1"/>
  <c r="I113" i="1"/>
  <c r="K113" i="1" s="1"/>
  <c r="L113" i="1" s="1"/>
  <c r="J112" i="1"/>
  <c r="I112" i="1"/>
  <c r="K112" i="1" s="1"/>
  <c r="L112" i="1" s="1"/>
  <c r="J111" i="1"/>
  <c r="I111" i="1"/>
  <c r="K111" i="1" s="1"/>
  <c r="L111" i="1" s="1"/>
  <c r="J110" i="1"/>
  <c r="I110" i="1"/>
  <c r="K110" i="1" s="1"/>
  <c r="L110" i="1" s="1"/>
  <c r="L109" i="1"/>
  <c r="L108" i="1"/>
  <c r="J107" i="1"/>
  <c r="I107" i="1"/>
  <c r="K107" i="1" s="1"/>
  <c r="L107" i="1" s="1"/>
  <c r="J106" i="1"/>
  <c r="I106" i="1"/>
  <c r="K106" i="1" s="1"/>
  <c r="L106" i="1" s="1"/>
  <c r="J105" i="1"/>
  <c r="I105" i="1"/>
  <c r="J104" i="1"/>
  <c r="I104" i="1"/>
  <c r="K104" i="1" s="1"/>
  <c r="L104" i="1" s="1"/>
  <c r="J103" i="1"/>
  <c r="I103" i="1"/>
  <c r="J102" i="1"/>
  <c r="I102" i="1"/>
  <c r="K102" i="1" s="1"/>
  <c r="L102" i="1" s="1"/>
  <c r="J101" i="1"/>
  <c r="I101" i="1"/>
  <c r="K101" i="1" s="1"/>
  <c r="L101" i="1" s="1"/>
  <c r="J100" i="1"/>
  <c r="I100" i="1"/>
  <c r="K100" i="1" s="1"/>
  <c r="L100" i="1" s="1"/>
  <c r="J99" i="1"/>
  <c r="I99" i="1"/>
  <c r="J98" i="1"/>
  <c r="I98" i="1"/>
  <c r="J97" i="1"/>
  <c r="I97" i="1"/>
  <c r="K97" i="1" s="1"/>
  <c r="L97" i="1" s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J66" i="1"/>
  <c r="I66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9" i="1"/>
  <c r="I19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193" i="1" l="1"/>
  <c r="L193" i="1" s="1"/>
  <c r="K278" i="1"/>
  <c r="L278" i="1" s="1"/>
  <c r="K275" i="1"/>
  <c r="L275" i="1" s="1"/>
  <c r="K272" i="1"/>
  <c r="L272" i="1" s="1"/>
  <c r="K269" i="1"/>
  <c r="L269" i="1" s="1"/>
  <c r="K265" i="1"/>
  <c r="L265" i="1" s="1"/>
  <c r="K262" i="1"/>
  <c r="L262" i="1" s="1"/>
  <c r="K259" i="1"/>
  <c r="L259" i="1" s="1"/>
  <c r="K256" i="1"/>
  <c r="L256" i="1" s="1"/>
  <c r="K252" i="1"/>
  <c r="L252" i="1" s="1"/>
  <c r="K249" i="1"/>
  <c r="L249" i="1" s="1"/>
  <c r="K245" i="1"/>
  <c r="L245" i="1" s="1"/>
  <c r="K242" i="1"/>
  <c r="L242" i="1" s="1"/>
  <c r="K237" i="1"/>
  <c r="L237" i="1" s="1"/>
  <c r="K234" i="1"/>
  <c r="L234" i="1" s="1"/>
  <c r="K231" i="1"/>
  <c r="L231" i="1" s="1"/>
  <c r="K228" i="1"/>
  <c r="L228" i="1" s="1"/>
  <c r="K225" i="1"/>
  <c r="L225" i="1" s="1"/>
  <c r="K220" i="1"/>
  <c r="L220" i="1" s="1"/>
  <c r="K217" i="1"/>
  <c r="L217" i="1" s="1"/>
  <c r="K214" i="1"/>
  <c r="L214" i="1" s="1"/>
  <c r="K210" i="1"/>
  <c r="L210" i="1" s="1"/>
  <c r="K87" i="1"/>
  <c r="L87" i="1" s="1"/>
  <c r="K281" i="1"/>
  <c r="L281" i="1" s="1"/>
  <c r="K276" i="1"/>
  <c r="L276" i="1" s="1"/>
  <c r="K273" i="1"/>
  <c r="L273" i="1" s="1"/>
  <c r="K270" i="1"/>
  <c r="L270" i="1" s="1"/>
  <c r="K266" i="1"/>
  <c r="L266" i="1" s="1"/>
  <c r="K263" i="1"/>
  <c r="L263" i="1" s="1"/>
  <c r="K254" i="1"/>
  <c r="L254" i="1" s="1"/>
  <c r="K251" i="1"/>
  <c r="L251" i="1" s="1"/>
  <c r="K247" i="1"/>
  <c r="L247" i="1" s="1"/>
  <c r="K244" i="1"/>
  <c r="L244" i="1" s="1"/>
  <c r="K236" i="1"/>
  <c r="L236" i="1" s="1"/>
  <c r="K235" i="1"/>
  <c r="L235" i="1" s="1"/>
  <c r="K233" i="1"/>
  <c r="L233" i="1" s="1"/>
  <c r="K230" i="1"/>
  <c r="L230" i="1" s="1"/>
  <c r="K229" i="1"/>
  <c r="L229" i="1" s="1"/>
  <c r="K227" i="1"/>
  <c r="L227" i="1" s="1"/>
  <c r="K226" i="1"/>
  <c r="L226" i="1" s="1"/>
  <c r="K219" i="1"/>
  <c r="L219" i="1" s="1"/>
  <c r="K218" i="1"/>
  <c r="L218" i="1" s="1"/>
  <c r="K213" i="1"/>
  <c r="L213" i="1" s="1"/>
  <c r="K212" i="1"/>
  <c r="L212" i="1" s="1"/>
  <c r="K209" i="1"/>
  <c r="L209" i="1" s="1"/>
  <c r="K208" i="1"/>
  <c r="L208" i="1" s="1"/>
  <c r="K93" i="1"/>
  <c r="L93" i="1" s="1"/>
  <c r="K80" i="1"/>
  <c r="L80" i="1" s="1"/>
  <c r="K75" i="1"/>
  <c r="L75" i="1" s="1"/>
  <c r="K70" i="1"/>
  <c r="L70" i="1" s="1"/>
  <c r="K277" i="1"/>
  <c r="L277" i="1" s="1"/>
  <c r="K274" i="1"/>
  <c r="L274" i="1" s="1"/>
  <c r="K271" i="1"/>
  <c r="L271" i="1" s="1"/>
  <c r="K267" i="1"/>
  <c r="L267" i="1" s="1"/>
  <c r="K264" i="1"/>
  <c r="L264" i="1" s="1"/>
  <c r="K261" i="1"/>
  <c r="L261" i="1" s="1"/>
  <c r="K260" i="1"/>
  <c r="L260" i="1" s="1"/>
  <c r="K258" i="1"/>
  <c r="L258" i="1" s="1"/>
  <c r="K257" i="1"/>
  <c r="L257" i="1" s="1"/>
  <c r="K253" i="1"/>
  <c r="L253" i="1" s="1"/>
  <c r="K250" i="1"/>
  <c r="L250" i="1" s="1"/>
  <c r="K246" i="1"/>
  <c r="L246" i="1" s="1"/>
  <c r="K243" i="1"/>
  <c r="L243" i="1" s="1"/>
  <c r="K241" i="1"/>
  <c r="L241" i="1" s="1"/>
  <c r="K240" i="1"/>
  <c r="L240" i="1" s="1"/>
  <c r="K232" i="1"/>
  <c r="L232" i="1" s="1"/>
  <c r="K223" i="1"/>
  <c r="L223" i="1" s="1"/>
  <c r="K222" i="1"/>
  <c r="L222" i="1" s="1"/>
  <c r="K216" i="1"/>
  <c r="L216" i="1" s="1"/>
  <c r="K215" i="1"/>
  <c r="L215" i="1" s="1"/>
  <c r="K77" i="1"/>
  <c r="L77" i="1" s="1"/>
  <c r="K73" i="1"/>
  <c r="L73" i="1" s="1"/>
  <c r="K11" i="1"/>
  <c r="L11" i="1" s="1"/>
  <c r="K7" i="1"/>
  <c r="L7" i="1" s="1"/>
  <c r="K207" i="1"/>
  <c r="L207" i="1" s="1"/>
  <c r="K205" i="1"/>
  <c r="L205" i="1" s="1"/>
  <c r="K202" i="1"/>
  <c r="L202" i="1" s="1"/>
  <c r="K200" i="1"/>
  <c r="L200" i="1" s="1"/>
  <c r="K195" i="1"/>
  <c r="L195" i="1" s="1"/>
  <c r="K56" i="1"/>
  <c r="L56" i="1" s="1"/>
  <c r="K40" i="1"/>
  <c r="L40" i="1" s="1"/>
  <c r="K36" i="1"/>
  <c r="L36" i="1" s="1"/>
  <c r="K18" i="1"/>
  <c r="L18" i="1" s="1"/>
  <c r="K352" i="1"/>
  <c r="L352" i="1" s="1"/>
  <c r="K206" i="1"/>
  <c r="L206" i="1" s="1"/>
  <c r="K203" i="1"/>
  <c r="L203" i="1" s="1"/>
  <c r="K201" i="1"/>
  <c r="L201" i="1" s="1"/>
  <c r="K196" i="1"/>
  <c r="L196" i="1" s="1"/>
  <c r="K194" i="1"/>
  <c r="L194" i="1" s="1"/>
  <c r="K58" i="1"/>
  <c r="L58" i="1" s="1"/>
  <c r="K44" i="1"/>
  <c r="L44" i="1" s="1"/>
  <c r="K32" i="1"/>
  <c r="L32" i="1" s="1"/>
  <c r="K9" i="1"/>
  <c r="L9" i="1" s="1"/>
  <c r="K5" i="1"/>
  <c r="L5" i="1" s="1"/>
  <c r="K60" i="1"/>
  <c r="L60" i="1" s="1"/>
  <c r="K46" i="1"/>
  <c r="L46" i="1" s="1"/>
  <c r="K42" i="1"/>
  <c r="L42" i="1" s="1"/>
  <c r="K34" i="1"/>
  <c r="L34" i="1" s="1"/>
  <c r="K15" i="1"/>
  <c r="L15" i="1" s="1"/>
  <c r="K105" i="1"/>
  <c r="L105" i="1" s="1"/>
  <c r="K103" i="1"/>
  <c r="L103" i="1" s="1"/>
  <c r="K98" i="1"/>
  <c r="L98" i="1" s="1"/>
  <c r="K96" i="1"/>
  <c r="L96" i="1" s="1"/>
  <c r="K94" i="1"/>
  <c r="L94" i="1" s="1"/>
  <c r="K90" i="1"/>
  <c r="L90" i="1" s="1"/>
  <c r="K88" i="1"/>
  <c r="L88" i="1" s="1"/>
  <c r="K85" i="1"/>
  <c r="L85" i="1" s="1"/>
  <c r="K83" i="1"/>
  <c r="L83" i="1" s="1"/>
  <c r="K81" i="1"/>
  <c r="L81" i="1" s="1"/>
  <c r="K76" i="1"/>
  <c r="L76" i="1" s="1"/>
  <c r="K74" i="1"/>
  <c r="L74" i="1" s="1"/>
  <c r="K72" i="1"/>
  <c r="L72" i="1" s="1"/>
  <c r="K68" i="1"/>
  <c r="L68" i="1" s="1"/>
  <c r="K66" i="1"/>
  <c r="L66" i="1" s="1"/>
  <c r="K62" i="1"/>
  <c r="L62" i="1" s="1"/>
  <c r="K57" i="1"/>
  <c r="L57" i="1" s="1"/>
  <c r="K55" i="1"/>
  <c r="L55" i="1" s="1"/>
  <c r="K52" i="1"/>
  <c r="L52" i="1" s="1"/>
  <c r="K50" i="1"/>
  <c r="L50" i="1" s="1"/>
  <c r="K48" i="1"/>
  <c r="L48" i="1" s="1"/>
  <c r="K41" i="1"/>
  <c r="L41" i="1" s="1"/>
  <c r="K38" i="1"/>
  <c r="L38" i="1" s="1"/>
  <c r="K29" i="1"/>
  <c r="L29" i="1" s="1"/>
  <c r="K27" i="1"/>
  <c r="L27" i="1" s="1"/>
  <c r="K25" i="1"/>
  <c r="L25" i="1" s="1"/>
  <c r="K22" i="1"/>
  <c r="L22" i="1" s="1"/>
  <c r="K20" i="1"/>
  <c r="L20" i="1" s="1"/>
  <c r="K19" i="1"/>
  <c r="L19" i="1" s="1"/>
  <c r="K16" i="1"/>
  <c r="L16" i="1" s="1"/>
  <c r="K14" i="1"/>
  <c r="L14" i="1" s="1"/>
  <c r="K12" i="1"/>
  <c r="L12" i="1" s="1"/>
  <c r="K10" i="1"/>
  <c r="L10" i="1" s="1"/>
  <c r="K8" i="1"/>
  <c r="L8" i="1" s="1"/>
  <c r="K6" i="1"/>
  <c r="L6" i="1" s="1"/>
  <c r="K4" i="1"/>
  <c r="L4" i="1" s="1"/>
  <c r="K169" i="1"/>
  <c r="L169" i="1" s="1"/>
  <c r="K114" i="1"/>
  <c r="L114" i="1" s="1"/>
  <c r="K95" i="1"/>
  <c r="L95" i="1" s="1"/>
  <c r="K92" i="1"/>
  <c r="L92" i="1" s="1"/>
  <c r="K89" i="1"/>
  <c r="L89" i="1" s="1"/>
  <c r="K86" i="1"/>
  <c r="L86" i="1" s="1"/>
  <c r="K84" i="1"/>
  <c r="L84" i="1" s="1"/>
  <c r="K82" i="1"/>
  <c r="L82" i="1" s="1"/>
  <c r="K79" i="1"/>
  <c r="L79" i="1" s="1"/>
  <c r="K69" i="1"/>
  <c r="L69" i="1" s="1"/>
  <c r="K67" i="1"/>
  <c r="L67" i="1" s="1"/>
  <c r="K63" i="1"/>
  <c r="L63" i="1" s="1"/>
  <c r="K61" i="1"/>
  <c r="L61" i="1" s="1"/>
  <c r="K59" i="1"/>
  <c r="L59" i="1" s="1"/>
  <c r="K54" i="1"/>
  <c r="L54" i="1" s="1"/>
  <c r="K51" i="1"/>
  <c r="L51" i="1" s="1"/>
  <c r="K49" i="1"/>
  <c r="L49" i="1" s="1"/>
  <c r="K45" i="1"/>
  <c r="L45" i="1" s="1"/>
  <c r="K43" i="1"/>
  <c r="L43" i="1" s="1"/>
  <c r="K39" i="1"/>
  <c r="L39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13" i="1"/>
  <c r="L13" i="1" s="1"/>
  <c r="K2" i="1"/>
  <c r="L2" i="1" s="1"/>
  <c r="K99" i="1"/>
  <c r="L99" i="1" s="1"/>
</calcChain>
</file>

<file path=xl/sharedStrings.xml><?xml version="1.0" encoding="utf-8"?>
<sst xmlns="http://schemas.openxmlformats.org/spreadsheetml/2006/main" count="1479" uniqueCount="117">
  <si>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</si>
  <si>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</si>
  <si>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</si>
  <si>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</si>
  <si>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</si>
  <si>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</si>
  <si>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</si>
  <si>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</si>
  <si>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</si>
  <si>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</si>
  <si>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</si>
  <si>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</si>
  <si>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</si>
  <si>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</si>
  <si>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</si>
  <si>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</si>
  <si>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</si>
  <si>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</si>
  <si>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</si>
  <si>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</si>
  <si>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</si>
  <si>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</si>
  <si>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</si>
  <si>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</si>
  <si>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</si>
  <si>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</si>
  <si>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</si>
  <si>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</si>
  <si>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</si>
  <si>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</si>
  <si>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</si>
  <si>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</si>
  <si>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</si>
  <si>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</si>
  <si>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</si>
  <si>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</si>
  <si>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</si>
  <si>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</si>
  <si>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</si>
  <si>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</si>
  <si>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</si>
  <si>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</si>
  <si>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</si>
  <si>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</si>
  <si>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</si>
  <si>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</si>
  <si>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</si>
  <si>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</si>
  <si>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</si>
  <si>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</si>
  <si>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</si>
  <si>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</si>
  <si>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</si>
  <si>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</si>
  <si>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</si>
  <si>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</si>
  <si>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</si>
  <si>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</si>
  <si>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</si>
  <si>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</si>
  <si>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</si>
  <si>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</si>
  <si>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</si>
  <si>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</si>
  <si>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</si>
  <si>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</si>
  <si>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</si>
  <si>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</si>
  <si>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</si>
  <si>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</si>
  <si>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</si>
  <si>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</si>
  <si>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</si>
  <si>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</si>
  <si>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</si>
  <si>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</si>
  <si>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</si>
  <si>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</si>
  <si>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</si>
  <si>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</si>
  <si>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</si>
  <si>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</si>
  <si>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</si>
  <si>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</si>
  <si>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Gabriel Andrade</t>
  </si>
  <si>
    <t>Gabriel Alves de Andrade</t>
  </si>
  <si>
    <t>Isabella Borges</t>
  </si>
  <si>
    <t>Janaina Urany</t>
  </si>
  <si>
    <t>Jaqueline Evangelista</t>
  </si>
  <si>
    <t>Jessica Silveira</t>
  </si>
  <si>
    <t>Jessica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</si>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</sst>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730"/>
  <sheetViews>
    <sheetView tabSelected="1" zoomScale="85" zoomScaleNormal="85" workbookViewId="0">
      <selection activeCell="J730" sqref="J730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I4" s="3">
        <f t="shared" ref="I4:I16" si="1">E4+G4+H4</f>
        <v>40</v>
      </c>
      <c r="J4" s="3">
        <f t="shared" ref="J4:J16" si="2"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3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I5" s="3">
        <f t="shared" si="1"/>
        <v>27</v>
      </c>
      <c r="J5" s="3">
        <f t="shared" si="2"/>
        <v>35</v>
      </c>
      <c r="K5" s="3">
        <f t="shared" si="3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 t="shared" si="2"/>
        <v>10</v>
      </c>
      <c r="K6" s="3">
        <f t="shared" si="3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I7" s="3">
        <f t="shared" si="1"/>
        <v>43</v>
      </c>
      <c r="J7" s="3">
        <f t="shared" si="2"/>
        <v>28</v>
      </c>
      <c r="K7" s="3">
        <f t="shared" si="3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I8" s="3">
        <f t="shared" si="1"/>
        <v>29</v>
      </c>
      <c r="J8" s="3">
        <f t="shared" si="2"/>
        <v>28</v>
      </c>
      <c r="K8" s="3">
        <f t="shared" si="3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I9" s="3">
        <f t="shared" si="1"/>
        <v>8</v>
      </c>
      <c r="J9" s="3">
        <f t="shared" si="2"/>
        <v>10</v>
      </c>
      <c r="K9" s="3">
        <f t="shared" si="3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I10" s="3">
        <f t="shared" si="1"/>
        <v>32</v>
      </c>
      <c r="J10" s="3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I11" s="3">
        <f t="shared" si="1"/>
        <v>38</v>
      </c>
      <c r="J11" s="3">
        <f t="shared" si="2"/>
        <v>35</v>
      </c>
      <c r="K11" s="3">
        <f t="shared" si="3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I12" s="3">
        <f t="shared" si="1"/>
        <v>31</v>
      </c>
      <c r="J12" s="3">
        <f t="shared" si="2"/>
        <v>28</v>
      </c>
      <c r="K12" s="3">
        <f t="shared" si="3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I13" s="3">
        <f t="shared" si="1"/>
        <v>27</v>
      </c>
      <c r="J13" s="3">
        <f t="shared" si="2"/>
        <v>23</v>
      </c>
      <c r="K13" s="3">
        <f t="shared" si="3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I14" s="3">
        <f t="shared" si="1"/>
        <v>24</v>
      </c>
      <c r="J14" s="3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I15" s="3">
        <f t="shared" si="1"/>
        <v>8</v>
      </c>
      <c r="J15" s="3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I16" s="3">
        <f t="shared" si="1"/>
        <v>35</v>
      </c>
      <c r="J16" s="3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I18" s="3">
        <f t="shared" ref="I18:I23" si="4">E18+G18+H18</f>
        <v>33</v>
      </c>
      <c r="J18" s="3">
        <f t="shared" ref="J18:J23" si="5"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6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hidden="1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I19" s="3">
        <f t="shared" si="4"/>
        <v>27</v>
      </c>
      <c r="J19" s="3">
        <f t="shared" si="5"/>
        <v>23</v>
      </c>
      <c r="K19" s="3">
        <f t="shared" si="6"/>
        <v>4</v>
      </c>
      <c r="L19" s="3" t="str">
        <f t="shared" si="0"/>
        <v>BOM</v>
      </c>
      <c r="M19" s="9">
        <v>22</v>
      </c>
      <c r="N19" s="9">
        <v>98.8</v>
      </c>
      <c r="O19" s="9">
        <v>15.41353383458646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I20" s="3">
        <f t="shared" si="4"/>
        <v>34</v>
      </c>
      <c r="J20" s="3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I21" s="3">
        <f t="shared" si="4"/>
        <v>49</v>
      </c>
      <c r="J21" s="3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I22" s="3">
        <f t="shared" si="4"/>
        <v>16</v>
      </c>
      <c r="J22" s="3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I23" s="3">
        <f t="shared" si="4"/>
        <v>32</v>
      </c>
      <c r="J23" s="3">
        <f t="shared" si="5"/>
        <v>28</v>
      </c>
      <c r="K23" s="3">
        <f t="shared" si="6"/>
        <v>4</v>
      </c>
      <c r="L23" s="3" t="str">
        <f t="shared" si="0"/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I25" s="3">
        <f t="shared" ref="I25:I30" si="7">E25+G25+H25</f>
        <v>24</v>
      </c>
      <c r="J25" s="3">
        <f t="shared" ref="J25:J30" si="8"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 t="shared" ref="K25:K30" si="9">I25-J25</f>
        <v>4</v>
      </c>
      <c r="L25" s="3" t="str">
        <f t="shared" si="0"/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I26" s="3">
        <f t="shared" si="7"/>
        <v>20</v>
      </c>
      <c r="J26" s="3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I27" s="3">
        <f t="shared" si="7"/>
        <v>15</v>
      </c>
      <c r="J27" s="3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I28" s="3">
        <f t="shared" si="7"/>
        <v>29</v>
      </c>
      <c r="J28" s="3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I29" s="3">
        <f t="shared" si="7"/>
        <v>26</v>
      </c>
      <c r="J29" s="3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I30" s="3">
        <f t="shared" si="7"/>
        <v>40</v>
      </c>
      <c r="J30" s="3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I32" s="3">
        <f t="shared" ref="I32:I46" si="10">E32+G32+H32</f>
        <v>25</v>
      </c>
      <c r="J32" s="3">
        <f t="shared" ref="J32:J46" si="11"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 t="shared" ref="K32:K46" si="12">I32-J32</f>
        <v>2</v>
      </c>
      <c r="L32" s="3" t="str">
        <f t="shared" si="0"/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I35" s="3">
        <f t="shared" si="10"/>
        <v>38</v>
      </c>
      <c r="J35" s="3">
        <f t="shared" si="11"/>
        <v>35</v>
      </c>
      <c r="K35" s="3">
        <f t="shared" si="12"/>
        <v>3</v>
      </c>
      <c r="L35" s="3" t="str">
        <f t="shared" si="0"/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I36" s="3">
        <f t="shared" si="10"/>
        <v>7</v>
      </c>
      <c r="J36" s="3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I37" s="3">
        <f t="shared" si="10"/>
        <v>23</v>
      </c>
      <c r="J37" s="3">
        <f t="shared" si="11"/>
        <v>20</v>
      </c>
      <c r="K37" s="3">
        <f t="shared" si="12"/>
        <v>3</v>
      </c>
      <c r="L37" s="3" t="str">
        <f t="shared" si="0"/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I38" s="3">
        <f t="shared" si="10"/>
        <v>16</v>
      </c>
      <c r="J38" s="3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I39" s="3">
        <f t="shared" si="10"/>
        <v>23</v>
      </c>
      <c r="J39" s="3">
        <f t="shared" si="11"/>
        <v>20</v>
      </c>
      <c r="K39" s="3">
        <f t="shared" si="12"/>
        <v>3</v>
      </c>
      <c r="L39" s="3" t="str">
        <f t="shared" si="0"/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I40" s="3">
        <f t="shared" si="10"/>
        <v>21</v>
      </c>
      <c r="J40" s="3">
        <f t="shared" si="11"/>
        <v>20</v>
      </c>
      <c r="K40" s="3">
        <f t="shared" si="12"/>
        <v>1</v>
      </c>
      <c r="L40" s="3" t="str">
        <f t="shared" si="0"/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>
        <f t="shared" si="11"/>
        <v>10</v>
      </c>
      <c r="K41" s="3">
        <f t="shared" si="12"/>
        <v>5</v>
      </c>
      <c r="L41" s="3" t="str">
        <f t="shared" si="0"/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I42" s="3">
        <f t="shared" si="10"/>
        <v>27</v>
      </c>
      <c r="J42" s="3">
        <f t="shared" si="11"/>
        <v>23</v>
      </c>
      <c r="K42" s="3">
        <f t="shared" si="12"/>
        <v>4</v>
      </c>
      <c r="L42" s="3" t="str">
        <f t="shared" si="0"/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I43" s="3">
        <f t="shared" si="10"/>
        <v>47</v>
      </c>
      <c r="J43" s="3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I44" s="3">
        <f t="shared" si="10"/>
        <v>20</v>
      </c>
      <c r="J44" s="3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I46" s="3">
        <f t="shared" si="10"/>
        <v>41</v>
      </c>
      <c r="J46" s="3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32</v>
      </c>
      <c r="N46" s="3">
        <v>98.94</v>
      </c>
      <c r="O46" s="3">
        <v>19.614147909967851</v>
      </c>
    </row>
    <row r="47" spans="1:15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 t="shared" si="0"/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 t="shared" si="0"/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 t="shared" si="0"/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 t="shared" si="0"/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 t="shared" si="0"/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I54" s="3">
        <f t="shared" ref="I54:I63" si="13">E54+G54+H54</f>
        <v>43</v>
      </c>
      <c r="J54" s="3">
        <f t="shared" ref="J54:J63" si="14"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 t="shared" ref="K54:K63" si="15">I54-J54</f>
        <v>15</v>
      </c>
      <c r="L54" s="3" t="str">
        <f t="shared" si="0"/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I55" s="3">
        <f t="shared" si="13"/>
        <v>27</v>
      </c>
      <c r="J55" s="3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>
        <f t="shared" si="14"/>
        <v>10</v>
      </c>
      <c r="K56" s="3">
        <f t="shared" si="15"/>
        <v>1</v>
      </c>
      <c r="L56" s="3" t="str">
        <f t="shared" si="0"/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I58" s="3">
        <f t="shared" si="13"/>
        <v>29</v>
      </c>
      <c r="J58" s="3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I59" s="3">
        <f t="shared" si="13"/>
        <v>47</v>
      </c>
      <c r="J59" s="3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I60" s="3">
        <f t="shared" si="13"/>
        <v>30</v>
      </c>
      <c r="J60" s="3">
        <f t="shared" si="14"/>
        <v>28</v>
      </c>
      <c r="K60" s="3">
        <f t="shared" si="15"/>
        <v>2</v>
      </c>
      <c r="L60" s="3" t="str">
        <f t="shared" si="0"/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I61" s="3">
        <f t="shared" si="13"/>
        <v>22</v>
      </c>
      <c r="J61" s="3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I62" s="3">
        <f t="shared" si="13"/>
        <v>27</v>
      </c>
      <c r="J62" s="3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I63" s="3">
        <f t="shared" si="13"/>
        <v>34</v>
      </c>
      <c r="J63" s="3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0</v>
      </c>
      <c r="N65" s="3">
        <v>100</v>
      </c>
      <c r="O65" s="3">
        <v>17.241379310344829</v>
      </c>
    </row>
    <row r="66" spans="1:15" hidden="1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I66" s="3">
        <f>E66+G66+H66</f>
        <v>21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 t="shared" si="16"/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 t="shared" si="16"/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 t="shared" si="16"/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 t="shared" si="16"/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I72" s="3">
        <f t="shared" ref="I72:I77" si="17">E72+G72+H72</f>
        <v>24</v>
      </c>
      <c r="J72" s="3">
        <f t="shared" ref="J72:J77" si="18"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 t="shared" ref="K72:K77" si="19">I72-J72</f>
        <v>4</v>
      </c>
      <c r="L72" s="3" t="str">
        <f t="shared" si="16"/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I73" s="3">
        <f t="shared" si="17"/>
        <v>27</v>
      </c>
      <c r="J73" s="3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I74" s="3">
        <f t="shared" si="17"/>
        <v>22</v>
      </c>
      <c r="J74" s="3">
        <f t="shared" si="18"/>
        <v>20</v>
      </c>
      <c r="K74" s="3">
        <f t="shared" si="19"/>
        <v>2</v>
      </c>
      <c r="L74" s="3" t="str">
        <f t="shared" si="16"/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I75" s="3">
        <f t="shared" si="17"/>
        <v>25</v>
      </c>
      <c r="J75" s="3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I76" s="3">
        <f t="shared" si="17"/>
        <v>22</v>
      </c>
      <c r="J76" s="3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I77" s="3">
        <f t="shared" si="17"/>
        <v>35</v>
      </c>
      <c r="J77" s="3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I79" s="3">
        <f t="shared" ref="I79:I90" si="20">E79+G79+H79</f>
        <v>29</v>
      </c>
      <c r="J79" s="3">
        <f t="shared" ref="J79:J90" si="21"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 t="shared" ref="K79:K90" si="22">I79-J79</f>
        <v>6</v>
      </c>
      <c r="L79" s="3" t="str">
        <f t="shared" si="16"/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I81" s="3">
        <f t="shared" si="20"/>
        <v>40</v>
      </c>
      <c r="J81" s="3">
        <f t="shared" si="21"/>
        <v>35</v>
      </c>
      <c r="K81" s="3">
        <f t="shared" si="22"/>
        <v>5</v>
      </c>
      <c r="L81" s="3" t="str">
        <f t="shared" si="16"/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I82" s="3">
        <f t="shared" si="20"/>
        <v>34</v>
      </c>
      <c r="J82" s="3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I83" s="3">
        <f t="shared" si="20"/>
        <v>25</v>
      </c>
      <c r="J83" s="3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I84" s="3">
        <f t="shared" si="20"/>
        <v>17</v>
      </c>
      <c r="J84" s="3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I85" s="3">
        <f t="shared" si="20"/>
        <v>20</v>
      </c>
      <c r="J85" s="3">
        <f t="shared" si="21"/>
        <v>20</v>
      </c>
      <c r="K85" s="3">
        <f t="shared" si="22"/>
        <v>0</v>
      </c>
      <c r="L85" s="3" t="str">
        <f t="shared" si="16"/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I86" s="3">
        <f t="shared" si="20"/>
        <v>36</v>
      </c>
      <c r="J86" s="3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I87" s="3">
        <f t="shared" si="20"/>
        <v>54</v>
      </c>
      <c r="J87" s="3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I88" s="3">
        <f t="shared" si="20"/>
        <v>17</v>
      </c>
      <c r="J88" s="3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I90" s="3">
        <f t="shared" si="20"/>
        <v>40</v>
      </c>
      <c r="J90" s="3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32</v>
      </c>
      <c r="N90" s="3">
        <v>98.94</v>
      </c>
      <c r="O90" s="3">
        <v>19.614147909967851</v>
      </c>
    </row>
    <row r="91" spans="1:15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I92" s="3">
        <f t="shared" ref="I92:I107" si="23">E92+G92+H92</f>
        <v>49</v>
      </c>
      <c r="J92" s="3">
        <f t="shared" ref="J92:J107" si="24"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I93" s="3">
        <f t="shared" si="23"/>
        <v>32</v>
      </c>
      <c r="J93" s="3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I94" s="3">
        <f t="shared" si="23"/>
        <v>37</v>
      </c>
      <c r="J94" s="3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I95" s="3">
        <f t="shared" si="23"/>
        <v>33</v>
      </c>
      <c r="J95" s="3">
        <f t="shared" si="24"/>
        <v>28</v>
      </c>
      <c r="K95" s="3">
        <f t="shared" si="25"/>
        <v>5</v>
      </c>
      <c r="L95" s="3" t="str">
        <f t="shared" si="16"/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I97" s="3">
        <f t="shared" si="23"/>
        <v>12</v>
      </c>
      <c r="J97" s="3">
        <f t="shared" si="24"/>
        <v>10</v>
      </c>
      <c r="K97" s="3">
        <f t="shared" si="25"/>
        <v>2</v>
      </c>
      <c r="L97" s="3" t="str">
        <f t="shared" si="16"/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I99" s="3">
        <f t="shared" si="23"/>
        <v>38</v>
      </c>
      <c r="J99" s="3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I100" s="3">
        <f t="shared" si="23"/>
        <v>8</v>
      </c>
      <c r="J100" s="3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I101" s="3">
        <f t="shared" si="23"/>
        <v>15</v>
      </c>
      <c r="J101" s="3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I102" s="3">
        <f t="shared" si="23"/>
        <v>32</v>
      </c>
      <c r="J102" s="3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I103" s="3">
        <f t="shared" si="23"/>
        <v>44</v>
      </c>
      <c r="J103" s="3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I104" s="3">
        <f t="shared" si="23"/>
        <v>36</v>
      </c>
      <c r="J104" s="3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I105" s="3">
        <f t="shared" si="23"/>
        <v>16</v>
      </c>
      <c r="J105" s="3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I106" s="3">
        <f t="shared" si="23"/>
        <v>31</v>
      </c>
      <c r="J106" s="3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I107" s="3">
        <f t="shared" si="23"/>
        <v>23</v>
      </c>
      <c r="J107" s="3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0</v>
      </c>
      <c r="N109" s="3">
        <v>100</v>
      </c>
      <c r="O109" s="3">
        <v>17.241379310344829</v>
      </c>
    </row>
    <row r="110" spans="1:15" hidden="1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I110" s="3">
        <f>E110+G110+H110</f>
        <v>31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23</v>
      </c>
      <c r="K110" s="3">
        <f>I110-J110</f>
        <v>8</v>
      </c>
      <c r="L110" s="3" t="str">
        <f t="shared" si="16"/>
        <v>EXCELENTE</v>
      </c>
      <c r="M110" s="3">
        <v>24</v>
      </c>
      <c r="N110" s="3">
        <v>98.8</v>
      </c>
      <c r="O110" s="3">
        <v>15.41353383458646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 t="shared" si="16"/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 t="shared" si="16"/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 t="shared" si="16"/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I116" s="3">
        <f t="shared" ref="I116:I121" si="26">E116+G116+H116</f>
        <v>23</v>
      </c>
      <c r="J116" s="3">
        <f t="shared" ref="J116:J121" si="27"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I117" s="3">
        <f t="shared" si="26"/>
        <v>26</v>
      </c>
      <c r="J117" s="3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I118" s="3">
        <f t="shared" si="26"/>
        <v>24</v>
      </c>
      <c r="J118" s="3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I119" s="3">
        <f t="shared" si="26"/>
        <v>38</v>
      </c>
      <c r="J119" s="3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I120" s="3">
        <f t="shared" si="26"/>
        <v>38</v>
      </c>
      <c r="J120" s="3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I121" s="3">
        <f t="shared" si="26"/>
        <v>31</v>
      </c>
      <c r="J121" s="3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 t="shared" si="16"/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 t="shared" si="16"/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I127" s="3">
        <f t="shared" ref="I127:I134" si="29">E127+G127+H127</f>
        <v>33</v>
      </c>
      <c r="J127" s="3">
        <f t="shared" ref="J127:J134" si="30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 t="shared" ref="K127:K134" si="31">I127-J127</f>
        <v>5</v>
      </c>
      <c r="L127" s="3" t="str">
        <f t="shared" si="16"/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I128" s="3">
        <f t="shared" si="29"/>
        <v>17</v>
      </c>
      <c r="J128" s="3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I129" s="3">
        <f t="shared" si="29"/>
        <v>24</v>
      </c>
      <c r="J129" s="3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I130" s="3">
        <f t="shared" si="29"/>
        <v>35</v>
      </c>
      <c r="J130" s="3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I131" s="3">
        <f t="shared" si="29"/>
        <v>52</v>
      </c>
      <c r="J131" s="3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I132" s="3">
        <f t="shared" si="29"/>
        <v>19</v>
      </c>
      <c r="J132" s="3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I133" s="3">
        <f t="shared" si="29"/>
        <v>28</v>
      </c>
      <c r="J133" s="3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I134" s="3">
        <f t="shared" si="29"/>
        <v>34</v>
      </c>
      <c r="J134" s="3">
        <f t="shared" si="30"/>
        <v>26</v>
      </c>
      <c r="K134" s="3">
        <f t="shared" si="31"/>
        <v>8</v>
      </c>
      <c r="L134" s="3" t="str">
        <f t="shared" si="32"/>
        <v>EXCELENTE</v>
      </c>
      <c r="M134" s="3">
        <v>19</v>
      </c>
      <c r="N134" s="3">
        <v>98.94</v>
      </c>
      <c r="O134" s="3">
        <v>19.614147909967851</v>
      </c>
    </row>
    <row r="135" spans="1:15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I136" s="3">
        <f t="shared" ref="I136:I151" si="33">E136+G136+H136</f>
        <v>38</v>
      </c>
      <c r="J136" s="3">
        <f t="shared" ref="J136:J151" si="34"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 t="shared" ref="K136:K151" si="35">I136-J136</f>
        <v>16</v>
      </c>
      <c r="L136" s="3" t="str">
        <f t="shared" si="32"/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I137" s="3">
        <f t="shared" si="33"/>
        <v>32</v>
      </c>
      <c r="J137" s="3">
        <f t="shared" si="34"/>
        <v>33</v>
      </c>
      <c r="K137" s="3">
        <f t="shared" si="35"/>
        <v>-1</v>
      </c>
      <c r="L137" s="3" t="str">
        <f t="shared" si="32"/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I138" s="3">
        <f t="shared" si="33"/>
        <v>34</v>
      </c>
      <c r="J138" s="3">
        <f t="shared" si="34"/>
        <v>26</v>
      </c>
      <c r="K138" s="3">
        <f t="shared" si="35"/>
        <v>8</v>
      </c>
      <c r="L138" s="3" t="str">
        <f t="shared" si="32"/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I139" s="3">
        <f t="shared" si="33"/>
        <v>29</v>
      </c>
      <c r="J139" s="3">
        <f t="shared" si="34"/>
        <v>26</v>
      </c>
      <c r="K139" s="3">
        <f t="shared" si="35"/>
        <v>3</v>
      </c>
      <c r="L139" s="3" t="str">
        <f t="shared" si="32"/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>
        <f t="shared" si="34"/>
        <v>9</v>
      </c>
      <c r="K140" s="3">
        <f t="shared" si="35"/>
        <v>23</v>
      </c>
      <c r="L140" s="3" t="str">
        <f t="shared" si="32"/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I141" s="3">
        <f t="shared" si="33"/>
        <v>12</v>
      </c>
      <c r="J141" s="3">
        <f t="shared" si="34"/>
        <v>9</v>
      </c>
      <c r="K141" s="3">
        <f t="shared" si="35"/>
        <v>3</v>
      </c>
      <c r="L141" s="3" t="str">
        <f t="shared" si="32"/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I142" s="3">
        <f t="shared" si="33"/>
        <v>32</v>
      </c>
      <c r="J142" s="3">
        <f t="shared" si="34"/>
        <v>9</v>
      </c>
      <c r="K142" s="3">
        <f t="shared" si="35"/>
        <v>23</v>
      </c>
      <c r="L142" s="3" t="str">
        <f t="shared" si="32"/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>
        <f t="shared" si="34"/>
        <v>9</v>
      </c>
      <c r="K143" s="3">
        <f t="shared" si="35"/>
        <v>28</v>
      </c>
      <c r="L143" s="3" t="str">
        <f t="shared" si="32"/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I144" s="3">
        <f t="shared" si="33"/>
        <v>24</v>
      </c>
      <c r="J144" s="3">
        <f t="shared" si="34"/>
        <v>22</v>
      </c>
      <c r="K144" s="3">
        <f t="shared" si="35"/>
        <v>2</v>
      </c>
      <c r="L144" s="3" t="str">
        <f t="shared" si="32"/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I145" s="3">
        <f t="shared" si="33"/>
        <v>44</v>
      </c>
      <c r="J145" s="3">
        <f t="shared" si="34"/>
        <v>33</v>
      </c>
      <c r="K145" s="3">
        <f t="shared" si="35"/>
        <v>11</v>
      </c>
      <c r="L145" s="3" t="str">
        <f t="shared" si="32"/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I146" s="3">
        <f t="shared" si="33"/>
        <v>20</v>
      </c>
      <c r="J146" s="3">
        <f t="shared" si="34"/>
        <v>26</v>
      </c>
      <c r="K146" s="3">
        <f t="shared" si="35"/>
        <v>-6</v>
      </c>
      <c r="L146" s="3" t="str">
        <f t="shared" si="32"/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I147" s="3">
        <f t="shared" si="33"/>
        <v>24</v>
      </c>
      <c r="J147" s="3">
        <f t="shared" si="34"/>
        <v>22</v>
      </c>
      <c r="K147" s="3">
        <f t="shared" si="35"/>
        <v>2</v>
      </c>
      <c r="L147" s="3" t="str">
        <f t="shared" si="32"/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I148" s="3">
        <f t="shared" si="33"/>
        <v>30</v>
      </c>
      <c r="J148" s="3">
        <f t="shared" si="34"/>
        <v>33</v>
      </c>
      <c r="K148" s="3">
        <f t="shared" si="35"/>
        <v>-3</v>
      </c>
      <c r="L148" s="3" t="str">
        <f t="shared" si="32"/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I149" s="3">
        <f t="shared" si="33"/>
        <v>15</v>
      </c>
      <c r="J149" s="3">
        <f t="shared" si="34"/>
        <v>9</v>
      </c>
      <c r="K149" s="3">
        <f t="shared" si="35"/>
        <v>6</v>
      </c>
      <c r="L149" s="3" t="str">
        <f t="shared" si="32"/>
        <v>EXCELENTE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>
        <f t="shared" si="34"/>
        <v>9</v>
      </c>
      <c r="K150" s="3">
        <f t="shared" si="35"/>
        <v>6</v>
      </c>
      <c r="L150" s="3" t="str">
        <f t="shared" si="32"/>
        <v>EXCELENTE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I151" s="3">
        <f t="shared" si="33"/>
        <v>31</v>
      </c>
      <c r="J151" s="3">
        <f t="shared" si="34"/>
        <v>26</v>
      </c>
      <c r="K151" s="3">
        <f t="shared" si="35"/>
        <v>5</v>
      </c>
      <c r="L151" s="3" t="str">
        <f t="shared" si="32"/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0</v>
      </c>
      <c r="N153" s="3">
        <v>100</v>
      </c>
      <c r="O153" s="3">
        <v>17.241379310344829</v>
      </c>
    </row>
    <row r="154" spans="1:15" hidden="1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I154" s="3">
        <f>E154+G154+H154</f>
        <v>28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22</v>
      </c>
      <c r="K154" s="3">
        <f>I154-J154</f>
        <v>6</v>
      </c>
      <c r="L154" s="3" t="str">
        <f t="shared" si="32"/>
        <v>EXCELENTE</v>
      </c>
      <c r="M154" s="3">
        <v>24</v>
      </c>
      <c r="N154" s="3">
        <v>98.8</v>
      </c>
      <c r="O154" s="3">
        <v>15.41353383458646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 t="shared" si="32"/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 t="shared" si="32"/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 t="shared" si="32"/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 t="shared" si="32"/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I160" s="3">
        <f t="shared" ref="I160:I165" si="36">E160+G160+H160</f>
        <v>26</v>
      </c>
      <c r="J160" s="3">
        <f t="shared" ref="J160:J165" si="37"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 t="shared" ref="K160:K165" si="38">I160-J160</f>
        <v>7</v>
      </c>
      <c r="L160" s="3" t="str">
        <f t="shared" si="32"/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I161" s="3">
        <f t="shared" si="36"/>
        <v>23</v>
      </c>
      <c r="J161" s="3">
        <f t="shared" si="37"/>
        <v>33</v>
      </c>
      <c r="K161" s="3">
        <f t="shared" si="38"/>
        <v>-10</v>
      </c>
      <c r="L161" s="3" t="str">
        <f t="shared" si="32"/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I162" s="3">
        <f t="shared" si="36"/>
        <v>16</v>
      </c>
      <c r="J162" s="3">
        <f t="shared" si="37"/>
        <v>19</v>
      </c>
      <c r="K162" s="3">
        <f t="shared" si="38"/>
        <v>-3</v>
      </c>
      <c r="L162" s="3" t="str">
        <f t="shared" si="32"/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I163" s="3">
        <f t="shared" si="36"/>
        <v>23</v>
      </c>
      <c r="J163" s="3">
        <f t="shared" si="37"/>
        <v>33</v>
      </c>
      <c r="K163" s="3">
        <f t="shared" si="38"/>
        <v>-10</v>
      </c>
      <c r="L163" s="3" t="str">
        <f t="shared" si="32"/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I164" s="3">
        <f t="shared" si="36"/>
        <v>43</v>
      </c>
      <c r="J164" s="3">
        <f t="shared" si="37"/>
        <v>26</v>
      </c>
      <c r="K164" s="3">
        <f t="shared" si="38"/>
        <v>17</v>
      </c>
      <c r="L164" s="3" t="str">
        <f t="shared" si="32"/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I165" s="3">
        <f t="shared" si="36"/>
        <v>27</v>
      </c>
      <c r="J165" s="3">
        <f t="shared" si="37"/>
        <v>26</v>
      </c>
      <c r="K165" s="3">
        <f t="shared" si="38"/>
        <v>1</v>
      </c>
      <c r="L165" s="3" t="str">
        <f t="shared" si="32"/>
        <v>BOM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 t="shared" si="32"/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 t="shared" si="32"/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 t="shared" si="32"/>
        <v>ATENÇÃO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I171" s="3">
        <f t="shared" ref="I171:I178" si="39">E171+G171+H171</f>
        <v>10</v>
      </c>
      <c r="J171" s="3">
        <f t="shared" ref="J171:J178" si="40"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 t="shared" ref="K171:K178" si="41">I171-J171</f>
        <v>-16</v>
      </c>
      <c r="L171" s="3" t="str">
        <f t="shared" si="32"/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I172" s="3">
        <f t="shared" si="39"/>
        <v>24</v>
      </c>
      <c r="J172" s="3">
        <f t="shared" si="40"/>
        <v>19</v>
      </c>
      <c r="K172" s="3">
        <f t="shared" si="41"/>
        <v>5</v>
      </c>
      <c r="L172" s="3" t="str">
        <f t="shared" si="32"/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I173" s="3">
        <f t="shared" si="39"/>
        <v>24</v>
      </c>
      <c r="J173" s="3">
        <f t="shared" si="40"/>
        <v>19</v>
      </c>
      <c r="K173" s="3">
        <f t="shared" si="41"/>
        <v>5</v>
      </c>
      <c r="L173" s="3" t="str">
        <f t="shared" si="32"/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I174" s="3">
        <f t="shared" si="39"/>
        <v>40</v>
      </c>
      <c r="J174" s="3">
        <f t="shared" si="40"/>
        <v>22</v>
      </c>
      <c r="K174" s="3">
        <f t="shared" si="41"/>
        <v>18</v>
      </c>
      <c r="L174" s="3" t="str">
        <f t="shared" si="32"/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I175" s="3">
        <f t="shared" si="39"/>
        <v>38</v>
      </c>
      <c r="J175" s="3">
        <f t="shared" si="40"/>
        <v>33</v>
      </c>
      <c r="K175" s="3">
        <f t="shared" si="41"/>
        <v>5</v>
      </c>
      <c r="L175" s="3" t="str">
        <f t="shared" si="32"/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I176" s="3">
        <f t="shared" si="39"/>
        <v>20</v>
      </c>
      <c r="J176" s="3">
        <f t="shared" si="40"/>
        <v>22</v>
      </c>
      <c r="K176" s="3">
        <f t="shared" si="41"/>
        <v>-2</v>
      </c>
      <c r="L176" s="3" t="str">
        <f t="shared" si="32"/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>
        <f t="shared" si="40"/>
        <v>33</v>
      </c>
      <c r="K177" s="3">
        <f t="shared" si="41"/>
        <v>-1</v>
      </c>
      <c r="L177" s="3" t="str">
        <f t="shared" si="32"/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>
        <f t="shared" si="40"/>
        <v>23</v>
      </c>
      <c r="K178" s="3">
        <f t="shared" si="41"/>
        <v>11</v>
      </c>
      <c r="L178" s="3" t="str">
        <f t="shared" si="32"/>
        <v>EXCELENTE</v>
      </c>
      <c r="M178" s="3">
        <v>21</v>
      </c>
      <c r="N178" s="3">
        <v>98.94</v>
      </c>
      <c r="O178" s="3">
        <v>19.614147909967851</v>
      </c>
    </row>
    <row r="179" spans="1:15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>
        <f t="shared" ref="J180:J196" si="43"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 t="shared" ref="K180:K196" si="44">I180-J180</f>
        <v>6</v>
      </c>
      <c r="L180" s="3" t="str">
        <f t="shared" si="32"/>
        <v>EXCELENTE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>
        <f t="shared" si="43"/>
        <v>29</v>
      </c>
      <c r="K181" s="3">
        <f t="shared" si="44"/>
        <v>-5</v>
      </c>
      <c r="L181" s="3" t="str">
        <f t="shared" si="32"/>
        <v>ATENÇÃO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>
        <f t="shared" si="43"/>
        <v>23</v>
      </c>
      <c r="K182" s="3">
        <f t="shared" si="44"/>
        <v>9</v>
      </c>
      <c r="L182" s="3" t="str">
        <f t="shared" si="32"/>
        <v>EXCELENTE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>
        <f t="shared" si="43"/>
        <v>23</v>
      </c>
      <c r="K183" s="3">
        <f t="shared" si="44"/>
        <v>-11</v>
      </c>
      <c r="L183" s="3" t="str">
        <f t="shared" si="32"/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>
        <f t="shared" si="43"/>
        <v>19</v>
      </c>
      <c r="K184" s="3">
        <f t="shared" si="44"/>
        <v>11</v>
      </c>
      <c r="L184" s="3" t="str">
        <f t="shared" si="32"/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>
        <f t="shared" si="43"/>
        <v>29</v>
      </c>
      <c r="K185" s="3">
        <f t="shared" si="44"/>
        <v>-3</v>
      </c>
      <c r="L185" s="3" t="str">
        <f t="shared" si="32"/>
        <v>ATENÇÃO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>
        <f t="shared" si="43"/>
        <v>23</v>
      </c>
      <c r="K186" s="3">
        <f t="shared" si="44"/>
        <v>-6</v>
      </c>
      <c r="L186" s="3" t="str">
        <f t="shared" si="32"/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>
        <f t="shared" si="43"/>
        <v>19</v>
      </c>
      <c r="K187" s="3">
        <f t="shared" si="44"/>
        <v>-3</v>
      </c>
      <c r="L187" s="3" t="str">
        <f t="shared" si="32"/>
        <v>ATENÇÃO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>
        <f t="shared" si="43"/>
        <v>29</v>
      </c>
      <c r="K188" s="3">
        <f t="shared" si="44"/>
        <v>-7</v>
      </c>
      <c r="L188" s="3" t="str">
        <f t="shared" si="32"/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>
        <f t="shared" si="43"/>
        <v>8</v>
      </c>
      <c r="K189" s="3">
        <f t="shared" si="44"/>
        <v>27</v>
      </c>
      <c r="L189" s="3" t="str">
        <f t="shared" si="32"/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>
        <f t="shared" si="43"/>
        <v>8</v>
      </c>
      <c r="K190" s="3">
        <f t="shared" si="44"/>
        <v>1</v>
      </c>
      <c r="L190" s="3" t="str">
        <f t="shared" si="32"/>
        <v>BOM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>
        <f t="shared" si="43"/>
        <v>8</v>
      </c>
      <c r="K191" s="3">
        <f t="shared" si="44"/>
        <v>0</v>
      </c>
      <c r="L191" s="3" t="str">
        <f t="shared" si="32"/>
        <v>BOM</v>
      </c>
      <c r="M191">
        <v>6</v>
      </c>
      <c r="N191">
        <v>100</v>
      </c>
      <c r="O191">
        <v>29.032258064516132</v>
      </c>
    </row>
    <row r="192" spans="1:15" hidden="1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>
        <f t="shared" si="43"/>
        <v>8</v>
      </c>
      <c r="K192" s="3">
        <f t="shared" si="44"/>
        <v>34</v>
      </c>
      <c r="L192" s="3" t="str">
        <f t="shared" si="32"/>
        <v>EXCELENTE</v>
      </c>
      <c r="M192">
        <v>0</v>
      </c>
      <c r="N192">
        <v>100</v>
      </c>
      <c r="O192">
        <v>14.285714285714279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>
        <f t="shared" si="43"/>
        <v>8</v>
      </c>
      <c r="K193" s="3">
        <f t="shared" si="44"/>
        <v>26</v>
      </c>
      <c r="L193" s="3" t="str">
        <f t="shared" si="32"/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>
        <f t="shared" si="43"/>
        <v>8</v>
      </c>
      <c r="K194" s="3">
        <f t="shared" si="44"/>
        <v>5</v>
      </c>
      <c r="L194" s="3" t="str">
        <f t="shared" ref="L194:L257" si="4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>
        <f t="shared" si="43"/>
        <v>8</v>
      </c>
      <c r="K195" s="3">
        <f t="shared" si="44"/>
        <v>9</v>
      </c>
      <c r="L195" s="3" t="str">
        <f t="shared" si="45"/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>
        <f t="shared" si="43"/>
        <v>23</v>
      </c>
      <c r="K196" s="3">
        <f t="shared" si="44"/>
        <v>6</v>
      </c>
      <c r="L196" s="3" t="str">
        <f t="shared" si="45"/>
        <v>EXCELENTE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  <c r="M197">
        <v>0</v>
      </c>
      <c r="N197">
        <v>100</v>
      </c>
      <c r="O197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  <c r="M198">
        <v>0</v>
      </c>
      <c r="N198">
        <v>100</v>
      </c>
      <c r="O198">
        <v>17.241379310344829</v>
      </c>
    </row>
    <row r="199" spans="1:15" hidden="1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  <c r="M199">
        <v>0</v>
      </c>
      <c r="N199">
        <v>98.8</v>
      </c>
      <c r="O199">
        <v>15.41353383458646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 t="shared" si="45"/>
        <v>BOM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 t="shared" si="45"/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 t="shared" si="45"/>
        <v>ATENÇÃO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 t="shared" si="45"/>
        <v>BOM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  <c r="M204">
        <v>0</v>
      </c>
      <c r="N204">
        <v>0</v>
      </c>
      <c r="O204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>
        <f t="shared" ref="J205:J210" si="47"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 t="shared" ref="K205:K210" si="48">I205-J205</f>
        <v>5</v>
      </c>
      <c r="L205" s="3" t="str">
        <f t="shared" si="45"/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>
        <f t="shared" si="47"/>
        <v>29</v>
      </c>
      <c r="K206" s="3">
        <f t="shared" si="48"/>
        <v>-25</v>
      </c>
      <c r="L206" s="3" t="str">
        <f t="shared" si="45"/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>
        <f t="shared" si="47"/>
        <v>16</v>
      </c>
      <c r="K207" s="3">
        <f t="shared" si="48"/>
        <v>-1</v>
      </c>
      <c r="L207" s="3" t="str">
        <f t="shared" si="45"/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>
        <f t="shared" si="47"/>
        <v>29</v>
      </c>
      <c r="K208" s="3">
        <f t="shared" si="48"/>
        <v>-1</v>
      </c>
      <c r="L208" s="3" t="str">
        <f t="shared" si="45"/>
        <v>ATENÇÃO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>
        <f t="shared" si="47"/>
        <v>23</v>
      </c>
      <c r="K209" s="3">
        <f t="shared" si="48"/>
        <v>-2</v>
      </c>
      <c r="L209" s="3" t="str">
        <f t="shared" si="45"/>
        <v>ATENÇÃO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>
        <f t="shared" si="47"/>
        <v>23</v>
      </c>
      <c r="K210" s="3">
        <f t="shared" si="48"/>
        <v>3</v>
      </c>
      <c r="L210" s="3" t="str">
        <f t="shared" si="45"/>
        <v>BOM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  <c r="M211">
        <v>0</v>
      </c>
      <c r="N211">
        <v>100</v>
      </c>
      <c r="O211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>
        <f t="shared" ref="J212:J220" si="50"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 t="shared" ref="K212:K220" si="51">I212-J212</f>
        <v>4</v>
      </c>
      <c r="L212" s="3" t="str">
        <f t="shared" si="45"/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>
        <f t="shared" si="50"/>
        <v>29</v>
      </c>
      <c r="K213" s="3">
        <f t="shared" si="51"/>
        <v>2</v>
      </c>
      <c r="L213" s="3" t="str">
        <f t="shared" si="45"/>
        <v>BOM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>
        <f t="shared" si="50"/>
        <v>29</v>
      </c>
      <c r="K214" s="3">
        <f t="shared" si="51"/>
        <v>0</v>
      </c>
      <c r="L214" s="3" t="str">
        <f t="shared" si="45"/>
        <v>BOM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>
        <f t="shared" si="50"/>
        <v>16</v>
      </c>
      <c r="K215" s="3">
        <f t="shared" si="51"/>
        <v>10</v>
      </c>
      <c r="L215" s="3" t="str">
        <f t="shared" si="45"/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>
        <f t="shared" si="50"/>
        <v>23</v>
      </c>
      <c r="K216" s="3">
        <f t="shared" si="51"/>
        <v>-4</v>
      </c>
      <c r="L216" s="3" t="str">
        <f t="shared" si="45"/>
        <v>ATENÇÃO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>
        <f t="shared" si="50"/>
        <v>16</v>
      </c>
      <c r="K217" s="3">
        <f t="shared" si="51"/>
        <v>-2</v>
      </c>
      <c r="L217" s="3" t="str">
        <f t="shared" si="45"/>
        <v>ATENÇÃO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>
        <f t="shared" si="50"/>
        <v>16</v>
      </c>
      <c r="K218" s="3">
        <f t="shared" si="51"/>
        <v>1</v>
      </c>
      <c r="L218" s="3" t="str">
        <f t="shared" si="45"/>
        <v>BOM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>
        <f t="shared" si="50"/>
        <v>19</v>
      </c>
      <c r="K219" s="3">
        <f t="shared" si="51"/>
        <v>17</v>
      </c>
      <c r="L219" s="3" t="str">
        <f t="shared" si="45"/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>
        <f t="shared" si="50"/>
        <v>29</v>
      </c>
      <c r="K220" s="3">
        <f t="shared" si="51"/>
        <v>9</v>
      </c>
      <c r="L220" s="3" t="str">
        <f t="shared" si="45"/>
        <v>EXCELENTE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  <c r="M221">
        <v>0</v>
      </c>
      <c r="N221">
        <v>100</v>
      </c>
      <c r="O221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 t="shared" si="45"/>
        <v>ATENÇÃO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 t="shared" si="45"/>
        <v>EXCELENTE</v>
      </c>
      <c r="M223" s="3">
        <v>18</v>
      </c>
      <c r="N223" s="3">
        <v>98.94</v>
      </c>
      <c r="O223" s="3">
        <v>19.614147909967851</v>
      </c>
    </row>
    <row r="224" spans="1:15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I225" s="3">
        <f t="shared" ref="I225:I237" si="52">E225+G225+H225</f>
        <v>46</v>
      </c>
      <c r="J225" s="3">
        <f t="shared" ref="J225:J237" si="53"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 t="shared" ref="K225:K237" si="54">I225-J225</f>
        <v>26</v>
      </c>
      <c r="L225" s="3" t="str">
        <f t="shared" si="45"/>
        <v>EXCELENTE</v>
      </c>
      <c r="M225" s="3">
        <v>38</v>
      </c>
      <c r="N225" s="3">
        <v>95.38</v>
      </c>
      <c r="O225" s="3">
        <v>21.5962441314554</v>
      </c>
    </row>
    <row r="226" spans="1:15" hidden="1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I226" s="3">
        <f t="shared" si="52"/>
        <v>16</v>
      </c>
      <c r="J226" s="3">
        <f t="shared" si="53"/>
        <v>30</v>
      </c>
      <c r="K226" s="3">
        <f t="shared" si="54"/>
        <v>-14</v>
      </c>
      <c r="L226" s="3" t="str">
        <f t="shared" si="45"/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I227" s="3">
        <f t="shared" si="52"/>
        <v>30</v>
      </c>
      <c r="J227" s="3">
        <f t="shared" si="53"/>
        <v>24</v>
      </c>
      <c r="K227" s="3">
        <f t="shared" si="54"/>
        <v>6</v>
      </c>
      <c r="L227" s="3" t="str">
        <f t="shared" si="45"/>
        <v>EXCELENTE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I228" s="3">
        <f t="shared" si="52"/>
        <v>26</v>
      </c>
      <c r="J228" s="3">
        <f t="shared" si="53"/>
        <v>24</v>
      </c>
      <c r="K228" s="3">
        <f t="shared" si="54"/>
        <v>2</v>
      </c>
      <c r="L228" s="3" t="str">
        <f t="shared" si="45"/>
        <v>BOM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I229" s="3">
        <f t="shared" si="52"/>
        <v>25</v>
      </c>
      <c r="J229" s="3">
        <f t="shared" si="53"/>
        <v>20</v>
      </c>
      <c r="K229" s="3">
        <f t="shared" si="54"/>
        <v>5</v>
      </c>
      <c r="L229" s="3" t="str">
        <f t="shared" si="45"/>
        <v>BOM</v>
      </c>
      <c r="M229">
        <v>21</v>
      </c>
      <c r="N229">
        <v>96.88</v>
      </c>
      <c r="O229">
        <v>19.526627218934909</v>
      </c>
    </row>
    <row r="230" spans="1:15" hidden="1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I230" s="3">
        <f t="shared" si="52"/>
        <v>35</v>
      </c>
      <c r="J230" s="3">
        <f t="shared" si="53"/>
        <v>30</v>
      </c>
      <c r="K230" s="3">
        <f t="shared" si="54"/>
        <v>5</v>
      </c>
      <c r="L230" s="3" t="str">
        <f t="shared" si="45"/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I231" s="3">
        <f t="shared" si="52"/>
        <v>31</v>
      </c>
      <c r="J231" s="3">
        <f t="shared" si="53"/>
        <v>24</v>
      </c>
      <c r="K231" s="3">
        <f t="shared" si="54"/>
        <v>7</v>
      </c>
      <c r="L231" s="3" t="str">
        <f t="shared" si="45"/>
        <v>EXCELENTE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I232" s="3">
        <f t="shared" si="52"/>
        <v>22</v>
      </c>
      <c r="J232" s="3">
        <f t="shared" si="53"/>
        <v>20</v>
      </c>
      <c r="K232" s="3">
        <f t="shared" si="54"/>
        <v>2</v>
      </c>
      <c r="L232" s="3" t="str">
        <f t="shared" si="45"/>
        <v>BOM</v>
      </c>
      <c r="M232">
        <v>19</v>
      </c>
      <c r="N232">
        <v>100</v>
      </c>
      <c r="O232">
        <v>18.14516129032258</v>
      </c>
    </row>
    <row r="233" spans="1:15" hidden="1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I233" s="3">
        <f t="shared" si="52"/>
        <v>25</v>
      </c>
      <c r="J233" s="3">
        <f t="shared" si="53"/>
        <v>30</v>
      </c>
      <c r="K233" s="3">
        <f t="shared" si="54"/>
        <v>-5</v>
      </c>
      <c r="L233" s="3" t="str">
        <f t="shared" si="45"/>
        <v>ATENÇÃO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>
        <f t="shared" si="53"/>
        <v>9</v>
      </c>
      <c r="K234" s="3">
        <f t="shared" si="54"/>
        <v>23</v>
      </c>
      <c r="L234" s="3" t="str">
        <f t="shared" si="45"/>
        <v>EXCELENTE</v>
      </c>
      <c r="M234">
        <v>29</v>
      </c>
      <c r="N234">
        <v>99.11</v>
      </c>
      <c r="O234">
        <v>17.721518987341771</v>
      </c>
    </row>
    <row r="235" spans="1:15" hidden="1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I235" s="3">
        <f t="shared" si="52"/>
        <v>1</v>
      </c>
      <c r="J235" s="3">
        <f t="shared" si="53"/>
        <v>9</v>
      </c>
      <c r="K235" s="3">
        <f t="shared" si="54"/>
        <v>-8</v>
      </c>
      <c r="L235" s="3" t="str">
        <f t="shared" si="45"/>
        <v>CRÍTICO</v>
      </c>
      <c r="M235">
        <v>1</v>
      </c>
      <c r="N235">
        <v>96.43</v>
      </c>
      <c r="O235">
        <v>20</v>
      </c>
    </row>
    <row r="236" spans="1:15" hidden="1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I236" s="3">
        <f t="shared" si="52"/>
        <v>5</v>
      </c>
      <c r="J236" s="3">
        <f t="shared" si="53"/>
        <v>9</v>
      </c>
      <c r="K236" s="3">
        <f t="shared" si="54"/>
        <v>-4</v>
      </c>
      <c r="L236" s="3" t="str">
        <f t="shared" si="45"/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I237" s="3">
        <f t="shared" si="52"/>
        <v>31</v>
      </c>
      <c r="J237" s="3">
        <f t="shared" si="53"/>
        <v>24</v>
      </c>
      <c r="K237" s="3">
        <f t="shared" si="54"/>
        <v>7</v>
      </c>
      <c r="L237" s="3" t="str">
        <f t="shared" si="45"/>
        <v>EXCELENTE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  <c r="M238">
        <v>0</v>
      </c>
      <c r="N238">
        <v>100</v>
      </c>
      <c r="O238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  <c r="M239">
        <v>0</v>
      </c>
      <c r="N239">
        <v>100</v>
      </c>
      <c r="O23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>
        <f t="shared" ref="J240:J247" si="56"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 t="shared" ref="K240:K247" si="57">I240-J240</f>
        <v>23</v>
      </c>
      <c r="L240" s="3" t="str">
        <f t="shared" si="45"/>
        <v>EXCELENTE</v>
      </c>
      <c r="M240">
        <v>4</v>
      </c>
      <c r="N240">
        <v>100</v>
      </c>
      <c r="O240">
        <v>11.864406779661021</v>
      </c>
    </row>
    <row r="241" spans="1:15" hidden="1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I241" s="3">
        <f t="shared" si="55"/>
        <v>7</v>
      </c>
      <c r="J241" s="3">
        <f t="shared" si="56"/>
        <v>9</v>
      </c>
      <c r="K241" s="3">
        <f t="shared" si="57"/>
        <v>-2</v>
      </c>
      <c r="L241" s="3" t="str">
        <f t="shared" si="45"/>
        <v>ATENÇÃO</v>
      </c>
      <c r="M241">
        <v>4</v>
      </c>
      <c r="N241">
        <v>100</v>
      </c>
      <c r="O241">
        <v>16.814159292035399</v>
      </c>
    </row>
    <row r="242" spans="1:15" hidden="1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I242" s="3">
        <f t="shared" si="55"/>
        <v>16</v>
      </c>
      <c r="J242" s="3">
        <f t="shared" si="56"/>
        <v>9</v>
      </c>
      <c r="K242" s="3">
        <f t="shared" si="57"/>
        <v>7</v>
      </c>
      <c r="L242" s="3" t="str">
        <f t="shared" si="45"/>
        <v>EXCELENTE</v>
      </c>
      <c r="M242">
        <v>15</v>
      </c>
      <c r="N242">
        <v>98.11</v>
      </c>
      <c r="O242">
        <v>20.408163265306118</v>
      </c>
    </row>
    <row r="243" spans="1:15" hidden="1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I243" s="3">
        <f t="shared" si="55"/>
        <v>27</v>
      </c>
      <c r="J243" s="3">
        <f t="shared" si="56"/>
        <v>20</v>
      </c>
      <c r="K243" s="3">
        <f t="shared" si="57"/>
        <v>7</v>
      </c>
      <c r="L243" s="3" t="str">
        <f t="shared" si="45"/>
        <v>EXCELENTE</v>
      </c>
      <c r="M243">
        <v>23</v>
      </c>
      <c r="N243">
        <v>98.8</v>
      </c>
      <c r="O243">
        <v>15.41353383458646</v>
      </c>
    </row>
    <row r="244" spans="1:15" hidden="1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I244" s="3">
        <f t="shared" si="55"/>
        <v>24</v>
      </c>
      <c r="J244" s="3">
        <f t="shared" si="56"/>
        <v>24</v>
      </c>
      <c r="K244" s="3">
        <f t="shared" si="57"/>
        <v>0</v>
      </c>
      <c r="L244" s="3" t="str">
        <f t="shared" si="45"/>
        <v>BOM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I245" s="3">
        <f t="shared" si="55"/>
        <v>49</v>
      </c>
      <c r="J245" s="3">
        <f t="shared" si="56"/>
        <v>30</v>
      </c>
      <c r="K245" s="3">
        <f t="shared" si="57"/>
        <v>19</v>
      </c>
      <c r="L245" s="3" t="str">
        <f t="shared" si="45"/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I246" s="3">
        <f t="shared" si="55"/>
        <v>24</v>
      </c>
      <c r="J246" s="3">
        <f t="shared" si="56"/>
        <v>30</v>
      </c>
      <c r="K246" s="3">
        <f t="shared" si="57"/>
        <v>-6</v>
      </c>
      <c r="L246" s="3" t="str">
        <f t="shared" si="45"/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I247" s="3">
        <f t="shared" si="55"/>
        <v>32</v>
      </c>
      <c r="J247" s="3">
        <f t="shared" si="56"/>
        <v>24</v>
      </c>
      <c r="K247" s="3">
        <f t="shared" si="57"/>
        <v>8</v>
      </c>
      <c r="L247" s="3" t="str">
        <f t="shared" si="45"/>
        <v>EXCELENTE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  <c r="M248">
        <v>0</v>
      </c>
      <c r="N248">
        <v>0</v>
      </c>
      <c r="O248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I249" s="3">
        <f t="shared" ref="I249:I254" si="58">E249+G249+H249</f>
        <v>19</v>
      </c>
      <c r="J249" s="3">
        <f t="shared" ref="J249:J254" si="59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 t="shared" ref="K249:K254" si="60">I249-J249</f>
        <v>2</v>
      </c>
      <c r="L249" s="3" t="str">
        <f t="shared" si="45"/>
        <v>BOM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I250" s="3">
        <f t="shared" si="58"/>
        <v>24</v>
      </c>
      <c r="J250" s="3">
        <f t="shared" si="59"/>
        <v>30</v>
      </c>
      <c r="K250" s="3">
        <f t="shared" si="60"/>
        <v>-6</v>
      </c>
      <c r="L250" s="3" t="str">
        <f t="shared" si="45"/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I251" s="3">
        <f t="shared" si="58"/>
        <v>12</v>
      </c>
      <c r="J251" s="3">
        <f t="shared" si="59"/>
        <v>17</v>
      </c>
      <c r="K251" s="3">
        <f t="shared" si="60"/>
        <v>-5</v>
      </c>
      <c r="L251" s="3" t="str">
        <f t="shared" si="45"/>
        <v>ATENÇÃO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I252" s="3">
        <f t="shared" si="58"/>
        <v>29</v>
      </c>
      <c r="J252" s="3">
        <f t="shared" si="59"/>
        <v>30</v>
      </c>
      <c r="K252" s="3">
        <f t="shared" si="60"/>
        <v>-1</v>
      </c>
      <c r="L252" s="3" t="str">
        <f t="shared" si="45"/>
        <v>ATENÇÃO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I253" s="3">
        <f t="shared" si="58"/>
        <v>24</v>
      </c>
      <c r="J253" s="3">
        <f t="shared" si="59"/>
        <v>24</v>
      </c>
      <c r="K253" s="3">
        <f t="shared" si="60"/>
        <v>0</v>
      </c>
      <c r="L253" s="3" t="str">
        <f t="shared" si="45"/>
        <v>BOM</v>
      </c>
      <c r="M253">
        <v>21</v>
      </c>
      <c r="N253">
        <v>98.61</v>
      </c>
      <c r="O253">
        <v>16.867469879518069</v>
      </c>
    </row>
    <row r="254" spans="1:15" hidden="1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I254" s="3">
        <f t="shared" si="58"/>
        <v>30</v>
      </c>
      <c r="J254" s="3">
        <f t="shared" si="59"/>
        <v>24</v>
      </c>
      <c r="K254" s="3">
        <f t="shared" si="60"/>
        <v>6</v>
      </c>
      <c r="L254" s="3" t="str">
        <f t="shared" si="45"/>
        <v>EXCELENTE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  <c r="M255">
        <v>0</v>
      </c>
      <c r="N255">
        <v>100</v>
      </c>
      <c r="O255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I256" s="3">
        <f t="shared" ref="I256:I267" si="61">E256+G256+H256</f>
        <v>24</v>
      </c>
      <c r="J256" s="3">
        <f t="shared" ref="J256:J267" si="62"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 t="shared" ref="K256:K267" si="63">I256-J256</f>
        <v>4</v>
      </c>
      <c r="L256" s="3" t="str">
        <f t="shared" si="45"/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>
        <f t="shared" si="62"/>
        <v>30</v>
      </c>
      <c r="K257" s="3">
        <f t="shared" si="63"/>
        <v>16</v>
      </c>
      <c r="L257" s="3" t="str">
        <f t="shared" si="45"/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I258" s="3">
        <f t="shared" si="61"/>
        <v>29</v>
      </c>
      <c r="J258" s="3">
        <f t="shared" si="62"/>
        <v>30</v>
      </c>
      <c r="K258" s="3">
        <f t="shared" si="63"/>
        <v>-1</v>
      </c>
      <c r="L258" s="3" t="str">
        <f t="shared" ref="L258:L321" si="64"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hidden="1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I259" s="3">
        <f t="shared" si="61"/>
        <v>23</v>
      </c>
      <c r="J259" s="3">
        <f t="shared" si="62"/>
        <v>17</v>
      </c>
      <c r="K259" s="3">
        <f t="shared" si="63"/>
        <v>6</v>
      </c>
      <c r="L259" s="3" t="str">
        <f t="shared" si="64"/>
        <v>EXCELENTE</v>
      </c>
      <c r="M259">
        <v>13</v>
      </c>
      <c r="N259">
        <v>98</v>
      </c>
      <c r="O259">
        <v>16.43835616438356</v>
      </c>
    </row>
    <row r="260" spans="1:15" hidden="1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I260" s="3">
        <f t="shared" si="61"/>
        <v>8</v>
      </c>
      <c r="J260" s="3">
        <f t="shared" si="62"/>
        <v>24</v>
      </c>
      <c r="K260" s="3">
        <f t="shared" si="63"/>
        <v>-16</v>
      </c>
      <c r="L260" s="3" t="str">
        <f t="shared" si="64"/>
        <v>CRÍTICO</v>
      </c>
      <c r="M260">
        <v>7</v>
      </c>
      <c r="N260">
        <v>100</v>
      </c>
      <c r="O260">
        <v>16.894977168949769</v>
      </c>
    </row>
    <row r="261" spans="1:15" hidden="1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I261" s="3">
        <f t="shared" si="61"/>
        <v>11</v>
      </c>
      <c r="J261" s="3">
        <f t="shared" si="62"/>
        <v>17</v>
      </c>
      <c r="K261" s="3">
        <f t="shared" si="63"/>
        <v>-6</v>
      </c>
      <c r="L261" s="3" t="str">
        <f t="shared" si="64"/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I262" s="3">
        <f t="shared" si="61"/>
        <v>20</v>
      </c>
      <c r="J262" s="3">
        <f t="shared" si="62"/>
        <v>17</v>
      </c>
      <c r="K262" s="3">
        <f t="shared" si="63"/>
        <v>3</v>
      </c>
      <c r="L262" s="3" t="str">
        <f t="shared" si="64"/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I263" s="3">
        <f t="shared" si="61"/>
        <v>31</v>
      </c>
      <c r="J263" s="3">
        <f t="shared" si="62"/>
        <v>20</v>
      </c>
      <c r="K263" s="3">
        <f t="shared" si="63"/>
        <v>11</v>
      </c>
      <c r="L263" s="3" t="str">
        <f t="shared" si="64"/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I264" s="3">
        <f t="shared" si="61"/>
        <v>23</v>
      </c>
      <c r="J264" s="3">
        <f t="shared" si="62"/>
        <v>30</v>
      </c>
      <c r="K264" s="3">
        <f t="shared" si="63"/>
        <v>-7</v>
      </c>
      <c r="L264" s="3" t="str">
        <f t="shared" si="64"/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I265" s="3">
        <f t="shared" si="61"/>
        <v>17</v>
      </c>
      <c r="J265" s="3">
        <f t="shared" si="62"/>
        <v>20</v>
      </c>
      <c r="K265" s="3">
        <f t="shared" si="63"/>
        <v>-3</v>
      </c>
      <c r="L265" s="3" t="str">
        <f t="shared" si="64"/>
        <v>ATENÇÃO</v>
      </c>
      <c r="M265">
        <v>15</v>
      </c>
      <c r="N265">
        <v>100</v>
      </c>
      <c r="O265">
        <v>16.97247706422019</v>
      </c>
    </row>
    <row r="266" spans="1:15" hidden="1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I266" s="3">
        <f t="shared" si="61"/>
        <v>21</v>
      </c>
      <c r="J266" s="3">
        <f t="shared" si="62"/>
        <v>30</v>
      </c>
      <c r="K266" s="3">
        <f t="shared" si="63"/>
        <v>-9</v>
      </c>
      <c r="L266" s="3" t="str">
        <f t="shared" si="64"/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I267" s="3">
        <f t="shared" si="61"/>
        <v>26</v>
      </c>
      <c r="J267" s="3">
        <f t="shared" si="62"/>
        <v>25</v>
      </c>
      <c r="K267" s="3">
        <f t="shared" si="63"/>
        <v>1</v>
      </c>
      <c r="L267" s="3" t="str">
        <f t="shared" si="64"/>
        <v>BOM</v>
      </c>
      <c r="M267" s="3">
        <v>17</v>
      </c>
      <c r="N267" s="3">
        <v>98.94</v>
      </c>
      <c r="O267" s="3">
        <v>19.614147909967851</v>
      </c>
    </row>
    <row r="268" spans="1:15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I269" s="3">
        <f t="shared" ref="I269:I278" si="65">E269+G269+H269</f>
        <v>31</v>
      </c>
      <c r="J269" s="3">
        <f t="shared" ref="J269:J278" si="66"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 t="shared" ref="K269:K278" si="67">I269-J269</f>
        <v>10</v>
      </c>
      <c r="L269" s="3" t="str">
        <f t="shared" si="64"/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I270" s="3">
        <f t="shared" si="65"/>
        <v>28</v>
      </c>
      <c r="J270" s="3">
        <f t="shared" si="66"/>
        <v>32</v>
      </c>
      <c r="K270" s="3">
        <f t="shared" si="67"/>
        <v>-4</v>
      </c>
      <c r="L270" s="3" t="str">
        <f t="shared" si="64"/>
        <v>ATENÇÃO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I271" s="3">
        <f t="shared" si="65"/>
        <v>38</v>
      </c>
      <c r="J271" s="3">
        <f t="shared" si="66"/>
        <v>25</v>
      </c>
      <c r="K271" s="3">
        <f t="shared" si="67"/>
        <v>13</v>
      </c>
      <c r="L271" s="3" t="str">
        <f t="shared" si="64"/>
        <v>EXCELENTE</v>
      </c>
      <c r="M271">
        <v>34</v>
      </c>
      <c r="N271">
        <v>99.13</v>
      </c>
      <c r="O271">
        <v>14.7239263803681</v>
      </c>
    </row>
    <row r="272" spans="1:15" hidden="1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I272" s="3">
        <f t="shared" si="65"/>
        <v>26</v>
      </c>
      <c r="J272" s="3">
        <f t="shared" si="66"/>
        <v>25</v>
      </c>
      <c r="K272" s="3">
        <f t="shared" si="67"/>
        <v>1</v>
      </c>
      <c r="L272" s="3" t="str">
        <f t="shared" si="64"/>
        <v>BOM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I273" s="3">
        <f t="shared" si="65"/>
        <v>28</v>
      </c>
      <c r="J273" s="3">
        <f t="shared" si="66"/>
        <v>21</v>
      </c>
      <c r="K273" s="3">
        <f t="shared" si="67"/>
        <v>7</v>
      </c>
      <c r="L273" s="3" t="str">
        <f t="shared" si="64"/>
        <v>EXCELENTE</v>
      </c>
      <c r="M273">
        <v>25</v>
      </c>
      <c r="N273">
        <v>96.88</v>
      </c>
      <c r="O273">
        <v>19.526627218934909</v>
      </c>
    </row>
    <row r="274" spans="1:15" hidden="1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I274" s="3">
        <f t="shared" si="65"/>
        <v>39</v>
      </c>
      <c r="J274" s="3">
        <f t="shared" si="66"/>
        <v>32</v>
      </c>
      <c r="K274" s="3">
        <f t="shared" si="67"/>
        <v>7</v>
      </c>
      <c r="L274" s="3" t="str">
        <f t="shared" si="64"/>
        <v>EXCELENTE</v>
      </c>
      <c r="M274">
        <v>33</v>
      </c>
      <c r="N274">
        <v>91.85</v>
      </c>
      <c r="O274">
        <v>20.87155963302752</v>
      </c>
    </row>
    <row r="275" spans="1:15" hidden="1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I275" s="3">
        <f t="shared" si="65"/>
        <v>30</v>
      </c>
      <c r="J275" s="3">
        <f t="shared" si="66"/>
        <v>25</v>
      </c>
      <c r="K275" s="3">
        <f t="shared" si="67"/>
        <v>5</v>
      </c>
      <c r="L275" s="3" t="str">
        <f t="shared" si="64"/>
        <v>BOM</v>
      </c>
      <c r="M275">
        <v>27</v>
      </c>
      <c r="N275">
        <v>98.63</v>
      </c>
      <c r="O275">
        <v>18.75</v>
      </c>
    </row>
    <row r="276" spans="1:15" hidden="1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I276" s="3">
        <f t="shared" si="65"/>
        <v>26</v>
      </c>
      <c r="J276" s="3">
        <f t="shared" si="66"/>
        <v>21</v>
      </c>
      <c r="K276" s="3">
        <f t="shared" si="67"/>
        <v>5</v>
      </c>
      <c r="L276" s="3" t="str">
        <f t="shared" si="64"/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I277" s="3">
        <f t="shared" si="65"/>
        <v>25</v>
      </c>
      <c r="J277" s="3">
        <f t="shared" si="66"/>
        <v>32</v>
      </c>
      <c r="K277" s="3">
        <f t="shared" si="67"/>
        <v>-7</v>
      </c>
      <c r="L277" s="3" t="str">
        <f t="shared" si="64"/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I278" s="3">
        <f t="shared" si="65"/>
        <v>29</v>
      </c>
      <c r="J278" s="3">
        <f t="shared" si="66"/>
        <v>25</v>
      </c>
      <c r="K278" s="3">
        <f t="shared" si="67"/>
        <v>4</v>
      </c>
      <c r="L278" s="3" t="str">
        <f t="shared" si="64"/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  <c r="M279">
        <v>0</v>
      </c>
      <c r="N279">
        <v>100</v>
      </c>
      <c r="O27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  <c r="M280">
        <v>0</v>
      </c>
      <c r="N280">
        <v>100</v>
      </c>
      <c r="O280">
        <v>17.241379310344829</v>
      </c>
    </row>
    <row r="281" spans="1:15" hidden="1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I281" s="3">
        <f t="shared" ref="I281:I286" si="68">E281+G281+H281</f>
        <v>25</v>
      </c>
      <c r="J281" s="3">
        <f t="shared" ref="J281:J286" si="69"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 t="shared" ref="K281:K286" si="70">I281-J281</f>
        <v>16</v>
      </c>
      <c r="L281" s="3" t="str">
        <f t="shared" si="64"/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>
        <f t="shared" si="69"/>
        <v>21</v>
      </c>
      <c r="K282" s="3">
        <f t="shared" si="70"/>
        <v>3</v>
      </c>
      <c r="L282" s="3" t="str">
        <f t="shared" si="64"/>
        <v>BOM</v>
      </c>
      <c r="M282">
        <v>24</v>
      </c>
      <c r="N282">
        <v>98.8</v>
      </c>
      <c r="O282">
        <v>15.41353383458646</v>
      </c>
    </row>
    <row r="283" spans="1:15" hidden="1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I283" s="3">
        <f t="shared" si="68"/>
        <v>24</v>
      </c>
      <c r="J283" s="3">
        <f t="shared" si="69"/>
        <v>25</v>
      </c>
      <c r="K283" s="3">
        <f t="shared" si="70"/>
        <v>-1</v>
      </c>
      <c r="L283" s="3" t="str">
        <f t="shared" si="64"/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I284" s="3">
        <f t="shared" si="68"/>
        <v>51</v>
      </c>
      <c r="J284" s="3">
        <f t="shared" si="69"/>
        <v>32</v>
      </c>
      <c r="K284" s="3">
        <f t="shared" si="70"/>
        <v>19</v>
      </c>
      <c r="L284" s="3" t="str">
        <f t="shared" si="64"/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I285" s="3">
        <f t="shared" si="68"/>
        <v>46</v>
      </c>
      <c r="J285" s="3">
        <f t="shared" si="69"/>
        <v>32</v>
      </c>
      <c r="K285" s="3">
        <f t="shared" si="70"/>
        <v>14</v>
      </c>
      <c r="L285" s="3" t="str">
        <f t="shared" si="64"/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I286" s="3">
        <f t="shared" si="68"/>
        <v>31</v>
      </c>
      <c r="J286" s="3">
        <f t="shared" si="69"/>
        <v>25</v>
      </c>
      <c r="K286" s="3">
        <f t="shared" si="70"/>
        <v>6</v>
      </c>
      <c r="L286" s="3" t="str">
        <f t="shared" si="64"/>
        <v>EXCELENTE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  <c r="M287">
        <v>0</v>
      </c>
      <c r="N287">
        <v>0</v>
      </c>
      <c r="O287">
        <v>0</v>
      </c>
    </row>
    <row r="288" spans="1:15" hidden="1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I288" s="3">
        <f t="shared" ref="I288:I293" si="71">E288+G288+H288</f>
        <v>22</v>
      </c>
      <c r="J288" s="3">
        <f t="shared" ref="J288:J293" si="72"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 t="shared" ref="K288:K293" si="73">I288-J288</f>
        <v>4</v>
      </c>
      <c r="L288" s="3" t="str">
        <f t="shared" si="64"/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I289" s="3">
        <f t="shared" si="71"/>
        <v>18</v>
      </c>
      <c r="J289" s="3">
        <f t="shared" si="72"/>
        <v>32</v>
      </c>
      <c r="K289" s="3">
        <f t="shared" si="73"/>
        <v>-14</v>
      </c>
      <c r="L289" s="3" t="str">
        <f t="shared" si="64"/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I290" s="3">
        <f t="shared" si="71"/>
        <v>13</v>
      </c>
      <c r="J290" s="3">
        <f t="shared" si="72"/>
        <v>18</v>
      </c>
      <c r="K290" s="3">
        <f t="shared" si="73"/>
        <v>-5</v>
      </c>
      <c r="L290" s="3" t="str">
        <f t="shared" si="64"/>
        <v>ATENÇÃO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I291" s="3">
        <f t="shared" si="71"/>
        <v>25</v>
      </c>
      <c r="J291" s="3">
        <f t="shared" si="72"/>
        <v>32</v>
      </c>
      <c r="K291" s="3">
        <f t="shared" si="73"/>
        <v>-7</v>
      </c>
      <c r="L291" s="3" t="str">
        <f t="shared" si="64"/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I292" s="3">
        <f t="shared" si="71"/>
        <v>28</v>
      </c>
      <c r="J292" s="3">
        <f t="shared" si="72"/>
        <v>25</v>
      </c>
      <c r="K292" s="3">
        <f t="shared" si="73"/>
        <v>3</v>
      </c>
      <c r="L292" s="3" t="str">
        <f t="shared" si="64"/>
        <v>BOM</v>
      </c>
      <c r="M292">
        <v>22</v>
      </c>
      <c r="N292">
        <v>98.61</v>
      </c>
      <c r="O292">
        <v>16.867469879518069</v>
      </c>
    </row>
    <row r="293" spans="1:15" hidden="1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I293" s="3">
        <f t="shared" si="71"/>
        <v>24</v>
      </c>
      <c r="J293" s="3">
        <f t="shared" si="72"/>
        <v>25</v>
      </c>
      <c r="K293" s="3">
        <f t="shared" si="73"/>
        <v>-1</v>
      </c>
      <c r="L293" s="3" t="str">
        <f t="shared" si="64"/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  <c r="M294">
        <v>0</v>
      </c>
      <c r="N294">
        <v>100</v>
      </c>
      <c r="O294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I295" s="3">
        <f t="shared" ref="I295:I311" si="74">E295+G295+H295</f>
        <v>24</v>
      </c>
      <c r="J295" s="3">
        <f t="shared" ref="J295:J311" si="75"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 t="shared" ref="K295:K311" si="76">I295-J295</f>
        <v>3</v>
      </c>
      <c r="L295" s="3" t="str">
        <f t="shared" si="64"/>
        <v>BOM</v>
      </c>
      <c r="M295">
        <v>22</v>
      </c>
      <c r="N295">
        <v>93.26</v>
      </c>
      <c r="O295">
        <v>19.93957703927493</v>
      </c>
    </row>
    <row r="296" spans="1:15" hidden="1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I296" s="3">
        <f t="shared" si="74"/>
        <v>7</v>
      </c>
      <c r="J296" s="3">
        <f t="shared" si="75"/>
        <v>9</v>
      </c>
      <c r="K296" s="3">
        <f t="shared" si="76"/>
        <v>-2</v>
      </c>
      <c r="L296" s="3" t="str">
        <f t="shared" si="64"/>
        <v>ATENÇÃO</v>
      </c>
      <c r="M296">
        <v>6</v>
      </c>
      <c r="N296">
        <v>96.43</v>
      </c>
      <c r="O296">
        <v>20</v>
      </c>
    </row>
    <row r="297" spans="1:15" hidden="1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I297" s="3">
        <f t="shared" si="74"/>
        <v>16</v>
      </c>
      <c r="J297" s="3">
        <f t="shared" si="75"/>
        <v>9</v>
      </c>
      <c r="K297" s="3">
        <f t="shared" si="76"/>
        <v>7</v>
      </c>
      <c r="L297" s="3" t="str">
        <f t="shared" si="64"/>
        <v>EXCELENTE</v>
      </c>
      <c r="M297">
        <v>0</v>
      </c>
      <c r="N297">
        <v>100</v>
      </c>
      <c r="O297">
        <v>29.032258064516132</v>
      </c>
    </row>
    <row r="298" spans="1:15" hidden="1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I298" s="3">
        <f t="shared" si="74"/>
        <v>27</v>
      </c>
      <c r="J298" s="3">
        <f t="shared" si="75"/>
        <v>9</v>
      </c>
      <c r="K298" s="3">
        <f t="shared" si="76"/>
        <v>18</v>
      </c>
      <c r="L298" s="3" t="str">
        <f t="shared" si="64"/>
        <v>EXCELENTE</v>
      </c>
      <c r="M298">
        <v>1</v>
      </c>
      <c r="N298">
        <v>100</v>
      </c>
      <c r="O298">
        <v>11.864406779661021</v>
      </c>
    </row>
    <row r="299" spans="1:15" hidden="1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I299" s="3">
        <f t="shared" si="74"/>
        <v>7</v>
      </c>
      <c r="J299" s="3">
        <f t="shared" si="75"/>
        <v>9</v>
      </c>
      <c r="K299" s="3">
        <f t="shared" si="76"/>
        <v>-2</v>
      </c>
      <c r="L299" s="3" t="str">
        <f t="shared" si="64"/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>
        <f t="shared" si="75"/>
        <v>9</v>
      </c>
      <c r="K300" s="3">
        <f t="shared" si="76"/>
        <v>8</v>
      </c>
      <c r="L300" s="3" t="str">
        <f t="shared" si="64"/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>
        <f t="shared" si="75"/>
        <v>32</v>
      </c>
      <c r="K301" s="3">
        <f t="shared" si="76"/>
        <v>19</v>
      </c>
      <c r="L301" s="3" t="str">
        <f t="shared" si="64"/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I302" s="3">
        <f t="shared" si="74"/>
        <v>33</v>
      </c>
      <c r="J302" s="3">
        <f t="shared" si="75"/>
        <v>32</v>
      </c>
      <c r="K302" s="3">
        <f t="shared" si="76"/>
        <v>1</v>
      </c>
      <c r="L302" s="3" t="str">
        <f t="shared" si="64"/>
        <v>BOM</v>
      </c>
      <c r="M302">
        <v>28</v>
      </c>
      <c r="N302">
        <v>97.22</v>
      </c>
      <c r="O302">
        <v>19.095477386934672</v>
      </c>
    </row>
    <row r="303" spans="1:15" hidden="1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I303" s="3">
        <f t="shared" si="74"/>
        <v>23</v>
      </c>
      <c r="J303" s="3">
        <f t="shared" si="75"/>
        <v>18</v>
      </c>
      <c r="K303" s="3">
        <f t="shared" si="76"/>
        <v>5</v>
      </c>
      <c r="L303" s="3" t="str">
        <f t="shared" si="64"/>
        <v>BOM</v>
      </c>
      <c r="M303">
        <v>15</v>
      </c>
      <c r="N303">
        <v>98</v>
      </c>
      <c r="O303">
        <v>16.43835616438356</v>
      </c>
    </row>
    <row r="304" spans="1:15" hidden="1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I304" s="3">
        <f t="shared" si="74"/>
        <v>26</v>
      </c>
      <c r="J304" s="3">
        <f t="shared" si="75"/>
        <v>25</v>
      </c>
      <c r="K304" s="3">
        <f t="shared" si="76"/>
        <v>1</v>
      </c>
      <c r="L304" s="3" t="str">
        <f t="shared" si="64"/>
        <v>BOM</v>
      </c>
      <c r="M304">
        <v>22</v>
      </c>
      <c r="N304">
        <v>100</v>
      </c>
      <c r="O304">
        <v>16.894977168949769</v>
      </c>
    </row>
    <row r="305" spans="1:15" hidden="1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I305" s="3">
        <f t="shared" si="74"/>
        <v>21</v>
      </c>
      <c r="J305" s="3">
        <f t="shared" si="75"/>
        <v>18</v>
      </c>
      <c r="K305" s="3">
        <f t="shared" si="76"/>
        <v>3</v>
      </c>
      <c r="L305" s="3" t="str">
        <f t="shared" si="64"/>
        <v>BOM</v>
      </c>
      <c r="M305">
        <v>19</v>
      </c>
      <c r="N305">
        <v>100</v>
      </c>
      <c r="O305">
        <v>19.138755980861241</v>
      </c>
    </row>
    <row r="306" spans="1:15" hidden="1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I306" s="3">
        <f t="shared" si="74"/>
        <v>12</v>
      </c>
      <c r="J306" s="3">
        <f t="shared" si="75"/>
        <v>18</v>
      </c>
      <c r="K306" s="3">
        <f t="shared" si="76"/>
        <v>-6</v>
      </c>
      <c r="L306" s="3" t="str">
        <f t="shared" si="64"/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I307" s="3">
        <f t="shared" si="74"/>
        <v>27</v>
      </c>
      <c r="J307" s="3">
        <f t="shared" si="75"/>
        <v>21</v>
      </c>
      <c r="K307" s="3">
        <f t="shared" si="76"/>
        <v>6</v>
      </c>
      <c r="L307" s="3" t="str">
        <f t="shared" si="64"/>
        <v>EXCELENTE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I308" s="3">
        <f t="shared" si="74"/>
        <v>29</v>
      </c>
      <c r="J308" s="3">
        <f t="shared" si="75"/>
        <v>32</v>
      </c>
      <c r="K308" s="3">
        <f t="shared" si="76"/>
        <v>-3</v>
      </c>
      <c r="L308" s="3" t="str">
        <f t="shared" si="64"/>
        <v>ATENÇÃO</v>
      </c>
      <c r="M308">
        <v>22</v>
      </c>
      <c r="N308">
        <v>99.29</v>
      </c>
      <c r="O308">
        <v>22.49443207126949</v>
      </c>
    </row>
    <row r="309" spans="1:15" hidden="1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I309" s="3">
        <f t="shared" si="74"/>
        <v>19</v>
      </c>
      <c r="J309" s="3">
        <f t="shared" si="75"/>
        <v>21</v>
      </c>
      <c r="K309" s="3">
        <f t="shared" si="76"/>
        <v>-2</v>
      </c>
      <c r="L309" s="3" t="str">
        <f t="shared" si="64"/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I310" s="3">
        <f t="shared" si="74"/>
        <v>32</v>
      </c>
      <c r="J310" s="3">
        <f t="shared" si="75"/>
        <v>32</v>
      </c>
      <c r="K310" s="3">
        <f t="shared" si="76"/>
        <v>0</v>
      </c>
      <c r="L310" s="3" t="str">
        <f t="shared" si="64"/>
        <v>BOM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I311" s="3">
        <f t="shared" si="74"/>
        <v>23</v>
      </c>
      <c r="J311" s="3">
        <f t="shared" si="75"/>
        <v>23</v>
      </c>
      <c r="K311" s="3">
        <f t="shared" si="76"/>
        <v>0</v>
      </c>
      <c r="L311" s="3" t="str">
        <f t="shared" si="64"/>
        <v>BOM</v>
      </c>
      <c r="M311" s="3">
        <v>17</v>
      </c>
      <c r="N311" s="3">
        <v>98.94</v>
      </c>
      <c r="O311" s="3">
        <v>19.614147909967851</v>
      </c>
    </row>
    <row r="312" spans="1:15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I313" s="3">
        <f t="shared" ref="I313:I322" si="77">E313+G313+H313</f>
        <v>28</v>
      </c>
      <c r="J313" s="3">
        <f t="shared" ref="J313:J322" si="78"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 t="shared" ref="K313:K322" si="79">I313-J313</f>
        <v>9</v>
      </c>
      <c r="L313" s="3" t="str">
        <f t="shared" si="64"/>
        <v>EXCELENTE</v>
      </c>
      <c r="M313" s="3">
        <v>26</v>
      </c>
      <c r="N313" s="3">
        <v>95.38</v>
      </c>
      <c r="O313" s="3">
        <v>21.5962441314554</v>
      </c>
    </row>
    <row r="314" spans="1:15" hidden="1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I314" s="3">
        <f t="shared" si="77"/>
        <v>23</v>
      </c>
      <c r="J314" s="3">
        <f t="shared" si="78"/>
        <v>29</v>
      </c>
      <c r="K314" s="3">
        <f t="shared" si="79"/>
        <v>-6</v>
      </c>
      <c r="L314" s="3" t="str">
        <f t="shared" si="64"/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I315" s="3">
        <f t="shared" si="77"/>
        <v>30</v>
      </c>
      <c r="J315" s="3">
        <f t="shared" si="78"/>
        <v>23</v>
      </c>
      <c r="K315" s="3">
        <f t="shared" si="79"/>
        <v>7</v>
      </c>
      <c r="L315" s="3" t="str">
        <f t="shared" si="64"/>
        <v>EXCELENTE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I316" s="3">
        <f t="shared" si="77"/>
        <v>21</v>
      </c>
      <c r="J316" s="3">
        <f t="shared" si="78"/>
        <v>23</v>
      </c>
      <c r="K316" s="3">
        <f t="shared" si="79"/>
        <v>-2</v>
      </c>
      <c r="L316" s="3" t="str">
        <f t="shared" si="64"/>
        <v>ATENÇÃO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I317" s="3">
        <f t="shared" si="77"/>
        <v>35</v>
      </c>
      <c r="J317" s="3">
        <f t="shared" si="78"/>
        <v>19</v>
      </c>
      <c r="K317" s="3">
        <f t="shared" si="79"/>
        <v>16</v>
      </c>
      <c r="L317" s="3" t="str">
        <f t="shared" si="64"/>
        <v>EXCELENTE</v>
      </c>
      <c r="M317">
        <v>26</v>
      </c>
      <c r="N317">
        <v>96.88</v>
      </c>
      <c r="O317">
        <v>19.526627218934909</v>
      </c>
    </row>
    <row r="318" spans="1:15" hidden="1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I318" s="3">
        <f t="shared" si="77"/>
        <v>30</v>
      </c>
      <c r="J318" s="3">
        <f t="shared" si="78"/>
        <v>29</v>
      </c>
      <c r="K318" s="3">
        <f t="shared" si="79"/>
        <v>1</v>
      </c>
      <c r="L318" s="3" t="str">
        <f t="shared" si="64"/>
        <v>BOM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I319" s="3">
        <f t="shared" si="77"/>
        <v>13</v>
      </c>
      <c r="J319" s="3">
        <f t="shared" si="78"/>
        <v>23</v>
      </c>
      <c r="K319" s="3">
        <f t="shared" si="79"/>
        <v>-10</v>
      </c>
      <c r="L319" s="3" t="str">
        <f t="shared" si="64"/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I320" s="3">
        <f t="shared" si="77"/>
        <v>21</v>
      </c>
      <c r="J320" s="3">
        <f t="shared" si="78"/>
        <v>19</v>
      </c>
      <c r="K320" s="3">
        <f t="shared" si="79"/>
        <v>2</v>
      </c>
      <c r="L320" s="3" t="str">
        <f t="shared" si="64"/>
        <v>BOM</v>
      </c>
      <c r="M320">
        <v>19</v>
      </c>
      <c r="N320">
        <v>100</v>
      </c>
      <c r="O320">
        <v>18.14516129032258</v>
      </c>
    </row>
    <row r="321" spans="1:15" hidden="1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I321" s="3">
        <f t="shared" si="77"/>
        <v>23</v>
      </c>
      <c r="J321" s="3">
        <f t="shared" si="78"/>
        <v>29</v>
      </c>
      <c r="K321" s="3">
        <f t="shared" si="79"/>
        <v>-6</v>
      </c>
      <c r="L321" s="3" t="str">
        <f t="shared" si="64"/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I322" s="3">
        <f t="shared" si="77"/>
        <v>27</v>
      </c>
      <c r="J322" s="3">
        <f t="shared" si="78"/>
        <v>23</v>
      </c>
      <c r="K322" s="3">
        <f t="shared" si="79"/>
        <v>4</v>
      </c>
      <c r="L322" s="3" t="str">
        <f t="shared" ref="L322:L385" si="80"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  <c r="M323">
        <v>0</v>
      </c>
      <c r="N323">
        <v>100</v>
      </c>
      <c r="O323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  <c r="M324">
        <v>0</v>
      </c>
      <c r="N324">
        <v>100</v>
      </c>
      <c r="O324">
        <v>17.241379310344829</v>
      </c>
    </row>
    <row r="325" spans="1:15" hidden="1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19</v>
      </c>
      <c r="K325" s="3">
        <f>I325-J325</f>
        <v>15</v>
      </c>
      <c r="L325" s="3" t="str">
        <f t="shared" si="80"/>
        <v>EXCELENTE</v>
      </c>
      <c r="M325">
        <v>18</v>
      </c>
      <c r="N325">
        <v>98.8</v>
      </c>
      <c r="O325">
        <v>15.41353383458646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 t="shared" si="80"/>
        <v>ATENÇÃO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 t="shared" si="80"/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 t="shared" si="80"/>
        <v>BOM</v>
      </c>
      <c r="M328">
        <v>31</v>
      </c>
      <c r="N328">
        <v>95.4</v>
      </c>
      <c r="O328">
        <v>20.533333333333331</v>
      </c>
    </row>
    <row r="329" spans="1:15" hidden="1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 t="shared" si="80"/>
        <v>BOM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  <c r="M330">
        <v>0</v>
      </c>
      <c r="N330">
        <v>0</v>
      </c>
      <c r="O330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 t="shared" si="80"/>
        <v>BOM</v>
      </c>
      <c r="M331">
        <v>18</v>
      </c>
      <c r="N331">
        <v>97.01</v>
      </c>
      <c r="O331">
        <v>13.961038961038961</v>
      </c>
    </row>
    <row r="332" spans="1:15" hidden="1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 t="shared" si="80"/>
        <v>ATENÇÃO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  <c r="M333">
        <v>0</v>
      </c>
      <c r="N333">
        <v>100</v>
      </c>
      <c r="O333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 t="shared" si="80"/>
        <v>ATENÇÃO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 t="shared" si="80"/>
        <v>BOM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 t="shared" si="80"/>
        <v>EXCELENTE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  <c r="M337">
        <v>0</v>
      </c>
      <c r="N337">
        <v>100</v>
      </c>
      <c r="O337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I338" s="3">
        <f t="shared" ref="I338:I355" si="81">E338+G338+H338</f>
        <v>23</v>
      </c>
      <c r="J338" s="3">
        <f t="shared" ref="J338:J355" si="82"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 t="shared" ref="K338:K355" si="83">I338-J338</f>
        <v>4</v>
      </c>
      <c r="L338" s="3" t="str">
        <f t="shared" si="80"/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>
        <f t="shared" si="82"/>
        <v>8</v>
      </c>
      <c r="K339" s="3">
        <f t="shared" si="83"/>
        <v>15</v>
      </c>
      <c r="L339" s="3" t="str">
        <f t="shared" si="80"/>
        <v>EXCELENTE</v>
      </c>
      <c r="M339">
        <v>18</v>
      </c>
      <c r="N339">
        <v>99.11</v>
      </c>
      <c r="O339">
        <v>17.721518987341771</v>
      </c>
    </row>
    <row r="340" spans="1:15" hidden="1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I340" s="3">
        <f t="shared" si="81"/>
        <v>5</v>
      </c>
      <c r="J340" s="3">
        <f t="shared" si="82"/>
        <v>8</v>
      </c>
      <c r="K340" s="3">
        <f t="shared" si="83"/>
        <v>-3</v>
      </c>
      <c r="L340" s="3" t="str">
        <f t="shared" si="80"/>
        <v>ATENÇÃO</v>
      </c>
      <c r="M340">
        <v>5</v>
      </c>
      <c r="N340">
        <v>96.43</v>
      </c>
      <c r="O340">
        <v>20</v>
      </c>
    </row>
    <row r="341" spans="1:15" hidden="1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I341" s="3">
        <f t="shared" si="81"/>
        <v>19</v>
      </c>
      <c r="J341" s="3">
        <f t="shared" si="82"/>
        <v>8</v>
      </c>
      <c r="K341" s="3">
        <f t="shared" si="83"/>
        <v>11</v>
      </c>
      <c r="L341" s="3" t="str">
        <f t="shared" si="80"/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>
        <f t="shared" si="82"/>
        <v>8</v>
      </c>
      <c r="K342" s="3">
        <f t="shared" si="83"/>
        <v>15</v>
      </c>
      <c r="L342" s="3" t="str">
        <f t="shared" si="80"/>
        <v>EXCELENTE</v>
      </c>
      <c r="M342">
        <v>1</v>
      </c>
      <c r="N342">
        <v>100</v>
      </c>
      <c r="O342">
        <v>11.864406779661021</v>
      </c>
    </row>
    <row r="343" spans="1:15" hidden="1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I343" s="3">
        <f t="shared" si="81"/>
        <v>6</v>
      </c>
      <c r="J343" s="3">
        <f t="shared" si="82"/>
        <v>8</v>
      </c>
      <c r="K343" s="3">
        <f t="shared" si="83"/>
        <v>-2</v>
      </c>
      <c r="L343" s="3" t="str">
        <f t="shared" si="80"/>
        <v>ATENÇÃO</v>
      </c>
      <c r="M343">
        <v>5</v>
      </c>
      <c r="N343">
        <v>100</v>
      </c>
      <c r="O343">
        <v>16.814159292035399</v>
      </c>
    </row>
    <row r="344" spans="1:15" hidden="1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I344" s="3">
        <f t="shared" si="81"/>
        <v>18</v>
      </c>
      <c r="J344" s="3">
        <f t="shared" si="82"/>
        <v>8</v>
      </c>
      <c r="K344" s="3">
        <f t="shared" si="83"/>
        <v>10</v>
      </c>
      <c r="L344" s="3" t="str">
        <f t="shared" si="80"/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>
        <f t="shared" si="82"/>
        <v>29</v>
      </c>
      <c r="K345" s="3">
        <f t="shared" si="83"/>
        <v>12</v>
      </c>
      <c r="L345" s="3" t="str">
        <f t="shared" si="80"/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I346" s="3">
        <f t="shared" si="81"/>
        <v>34</v>
      </c>
      <c r="J346" s="3">
        <f t="shared" si="82"/>
        <v>29</v>
      </c>
      <c r="K346" s="3">
        <f t="shared" si="83"/>
        <v>5</v>
      </c>
      <c r="L346" s="3" t="str">
        <f t="shared" si="80"/>
        <v>BOM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I347" s="3">
        <f t="shared" si="81"/>
        <v>25</v>
      </c>
      <c r="J347" s="3">
        <f t="shared" si="82"/>
        <v>16</v>
      </c>
      <c r="K347" s="3">
        <f t="shared" si="83"/>
        <v>9</v>
      </c>
      <c r="L347" s="3" t="str">
        <f t="shared" si="80"/>
        <v>EXCELENTE</v>
      </c>
      <c r="M347">
        <v>18</v>
      </c>
      <c r="N347">
        <v>98</v>
      </c>
      <c r="O347">
        <v>16.43835616438356</v>
      </c>
    </row>
    <row r="348" spans="1:15" hidden="1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I348" s="3">
        <f t="shared" si="81"/>
        <v>22</v>
      </c>
      <c r="J348" s="3">
        <f t="shared" si="82"/>
        <v>23</v>
      </c>
      <c r="K348" s="3">
        <f t="shared" si="83"/>
        <v>-1</v>
      </c>
      <c r="L348" s="3" t="str">
        <f t="shared" si="80"/>
        <v>ATENÇÃO</v>
      </c>
      <c r="M348">
        <v>18</v>
      </c>
      <c r="N348">
        <v>100</v>
      </c>
      <c r="O348">
        <v>16.894977168949769</v>
      </c>
    </row>
    <row r="349" spans="1:15" hidden="1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I349" s="3">
        <f t="shared" si="81"/>
        <v>11</v>
      </c>
      <c r="J349" s="3">
        <f t="shared" si="82"/>
        <v>16</v>
      </c>
      <c r="K349" s="3">
        <f t="shared" si="83"/>
        <v>-5</v>
      </c>
      <c r="L349" s="3" t="str">
        <f t="shared" si="80"/>
        <v>ATENÇÃO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I350" s="3">
        <f t="shared" si="81"/>
        <v>18</v>
      </c>
      <c r="J350" s="3">
        <f t="shared" si="82"/>
        <v>16</v>
      </c>
      <c r="K350" s="3">
        <f t="shared" si="83"/>
        <v>2</v>
      </c>
      <c r="L350" s="3" t="str">
        <f t="shared" si="80"/>
        <v>BOM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I351" s="3">
        <f t="shared" si="81"/>
        <v>38</v>
      </c>
      <c r="J351" s="3">
        <f t="shared" si="82"/>
        <v>19</v>
      </c>
      <c r="K351" s="3">
        <f t="shared" si="83"/>
        <v>19</v>
      </c>
      <c r="L351" s="3" t="str">
        <f t="shared" si="80"/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I352" s="3">
        <f t="shared" si="81"/>
        <v>37</v>
      </c>
      <c r="J352" s="3">
        <f t="shared" si="82"/>
        <v>29</v>
      </c>
      <c r="K352" s="3">
        <f t="shared" si="83"/>
        <v>8</v>
      </c>
      <c r="L352" s="3" t="str">
        <f t="shared" si="80"/>
        <v>EXCELENTE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I353" s="3">
        <f t="shared" si="81"/>
        <v>15</v>
      </c>
      <c r="J353" s="3">
        <f t="shared" si="82"/>
        <v>19</v>
      </c>
      <c r="K353" s="3">
        <f t="shared" si="83"/>
        <v>-4</v>
      </c>
      <c r="L353" s="3" t="str">
        <f t="shared" si="80"/>
        <v>ATENÇÃO</v>
      </c>
      <c r="M353">
        <v>16</v>
      </c>
      <c r="N353">
        <v>100</v>
      </c>
      <c r="O353">
        <v>16.97247706422019</v>
      </c>
    </row>
    <row r="354" spans="1:15" hidden="1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I354" s="3">
        <f t="shared" si="81"/>
        <v>23</v>
      </c>
      <c r="J354" s="3">
        <f t="shared" si="82"/>
        <v>29</v>
      </c>
      <c r="K354" s="3">
        <f t="shared" si="83"/>
        <v>-6</v>
      </c>
      <c r="L354" s="3" t="str">
        <f t="shared" si="80"/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>
        <f t="shared" si="82"/>
        <v>23</v>
      </c>
      <c r="K355" s="3">
        <f t="shared" si="83"/>
        <v>11</v>
      </c>
      <c r="L355" s="3" t="str">
        <f t="shared" si="80"/>
        <v>EXCELENTE</v>
      </c>
      <c r="M355" s="3">
        <v>23</v>
      </c>
      <c r="N355" s="3">
        <v>98.94</v>
      </c>
      <c r="O355" s="3">
        <v>19.614147909967851</v>
      </c>
    </row>
    <row r="356" spans="1:15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>
        <f t="shared" ref="J357:J366" si="85"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 t="shared" ref="K357:K366" si="86">I357-J357</f>
        <v>7</v>
      </c>
      <c r="L357" s="3" t="str">
        <f t="shared" si="80"/>
        <v>EXCELENTE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>
        <f t="shared" si="85"/>
        <v>28</v>
      </c>
      <c r="K358" s="3">
        <f t="shared" si="86"/>
        <v>2</v>
      </c>
      <c r="L358" s="3" t="str">
        <f t="shared" si="80"/>
        <v>BOM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>
        <f t="shared" si="85"/>
        <v>23</v>
      </c>
      <c r="K359" s="3">
        <f t="shared" si="86"/>
        <v>10</v>
      </c>
      <c r="L359" s="3" t="str">
        <f t="shared" si="80"/>
        <v>EXCELENTE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>
        <f t="shared" si="85"/>
        <v>23</v>
      </c>
      <c r="K360" s="3">
        <f t="shared" si="86"/>
        <v>4</v>
      </c>
      <c r="L360" s="3" t="str">
        <f t="shared" si="80"/>
        <v>BOM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>
        <f t="shared" si="85"/>
        <v>19</v>
      </c>
      <c r="K361" s="3">
        <f t="shared" si="86"/>
        <v>17</v>
      </c>
      <c r="L361" s="3" t="str">
        <f t="shared" si="80"/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>
        <f t="shared" si="85"/>
        <v>28</v>
      </c>
      <c r="K362" s="3">
        <f t="shared" si="86"/>
        <v>-10</v>
      </c>
      <c r="L362" s="3" t="str">
        <f t="shared" si="8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>
        <f t="shared" si="85"/>
        <v>23</v>
      </c>
      <c r="K363" s="3">
        <f t="shared" si="86"/>
        <v>-5</v>
      </c>
      <c r="L363" s="3" t="str">
        <f t="shared" si="80"/>
        <v>ATENÇÃO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>
        <f t="shared" si="85"/>
        <v>19</v>
      </c>
      <c r="K364" s="3">
        <f t="shared" si="86"/>
        <v>10</v>
      </c>
      <c r="L364" s="3" t="str">
        <f t="shared" si="80"/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>
        <f t="shared" si="85"/>
        <v>28</v>
      </c>
      <c r="K365" s="3">
        <f t="shared" si="86"/>
        <v>-2</v>
      </c>
      <c r="L365" s="3" t="str">
        <f t="shared" si="80"/>
        <v>ATENÇÃO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>
        <f t="shared" si="85"/>
        <v>23</v>
      </c>
      <c r="K366" s="3">
        <f t="shared" si="86"/>
        <v>-10</v>
      </c>
      <c r="L366" s="3" t="str">
        <f t="shared" si="80"/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  <c r="M367">
        <v>0</v>
      </c>
      <c r="N367">
        <v>100</v>
      </c>
      <c r="O367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  <c r="M368">
        <v>0</v>
      </c>
      <c r="N368">
        <v>100</v>
      </c>
      <c r="O368">
        <v>17.241379310344829</v>
      </c>
    </row>
    <row r="369" spans="1:15" hidden="1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19</v>
      </c>
      <c r="K369" s="3">
        <f>I369-J369</f>
        <v>4</v>
      </c>
      <c r="L369" s="3" t="str">
        <f t="shared" si="80"/>
        <v>BOM</v>
      </c>
      <c r="M369">
        <v>23</v>
      </c>
      <c r="N369">
        <v>98.8</v>
      </c>
      <c r="O369">
        <v>15.41353383458646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 t="shared" si="80"/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 t="shared" si="80"/>
        <v>EXCELENTE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 t="shared" si="80"/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 t="shared" si="80"/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  <c r="M374">
        <v>0</v>
      </c>
      <c r="N374">
        <v>0</v>
      </c>
      <c r="O374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>
        <f t="shared" ref="J375:J380" si="88"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 t="shared" ref="K375:K380" si="89">I375-J375</f>
        <v>7</v>
      </c>
      <c r="L375" s="3" t="str">
        <f t="shared" si="80"/>
        <v>EXCELENTE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>
        <f t="shared" si="88"/>
        <v>28</v>
      </c>
      <c r="K376" s="3">
        <f t="shared" si="89"/>
        <v>1</v>
      </c>
      <c r="L376" s="3" t="str">
        <f t="shared" si="80"/>
        <v>BOM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>
        <f t="shared" si="88"/>
        <v>16</v>
      </c>
      <c r="K377" s="3">
        <f t="shared" si="89"/>
        <v>-1</v>
      </c>
      <c r="L377" s="3" t="str">
        <f t="shared" si="80"/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>
        <f t="shared" si="88"/>
        <v>28</v>
      </c>
      <c r="K378" s="3">
        <f t="shared" si="89"/>
        <v>-1</v>
      </c>
      <c r="L378" s="3" t="str">
        <f t="shared" si="80"/>
        <v>ATENÇÃO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>
        <f t="shared" si="88"/>
        <v>23</v>
      </c>
      <c r="K379" s="3">
        <f t="shared" si="89"/>
        <v>1</v>
      </c>
      <c r="L379" s="3" t="str">
        <f t="shared" si="80"/>
        <v>BOM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>
        <f t="shared" si="88"/>
        <v>23</v>
      </c>
      <c r="K380" s="3">
        <f t="shared" si="89"/>
        <v>-5</v>
      </c>
      <c r="L380" s="3" t="str">
        <f t="shared" si="80"/>
        <v>ATENÇÃO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  <c r="M381">
        <v>0</v>
      </c>
      <c r="N381">
        <v>100</v>
      </c>
      <c r="O381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>
        <f t="shared" ref="J382:J399" si="91"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 t="shared" ref="K382:K399" si="92">I382-J382</f>
        <v>-4</v>
      </c>
      <c r="L382" s="3" t="str">
        <f t="shared" si="80"/>
        <v>ATENÇÃO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>
        <f t="shared" si="91"/>
        <v>8</v>
      </c>
      <c r="K383" s="3">
        <f t="shared" si="92"/>
        <v>21</v>
      </c>
      <c r="L383" s="3" t="str">
        <f t="shared" si="80"/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>
        <f t="shared" si="91"/>
        <v>28</v>
      </c>
      <c r="K384" s="3">
        <f t="shared" si="92"/>
        <v>24</v>
      </c>
      <c r="L384" s="3" t="str">
        <f t="shared" si="80"/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>
        <f t="shared" si="91"/>
        <v>28</v>
      </c>
      <c r="K385" s="3">
        <f t="shared" si="92"/>
        <v>7</v>
      </c>
      <c r="L385" s="3" t="str">
        <f t="shared" si="80"/>
        <v>EXCELENTE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>
        <f t="shared" si="91"/>
        <v>8</v>
      </c>
      <c r="K386" s="3">
        <f t="shared" si="92"/>
        <v>1</v>
      </c>
      <c r="L386" s="3" t="str">
        <f t="shared" ref="L386:L449" si="93"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>
        <f t="shared" si="91"/>
        <v>8</v>
      </c>
      <c r="K387" s="3">
        <f t="shared" si="92"/>
        <v>7</v>
      </c>
      <c r="L387" s="3" t="str">
        <f t="shared" si="93"/>
        <v>EXCELENTE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>
        <f t="shared" si="91"/>
        <v>8</v>
      </c>
      <c r="K388" s="3">
        <f t="shared" si="92"/>
        <v>35</v>
      </c>
      <c r="L388" s="3" t="str">
        <f t="shared" si="93"/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>
        <f t="shared" si="91"/>
        <v>8</v>
      </c>
      <c r="K389" s="3">
        <f t="shared" si="92"/>
        <v>-4</v>
      </c>
      <c r="L389" s="3" t="str">
        <f t="shared" si="93"/>
        <v>ATENÇÃO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>
        <f t="shared" si="91"/>
        <v>8</v>
      </c>
      <c r="K390" s="3">
        <f t="shared" si="92"/>
        <v>10</v>
      </c>
      <c r="L390" s="3" t="str">
        <f t="shared" si="93"/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>
        <f t="shared" si="91"/>
        <v>16</v>
      </c>
      <c r="K391" s="3">
        <f t="shared" si="92"/>
        <v>7</v>
      </c>
      <c r="L391" s="3" t="str">
        <f t="shared" si="93"/>
        <v>EXCELENTE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>
        <f t="shared" si="91"/>
        <v>23</v>
      </c>
      <c r="K392" s="3">
        <f t="shared" si="92"/>
        <v>3</v>
      </c>
      <c r="L392" s="3" t="str">
        <f t="shared" si="93"/>
        <v>BOM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>
        <f t="shared" si="91"/>
        <v>16</v>
      </c>
      <c r="K393" s="3">
        <f t="shared" si="92"/>
        <v>-1</v>
      </c>
      <c r="L393" s="3" t="str">
        <f t="shared" si="93"/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>
        <f t="shared" si="91"/>
        <v>16</v>
      </c>
      <c r="K394" s="3">
        <f t="shared" si="92"/>
        <v>-10</v>
      </c>
      <c r="L394" s="3" t="str">
        <f t="shared" si="93"/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>
        <f t="shared" si="91"/>
        <v>19</v>
      </c>
      <c r="K395" s="3">
        <f t="shared" si="92"/>
        <v>7</v>
      </c>
      <c r="L395" s="3" t="str">
        <f t="shared" si="93"/>
        <v>EXCELENTE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>
        <f t="shared" si="91"/>
        <v>28</v>
      </c>
      <c r="K396" s="3">
        <f t="shared" si="92"/>
        <v>9</v>
      </c>
      <c r="L396" s="3" t="str">
        <f t="shared" si="93"/>
        <v>EXCELENTE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>
        <f t="shared" si="91"/>
        <v>19</v>
      </c>
      <c r="K397" s="3">
        <f t="shared" si="92"/>
        <v>0</v>
      </c>
      <c r="L397" s="3" t="str">
        <f t="shared" si="93"/>
        <v>BOM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>
        <f t="shared" si="91"/>
        <v>28</v>
      </c>
      <c r="K398" s="3">
        <f t="shared" si="92"/>
        <v>-1</v>
      </c>
      <c r="L398" s="3" t="str">
        <f t="shared" si="93"/>
        <v>ATENÇÃO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>
        <f t="shared" si="91"/>
        <v>23</v>
      </c>
      <c r="K399" s="3">
        <f t="shared" si="92"/>
        <v>-3</v>
      </c>
      <c r="L399" s="3" t="str">
        <f t="shared" si="93"/>
        <v>ATENÇÃO</v>
      </c>
      <c r="M399" s="3">
        <v>12</v>
      </c>
      <c r="N399" s="3">
        <v>98.94</v>
      </c>
      <c r="O399" s="3">
        <v>19.614147909967851</v>
      </c>
    </row>
    <row r="400" spans="1:15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>
        <f t="shared" ref="J401:J410" si="95"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 t="shared" ref="K401:K410" si="96">I401-J401</f>
        <v>24</v>
      </c>
      <c r="L401" s="3" t="str">
        <f t="shared" si="93"/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>
        <f t="shared" si="95"/>
        <v>29</v>
      </c>
      <c r="K402" s="3">
        <f t="shared" si="96"/>
        <v>2</v>
      </c>
      <c r="L402" s="3" t="str">
        <f t="shared" si="93"/>
        <v>BOM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>
        <f t="shared" si="95"/>
        <v>23</v>
      </c>
      <c r="K403" s="3">
        <f t="shared" si="96"/>
        <v>-2</v>
      </c>
      <c r="L403" s="3" t="str">
        <f t="shared" si="93"/>
        <v>ATENÇÃO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>
        <f t="shared" si="95"/>
        <v>23</v>
      </c>
      <c r="K404" s="3">
        <f t="shared" si="96"/>
        <v>6</v>
      </c>
      <c r="L404" s="3" t="str">
        <f t="shared" si="93"/>
        <v>EXCELENTE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>
        <f t="shared" si="95"/>
        <v>19</v>
      </c>
      <c r="K405" s="3">
        <f t="shared" si="96"/>
        <v>4</v>
      </c>
      <c r="L405" s="3" t="str">
        <f t="shared" si="93"/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>
        <f t="shared" si="95"/>
        <v>29</v>
      </c>
      <c r="K406" s="3">
        <f t="shared" si="96"/>
        <v>2</v>
      </c>
      <c r="L406" s="3" t="str">
        <f t="shared" si="93"/>
        <v>BOM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>
        <f t="shared" si="95"/>
        <v>23</v>
      </c>
      <c r="K407" s="3">
        <f t="shared" si="96"/>
        <v>11</v>
      </c>
      <c r="L407" s="3" t="str">
        <f t="shared" si="93"/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>
        <f t="shared" si="95"/>
        <v>19</v>
      </c>
      <c r="K408" s="3">
        <f t="shared" si="96"/>
        <v>2</v>
      </c>
      <c r="L408" s="3" t="str">
        <f t="shared" si="93"/>
        <v>BOM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>
        <f t="shared" si="95"/>
        <v>29</v>
      </c>
      <c r="K409" s="3">
        <f t="shared" si="96"/>
        <v>-6</v>
      </c>
      <c r="L409" s="3" t="str">
        <f t="shared" si="93"/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>
        <f t="shared" si="95"/>
        <v>23</v>
      </c>
      <c r="K410" s="3">
        <f t="shared" si="96"/>
        <v>4</v>
      </c>
      <c r="L410" s="3" t="str">
        <f t="shared" si="93"/>
        <v>BOM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  <c r="M411">
        <v>0</v>
      </c>
      <c r="N411">
        <v>100</v>
      </c>
      <c r="O411">
        <v>17.241379310344829</v>
      </c>
    </row>
    <row r="412" spans="1:15" hidden="1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19</v>
      </c>
      <c r="K412" s="3">
        <f>I412-J412</f>
        <v>4</v>
      </c>
      <c r="L412" s="3" t="str">
        <f t="shared" si="93"/>
        <v>BOM</v>
      </c>
      <c r="M412">
        <v>15</v>
      </c>
      <c r="N412">
        <v>98.8</v>
      </c>
      <c r="O412">
        <v>15.41353383458646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 t="shared" si="93"/>
        <v>BOM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 t="shared" si="93"/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 t="shared" si="93"/>
        <v>BOM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 t="shared" si="93"/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  <c r="M417">
        <v>0</v>
      </c>
      <c r="N417">
        <v>0</v>
      </c>
      <c r="O417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 t="shared" si="93"/>
        <v>EXCELENTE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 t="shared" si="93"/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 t="shared" si="93"/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 t="shared" si="93"/>
        <v>EXCELENTE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 t="shared" si="93"/>
        <v>BOM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  <c r="M423">
        <v>0</v>
      </c>
      <c r="N423">
        <v>100</v>
      </c>
      <c r="O423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>
        <f t="shared" ref="J424:J442" si="98"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 t="shared" ref="K424:K442" si="99">I424-J424</f>
        <v>4</v>
      </c>
      <c r="L424" s="3" t="str">
        <f t="shared" si="93"/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>
        <f t="shared" si="98"/>
        <v>29</v>
      </c>
      <c r="K425" s="3">
        <f t="shared" si="99"/>
        <v>2</v>
      </c>
      <c r="L425" s="3" t="str">
        <f t="shared" si="93"/>
        <v>BOM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>
        <f t="shared" si="98"/>
        <v>29</v>
      </c>
      <c r="K426" s="3">
        <f t="shared" si="99"/>
        <v>-3</v>
      </c>
      <c r="L426" s="3" t="str">
        <f t="shared" si="93"/>
        <v>ATENÇÃO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>
        <f t="shared" si="98"/>
        <v>8</v>
      </c>
      <c r="K427" s="3">
        <f t="shared" si="99"/>
        <v>32</v>
      </c>
      <c r="L427" s="3" t="str">
        <f t="shared" si="93"/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>
        <f t="shared" si="98"/>
        <v>8</v>
      </c>
      <c r="K428" s="3">
        <f t="shared" si="99"/>
        <v>2</v>
      </c>
      <c r="L428" s="3" t="str">
        <f t="shared" si="93"/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>
        <f t="shared" si="98"/>
        <v>8</v>
      </c>
      <c r="K429" s="3">
        <f t="shared" si="99"/>
        <v>16</v>
      </c>
      <c r="L429" s="3" t="str">
        <f t="shared" si="93"/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>
        <f t="shared" si="98"/>
        <v>8</v>
      </c>
      <c r="K430" s="3">
        <f t="shared" si="99"/>
        <v>-4</v>
      </c>
      <c r="L430" s="3" t="str">
        <f t="shared" si="93"/>
        <v>ATENÇÃO</v>
      </c>
      <c r="M430">
        <v>3</v>
      </c>
      <c r="N430">
        <v>100</v>
      </c>
      <c r="O430">
        <v>14.285714285714279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>
        <f t="shared" si="98"/>
        <v>8</v>
      </c>
      <c r="K431" s="3">
        <f t="shared" si="99"/>
        <v>24</v>
      </c>
      <c r="L431" s="3" t="str">
        <f t="shared" si="93"/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>
        <f t="shared" si="98"/>
        <v>8</v>
      </c>
      <c r="K432" s="3">
        <f t="shared" si="99"/>
        <v>0</v>
      </c>
      <c r="L432" s="3" t="str">
        <f t="shared" si="93"/>
        <v>BOM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>
        <f t="shared" si="98"/>
        <v>8</v>
      </c>
      <c r="K433" s="3">
        <f t="shared" si="99"/>
        <v>7</v>
      </c>
      <c r="L433" s="3" t="str">
        <f t="shared" si="93"/>
        <v>EXCELENTE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>
        <f t="shared" si="98"/>
        <v>17</v>
      </c>
      <c r="K434" s="3">
        <f t="shared" si="99"/>
        <v>6</v>
      </c>
      <c r="L434" s="3" t="str">
        <f t="shared" si="93"/>
        <v>EXCELENTE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>
        <f t="shared" si="98"/>
        <v>23</v>
      </c>
      <c r="K435" s="3">
        <f t="shared" si="99"/>
        <v>-10</v>
      </c>
      <c r="L435" s="3" t="str">
        <f t="shared" si="93"/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>
        <f t="shared" si="98"/>
        <v>17</v>
      </c>
      <c r="K436" s="3">
        <f t="shared" si="99"/>
        <v>-4</v>
      </c>
      <c r="L436" s="3" t="str">
        <f t="shared" si="93"/>
        <v>ATENÇÃO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>
        <f t="shared" si="98"/>
        <v>17</v>
      </c>
      <c r="K437" s="3">
        <f t="shared" si="99"/>
        <v>-3</v>
      </c>
      <c r="L437" s="3" t="str">
        <f t="shared" si="93"/>
        <v>ATENÇÃO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>
        <f t="shared" si="98"/>
        <v>19</v>
      </c>
      <c r="K438" s="3">
        <f t="shared" si="99"/>
        <v>11</v>
      </c>
      <c r="L438" s="3" t="str">
        <f t="shared" si="93"/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>
        <f t="shared" si="98"/>
        <v>29</v>
      </c>
      <c r="K439" s="3">
        <f t="shared" si="99"/>
        <v>2</v>
      </c>
      <c r="L439" s="3" t="str">
        <f t="shared" si="93"/>
        <v>BOM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>
        <f t="shared" si="98"/>
        <v>19</v>
      </c>
      <c r="K440" s="3">
        <f t="shared" si="99"/>
        <v>1</v>
      </c>
      <c r="L440" s="3" t="str">
        <f t="shared" si="93"/>
        <v>BOM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>
        <f t="shared" si="98"/>
        <v>29</v>
      </c>
      <c r="K441" s="3">
        <f t="shared" si="99"/>
        <v>-8</v>
      </c>
      <c r="L441" s="3" t="str">
        <f t="shared" si="93"/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>
        <f t="shared" si="98"/>
        <v>22</v>
      </c>
      <c r="K442" s="3">
        <f t="shared" si="99"/>
        <v>9</v>
      </c>
      <c r="L442" s="3" t="str">
        <f t="shared" si="93"/>
        <v>EXCELENTE</v>
      </c>
      <c r="M442" s="3">
        <v>19</v>
      </c>
      <c r="N442" s="3">
        <v>98.94</v>
      </c>
      <c r="O442" s="3">
        <v>19.614147909967851</v>
      </c>
    </row>
    <row r="443" spans="1:15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 t="shared" si="93"/>
        <v>BOM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  <c r="M445">
        <v>0</v>
      </c>
      <c r="N445">
        <v>96.34</v>
      </c>
      <c r="O445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 t="shared" si="93"/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 t="shared" si="93"/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 t="shared" si="93"/>
        <v>BOM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 t="shared" si="93"/>
        <v>EXCELENTE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 t="shared" ref="L450:L513" si="100"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  <c r="M451">
        <v>0</v>
      </c>
      <c r="N451">
        <v>98.63</v>
      </c>
      <c r="O451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 t="shared" si="100"/>
        <v>BOM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  <c r="M453">
        <v>0</v>
      </c>
      <c r="N453">
        <v>99.06</v>
      </c>
      <c r="O453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 t="shared" si="100"/>
        <v>EXCELENTE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  <c r="M455">
        <v>0</v>
      </c>
      <c r="N455">
        <v>100</v>
      </c>
      <c r="O455">
        <v>17.241379310344829</v>
      </c>
    </row>
    <row r="456" spans="1:15" hidden="1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18</v>
      </c>
      <c r="K456" s="3">
        <f>I456-J456</f>
        <v>7</v>
      </c>
      <c r="L456" s="3" t="str">
        <f t="shared" si="100"/>
        <v>EXCELENTE</v>
      </c>
      <c r="M456">
        <v>18</v>
      </c>
      <c r="N456">
        <v>98.8</v>
      </c>
      <c r="O456">
        <v>15.41353383458646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 t="shared" si="100"/>
        <v>BOM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 t="shared" si="100"/>
        <v>EXCELENTE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 t="shared" si="100"/>
        <v>BOM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 t="shared" si="100"/>
        <v>BOM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  <c r="M461">
        <v>0</v>
      </c>
      <c r="N461">
        <v>0</v>
      </c>
      <c r="O461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>
        <f t="shared" ref="J462:J467" si="102"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 t="shared" ref="K462:K467" si="103">I462-J462</f>
        <v>4</v>
      </c>
      <c r="L462" s="3" t="str">
        <f t="shared" si="100"/>
        <v>BOM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>
        <f t="shared" si="102"/>
        <v>27</v>
      </c>
      <c r="K463" s="3">
        <f t="shared" si="103"/>
        <v>-3</v>
      </c>
      <c r="L463" s="3" t="str">
        <f t="shared" si="100"/>
        <v>ATENÇÃO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>
        <f t="shared" si="102"/>
        <v>15</v>
      </c>
      <c r="K464" s="3">
        <f t="shared" si="103"/>
        <v>2</v>
      </c>
      <c r="L464" s="3" t="str">
        <f t="shared" si="100"/>
        <v>BOM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>
        <f t="shared" si="102"/>
        <v>27</v>
      </c>
      <c r="K465" s="3">
        <f t="shared" si="103"/>
        <v>-2</v>
      </c>
      <c r="L465" s="3" t="str">
        <f t="shared" si="100"/>
        <v>ATENÇÃO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>
        <f t="shared" si="102"/>
        <v>22</v>
      </c>
      <c r="K466" s="3">
        <f t="shared" si="103"/>
        <v>3</v>
      </c>
      <c r="L466" s="3" t="str">
        <f t="shared" si="100"/>
        <v>BOM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>
        <f t="shared" si="102"/>
        <v>22</v>
      </c>
      <c r="K467" s="3">
        <f t="shared" si="103"/>
        <v>4</v>
      </c>
      <c r="L467" s="3" t="str">
        <f t="shared" si="100"/>
        <v>BOM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  <c r="M468">
        <v>0</v>
      </c>
      <c r="N468">
        <v>100</v>
      </c>
      <c r="O468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>
        <f t="shared" ref="J469:J486" si="105"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 t="shared" ref="K469:K486" si="106">I469-J469</f>
        <v>4</v>
      </c>
      <c r="L469" s="3" t="str">
        <f t="shared" si="100"/>
        <v>BOM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>
        <f t="shared" si="105"/>
        <v>27</v>
      </c>
      <c r="K470" s="3">
        <f t="shared" si="106"/>
        <v>5</v>
      </c>
      <c r="L470" s="3" t="str">
        <f t="shared" si="100"/>
        <v>BOM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>
        <f t="shared" si="105"/>
        <v>27</v>
      </c>
      <c r="K471" s="3">
        <f t="shared" si="106"/>
        <v>2</v>
      </c>
      <c r="L471" s="3" t="str">
        <f t="shared" si="100"/>
        <v>BOM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>
        <f t="shared" si="105"/>
        <v>15</v>
      </c>
      <c r="K472" s="3">
        <f t="shared" si="106"/>
        <v>-5</v>
      </c>
      <c r="L472" s="3" t="str">
        <f t="shared" si="100"/>
        <v>ATENÇÃO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>
        <f t="shared" si="105"/>
        <v>22</v>
      </c>
      <c r="K473" s="3">
        <f t="shared" si="106"/>
        <v>-7</v>
      </c>
      <c r="L473" s="3" t="str">
        <f t="shared" si="100"/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>
        <f t="shared" si="105"/>
        <v>15</v>
      </c>
      <c r="K474" s="3">
        <f t="shared" si="106"/>
        <v>-5</v>
      </c>
      <c r="L474" s="3" t="str">
        <f t="shared" si="100"/>
        <v>ATENÇÃO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>
        <f t="shared" si="105"/>
        <v>15</v>
      </c>
      <c r="K475" s="3">
        <f t="shared" si="106"/>
        <v>0</v>
      </c>
      <c r="L475" s="3" t="str">
        <f t="shared" si="100"/>
        <v>BOM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>
        <f t="shared" si="105"/>
        <v>8</v>
      </c>
      <c r="K476" s="3">
        <f t="shared" si="106"/>
        <v>-2</v>
      </c>
      <c r="L476" s="3" t="str">
        <f t="shared" si="100"/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>
        <f t="shared" si="105"/>
        <v>8</v>
      </c>
      <c r="K477" s="3">
        <f t="shared" si="106"/>
        <v>5</v>
      </c>
      <c r="L477" s="3" t="str">
        <f t="shared" si="100"/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>
        <f t="shared" si="105"/>
        <v>8</v>
      </c>
      <c r="K478" s="3">
        <f t="shared" si="106"/>
        <v>-6</v>
      </c>
      <c r="L478" s="3" t="str">
        <f t="shared" si="100"/>
        <v>CRÍTICO</v>
      </c>
      <c r="M478">
        <v>2</v>
      </c>
      <c r="N478">
        <v>100</v>
      </c>
      <c r="O478">
        <v>14.285714285714279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>
        <f t="shared" si="105"/>
        <v>8</v>
      </c>
      <c r="K479" s="3">
        <f t="shared" si="106"/>
        <v>37</v>
      </c>
      <c r="L479" s="3" t="str">
        <f t="shared" si="100"/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>
        <f t="shared" si="105"/>
        <v>8</v>
      </c>
      <c r="K480" s="3">
        <f t="shared" si="106"/>
        <v>-1</v>
      </c>
      <c r="L480" s="3" t="str">
        <f t="shared" si="100"/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>
        <f t="shared" si="105"/>
        <v>8</v>
      </c>
      <c r="K481" s="3">
        <f t="shared" si="106"/>
        <v>5</v>
      </c>
      <c r="L481" s="3" t="str">
        <f t="shared" si="100"/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>
        <f t="shared" si="105"/>
        <v>18</v>
      </c>
      <c r="K482" s="3">
        <f t="shared" si="106"/>
        <v>8</v>
      </c>
      <c r="L482" s="3" t="str">
        <f t="shared" si="100"/>
        <v>EXCELENTE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>
        <f t="shared" si="105"/>
        <v>27</v>
      </c>
      <c r="K483" s="3">
        <f t="shared" si="106"/>
        <v>4</v>
      </c>
      <c r="L483" s="3" t="str">
        <f t="shared" si="100"/>
        <v>BOM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>
        <f t="shared" si="105"/>
        <v>18</v>
      </c>
      <c r="K484" s="3">
        <f t="shared" si="106"/>
        <v>4</v>
      </c>
      <c r="L484" s="3" t="str">
        <f t="shared" si="100"/>
        <v>BOM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>
        <f t="shared" si="105"/>
        <v>27</v>
      </c>
      <c r="K485" s="3">
        <f t="shared" si="106"/>
        <v>-1</v>
      </c>
      <c r="L485" s="3" t="str">
        <f t="shared" si="100"/>
        <v>ATENÇÃO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>
        <f t="shared" si="105"/>
        <v>23</v>
      </c>
      <c r="K486" s="3">
        <f t="shared" si="106"/>
        <v>11</v>
      </c>
      <c r="L486" s="3" t="str">
        <f t="shared" si="100"/>
        <v>EXCELENTE</v>
      </c>
      <c r="M486" s="3">
        <v>17</v>
      </c>
      <c r="N486" s="3">
        <v>98.94</v>
      </c>
      <c r="O486" s="3">
        <v>19.614147909967851</v>
      </c>
    </row>
    <row r="487" spans="1:15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>
        <f t="shared" ref="J488:J495" si="108"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 t="shared" ref="K488:K495" si="109">I488-J488</f>
        <v>11</v>
      </c>
      <c r="L488" s="3" t="str">
        <f t="shared" si="100"/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>
        <f t="shared" si="108"/>
        <v>29</v>
      </c>
      <c r="K489" s="3">
        <f t="shared" si="109"/>
        <v>-9</v>
      </c>
      <c r="L489" s="3" t="str">
        <f t="shared" si="100"/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>
        <f t="shared" si="108"/>
        <v>17</v>
      </c>
      <c r="K490" s="3">
        <f t="shared" si="109"/>
        <v>12</v>
      </c>
      <c r="L490" s="3" t="str">
        <f t="shared" si="100"/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>
        <f t="shared" si="108"/>
        <v>23</v>
      </c>
      <c r="K491" s="3">
        <f t="shared" si="109"/>
        <v>11</v>
      </c>
      <c r="L491" s="3" t="str">
        <f t="shared" si="100"/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>
        <f t="shared" si="108"/>
        <v>23</v>
      </c>
      <c r="K492" s="3">
        <f t="shared" si="109"/>
        <v>11</v>
      </c>
      <c r="L492" s="3" t="str">
        <f t="shared" si="100"/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>
        <f t="shared" si="108"/>
        <v>8</v>
      </c>
      <c r="K493" s="3">
        <f t="shared" si="109"/>
        <v>1</v>
      </c>
      <c r="L493" s="3" t="str">
        <f t="shared" si="100"/>
        <v>BOM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>
        <f t="shared" si="108"/>
        <v>19</v>
      </c>
      <c r="K494" s="3">
        <f t="shared" si="109"/>
        <v>7</v>
      </c>
      <c r="L494" s="3" t="str">
        <f t="shared" si="100"/>
        <v>EXCELENTE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>
        <f t="shared" si="108"/>
        <v>29</v>
      </c>
      <c r="K495" s="3">
        <f t="shared" si="109"/>
        <v>1</v>
      </c>
      <c r="L495" s="3" t="str">
        <f t="shared" si="100"/>
        <v>BOM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  <c r="M496">
        <v>0</v>
      </c>
      <c r="N496">
        <v>98.63</v>
      </c>
      <c r="O496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 t="shared" si="100"/>
        <v>BOM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  <c r="M498">
        <v>0</v>
      </c>
      <c r="N498">
        <v>99.06</v>
      </c>
      <c r="O498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 t="shared" si="100"/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 t="shared" si="100"/>
        <v>BOM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 t="shared" si="100"/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  <c r="M502">
        <v>0</v>
      </c>
      <c r="N502">
        <v>100</v>
      </c>
      <c r="O502">
        <v>17.241379310344829</v>
      </c>
    </row>
    <row r="503" spans="1:15" hidden="1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>
        <f t="shared" ref="J503:J508" si="111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8</v>
      </c>
      <c r="K503" s="3">
        <f t="shared" ref="K503:K508" si="112">I503-J503</f>
        <v>-4</v>
      </c>
      <c r="L503" s="3" t="str">
        <f t="shared" si="100"/>
        <v>ATENÇÃO</v>
      </c>
      <c r="M503">
        <v>3</v>
      </c>
      <c r="N503">
        <v>100</v>
      </c>
      <c r="O503">
        <v>14.285714285714279</v>
      </c>
    </row>
    <row r="504" spans="1:15" hidden="1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>
        <f t="shared" si="111"/>
        <v>19</v>
      </c>
      <c r="K504" s="3">
        <f t="shared" si="112"/>
        <v>5</v>
      </c>
      <c r="L504" s="3" t="str">
        <f t="shared" si="100"/>
        <v>BOM</v>
      </c>
      <c r="M504">
        <v>20</v>
      </c>
      <c r="N504">
        <v>98.8</v>
      </c>
      <c r="O504">
        <v>15.41353383458646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>
        <f t="shared" si="111"/>
        <v>23</v>
      </c>
      <c r="K505" s="3">
        <f t="shared" si="112"/>
        <v>2</v>
      </c>
      <c r="L505" s="3" t="str">
        <f t="shared" si="100"/>
        <v>BOM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>
        <f t="shared" si="111"/>
        <v>29</v>
      </c>
      <c r="K506" s="3">
        <f t="shared" si="112"/>
        <v>13</v>
      </c>
      <c r="L506" s="3" t="str">
        <f t="shared" si="100"/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>
        <f t="shared" si="111"/>
        <v>29</v>
      </c>
      <c r="K507" s="3">
        <f t="shared" si="112"/>
        <v>-15</v>
      </c>
      <c r="L507" s="3" t="str">
        <f t="shared" si="100"/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>
        <f t="shared" si="111"/>
        <v>23</v>
      </c>
      <c r="K508" s="3">
        <f t="shared" si="112"/>
        <v>-1</v>
      </c>
      <c r="L508" s="3" t="str">
        <f t="shared" si="100"/>
        <v>ATENÇÃO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  <c r="M509">
        <v>0</v>
      </c>
      <c r="N509">
        <v>0</v>
      </c>
      <c r="O50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31" si="113">E510+G510+H510</f>
        <v>21</v>
      </c>
      <c r="J510" s="3">
        <f t="shared" ref="J510:J531" si="114"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 t="shared" ref="K510:K531" si="115">I510-J510</f>
        <v>4</v>
      </c>
      <c r="L510" s="3" t="str">
        <f t="shared" si="100"/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>
        <f t="shared" si="114"/>
        <v>29</v>
      </c>
      <c r="K511" s="3">
        <f t="shared" si="115"/>
        <v>3</v>
      </c>
      <c r="L511" s="3" t="str">
        <f t="shared" si="100"/>
        <v>BOM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>
        <f t="shared" si="114"/>
        <v>17</v>
      </c>
      <c r="K512" s="3">
        <f t="shared" si="115"/>
        <v>1</v>
      </c>
      <c r="L512" s="3" t="str">
        <f t="shared" si="100"/>
        <v>BOM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>
        <f t="shared" si="114"/>
        <v>29</v>
      </c>
      <c r="K513" s="3">
        <f t="shared" si="115"/>
        <v>-3</v>
      </c>
      <c r="L513" s="3" t="str">
        <f t="shared" si="100"/>
        <v>ATENÇÃO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>
        <f t="shared" si="114"/>
        <v>23</v>
      </c>
      <c r="K514" s="3">
        <f t="shared" si="115"/>
        <v>5</v>
      </c>
      <c r="L514" s="3" t="str">
        <f t="shared" ref="L514:L577" si="116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>
        <f t="shared" si="114"/>
        <v>23</v>
      </c>
      <c r="K515" s="3">
        <f t="shared" si="115"/>
        <v>-1</v>
      </c>
      <c r="L515" s="3" t="str">
        <f t="shared" si="116"/>
        <v>ATENÇÃO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>
        <f t="shared" si="114"/>
        <v>29</v>
      </c>
      <c r="K516" s="3">
        <f t="shared" si="115"/>
        <v>-9</v>
      </c>
      <c r="L516" s="3" t="str">
        <f t="shared" si="116"/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>
        <f t="shared" si="114"/>
        <v>19</v>
      </c>
      <c r="K517" s="3">
        <f t="shared" si="115"/>
        <v>0</v>
      </c>
      <c r="L517" s="3" t="str">
        <f t="shared" si="116"/>
        <v>BOM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>
        <f t="shared" si="114"/>
        <v>8</v>
      </c>
      <c r="K518" s="3">
        <f t="shared" si="115"/>
        <v>16</v>
      </c>
      <c r="L518" s="3" t="str">
        <f t="shared" si="116"/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>
        <f t="shared" si="114"/>
        <v>29</v>
      </c>
      <c r="K519" s="3">
        <f t="shared" si="115"/>
        <v>4</v>
      </c>
      <c r="L519" s="3" t="str">
        <f t="shared" si="116"/>
        <v>BOM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>
        <f t="shared" si="114"/>
        <v>29</v>
      </c>
      <c r="K520" s="3">
        <f t="shared" si="115"/>
        <v>6</v>
      </c>
      <c r="L520" s="3" t="str">
        <f t="shared" si="116"/>
        <v>EXCELENTE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>
        <f t="shared" si="114"/>
        <v>8</v>
      </c>
      <c r="K521" s="3">
        <f t="shared" si="115"/>
        <v>5</v>
      </c>
      <c r="L521" s="3" t="str">
        <f t="shared" si="116"/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>
        <f t="shared" si="114"/>
        <v>17</v>
      </c>
      <c r="K522" s="3">
        <f t="shared" si="115"/>
        <v>6</v>
      </c>
      <c r="L522" s="3" t="str">
        <f t="shared" si="116"/>
        <v>EXCELENTE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>
        <f t="shared" si="114"/>
        <v>23</v>
      </c>
      <c r="K523" s="3">
        <f t="shared" si="115"/>
        <v>0</v>
      </c>
      <c r="L523" s="3" t="str">
        <f t="shared" si="116"/>
        <v>BOM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>
        <f t="shared" si="114"/>
        <v>17</v>
      </c>
      <c r="K524" s="3">
        <f t="shared" si="115"/>
        <v>-4</v>
      </c>
      <c r="L524" s="3" t="str">
        <f t="shared" si="116"/>
        <v>ATENÇÃO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>
        <f t="shared" si="114"/>
        <v>17</v>
      </c>
      <c r="K525" s="3">
        <f t="shared" si="115"/>
        <v>0</v>
      </c>
      <c r="L525" s="3" t="str">
        <f t="shared" si="116"/>
        <v>BOM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>
        <f t="shared" si="114"/>
        <v>8</v>
      </c>
      <c r="K526" s="3">
        <f t="shared" si="115"/>
        <v>11</v>
      </c>
      <c r="L526" s="3" t="str">
        <f t="shared" si="116"/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>
        <f t="shared" si="114"/>
        <v>19</v>
      </c>
      <c r="K527" s="3">
        <f t="shared" si="115"/>
        <v>14</v>
      </c>
      <c r="L527" s="3" t="str">
        <f t="shared" si="116"/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>
        <f t="shared" si="114"/>
        <v>29</v>
      </c>
      <c r="K528" s="3">
        <f t="shared" si="115"/>
        <v>9</v>
      </c>
      <c r="L528" s="3" t="str">
        <f t="shared" si="116"/>
        <v>EXCELENTE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>
        <f t="shared" si="114"/>
        <v>19</v>
      </c>
      <c r="K529" s="3">
        <f t="shared" si="115"/>
        <v>-1</v>
      </c>
      <c r="L529" s="3" t="str">
        <f t="shared" si="116"/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>
        <f t="shared" si="114"/>
        <v>29</v>
      </c>
      <c r="K530" s="3">
        <f t="shared" si="115"/>
        <v>-2</v>
      </c>
      <c r="L530" s="3" t="str">
        <f t="shared" si="116"/>
        <v>ATENÇÃO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113"/>
        <v>31</v>
      </c>
      <c r="J531" s="3">
        <f t="shared" si="114"/>
        <v>21</v>
      </c>
      <c r="K531" s="3">
        <f t="shared" si="115"/>
        <v>10</v>
      </c>
      <c r="L531" s="3" t="str">
        <f t="shared" ref="L531:L562" si="117"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 t="shared" si="117"/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ref="I533:I540" si="118">E533+G533+H533</f>
        <v>26</v>
      </c>
      <c r="J533" s="3">
        <f t="shared" ref="J533:J540" si="119"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 t="shared" ref="K533:K540" si="120">I533-J533</f>
        <v>9</v>
      </c>
      <c r="L533" s="3" t="str">
        <f t="shared" si="117"/>
        <v>MUITO BOM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118"/>
        <v>22</v>
      </c>
      <c r="J534" s="3">
        <f t="shared" si="119"/>
        <v>26</v>
      </c>
      <c r="K534" s="3">
        <f t="shared" si="120"/>
        <v>-4</v>
      </c>
      <c r="L534" s="3" t="str">
        <f t="shared" si="117"/>
        <v>ATENÇÃO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118"/>
        <v>33</v>
      </c>
      <c r="J535" s="3">
        <f t="shared" si="119"/>
        <v>15</v>
      </c>
      <c r="K535" s="3">
        <f t="shared" si="120"/>
        <v>18</v>
      </c>
      <c r="L535" s="3" t="str">
        <f t="shared" si="117"/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118"/>
        <v>25</v>
      </c>
      <c r="J536" s="3">
        <f t="shared" si="119"/>
        <v>21</v>
      </c>
      <c r="K536" s="3">
        <f t="shared" si="120"/>
        <v>4</v>
      </c>
      <c r="L536" s="3" t="str">
        <f t="shared" si="117"/>
        <v>OPORTUNO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118"/>
        <v>27</v>
      </c>
      <c r="J537" s="3">
        <f t="shared" si="119"/>
        <v>21</v>
      </c>
      <c r="K537" s="3">
        <f t="shared" si="120"/>
        <v>6</v>
      </c>
      <c r="L537" s="3" t="str">
        <f t="shared" si="117"/>
        <v>MUITO BOM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118"/>
        <v>10</v>
      </c>
      <c r="J538" s="3">
        <f t="shared" si="119"/>
        <v>7</v>
      </c>
      <c r="K538" s="3">
        <f t="shared" si="120"/>
        <v>3</v>
      </c>
      <c r="L538" s="3" t="str">
        <f t="shared" si="117"/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118"/>
        <v>24</v>
      </c>
      <c r="J539" s="3">
        <f t="shared" si="119"/>
        <v>17</v>
      </c>
      <c r="K539" s="3">
        <f t="shared" si="120"/>
        <v>7</v>
      </c>
      <c r="L539" s="3" t="str">
        <f t="shared" si="117"/>
        <v>MUITO BOM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118"/>
        <v>26</v>
      </c>
      <c r="J540" s="3">
        <f t="shared" si="119"/>
        <v>26</v>
      </c>
      <c r="K540" s="3">
        <f t="shared" si="120"/>
        <v>0</v>
      </c>
      <c r="L540" s="3" t="str">
        <f t="shared" si="117"/>
        <v>OPORTUNO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 t="shared" si="117"/>
        <v>OPORTUNO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 t="shared" si="117"/>
        <v>ATENÇÃO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 t="shared" si="117"/>
        <v>OPORTUNO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 t="shared" si="117"/>
        <v>ATENÇÃO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 t="shared" si="117"/>
        <v>MUITO BOM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 t="shared" si="117"/>
        <v>OPORTUNO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 t="shared" si="117"/>
        <v>OPORTUNO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ref="I548:I553" si="121">E548+G548+H548</f>
        <v>7</v>
      </c>
      <c r="J548" s="3">
        <f t="shared" ref="J548:J553" si="122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7</v>
      </c>
      <c r="K548" s="3">
        <f t="shared" ref="K548:K553" si="123">I548-J548</f>
        <v>0</v>
      </c>
      <c r="L548" s="3" t="str">
        <f t="shared" si="117"/>
        <v>OPORTUNO</v>
      </c>
      <c r="M548" s="9">
        <v>6</v>
      </c>
      <c r="N548" s="9">
        <v>100</v>
      </c>
      <c r="O548" s="9">
        <v>14.285714285714279</v>
      </c>
    </row>
    <row r="549" spans="1:15" hidden="1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121"/>
        <v>27</v>
      </c>
      <c r="J549" s="3">
        <f t="shared" si="122"/>
        <v>17</v>
      </c>
      <c r="K549" s="3">
        <f t="shared" si="123"/>
        <v>10</v>
      </c>
      <c r="L549" s="3" t="str">
        <f t="shared" si="117"/>
        <v>MUITO BOM</v>
      </c>
      <c r="M549" s="9">
        <v>21</v>
      </c>
      <c r="N549" s="9">
        <v>98.8</v>
      </c>
      <c r="O549" s="9">
        <v>15.41353383458646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121"/>
        <v>25</v>
      </c>
      <c r="J550" s="3">
        <f t="shared" si="122"/>
        <v>21</v>
      </c>
      <c r="K550" s="3">
        <f t="shared" si="123"/>
        <v>4</v>
      </c>
      <c r="L550" s="3" t="str">
        <f t="shared" si="117"/>
        <v>OPORTUNO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121"/>
        <v>38</v>
      </c>
      <c r="J551" s="3">
        <f t="shared" si="122"/>
        <v>26</v>
      </c>
      <c r="K551" s="3">
        <f t="shared" si="123"/>
        <v>12</v>
      </c>
      <c r="L551" s="3" t="str">
        <f t="shared" si="117"/>
        <v>MUITO BOM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121"/>
        <v>23</v>
      </c>
      <c r="J552" s="3">
        <f t="shared" si="122"/>
        <v>26</v>
      </c>
      <c r="K552" s="3">
        <f t="shared" si="123"/>
        <v>-3</v>
      </c>
      <c r="L552" s="3" t="str">
        <f t="shared" si="117"/>
        <v>ATENÇÃO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121"/>
        <v>26</v>
      </c>
      <c r="J553" s="3">
        <f t="shared" si="122"/>
        <v>21</v>
      </c>
      <c r="K553" s="3">
        <f t="shared" si="123"/>
        <v>5</v>
      </c>
      <c r="L553" s="3" t="str">
        <f t="shared" si="117"/>
        <v>OPORTUNO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 t="shared" si="117"/>
        <v>OPORTUNO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ref="I555:I567" si="124">E555+G555+H555</f>
        <v>20</v>
      </c>
      <c r="J555" s="3">
        <f t="shared" ref="J555:J567" si="125"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 t="shared" ref="K555:K567" si="126">I555-J555</f>
        <v>5</v>
      </c>
      <c r="L555" s="3" t="str">
        <f t="shared" si="117"/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124"/>
        <v>17</v>
      </c>
      <c r="J556" s="3">
        <f t="shared" si="125"/>
        <v>26</v>
      </c>
      <c r="K556" s="3">
        <f t="shared" si="126"/>
        <v>-9</v>
      </c>
      <c r="L556" s="3" t="str">
        <f t="shared" si="117"/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124"/>
        <v>12</v>
      </c>
      <c r="J557" s="3">
        <f t="shared" si="125"/>
        <v>15</v>
      </c>
      <c r="K557" s="3">
        <f t="shared" si="126"/>
        <v>-3</v>
      </c>
      <c r="L557" s="3" t="str">
        <f t="shared" si="117"/>
        <v>ATENÇÃO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124"/>
        <v>29</v>
      </c>
      <c r="J558" s="3">
        <f t="shared" si="125"/>
        <v>26</v>
      </c>
      <c r="K558" s="3">
        <f t="shared" si="126"/>
        <v>3</v>
      </c>
      <c r="L558" s="3" t="str">
        <f t="shared" si="117"/>
        <v>OPORTUNO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124"/>
        <v>25</v>
      </c>
      <c r="J559" s="3">
        <f t="shared" si="125"/>
        <v>21</v>
      </c>
      <c r="K559" s="3">
        <f t="shared" si="126"/>
        <v>4</v>
      </c>
      <c r="L559" s="3" t="str">
        <f t="shared" si="117"/>
        <v>OPORTUNO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124"/>
        <v>13</v>
      </c>
      <c r="J560" s="3">
        <f t="shared" si="125"/>
        <v>21</v>
      </c>
      <c r="K560" s="3">
        <f t="shared" si="126"/>
        <v>-8</v>
      </c>
      <c r="L560" s="3" t="str">
        <f t="shared" si="117"/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124"/>
        <v>21</v>
      </c>
      <c r="J561" s="3">
        <f t="shared" si="125"/>
        <v>26</v>
      </c>
      <c r="K561" s="3">
        <f t="shared" si="126"/>
        <v>-5</v>
      </c>
      <c r="L561" s="3" t="str">
        <f t="shared" si="117"/>
        <v>ATENÇÃO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124"/>
        <v>18</v>
      </c>
      <c r="J562" s="3">
        <f t="shared" si="125"/>
        <v>17</v>
      </c>
      <c r="K562" s="3">
        <f t="shared" si="126"/>
        <v>1</v>
      </c>
      <c r="L562" s="3" t="str">
        <f t="shared" si="117"/>
        <v>OPORTUNO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124"/>
        <v>10</v>
      </c>
      <c r="J563" s="3">
        <f t="shared" si="125"/>
        <v>7</v>
      </c>
      <c r="K563" s="3">
        <f t="shared" si="126"/>
        <v>3</v>
      </c>
      <c r="L563" s="3" t="str">
        <f t="shared" ref="L563:L594" si="127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124"/>
        <v>25</v>
      </c>
      <c r="J564" s="3">
        <f t="shared" si="125"/>
        <v>26</v>
      </c>
      <c r="K564" s="3">
        <f t="shared" si="126"/>
        <v>-1</v>
      </c>
      <c r="L564" s="3" t="str">
        <f t="shared" si="127"/>
        <v>ATENÇÃO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124"/>
        <v>27</v>
      </c>
      <c r="J565" s="3">
        <f t="shared" si="125"/>
        <v>26</v>
      </c>
      <c r="K565" s="3">
        <f t="shared" si="126"/>
        <v>1</v>
      </c>
      <c r="L565" s="3" t="str">
        <f t="shared" si="127"/>
        <v>OPORTUNO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124"/>
        <v>17</v>
      </c>
      <c r="J566" s="3">
        <f t="shared" si="125"/>
        <v>7</v>
      </c>
      <c r="K566" s="3">
        <f t="shared" si="126"/>
        <v>10</v>
      </c>
      <c r="L566" s="3" t="str">
        <f t="shared" si="127"/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124"/>
        <v>21</v>
      </c>
      <c r="J567" s="3">
        <f t="shared" si="125"/>
        <v>15</v>
      </c>
      <c r="K567" s="3">
        <f t="shared" si="126"/>
        <v>6</v>
      </c>
      <c r="L567" s="3" t="str">
        <f t="shared" si="127"/>
        <v>MUITO BOM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 t="shared" si="127"/>
        <v>OPORTUNO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ref="I569:I585" si="128">E569+G569+H569</f>
        <v>14</v>
      </c>
      <c r="J569" s="3">
        <f t="shared" ref="J569:J585" si="129"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 t="shared" ref="K569:K585" si="130">I569-J569</f>
        <v>-1</v>
      </c>
      <c r="L569" s="3" t="str">
        <f t="shared" si="127"/>
        <v>ATENÇÃO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128"/>
        <v>15</v>
      </c>
      <c r="J570" s="3">
        <f t="shared" si="129"/>
        <v>15</v>
      </c>
      <c r="K570" s="3">
        <f t="shared" si="130"/>
        <v>0</v>
      </c>
      <c r="L570" s="3" t="str">
        <f t="shared" si="127"/>
        <v>OPORTUNO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128"/>
        <v>15</v>
      </c>
      <c r="J571" s="3">
        <f t="shared" si="129"/>
        <v>7</v>
      </c>
      <c r="K571" s="3">
        <f t="shared" si="130"/>
        <v>8</v>
      </c>
      <c r="L571" s="3" t="str">
        <f t="shared" si="127"/>
        <v>MUITO BOM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128"/>
        <v>25</v>
      </c>
      <c r="J572" s="3">
        <f t="shared" si="129"/>
        <v>17</v>
      </c>
      <c r="K572" s="3">
        <f t="shared" si="130"/>
        <v>8</v>
      </c>
      <c r="L572" s="3" t="str">
        <f t="shared" si="127"/>
        <v>MUITO BOM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128"/>
        <v>33</v>
      </c>
      <c r="J573" s="3">
        <f t="shared" si="129"/>
        <v>26</v>
      </c>
      <c r="K573" s="3">
        <f t="shared" si="130"/>
        <v>7</v>
      </c>
      <c r="L573" s="3" t="str">
        <f t="shared" si="127"/>
        <v>MUITO BOM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si="128"/>
        <v>18</v>
      </c>
      <c r="J574" s="3">
        <f t="shared" si="129"/>
        <v>17</v>
      </c>
      <c r="K574" s="3">
        <f t="shared" si="130"/>
        <v>1</v>
      </c>
      <c r="L574" s="3" t="str">
        <f t="shared" si="127"/>
        <v>OPORTUNO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128"/>
        <v>24</v>
      </c>
      <c r="J575" s="3">
        <f t="shared" si="129"/>
        <v>26</v>
      </c>
      <c r="K575" s="3">
        <f t="shared" si="130"/>
        <v>-2</v>
      </c>
      <c r="L575" s="3" t="str">
        <f t="shared" si="127"/>
        <v>ATENÇÃO</v>
      </c>
      <c r="M575" s="9">
        <v>21</v>
      </c>
      <c r="N575" s="9">
        <v>97.33</v>
      </c>
      <c r="O575" s="9">
        <v>15.805471124620061</v>
      </c>
    </row>
    <row r="576" spans="1:15" hidden="1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128"/>
        <v>20</v>
      </c>
      <c r="J576" s="3">
        <f t="shared" si="129"/>
        <v>18</v>
      </c>
      <c r="K576" s="3">
        <f t="shared" si="130"/>
        <v>2</v>
      </c>
      <c r="L576" s="3" t="str">
        <f t="shared" si="127"/>
        <v>OPORTUNO</v>
      </c>
      <c r="M576" s="3">
        <v>17</v>
      </c>
      <c r="N576" s="3">
        <v>98.94</v>
      </c>
      <c r="O576" s="3">
        <v>19.614147909967851</v>
      </c>
    </row>
    <row r="577" spans="1:15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f t="shared" si="128"/>
        <v>0</v>
      </c>
      <c r="J577" s="3">
        <v>0</v>
      </c>
      <c r="K577" s="3">
        <f t="shared" si="130"/>
        <v>0</v>
      </c>
      <c r="L577" s="3" t="str">
        <f t="shared" si="127"/>
        <v>OPORTUNO</v>
      </c>
      <c r="M577" s="3">
        <v>0</v>
      </c>
      <c r="N577" s="3">
        <v>100</v>
      </c>
      <c r="O577" s="3">
        <v>0</v>
      </c>
    </row>
    <row r="578" spans="1:15" hidden="1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28"/>
        <v>23</v>
      </c>
      <c r="J578" s="3">
        <f t="shared" si="129"/>
        <v>15</v>
      </c>
      <c r="K578" s="3">
        <f t="shared" si="130"/>
        <v>8</v>
      </c>
      <c r="L578" s="3" t="str">
        <f t="shared" si="127"/>
        <v>MUITO BOM</v>
      </c>
      <c r="M578" s="3">
        <v>21</v>
      </c>
      <c r="N578" s="3">
        <v>95.38</v>
      </c>
      <c r="O578" s="3">
        <v>21.5962441314554</v>
      </c>
    </row>
    <row r="579" spans="1:15" hidden="1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128"/>
        <v>15</v>
      </c>
      <c r="J579" s="3">
        <f t="shared" si="129"/>
        <v>22</v>
      </c>
      <c r="K579" s="3">
        <f t="shared" si="130"/>
        <v>-7</v>
      </c>
      <c r="L579" s="3" t="str">
        <f t="shared" si="127"/>
        <v>CRÍTICO</v>
      </c>
      <c r="M579" s="3">
        <v>13</v>
      </c>
      <c r="N579" s="3">
        <v>96.34</v>
      </c>
      <c r="O579" s="3">
        <v>17.571884984025559</v>
      </c>
    </row>
    <row r="580" spans="1:15" hidden="1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28"/>
        <v>22</v>
      </c>
      <c r="J580" s="3">
        <f t="shared" si="129"/>
        <v>13</v>
      </c>
      <c r="K580" s="3">
        <f t="shared" si="130"/>
        <v>9</v>
      </c>
      <c r="L580" s="3" t="str">
        <f t="shared" si="127"/>
        <v>MUITO BOM</v>
      </c>
      <c r="M580" s="3">
        <v>20</v>
      </c>
      <c r="N580" s="3">
        <v>99.11</v>
      </c>
      <c r="O580" s="3">
        <v>17.721518987341771</v>
      </c>
    </row>
    <row r="581" spans="1:15" hidden="1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28"/>
        <v>31</v>
      </c>
      <c r="J581" s="3">
        <f t="shared" si="129"/>
        <v>18</v>
      </c>
      <c r="K581" s="3">
        <f t="shared" si="130"/>
        <v>13</v>
      </c>
      <c r="L581" s="3" t="str">
        <f t="shared" si="127"/>
        <v>MUITO BOM</v>
      </c>
      <c r="M581" s="3">
        <v>28</v>
      </c>
      <c r="N581" s="3">
        <v>99.13</v>
      </c>
      <c r="O581" s="3">
        <v>14.7239263803681</v>
      </c>
    </row>
    <row r="582" spans="1:15" hidden="1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28"/>
        <v>23</v>
      </c>
      <c r="J582" s="3">
        <f t="shared" si="129"/>
        <v>18</v>
      </c>
      <c r="K582" s="3">
        <f t="shared" si="130"/>
        <v>5</v>
      </c>
      <c r="L582" s="3" t="str">
        <f t="shared" si="127"/>
        <v>OPORTUNO</v>
      </c>
      <c r="M582" s="3">
        <v>21</v>
      </c>
      <c r="N582" s="3">
        <v>98.8</v>
      </c>
      <c r="O582" s="3">
        <v>16.897506925207761</v>
      </c>
    </row>
    <row r="583" spans="1:15" hidden="1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28"/>
        <v>6</v>
      </c>
      <c r="J583" s="3">
        <f t="shared" si="129"/>
        <v>6</v>
      </c>
      <c r="K583" s="3">
        <f t="shared" si="130"/>
        <v>0</v>
      </c>
      <c r="L583" s="3" t="str">
        <f t="shared" si="127"/>
        <v>OPORTUNO</v>
      </c>
      <c r="M583" s="3">
        <v>4</v>
      </c>
      <c r="N583" s="3">
        <v>96.43</v>
      </c>
      <c r="O583" s="3">
        <v>20</v>
      </c>
    </row>
    <row r="584" spans="1:15" hidden="1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128"/>
        <v>22</v>
      </c>
      <c r="J584" s="3">
        <f t="shared" si="129"/>
        <v>15</v>
      </c>
      <c r="K584" s="3">
        <f t="shared" si="130"/>
        <v>7</v>
      </c>
      <c r="L584" s="3" t="str">
        <f t="shared" si="127"/>
        <v>MUITO BOM</v>
      </c>
      <c r="M584" s="3">
        <v>17</v>
      </c>
      <c r="N584" s="3">
        <v>96.88</v>
      </c>
      <c r="O584" s="3">
        <v>19.526627218934909</v>
      </c>
    </row>
    <row r="585" spans="1:15" hidden="1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28"/>
        <v>22</v>
      </c>
      <c r="J585" s="3">
        <f t="shared" si="129"/>
        <v>22</v>
      </c>
      <c r="K585" s="3">
        <f t="shared" si="130"/>
        <v>0</v>
      </c>
      <c r="L585" s="3" t="str">
        <f t="shared" si="127"/>
        <v>OPORTUNO</v>
      </c>
      <c r="M585" s="3">
        <v>20</v>
      </c>
      <c r="N585" s="3">
        <v>91.85</v>
      </c>
      <c r="O585" s="3">
        <v>20.87155963302752</v>
      </c>
    </row>
    <row r="586" spans="1:15" hidden="1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 t="shared" si="127"/>
        <v>OPORTUNO</v>
      </c>
      <c r="M586" s="3">
        <v>0</v>
      </c>
      <c r="N586" s="3">
        <v>98.63</v>
      </c>
      <c r="O586" s="3">
        <v>18.75</v>
      </c>
    </row>
    <row r="587" spans="1:15" hidden="1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 t="shared" si="127"/>
        <v>OPORTUNO</v>
      </c>
      <c r="M587" s="3">
        <v>14</v>
      </c>
      <c r="N587" s="3">
        <v>100</v>
      </c>
      <c r="O587" s="3">
        <v>18.14516129032258</v>
      </c>
    </row>
    <row r="588" spans="1:15" hidden="1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127"/>
        <v>OPORTUNO</v>
      </c>
      <c r="M588" s="3">
        <v>0</v>
      </c>
      <c r="N588" s="3">
        <v>99.06</v>
      </c>
      <c r="O588" s="3">
        <v>22.95719844357977</v>
      </c>
    </row>
    <row r="589" spans="1:15" hidden="1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 t="shared" si="127"/>
        <v>OPORTUNO</v>
      </c>
      <c r="M589" s="3">
        <v>6</v>
      </c>
      <c r="N589" s="3">
        <v>100</v>
      </c>
      <c r="O589" s="3">
        <v>29.032258064516132</v>
      </c>
    </row>
    <row r="590" spans="1:15" hidden="1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 t="shared" si="127"/>
        <v>MUITO BOM</v>
      </c>
      <c r="M590" s="3">
        <v>25</v>
      </c>
      <c r="N590" s="3">
        <v>100</v>
      </c>
      <c r="O590" s="3">
        <v>13.8121546961326</v>
      </c>
    </row>
    <row r="591" spans="1:15" hidden="1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 t="shared" si="127"/>
        <v>OPORTUNO</v>
      </c>
      <c r="M591" s="3">
        <v>0</v>
      </c>
      <c r="N591" s="3">
        <v>100</v>
      </c>
      <c r="O591" s="3">
        <v>9.5238095238095237</v>
      </c>
    </row>
    <row r="592" spans="1:15" hidden="1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 t="shared" si="127"/>
        <v>OPORTUNO</v>
      </c>
      <c r="M592" s="3">
        <v>0</v>
      </c>
      <c r="N592" s="3">
        <v>100</v>
      </c>
      <c r="O592" s="3">
        <v>17.241379310344829</v>
      </c>
    </row>
    <row r="593" spans="1:15" hidden="1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 t="shared" si="127"/>
        <v>OPORTUNO</v>
      </c>
      <c r="M593" s="3">
        <v>0</v>
      </c>
      <c r="N593" s="3">
        <v>100</v>
      </c>
      <c r="O593" s="3">
        <v>14.285714285714279</v>
      </c>
    </row>
    <row r="594" spans="1:15" hidden="1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>E594+G594+H594</f>
        <v>18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15</v>
      </c>
      <c r="K594" s="3">
        <f>I594-J594</f>
        <v>3</v>
      </c>
      <c r="L594" s="3" t="str">
        <f t="shared" si="127"/>
        <v>OPORTUNO</v>
      </c>
      <c r="M594" s="3">
        <v>15</v>
      </c>
      <c r="N594" s="3">
        <v>98.8</v>
      </c>
      <c r="O594" s="3">
        <v>15.41353383458646</v>
      </c>
    </row>
    <row r="595" spans="1:15" hidden="1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 t="shared" ref="L595:L626" si="131"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hidden="1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 t="shared" si="131"/>
        <v>MUITO BOM</v>
      </c>
      <c r="M596" s="3">
        <v>28</v>
      </c>
      <c r="N596" s="3">
        <v>98.64</v>
      </c>
      <c r="O596" s="3">
        <v>16.638370118845501</v>
      </c>
    </row>
    <row r="597" spans="1:15" hidden="1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 t="shared" si="131"/>
        <v>CRÍTICO</v>
      </c>
      <c r="M597" s="3">
        <v>10</v>
      </c>
      <c r="N597" s="3">
        <v>95.4</v>
      </c>
      <c r="O597" s="3">
        <v>20.533333333333331</v>
      </c>
    </row>
    <row r="598" spans="1:15" hidden="1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 t="shared" si="131"/>
        <v>ATENÇÃO</v>
      </c>
      <c r="M598" s="3">
        <v>14</v>
      </c>
      <c r="N598" s="3">
        <v>98.61</v>
      </c>
      <c r="O598" s="3">
        <v>16.97530864197531</v>
      </c>
    </row>
    <row r="599" spans="1:15" hidden="1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 t="shared" si="131"/>
        <v>OPORTUNO</v>
      </c>
      <c r="M599" s="3">
        <v>0</v>
      </c>
      <c r="N599" s="3">
        <v>0</v>
      </c>
      <c r="O599" s="3">
        <v>0</v>
      </c>
    </row>
    <row r="600" spans="1:15" hidden="1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ref="I600:I612" si="132">E600+G600+H600</f>
        <v>14</v>
      </c>
      <c r="J600" s="3">
        <f t="shared" ref="J600:J612" si="133"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 t="shared" ref="K600:K612" si="134">I600-J600</f>
        <v>1</v>
      </c>
      <c r="L600" s="3" t="str">
        <f t="shared" si="131"/>
        <v>OPORTUNO</v>
      </c>
      <c r="M600" s="3">
        <v>15</v>
      </c>
      <c r="N600" s="3">
        <v>97.01</v>
      </c>
      <c r="O600" s="3">
        <v>13.961038961038961</v>
      </c>
    </row>
    <row r="601" spans="1:15" hidden="1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32"/>
        <v>21</v>
      </c>
      <c r="J601" s="3">
        <f t="shared" si="133"/>
        <v>22</v>
      </c>
      <c r="K601" s="3">
        <f t="shared" si="134"/>
        <v>-1</v>
      </c>
      <c r="L601" s="3" t="str">
        <f t="shared" si="131"/>
        <v>ATENÇÃO</v>
      </c>
      <c r="M601" s="3">
        <v>21</v>
      </c>
      <c r="N601" s="3">
        <v>95.52</v>
      </c>
      <c r="O601" s="3">
        <v>10.561056105610559</v>
      </c>
    </row>
    <row r="602" spans="1:15" hidden="1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132"/>
        <v>12</v>
      </c>
      <c r="J602" s="3">
        <f t="shared" si="133"/>
        <v>13</v>
      </c>
      <c r="K602" s="3">
        <f t="shared" si="134"/>
        <v>-1</v>
      </c>
      <c r="L602" s="3" t="str">
        <f t="shared" si="131"/>
        <v>ATENÇÃO</v>
      </c>
      <c r="M602" s="3">
        <v>10</v>
      </c>
      <c r="N602" s="3">
        <v>100</v>
      </c>
      <c r="O602" s="3">
        <v>16.959064327485379</v>
      </c>
    </row>
    <row r="603" spans="1:15" hidden="1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132"/>
        <v>21</v>
      </c>
      <c r="J603" s="3">
        <f t="shared" si="133"/>
        <v>22</v>
      </c>
      <c r="K603" s="3">
        <f t="shared" si="134"/>
        <v>-1</v>
      </c>
      <c r="L603" s="3" t="str">
        <f t="shared" si="131"/>
        <v>ATENÇÃO</v>
      </c>
      <c r="M603" s="3">
        <v>20</v>
      </c>
      <c r="N603" s="3">
        <v>100</v>
      </c>
      <c r="O603" s="3">
        <v>15.584415584415581</v>
      </c>
    </row>
    <row r="604" spans="1:15" hidden="1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132"/>
        <v>19</v>
      </c>
      <c r="J604" s="3">
        <f t="shared" si="133"/>
        <v>18</v>
      </c>
      <c r="K604" s="3">
        <f t="shared" si="134"/>
        <v>1</v>
      </c>
      <c r="L604" s="3" t="str">
        <f t="shared" si="131"/>
        <v>OPORTUNO</v>
      </c>
      <c r="M604" s="3">
        <v>17</v>
      </c>
      <c r="N604" s="3">
        <v>98.61</v>
      </c>
      <c r="O604" s="3">
        <v>16.867469879518069</v>
      </c>
    </row>
    <row r="605" spans="1:15" hidden="1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32"/>
        <v>15</v>
      </c>
      <c r="J605" s="3">
        <f t="shared" si="133"/>
        <v>18</v>
      </c>
      <c r="K605" s="3">
        <f t="shared" si="134"/>
        <v>-3</v>
      </c>
      <c r="L605" s="3" t="str">
        <f t="shared" si="131"/>
        <v>ATENÇÃO</v>
      </c>
      <c r="M605" s="3">
        <v>15</v>
      </c>
      <c r="N605" s="3">
        <v>100</v>
      </c>
      <c r="O605" s="3">
        <v>20.820189274447952</v>
      </c>
    </row>
    <row r="606" spans="1:15" hidden="1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si="132"/>
        <v>27</v>
      </c>
      <c r="J606" s="3">
        <f t="shared" si="133"/>
        <v>22</v>
      </c>
      <c r="K606" s="3">
        <f t="shared" si="134"/>
        <v>5</v>
      </c>
      <c r="L606" s="3" t="str">
        <f t="shared" si="131"/>
        <v>OPORTUNO</v>
      </c>
      <c r="M606" s="3">
        <v>18</v>
      </c>
      <c r="N606" s="3">
        <v>100</v>
      </c>
      <c r="O606" s="3">
        <v>4.3478260869565224</v>
      </c>
    </row>
    <row r="607" spans="1:15" hidden="1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32"/>
        <v>20</v>
      </c>
      <c r="J607" s="3">
        <f t="shared" si="133"/>
        <v>15</v>
      </c>
      <c r="K607" s="3">
        <f t="shared" si="134"/>
        <v>5</v>
      </c>
      <c r="L607" s="3" t="str">
        <f t="shared" si="131"/>
        <v>OPORTUNO</v>
      </c>
      <c r="M607" s="3">
        <v>21</v>
      </c>
      <c r="N607" s="3">
        <v>93.26</v>
      </c>
      <c r="O607" s="3">
        <v>19.93957703927493</v>
      </c>
    </row>
    <row r="608" spans="1:15" hidden="1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32"/>
        <v>12</v>
      </c>
      <c r="J608" s="3">
        <f t="shared" si="133"/>
        <v>6</v>
      </c>
      <c r="K608" s="3">
        <f t="shared" si="134"/>
        <v>6</v>
      </c>
      <c r="L608" s="3" t="str">
        <f t="shared" si="131"/>
        <v>MUITO BOM</v>
      </c>
      <c r="M608" s="3">
        <v>8</v>
      </c>
      <c r="N608" s="3">
        <v>100</v>
      </c>
      <c r="O608" s="3">
        <v>11.864406779661021</v>
      </c>
    </row>
    <row r="609" spans="1:15" hidden="1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32"/>
        <v>30</v>
      </c>
      <c r="J609" s="3">
        <f t="shared" si="133"/>
        <v>22</v>
      </c>
      <c r="K609" s="3">
        <f t="shared" si="134"/>
        <v>8</v>
      </c>
      <c r="L609" s="3" t="str">
        <f t="shared" si="131"/>
        <v>MUITO BOM</v>
      </c>
      <c r="M609" s="3">
        <v>15</v>
      </c>
      <c r="N609" s="3">
        <v>98.28</v>
      </c>
      <c r="O609" s="3">
        <v>9.037900874635568</v>
      </c>
    </row>
    <row r="610" spans="1:15" hidden="1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32"/>
        <v>25</v>
      </c>
      <c r="J610" s="3">
        <f t="shared" si="133"/>
        <v>22</v>
      </c>
      <c r="K610" s="3">
        <f t="shared" si="134"/>
        <v>3</v>
      </c>
      <c r="L610" s="3" t="str">
        <f t="shared" si="131"/>
        <v>OPORTUNO</v>
      </c>
      <c r="M610" s="3">
        <v>21</v>
      </c>
      <c r="N610" s="3">
        <v>97.22</v>
      </c>
      <c r="O610" s="3">
        <v>19.095477386934672</v>
      </c>
    </row>
    <row r="611" spans="1:15" hidden="1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32"/>
        <v>13</v>
      </c>
      <c r="J611" s="3">
        <f t="shared" si="133"/>
        <v>6</v>
      </c>
      <c r="K611" s="3">
        <f t="shared" si="134"/>
        <v>7</v>
      </c>
      <c r="L611" s="3" t="str">
        <f t="shared" si="131"/>
        <v>MUITO BOM</v>
      </c>
      <c r="M611" s="3">
        <v>8</v>
      </c>
      <c r="N611" s="3">
        <v>100</v>
      </c>
      <c r="O611" s="3">
        <v>16.814159292035399</v>
      </c>
    </row>
    <row r="612" spans="1:15" hidden="1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132"/>
        <v>18</v>
      </c>
      <c r="J612" s="3">
        <f t="shared" si="133"/>
        <v>13</v>
      </c>
      <c r="K612" s="3">
        <f t="shared" si="134"/>
        <v>5</v>
      </c>
      <c r="L612" s="3" t="str">
        <f t="shared" si="131"/>
        <v>OPORTUNO</v>
      </c>
      <c r="M612" s="3">
        <v>16</v>
      </c>
      <c r="N612" s="3">
        <v>98</v>
      </c>
      <c r="O612" s="3">
        <v>16.43835616438356</v>
      </c>
    </row>
    <row r="613" spans="1:15" hidden="1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 t="shared" si="131"/>
        <v>OPORTUNO</v>
      </c>
      <c r="M613" s="3">
        <v>0</v>
      </c>
      <c r="N613" s="3">
        <v>100</v>
      </c>
      <c r="O613" s="3">
        <v>16.894977168949769</v>
      </c>
    </row>
    <row r="614" spans="1:15" hidden="1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ref="I614:I630" si="135">E614+G614+H614</f>
        <v>10</v>
      </c>
      <c r="J614" s="3">
        <f t="shared" ref="J614:J630" si="136"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 t="shared" ref="K614:K630" si="137">I614-J614</f>
        <v>-3</v>
      </c>
      <c r="L614" s="3" t="str">
        <f t="shared" si="131"/>
        <v>ATENÇÃO</v>
      </c>
      <c r="M614" s="3">
        <v>12</v>
      </c>
      <c r="N614" s="3">
        <v>100</v>
      </c>
      <c r="O614" s="3">
        <v>19.138755980861241</v>
      </c>
    </row>
    <row r="615" spans="1:15" hidden="1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135"/>
        <v>14</v>
      </c>
      <c r="J615" s="3">
        <f t="shared" si="136"/>
        <v>13</v>
      </c>
      <c r="K615" s="3">
        <f t="shared" si="137"/>
        <v>1</v>
      </c>
      <c r="L615" s="3" t="str">
        <f t="shared" si="131"/>
        <v>OPORTUNO</v>
      </c>
      <c r="M615" s="3">
        <v>12</v>
      </c>
      <c r="N615" s="3">
        <v>100</v>
      </c>
      <c r="O615" s="3">
        <v>15.02145922746781</v>
      </c>
    </row>
    <row r="616" spans="1:15" hidden="1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35"/>
        <v>18</v>
      </c>
      <c r="J616" s="3">
        <f t="shared" si="136"/>
        <v>6</v>
      </c>
      <c r="K616" s="3">
        <f t="shared" si="137"/>
        <v>12</v>
      </c>
      <c r="L616" s="3" t="str">
        <f t="shared" si="131"/>
        <v>MUITO BOM</v>
      </c>
      <c r="M616" s="3">
        <v>13</v>
      </c>
      <c r="N616" s="3">
        <v>98.11</v>
      </c>
      <c r="O616" s="3">
        <v>20.408163265306118</v>
      </c>
    </row>
    <row r="617" spans="1:15" hidden="1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135"/>
        <v>27</v>
      </c>
      <c r="J617" s="3">
        <f t="shared" si="136"/>
        <v>15</v>
      </c>
      <c r="K617" s="3">
        <f t="shared" si="137"/>
        <v>12</v>
      </c>
      <c r="L617" s="3" t="str">
        <f t="shared" si="131"/>
        <v>MUITO BOM</v>
      </c>
      <c r="M617" s="3">
        <v>20</v>
      </c>
      <c r="N617" s="3">
        <v>97.56</v>
      </c>
      <c r="O617" s="3">
        <v>19.28783382789317</v>
      </c>
    </row>
    <row r="618" spans="1:15" hidden="1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135"/>
        <v>33</v>
      </c>
      <c r="J618" s="3">
        <f t="shared" si="136"/>
        <v>22</v>
      </c>
      <c r="K618" s="3">
        <f t="shared" si="137"/>
        <v>11</v>
      </c>
      <c r="L618" s="3" t="str">
        <f t="shared" si="131"/>
        <v>MUITO BOM</v>
      </c>
      <c r="M618" s="3">
        <v>22</v>
      </c>
      <c r="N618" s="3">
        <v>99.29</v>
      </c>
      <c r="O618" s="3">
        <v>22.49443207126949</v>
      </c>
    </row>
    <row r="619" spans="1:15" hidden="1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35"/>
        <v>12</v>
      </c>
      <c r="J619" s="3">
        <f t="shared" si="136"/>
        <v>15</v>
      </c>
      <c r="K619" s="3">
        <f t="shared" si="137"/>
        <v>-3</v>
      </c>
      <c r="L619" s="3" t="str">
        <f t="shared" si="131"/>
        <v>ATENÇÃO</v>
      </c>
      <c r="M619" s="3">
        <v>10</v>
      </c>
      <c r="N619" s="3">
        <v>100</v>
      </c>
      <c r="O619" s="3">
        <v>16.97247706422019</v>
      </c>
    </row>
    <row r="620" spans="1:15" hidden="1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35"/>
        <v>23</v>
      </c>
      <c r="J620" s="3">
        <f t="shared" si="136"/>
        <v>22</v>
      </c>
      <c r="K620" s="3">
        <f t="shared" si="137"/>
        <v>1</v>
      </c>
      <c r="L620" s="3" t="str">
        <f t="shared" si="131"/>
        <v>OPORTUNO</v>
      </c>
      <c r="M620" s="3">
        <v>21</v>
      </c>
      <c r="N620" s="3">
        <v>97.33</v>
      </c>
      <c r="O620" s="3">
        <v>15.805471124620061</v>
      </c>
    </row>
    <row r="621" spans="1:15" hidden="1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I621" s="3">
        <f t="shared" si="135"/>
        <v>16</v>
      </c>
      <c r="J621" s="3">
        <f t="shared" si="136"/>
        <v>17</v>
      </c>
      <c r="K621" s="3">
        <f t="shared" si="137"/>
        <v>-1</v>
      </c>
      <c r="L621" s="3" t="str">
        <f t="shared" si="131"/>
        <v>ATENÇÃO</v>
      </c>
      <c r="M621" s="3">
        <v>11</v>
      </c>
      <c r="N621" s="3">
        <v>98.94</v>
      </c>
      <c r="O621" s="3">
        <v>19.614147909967851</v>
      </c>
    </row>
    <row r="622" spans="1:15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I622" s="3">
        <f t="shared" si="135"/>
        <v>0</v>
      </c>
      <c r="J622" s="3">
        <v>0</v>
      </c>
      <c r="K622" s="3">
        <f t="shared" si="137"/>
        <v>0</v>
      </c>
      <c r="L622" s="3" t="str">
        <f t="shared" si="131"/>
        <v>OPORTUNO</v>
      </c>
      <c r="M622" s="3">
        <v>0</v>
      </c>
      <c r="N622" s="3">
        <v>100</v>
      </c>
      <c r="O622" s="3">
        <v>0</v>
      </c>
    </row>
    <row r="623" spans="1:15" hidden="1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I623" s="3">
        <f t="shared" si="135"/>
        <v>12</v>
      </c>
      <c r="J623" s="3">
        <f t="shared" si="136"/>
        <v>14</v>
      </c>
      <c r="K623" s="3">
        <f t="shared" si="137"/>
        <v>-2</v>
      </c>
      <c r="L623" s="3" t="str">
        <f t="shared" si="131"/>
        <v>ATENÇÃO</v>
      </c>
      <c r="M623" s="3">
        <v>10</v>
      </c>
      <c r="N623" s="3">
        <v>95.38</v>
      </c>
      <c r="O623" s="3">
        <v>21.5962441314554</v>
      </c>
    </row>
    <row r="624" spans="1:15" hidden="1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I624" s="3">
        <f t="shared" si="135"/>
        <v>23</v>
      </c>
      <c r="J624" s="3">
        <f t="shared" si="136"/>
        <v>21</v>
      </c>
      <c r="K624" s="3">
        <f t="shared" si="137"/>
        <v>2</v>
      </c>
      <c r="L624" s="3" t="str">
        <f t="shared" si="131"/>
        <v>OPORTUNO</v>
      </c>
      <c r="M624" s="3">
        <v>16</v>
      </c>
      <c r="N624" s="3">
        <v>96.34</v>
      </c>
      <c r="O624" s="3">
        <v>17.571884984025559</v>
      </c>
    </row>
    <row r="625" spans="1:15" hidden="1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I625" s="3">
        <f t="shared" si="135"/>
        <v>19</v>
      </c>
      <c r="J625" s="3">
        <f t="shared" si="136"/>
        <v>12</v>
      </c>
      <c r="K625" s="3">
        <f t="shared" si="137"/>
        <v>7</v>
      </c>
      <c r="L625" s="3" t="str">
        <f t="shared" si="131"/>
        <v>MUITO BOM</v>
      </c>
      <c r="M625" s="3">
        <v>18</v>
      </c>
      <c r="N625" s="3">
        <v>99.11</v>
      </c>
      <c r="O625" s="3">
        <v>17.721518987341771</v>
      </c>
    </row>
    <row r="626" spans="1:15" hidden="1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I626" s="3">
        <f t="shared" si="135"/>
        <v>33</v>
      </c>
      <c r="J626" s="3">
        <f t="shared" si="136"/>
        <v>17</v>
      </c>
      <c r="K626" s="3">
        <f t="shared" si="137"/>
        <v>16</v>
      </c>
      <c r="L626" s="3" t="str">
        <f t="shared" si="131"/>
        <v>MUITO BOM</v>
      </c>
      <c r="M626" s="3">
        <v>24</v>
      </c>
      <c r="N626" s="3">
        <v>99.13</v>
      </c>
      <c r="O626" s="3">
        <v>14.7239263803681</v>
      </c>
    </row>
    <row r="627" spans="1:15" hidden="1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I627" s="3">
        <f t="shared" si="135"/>
        <v>12</v>
      </c>
      <c r="J627" s="3">
        <f t="shared" si="136"/>
        <v>17</v>
      </c>
      <c r="K627" s="3">
        <f t="shared" si="137"/>
        <v>-5</v>
      </c>
      <c r="L627" s="3" t="str">
        <f t="shared" ref="L627:L658" si="138"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hidden="1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I628" s="3">
        <f t="shared" si="135"/>
        <v>7</v>
      </c>
      <c r="J628" s="3">
        <f t="shared" si="136"/>
        <v>6</v>
      </c>
      <c r="K628" s="3">
        <f t="shared" si="137"/>
        <v>1</v>
      </c>
      <c r="L628" s="3" t="str">
        <f t="shared" si="138"/>
        <v>OPORTUNO</v>
      </c>
      <c r="M628" s="3">
        <v>3</v>
      </c>
      <c r="N628" s="3">
        <v>96.43</v>
      </c>
      <c r="O628" s="3">
        <v>20</v>
      </c>
    </row>
    <row r="629" spans="1:15" hidden="1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I629" s="3">
        <f t="shared" si="135"/>
        <v>14</v>
      </c>
      <c r="J629" s="3">
        <f t="shared" si="136"/>
        <v>14</v>
      </c>
      <c r="K629" s="3">
        <f t="shared" si="137"/>
        <v>0</v>
      </c>
      <c r="L629" s="3" t="str">
        <f t="shared" si="138"/>
        <v>OPORTUNO</v>
      </c>
      <c r="M629" s="3">
        <v>12</v>
      </c>
      <c r="N629" s="3">
        <v>96.88</v>
      </c>
      <c r="O629" s="3">
        <v>19.526627218934909</v>
      </c>
    </row>
    <row r="630" spans="1:15" hidden="1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I630" s="3">
        <f t="shared" si="135"/>
        <v>24</v>
      </c>
      <c r="J630" s="3">
        <f t="shared" si="136"/>
        <v>21</v>
      </c>
      <c r="K630" s="3">
        <f t="shared" si="137"/>
        <v>3</v>
      </c>
      <c r="L630" s="3" t="str">
        <f t="shared" si="138"/>
        <v>OPORTUNO</v>
      </c>
      <c r="M630" s="3">
        <v>22</v>
      </c>
      <c r="N630" s="3">
        <v>91.85</v>
      </c>
      <c r="O630" s="3">
        <v>20.87155963302752</v>
      </c>
    </row>
    <row r="631" spans="1:15" hidden="1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>
        <v>0</v>
      </c>
      <c r="I631" s="3">
        <v>0</v>
      </c>
      <c r="J631" s="3">
        <v>0</v>
      </c>
      <c r="K631" s="3">
        <v>0</v>
      </c>
      <c r="L631" s="3" t="str">
        <f t="shared" si="138"/>
        <v>OPORTUNO</v>
      </c>
      <c r="M631" s="3">
        <v>0</v>
      </c>
      <c r="N631" s="3">
        <v>98.63</v>
      </c>
      <c r="O631" s="3">
        <v>18.75</v>
      </c>
    </row>
    <row r="632" spans="1:15" hidden="1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14</v>
      </c>
      <c r="K632" s="3">
        <f>I632-J632</f>
        <v>9</v>
      </c>
      <c r="L632" s="3" t="str">
        <f t="shared" si="138"/>
        <v>MUITO BOM</v>
      </c>
      <c r="M632" s="3">
        <v>18</v>
      </c>
      <c r="N632" s="3">
        <v>100</v>
      </c>
      <c r="O632" s="3">
        <v>18.14516129032258</v>
      </c>
    </row>
    <row r="633" spans="1:15" hidden="1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>
        <v>0</v>
      </c>
      <c r="I633" s="3">
        <v>0</v>
      </c>
      <c r="J633" s="3">
        <v>0</v>
      </c>
      <c r="K633" s="3">
        <v>0</v>
      </c>
      <c r="L633" s="3" t="str">
        <f t="shared" si="138"/>
        <v>OPORTUNO</v>
      </c>
      <c r="M633" s="3">
        <v>0</v>
      </c>
      <c r="N633" s="3">
        <v>99.06</v>
      </c>
      <c r="O633" s="3">
        <v>22.95719844357977</v>
      </c>
    </row>
    <row r="634" spans="1:15" hidden="1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 t="shared" si="138"/>
        <v>OPORTUNO</v>
      </c>
      <c r="M634" s="3">
        <v>6</v>
      </c>
      <c r="N634" s="3">
        <v>100</v>
      </c>
      <c r="O634" s="3">
        <v>29.032258064516132</v>
      </c>
    </row>
    <row r="635" spans="1:15" hidden="1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17</v>
      </c>
      <c r="K635" s="3">
        <f>I635-J635</f>
        <v>-2</v>
      </c>
      <c r="L635" s="3" t="str">
        <f t="shared" si="138"/>
        <v>ATENÇÃO</v>
      </c>
      <c r="M635" s="3">
        <v>15</v>
      </c>
      <c r="N635" s="3">
        <v>100</v>
      </c>
      <c r="O635" s="3">
        <v>13.8121546961326</v>
      </c>
    </row>
    <row r="636" spans="1:15" hidden="1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 t="shared" si="138"/>
        <v>CRÍTICO</v>
      </c>
      <c r="M636" s="3">
        <v>10</v>
      </c>
      <c r="N636" s="3">
        <v>100</v>
      </c>
      <c r="O636" s="3">
        <v>9.5238095238095237</v>
      </c>
    </row>
    <row r="637" spans="1:15" hidden="1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>
        <v>0</v>
      </c>
      <c r="I637" s="3">
        <v>0</v>
      </c>
      <c r="J637" s="3">
        <v>0</v>
      </c>
      <c r="K637" s="3">
        <v>0</v>
      </c>
      <c r="L637" s="3" t="str">
        <f t="shared" si="138"/>
        <v>OPORTUNO</v>
      </c>
      <c r="M637" s="3">
        <v>0</v>
      </c>
      <c r="N637" s="3">
        <v>100</v>
      </c>
      <c r="O637" s="3">
        <v>17.241379310344829</v>
      </c>
    </row>
    <row r="638" spans="1:15" hidden="1" x14ac:dyDescent="0.25">
      <c r="A638" s="10">
        <v>46164</v>
      </c>
      <c r="B638" s="6" t="s">
        <v>64</v>
      </c>
      <c r="C638" s="3" t="s">
        <v>23</v>
      </c>
      <c r="D638" s="3">
        <v>8</v>
      </c>
      <c r="E638" s="3">
        <v>7</v>
      </c>
      <c r="F638" s="3">
        <v>18.34</v>
      </c>
      <c r="G638" s="3">
        <v>0</v>
      </c>
      <c r="I638" s="3">
        <f t="shared" ref="I638:I649" si="139">E638+G638+H638</f>
        <v>7</v>
      </c>
      <c r="J638" s="3">
        <f t="shared" ref="J638:J649" si="140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6</v>
      </c>
      <c r="K638" s="3">
        <f t="shared" ref="K638:K649" si="141">I638-J638</f>
        <v>1</v>
      </c>
      <c r="L638" s="3" t="str">
        <f t="shared" si="138"/>
        <v>OPORTUNO</v>
      </c>
      <c r="M638" s="3">
        <v>0</v>
      </c>
      <c r="N638" s="3">
        <v>100</v>
      </c>
      <c r="O638" s="3">
        <v>14.285714285714279</v>
      </c>
    </row>
    <row r="639" spans="1:15" hidden="1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I639" s="3">
        <f t="shared" si="139"/>
        <v>7</v>
      </c>
      <c r="J639" s="3">
        <f t="shared" si="140"/>
        <v>14</v>
      </c>
      <c r="K639" s="3">
        <f t="shared" si="141"/>
        <v>-7</v>
      </c>
      <c r="L639" s="3" t="str">
        <f t="shared" si="138"/>
        <v>CRÍTICO</v>
      </c>
      <c r="M639" s="3">
        <v>7</v>
      </c>
      <c r="N639" s="3">
        <v>98.8</v>
      </c>
      <c r="O639" s="3">
        <v>15.41353383458646</v>
      </c>
    </row>
    <row r="640" spans="1:15" hidden="1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I640" s="3">
        <f t="shared" si="139"/>
        <v>15</v>
      </c>
      <c r="J640" s="3">
        <f t="shared" si="140"/>
        <v>17</v>
      </c>
      <c r="K640" s="3">
        <f t="shared" si="141"/>
        <v>-2</v>
      </c>
      <c r="L640" s="3" t="str">
        <f t="shared" si="138"/>
        <v>ATENÇÃO</v>
      </c>
      <c r="M640" s="3">
        <v>14</v>
      </c>
      <c r="N640" s="3">
        <v>98.63</v>
      </c>
      <c r="O640" s="3">
        <v>15.75757575757576</v>
      </c>
    </row>
    <row r="641" spans="1:15" hidden="1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I641" s="3">
        <f t="shared" si="139"/>
        <v>31</v>
      </c>
      <c r="J641" s="3">
        <f t="shared" si="140"/>
        <v>21</v>
      </c>
      <c r="K641" s="3">
        <f t="shared" si="141"/>
        <v>10</v>
      </c>
      <c r="L641" s="3" t="str">
        <f t="shared" si="138"/>
        <v>MUITO BOM</v>
      </c>
      <c r="M641" s="3">
        <v>23</v>
      </c>
      <c r="N641" s="3">
        <v>98.64</v>
      </c>
      <c r="O641" s="3">
        <v>16.638370118845501</v>
      </c>
    </row>
    <row r="642" spans="1:15" hidden="1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I642" s="3">
        <f t="shared" si="139"/>
        <v>14</v>
      </c>
      <c r="J642" s="3">
        <f t="shared" si="140"/>
        <v>21</v>
      </c>
      <c r="K642" s="3">
        <f t="shared" si="141"/>
        <v>-7</v>
      </c>
      <c r="L642" s="3" t="str">
        <f t="shared" si="138"/>
        <v>CRÍTICO</v>
      </c>
      <c r="M642" s="3">
        <v>14</v>
      </c>
      <c r="N642" s="3">
        <v>95.4</v>
      </c>
      <c r="O642" s="3">
        <v>20.533333333333331</v>
      </c>
    </row>
    <row r="643" spans="1:15" hidden="1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I643" s="3">
        <f t="shared" si="139"/>
        <v>13</v>
      </c>
      <c r="J643" s="3">
        <f t="shared" si="140"/>
        <v>17</v>
      </c>
      <c r="K643" s="3">
        <f t="shared" si="141"/>
        <v>-4</v>
      </c>
      <c r="L643" s="3" t="str">
        <f t="shared" si="138"/>
        <v>ATENÇÃO</v>
      </c>
      <c r="M643" s="3">
        <v>10</v>
      </c>
      <c r="N643" s="3">
        <v>98.61</v>
      </c>
      <c r="O643" s="3">
        <v>16.97530864197531</v>
      </c>
    </row>
    <row r="644" spans="1:15" hidden="1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I644" s="3">
        <f t="shared" si="139"/>
        <v>36</v>
      </c>
      <c r="J644" s="3">
        <f t="shared" si="140"/>
        <v>21</v>
      </c>
      <c r="K644" s="3">
        <f t="shared" si="141"/>
        <v>15</v>
      </c>
      <c r="L644" s="3" t="str">
        <f t="shared" si="138"/>
        <v>MUITO BOM</v>
      </c>
      <c r="M644" s="3">
        <v>0</v>
      </c>
      <c r="N644" s="3">
        <v>0</v>
      </c>
      <c r="O644" s="3">
        <v>0</v>
      </c>
    </row>
    <row r="645" spans="1:15" hidden="1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I645" s="3">
        <f t="shared" si="139"/>
        <v>19</v>
      </c>
      <c r="J645" s="3">
        <f t="shared" si="140"/>
        <v>12</v>
      </c>
      <c r="K645" s="3">
        <f t="shared" si="141"/>
        <v>7</v>
      </c>
      <c r="L645" s="3" t="str">
        <f t="shared" si="138"/>
        <v>MUITO BOM</v>
      </c>
      <c r="M645" s="3">
        <v>20</v>
      </c>
      <c r="N645" s="3">
        <v>97.01</v>
      </c>
      <c r="O645" s="3">
        <v>13.961038961038961</v>
      </c>
    </row>
    <row r="646" spans="1:15" hidden="1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I646" s="3">
        <f t="shared" si="139"/>
        <v>19</v>
      </c>
      <c r="J646" s="3">
        <f t="shared" si="140"/>
        <v>21</v>
      </c>
      <c r="K646" s="3">
        <f t="shared" si="141"/>
        <v>-2</v>
      </c>
      <c r="L646" s="3" t="str">
        <f t="shared" si="138"/>
        <v>ATENÇÃO</v>
      </c>
      <c r="M646" s="3">
        <v>21</v>
      </c>
      <c r="N646" s="3">
        <v>95.52</v>
      </c>
      <c r="O646" s="3">
        <v>10.561056105610559</v>
      </c>
    </row>
    <row r="647" spans="1:15" hidden="1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I647" s="3">
        <f t="shared" si="139"/>
        <v>12</v>
      </c>
      <c r="J647" s="3">
        <f t="shared" si="140"/>
        <v>12</v>
      </c>
      <c r="K647" s="3">
        <f t="shared" si="141"/>
        <v>0</v>
      </c>
      <c r="L647" s="3" t="str">
        <f t="shared" si="138"/>
        <v>OPORTUNO</v>
      </c>
      <c r="M647" s="3">
        <v>8</v>
      </c>
      <c r="N647" s="3">
        <v>100</v>
      </c>
      <c r="O647" s="3">
        <v>16.959064327485379</v>
      </c>
    </row>
    <row r="648" spans="1:15" hidden="1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I648" s="3">
        <f t="shared" si="139"/>
        <v>20</v>
      </c>
      <c r="J648" s="3">
        <f t="shared" si="140"/>
        <v>21</v>
      </c>
      <c r="K648" s="3">
        <f t="shared" si="141"/>
        <v>-1</v>
      </c>
      <c r="L648" s="3" t="str">
        <f t="shared" si="138"/>
        <v>ATENÇÃO</v>
      </c>
      <c r="M648" s="3">
        <v>20</v>
      </c>
      <c r="N648" s="3">
        <v>100</v>
      </c>
      <c r="O648" s="3">
        <v>15.584415584415581</v>
      </c>
    </row>
    <row r="649" spans="1:15" hidden="1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I649" s="3">
        <f t="shared" si="139"/>
        <v>19</v>
      </c>
      <c r="J649" s="3">
        <f t="shared" si="140"/>
        <v>17</v>
      </c>
      <c r="K649" s="3">
        <f t="shared" si="141"/>
        <v>2</v>
      </c>
      <c r="L649" s="3" t="str">
        <f t="shared" si="138"/>
        <v>OPORTUNO</v>
      </c>
      <c r="M649" s="3">
        <v>18</v>
      </c>
      <c r="N649" s="3">
        <v>98.61</v>
      </c>
      <c r="O649" s="3">
        <v>16.867469879518069</v>
      </c>
    </row>
    <row r="650" spans="1:15" hidden="1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>
        <v>0</v>
      </c>
      <c r="I650" s="3">
        <v>0</v>
      </c>
      <c r="J650" s="3">
        <v>0</v>
      </c>
      <c r="K650" s="3">
        <v>0</v>
      </c>
      <c r="L650" s="3" t="str">
        <f t="shared" si="138"/>
        <v>OPORTUNO</v>
      </c>
      <c r="M650" s="3">
        <v>0</v>
      </c>
      <c r="N650" s="3">
        <v>100</v>
      </c>
      <c r="O650" s="3">
        <v>20.820189274447952</v>
      </c>
    </row>
    <row r="651" spans="1:15" hidden="1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 t="shared" si="138"/>
        <v>ATENÇÃO</v>
      </c>
      <c r="M651" s="3">
        <v>15</v>
      </c>
      <c r="N651" s="3">
        <v>100</v>
      </c>
      <c r="O651" s="3">
        <v>4.3478260869565224</v>
      </c>
    </row>
    <row r="652" spans="1:15" hidden="1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14</v>
      </c>
      <c r="K652" s="3">
        <f>I652-J652</f>
        <v>-6</v>
      </c>
      <c r="L652" s="3" t="str">
        <f t="shared" si="138"/>
        <v>CRÍTICO</v>
      </c>
      <c r="M652" s="3">
        <v>8</v>
      </c>
      <c r="N652" s="3">
        <v>93.26</v>
      </c>
      <c r="O652" s="3">
        <v>19.93957703927493</v>
      </c>
    </row>
    <row r="653" spans="1:15" hidden="1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 t="shared" si="138"/>
        <v>OPORTUNO</v>
      </c>
      <c r="M653" s="3">
        <v>6</v>
      </c>
      <c r="N653" s="3">
        <v>100</v>
      </c>
      <c r="O653" s="3">
        <v>11.864406779661021</v>
      </c>
    </row>
    <row r="654" spans="1:15" hidden="1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>
        <v>0</v>
      </c>
      <c r="I654" s="3">
        <v>0</v>
      </c>
      <c r="J654" s="3">
        <v>0</v>
      </c>
      <c r="K654" s="3">
        <v>0</v>
      </c>
      <c r="L654" s="3" t="str">
        <f t="shared" si="138"/>
        <v>OPORTUNO</v>
      </c>
      <c r="M654" s="3">
        <v>3</v>
      </c>
      <c r="N654" s="3">
        <v>98.28</v>
      </c>
      <c r="O654" s="3">
        <v>9.037900874635568</v>
      </c>
    </row>
    <row r="655" spans="1:15" hidden="1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I655" s="3">
        <f t="shared" ref="I655:I665" si="142">E655+G655+H655</f>
        <v>25</v>
      </c>
      <c r="J655" s="3">
        <f t="shared" ref="J655:J665" si="143"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 t="shared" ref="K655:K665" si="144">I655-J655</f>
        <v>4</v>
      </c>
      <c r="L655" s="3" t="str">
        <f t="shared" si="138"/>
        <v>OPORTUNO</v>
      </c>
      <c r="M655" s="3">
        <v>16</v>
      </c>
      <c r="N655" s="3">
        <v>97.22</v>
      </c>
      <c r="O655" s="3">
        <v>19.095477386934672</v>
      </c>
    </row>
    <row r="656" spans="1:15" hidden="1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I656" s="3">
        <f t="shared" si="142"/>
        <v>14</v>
      </c>
      <c r="J656" s="3">
        <f t="shared" si="143"/>
        <v>6</v>
      </c>
      <c r="K656" s="3">
        <f t="shared" si="144"/>
        <v>8</v>
      </c>
      <c r="L656" s="3" t="str">
        <f t="shared" si="138"/>
        <v>MUITO BOM</v>
      </c>
      <c r="M656" s="3">
        <v>11</v>
      </c>
      <c r="N656" s="3">
        <v>100</v>
      </c>
      <c r="O656" s="3">
        <v>16.814159292035399</v>
      </c>
    </row>
    <row r="657" spans="1:15" hidden="1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I657" s="3">
        <f t="shared" si="142"/>
        <v>18</v>
      </c>
      <c r="J657" s="3">
        <f t="shared" si="143"/>
        <v>12</v>
      </c>
      <c r="K657" s="3">
        <f t="shared" si="144"/>
        <v>6</v>
      </c>
      <c r="L657" s="3" t="str">
        <f t="shared" si="138"/>
        <v>MUITO BOM</v>
      </c>
      <c r="M657" s="3">
        <v>16</v>
      </c>
      <c r="N657" s="3">
        <v>98</v>
      </c>
      <c r="O657" s="3">
        <v>16.43835616438356</v>
      </c>
    </row>
    <row r="658" spans="1:15" hidden="1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I658" s="3">
        <f t="shared" si="142"/>
        <v>17</v>
      </c>
      <c r="J658" s="3">
        <f t="shared" si="143"/>
        <v>17</v>
      </c>
      <c r="K658" s="3">
        <f t="shared" si="144"/>
        <v>0</v>
      </c>
      <c r="L658" s="3" t="str">
        <f t="shared" si="138"/>
        <v>OPORTUNO</v>
      </c>
      <c r="M658" s="3">
        <v>12</v>
      </c>
      <c r="N658" s="3">
        <v>100</v>
      </c>
      <c r="O658" s="3">
        <v>16.894977168949769</v>
      </c>
    </row>
    <row r="659" spans="1:15" hidden="1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I659" s="3">
        <f t="shared" si="142"/>
        <v>17</v>
      </c>
      <c r="J659" s="3">
        <f t="shared" si="143"/>
        <v>12</v>
      </c>
      <c r="K659" s="3">
        <f t="shared" si="144"/>
        <v>5</v>
      </c>
      <c r="L659" s="3" t="str">
        <f t="shared" ref="L659:L690" si="145"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hidden="1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I660" s="3">
        <f t="shared" si="142"/>
        <v>19</v>
      </c>
      <c r="J660" s="3">
        <f t="shared" si="143"/>
        <v>12</v>
      </c>
      <c r="K660" s="3">
        <f t="shared" si="144"/>
        <v>7</v>
      </c>
      <c r="L660" s="3" t="str">
        <f t="shared" si="145"/>
        <v>MUITO BOM</v>
      </c>
      <c r="M660" s="3">
        <v>15</v>
      </c>
      <c r="N660" s="3">
        <v>100</v>
      </c>
      <c r="O660" s="3">
        <v>15.02145922746781</v>
      </c>
    </row>
    <row r="661" spans="1:15" hidden="1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I661" s="3">
        <f t="shared" si="142"/>
        <v>15</v>
      </c>
      <c r="J661" s="3">
        <f t="shared" si="143"/>
        <v>6</v>
      </c>
      <c r="K661" s="3">
        <f t="shared" si="144"/>
        <v>9</v>
      </c>
      <c r="L661" s="3" t="str">
        <f t="shared" si="145"/>
        <v>MUITO BOM</v>
      </c>
      <c r="M661" s="3">
        <v>9</v>
      </c>
      <c r="N661" s="3">
        <v>98.11</v>
      </c>
      <c r="O661" s="3">
        <v>20.408163265306118</v>
      </c>
    </row>
    <row r="662" spans="1:15" hidden="1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I662" s="3">
        <f t="shared" si="142"/>
        <v>20</v>
      </c>
      <c r="J662" s="3">
        <f t="shared" si="143"/>
        <v>14</v>
      </c>
      <c r="K662" s="3">
        <f t="shared" si="144"/>
        <v>6</v>
      </c>
      <c r="L662" s="3" t="str">
        <f t="shared" si="145"/>
        <v>MUITO BOM</v>
      </c>
      <c r="M662" s="3">
        <v>12</v>
      </c>
      <c r="N662" s="3">
        <v>97.56</v>
      </c>
      <c r="O662" s="3">
        <v>19.28783382789317</v>
      </c>
    </row>
    <row r="663" spans="1:15" hidden="1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I663" s="3">
        <f t="shared" si="142"/>
        <v>22</v>
      </c>
      <c r="J663" s="3">
        <f t="shared" si="143"/>
        <v>21</v>
      </c>
      <c r="K663" s="3">
        <f t="shared" si="144"/>
        <v>1</v>
      </c>
      <c r="L663" s="3" t="str">
        <f t="shared" si="145"/>
        <v>OPORTUNO</v>
      </c>
      <c r="M663" s="3">
        <v>18</v>
      </c>
      <c r="N663" s="3">
        <v>99.29</v>
      </c>
      <c r="O663" s="3">
        <v>22.49443207126949</v>
      </c>
    </row>
    <row r="664" spans="1:15" hidden="1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I664" s="3">
        <f t="shared" si="142"/>
        <v>17</v>
      </c>
      <c r="J664" s="3">
        <f t="shared" si="143"/>
        <v>14</v>
      </c>
      <c r="K664" s="3">
        <f t="shared" si="144"/>
        <v>3</v>
      </c>
      <c r="L664" s="3" t="str">
        <f t="shared" si="145"/>
        <v>OPORTUNO</v>
      </c>
      <c r="M664" s="3">
        <v>17</v>
      </c>
      <c r="N664" s="3">
        <v>100</v>
      </c>
      <c r="O664" s="3">
        <v>16.97247706422019</v>
      </c>
    </row>
    <row r="665" spans="1:15" hidden="1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I665" s="3">
        <f t="shared" si="142"/>
        <v>22</v>
      </c>
      <c r="J665" s="3">
        <f t="shared" si="143"/>
        <v>21</v>
      </c>
      <c r="K665" s="3">
        <f t="shared" si="144"/>
        <v>1</v>
      </c>
      <c r="L665" s="3" t="str">
        <f t="shared" si="145"/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 s="3">
        <v>0</v>
      </c>
      <c r="K666">
        <v>0</v>
      </c>
    </row>
    <row r="667" spans="1:15" hidden="1" x14ac:dyDescent="0.25"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 s="3">
        <v>0</v>
      </c>
      <c r="K667">
        <v>0</v>
      </c>
    </row>
    <row r="668" spans="1:15" hidden="1" x14ac:dyDescent="0.25"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 s="3">
        <v>0</v>
      </c>
      <c r="K668">
        <v>0</v>
      </c>
    </row>
    <row r="669" spans="1:15" hidden="1" x14ac:dyDescent="0.25"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 s="3">
        <v>0</v>
      </c>
      <c r="K669">
        <v>0</v>
      </c>
    </row>
    <row r="670" spans="1:15" hidden="1" x14ac:dyDescent="0.25"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 s="3">
        <v>0</v>
      </c>
      <c r="K670">
        <v>0</v>
      </c>
    </row>
    <row r="671" spans="1:15" hidden="1" x14ac:dyDescent="0.25"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 s="3">
        <v>0</v>
      </c>
      <c r="K671">
        <v>0</v>
      </c>
    </row>
    <row r="672" spans="1:15" hidden="1" x14ac:dyDescent="0.25"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 s="3">
        <v>0</v>
      </c>
      <c r="K672">
        <v>0</v>
      </c>
    </row>
    <row r="673" spans="4:11" hidden="1" x14ac:dyDescent="0.25"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 s="3">
        <v>0</v>
      </c>
      <c r="K673">
        <v>0</v>
      </c>
    </row>
    <row r="674" spans="4:11" hidden="1" x14ac:dyDescent="0.25"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 s="3">
        <v>0</v>
      </c>
      <c r="K674">
        <v>0</v>
      </c>
    </row>
    <row r="675" spans="4:11" hidden="1" x14ac:dyDescent="0.25"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 s="3">
        <v>0</v>
      </c>
      <c r="K675">
        <v>0</v>
      </c>
    </row>
    <row r="676" spans="4:11" hidden="1" x14ac:dyDescent="0.25"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 s="3">
        <v>0</v>
      </c>
      <c r="K676">
        <v>0</v>
      </c>
    </row>
    <row r="677" spans="4:11" hidden="1" x14ac:dyDescent="0.25"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 s="3">
        <v>0</v>
      </c>
      <c r="K677">
        <v>0</v>
      </c>
    </row>
    <row r="678" spans="4:11" hidden="1" x14ac:dyDescent="0.25"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 s="3">
        <v>0</v>
      </c>
      <c r="K678">
        <v>0</v>
      </c>
    </row>
    <row r="679" spans="4:11" hidden="1" x14ac:dyDescent="0.25"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 s="3">
        <v>0</v>
      </c>
      <c r="K679">
        <v>0</v>
      </c>
    </row>
    <row r="680" spans="4:11" hidden="1" x14ac:dyDescent="0.25"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 s="3">
        <v>0</v>
      </c>
      <c r="K680">
        <v>0</v>
      </c>
    </row>
    <row r="681" spans="4:11" hidden="1" x14ac:dyDescent="0.25"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 s="3">
        <v>0</v>
      </c>
      <c r="K681">
        <v>0</v>
      </c>
    </row>
    <row r="682" spans="4:11" hidden="1" x14ac:dyDescent="0.25"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 s="3">
        <v>0</v>
      </c>
      <c r="K682">
        <v>0</v>
      </c>
    </row>
    <row r="683" spans="4:11" hidden="1" x14ac:dyDescent="0.25"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 s="3">
        <v>0</v>
      </c>
      <c r="K683">
        <v>0</v>
      </c>
    </row>
    <row r="684" spans="4:11" hidden="1" x14ac:dyDescent="0.25"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 s="3">
        <v>0</v>
      </c>
      <c r="K684">
        <v>0</v>
      </c>
    </row>
    <row r="685" spans="4:11" hidden="1" x14ac:dyDescent="0.25"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 s="3">
        <v>0</v>
      </c>
      <c r="K685">
        <v>0</v>
      </c>
    </row>
    <row r="686" spans="4:11" hidden="1" x14ac:dyDescent="0.25"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 s="3">
        <v>0</v>
      </c>
      <c r="K686">
        <v>0</v>
      </c>
    </row>
    <row r="687" spans="4:11" hidden="1" x14ac:dyDescent="0.25"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 s="3">
        <v>0</v>
      </c>
      <c r="K687">
        <v>0</v>
      </c>
    </row>
    <row r="688" spans="4:11" hidden="1" x14ac:dyDescent="0.25"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 s="3">
        <v>0</v>
      </c>
      <c r="K688">
        <v>0</v>
      </c>
    </row>
    <row r="689" spans="4:11" hidden="1" x14ac:dyDescent="0.25"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 s="3">
        <v>0</v>
      </c>
      <c r="K689">
        <v>0</v>
      </c>
    </row>
    <row r="690" spans="4:11" hidden="1" x14ac:dyDescent="0.25"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 s="3">
        <v>0</v>
      </c>
      <c r="K690">
        <v>0</v>
      </c>
    </row>
    <row r="691" spans="4:11" hidden="1" x14ac:dyDescent="0.25"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 s="3">
        <v>0</v>
      </c>
      <c r="K691">
        <v>0</v>
      </c>
    </row>
    <row r="692" spans="4:11" hidden="1" x14ac:dyDescent="0.25"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 s="3">
        <v>0</v>
      </c>
      <c r="K692">
        <v>0</v>
      </c>
    </row>
    <row r="693" spans="4:11" hidden="1" x14ac:dyDescent="0.25"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 s="3">
        <v>0</v>
      </c>
      <c r="K693">
        <v>0</v>
      </c>
    </row>
    <row r="694" spans="4:11" hidden="1" x14ac:dyDescent="0.25"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 s="3">
        <v>0</v>
      </c>
      <c r="K694">
        <v>0</v>
      </c>
    </row>
    <row r="695" spans="4:11" hidden="1" x14ac:dyDescent="0.25"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 s="3">
        <v>0</v>
      </c>
      <c r="K695">
        <v>0</v>
      </c>
    </row>
    <row r="696" spans="4:11" hidden="1" x14ac:dyDescent="0.25"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 s="3">
        <v>0</v>
      </c>
      <c r="K696">
        <v>0</v>
      </c>
    </row>
    <row r="697" spans="4:11" hidden="1" x14ac:dyDescent="0.25"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 s="3">
        <v>0</v>
      </c>
      <c r="K697">
        <v>0</v>
      </c>
    </row>
    <row r="698" spans="4:11" hidden="1" x14ac:dyDescent="0.25"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 s="3">
        <v>0</v>
      </c>
      <c r="K698">
        <v>0</v>
      </c>
    </row>
    <row r="699" spans="4:11" hidden="1" x14ac:dyDescent="0.25"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 s="3">
        <v>0</v>
      </c>
      <c r="K699">
        <v>0</v>
      </c>
    </row>
    <row r="700" spans="4:11" hidden="1" x14ac:dyDescent="0.25"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 s="3">
        <v>0</v>
      </c>
      <c r="K700">
        <v>0</v>
      </c>
    </row>
    <row r="701" spans="4:11" hidden="1" x14ac:dyDescent="0.25"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 s="3">
        <v>0</v>
      </c>
      <c r="K701">
        <v>0</v>
      </c>
    </row>
    <row r="702" spans="4:11" hidden="1" x14ac:dyDescent="0.25"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 s="3">
        <v>0</v>
      </c>
      <c r="K702">
        <v>0</v>
      </c>
    </row>
    <row r="703" spans="4:11" hidden="1" x14ac:dyDescent="0.25"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 s="3">
        <v>0</v>
      </c>
      <c r="K703">
        <v>0</v>
      </c>
    </row>
    <row r="704" spans="4:11" hidden="1" x14ac:dyDescent="0.25"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 s="3">
        <v>0</v>
      </c>
      <c r="K704">
        <v>0</v>
      </c>
    </row>
    <row r="705" spans="4:11" hidden="1" x14ac:dyDescent="0.25"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 s="3">
        <v>0</v>
      </c>
      <c r="K705">
        <v>0</v>
      </c>
    </row>
    <row r="706" spans="4:11" hidden="1" x14ac:dyDescent="0.25"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 s="3">
        <v>0</v>
      </c>
      <c r="K706">
        <v>0</v>
      </c>
    </row>
    <row r="707" spans="4:11" hidden="1" x14ac:dyDescent="0.25"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 s="3">
        <v>0</v>
      </c>
      <c r="K707">
        <v>0</v>
      </c>
    </row>
    <row r="708" spans="4:11" hidden="1" x14ac:dyDescent="0.25"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 s="3">
        <v>0</v>
      </c>
      <c r="K708">
        <v>0</v>
      </c>
    </row>
    <row r="709" spans="4:11" hidden="1" x14ac:dyDescent="0.25"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 s="3">
        <v>0</v>
      </c>
      <c r="K709">
        <v>0</v>
      </c>
    </row>
    <row r="710" spans="4:11" hidden="1" x14ac:dyDescent="0.25"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 s="3">
        <v>0</v>
      </c>
      <c r="K710">
        <v>0</v>
      </c>
    </row>
    <row r="711" spans="4:11" hidden="1" x14ac:dyDescent="0.25"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 s="3">
        <v>0</v>
      </c>
      <c r="K711">
        <v>0</v>
      </c>
    </row>
    <row r="712" spans="4:11" hidden="1" x14ac:dyDescent="0.25"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 s="3">
        <v>0</v>
      </c>
      <c r="K712">
        <v>0</v>
      </c>
    </row>
    <row r="713" spans="4:11" hidden="1" x14ac:dyDescent="0.25"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 s="3">
        <v>0</v>
      </c>
      <c r="K713">
        <v>0</v>
      </c>
    </row>
    <row r="714" spans="4:11" hidden="1" x14ac:dyDescent="0.25"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 s="3">
        <v>0</v>
      </c>
      <c r="K714">
        <v>0</v>
      </c>
    </row>
    <row r="715" spans="4:11" hidden="1" x14ac:dyDescent="0.25"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 s="3">
        <v>0</v>
      </c>
      <c r="K715">
        <v>0</v>
      </c>
    </row>
    <row r="716" spans="4:11" hidden="1" x14ac:dyDescent="0.25"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 s="3">
        <v>0</v>
      </c>
      <c r="K716">
        <v>0</v>
      </c>
    </row>
    <row r="717" spans="4:11" hidden="1" x14ac:dyDescent="0.25"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 s="3">
        <v>0</v>
      </c>
      <c r="K717">
        <v>0</v>
      </c>
    </row>
    <row r="718" spans="4:11" hidden="1" x14ac:dyDescent="0.25"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 s="3">
        <v>0</v>
      </c>
      <c r="K718">
        <v>0</v>
      </c>
    </row>
    <row r="719" spans="4:11" hidden="1" x14ac:dyDescent="0.25"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 s="3">
        <v>0</v>
      </c>
      <c r="K719">
        <v>0</v>
      </c>
    </row>
    <row r="720" spans="4:11" hidden="1" x14ac:dyDescent="0.25"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 s="3">
        <v>0</v>
      </c>
      <c r="K720">
        <v>0</v>
      </c>
    </row>
    <row r="721" spans="4:11" hidden="1" x14ac:dyDescent="0.25"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 s="3">
        <v>0</v>
      </c>
      <c r="K721">
        <v>0</v>
      </c>
    </row>
    <row r="722" spans="4:11" hidden="1" x14ac:dyDescent="0.25"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 s="3">
        <v>0</v>
      </c>
      <c r="K722">
        <v>0</v>
      </c>
    </row>
    <row r="723" spans="4:11" hidden="1" x14ac:dyDescent="0.25"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 s="3">
        <v>0</v>
      </c>
      <c r="K723">
        <v>0</v>
      </c>
    </row>
    <row r="724" spans="4:11" hidden="1" x14ac:dyDescent="0.25"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 s="3">
        <v>0</v>
      </c>
      <c r="K724">
        <v>0</v>
      </c>
    </row>
    <row r="725" spans="4:11" hidden="1" x14ac:dyDescent="0.25"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 s="3">
        <v>0</v>
      </c>
      <c r="K725">
        <v>0</v>
      </c>
    </row>
    <row r="726" spans="4:11" hidden="1" x14ac:dyDescent="0.25"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 s="3">
        <v>0</v>
      </c>
      <c r="K726">
        <v>0</v>
      </c>
    </row>
    <row r="727" spans="4:11" hidden="1" x14ac:dyDescent="0.25"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 s="3">
        <v>0</v>
      </c>
      <c r="K727">
        <v>0</v>
      </c>
    </row>
    <row r="728" spans="4:11" hidden="1" x14ac:dyDescent="0.25"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 s="3">
        <v>0</v>
      </c>
      <c r="K728">
        <v>0</v>
      </c>
    </row>
    <row r="729" spans="4:11" hidden="1" x14ac:dyDescent="0.25"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 s="3">
        <v>0</v>
      </c>
      <c r="K729">
        <v>0</v>
      </c>
    </row>
    <row r="730" spans="4:11" x14ac:dyDescent="0.25">
      <c r="D730" s="3">
        <v>0</v>
      </c>
    </row>
  </sheetData>
  <autoFilter ref="A1:O729" xr:uid="{00000000-0009-0000-0000-000000000000}">
    <filterColumn colId="1">
      <filters>
        <filter val="Amanda Moura Ferreira"/>
      </filters>
    </filterColumn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B19" t="s">
        <v>84</v>
      </c>
      <c r="C19" t="s">
        <v>85</v>
      </c>
    </row>
    <row r="20" spans="1:3" x14ac:dyDescent="0.25">
      <c r="A20" t="s">
        <v>36</v>
      </c>
      <c r="B20" t="s">
        <v>84</v>
      </c>
      <c r="C20" t="s">
        <v>36</v>
      </c>
    </row>
    <row r="21" spans="1:3" x14ac:dyDescent="0.25">
      <c r="A21" t="s">
        <v>37</v>
      </c>
      <c r="B21" t="s">
        <v>86</v>
      </c>
      <c r="C21" t="s">
        <v>37</v>
      </c>
    </row>
    <row r="22" spans="1:3" x14ac:dyDescent="0.25">
      <c r="A22" t="s">
        <v>38</v>
      </c>
      <c r="B22" t="s">
        <v>87</v>
      </c>
      <c r="C22" t="s">
        <v>38</v>
      </c>
    </row>
    <row r="23" spans="1:3" x14ac:dyDescent="0.25">
      <c r="A23" t="s">
        <v>39</v>
      </c>
      <c r="B23" t="s">
        <v>88</v>
      </c>
      <c r="C23" t="s">
        <v>39</v>
      </c>
    </row>
    <row r="24" spans="1:3" x14ac:dyDescent="0.25">
      <c r="A24" t="s">
        <v>40</v>
      </c>
      <c r="B24" t="s">
        <v>89</v>
      </c>
      <c r="C24" t="s">
        <v>40</v>
      </c>
    </row>
    <row r="25" spans="1:3" x14ac:dyDescent="0.25">
      <c r="A25" t="s">
        <v>41</v>
      </c>
      <c r="B25" t="s">
        <v>90</v>
      </c>
    </row>
    <row r="26" spans="1:3" x14ac:dyDescent="0.25">
      <c r="A26" t="s">
        <v>42</v>
      </c>
      <c r="B26" t="s">
        <v>91</v>
      </c>
      <c r="C26" t="s">
        <v>42</v>
      </c>
    </row>
    <row r="27" spans="1:3" x14ac:dyDescent="0.25">
      <c r="A27" t="s">
        <v>44</v>
      </c>
      <c r="B27" t="s">
        <v>92</v>
      </c>
      <c r="C27" t="s">
        <v>44</v>
      </c>
    </row>
    <row r="28" spans="1:3" x14ac:dyDescent="0.25">
      <c r="A28" t="s">
        <v>46</v>
      </c>
      <c r="B28" t="s">
        <v>93</v>
      </c>
      <c r="C28" t="s">
        <v>46</v>
      </c>
    </row>
    <row r="29" spans="1:3" x14ac:dyDescent="0.25">
      <c r="A29" t="s">
        <v>45</v>
      </c>
      <c r="B29" t="s">
        <v>94</v>
      </c>
      <c r="C29" t="s">
        <v>45</v>
      </c>
    </row>
    <row r="30" spans="1:3" x14ac:dyDescent="0.25">
      <c r="A30" t="s">
        <v>47</v>
      </c>
      <c r="B30" t="s">
        <v>95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96</v>
      </c>
      <c r="C32" t="s">
        <v>49</v>
      </c>
    </row>
    <row r="33" spans="1:3" x14ac:dyDescent="0.25">
      <c r="A33" t="s">
        <v>50</v>
      </c>
      <c r="B33" t="s">
        <v>97</v>
      </c>
      <c r="C33" t="s">
        <v>98</v>
      </c>
    </row>
    <row r="34" spans="1:3" x14ac:dyDescent="0.25">
      <c r="A34" t="s">
        <v>51</v>
      </c>
      <c r="B34" t="s">
        <v>99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B36" t="s">
        <v>100</v>
      </c>
      <c r="C36" t="s">
        <v>101</v>
      </c>
    </row>
    <row r="37" spans="1:3" x14ac:dyDescent="0.25">
      <c r="A37" t="s">
        <v>54</v>
      </c>
      <c r="B37" t="s">
        <v>102</v>
      </c>
      <c r="C37" t="s">
        <v>103</v>
      </c>
    </row>
    <row r="38" spans="1:3" x14ac:dyDescent="0.25">
      <c r="A38" t="s">
        <v>55</v>
      </c>
      <c r="B38" t="s">
        <v>55</v>
      </c>
      <c r="C38" t="s">
        <v>104</v>
      </c>
    </row>
    <row r="39" spans="1:3" x14ac:dyDescent="0.25">
      <c r="A39" t="s">
        <v>56</v>
      </c>
      <c r="B39" t="s">
        <v>105</v>
      </c>
      <c r="C39" t="s">
        <v>56</v>
      </c>
    </row>
    <row r="40" spans="1:3" x14ac:dyDescent="0.25">
      <c r="A40" t="s">
        <v>57</v>
      </c>
      <c r="B40" t="s">
        <v>106</v>
      </c>
      <c r="C40" t="s">
        <v>107</v>
      </c>
    </row>
    <row r="41" spans="1:3" x14ac:dyDescent="0.25">
      <c r="A41" t="s">
        <v>58</v>
      </c>
      <c r="B41" t="s">
        <v>108</v>
      </c>
      <c r="C41" t="s">
        <v>58</v>
      </c>
    </row>
    <row r="42" spans="1:3" x14ac:dyDescent="0.25">
      <c r="A42" t="s">
        <v>59</v>
      </c>
      <c r="B42" t="s">
        <v>109</v>
      </c>
      <c r="C42" t="s">
        <v>59</v>
      </c>
    </row>
    <row r="43" spans="1:3" x14ac:dyDescent="0.25">
      <c r="A43" t="s">
        <v>60</v>
      </c>
      <c r="B43" t="s">
        <v>110</v>
      </c>
      <c r="C43" t="s">
        <v>111</v>
      </c>
    </row>
    <row r="44" spans="1:3" x14ac:dyDescent="0.25">
      <c r="A44" t="s">
        <v>61</v>
      </c>
      <c r="B44" t="s">
        <v>112</v>
      </c>
      <c r="C44" t="s">
        <v>61</v>
      </c>
    </row>
    <row r="45" spans="1:3" x14ac:dyDescent="0.25">
      <c r="A45" t="s">
        <v>62</v>
      </c>
      <c r="B45" t="s">
        <v>113</v>
      </c>
      <c r="C45" t="s">
        <v>62</v>
      </c>
    </row>
    <row r="46" spans="1:3" x14ac:dyDescent="0.25">
      <c r="A46" t="s">
        <v>63</v>
      </c>
      <c r="B46" t="s">
        <v>114</v>
      </c>
      <c r="C46" t="s">
        <v>63</v>
      </c>
    </row>
    <row r="47" spans="1:3" x14ac:dyDescent="0.25">
      <c r="A47" t="s">
        <v>115</v>
      </c>
      <c r="B47" t="s">
        <v>90</v>
      </c>
    </row>
    <row r="48" spans="1:3" x14ac:dyDescent="0.25">
      <c r="A48" t="s">
        <v>116</v>
      </c>
      <c r="B48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2026-05-25T19:02:28Z</dcterms:modified>
</cp:coreProperties>
</file>
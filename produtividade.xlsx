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55"/>
  <sheetViews>
    <sheetView tabSelected="1" zoomScale="85" zoomScaleNormal="85" workbookViewId="0">
      <selection activeCell="I4507" sqref="I4507:L495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 t="n">
        <v>26</v>
      </c>
      <c r="J17" s="3" t="n">
        <v>15</v>
      </c>
      <c r="K17" s="3" t="n">
        <v>11</v>
      </c>
      <c r="L17" s="3" t="inlineStr">
        <is>
          <t>EXCELENTE</t>
        </is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 t="n">
        <v>29</v>
      </c>
      <c r="J21" s="3" t="n">
        <v>17</v>
      </c>
      <c r="K21" s="3" t="n">
        <v>12</v>
      </c>
      <c r="L21" s="3" t="inlineStr">
        <is>
          <t>EXCELENTE</t>
        </is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 t="n">
        <v>33</v>
      </c>
      <c r="J22" s="3" t="n">
        <v>15</v>
      </c>
      <c r="K22" s="3" t="n">
        <v>18</v>
      </c>
      <c r="L22" s="3" t="inlineStr">
        <is>
          <t>EXCELENTE</t>
        </is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 t="n">
        <v>22</v>
      </c>
      <c r="J23" s="3" t="n">
        <v>13</v>
      </c>
      <c r="K23" s="3" t="n">
        <v>9</v>
      </c>
      <c r="L23" s="3" t="inlineStr">
        <is>
          <t>EXCELENTE</t>
        </is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 t="n">
        <v>19</v>
      </c>
      <c r="J24" s="3" t="n">
        <v>11</v>
      </c>
      <c r="K24" s="3" t="n">
        <v>8</v>
      </c>
      <c r="L24" s="3" t="inlineStr">
        <is>
          <t>EXCELENTE</t>
        </is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 t="n">
        <v>25</v>
      </c>
      <c r="J27" s="3" t="n">
        <v>13</v>
      </c>
      <c r="K27" s="3" t="n">
        <v>12</v>
      </c>
      <c r="L27" s="3" t="inlineStr">
        <is>
          <t>EXCELENTE</t>
        </is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 t="n">
        <v>27</v>
      </c>
      <c r="J28" s="3" t="n">
        <v>16</v>
      </c>
      <c r="K28" s="3" t="n">
        <v>11</v>
      </c>
      <c r="L28" s="3" t="inlineStr">
        <is>
          <t>EXCELENTE</t>
        </is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 t="n">
        <v>38</v>
      </c>
      <c r="J29" s="3" t="n">
        <v>16</v>
      </c>
      <c r="K29" s="3" t="n">
        <v>22</v>
      </c>
      <c r="L29" s="3" t="inlineStr">
        <is>
          <t>EXCELENTE</t>
        </is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 t="n">
        <v>29</v>
      </c>
      <c r="J30" s="3" t="n">
        <v>15</v>
      </c>
      <c r="K30" s="3" t="n">
        <v>14</v>
      </c>
      <c r="L30" s="3" t="inlineStr">
        <is>
          <t>EXCELENTE</t>
        </is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 t="n">
        <v>24</v>
      </c>
      <c r="J84" s="3" t="n">
        <v>16</v>
      </c>
      <c r="K84" s="3" t="n">
        <v>8</v>
      </c>
      <c r="L84" s="3" t="inlineStr">
        <is>
          <t>EXCELENTE</t>
        </is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 t="n">
        <v>6</v>
      </c>
      <c r="J155" s="3" t="n">
        <v>8</v>
      </c>
      <c r="K155" s="3" t="n">
        <v>-2</v>
      </c>
      <c r="L155" s="3" t="inlineStr">
        <is>
          <t>ATENÇÃO</t>
        </is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 t="n">
        <v>9</v>
      </c>
      <c r="J157" s="3" t="n">
        <v>8</v>
      </c>
      <c r="K157" s="3" t="n">
        <v>1</v>
      </c>
      <c r="L157" s="3" t="inlineStr">
        <is>
          <t>BOM</t>
        </is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 t="n">
        <v>10</v>
      </c>
      <c r="J158" s="3" t="n">
        <v>7</v>
      </c>
      <c r="K158" s="3" t="n">
        <v>3</v>
      </c>
      <c r="L158" s="3" t="inlineStr">
        <is>
          <t>BOM</t>
        </is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 t="n">
        <v>6</v>
      </c>
      <c r="J159" s="3" t="n">
        <v>6</v>
      </c>
      <c r="K159" s="3" t="n">
        <v>0</v>
      </c>
      <c r="L159" s="3" t="inlineStr">
        <is>
          <t>BOM</t>
        </is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 t="n">
        <v>7</v>
      </c>
      <c r="J160" s="3" t="n">
        <v>6</v>
      </c>
      <c r="K160" s="3" t="n">
        <v>1</v>
      </c>
      <c r="L160" s="3" t="inlineStr">
        <is>
          <t>BOM</t>
        </is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 t="n">
        <v>4</v>
      </c>
      <c r="J161" s="3" t="n">
        <v>6</v>
      </c>
      <c r="K161" s="3" t="n">
        <v>-2</v>
      </c>
      <c r="L161" s="3" t="inlineStr">
        <is>
          <t>ATENÇÃO</t>
        </is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 t="n">
        <v>8</v>
      </c>
      <c r="J162" s="3" t="n">
        <v>8</v>
      </c>
      <c r="K162" s="3" t="n">
        <v>0</v>
      </c>
      <c r="L162" s="3" t="inlineStr">
        <is>
          <t>BOM</t>
        </is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 t="n">
        <v>8</v>
      </c>
      <c r="J163" s="3" t="n">
        <v>8</v>
      </c>
      <c r="K163" s="3" t="n">
        <v>0</v>
      </c>
      <c r="L163" s="3" t="inlineStr">
        <is>
          <t>BOM</t>
        </is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 t="n">
        <v>11</v>
      </c>
      <c r="J164" s="3" t="n">
        <v>8</v>
      </c>
      <c r="K164" s="3" t="n">
        <v>3</v>
      </c>
      <c r="L164" s="3" t="inlineStr">
        <is>
          <t>BOM</t>
        </is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 t="n">
        <v>11</v>
      </c>
      <c r="J165" s="3" t="n">
        <v>8</v>
      </c>
      <c r="K165" s="3" t="n">
        <v>3</v>
      </c>
      <c r="L165" s="3" t="inlineStr">
        <is>
          <t>BOM</t>
        </is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 t="n">
        <v>13</v>
      </c>
      <c r="J362" s="3" t="n">
        <v>8</v>
      </c>
      <c r="K362" s="3" t="n">
        <v>5</v>
      </c>
      <c r="L362" s="3" t="inlineStr">
        <is>
          <t>BOM</t>
        </is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 t="n">
        <v>5</v>
      </c>
      <c r="J363" s="3" t="n">
        <v>8</v>
      </c>
      <c r="K363" s="3" t="n">
        <v>-3</v>
      </c>
      <c r="L363" s="3" t="inlineStr">
        <is>
          <t>ATENÇÃO</t>
        </is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 t="n">
        <v>4</v>
      </c>
      <c r="J365" s="3" t="n">
        <v>7</v>
      </c>
      <c r="K365" s="3" t="n">
        <v>-3</v>
      </c>
      <c r="L365" s="3" t="inlineStr">
        <is>
          <t>ATENÇÃO</t>
        </is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 t="n">
        <v>8</v>
      </c>
      <c r="J366" s="3" t="n">
        <v>6</v>
      </c>
      <c r="K366" s="3" t="n">
        <v>2</v>
      </c>
      <c r="L366" s="3" t="inlineStr">
        <is>
          <t>BOM</t>
        </is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 t="n">
        <v>6</v>
      </c>
      <c r="J367" s="3" t="n">
        <v>6</v>
      </c>
      <c r="K367" s="3" t="n">
        <v>0</v>
      </c>
      <c r="L367" s="3" t="inlineStr">
        <is>
          <t>BOM</t>
        </is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 t="n">
        <v>1</v>
      </c>
      <c r="J368" s="3" t="n">
        <v>6</v>
      </c>
      <c r="K368" s="3" t="n">
        <v>-5</v>
      </c>
      <c r="L368" s="3" t="inlineStr">
        <is>
          <t>ATENÇÃO</t>
        </is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 t="n">
        <v>7</v>
      </c>
      <c r="J370" s="3" t="n">
        <v>8</v>
      </c>
      <c r="K370" s="3" t="n">
        <v>-1</v>
      </c>
      <c r="L370" s="3" t="inlineStr">
        <is>
          <t>ATENÇÃO</t>
        </is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 t="n">
        <v>5</v>
      </c>
      <c r="J371" s="3" t="n">
        <v>8</v>
      </c>
      <c r="K371" s="3" t="n">
        <v>-3</v>
      </c>
      <c r="L371" s="3" t="inlineStr">
        <is>
          <t>ATENÇÃO</t>
        </is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 t="n">
        <v>8</v>
      </c>
      <c r="J372" s="3" t="n">
        <v>8</v>
      </c>
      <c r="K372" s="3" t="n">
        <v>0</v>
      </c>
      <c r="L372" s="3" t="inlineStr">
        <is>
          <t>BOM</t>
        </is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 t="n">
        <v>6</v>
      </c>
      <c r="J373" s="3" t="n">
        <v>8</v>
      </c>
      <c r="K373" s="3" t="n">
        <v>-2</v>
      </c>
      <c r="L373" s="3" t="inlineStr">
        <is>
          <t>ATENÇÃO</t>
        </is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 t="n">
        <v>2</v>
      </c>
      <c r="J409" s="3" t="n">
        <v>8</v>
      </c>
      <c r="K409" s="3" t="n">
        <v>-6</v>
      </c>
      <c r="L409" s="3" t="inlineStr">
        <is>
          <t>CRÍTICO</t>
        </is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 t="n">
        <v>4</v>
      </c>
      <c r="J410" s="3" t="n">
        <v>8</v>
      </c>
      <c r="K410" s="3" t="n">
        <v>-4</v>
      </c>
      <c r="L410" s="3" t="inlineStr">
        <is>
          <t>ATENÇÃO</t>
        </is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 t="n">
        <v>7</v>
      </c>
      <c r="J413" s="3" t="n">
        <v>7</v>
      </c>
      <c r="K413" s="3" t="n">
        <v>0</v>
      </c>
      <c r="L413" s="3" t="inlineStr">
        <is>
          <t>BOM</t>
        </is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 t="inlineStr">
        <is>
          <t>BOM</t>
        </is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 t="inlineStr">
        <is>
          <t>BOM</t>
        </is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 t="inlineStr">
        <is>
          <t>BOM</t>
        </is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 t="n">
        <v>1</v>
      </c>
      <c r="J417" s="3" t="n">
        <v>8</v>
      </c>
      <c r="K417" s="3" t="n">
        <v>-7</v>
      </c>
      <c r="L417" s="3" t="inlineStr">
        <is>
          <t>CRÍTICO</t>
        </is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 t="n">
        <v>7</v>
      </c>
      <c r="J419" s="3" t="n">
        <v>8</v>
      </c>
      <c r="K419" s="3" t="n">
        <v>-1</v>
      </c>
      <c r="L419" s="3" t="inlineStr">
        <is>
          <t>ATENÇÃO</t>
        </is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 t="n">
        <v>9</v>
      </c>
      <c r="J420" s="3" t="n">
        <v>8</v>
      </c>
      <c r="K420" s="3" t="n">
        <v>1</v>
      </c>
      <c r="L420" s="3" t="inlineStr">
        <is>
          <t>BOM</t>
        </is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 t="n">
        <v>8</v>
      </c>
      <c r="J421" s="3" t="n">
        <v>8</v>
      </c>
      <c r="K421" s="3" t="n">
        <v>0</v>
      </c>
      <c r="L421" s="3" t="inlineStr">
        <is>
          <t>BOM</t>
        </is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 t="n">
        <v>19</v>
      </c>
      <c r="J468" s="3" t="n">
        <v>15</v>
      </c>
      <c r="K468" s="3" t="n">
        <v>4</v>
      </c>
      <c r="L468" s="3" t="inlineStr">
        <is>
          <t>BOM</t>
        </is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 t="n">
        <v>21</v>
      </c>
      <c r="J505" s="3" t="n">
        <v>17</v>
      </c>
      <c r="K505" s="3" t="n">
        <v>4</v>
      </c>
      <c r="L505" s="3" t="inlineStr">
        <is>
          <t>BOM</t>
        </is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 t="n">
        <v>20</v>
      </c>
      <c r="J506" s="3" t="n">
        <v>15</v>
      </c>
      <c r="K506" s="3" t="n">
        <v>5</v>
      </c>
      <c r="L506" s="3" t="inlineStr">
        <is>
          <t>BOM</t>
        </is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 t="n">
        <v>14</v>
      </c>
      <c r="J508" s="3" t="n">
        <v>13</v>
      </c>
      <c r="K508" s="3" t="n">
        <v>1</v>
      </c>
      <c r="L508" s="3" t="inlineStr">
        <is>
          <t>BOM</t>
        </is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 t="n">
        <v>19</v>
      </c>
      <c r="J509" s="3" t="n">
        <v>11</v>
      </c>
      <c r="K509" s="3" t="n">
        <v>8</v>
      </c>
      <c r="L509" s="3" t="inlineStr">
        <is>
          <t>EXCELENTE</t>
        </is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 t="n">
        <v>13</v>
      </c>
      <c r="J510" s="3" t="n">
        <v>13</v>
      </c>
      <c r="K510" s="3" t="n">
        <v>0</v>
      </c>
      <c r="L510" s="3" t="inlineStr">
        <is>
          <t>BOM</t>
        </is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 t="n">
        <v>14</v>
      </c>
      <c r="J511" s="3" t="n">
        <v>16</v>
      </c>
      <c r="K511" s="3" t="n">
        <v>-2</v>
      </c>
      <c r="L511" s="3" t="inlineStr">
        <is>
          <t>ATENÇÃO</t>
        </is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 t="n">
        <v>17</v>
      </c>
      <c r="J512" s="3" t="n">
        <v>16</v>
      </c>
      <c r="K512" s="3" t="n">
        <v>1</v>
      </c>
      <c r="L512" s="3" t="inlineStr">
        <is>
          <t>BOM</t>
        </is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 t="n">
        <v>16</v>
      </c>
      <c r="J513" s="3" t="n">
        <v>15</v>
      </c>
      <c r="K513" s="3" t="n">
        <v>1</v>
      </c>
      <c r="L513" s="3" t="inlineStr">
        <is>
          <t>BOM</t>
        </is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 t="n">
        <v>1</v>
      </c>
      <c r="J514" s="3" t="n">
        <v>16</v>
      </c>
      <c r="K514" s="3" t="n">
        <v>-15</v>
      </c>
      <c r="L514" s="3" t="inlineStr">
        <is>
          <t>CRÍTICO</t>
        </is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 t="n">
        <v>17</v>
      </c>
      <c r="J562" s="3" t="n">
        <v>15</v>
      </c>
      <c r="K562" s="3" t="n">
        <v>2</v>
      </c>
      <c r="L562" s="3" t="inlineStr">
        <is>
          <t>BOM</t>
        </is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 t="n">
        <v>18</v>
      </c>
      <c r="J563" s="3" t="n">
        <v>17</v>
      </c>
      <c r="K563" s="3" t="n">
        <v>1</v>
      </c>
      <c r="L563" s="3" t="inlineStr">
        <is>
          <t>BOM</t>
        </is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 t="n">
        <v>12</v>
      </c>
      <c r="J599" s="3" t="n">
        <v>15</v>
      </c>
      <c r="K599" s="3" t="n">
        <v>-3</v>
      </c>
      <c r="L599" s="3" t="inlineStr">
        <is>
          <t>ATENÇÃO</t>
        </is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 t="n">
        <v>12</v>
      </c>
      <c r="J600" s="3" t="n">
        <v>13</v>
      </c>
      <c r="K600" s="3" t="n">
        <v>-1</v>
      </c>
      <c r="L600" s="3" t="inlineStr">
        <is>
          <t>ATENÇÃO</t>
        </is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 t="n">
        <v>12</v>
      </c>
      <c r="J602" s="3" t="n">
        <v>11</v>
      </c>
      <c r="K602" s="3" t="n">
        <v>1</v>
      </c>
      <c r="L602" s="3" t="inlineStr">
        <is>
          <t>BOM</t>
        </is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 t="n">
        <v>16</v>
      </c>
      <c r="J603" s="3" t="n">
        <v>13</v>
      </c>
      <c r="K603" s="3" t="n">
        <v>3</v>
      </c>
      <c r="L603" s="3" t="inlineStr">
        <is>
          <t>BOM</t>
        </is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 t="n">
        <v>16</v>
      </c>
      <c r="J604" s="3" t="n">
        <v>16</v>
      </c>
      <c r="K604" s="3" t="n">
        <v>0</v>
      </c>
      <c r="L604" s="3" t="inlineStr">
        <is>
          <t>BOM</t>
        </is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 t="n">
        <v>9</v>
      </c>
      <c r="J605" s="3" t="n">
        <v>16</v>
      </c>
      <c r="K605" s="3" t="n">
        <v>-7</v>
      </c>
      <c r="L605" s="3" t="inlineStr">
        <is>
          <t>CRÍTICO</t>
        </is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 t="inlineStr">
        <is>
          <t>BOM</t>
        </is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 t="inlineStr">
        <is>
          <t>BOM</t>
        </is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 t="n">
        <v>45</v>
      </c>
      <c r="J653" s="3" t="n">
        <v>8</v>
      </c>
      <c r="K653" s="3" t="n">
        <v>37</v>
      </c>
      <c r="L653" s="3" t="inlineStr">
        <is>
          <t>EXCELENTE</t>
        </is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 t="n">
        <v>24</v>
      </c>
      <c r="J654" s="3" t="n">
        <v>8</v>
      </c>
      <c r="K654" s="3" t="n">
        <v>16</v>
      </c>
      <c r="L654" s="3" t="inlineStr">
        <is>
          <t>EXCELENTE</t>
        </is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 t="n">
        <v>10</v>
      </c>
      <c r="J655" s="3" t="n">
        <v>7</v>
      </c>
      <c r="K655" s="3" t="n">
        <v>3</v>
      </c>
      <c r="L655" s="3" t="inlineStr">
        <is>
          <t>BOM</t>
        </is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 t="n">
        <v>12</v>
      </c>
      <c r="J657" s="3" t="n">
        <v>6</v>
      </c>
      <c r="K657" s="3" t="n">
        <v>6</v>
      </c>
      <c r="L657" s="3" t="inlineStr">
        <is>
          <t>EXCELENTE</t>
        </is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 t="n">
        <v>8</v>
      </c>
      <c r="J658" s="3" t="n">
        <v>6</v>
      </c>
      <c r="K658" s="3" t="n">
        <v>2</v>
      </c>
      <c r="L658" s="3" t="inlineStr">
        <is>
          <t>BOM</t>
        </is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 t="inlineStr">
        <is>
          <t>BOM</t>
        </is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 t="inlineStr">
        <is>
          <t>BOM</t>
        </is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 t="n">
        <v>27</v>
      </c>
      <c r="J661" s="3" t="n">
        <v>27</v>
      </c>
      <c r="K661" s="3" t="n">
        <v>0</v>
      </c>
      <c r="L661" s="3" t="inlineStr">
        <is>
          <t>BOM</t>
        </is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 t="inlineStr">
        <is>
          <t>BOM</t>
        </is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 t="n">
        <v>37</v>
      </c>
      <c r="J727" s="3" t="n">
        <v>27</v>
      </c>
      <c r="K727" s="3" t="n">
        <v>10</v>
      </c>
      <c r="L727" s="3" t="inlineStr">
        <is>
          <t>EXCELENTE</t>
        </is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 t="n">
        <v>31</v>
      </c>
      <c r="J728" s="3" t="n">
        <v>27</v>
      </c>
      <c r="K728" s="3" t="n">
        <v>4</v>
      </c>
      <c r="L728" s="3" t="inlineStr">
        <is>
          <t>BOM</t>
        </is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 t="inlineStr">
        <is>
          <t>BOM</t>
        </is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 t="n">
        <v>24</v>
      </c>
      <c r="J730" s="3" t="n">
        <v>27</v>
      </c>
      <c r="K730" s="3" t="n">
        <v>-3</v>
      </c>
      <c r="L730" s="3" t="inlineStr">
        <is>
          <t>ATENÇÃO</t>
        </is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 t="n">
        <v>25</v>
      </c>
      <c r="J731" s="3" t="n">
        <v>27</v>
      </c>
      <c r="K731" s="3" t="n">
        <v>-2</v>
      </c>
      <c r="L731" s="3" t="inlineStr">
        <is>
          <t>ATENÇÃO</t>
        </is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 t="inlineStr">
        <is>
          <t>BOM</t>
        </is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 t="n">
        <v>29</v>
      </c>
      <c r="J733" s="3" t="n">
        <v>27</v>
      </c>
      <c r="K733" s="3" t="n">
        <v>2</v>
      </c>
      <c r="L733" s="3" t="inlineStr">
        <is>
          <t>BOM</t>
        </is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 t="n">
        <v>31</v>
      </c>
      <c r="J734" s="3" t="n">
        <v>27</v>
      </c>
      <c r="K734" s="3" t="n">
        <v>4</v>
      </c>
      <c r="L734" s="3" t="inlineStr">
        <is>
          <t>BOM</t>
        </is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 t="n">
        <v>26</v>
      </c>
      <c r="J735" s="3" t="n">
        <v>27</v>
      </c>
      <c r="K735" s="3" t="n">
        <v>-1</v>
      </c>
      <c r="L735" s="3" t="inlineStr">
        <is>
          <t>ATENÇÃO</t>
        </is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 t="n">
        <v>31</v>
      </c>
      <c r="J736" s="3" t="n">
        <v>21</v>
      </c>
      <c r="K736" s="3" t="n">
        <v>10</v>
      </c>
      <c r="L736" s="3" t="inlineStr">
        <is>
          <t>EXCELENTE</t>
        </is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 t="n">
        <v>46</v>
      </c>
      <c r="J737" s="3" t="n">
        <v>21</v>
      </c>
      <c r="K737" s="3" t="n">
        <v>25</v>
      </c>
      <c r="L737" s="3" t="inlineStr">
        <is>
          <t>EXCELENTE</t>
        </is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 t="n">
        <v>26</v>
      </c>
      <c r="J738" s="3" t="n">
        <v>21</v>
      </c>
      <c r="K738" s="3" t="n">
        <v>5</v>
      </c>
      <c r="L738" s="3" t="inlineStr">
        <is>
          <t>BOM</t>
        </is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 t="inlineStr">
        <is>
          <t>BOM</t>
        </is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 t="n">
        <v>30</v>
      </c>
      <c r="J740" s="3" t="n">
        <v>21</v>
      </c>
      <c r="K740" s="3" t="n">
        <v>9</v>
      </c>
      <c r="L740" s="3" t="inlineStr">
        <is>
          <t>EXCELENTE</t>
        </is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 t="inlineStr">
        <is>
          <t>BOM</t>
        </is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 t="n">
        <v>23</v>
      </c>
      <c r="J742" s="3" t="n">
        <v>21</v>
      </c>
      <c r="K742" s="3" t="n">
        <v>2</v>
      </c>
      <c r="L742" s="3" t="inlineStr">
        <is>
          <t>BOM</t>
        </is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 t="n">
        <v>22</v>
      </c>
      <c r="J743" s="3" t="n">
        <v>21</v>
      </c>
      <c r="K743" s="3" t="n">
        <v>1</v>
      </c>
      <c r="L743" s="3" t="inlineStr">
        <is>
          <t>BOM</t>
        </is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 t="n">
        <v>25</v>
      </c>
      <c r="J746" s="3" t="n">
        <v>21</v>
      </c>
      <c r="K746" s="3" t="n">
        <v>4</v>
      </c>
      <c r="L746" s="3" t="inlineStr">
        <is>
          <t>BOM</t>
        </is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 t="n">
        <v>26</v>
      </c>
      <c r="J747" s="3" t="n">
        <v>21</v>
      </c>
      <c r="K747" s="3" t="n">
        <v>5</v>
      </c>
      <c r="L747" s="3" t="inlineStr">
        <is>
          <t>BOM</t>
        </is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 t="n">
        <v>15</v>
      </c>
      <c r="J748" s="3" t="n">
        <v>21</v>
      </c>
      <c r="K748" s="3" t="n">
        <v>-6</v>
      </c>
      <c r="L748" s="3" t="inlineStr">
        <is>
          <t>CRÍTICO</t>
        </is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 t="n">
        <v>19</v>
      </c>
      <c r="J749" s="3" t="n">
        <v>18</v>
      </c>
      <c r="K749" s="3" t="n">
        <v>1</v>
      </c>
      <c r="L749" s="3" t="inlineStr">
        <is>
          <t>BOM</t>
        </is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 t="n">
        <v>24</v>
      </c>
      <c r="J750" s="3" t="n">
        <v>18</v>
      </c>
      <c r="K750" s="3" t="n">
        <v>6</v>
      </c>
      <c r="L750" s="3" t="inlineStr">
        <is>
          <t>EXCELENTE</t>
        </is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 t="n">
        <v>22</v>
      </c>
      <c r="J751" s="3" t="n">
        <v>18</v>
      </c>
      <c r="K751" s="3" t="n">
        <v>4</v>
      </c>
      <c r="L751" s="3" t="inlineStr">
        <is>
          <t>BOM</t>
        </is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 t="n">
        <v>22</v>
      </c>
      <c r="J752" s="3" t="n">
        <v>18</v>
      </c>
      <c r="K752" s="3" t="n">
        <v>4</v>
      </c>
      <c r="L752" s="3" t="inlineStr">
        <is>
          <t>BOM</t>
        </is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 t="n">
        <v>26</v>
      </c>
      <c r="J753" s="3" t="n">
        <v>18</v>
      </c>
      <c r="K753" s="3" t="n">
        <v>8</v>
      </c>
      <c r="L753" s="3" t="inlineStr">
        <is>
          <t>EXCELENTE</t>
        </is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 t="n">
        <v>22</v>
      </c>
      <c r="J755" s="3" t="n">
        <v>18</v>
      </c>
      <c r="K755" s="3" t="n">
        <v>4</v>
      </c>
      <c r="L755" s="3" t="inlineStr">
        <is>
          <t>BOM</t>
        </is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 t="n">
        <v>25</v>
      </c>
      <c r="J756" s="3" t="n">
        <v>18</v>
      </c>
      <c r="K756" s="3" t="n">
        <v>7</v>
      </c>
      <c r="L756" s="3" t="inlineStr">
        <is>
          <t>EXCELENTE</t>
        </is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 t="n">
        <v>9</v>
      </c>
      <c r="J757" s="3" t="n">
        <v>6</v>
      </c>
      <c r="K757" s="3" t="n">
        <v>3</v>
      </c>
      <c r="L757" s="3" t="inlineStr">
        <is>
          <t>BOM</t>
        </is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 t="n">
        <v>22</v>
      </c>
      <c r="J758" s="3" t="n">
        <v>8</v>
      </c>
      <c r="K758" s="3" t="n">
        <v>14</v>
      </c>
      <c r="L758" s="3" t="inlineStr">
        <is>
          <t>EXCELENTE</t>
        </is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 t="n">
        <v>32</v>
      </c>
      <c r="J759" s="3" t="n">
        <v>27</v>
      </c>
      <c r="K759" s="3" t="n">
        <v>5</v>
      </c>
      <c r="L759" s="3" t="inlineStr">
        <is>
          <t>BOM</t>
        </is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 t="n">
        <v>22</v>
      </c>
      <c r="J760" s="3" t="n">
        <v>8</v>
      </c>
      <c r="K760" s="3" t="n">
        <v>14</v>
      </c>
      <c r="L760" s="3" t="inlineStr">
        <is>
          <t>EXCELENTE</t>
        </is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 t="n">
        <v>23</v>
      </c>
      <c r="J761" s="3" t="n">
        <v>8</v>
      </c>
      <c r="K761" s="3" t="n">
        <v>15</v>
      </c>
      <c r="L761" s="3" t="inlineStr">
        <is>
          <t>EXCELENTE</t>
        </is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 t="n">
        <v>23</v>
      </c>
      <c r="J762" s="3" t="n">
        <v>8</v>
      </c>
      <c r="K762" s="3" t="n">
        <v>15</v>
      </c>
      <c r="L762" s="3" t="inlineStr">
        <is>
          <t>EXCELENTE</t>
        </is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 t="inlineStr">
        <is>
          <t>BOM</t>
        </is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 t="n">
        <v>20</v>
      </c>
      <c r="J771" s="3" t="n">
        <v>29</v>
      </c>
      <c r="K771" s="3" t="n">
        <v>-9</v>
      </c>
      <c r="L771" s="3" t="inlineStr">
        <is>
          <t>CRÍTICO</t>
        </is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 t="n">
        <v>30</v>
      </c>
      <c r="J3297" s="3" t="n">
        <v>29</v>
      </c>
      <c r="K3297" s="3" t="n">
        <v>1</v>
      </c>
      <c r="L3297" s="3" t="inlineStr">
        <is>
          <t>BOM</t>
        </is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 t="inlineStr">
        <is>
          <t>BOM</t>
        </is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 t="n">
        <v>12</v>
      </c>
      <c r="J3385" s="3" t="n">
        <v>29</v>
      </c>
      <c r="K3385" s="3" t="n">
        <v>-17</v>
      </c>
      <c r="L3385" s="3" t="inlineStr">
        <is>
          <t>CRÍTICO</t>
        </is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 t="n">
        <v>42</v>
      </c>
      <c r="J3429" s="3" t="n">
        <v>29</v>
      </c>
      <c r="K3429" s="3" t="n">
        <v>13</v>
      </c>
      <c r="L3429" s="3" t="inlineStr">
        <is>
          <t>EXCELENTE</t>
        </is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 t="n">
        <v>14</v>
      </c>
      <c r="J3473" s="3" t="n">
        <v>29</v>
      </c>
      <c r="K3473" s="3" t="n">
        <v>-15</v>
      </c>
      <c r="L3473" s="3" t="inlineStr">
        <is>
          <t>CRÍTICO</t>
        </is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 t="inlineStr">
        <is>
          <t>BOM</t>
        </is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 t="n">
        <v>32</v>
      </c>
      <c r="J3561" s="3" t="n">
        <v>29</v>
      </c>
      <c r="K3561" s="3" t="n">
        <v>3</v>
      </c>
      <c r="L3561" s="3" t="inlineStr">
        <is>
          <t>BOM</t>
        </is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 t="n">
        <v>26</v>
      </c>
      <c r="J3605" s="3" t="n">
        <v>29</v>
      </c>
      <c r="K3605" s="3" t="n">
        <v>-3</v>
      </c>
      <c r="L3605" s="3" t="inlineStr">
        <is>
          <t>ATENÇÃO</t>
        </is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 t="n">
        <v>20</v>
      </c>
      <c r="J3649" s="3" t="n">
        <v>29</v>
      </c>
      <c r="K3649" s="3" t="n">
        <v>-9</v>
      </c>
      <c r="L3649" s="3" t="inlineStr">
        <is>
          <t>CRÍTICO</t>
        </is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 t="n">
        <v>35</v>
      </c>
      <c r="J3666" s="3" t="n">
        <v>29</v>
      </c>
      <c r="K3666" s="3" t="n">
        <v>6</v>
      </c>
      <c r="L3666" s="3" t="inlineStr">
        <is>
          <t>EXCELENTE</t>
        </is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 t="n">
        <v>38</v>
      </c>
      <c r="J3671" s="3" t="n">
        <v>29</v>
      </c>
      <c r="K3671" s="3" t="n">
        <v>9</v>
      </c>
      <c r="L3671" s="3" t="inlineStr">
        <is>
          <t>EXCELENTE</t>
        </is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 t="n">
        <v>27</v>
      </c>
      <c r="J3693" s="3" t="n">
        <v>29</v>
      </c>
      <c r="K3693" s="3" t="n">
        <v>-2</v>
      </c>
      <c r="L3693" s="3" t="inlineStr">
        <is>
          <t>ATENÇÃO</t>
        </is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 t="n">
        <v>34</v>
      </c>
      <c r="J3710" s="3" t="n">
        <v>23</v>
      </c>
      <c r="K3710" s="3" t="n">
        <v>11</v>
      </c>
      <c r="L3710" s="3" t="inlineStr">
        <is>
          <t>EXCELENTE</t>
        </is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 t="n">
        <v>34</v>
      </c>
      <c r="J3715" s="3" t="n">
        <v>23</v>
      </c>
      <c r="K3715" s="3" t="n">
        <v>11</v>
      </c>
      <c r="L3715" s="3" t="inlineStr">
        <is>
          <t>EXCELENTE</t>
        </is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 t="n">
        <v>34</v>
      </c>
      <c r="J3759" s="3" t="n">
        <v>23</v>
      </c>
      <c r="K3759" s="3" t="n">
        <v>11</v>
      </c>
      <c r="L3759" s="3" t="inlineStr">
        <is>
          <t>EXCELENTE</t>
        </is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 t="inlineStr">
        <is>
          <t>BOM</t>
        </is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 t="n">
        <v>24</v>
      </c>
      <c r="J3798" s="3" t="n">
        <v>23</v>
      </c>
      <c r="K3798" s="3" t="n">
        <v>1</v>
      </c>
      <c r="L3798" s="3" t="inlineStr">
        <is>
          <t>BOM</t>
        </is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 t="inlineStr">
        <is>
          <t>BOM</t>
        </is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 t="n">
        <v>25</v>
      </c>
      <c r="J3825" s="3" t="n">
        <v>23</v>
      </c>
      <c r="K3825" s="3" t="n">
        <v>2</v>
      </c>
      <c r="L3825" s="3" t="inlineStr">
        <is>
          <t>BOM</t>
        </is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 t="n">
        <v>22</v>
      </c>
      <c r="J3842" s="3" t="n">
        <v>23</v>
      </c>
      <c r="K3842" s="3" t="n">
        <v>-1</v>
      </c>
      <c r="L3842" s="3" t="inlineStr">
        <is>
          <t>ATENÇÃO</t>
        </is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 t="n">
        <v>28</v>
      </c>
      <c r="J3847" s="3" t="n">
        <v>23</v>
      </c>
      <c r="K3847" s="3" t="n">
        <v>5</v>
      </c>
      <c r="L3847" s="3" t="inlineStr">
        <is>
          <t>BOM</t>
        </is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 t="n">
        <v>21</v>
      </c>
      <c r="J3869" s="3" t="n">
        <v>23</v>
      </c>
      <c r="K3869" s="3" t="n">
        <v>-2</v>
      </c>
      <c r="L3869" s="3" t="inlineStr">
        <is>
          <t>ATENÇÃO</t>
        </is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 t="n">
        <v>23</v>
      </c>
      <c r="J3886" s="3" t="n">
        <v>23</v>
      </c>
      <c r="K3886" s="3" t="n">
        <v>0</v>
      </c>
      <c r="L3886" s="3" t="inlineStr">
        <is>
          <t>BOM</t>
        </is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 t="n">
        <v>30</v>
      </c>
      <c r="J3891" s="3" t="n">
        <v>19</v>
      </c>
      <c r="K3891" s="3" t="n">
        <v>11</v>
      </c>
      <c r="L3891" s="3" t="inlineStr">
        <is>
          <t>EXCELENTE</t>
        </is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 t="n">
        <v>26</v>
      </c>
      <c r="J3913" s="3" t="n">
        <v>19</v>
      </c>
      <c r="K3913" s="3" t="n">
        <v>7</v>
      </c>
      <c r="L3913" s="3" t="inlineStr">
        <is>
          <t>EXCELENTE</t>
        </is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 t="n">
        <v>21</v>
      </c>
      <c r="J3928" s="3" t="n">
        <v>19</v>
      </c>
      <c r="K3928" s="3" t="n">
        <v>2</v>
      </c>
      <c r="L3928" s="3" t="inlineStr">
        <is>
          <t>BOM</t>
        </is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 t="n">
        <v>19</v>
      </c>
      <c r="J3930" s="3" t="n">
        <v>19</v>
      </c>
      <c r="K3930" s="3" t="n">
        <v>0</v>
      </c>
      <c r="L3930" s="3" t="inlineStr">
        <is>
          <t>BOM</t>
        </is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 t="n">
        <v>33</v>
      </c>
      <c r="J3935" s="3" t="n">
        <v>19</v>
      </c>
      <c r="K3935" s="3" t="n">
        <v>14</v>
      </c>
      <c r="L3935" s="3" t="inlineStr">
        <is>
          <t>EXCELENTE</t>
        </is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 t="n">
        <v>18</v>
      </c>
      <c r="J3957" s="3" t="n">
        <v>19</v>
      </c>
      <c r="K3957" s="3" t="n">
        <v>-1</v>
      </c>
      <c r="L3957" s="3" t="inlineStr">
        <is>
          <t>ATENÇÃO</t>
        </is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 t="n">
        <v>24</v>
      </c>
      <c r="J3972" s="3" t="n">
        <v>19</v>
      </c>
      <c r="K3972" s="3" t="n">
        <v>5</v>
      </c>
      <c r="L3972" s="3" t="inlineStr">
        <is>
          <t>BOM</t>
        </is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 t="n">
        <v>33</v>
      </c>
      <c r="J3974" s="3" t="n">
        <v>29</v>
      </c>
      <c r="K3974" s="3" t="n">
        <v>4</v>
      </c>
      <c r="L3974" s="3" t="inlineStr">
        <is>
          <t>BOM</t>
        </is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 t="n">
        <v>7</v>
      </c>
      <c r="J4016" s="3" t="n">
        <v>8</v>
      </c>
      <c r="K4016" s="3" t="n">
        <v>-1</v>
      </c>
      <c r="L4016" s="3" t="inlineStr">
        <is>
          <t>ATENÇÃO</t>
        </is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 t="n">
        <v>13</v>
      </c>
      <c r="J4018" s="3" t="n">
        <v>8</v>
      </c>
      <c r="K4018" s="3" t="n">
        <v>5</v>
      </c>
      <c r="L4018" s="3" t="inlineStr">
        <is>
          <t>BOM</t>
        </is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 t="n">
        <v>17</v>
      </c>
      <c r="J4023" s="3" t="n">
        <v>7</v>
      </c>
      <c r="K4023" s="3" t="n">
        <v>10</v>
      </c>
      <c r="L4023" s="3" t="inlineStr">
        <is>
          <t>EXCELENTE</t>
        </is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 t="n">
        <v>13</v>
      </c>
      <c r="J4045" s="3" t="n">
        <v>6</v>
      </c>
      <c r="K4045" s="3" t="n">
        <v>7</v>
      </c>
      <c r="L4045" s="3" t="inlineStr">
        <is>
          <t>EXCELENTE</t>
        </is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 t="n">
        <v>14</v>
      </c>
      <c r="J4060" s="3" t="n">
        <v>6</v>
      </c>
      <c r="K4060" s="3" t="n">
        <v>8</v>
      </c>
      <c r="L4060" s="3" t="inlineStr">
        <is>
          <t>EXCELENTE</t>
        </is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 t="n">
        <v>5</v>
      </c>
      <c r="J4062" s="3" t="n">
        <v>6</v>
      </c>
      <c r="K4062" s="3" t="n">
        <v>-1</v>
      </c>
      <c r="L4062" s="3" t="inlineStr">
        <is>
          <t>ATENÇÃO</t>
        </is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 t="n">
        <v>15</v>
      </c>
      <c r="J4067" s="3" t="n">
        <v>8</v>
      </c>
      <c r="K4067" s="3" t="n">
        <v>7</v>
      </c>
      <c r="L4067" s="3" t="inlineStr">
        <is>
          <t>EXCELENTE</t>
        </is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 t="n">
        <v>16</v>
      </c>
      <c r="J4089" s="3" t="n">
        <v>8</v>
      </c>
      <c r="K4089" s="3" t="n">
        <v>8</v>
      </c>
      <c r="L4089" s="3" t="inlineStr">
        <is>
          <t>EXCELENTE</t>
        </is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 t="n">
        <v>13</v>
      </c>
      <c r="J4104" s="3" t="n">
        <v>8</v>
      </c>
      <c r="K4104" s="3" t="n">
        <v>5</v>
      </c>
      <c r="L4104" s="3" t="inlineStr">
        <is>
          <t>BOM</t>
        </is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 t="n">
        <v>7</v>
      </c>
      <c r="J4106" s="3" t="n">
        <v>8</v>
      </c>
      <c r="K4106" s="3" t="n">
        <v>-1</v>
      </c>
      <c r="L4106" s="3" t="inlineStr">
        <is>
          <t>ATENÇÃO</t>
        </is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 t="inlineStr">
        <is>
          <t>BOM</t>
        </is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 t="n">
        <v>22</v>
      </c>
      <c r="J4133" s="3" t="n">
        <v>26</v>
      </c>
      <c r="K4133" s="3" t="n">
        <v>-4</v>
      </c>
      <c r="L4133" s="3" t="inlineStr">
        <is>
          <t>ATENÇÃO</t>
        </is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 t="n">
        <v>26</v>
      </c>
      <c r="J4148" s="3" t="n">
        <v>26</v>
      </c>
      <c r="K4148" s="3" t="n">
        <v>0</v>
      </c>
      <c r="L4148" s="3" t="inlineStr">
        <is>
          <t>BOM</t>
        </is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 t="inlineStr">
        <is>
          <t>BOM</t>
        </is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 t="inlineStr">
        <is>
          <t>BOM</t>
        </is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 t="n">
        <v>38</v>
      </c>
      <c r="J4177" s="3" t="n">
        <v>26</v>
      </c>
      <c r="K4177" s="3" t="n">
        <v>12</v>
      </c>
      <c r="L4177" s="3" t="inlineStr">
        <is>
          <t>EXCELENTE</t>
        </is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 t="n">
        <v>23</v>
      </c>
      <c r="J4192" s="3" t="n">
        <v>26</v>
      </c>
      <c r="K4192" s="3" t="n">
        <v>-3</v>
      </c>
      <c r="L4192" s="3" t="inlineStr">
        <is>
          <t>ATENÇÃO</t>
        </is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 t="inlineStr">
        <is>
          <t>BOM</t>
        </is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 t="n">
        <v>17</v>
      </c>
      <c r="J4199" s="3" t="n">
        <v>26</v>
      </c>
      <c r="K4199" s="3" t="n">
        <v>-9</v>
      </c>
      <c r="L4199" s="3" t="inlineStr">
        <is>
          <t>CRÍTICO</t>
        </is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 t="n">
        <v>29</v>
      </c>
      <c r="J4221" s="3" t="n">
        <v>26</v>
      </c>
      <c r="K4221" s="3" t="n">
        <v>3</v>
      </c>
      <c r="L4221" s="3" t="inlineStr">
        <is>
          <t>BOM</t>
        </is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 t="n">
        <v>21</v>
      </c>
      <c r="J4236" s="3" t="n">
        <v>26</v>
      </c>
      <c r="K4236" s="3" t="n">
        <v>-5</v>
      </c>
      <c r="L4236" s="3" t="inlineStr">
        <is>
          <t>ATENÇÃO</t>
        </is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 t="n">
        <v>27</v>
      </c>
      <c r="J4238" s="3" t="n">
        <v>26</v>
      </c>
      <c r="K4238" s="3" t="n">
        <v>1</v>
      </c>
      <c r="L4238" s="3" t="inlineStr">
        <is>
          <t>BOM</t>
        </is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 t="n">
        <v>33</v>
      </c>
      <c r="J4243" s="3" t="n">
        <v>26</v>
      </c>
      <c r="K4243" s="3" t="n">
        <v>7</v>
      </c>
      <c r="L4243" s="3" t="inlineStr">
        <is>
          <t>EXCELENTE</t>
        </is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 t="n">
        <v>24</v>
      </c>
      <c r="J4265" s="3" t="n">
        <v>26</v>
      </c>
      <c r="K4265" s="3" t="n">
        <v>-2</v>
      </c>
      <c r="L4265" s="3" t="inlineStr">
        <is>
          <t>ATENÇÃO</t>
        </is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 t="n">
        <v>31</v>
      </c>
      <c r="J4280" s="3" t="n">
        <v>21</v>
      </c>
      <c r="K4280" s="3" t="n">
        <v>10</v>
      </c>
      <c r="L4280" s="3" t="inlineStr">
        <is>
          <t>EXCELENTE</t>
        </is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 t="n">
        <v>25</v>
      </c>
      <c r="J4282" s="3" t="n">
        <v>21</v>
      </c>
      <c r="K4282" s="3" t="n">
        <v>4</v>
      </c>
      <c r="L4282" s="3" t="inlineStr">
        <is>
          <t>BOM</t>
        </is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 t="n">
        <v>27</v>
      </c>
      <c r="J4287" s="3" t="n">
        <v>21</v>
      </c>
      <c r="K4287" s="3" t="n">
        <v>6</v>
      </c>
      <c r="L4287" s="3" t="inlineStr">
        <is>
          <t>EXCELENTE</t>
        </is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 t="inlineStr">
        <is>
          <t>BOM</t>
        </is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 t="n">
        <v>30</v>
      </c>
      <c r="J4324" s="3" t="n">
        <v>21</v>
      </c>
      <c r="K4324" s="3" t="n">
        <v>9</v>
      </c>
      <c r="L4324" s="3" t="inlineStr">
        <is>
          <t>EXCELENTE</t>
        </is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 t="inlineStr">
        <is>
          <t>BOM</t>
        </is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 t="n">
        <v>25</v>
      </c>
      <c r="J4331" s="3" t="n">
        <v>21</v>
      </c>
      <c r="K4331" s="3" t="n">
        <v>4</v>
      </c>
      <c r="L4331" s="3" t="inlineStr">
        <is>
          <t>BOM</t>
        </is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 t="n">
        <v>26</v>
      </c>
      <c r="J4336" s="3" t="n">
        <v>21</v>
      </c>
      <c r="K4336" s="3" t="n">
        <v>5</v>
      </c>
      <c r="L4336" s="3" t="inlineStr">
        <is>
          <t>BOM</t>
        </is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 t="n">
        <v>25</v>
      </c>
      <c r="J4337" s="3" t="n">
        <v>21</v>
      </c>
      <c r="K4337" s="3" t="n">
        <v>4</v>
      </c>
      <c r="L4337" s="3" t="inlineStr">
        <is>
          <t>BOM</t>
        </is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 t="n">
        <v>13</v>
      </c>
      <c r="J4338" s="3" t="n">
        <v>21</v>
      </c>
      <c r="K4338" s="3" t="n">
        <v>-8</v>
      </c>
      <c r="L4338" s="3" t="inlineStr">
        <is>
          <t>CRÍTICO</t>
        </is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 t="inlineStr">
        <is>
          <t>BOM</t>
        </is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 t="n">
        <v>26</v>
      </c>
      <c r="J4340" s="3" t="n">
        <v>17</v>
      </c>
      <c r="K4340" s="3" t="n">
        <v>9</v>
      </c>
      <c r="L4340" s="3" t="inlineStr">
        <is>
          <t>EXCELENTE</t>
        </is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 t="n">
        <v>24</v>
      </c>
      <c r="J4341" s="3" t="n">
        <v>17</v>
      </c>
      <c r="K4341" s="3" t="n">
        <v>7</v>
      </c>
      <c r="L4341" s="3" t="inlineStr">
        <is>
          <t>EXCELENTE</t>
        </is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 t="n">
        <v>16</v>
      </c>
      <c r="J4342" s="3" t="n">
        <v>17</v>
      </c>
      <c r="K4342" s="3" t="n">
        <v>-1</v>
      </c>
      <c r="L4342" s="3" t="inlineStr">
        <is>
          <t>ATENÇÃO</t>
        </is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 t="n">
        <v>18</v>
      </c>
      <c r="J4343" s="3" t="n">
        <v>17</v>
      </c>
      <c r="K4343" s="3" t="n">
        <v>1</v>
      </c>
      <c r="L4343" s="3" t="inlineStr">
        <is>
          <t>BOM</t>
        </is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 t="n">
        <v>25</v>
      </c>
      <c r="J4344" s="3" t="n">
        <v>17</v>
      </c>
      <c r="K4344" s="3" t="n">
        <v>8</v>
      </c>
      <c r="L4344" s="3" t="inlineStr">
        <is>
          <t>EXCELENTE</t>
        </is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 t="n">
        <v>18</v>
      </c>
      <c r="J4345" s="3" t="n">
        <v>17</v>
      </c>
      <c r="K4345" s="3" t="n">
        <v>1</v>
      </c>
      <c r="L4345" s="3" t="inlineStr">
        <is>
          <t>BOM</t>
        </is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 t="n">
        <v>27</v>
      </c>
      <c r="J4346" s="3" t="n">
        <v>17</v>
      </c>
      <c r="K4346" s="3" t="n">
        <v>10</v>
      </c>
      <c r="L4346" s="3" t="inlineStr">
        <is>
          <t>EXCELENTE</t>
        </is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 t="n">
        <v>25</v>
      </c>
      <c r="J4347" s="3" t="n">
        <v>26</v>
      </c>
      <c r="K4347" s="3" t="n">
        <v>-1</v>
      </c>
      <c r="L4347" s="3" t="inlineStr">
        <is>
          <t>ATENÇÃO</t>
        </is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 t="n">
        <v>10</v>
      </c>
      <c r="J4358" s="3" t="n">
        <v>15</v>
      </c>
      <c r="K4358" s="3" t="n">
        <v>-5</v>
      </c>
      <c r="L4358" s="3" t="inlineStr">
        <is>
          <t>ATENÇÃO</t>
        </is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 t="inlineStr">
        <is>
          <t>BOM</t>
        </is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 t="n">
        <v>15</v>
      </c>
      <c r="J4360" s="3" t="n">
        <v>22</v>
      </c>
      <c r="K4360" s="3" t="n">
        <v>-7</v>
      </c>
      <c r="L4360" s="3" t="inlineStr">
        <is>
          <t>CRÍTICO</t>
        </is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 t="n">
        <v>22</v>
      </c>
      <c r="J4361" s="3" t="n">
        <v>22</v>
      </c>
      <c r="K4361" s="3" t="n">
        <v>0</v>
      </c>
      <c r="L4361" s="3" t="inlineStr">
        <is>
          <t>BOM</t>
        </is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 t="inlineStr">
        <is>
          <t>BOM</t>
        </is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 t="inlineStr">
        <is>
          <t>BOM</t>
        </is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 t="n">
        <v>30</v>
      </c>
      <c r="J4364" s="3" t="n">
        <v>22</v>
      </c>
      <c r="K4364" s="3" t="n">
        <v>8</v>
      </c>
      <c r="L4364" s="3" t="inlineStr">
        <is>
          <t>EXCELENTE</t>
        </is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 t="n">
        <v>12</v>
      </c>
      <c r="J4365" s="3" t="n">
        <v>22</v>
      </c>
      <c r="K4365" s="3" t="n">
        <v>-10</v>
      </c>
      <c r="L4365" s="3" t="inlineStr">
        <is>
          <t>CRÍTICO</t>
        </is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 t="inlineStr">
        <is>
          <t>BOM</t>
        </is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 t="n">
        <v>21</v>
      </c>
      <c r="J4367" s="3" t="n">
        <v>22</v>
      </c>
      <c r="K4367" s="3" t="n">
        <v>-1</v>
      </c>
      <c r="L4367" s="3" t="inlineStr">
        <is>
          <t>ATENÇÃO</t>
        </is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 t="n">
        <v>21</v>
      </c>
      <c r="J4368" s="3" t="n">
        <v>22</v>
      </c>
      <c r="K4368" s="3" t="n">
        <v>-1</v>
      </c>
      <c r="L4368" s="3" t="inlineStr">
        <is>
          <t>ATENÇÃO</t>
        </is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 t="n">
        <v>27</v>
      </c>
      <c r="J4369" s="3" t="n">
        <v>22</v>
      </c>
      <c r="K4369" s="3" t="n">
        <v>5</v>
      </c>
      <c r="L4369" s="3" t="inlineStr">
        <is>
          <t>BOM</t>
        </is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 t="n">
        <v>25</v>
      </c>
      <c r="J4370" s="3" t="n">
        <v>22</v>
      </c>
      <c r="K4370" s="3" t="n">
        <v>3</v>
      </c>
      <c r="L4370" s="3" t="inlineStr">
        <is>
          <t>BOM</t>
        </is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 t="n">
        <v>33</v>
      </c>
      <c r="J4371" s="3" t="n">
        <v>22</v>
      </c>
      <c r="K4371" s="3" t="n">
        <v>11</v>
      </c>
      <c r="L4371" s="3" t="inlineStr">
        <is>
          <t>EXCELENTE</t>
        </is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 t="n">
        <v>23</v>
      </c>
      <c r="J4372" s="3" t="n">
        <v>22</v>
      </c>
      <c r="K4372" s="3" t="n">
        <v>1</v>
      </c>
      <c r="L4372" s="3" t="inlineStr">
        <is>
          <t>BOM</t>
        </is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 t="n">
        <v>20</v>
      </c>
      <c r="J4373" s="3" t="n">
        <v>18</v>
      </c>
      <c r="K4373" s="3" t="n">
        <v>2</v>
      </c>
      <c r="L4373" s="3" t="inlineStr">
        <is>
          <t>BOM</t>
        </is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 t="n">
        <v>31</v>
      </c>
      <c r="J4374" s="3" t="n">
        <v>18</v>
      </c>
      <c r="K4374" s="3" t="n">
        <v>13</v>
      </c>
      <c r="L4374" s="3" t="inlineStr">
        <is>
          <t>EXCELENTE</t>
        </is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 t="n">
        <v>23</v>
      </c>
      <c r="J4375" s="3" t="n">
        <v>18</v>
      </c>
      <c r="K4375" s="3" t="n">
        <v>5</v>
      </c>
      <c r="L4375" s="3" t="inlineStr">
        <is>
          <t>BOM</t>
        </is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 t="inlineStr">
        <is>
          <t>BOM</t>
        </is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 t="n">
        <v>26</v>
      </c>
      <c r="J4377" s="3" t="n">
        <v>18</v>
      </c>
      <c r="K4377" s="3" t="n">
        <v>8</v>
      </c>
      <c r="L4377" s="3" t="inlineStr">
        <is>
          <t>EXCELENTE</t>
        </is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 t="inlineStr">
        <is>
          <t>BOM</t>
        </is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 t="n">
        <v>22</v>
      </c>
      <c r="J4379" s="3" t="n">
        <v>18</v>
      </c>
      <c r="K4379" s="3" t="n">
        <v>4</v>
      </c>
      <c r="L4379" s="3" t="inlineStr">
        <is>
          <t>BOM</t>
        </is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 t="n">
        <v>14</v>
      </c>
      <c r="J4380" s="3" t="n">
        <v>18</v>
      </c>
      <c r="K4380" s="3" t="n">
        <v>-4</v>
      </c>
      <c r="L4380" s="3" t="inlineStr">
        <is>
          <t>ATENÇÃO</t>
        </is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 t="n">
        <v>19</v>
      </c>
      <c r="J4381" s="3" t="n">
        <v>18</v>
      </c>
      <c r="K4381" s="3" t="n">
        <v>1</v>
      </c>
      <c r="L4381" s="3" t="inlineStr">
        <is>
          <t>BOM</t>
        </is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 t="n">
        <v>15</v>
      </c>
      <c r="J4382" s="3" t="n">
        <v>18</v>
      </c>
      <c r="K4382" s="3" t="n">
        <v>-3</v>
      </c>
      <c r="L4382" s="3" t="inlineStr">
        <is>
          <t>ATENÇÃO</t>
        </is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 t="inlineStr">
        <is>
          <t>BOM</t>
        </is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 t="n">
        <v>23</v>
      </c>
      <c r="J4384" s="3" t="n">
        <v>15</v>
      </c>
      <c r="K4384" s="3" t="n">
        <v>8</v>
      </c>
      <c r="L4384" s="3" t="inlineStr">
        <is>
          <t>EXCELENTE</t>
        </is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 t="n">
        <v>22</v>
      </c>
      <c r="J4385" s="3" t="n">
        <v>15</v>
      </c>
      <c r="K4385" s="3" t="n">
        <v>7</v>
      </c>
      <c r="L4385" s="3" t="inlineStr">
        <is>
          <t>EXCELENTE</t>
        </is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 t="n">
        <v>16</v>
      </c>
      <c r="J4386" s="3" t="n">
        <v>15</v>
      </c>
      <c r="K4386" s="3" t="n">
        <v>1</v>
      </c>
      <c r="L4386" s="3" t="inlineStr">
        <is>
          <t>BOM</t>
        </is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 t="n">
        <v>20</v>
      </c>
      <c r="J4387" s="3" t="n">
        <v>15</v>
      </c>
      <c r="K4387" s="3" t="n">
        <v>5</v>
      </c>
      <c r="L4387" s="3" t="inlineStr">
        <is>
          <t>BOM</t>
        </is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 t="n">
        <v>27</v>
      </c>
      <c r="J4388" s="3" t="n">
        <v>15</v>
      </c>
      <c r="K4388" s="3" t="n">
        <v>12</v>
      </c>
      <c r="L4388" s="3" t="inlineStr">
        <is>
          <t>EXCELENTE</t>
        </is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 t="n">
        <v>12</v>
      </c>
      <c r="J4389" s="3" t="n">
        <v>15</v>
      </c>
      <c r="K4389" s="3" t="n">
        <v>-3</v>
      </c>
      <c r="L4389" s="3" t="inlineStr">
        <is>
          <t>ATENÇÃO</t>
        </is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 t="n">
        <v>18</v>
      </c>
      <c r="J4390" s="3" t="n">
        <v>15</v>
      </c>
      <c r="K4390" s="3" t="n">
        <v>3</v>
      </c>
      <c r="L4390" s="3" t="inlineStr">
        <is>
          <t>BOM</t>
        </is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 t="n">
        <v>30</v>
      </c>
      <c r="J4391" s="3" t="n">
        <v>22</v>
      </c>
      <c r="K4391" s="3" t="n">
        <v>8</v>
      </c>
      <c r="L4391" s="3" t="inlineStr">
        <is>
          <t>EXCELENTE</t>
        </is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 t="n">
        <v>23</v>
      </c>
      <c r="J4392" s="3" t="n">
        <v>17</v>
      </c>
      <c r="K4392" s="3" t="n">
        <v>6</v>
      </c>
      <c r="L4392" s="3" t="inlineStr">
        <is>
          <t>EXCELENTE</t>
        </is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 t="n">
        <v>21</v>
      </c>
      <c r="J4393" s="3" t="n">
        <v>15</v>
      </c>
      <c r="K4393" s="3" t="n">
        <v>6</v>
      </c>
      <c r="L4393" s="3" t="inlineStr">
        <is>
          <t>EXCELENTE</t>
        </is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 t="n">
        <v>18</v>
      </c>
      <c r="J4394" s="3" t="n">
        <v>13</v>
      </c>
      <c r="K4394" s="3" t="n">
        <v>5</v>
      </c>
      <c r="L4394" s="3" t="inlineStr">
        <is>
          <t>BOM</t>
        </is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 t="n">
        <v>18</v>
      </c>
      <c r="J4395" s="3" t="n">
        <v>11</v>
      </c>
      <c r="K4395" s="3" t="n">
        <v>7</v>
      </c>
      <c r="L4395" s="3" t="inlineStr">
        <is>
          <t>EXCELENTE</t>
        </is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 t="inlineStr">
        <is>
          <t>BOM</t>
        </is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 t="n">
        <v>28</v>
      </c>
      <c r="J4397" s="3" t="n">
        <v>16</v>
      </c>
      <c r="K4397" s="3" t="n">
        <v>12</v>
      </c>
      <c r="L4397" s="3" t="inlineStr">
        <is>
          <t>EXCELENTE</t>
        </is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 t="n">
        <v>21</v>
      </c>
      <c r="J4398" s="3" t="n">
        <v>16</v>
      </c>
      <c r="K4398" s="3" t="n">
        <v>5</v>
      </c>
      <c r="L4398" s="3" t="inlineStr">
        <is>
          <t>BOM</t>
        </is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 t="n">
        <v>28</v>
      </c>
      <c r="J4399" s="3" t="n">
        <v>15</v>
      </c>
      <c r="K4399" s="3" t="n">
        <v>13</v>
      </c>
      <c r="L4399" s="3" t="inlineStr">
        <is>
          <t>EXCELENTE</t>
        </is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 t="n">
        <v>22</v>
      </c>
      <c r="J4400" s="3" t="n">
        <v>16</v>
      </c>
      <c r="K4400" s="3" t="n">
        <v>6</v>
      </c>
      <c r="L4400" s="3" t="inlineStr">
        <is>
          <t>EXCELENTE</t>
        </is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 t="inlineStr">
        <is>
          <t>BOM</t>
        </is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 t="n">
        <v>23</v>
      </c>
      <c r="J4404" s="3" t="n">
        <v>19</v>
      </c>
      <c r="K4404" s="3" t="n">
        <v>4</v>
      </c>
      <c r="L4404" s="3" t="inlineStr">
        <is>
          <t>BOM</t>
        </is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 t="n">
        <v>24</v>
      </c>
      <c r="J4405" s="3" t="n">
        <v>19</v>
      </c>
      <c r="K4405" s="3" t="n">
        <v>5</v>
      </c>
      <c r="L4405" s="3" t="inlineStr">
        <is>
          <t>BOM</t>
        </is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 t="inlineStr">
        <is>
          <t>BOM</t>
        </is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 t="n">
        <v>12</v>
      </c>
      <c r="J4407" s="3" t="n">
        <v>19</v>
      </c>
      <c r="K4407" s="3" t="n">
        <v>-7</v>
      </c>
      <c r="L4407" s="3" t="inlineStr">
        <is>
          <t>CRÍTICO</t>
        </is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 t="n">
        <v>31</v>
      </c>
      <c r="J4408" s="3" t="n">
        <v>19</v>
      </c>
      <c r="K4408" s="3" t="n">
        <v>12</v>
      </c>
      <c r="L4408" s="3" t="inlineStr">
        <is>
          <t>EXCELENTE</t>
        </is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 t="n">
        <v>14</v>
      </c>
      <c r="J4409" s="3" t="n">
        <v>19</v>
      </c>
      <c r="K4409" s="3" t="n">
        <v>-5</v>
      </c>
      <c r="L4409" s="3" t="inlineStr">
        <is>
          <t>ATENÇÃO</t>
        </is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 t="inlineStr">
        <is>
          <t>BOM</t>
        </is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 t="n">
        <v>19</v>
      </c>
      <c r="J4411" s="3" t="n">
        <v>19</v>
      </c>
      <c r="K4411" s="3" t="n">
        <v>0</v>
      </c>
      <c r="L4411" s="3" t="inlineStr">
        <is>
          <t>BOM</t>
        </is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 t="n">
        <v>20</v>
      </c>
      <c r="J4412" s="3" t="n">
        <v>19</v>
      </c>
      <c r="K4412" s="3" t="n">
        <v>1</v>
      </c>
      <c r="L4412" s="3" t="inlineStr">
        <is>
          <t>BOM</t>
        </is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 t="n">
        <v>19</v>
      </c>
      <c r="J4413" s="3" t="n">
        <v>19</v>
      </c>
      <c r="K4413" s="3" t="n">
        <v>0</v>
      </c>
      <c r="L4413" s="3" t="inlineStr">
        <is>
          <t>BOM</t>
        </is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 t="n">
        <v>25</v>
      </c>
      <c r="J4414" s="3" t="n">
        <v>19</v>
      </c>
      <c r="K4414" s="3" t="n">
        <v>6</v>
      </c>
      <c r="L4414" s="3" t="inlineStr">
        <is>
          <t>EXCELENTE</t>
        </is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 t="n">
        <v>22</v>
      </c>
      <c r="J4415" s="3" t="n">
        <v>19</v>
      </c>
      <c r="K4415" s="3" t="n">
        <v>3</v>
      </c>
      <c r="L4415" s="3" t="inlineStr">
        <is>
          <t>BOM</t>
        </is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 t="n">
        <v>22</v>
      </c>
      <c r="J4416" s="3" t="n">
        <v>19</v>
      </c>
      <c r="K4416" s="3" t="n">
        <v>3</v>
      </c>
      <c r="L4416" s="3" t="inlineStr">
        <is>
          <t>BOM</t>
        </is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 t="n">
        <v>16</v>
      </c>
      <c r="J4417" s="3" t="n">
        <v>15</v>
      </c>
      <c r="K4417" s="3" t="n">
        <v>1</v>
      </c>
      <c r="L4417" s="3" t="inlineStr">
        <is>
          <t>BOM</t>
        </is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 t="n">
        <v>33</v>
      </c>
      <c r="J4418" s="3" t="n">
        <v>15</v>
      </c>
      <c r="K4418" s="3" t="n">
        <v>18</v>
      </c>
      <c r="L4418" s="3" t="inlineStr">
        <is>
          <t>EXCELENTE</t>
        </is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 t="n">
        <v>12</v>
      </c>
      <c r="J4419" s="3" t="n">
        <v>15</v>
      </c>
      <c r="K4419" s="3" t="n">
        <v>-3</v>
      </c>
      <c r="L4419" s="3" t="inlineStr">
        <is>
          <t>ATENÇÃO</t>
        </is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 t="inlineStr">
        <is>
          <t>BOM</t>
        </is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 t="n">
        <v>15</v>
      </c>
      <c r="J4421" s="3" t="n">
        <v>15</v>
      </c>
      <c r="K4421" s="3" t="n">
        <v>0</v>
      </c>
      <c r="L4421" s="3" t="inlineStr">
        <is>
          <t>BOM</t>
        </is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 t="inlineStr">
        <is>
          <t>BOM</t>
        </is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 t="n">
        <v>15</v>
      </c>
      <c r="J4423" s="3" t="n">
        <v>15</v>
      </c>
      <c r="K4423" s="3" t="n">
        <v>0</v>
      </c>
      <c r="L4423" s="3" t="inlineStr">
        <is>
          <t>BOM</t>
        </is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 t="n">
        <v>13</v>
      </c>
      <c r="J4424" s="3" t="n">
        <v>15</v>
      </c>
      <c r="K4424" s="3" t="n">
        <v>-2</v>
      </c>
      <c r="L4424" s="3" t="inlineStr">
        <is>
          <t>ATENÇÃO</t>
        </is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 t="n">
        <v>19</v>
      </c>
      <c r="J4425" s="3" t="n">
        <v>15</v>
      </c>
      <c r="K4425" s="3" t="n">
        <v>4</v>
      </c>
      <c r="L4425" s="3" t="inlineStr">
        <is>
          <t>BOM</t>
        </is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 t="inlineStr">
        <is>
          <t>BOM</t>
        </is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 t="n">
        <v>17</v>
      </c>
      <c r="J4427" s="3" t="n">
        <v>15</v>
      </c>
      <c r="K4427" s="3" t="n">
        <v>2</v>
      </c>
      <c r="L4427" s="3" t="inlineStr">
        <is>
          <t>BOM</t>
        </is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 t="n">
        <v>12</v>
      </c>
      <c r="J4428" s="3" t="n">
        <v>13</v>
      </c>
      <c r="K4428" s="3" t="n">
        <v>-1</v>
      </c>
      <c r="L4428" s="3" t="inlineStr">
        <is>
          <t>ATENÇÃO</t>
        </is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 t="n">
        <v>14</v>
      </c>
      <c r="J4429" s="3" t="n">
        <v>13</v>
      </c>
      <c r="K4429" s="3" t="n">
        <v>1</v>
      </c>
      <c r="L4429" s="3" t="inlineStr">
        <is>
          <t>BOM</t>
        </is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 t="n">
        <v>23</v>
      </c>
      <c r="J4430" s="3" t="n">
        <v>13</v>
      </c>
      <c r="K4430" s="3" t="n">
        <v>10</v>
      </c>
      <c r="L4430" s="3" t="inlineStr">
        <is>
          <t>EXCELENTE</t>
        </is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 t="n">
        <v>8</v>
      </c>
      <c r="J4431" s="3" t="n">
        <v>13</v>
      </c>
      <c r="K4431" s="3" t="n">
        <v>-5</v>
      </c>
      <c r="L4431" s="3" t="inlineStr">
        <is>
          <t>ATENÇÃO</t>
        </is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 t="n">
        <v>20</v>
      </c>
      <c r="J4432" s="3" t="n">
        <v>13</v>
      </c>
      <c r="K4432" s="3" t="n">
        <v>7</v>
      </c>
      <c r="L4432" s="3" t="inlineStr">
        <is>
          <t>EXCELENTE</t>
        </is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 t="n">
        <v>17</v>
      </c>
      <c r="J4433" s="3" t="n">
        <v>13</v>
      </c>
      <c r="K4433" s="3" t="n">
        <v>4</v>
      </c>
      <c r="L4433" s="3" t="inlineStr">
        <is>
          <t>BOM</t>
        </is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 t="n">
        <v>7</v>
      </c>
      <c r="J4434" s="3" t="n">
        <v>13</v>
      </c>
      <c r="K4434" s="3" t="n">
        <v>-6</v>
      </c>
      <c r="L4434" s="3" t="inlineStr">
        <is>
          <t>CRÍTICO</t>
        </is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 t="n">
        <v>25</v>
      </c>
      <c r="J4435" s="3" t="n">
        <v>19</v>
      </c>
      <c r="K4435" s="3" t="n">
        <v>6</v>
      </c>
      <c r="L4435" s="3" t="inlineStr">
        <is>
          <t>EXCELENTE</t>
        </is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 t="n">
        <v>10</v>
      </c>
      <c r="J4444" s="3" t="n">
        <v>15</v>
      </c>
      <c r="K4444" s="3" t="n">
        <v>-5</v>
      </c>
      <c r="L4444" s="3" t="inlineStr">
        <is>
          <t>ATENÇÃO</t>
        </is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 t="n">
        <v>13</v>
      </c>
      <c r="J4445" s="3" t="n">
        <v>17</v>
      </c>
      <c r="K4445" s="3" t="n">
        <v>-4</v>
      </c>
      <c r="L4445" s="3" t="inlineStr">
        <is>
          <t>ATENÇÃO</t>
        </is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 t="inlineStr">
        <is>
          <t>BOM</t>
        </is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 t="n">
        <v>23</v>
      </c>
      <c r="J4447" s="3" t="n">
        <v>23</v>
      </c>
      <c r="K4447" s="3" t="n">
        <v>0</v>
      </c>
      <c r="L4447" s="3" t="inlineStr">
        <is>
          <t>BOM</t>
        </is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 t="n">
        <v>22</v>
      </c>
      <c r="J4448" s="3" t="n">
        <v>23</v>
      </c>
      <c r="K4448" s="3" t="n">
        <v>-1</v>
      </c>
      <c r="L4448" s="3" t="inlineStr">
        <is>
          <t>ATENÇÃO</t>
        </is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 t="inlineStr">
        <is>
          <t>BOM</t>
        </is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 t="n">
        <v>19</v>
      </c>
      <c r="J4450" s="3" t="n">
        <v>23</v>
      </c>
      <c r="K4450" s="3" t="n">
        <v>-4</v>
      </c>
      <c r="L4450" s="3" t="inlineStr">
        <is>
          <t>ATENÇÃO</t>
        </is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 t="n">
        <v>21</v>
      </c>
      <c r="J4451" s="3" t="n">
        <v>23</v>
      </c>
      <c r="K4451" s="3" t="n">
        <v>-2</v>
      </c>
      <c r="L4451" s="3" t="inlineStr">
        <is>
          <t>ATENÇÃO</t>
        </is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 t="n">
        <v>16</v>
      </c>
      <c r="J4452" s="3" t="n">
        <v>23</v>
      </c>
      <c r="K4452" s="3" t="n">
        <v>-7</v>
      </c>
      <c r="L4452" s="3" t="inlineStr">
        <is>
          <t>CRÍTICO</t>
        </is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 t="inlineStr">
        <is>
          <t>BOM</t>
        </is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 t="n">
        <v>27</v>
      </c>
      <c r="J4454" s="3" t="n">
        <v>23</v>
      </c>
      <c r="K4454" s="3" t="n">
        <v>4</v>
      </c>
      <c r="L4454" s="3" t="inlineStr">
        <is>
          <t>BOM</t>
        </is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 t="n">
        <v>24</v>
      </c>
      <c r="J4455" s="3" t="n">
        <v>23</v>
      </c>
      <c r="K4455" s="3" t="n">
        <v>1</v>
      </c>
      <c r="L4455" s="3" t="inlineStr">
        <is>
          <t>BOM</t>
        </is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 t="inlineStr">
        <is>
          <t>BOM</t>
        </is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 t="n">
        <v>24</v>
      </c>
      <c r="J4457" s="3" t="n">
        <v>23</v>
      </c>
      <c r="K4457" s="3" t="n">
        <v>1</v>
      </c>
      <c r="L4457" s="3" t="inlineStr">
        <is>
          <t>BOM</t>
        </is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 t="n">
        <v>24</v>
      </c>
      <c r="J4458" s="3" t="n">
        <v>23</v>
      </c>
      <c r="K4458" s="3" t="n">
        <v>1</v>
      </c>
      <c r="L4458" s="3" t="inlineStr">
        <is>
          <t>BOM</t>
        </is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 t="n">
        <v>25</v>
      </c>
      <c r="J4459" s="3" t="n">
        <v>23</v>
      </c>
      <c r="K4459" s="3" t="n">
        <v>2</v>
      </c>
      <c r="L4459" s="3" t="inlineStr">
        <is>
          <t>BOM</t>
        </is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 t="n">
        <v>30</v>
      </c>
      <c r="J4460" s="3" t="n">
        <v>18</v>
      </c>
      <c r="K4460" s="3" t="n">
        <v>12</v>
      </c>
      <c r="L4460" s="3" t="inlineStr">
        <is>
          <t>EXCELENTE</t>
        </is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 t="n">
        <v>31</v>
      </c>
      <c r="J4461" s="3" t="n">
        <v>18</v>
      </c>
      <c r="K4461" s="3" t="n">
        <v>13</v>
      </c>
      <c r="L4461" s="3" t="inlineStr">
        <is>
          <t>EXCELENTE</t>
        </is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 t="n">
        <v>23</v>
      </c>
      <c r="J4462" s="3" t="n">
        <v>18</v>
      </c>
      <c r="K4462" s="3" t="n">
        <v>5</v>
      </c>
      <c r="L4462" s="3" t="inlineStr">
        <is>
          <t>BOM</t>
        </is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 t="inlineStr">
        <is>
          <t>BOM</t>
        </is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 t="n">
        <v>21</v>
      </c>
      <c r="J4464" s="3" t="n">
        <v>18</v>
      </c>
      <c r="K4464" s="3" t="n">
        <v>3</v>
      </c>
      <c r="L4464" s="3" t="inlineStr">
        <is>
          <t>BOM</t>
        </is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 t="inlineStr">
        <is>
          <t>BOM</t>
        </is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 t="n">
        <v>23</v>
      </c>
      <c r="J4466" s="3" t="n">
        <v>18</v>
      </c>
      <c r="K4466" s="3" t="n">
        <v>5</v>
      </c>
      <c r="L4466" s="3" t="inlineStr">
        <is>
          <t>BOM</t>
        </is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 t="n">
        <v>17</v>
      </c>
      <c r="J4467" s="3" t="n">
        <v>18</v>
      </c>
      <c r="K4467" s="3" t="n">
        <v>-1</v>
      </c>
      <c r="L4467" s="3" t="inlineStr">
        <is>
          <t>ATENÇÃO</t>
        </is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 t="n">
        <v>24</v>
      </c>
      <c r="J4468" s="3" t="n">
        <v>18</v>
      </c>
      <c r="K4468" s="3" t="n">
        <v>6</v>
      </c>
      <c r="L4468" s="3" t="inlineStr">
        <is>
          <t>EXCELENTE</t>
        </is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 t="n">
        <v>15</v>
      </c>
      <c r="J4469" s="3" t="n">
        <v>18</v>
      </c>
      <c r="K4469" s="3" t="n">
        <v>-3</v>
      </c>
      <c r="L4469" s="3" t="inlineStr">
        <is>
          <t>ATENÇÃO</t>
        </is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 t="inlineStr">
        <is>
          <t>BOM</t>
        </is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 t="n">
        <v>24</v>
      </c>
      <c r="J4471" s="3" t="n">
        <v>15</v>
      </c>
      <c r="K4471" s="3" t="n">
        <v>9</v>
      </c>
      <c r="L4471" s="3" t="inlineStr">
        <is>
          <t>EXCELENTE</t>
        </is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 t="n">
        <v>11</v>
      </c>
      <c r="J4472" s="3" t="n">
        <v>15</v>
      </c>
      <c r="K4472" s="3" t="n">
        <v>-4</v>
      </c>
      <c r="L4472" s="3" t="inlineStr">
        <is>
          <t>ATENÇÃO</t>
        </is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 t="n">
        <v>25</v>
      </c>
      <c r="J4473" s="3" t="n">
        <v>15</v>
      </c>
      <c r="K4473" s="3" t="n">
        <v>10</v>
      </c>
      <c r="L4473" s="3" t="inlineStr">
        <is>
          <t>EXCELENTE</t>
        </is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 t="n">
        <v>14</v>
      </c>
      <c r="J4474" s="3" t="n">
        <v>15</v>
      </c>
      <c r="K4474" s="3" t="n">
        <v>-1</v>
      </c>
      <c r="L4474" s="3" t="inlineStr">
        <is>
          <t>ATENÇÃO</t>
        </is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 t="n">
        <v>26</v>
      </c>
      <c r="J4475" s="3" t="n">
        <v>15</v>
      </c>
      <c r="K4475" s="3" t="n">
        <v>11</v>
      </c>
      <c r="L4475" s="3" t="inlineStr">
        <is>
          <t>EXCELENTE</t>
        </is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 t="n">
        <v>17</v>
      </c>
      <c r="J4476" s="3" t="n">
        <v>15</v>
      </c>
      <c r="K4476" s="3" t="n">
        <v>2</v>
      </c>
      <c r="L4476" s="3" t="inlineStr">
        <is>
          <t>BOM</t>
        </is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 t="n">
        <v>25</v>
      </c>
      <c r="J4477" s="3" t="n">
        <v>15</v>
      </c>
      <c r="K4477" s="3" t="n">
        <v>10</v>
      </c>
      <c r="L4477" s="3" t="inlineStr">
        <is>
          <t>EXCELENTE</t>
        </is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 t="n">
        <v>41</v>
      </c>
      <c r="J4478" s="3" t="n">
        <v>23</v>
      </c>
      <c r="K4478" s="3" t="n">
        <v>18</v>
      </c>
      <c r="L4478" s="3" t="inlineStr">
        <is>
          <t>EXCELENTE</t>
        </is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 t="n">
        <v>14</v>
      </c>
      <c r="J4479" s="3" t="n">
        <v>15</v>
      </c>
      <c r="K4479" s="3" t="n">
        <v>-1</v>
      </c>
      <c r="L4479" s="3" t="inlineStr">
        <is>
          <t>ATENÇÃO</t>
        </is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 t="n">
        <v>10</v>
      </c>
      <c r="J4480" s="3" t="n">
        <v>13</v>
      </c>
      <c r="K4480" s="3" t="n">
        <v>-3</v>
      </c>
      <c r="L4480" s="3" t="inlineStr">
        <is>
          <t>ATENÇÃO</t>
        </is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 t="n">
        <v>17</v>
      </c>
      <c r="J4481" s="3" t="n">
        <v>11</v>
      </c>
      <c r="K4481" s="3" t="n">
        <v>6</v>
      </c>
      <c r="L4481" s="3" t="inlineStr">
        <is>
          <t>EXCELENTE</t>
        </is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 t="n">
        <v>16</v>
      </c>
      <c r="J4482" s="3" t="n">
        <v>13</v>
      </c>
      <c r="K4482" s="3" t="n">
        <v>3</v>
      </c>
      <c r="L4482" s="3" t="inlineStr">
        <is>
          <t>BOM</t>
        </is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 t="n">
        <v>19</v>
      </c>
      <c r="J4483" s="3" t="n">
        <v>16</v>
      </c>
      <c r="K4483" s="3" t="n">
        <v>3</v>
      </c>
      <c r="L4483" s="3" t="inlineStr">
        <is>
          <t>BOM</t>
        </is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 t="n">
        <v>15</v>
      </c>
      <c r="J4484" s="3" t="n">
        <v>16</v>
      </c>
      <c r="K4484" s="3" t="n">
        <v>-1</v>
      </c>
      <c r="L4484" s="3" t="inlineStr">
        <is>
          <t>ATENÇÃO</t>
        </is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 t="n">
        <v>13</v>
      </c>
      <c r="J4485" s="3" t="n">
        <v>15</v>
      </c>
      <c r="K4485" s="3" t="n">
        <v>-2</v>
      </c>
      <c r="L4485" s="3" t="inlineStr">
        <is>
          <t>ATENÇÃO</t>
        </is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 t="n">
        <v>15</v>
      </c>
      <c r="J4486" s="3" t="n">
        <v>16</v>
      </c>
      <c r="K4486" s="3" t="n">
        <v>-1</v>
      </c>
      <c r="L4486" s="3" t="inlineStr">
        <is>
          <t>ATENÇÃO</t>
        </is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 t="inlineStr">
        <is>
          <t>BOM</t>
        </is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 t="n">
        <v>30</v>
      </c>
      <c r="J4491" s="3" t="n">
        <v>27</v>
      </c>
      <c r="K4491" s="3" t="n">
        <v>3</v>
      </c>
      <c r="L4491" s="3" t="inlineStr">
        <is>
          <t>BOM</t>
        </is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 t="n">
        <v>22</v>
      </c>
      <c r="J4492" s="3" t="n">
        <v>27</v>
      </c>
      <c r="K4492" s="3" t="n">
        <v>-5</v>
      </c>
      <c r="L4492" s="3" t="inlineStr">
        <is>
          <t>ATENÇÃO</t>
        </is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 t="inlineStr">
        <is>
          <t>BOM</t>
        </is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 t="n">
        <v>38</v>
      </c>
      <c r="J4494" s="3" t="n">
        <v>27</v>
      </c>
      <c r="K4494" s="3" t="n">
        <v>11</v>
      </c>
      <c r="L4494" s="3" t="inlineStr">
        <is>
          <t>EXCELENTE</t>
        </is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 t="n">
        <v>40</v>
      </c>
      <c r="J4495" s="3" t="n">
        <v>27</v>
      </c>
      <c r="K4495" s="3" t="n">
        <v>13</v>
      </c>
      <c r="L4495" s="3" t="inlineStr">
        <is>
          <t>EXCELENTE</t>
        </is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 t="n">
        <v>20</v>
      </c>
      <c r="J4496" s="3" t="n">
        <v>27</v>
      </c>
      <c r="K4496" s="3" t="n">
        <v>-7</v>
      </c>
      <c r="L4496" s="3" t="inlineStr">
        <is>
          <t>CRÍTICO</t>
        </is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 t="inlineStr">
        <is>
          <t>BOM</t>
        </is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 t="n">
        <v>31</v>
      </c>
      <c r="J4498" s="3" t="n">
        <v>27</v>
      </c>
      <c r="K4498" s="3" t="n">
        <v>4</v>
      </c>
      <c r="L4498" s="3" t="inlineStr">
        <is>
          <t>BOM</t>
        </is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 t="n">
        <v>26</v>
      </c>
      <c r="J4499" s="3" t="n">
        <v>27</v>
      </c>
      <c r="K4499" s="3" t="n">
        <v>-1</v>
      </c>
      <c r="L4499" s="3" t="inlineStr">
        <is>
          <t>ATENÇÃO</t>
        </is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 t="inlineStr">
        <is>
          <t>BOM</t>
        </is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 t="n">
        <v>32</v>
      </c>
      <c r="J4501" s="3" t="n">
        <v>27</v>
      </c>
      <c r="K4501" s="3" t="n">
        <v>5</v>
      </c>
      <c r="L4501" s="3" t="inlineStr">
        <is>
          <t>BOM</t>
        </is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 t="n">
        <v>33</v>
      </c>
      <c r="J4502" s="3" t="n">
        <v>27</v>
      </c>
      <c r="K4502" s="3" t="n">
        <v>6</v>
      </c>
      <c r="L4502" s="3" t="inlineStr">
        <is>
          <t>EXCELENTE</t>
        </is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 t="n">
        <v>22</v>
      </c>
      <c r="J4503" s="3" t="n">
        <v>27</v>
      </c>
      <c r="K4503" s="3" t="n">
        <v>-5</v>
      </c>
      <c r="L4503" s="3" t="inlineStr">
        <is>
          <t>ATENÇÃO</t>
        </is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 t="n">
        <v>26</v>
      </c>
      <c r="J4504" s="3" t="n">
        <v>22</v>
      </c>
      <c r="K4504" s="3" t="n">
        <v>4</v>
      </c>
      <c r="L4504" s="3" t="inlineStr">
        <is>
          <t>BOM</t>
        </is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 t="n">
        <v>28</v>
      </c>
      <c r="J4505" s="3" t="n">
        <v>22</v>
      </c>
      <c r="K4505" s="3" t="n">
        <v>6</v>
      </c>
      <c r="L4505" s="3" t="inlineStr">
        <is>
          <t>EXCELENTE</t>
        </is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 t="inlineStr">
        <is>
          <t>BOM</t>
        </is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 t="n">
        <v>22</v>
      </c>
      <c r="J4507" s="3" t="n">
        <v>22</v>
      </c>
      <c r="K4507" s="3" t="n">
        <v>0</v>
      </c>
      <c r="L4507" s="3" t="inlineStr">
        <is>
          <t>BOM</t>
        </is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 t="inlineStr">
        <is>
          <t>BOM</t>
        </is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>
        <f>E4514+G4514+H4514</f>
        <v/>
      </c>
      <c r="J4514" s="3">
        <f>ROUND(MIN(IF(C4514="Técnico III",35,IF(C4514="Técnico II",28,IF(C4514="Técnico I",23,IF(C4514="JR",20,IF(C4514="Estágio",10,0))))),IF(C4514="Técnico III",SUMIFS($D:$D,$A:$A,$A4514,$B:$B,"&lt;&gt;Patrícia Karla de Sousa Araújo",$B:$B,"&lt;&gt;Lorena Dias de Araujo",$B:$B,"&lt;&gt;Lucas Luiz Romero")*(35/1083),IF(C4514="Técnico II",SUMIFS($D:$D,$A:$A,$A4514,$B:$B,"&lt;&gt;Patrícia Karla de Sousa Araújo",$B:$B,"&lt;&gt;Lorena Dias de Araujo",$B:$B,"&lt;&gt;Lucas Luiz Romero")*(28/1083),IF(C4514="Técnico I",SUMIFS($D:$D,$A:$A,$A4514,$B:$B,"&lt;&gt;Patrícia Karla de Sousa Araújo",$B:$B,"&lt;&gt;Lorena Dias de Araujo",$B:$B,"&lt;&gt;Lucas Luiz Romero")*(23/1083),IF(C4514="JR",SUMIFS($D:$D,$A:$A,$A4514,$B:$B,"&lt;&gt;Patrícia Karla de Sousa Araújo",$B:$B,"&lt;&gt;Lorena Dias de Araujo",$B:$B,"&lt;&gt;Lucas Luiz Romero")*(20/1083),IF(C4514="Estágio",SUMIFS($D:$D,$A:$A,$A4514,$B:$B,"&lt;&gt;Patrícia Karla de Sousa Araújo",$B:$B,"&lt;&gt;Lorena Dias de Araujo",$B:$B,"&lt;&gt;Lucas Luiz Romero")*(10/1083),0)))))),0)</f>
        <v/>
      </c>
      <c r="K4514" s="3">
        <f>I4514-J4514</f>
        <v/>
      </c>
      <c r="L4514" s="3">
        <f>IF(K4514&lt;-5,"CRÍTICO",IF(K4514&lt;0,"ATENÇÃO",IF(K4514&lt;=5,"OPORTUNO","MUITO BOM")))</f>
        <v/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>
        <f>E4515+G4515+H4515</f>
        <v/>
      </c>
      <c r="J4515" s="3">
        <f>ROUND(MIN(IF(C4515="Técnico III",35,IF(C4515="Técnico II",28,IF(C4515="Técnico I",23,IF(C4515="JR",20,IF(C4515="Estágio",10,0))))),IF(C4515="Técnico III",SUMIFS($D:$D,$A:$A,$A4515,$B:$B,"&lt;&gt;Patrícia Karla de Sousa Araújo",$B:$B,"&lt;&gt;Lorena Dias de Araujo",$B:$B,"&lt;&gt;Lucas Luiz Romero")*(35/1083),IF(C4515="Técnico II",SUMIFS($D:$D,$A:$A,$A4515,$B:$B,"&lt;&gt;Patrícia Karla de Sousa Araújo",$B:$B,"&lt;&gt;Lorena Dias de Araujo",$B:$B,"&lt;&gt;Lucas Luiz Romero")*(28/1083),IF(C4515="Técnico I",SUMIFS($D:$D,$A:$A,$A4515,$B:$B,"&lt;&gt;Patrícia Karla de Sousa Araújo",$B:$B,"&lt;&gt;Lorena Dias de Araujo",$B:$B,"&lt;&gt;Lucas Luiz Romero")*(23/1083),IF(C4515="JR",SUMIFS($D:$D,$A:$A,$A4515,$B:$B,"&lt;&gt;Patrícia Karla de Sousa Araújo",$B:$B,"&lt;&gt;Lorena Dias de Araujo",$B:$B,"&lt;&gt;Lucas Luiz Romero")*(20/1083),IF(C4515="Estágio",SUMIFS($D:$D,$A:$A,$A4515,$B:$B,"&lt;&gt;Patrícia Karla de Sousa Araújo",$B:$B,"&lt;&gt;Lorena Dias de Araujo",$B:$B,"&lt;&gt;Lucas Luiz Romero")*(10/1083),0)))))),0)</f>
        <v/>
      </c>
      <c r="K4515" s="3">
        <f>I4515-J4515</f>
        <v/>
      </c>
      <c r="L4515" s="3">
        <f>IF(K4515&lt;-5,"CRÍTICO",IF(K4515&lt;0,"ATENÇÃO",IF(K4515&lt;=5,"OPORTUNO","MUITO BOM")))</f>
        <v/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>
        <f>E4516+G4516+H4516</f>
        <v/>
      </c>
      <c r="J4516" s="3">
        <f>ROUND(MIN(IF(C4516="Técnico III",35,IF(C4516="Técnico II",28,IF(C4516="Técnico I",23,IF(C4516="JR",20,IF(C4516="Estágio",10,0))))),IF(C4516="Técnico III",SUMIFS($D:$D,$A:$A,$A4516,$B:$B,"&lt;&gt;Patrícia Karla de Sousa Araújo",$B:$B,"&lt;&gt;Lorena Dias de Araujo",$B:$B,"&lt;&gt;Lucas Luiz Romero")*(35/1083),IF(C4516="Técnico II",SUMIFS($D:$D,$A:$A,$A4516,$B:$B,"&lt;&gt;Patrícia Karla de Sousa Araújo",$B:$B,"&lt;&gt;Lorena Dias de Araujo",$B:$B,"&lt;&gt;Lucas Luiz Romero")*(28/1083),IF(C4516="Técnico I",SUMIFS($D:$D,$A:$A,$A4516,$B:$B,"&lt;&gt;Patrícia Karla de Sousa Araújo",$B:$B,"&lt;&gt;Lorena Dias de Araujo",$B:$B,"&lt;&gt;Lucas Luiz Romero")*(23/1083),IF(C4516="JR",SUMIFS($D:$D,$A:$A,$A4516,$B:$B,"&lt;&gt;Patrícia Karla de Sousa Araújo",$B:$B,"&lt;&gt;Lorena Dias de Araujo",$B:$B,"&lt;&gt;Lucas Luiz Romero")*(20/1083),IF(C4516="Estágio",SUMIFS($D:$D,$A:$A,$A4516,$B:$B,"&lt;&gt;Patrícia Karla de Sousa Araújo",$B:$B,"&lt;&gt;Lorena Dias de Araujo",$B:$B,"&lt;&gt;Lucas Luiz Romero")*(10/1083),0)))))),0)</f>
        <v/>
      </c>
      <c r="K4516" s="3">
        <f>I4516-J4516</f>
        <v/>
      </c>
      <c r="L4516" s="3">
        <f>IF(K4516&lt;-5,"CRÍTICO",IF(K4516&lt;0,"ATENÇÃO",IF(K4516&lt;=5,"OPORTUNO","MUITO BOM")))</f>
        <v/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>
        <f>E4517+G4517+H4517</f>
        <v/>
      </c>
      <c r="J4517" s="3">
        <f>ROUND(MIN(IF(C4517="Técnico III",35,IF(C4517="Técnico II",28,IF(C4517="Técnico I",23,IF(C4517="JR",20,IF(C4517="Estágio",10,0))))),IF(C4517="Técnico III",SUMIFS($D:$D,$A:$A,$A4517,$B:$B,"&lt;&gt;Patrícia Karla de Sousa Araújo",$B:$B,"&lt;&gt;Lorena Dias de Araujo",$B:$B,"&lt;&gt;Lucas Luiz Romero")*(35/1083),IF(C4517="Técnico II",SUMIFS($D:$D,$A:$A,$A4517,$B:$B,"&lt;&gt;Patrícia Karla de Sousa Araújo",$B:$B,"&lt;&gt;Lorena Dias de Araujo",$B:$B,"&lt;&gt;Lucas Luiz Romero")*(28/1083),IF(C4517="Técnico I",SUMIFS($D:$D,$A:$A,$A4517,$B:$B,"&lt;&gt;Patrícia Karla de Sousa Araújo",$B:$B,"&lt;&gt;Lorena Dias de Araujo",$B:$B,"&lt;&gt;Lucas Luiz Romero")*(23/1083),IF(C4517="JR",SUMIFS($D:$D,$A:$A,$A4517,$B:$B,"&lt;&gt;Patrícia Karla de Sousa Araújo",$B:$B,"&lt;&gt;Lorena Dias de Araujo",$B:$B,"&lt;&gt;Lucas Luiz Romero")*(20/1083),IF(C4517="Estágio",SUMIFS($D:$D,$A:$A,$A4517,$B:$B,"&lt;&gt;Patrícia Karla de Sousa Araújo",$B:$B,"&lt;&gt;Lorena Dias de Araujo",$B:$B,"&lt;&gt;Lucas Luiz Romero")*(10/1083),0)))))),0)</f>
        <v/>
      </c>
      <c r="K4517" s="3">
        <f>I4517-J4517</f>
        <v/>
      </c>
      <c r="L4517" s="3">
        <f>IF(K4517&lt;-5,"CRÍTICO",IF(K4517&lt;0,"ATENÇÃO",IF(K4517&lt;=5,"OPORTUNO","MUITO BOM")))</f>
        <v/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>
        <f>E4518+G4518+H4518</f>
        <v/>
      </c>
      <c r="J4518" s="3">
        <f>ROUND(MIN(IF(C4518="Técnico III",35,IF(C4518="Técnico II",28,IF(C4518="Técnico I",23,IF(C4518="JR",20,IF(C4518="Estágio",10,0))))),IF(C4518="Técnico III",SUMIFS($D:$D,$A:$A,$A4518,$B:$B,"&lt;&gt;Patrícia Karla de Sousa Araújo",$B:$B,"&lt;&gt;Lorena Dias de Araujo",$B:$B,"&lt;&gt;Lucas Luiz Romero")*(35/1083),IF(C4518="Técnico II",SUMIFS($D:$D,$A:$A,$A4518,$B:$B,"&lt;&gt;Patrícia Karla de Sousa Araújo",$B:$B,"&lt;&gt;Lorena Dias de Araujo",$B:$B,"&lt;&gt;Lucas Luiz Romero")*(28/1083),IF(C4518="Técnico I",SUMIFS($D:$D,$A:$A,$A4518,$B:$B,"&lt;&gt;Patrícia Karla de Sousa Araújo",$B:$B,"&lt;&gt;Lorena Dias de Araujo",$B:$B,"&lt;&gt;Lucas Luiz Romero")*(23/1083),IF(C4518="JR",SUMIFS($D:$D,$A:$A,$A4518,$B:$B,"&lt;&gt;Patrícia Karla de Sousa Araújo",$B:$B,"&lt;&gt;Lorena Dias de Araujo",$B:$B,"&lt;&gt;Lucas Luiz Romero")*(20/1083),IF(C4518="Estágio",SUMIFS($D:$D,$A:$A,$A4518,$B:$B,"&lt;&gt;Patrícia Karla de Sousa Araújo",$B:$B,"&lt;&gt;Lorena Dias de Araujo",$B:$B,"&lt;&gt;Lucas Luiz Romero")*(10/1083),0)))))),0)</f>
        <v/>
      </c>
      <c r="K4518" s="3">
        <f>I4518-J4518</f>
        <v/>
      </c>
      <c r="L4518" s="3">
        <f>IF(K4518&lt;-5,"CRÍTICO",IF(K4518&lt;0,"ATENÇÃO",IF(K4518&lt;=5,"OPORTUNO","MUITO BOM")))</f>
        <v/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>
        <f>E4519+G4519+H4519</f>
        <v/>
      </c>
      <c r="J4519" s="3">
        <f>ROUND(MIN(IF(C4519="Técnico III",35,IF(C4519="Técnico II",28,IF(C4519="Técnico I",23,IF(C4519="JR",20,IF(C4519="Estágio",10,0))))),IF(C4519="Técnico III",SUMIFS($D:$D,$A:$A,$A4519,$B:$B,"&lt;&gt;Patrícia Karla de Sousa Araújo",$B:$B,"&lt;&gt;Lorena Dias de Araujo",$B:$B,"&lt;&gt;Lucas Luiz Romero")*(35/1083),IF(C4519="Técnico II",SUMIFS($D:$D,$A:$A,$A4519,$B:$B,"&lt;&gt;Patrícia Karla de Sousa Araújo",$B:$B,"&lt;&gt;Lorena Dias de Araujo",$B:$B,"&lt;&gt;Lucas Luiz Romero")*(28/1083),IF(C4519="Técnico I",SUMIFS($D:$D,$A:$A,$A4519,$B:$B,"&lt;&gt;Patrícia Karla de Sousa Araújo",$B:$B,"&lt;&gt;Lorena Dias de Araujo",$B:$B,"&lt;&gt;Lucas Luiz Romero")*(23/1083),IF(C4519="JR",SUMIFS($D:$D,$A:$A,$A4519,$B:$B,"&lt;&gt;Patrícia Karla de Sousa Araújo",$B:$B,"&lt;&gt;Lorena Dias de Araujo",$B:$B,"&lt;&gt;Lucas Luiz Romero")*(20/1083),IF(C4519="Estágio",SUMIFS($D:$D,$A:$A,$A4519,$B:$B,"&lt;&gt;Patrícia Karla de Sousa Araújo",$B:$B,"&lt;&gt;Lorena Dias de Araujo",$B:$B,"&lt;&gt;Lucas Luiz Romero")*(10/1083),0)))))),0)</f>
        <v/>
      </c>
      <c r="K4519" s="3">
        <f>I4519-J4519</f>
        <v/>
      </c>
      <c r="L4519" s="3">
        <f>IF(K4519&lt;-5,"CRÍTICO",IF(K4519&lt;0,"ATENÇÃO",IF(K4519&lt;=5,"OPORTUNO","MUITO BOM")))</f>
        <v/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>
        <f>E4520+G4520+H4520</f>
        <v/>
      </c>
      <c r="J4520" s="3">
        <f>ROUND(MIN(IF(C4520="Técnico III",35,IF(C4520="Técnico II",28,IF(C4520="Técnico I",23,IF(C4520="JR",20,IF(C4520="Estágio",10,0))))),IF(C4520="Técnico III",SUMIFS($D:$D,$A:$A,$A4520,$B:$B,"&lt;&gt;Patrícia Karla de Sousa Araújo",$B:$B,"&lt;&gt;Lorena Dias de Araujo",$B:$B,"&lt;&gt;Lucas Luiz Romero")*(35/1083),IF(C4520="Técnico II",SUMIFS($D:$D,$A:$A,$A4520,$B:$B,"&lt;&gt;Patrícia Karla de Sousa Araújo",$B:$B,"&lt;&gt;Lorena Dias de Araujo",$B:$B,"&lt;&gt;Lucas Luiz Romero")*(28/1083),IF(C4520="Técnico I",SUMIFS($D:$D,$A:$A,$A4520,$B:$B,"&lt;&gt;Patrícia Karla de Sousa Araújo",$B:$B,"&lt;&gt;Lorena Dias de Araujo",$B:$B,"&lt;&gt;Lucas Luiz Romero")*(23/1083),IF(C4520="JR",SUMIFS($D:$D,$A:$A,$A4520,$B:$B,"&lt;&gt;Patrícia Karla de Sousa Araújo",$B:$B,"&lt;&gt;Lorena Dias de Araujo",$B:$B,"&lt;&gt;Lucas Luiz Romero")*(20/1083),IF(C4520="Estágio",SUMIFS($D:$D,$A:$A,$A4520,$B:$B,"&lt;&gt;Patrícia Karla de Sousa Araújo",$B:$B,"&lt;&gt;Lorena Dias de Araujo",$B:$B,"&lt;&gt;Lucas Luiz Romero")*(10/1083),0)))))),0)</f>
        <v/>
      </c>
      <c r="K4520" s="3">
        <f>I4520-J4520</f>
        <v/>
      </c>
      <c r="L4520" s="3">
        <f>IF(K4520&lt;-5,"CRÍTICO",IF(K4520&lt;0,"ATENÇÃO",IF(K4520&lt;=5,"OPORTUNO","MUITO BOM")))</f>
        <v/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>
        <f>E4521+G4521+H4521</f>
        <v/>
      </c>
      <c r="J4521" s="3">
        <f>ROUND(MIN(IF(C4521="Técnico III",35,IF(C4521="Técnico II",28,IF(C4521="Técnico I",23,IF(C4521="JR",20,IF(C4521="Estágio",10,0))))),IF(C4521="Técnico III",SUMIFS($D:$D,$A:$A,$A4521,$B:$B,"&lt;&gt;Patrícia Karla de Sousa Araújo",$B:$B,"&lt;&gt;Lorena Dias de Araujo",$B:$B,"&lt;&gt;Lucas Luiz Romero")*(35/1083),IF(C4521="Técnico II",SUMIFS($D:$D,$A:$A,$A4521,$B:$B,"&lt;&gt;Patrícia Karla de Sousa Araújo",$B:$B,"&lt;&gt;Lorena Dias de Araujo",$B:$B,"&lt;&gt;Lucas Luiz Romero")*(28/1083),IF(C4521="Técnico I",SUMIFS($D:$D,$A:$A,$A4521,$B:$B,"&lt;&gt;Patrícia Karla de Sousa Araújo",$B:$B,"&lt;&gt;Lorena Dias de Araujo",$B:$B,"&lt;&gt;Lucas Luiz Romero")*(23/1083),IF(C4521="JR",SUMIFS($D:$D,$A:$A,$A4521,$B:$B,"&lt;&gt;Patrícia Karla de Sousa Araújo",$B:$B,"&lt;&gt;Lorena Dias de Araujo",$B:$B,"&lt;&gt;Lucas Luiz Romero")*(20/1083),IF(C4521="Estágio",SUMIFS($D:$D,$A:$A,$A4521,$B:$B,"&lt;&gt;Patrícia Karla de Sousa Araújo",$B:$B,"&lt;&gt;Lorena Dias de Araujo",$B:$B,"&lt;&gt;Lucas Luiz Romero")*(10/1083),0)))))),0)</f>
        <v/>
      </c>
      <c r="K4521" s="3">
        <f>I4521-J4521</f>
        <v/>
      </c>
      <c r="L4521" s="3">
        <f>IF(K4521&lt;-5,"CRÍTICO",IF(K4521&lt;0,"ATENÇÃO",IF(K4521&lt;=5,"OPORTUNO","MUITO BOM")))</f>
        <v/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>
        <f>E4522+G4522+H4522</f>
        <v/>
      </c>
      <c r="J4522" s="3">
        <f>ROUND(MIN(IF(C4522="Técnico III",35,IF(C4522="Técnico II",28,IF(C4522="Técnico I",23,IF(C4522="JR",20,IF(C4522="Estágio",10,0))))),IF(C4522="Técnico III",SUMIFS($D:$D,$A:$A,$A4522,$B:$B,"&lt;&gt;Patrícia Karla de Sousa Araújo",$B:$B,"&lt;&gt;Lorena Dias de Araujo",$B:$B,"&lt;&gt;Lucas Luiz Romero")*(35/1083),IF(C4522="Técnico II",SUMIFS($D:$D,$A:$A,$A4522,$B:$B,"&lt;&gt;Patrícia Karla de Sousa Araújo",$B:$B,"&lt;&gt;Lorena Dias de Araujo",$B:$B,"&lt;&gt;Lucas Luiz Romero")*(28/1083),IF(C4522="Técnico I",SUMIFS($D:$D,$A:$A,$A4522,$B:$B,"&lt;&gt;Patrícia Karla de Sousa Araújo",$B:$B,"&lt;&gt;Lorena Dias de Araujo",$B:$B,"&lt;&gt;Lucas Luiz Romero")*(23/1083),IF(C4522="JR",SUMIFS($D:$D,$A:$A,$A4522,$B:$B,"&lt;&gt;Patrícia Karla de Sousa Araújo",$B:$B,"&lt;&gt;Lorena Dias de Araujo",$B:$B,"&lt;&gt;Lucas Luiz Romero")*(20/1083),IF(C4522="Estágio",SUMIFS($D:$D,$A:$A,$A4522,$B:$B,"&lt;&gt;Patrícia Karla de Sousa Araújo",$B:$B,"&lt;&gt;Lorena Dias de Araujo",$B:$B,"&lt;&gt;Lucas Luiz Romero")*(10/1083),0)))))),0)</f>
        <v/>
      </c>
      <c r="K4522" s="3">
        <f>I4522-J4522</f>
        <v/>
      </c>
      <c r="L4522" s="3">
        <f>IF(K4522&lt;-5,"CRÍTICO",IF(K4522&lt;0,"ATENÇÃO",IF(K4522&lt;=5,"OPORTUNO","MUITO BOM")))</f>
        <v/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>
        <f>E4523+G4523+H4523</f>
        <v/>
      </c>
      <c r="J4523" s="3">
        <f>ROUND(MIN(IF(C4523="Técnico III",35,IF(C4523="Técnico II",28,IF(C4523="Técnico I",23,IF(C4523="JR",20,IF(C4523="Estágio",10,0))))),IF(C4523="Técnico III",SUMIFS($D:$D,$A:$A,$A4523,$B:$B,"&lt;&gt;Patrícia Karla de Sousa Araújo",$B:$B,"&lt;&gt;Lorena Dias de Araujo",$B:$B,"&lt;&gt;Lucas Luiz Romero")*(35/1083),IF(C4523="Técnico II",SUMIFS($D:$D,$A:$A,$A4523,$B:$B,"&lt;&gt;Patrícia Karla de Sousa Araújo",$B:$B,"&lt;&gt;Lorena Dias de Araujo",$B:$B,"&lt;&gt;Lucas Luiz Romero")*(28/1083),IF(C4523="Técnico I",SUMIFS($D:$D,$A:$A,$A4523,$B:$B,"&lt;&gt;Patrícia Karla de Sousa Araújo",$B:$B,"&lt;&gt;Lorena Dias de Araujo",$B:$B,"&lt;&gt;Lucas Luiz Romero")*(23/1083),IF(C4523="JR",SUMIFS($D:$D,$A:$A,$A4523,$B:$B,"&lt;&gt;Patrícia Karla de Sousa Araújo",$B:$B,"&lt;&gt;Lorena Dias de Araujo",$B:$B,"&lt;&gt;Lucas Luiz Romero")*(20/1083),IF(C4523="Estágio",SUMIFS($D:$D,$A:$A,$A4523,$B:$B,"&lt;&gt;Patrícia Karla de Sousa Araújo",$B:$B,"&lt;&gt;Lorena Dias de Araujo",$B:$B,"&lt;&gt;Lucas Luiz Romero")*(10/1083),0)))))),0)</f>
        <v/>
      </c>
      <c r="K4523" s="3">
        <f>I4523-J4523</f>
        <v/>
      </c>
      <c r="L4523" s="3">
        <f>IF(K4523&lt;-5,"CRÍTICO",IF(K4523&lt;0,"ATENÇÃO",IF(K4523&lt;=5,"OPORTUNO","MUITO BOM")))</f>
        <v/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>
        <f>E4524+G4524+H4524</f>
        <v/>
      </c>
      <c r="J4524" s="3">
        <f>ROUND(MIN(IF(C4524="Técnico III",35,IF(C4524="Técnico II",28,IF(C4524="Técnico I",23,IF(C4524="JR",20,IF(C4524="Estágio",10,0))))),IF(C4524="Técnico III",SUMIFS($D:$D,$A:$A,$A4524,$B:$B,"&lt;&gt;Patrícia Karla de Sousa Araújo",$B:$B,"&lt;&gt;Lorena Dias de Araujo",$B:$B,"&lt;&gt;Lucas Luiz Romero")*(35/1083),IF(C4524="Técnico II",SUMIFS($D:$D,$A:$A,$A4524,$B:$B,"&lt;&gt;Patrícia Karla de Sousa Araújo",$B:$B,"&lt;&gt;Lorena Dias de Araujo",$B:$B,"&lt;&gt;Lucas Luiz Romero")*(28/1083),IF(C4524="Técnico I",SUMIFS($D:$D,$A:$A,$A4524,$B:$B,"&lt;&gt;Patrícia Karla de Sousa Araújo",$B:$B,"&lt;&gt;Lorena Dias de Araujo",$B:$B,"&lt;&gt;Lucas Luiz Romero")*(23/1083),IF(C4524="JR",SUMIFS($D:$D,$A:$A,$A4524,$B:$B,"&lt;&gt;Patrícia Karla de Sousa Araújo",$B:$B,"&lt;&gt;Lorena Dias de Araujo",$B:$B,"&lt;&gt;Lucas Luiz Romero")*(20/1083),IF(C4524="Estágio",SUMIFS($D:$D,$A:$A,$A4524,$B:$B,"&lt;&gt;Patrícia Karla de Sousa Araújo",$B:$B,"&lt;&gt;Lorena Dias de Araujo",$B:$B,"&lt;&gt;Lucas Luiz Romero")*(10/1083),0)))))),0)</f>
        <v/>
      </c>
      <c r="K4524" s="3">
        <f>I4524-J4524</f>
        <v/>
      </c>
      <c r="L4524" s="3">
        <f>IF(K4524&lt;-5,"CRÍTICO",IF(K4524&lt;0,"ATENÇÃO",IF(K4524&lt;=5,"OPORTUNO","MUITO BOM")))</f>
        <v/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>
        <f>E4525+G4525+H4525</f>
        <v/>
      </c>
      <c r="J4525" s="3">
        <f>ROUND(MIN(IF(C4525="Técnico III",35,IF(C4525="Técnico II",28,IF(C4525="Técnico I",23,IF(C4525="JR",20,IF(C4525="Estágio",10,0))))),IF(C4525="Técnico III",SUMIFS($D:$D,$A:$A,$A4525,$B:$B,"&lt;&gt;Patrícia Karla de Sousa Araújo",$B:$B,"&lt;&gt;Lorena Dias de Araujo",$B:$B,"&lt;&gt;Lucas Luiz Romero")*(35/1083),IF(C4525="Técnico II",SUMIFS($D:$D,$A:$A,$A4525,$B:$B,"&lt;&gt;Patrícia Karla de Sousa Araújo",$B:$B,"&lt;&gt;Lorena Dias de Araujo",$B:$B,"&lt;&gt;Lucas Luiz Romero")*(28/1083),IF(C4525="Técnico I",SUMIFS($D:$D,$A:$A,$A4525,$B:$B,"&lt;&gt;Patrícia Karla de Sousa Araújo",$B:$B,"&lt;&gt;Lorena Dias de Araujo",$B:$B,"&lt;&gt;Lucas Luiz Romero")*(23/1083),IF(C4525="JR",SUMIFS($D:$D,$A:$A,$A4525,$B:$B,"&lt;&gt;Patrícia Karla de Sousa Araújo",$B:$B,"&lt;&gt;Lorena Dias de Araujo",$B:$B,"&lt;&gt;Lucas Luiz Romero")*(20/1083),IF(C4525="Estágio",SUMIFS($D:$D,$A:$A,$A4525,$B:$B,"&lt;&gt;Patrícia Karla de Sousa Araújo",$B:$B,"&lt;&gt;Lorena Dias de Araujo",$B:$B,"&lt;&gt;Lucas Luiz Romero")*(10/1083),0)))))),0)</f>
        <v/>
      </c>
      <c r="K4525" s="3">
        <f>I4525-J4525</f>
        <v/>
      </c>
      <c r="L4525" s="3">
        <f>IF(K4525&lt;-5,"CRÍTICO",IF(K4525&lt;0,"ATENÇÃO",IF(K4525&lt;=5,"OPORTUNO","MUITO BOM")))</f>
        <v/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>
        <f>E4526+G4526+H4526</f>
        <v/>
      </c>
      <c r="J4526" s="3">
        <f>ROUND(MIN(IF(C4526="Técnico III",35,IF(C4526="Técnico II",28,IF(C4526="Técnico I",23,IF(C4526="JR",20,IF(C4526="Estágio",10,0))))),IF(C4526="Técnico III",SUMIFS($D:$D,$A:$A,$A4526,$B:$B,"&lt;&gt;Patrícia Karla de Sousa Araújo",$B:$B,"&lt;&gt;Lorena Dias de Araujo",$B:$B,"&lt;&gt;Lucas Luiz Romero")*(35/1083),IF(C4526="Técnico II",SUMIFS($D:$D,$A:$A,$A4526,$B:$B,"&lt;&gt;Patrícia Karla de Sousa Araújo",$B:$B,"&lt;&gt;Lorena Dias de Araujo",$B:$B,"&lt;&gt;Lucas Luiz Romero")*(28/1083),IF(C4526="Técnico I",SUMIFS($D:$D,$A:$A,$A4526,$B:$B,"&lt;&gt;Patrícia Karla de Sousa Araújo",$B:$B,"&lt;&gt;Lorena Dias de Araujo",$B:$B,"&lt;&gt;Lucas Luiz Romero")*(23/1083),IF(C4526="JR",SUMIFS($D:$D,$A:$A,$A4526,$B:$B,"&lt;&gt;Patrícia Karla de Sousa Araújo",$B:$B,"&lt;&gt;Lorena Dias de Araujo",$B:$B,"&lt;&gt;Lucas Luiz Romero")*(20/1083),IF(C4526="Estágio",SUMIFS($D:$D,$A:$A,$A4526,$B:$B,"&lt;&gt;Patrícia Karla de Sousa Araújo",$B:$B,"&lt;&gt;Lorena Dias de Araujo",$B:$B,"&lt;&gt;Lucas Luiz Romero")*(10/1083),0)))))),0)</f>
        <v/>
      </c>
      <c r="K4526" s="3">
        <f>I4526-J4526</f>
        <v/>
      </c>
      <c r="L4526" s="3">
        <f>IF(K4526&lt;-5,"CRÍTICO",IF(K4526&lt;0,"ATENÇÃO",IF(K4526&lt;=5,"OPORTUNO","MUITO BOM")))</f>
        <v/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>
        <f>E4527+G4527+H4527</f>
        <v/>
      </c>
      <c r="J4527" s="3">
        <f>ROUND(MIN(IF(C4527="Técnico III",35,IF(C4527="Técnico II",28,IF(C4527="Técnico I",23,IF(C4527="JR",20,IF(C4527="Estágio",10,0))))),IF(C4527="Técnico III",SUMIFS($D:$D,$A:$A,$A4527,$B:$B,"&lt;&gt;Patrícia Karla de Sousa Araújo",$B:$B,"&lt;&gt;Lorena Dias de Araujo",$B:$B,"&lt;&gt;Lucas Luiz Romero")*(35/1083),IF(C4527="Técnico II",SUMIFS($D:$D,$A:$A,$A4527,$B:$B,"&lt;&gt;Patrícia Karla de Sousa Araújo",$B:$B,"&lt;&gt;Lorena Dias de Araujo",$B:$B,"&lt;&gt;Lucas Luiz Romero")*(28/1083),IF(C4527="Técnico I",SUMIFS($D:$D,$A:$A,$A4527,$B:$B,"&lt;&gt;Patrícia Karla de Sousa Araújo",$B:$B,"&lt;&gt;Lorena Dias de Araujo",$B:$B,"&lt;&gt;Lucas Luiz Romero")*(23/1083),IF(C4527="JR",SUMIFS($D:$D,$A:$A,$A4527,$B:$B,"&lt;&gt;Patrícia Karla de Sousa Araújo",$B:$B,"&lt;&gt;Lorena Dias de Araujo",$B:$B,"&lt;&gt;Lucas Luiz Romero")*(20/1083),IF(C4527="Estágio",SUMIFS($D:$D,$A:$A,$A4527,$B:$B,"&lt;&gt;Patrícia Karla de Sousa Araújo",$B:$B,"&lt;&gt;Lorena Dias de Araujo",$B:$B,"&lt;&gt;Lucas Luiz Romero")*(10/1083),0)))))),0)</f>
        <v/>
      </c>
      <c r="K4527" s="3">
        <f>I4527-J4527</f>
        <v/>
      </c>
      <c r="L4527" s="3">
        <f>IF(K4527&lt;-5,"CRÍTICO",IF(K4527&lt;0,"ATENÇÃO",IF(K4527&lt;=5,"OPORTUNO","MUITO BOM")))</f>
        <v/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>
        <f>E4528+G4528+H4528</f>
        <v/>
      </c>
      <c r="J4528" s="3">
        <f>ROUND(MIN(IF(C4528="Técnico III",35,IF(C4528="Técnico II",28,IF(C4528="Técnico I",23,IF(C4528="JR",20,IF(C4528="Estágio",10,0))))),IF(C4528="Técnico III",SUMIFS($D:$D,$A:$A,$A4528,$B:$B,"&lt;&gt;Patrícia Karla de Sousa Araújo",$B:$B,"&lt;&gt;Lorena Dias de Araujo",$B:$B,"&lt;&gt;Lucas Luiz Romero")*(35/1083),IF(C4528="Técnico II",SUMIFS($D:$D,$A:$A,$A4528,$B:$B,"&lt;&gt;Patrícia Karla de Sousa Araújo",$B:$B,"&lt;&gt;Lorena Dias de Araujo",$B:$B,"&lt;&gt;Lucas Luiz Romero")*(28/1083),IF(C4528="Técnico I",SUMIFS($D:$D,$A:$A,$A4528,$B:$B,"&lt;&gt;Patrícia Karla de Sousa Araújo",$B:$B,"&lt;&gt;Lorena Dias de Araujo",$B:$B,"&lt;&gt;Lucas Luiz Romero")*(23/1083),IF(C4528="JR",SUMIFS($D:$D,$A:$A,$A4528,$B:$B,"&lt;&gt;Patrícia Karla de Sousa Araújo",$B:$B,"&lt;&gt;Lorena Dias de Araujo",$B:$B,"&lt;&gt;Lucas Luiz Romero")*(20/1083),IF(C4528="Estágio",SUMIFS($D:$D,$A:$A,$A4528,$B:$B,"&lt;&gt;Patrícia Karla de Sousa Araújo",$B:$B,"&lt;&gt;Lorena Dias de Araujo",$B:$B,"&lt;&gt;Lucas Luiz Romero")*(10/1083),0)))))),0)</f>
        <v/>
      </c>
      <c r="K4528" s="3">
        <f>I4528-J4528</f>
        <v/>
      </c>
      <c r="L4528" s="3">
        <f>IF(K4528&lt;-5,"CRÍTICO",IF(K4528&lt;0,"ATENÇÃO",IF(K4528&lt;=5,"OPORTUNO","MUITO BOM")))</f>
        <v/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>
        <f>E4529+G4529+H4529</f>
        <v/>
      </c>
      <c r="J4529" s="3">
        <f>ROUND(MIN(IF(C4529="Técnico III",35,IF(C4529="Técnico II",28,IF(C4529="Técnico I",23,IF(C4529="JR",20,IF(C4529="Estágio",10,0))))),IF(C4529="Técnico III",SUMIFS($D:$D,$A:$A,$A4529,$B:$B,"&lt;&gt;Patrícia Karla de Sousa Araújo",$B:$B,"&lt;&gt;Lorena Dias de Araujo",$B:$B,"&lt;&gt;Lucas Luiz Romero")*(35/1083),IF(C4529="Técnico II",SUMIFS($D:$D,$A:$A,$A4529,$B:$B,"&lt;&gt;Patrícia Karla de Sousa Araújo",$B:$B,"&lt;&gt;Lorena Dias de Araujo",$B:$B,"&lt;&gt;Lucas Luiz Romero")*(28/1083),IF(C4529="Técnico I",SUMIFS($D:$D,$A:$A,$A4529,$B:$B,"&lt;&gt;Patrícia Karla de Sousa Araújo",$B:$B,"&lt;&gt;Lorena Dias de Araujo",$B:$B,"&lt;&gt;Lucas Luiz Romero")*(23/1083),IF(C4529="JR",SUMIFS($D:$D,$A:$A,$A4529,$B:$B,"&lt;&gt;Patrícia Karla de Sousa Araújo",$B:$B,"&lt;&gt;Lorena Dias de Araujo",$B:$B,"&lt;&gt;Lucas Luiz Romero")*(20/1083),IF(C4529="Estágio",SUMIFS($D:$D,$A:$A,$A4529,$B:$B,"&lt;&gt;Patrícia Karla de Sousa Araújo",$B:$B,"&lt;&gt;Lorena Dias de Araujo",$B:$B,"&lt;&gt;Lucas Luiz Romero")*(10/1083),0)))))),0)</f>
        <v/>
      </c>
      <c r="K4529" s="3">
        <f>I4529-J4529</f>
        <v/>
      </c>
      <c r="L4529" s="3">
        <f>IF(K4529&lt;-5,"CRÍTICO",IF(K4529&lt;0,"ATENÇÃO",IF(K4529&lt;=5,"OPORTUNO","MUITO BOM")))</f>
        <v/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>
        <f>E4530+G4530+H4530</f>
        <v/>
      </c>
      <c r="J4530" s="3">
        <f>ROUND(MIN(IF(C4530="Técnico III",35,IF(C4530="Técnico II",28,IF(C4530="Técnico I",23,IF(C4530="JR",20,IF(C4530="Estágio",10,0))))),IF(C4530="Técnico III",SUMIFS($D:$D,$A:$A,$A4530,$B:$B,"&lt;&gt;Patrícia Karla de Sousa Araújo",$B:$B,"&lt;&gt;Lorena Dias de Araujo",$B:$B,"&lt;&gt;Lucas Luiz Romero")*(35/1083),IF(C4530="Técnico II",SUMIFS($D:$D,$A:$A,$A4530,$B:$B,"&lt;&gt;Patrícia Karla de Sousa Araújo",$B:$B,"&lt;&gt;Lorena Dias de Araujo",$B:$B,"&lt;&gt;Lucas Luiz Romero")*(28/1083),IF(C4530="Técnico I",SUMIFS($D:$D,$A:$A,$A4530,$B:$B,"&lt;&gt;Patrícia Karla de Sousa Araújo",$B:$B,"&lt;&gt;Lorena Dias de Araujo",$B:$B,"&lt;&gt;Lucas Luiz Romero")*(23/1083),IF(C4530="JR",SUMIFS($D:$D,$A:$A,$A4530,$B:$B,"&lt;&gt;Patrícia Karla de Sousa Araújo",$B:$B,"&lt;&gt;Lorena Dias de Araujo",$B:$B,"&lt;&gt;Lucas Luiz Romero")*(20/1083),IF(C4530="Estágio",SUMIFS($D:$D,$A:$A,$A4530,$B:$B,"&lt;&gt;Patrícia Karla de Sousa Araújo",$B:$B,"&lt;&gt;Lorena Dias de Araujo",$B:$B,"&lt;&gt;Lucas Luiz Romero")*(10/1083),0)))))),0)</f>
        <v/>
      </c>
      <c r="K4530" s="3">
        <f>I4530-J4530</f>
        <v/>
      </c>
      <c r="L4530" s="3">
        <f>IF(K4530&lt;-5,"CRÍTICO",IF(K4530&lt;0,"ATENÇÃO",IF(K4530&lt;=5,"OPORTUNO","MUITO BOM")))</f>
        <v/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>
        <f>E4531+G4531+H4531</f>
        <v/>
      </c>
      <c r="J4531" s="3">
        <f>ROUND(MIN(IF(C4531="Técnico III",35,IF(C4531="Técnico II",28,IF(C4531="Técnico I",23,IF(C4531="JR",20,IF(C4531="Estágio",10,0))))),IF(C4531="Técnico III",SUMIFS($D:$D,$A:$A,$A4531,$B:$B,"&lt;&gt;Patrícia Karla de Sousa Araújo",$B:$B,"&lt;&gt;Lorena Dias de Araujo",$B:$B,"&lt;&gt;Lucas Luiz Romero")*(35/1083),IF(C4531="Técnico II",SUMIFS($D:$D,$A:$A,$A4531,$B:$B,"&lt;&gt;Patrícia Karla de Sousa Araújo",$B:$B,"&lt;&gt;Lorena Dias de Araujo",$B:$B,"&lt;&gt;Lucas Luiz Romero")*(28/1083),IF(C4531="Técnico I",SUMIFS($D:$D,$A:$A,$A4531,$B:$B,"&lt;&gt;Patrícia Karla de Sousa Araújo",$B:$B,"&lt;&gt;Lorena Dias de Araujo",$B:$B,"&lt;&gt;Lucas Luiz Romero")*(23/1083),IF(C4531="JR",SUMIFS($D:$D,$A:$A,$A4531,$B:$B,"&lt;&gt;Patrícia Karla de Sousa Araújo",$B:$B,"&lt;&gt;Lorena Dias de Araujo",$B:$B,"&lt;&gt;Lucas Luiz Romero")*(20/1083),IF(C4531="Estágio",SUMIFS($D:$D,$A:$A,$A4531,$B:$B,"&lt;&gt;Patrícia Karla de Sousa Araújo",$B:$B,"&lt;&gt;Lorena Dias de Araujo",$B:$B,"&lt;&gt;Lucas Luiz Romero")*(10/1083),0)))))),0)</f>
        <v/>
      </c>
      <c r="K4531" s="3">
        <f>I4531-J4531</f>
        <v/>
      </c>
      <c r="L4531" s="3">
        <f>IF(K4531&lt;-5,"CRÍTICO",IF(K4531&lt;0,"ATENÇÃO",IF(K4531&lt;=5,"OPORTUNO","MUITO BOM")))</f>
        <v/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>
        <f>E4532+G4532+H4532</f>
        <v/>
      </c>
      <c r="J4532" s="3">
        <f>ROUND(MIN(IF(C4532="Técnico III",35,IF(C4532="Técnico II",28,IF(C4532="Técnico I",23,IF(C4532="JR",20,IF(C4532="Estágio",10,0))))),IF(C4532="Técnico III",SUMIFS($D:$D,$A:$A,$A4532,$B:$B,"&lt;&gt;Patrícia Karla de Sousa Araújo",$B:$B,"&lt;&gt;Lorena Dias de Araujo",$B:$B,"&lt;&gt;Lucas Luiz Romero")*(35/1083),IF(C4532="Técnico II",SUMIFS($D:$D,$A:$A,$A4532,$B:$B,"&lt;&gt;Patrícia Karla de Sousa Araújo",$B:$B,"&lt;&gt;Lorena Dias de Araujo",$B:$B,"&lt;&gt;Lucas Luiz Romero")*(28/1083),IF(C4532="Técnico I",SUMIFS($D:$D,$A:$A,$A4532,$B:$B,"&lt;&gt;Patrícia Karla de Sousa Araújo",$B:$B,"&lt;&gt;Lorena Dias de Araujo",$B:$B,"&lt;&gt;Lucas Luiz Romero")*(23/1083),IF(C4532="JR",SUMIFS($D:$D,$A:$A,$A4532,$B:$B,"&lt;&gt;Patrícia Karla de Sousa Araújo",$B:$B,"&lt;&gt;Lorena Dias de Araujo",$B:$B,"&lt;&gt;Lucas Luiz Romero")*(20/1083),IF(C4532="Estágio",SUMIFS($D:$D,$A:$A,$A4532,$B:$B,"&lt;&gt;Patrícia Karla de Sousa Araújo",$B:$B,"&lt;&gt;Lorena Dias de Araujo",$B:$B,"&lt;&gt;Lucas Luiz Romero")*(10/1083),0)))))),0)</f>
        <v/>
      </c>
      <c r="K4532" s="3">
        <f>I4532-J4532</f>
        <v/>
      </c>
      <c r="L4532" s="3">
        <f>IF(K4532&lt;-5,"CRÍTICO",IF(K4532&lt;0,"ATENÇÃO",IF(K4532&lt;=5,"OPORTUNO","MUITO BOM")))</f>
        <v/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>
        <f>E4533+G4533+H4533</f>
        <v/>
      </c>
      <c r="J4533" s="3">
        <f>ROUND(MIN(IF(C4533="Técnico III",35,IF(C4533="Técnico II",28,IF(C4533="Técnico I",23,IF(C4533="JR",20,IF(C4533="Estágio",10,0))))),IF(C4533="Técnico III",SUMIFS($D:$D,$A:$A,$A4533,$B:$B,"&lt;&gt;Patrícia Karla de Sousa Araújo",$B:$B,"&lt;&gt;Lorena Dias de Araujo",$B:$B,"&lt;&gt;Lucas Luiz Romero")*(35/1083),IF(C4533="Técnico II",SUMIFS($D:$D,$A:$A,$A4533,$B:$B,"&lt;&gt;Patrícia Karla de Sousa Araújo",$B:$B,"&lt;&gt;Lorena Dias de Araujo",$B:$B,"&lt;&gt;Lucas Luiz Romero")*(28/1083),IF(C4533="Técnico I",SUMIFS($D:$D,$A:$A,$A4533,$B:$B,"&lt;&gt;Patrícia Karla de Sousa Araújo",$B:$B,"&lt;&gt;Lorena Dias de Araujo",$B:$B,"&lt;&gt;Lucas Luiz Romero")*(23/1083),IF(C4533="JR",SUMIFS($D:$D,$A:$A,$A4533,$B:$B,"&lt;&gt;Patrícia Karla de Sousa Araújo",$B:$B,"&lt;&gt;Lorena Dias de Araujo",$B:$B,"&lt;&gt;Lucas Luiz Romero")*(20/1083),IF(C4533="Estágio",SUMIFS($D:$D,$A:$A,$A4533,$B:$B,"&lt;&gt;Patrícia Karla de Sousa Araújo",$B:$B,"&lt;&gt;Lorena Dias de Araujo",$B:$B,"&lt;&gt;Lucas Luiz Romero")*(10/1083),0)))))),0)</f>
        <v/>
      </c>
      <c r="K4533" s="3">
        <f>I4533-J4533</f>
        <v/>
      </c>
      <c r="L4533" s="3">
        <f>IF(K4533&lt;-5,"CRÍTICO",IF(K4533&lt;0,"ATENÇÃO",IF(K4533&lt;=5,"OPORTUNO","MUITO BOM")))</f>
        <v/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>
        <f>E4534+G4534+H4534</f>
        <v/>
      </c>
      <c r="J4534" s="3">
        <f>ROUND(MIN(IF(C4534="Técnico III",35,IF(C4534="Técnico II",28,IF(C4534="Técnico I",23,IF(C4534="JR",20,IF(C4534="Estágio",10,0))))),IF(C4534="Técnico III",SUMIFS($D:$D,$A:$A,$A4534,$B:$B,"&lt;&gt;Patrícia Karla de Sousa Araújo",$B:$B,"&lt;&gt;Lorena Dias de Araujo",$B:$B,"&lt;&gt;Lucas Luiz Romero")*(35/1083),IF(C4534="Técnico II",SUMIFS($D:$D,$A:$A,$A4534,$B:$B,"&lt;&gt;Patrícia Karla de Sousa Araújo",$B:$B,"&lt;&gt;Lorena Dias de Araujo",$B:$B,"&lt;&gt;Lucas Luiz Romero")*(28/1083),IF(C4534="Técnico I",SUMIFS($D:$D,$A:$A,$A4534,$B:$B,"&lt;&gt;Patrícia Karla de Sousa Araújo",$B:$B,"&lt;&gt;Lorena Dias de Araujo",$B:$B,"&lt;&gt;Lucas Luiz Romero")*(23/1083),IF(C4534="JR",SUMIFS($D:$D,$A:$A,$A4534,$B:$B,"&lt;&gt;Patrícia Karla de Sousa Araújo",$B:$B,"&lt;&gt;Lorena Dias de Araujo",$B:$B,"&lt;&gt;Lucas Luiz Romero")*(20/1083),IF(C4534="Estágio",SUMIFS($D:$D,$A:$A,$A4534,$B:$B,"&lt;&gt;Patrícia Karla de Sousa Araújo",$B:$B,"&lt;&gt;Lorena Dias de Araujo",$B:$B,"&lt;&gt;Lucas Luiz Romero")*(10/1083),0)))))),0)</f>
        <v/>
      </c>
      <c r="K4534" s="3">
        <f>I4534-J4534</f>
        <v/>
      </c>
      <c r="L4534" s="3">
        <f>IF(K4534&lt;-5,"CRÍTICO",IF(K4534&lt;0,"ATENÇÃO",IF(K4534&lt;=5,"OPORTUNO","MUITO BOM")))</f>
        <v/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>
        <f>E4535+G4535+H4535</f>
        <v/>
      </c>
      <c r="J4535" s="3">
        <f>ROUND(MIN(IF(C4535="Técnico III",35,IF(C4535="Técnico II",28,IF(C4535="Técnico I",23,IF(C4535="JR",20,IF(C4535="Estágio",10,0))))),IF(C4535="Técnico III",SUMIFS($D:$D,$A:$A,$A4535,$B:$B,"&lt;&gt;Patrícia Karla de Sousa Araújo",$B:$B,"&lt;&gt;Lorena Dias de Araujo",$B:$B,"&lt;&gt;Lucas Luiz Romero")*(35/1083),IF(C4535="Técnico II",SUMIFS($D:$D,$A:$A,$A4535,$B:$B,"&lt;&gt;Patrícia Karla de Sousa Araújo",$B:$B,"&lt;&gt;Lorena Dias de Araujo",$B:$B,"&lt;&gt;Lucas Luiz Romero")*(28/1083),IF(C4535="Técnico I",SUMIFS($D:$D,$A:$A,$A4535,$B:$B,"&lt;&gt;Patrícia Karla de Sousa Araújo",$B:$B,"&lt;&gt;Lorena Dias de Araujo",$B:$B,"&lt;&gt;Lucas Luiz Romero")*(23/1083),IF(C4535="JR",SUMIFS($D:$D,$A:$A,$A4535,$B:$B,"&lt;&gt;Patrícia Karla de Sousa Araújo",$B:$B,"&lt;&gt;Lorena Dias de Araujo",$B:$B,"&lt;&gt;Lucas Luiz Romero")*(20/1083),IF(C4535="Estágio",SUMIFS($D:$D,$A:$A,$A4535,$B:$B,"&lt;&gt;Patrícia Karla de Sousa Araújo",$B:$B,"&lt;&gt;Lorena Dias de Araujo",$B:$B,"&lt;&gt;Lucas Luiz Romero")*(10/1083),0)))))),0)</f>
        <v/>
      </c>
      <c r="K4535" s="3">
        <f>I4535-J4535</f>
        <v/>
      </c>
      <c r="L4535" s="3">
        <f>IF(K4535&lt;-5,"CRÍTICO",IF(K4535&lt;0,"ATENÇÃO",IF(K4535&lt;=5,"OPORTUNO","MUITO BOM")))</f>
        <v/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>
        <f>E4536+G4536+H4536</f>
        <v/>
      </c>
      <c r="J4536" s="3">
        <f>ROUND(MIN(IF(C4536="Técnico III",35,IF(C4536="Técnico II",28,IF(C4536="Técnico I",23,IF(C4536="JR",20,IF(C4536="Estágio",10,0))))),IF(C4536="Técnico III",SUMIFS($D:$D,$A:$A,$A4536,$B:$B,"&lt;&gt;Patrícia Karla de Sousa Araújo",$B:$B,"&lt;&gt;Lorena Dias de Araujo",$B:$B,"&lt;&gt;Lucas Luiz Romero")*(35/1083),IF(C4536="Técnico II",SUMIFS($D:$D,$A:$A,$A4536,$B:$B,"&lt;&gt;Patrícia Karla de Sousa Araújo",$B:$B,"&lt;&gt;Lorena Dias de Araujo",$B:$B,"&lt;&gt;Lucas Luiz Romero")*(28/1083),IF(C4536="Técnico I",SUMIFS($D:$D,$A:$A,$A4536,$B:$B,"&lt;&gt;Patrícia Karla de Sousa Araújo",$B:$B,"&lt;&gt;Lorena Dias de Araujo",$B:$B,"&lt;&gt;Lucas Luiz Romero")*(23/1083),IF(C4536="JR",SUMIFS($D:$D,$A:$A,$A4536,$B:$B,"&lt;&gt;Patrícia Karla de Sousa Araújo",$B:$B,"&lt;&gt;Lorena Dias de Araujo",$B:$B,"&lt;&gt;Lucas Luiz Romero")*(20/1083),IF(C4536="Estágio",SUMIFS($D:$D,$A:$A,$A4536,$B:$B,"&lt;&gt;Patrícia Karla de Sousa Araújo",$B:$B,"&lt;&gt;Lorena Dias de Araujo",$B:$B,"&lt;&gt;Lucas Luiz Romero")*(10/1083),0)))))),0)</f>
        <v/>
      </c>
      <c r="K4536" s="3">
        <f>I4536-J4536</f>
        <v/>
      </c>
      <c r="L4536" s="3">
        <f>IF(K4536&lt;-5,"CRÍTICO",IF(K4536&lt;0,"ATENÇÃO",IF(K4536&lt;=5,"OPORTUNO","MUITO BOM")))</f>
        <v/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>
        <f>E4537+G4537+H4537</f>
        <v/>
      </c>
      <c r="J4537" s="3">
        <f>ROUND(MIN(IF(C4537="Técnico III",35,IF(C4537="Técnico II",28,IF(C4537="Técnico I",23,IF(C4537="JR",20,IF(C4537="Estágio",10,0))))),IF(C4537="Técnico III",SUMIFS($D:$D,$A:$A,$A4537,$B:$B,"&lt;&gt;Patrícia Karla de Sousa Araújo",$B:$B,"&lt;&gt;Lorena Dias de Araujo",$B:$B,"&lt;&gt;Lucas Luiz Romero")*(35/1083),IF(C4537="Técnico II",SUMIFS($D:$D,$A:$A,$A4537,$B:$B,"&lt;&gt;Patrícia Karla de Sousa Araújo",$B:$B,"&lt;&gt;Lorena Dias de Araujo",$B:$B,"&lt;&gt;Lucas Luiz Romero")*(28/1083),IF(C4537="Técnico I",SUMIFS($D:$D,$A:$A,$A4537,$B:$B,"&lt;&gt;Patrícia Karla de Sousa Araújo",$B:$B,"&lt;&gt;Lorena Dias de Araujo",$B:$B,"&lt;&gt;Lucas Luiz Romero")*(23/1083),IF(C4537="JR",SUMIFS($D:$D,$A:$A,$A4537,$B:$B,"&lt;&gt;Patrícia Karla de Sousa Araújo",$B:$B,"&lt;&gt;Lorena Dias de Araujo",$B:$B,"&lt;&gt;Lucas Luiz Romero")*(20/1083),IF(C4537="Estágio",SUMIFS($D:$D,$A:$A,$A4537,$B:$B,"&lt;&gt;Patrícia Karla de Sousa Araújo",$B:$B,"&lt;&gt;Lorena Dias de Araujo",$B:$B,"&lt;&gt;Lucas Luiz Romero")*(10/1083),0)))))),0)</f>
        <v/>
      </c>
      <c r="K4537" s="3">
        <f>I4537-J4537</f>
        <v/>
      </c>
      <c r="L4537" s="3">
        <f>IF(K4537&lt;-5,"CRÍTICO",IF(K4537&lt;0,"ATENÇÃO",IF(K4537&lt;=5,"OPORTUNO","MUITO BOM")))</f>
        <v/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>
        <f>E4538+G4538+H4538</f>
        <v/>
      </c>
      <c r="J4538" s="3">
        <f>ROUND(MIN(IF(C4538="Técnico III",35,IF(C4538="Técnico II",28,IF(C4538="Técnico I",23,IF(C4538="JR",20,IF(C4538="Estágio",10,0))))),IF(C4538="Técnico III",SUMIFS($D:$D,$A:$A,$A4538,$B:$B,"&lt;&gt;Patrícia Karla de Sousa Araújo",$B:$B,"&lt;&gt;Lorena Dias de Araujo",$B:$B,"&lt;&gt;Lucas Luiz Romero")*(35/1083),IF(C4538="Técnico II",SUMIFS($D:$D,$A:$A,$A4538,$B:$B,"&lt;&gt;Patrícia Karla de Sousa Araújo",$B:$B,"&lt;&gt;Lorena Dias de Araujo",$B:$B,"&lt;&gt;Lucas Luiz Romero")*(28/1083),IF(C4538="Técnico I",SUMIFS($D:$D,$A:$A,$A4538,$B:$B,"&lt;&gt;Patrícia Karla de Sousa Araújo",$B:$B,"&lt;&gt;Lorena Dias de Araujo",$B:$B,"&lt;&gt;Lucas Luiz Romero")*(23/1083),IF(C4538="JR",SUMIFS($D:$D,$A:$A,$A4538,$B:$B,"&lt;&gt;Patrícia Karla de Sousa Araújo",$B:$B,"&lt;&gt;Lorena Dias de Araujo",$B:$B,"&lt;&gt;Lucas Luiz Romero")*(20/1083),IF(C4538="Estágio",SUMIFS($D:$D,$A:$A,$A4538,$B:$B,"&lt;&gt;Patrícia Karla de Sousa Araújo",$B:$B,"&lt;&gt;Lorena Dias de Araujo",$B:$B,"&lt;&gt;Lucas Luiz Romero")*(10/1083),0)))))),0)</f>
        <v/>
      </c>
      <c r="K4538" s="3">
        <f>I4538-J4538</f>
        <v/>
      </c>
      <c r="L4538" s="3">
        <f>IF(K4538&lt;-5,"CRÍTICO",IF(K4538&lt;0,"ATENÇÃO",IF(K4538&lt;=5,"OPORTUNO","MUITO BOM")))</f>
        <v/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>
        <f>E4539+G4539+H4539</f>
        <v/>
      </c>
      <c r="J4539" s="3">
        <f>ROUND(MIN(IF(C4539="Técnico III",35,IF(C4539="Técnico II",28,IF(C4539="Técnico I",23,IF(C4539="JR",20,IF(C4539="Estágio",10,0))))),IF(C4539="Técnico III",SUMIFS($D:$D,$A:$A,$A4539,$B:$B,"&lt;&gt;Patrícia Karla de Sousa Araújo",$B:$B,"&lt;&gt;Lorena Dias de Araujo",$B:$B,"&lt;&gt;Lucas Luiz Romero")*(35/1083),IF(C4539="Técnico II",SUMIFS($D:$D,$A:$A,$A4539,$B:$B,"&lt;&gt;Patrícia Karla de Sousa Araújo",$B:$B,"&lt;&gt;Lorena Dias de Araujo",$B:$B,"&lt;&gt;Lucas Luiz Romero")*(28/1083),IF(C4539="Técnico I",SUMIFS($D:$D,$A:$A,$A4539,$B:$B,"&lt;&gt;Patrícia Karla de Sousa Araújo",$B:$B,"&lt;&gt;Lorena Dias de Araujo",$B:$B,"&lt;&gt;Lucas Luiz Romero")*(23/1083),IF(C4539="JR",SUMIFS($D:$D,$A:$A,$A4539,$B:$B,"&lt;&gt;Patrícia Karla de Sousa Araújo",$B:$B,"&lt;&gt;Lorena Dias de Araujo",$B:$B,"&lt;&gt;Lucas Luiz Romero")*(20/1083),IF(C4539="Estágio",SUMIFS($D:$D,$A:$A,$A4539,$B:$B,"&lt;&gt;Patrícia Karla de Sousa Araújo",$B:$B,"&lt;&gt;Lorena Dias de Araujo",$B:$B,"&lt;&gt;Lucas Luiz Romero")*(10/1083),0)))))),0)</f>
        <v/>
      </c>
      <c r="K4539" s="3">
        <f>I4539-J4539</f>
        <v/>
      </c>
      <c r="L4539" s="3">
        <f>IF(K4539&lt;-5,"CRÍTICO",IF(K4539&lt;0,"ATENÇÃO",IF(K4539&lt;=5,"OPORTUNO","MUITO BOM")))</f>
        <v/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>
        <f>E4540+G4540+H4540</f>
        <v/>
      </c>
      <c r="J4540" s="3">
        <f>ROUND(MIN(IF(C4540="Técnico III",35,IF(C4540="Técnico II",28,IF(C4540="Técnico I",23,IF(C4540="JR",20,IF(C4540="Estágio",10,0))))),IF(C4540="Técnico III",SUMIFS($D:$D,$A:$A,$A4540,$B:$B,"&lt;&gt;Patrícia Karla de Sousa Araújo",$B:$B,"&lt;&gt;Lorena Dias de Araujo",$B:$B,"&lt;&gt;Lucas Luiz Romero")*(35/1083),IF(C4540="Técnico II",SUMIFS($D:$D,$A:$A,$A4540,$B:$B,"&lt;&gt;Patrícia Karla de Sousa Araújo",$B:$B,"&lt;&gt;Lorena Dias de Araujo",$B:$B,"&lt;&gt;Lucas Luiz Romero")*(28/1083),IF(C4540="Técnico I",SUMIFS($D:$D,$A:$A,$A4540,$B:$B,"&lt;&gt;Patrícia Karla de Sousa Araújo",$B:$B,"&lt;&gt;Lorena Dias de Araujo",$B:$B,"&lt;&gt;Lucas Luiz Romero")*(23/1083),IF(C4540="JR",SUMIFS($D:$D,$A:$A,$A4540,$B:$B,"&lt;&gt;Patrícia Karla de Sousa Araújo",$B:$B,"&lt;&gt;Lorena Dias de Araujo",$B:$B,"&lt;&gt;Lucas Luiz Romero")*(20/1083),IF(C4540="Estágio",SUMIFS($D:$D,$A:$A,$A4540,$B:$B,"&lt;&gt;Patrícia Karla de Sousa Araújo",$B:$B,"&lt;&gt;Lorena Dias de Araujo",$B:$B,"&lt;&gt;Lucas Luiz Romero")*(10/1083),0)))))),0)</f>
        <v/>
      </c>
      <c r="K4540" s="3">
        <f>I4540-J4540</f>
        <v/>
      </c>
      <c r="L4540" s="3">
        <f>IF(K4540&lt;-5,"CRÍTICO",IF(K4540&lt;0,"ATENÇÃO",IF(K4540&lt;=5,"OPORTUNO","MUITO BOM")))</f>
        <v/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 t="n">
        <v>24</v>
      </c>
      <c r="J4541" s="3" t="n">
        <v>22</v>
      </c>
      <c r="K4541" s="3" t="n">
        <v>2</v>
      </c>
      <c r="L4541" s="3" t="inlineStr">
        <is>
          <t>BOM</t>
        </is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>
        <f>E4542+G4542+H4542</f>
        <v/>
      </c>
      <c r="J4542" s="3">
        <f>ROUND(MIN(IF(C4542="Técnico III",35,IF(C4542="Técnico II",28,IF(C4542="Técnico I",23,IF(C4542="JR",20,IF(C4542="Estágio",10,0))))),IF(C4542="Técnico III",SUMIFS($D:$D,$A:$A,$A4542,$B:$B,"&lt;&gt;Patrícia Karla de Sousa Araújo",$B:$B,"&lt;&gt;Lorena Dias de Araujo",$B:$B,"&lt;&gt;Lucas Luiz Romero")*(35/1083),IF(C4542="Técnico II",SUMIFS($D:$D,$A:$A,$A4542,$B:$B,"&lt;&gt;Patrícia Karla de Sousa Araújo",$B:$B,"&lt;&gt;Lorena Dias de Araujo",$B:$B,"&lt;&gt;Lucas Luiz Romero")*(28/1083),IF(C4542="Técnico I",SUMIFS($D:$D,$A:$A,$A4542,$B:$B,"&lt;&gt;Patrícia Karla de Sousa Araújo",$B:$B,"&lt;&gt;Lorena Dias de Araujo",$B:$B,"&lt;&gt;Lucas Luiz Romero")*(23/1083),IF(C4542="JR",SUMIFS($D:$D,$A:$A,$A4542,$B:$B,"&lt;&gt;Patrícia Karla de Sousa Araújo",$B:$B,"&lt;&gt;Lorena Dias de Araujo",$B:$B,"&lt;&gt;Lucas Luiz Romero")*(20/1083),IF(C4542="Estágio",SUMIFS($D:$D,$A:$A,$A4542,$B:$B,"&lt;&gt;Patrícia Karla de Sousa Araújo",$B:$B,"&lt;&gt;Lorena Dias de Araujo",$B:$B,"&lt;&gt;Lucas Luiz Romero")*(10/1083),0)))))),0)</f>
        <v/>
      </c>
      <c r="K4542" s="3">
        <f>I4542-J4542</f>
        <v/>
      </c>
      <c r="L4542" s="3">
        <f>IF(K4542&lt;-5,"CRÍTICO",IF(K4542&lt;0,"ATENÇÃO",IF(K4542&lt;=5,"OPORTUNO","MUITO BOM")))</f>
        <v/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 t="n">
        <v>20</v>
      </c>
      <c r="J4543" s="3" t="n">
        <v>22</v>
      </c>
      <c r="K4543" s="3" t="n">
        <v>-2</v>
      </c>
      <c r="L4543" s="3" t="inlineStr">
        <is>
          <t>ATENÇÃO</t>
        </is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>
        <f>E4544+G4544+H4544</f>
        <v/>
      </c>
      <c r="J4544" s="3">
        <f>ROUND(MIN(IF(C4544="Técnico III",35,IF(C4544="Técnico II",28,IF(C4544="Técnico I",23,IF(C4544="JR",20,IF(C4544="Estágio",10,0))))),IF(C4544="Técnico III",SUMIFS($D:$D,$A:$A,$A4544,$B:$B,"&lt;&gt;Patrícia Karla de Sousa Araújo",$B:$B,"&lt;&gt;Lorena Dias de Araujo",$B:$B,"&lt;&gt;Lucas Luiz Romero")*(35/1083),IF(C4544="Técnico II",SUMIFS($D:$D,$A:$A,$A4544,$B:$B,"&lt;&gt;Patrícia Karla de Sousa Araújo",$B:$B,"&lt;&gt;Lorena Dias de Araujo",$B:$B,"&lt;&gt;Lucas Luiz Romero")*(28/1083),IF(C4544="Técnico I",SUMIFS($D:$D,$A:$A,$A4544,$B:$B,"&lt;&gt;Patrícia Karla de Sousa Araújo",$B:$B,"&lt;&gt;Lorena Dias de Araujo",$B:$B,"&lt;&gt;Lucas Luiz Romero")*(23/1083),IF(C4544="JR",SUMIFS($D:$D,$A:$A,$A4544,$B:$B,"&lt;&gt;Patrícia Karla de Sousa Araújo",$B:$B,"&lt;&gt;Lorena Dias de Araujo",$B:$B,"&lt;&gt;Lucas Luiz Romero")*(20/1083),IF(C4544="Estágio",SUMIFS($D:$D,$A:$A,$A4544,$B:$B,"&lt;&gt;Patrícia Karla de Sousa Araújo",$B:$B,"&lt;&gt;Lorena Dias de Araujo",$B:$B,"&lt;&gt;Lucas Luiz Romero")*(10/1083),0)))))),0)</f>
        <v/>
      </c>
      <c r="K4544" s="3">
        <f>I4544-J4544</f>
        <v/>
      </c>
      <c r="L4544" s="3">
        <f>IF(K4544&lt;-5,"CRÍTICO",IF(K4544&lt;0,"ATENÇÃO",IF(K4544&lt;=5,"OPORTUNO","MUITO BOM")))</f>
        <v/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>
        <f>E4545+G4545+H4545</f>
        <v/>
      </c>
      <c r="J4545" s="3">
        <f>ROUND(MIN(IF(C4545="Técnico III",35,IF(C4545="Técnico II",28,IF(C4545="Técnico I",23,IF(C4545="JR",20,IF(C4545="Estágio",10,0))))),IF(C4545="Técnico III",SUMIFS($D:$D,$A:$A,$A4545,$B:$B,"&lt;&gt;Patrícia Karla de Sousa Araújo",$B:$B,"&lt;&gt;Lorena Dias de Araujo",$B:$B,"&lt;&gt;Lucas Luiz Romero")*(35/1083),IF(C4545="Técnico II",SUMIFS($D:$D,$A:$A,$A4545,$B:$B,"&lt;&gt;Patrícia Karla de Sousa Araújo",$B:$B,"&lt;&gt;Lorena Dias de Araujo",$B:$B,"&lt;&gt;Lucas Luiz Romero")*(28/1083),IF(C4545="Técnico I",SUMIFS($D:$D,$A:$A,$A4545,$B:$B,"&lt;&gt;Patrícia Karla de Sousa Araújo",$B:$B,"&lt;&gt;Lorena Dias de Araujo",$B:$B,"&lt;&gt;Lucas Luiz Romero")*(23/1083),IF(C4545="JR",SUMIFS($D:$D,$A:$A,$A4545,$B:$B,"&lt;&gt;Patrícia Karla de Sousa Araújo",$B:$B,"&lt;&gt;Lorena Dias de Araujo",$B:$B,"&lt;&gt;Lucas Luiz Romero")*(20/1083),IF(C4545="Estágio",SUMIFS($D:$D,$A:$A,$A4545,$B:$B,"&lt;&gt;Patrícia Karla de Sousa Araújo",$B:$B,"&lt;&gt;Lorena Dias de Araujo",$B:$B,"&lt;&gt;Lucas Luiz Romero")*(10/1083),0)))))),0)</f>
        <v/>
      </c>
      <c r="K4545" s="3">
        <f>I4545-J4545</f>
        <v/>
      </c>
      <c r="L4545" s="3">
        <f>IF(K4545&lt;-5,"CRÍTICO",IF(K4545&lt;0,"ATENÇÃO",IF(K4545&lt;=5,"OPORTUNO","MUITO BOM")))</f>
        <v/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>
        <f>E4546+G4546+H4546</f>
        <v/>
      </c>
      <c r="J4546" s="3">
        <f>ROUND(MIN(IF(C4546="Técnico III",35,IF(C4546="Técnico II",28,IF(C4546="Técnico I",23,IF(C4546="JR",20,IF(C4546="Estágio",10,0))))),IF(C4546="Técnico III",SUMIFS($D:$D,$A:$A,$A4546,$B:$B,"&lt;&gt;Patrícia Karla de Sousa Araújo",$B:$B,"&lt;&gt;Lorena Dias de Araujo",$B:$B,"&lt;&gt;Lucas Luiz Romero")*(35/1083),IF(C4546="Técnico II",SUMIFS($D:$D,$A:$A,$A4546,$B:$B,"&lt;&gt;Patrícia Karla de Sousa Araújo",$B:$B,"&lt;&gt;Lorena Dias de Araujo",$B:$B,"&lt;&gt;Lucas Luiz Romero")*(28/1083),IF(C4546="Técnico I",SUMIFS($D:$D,$A:$A,$A4546,$B:$B,"&lt;&gt;Patrícia Karla de Sousa Araújo",$B:$B,"&lt;&gt;Lorena Dias de Araujo",$B:$B,"&lt;&gt;Lucas Luiz Romero")*(23/1083),IF(C4546="JR",SUMIFS($D:$D,$A:$A,$A4546,$B:$B,"&lt;&gt;Patrícia Karla de Sousa Araújo",$B:$B,"&lt;&gt;Lorena Dias de Araujo",$B:$B,"&lt;&gt;Lucas Luiz Romero")*(20/1083),IF(C4546="Estágio",SUMIFS($D:$D,$A:$A,$A4546,$B:$B,"&lt;&gt;Patrícia Karla de Sousa Araújo",$B:$B,"&lt;&gt;Lorena Dias de Araujo",$B:$B,"&lt;&gt;Lucas Luiz Romero")*(10/1083),0)))))),0)</f>
        <v/>
      </c>
      <c r="K4546" s="3">
        <f>I4546-J4546</f>
        <v/>
      </c>
      <c r="L4546" s="3">
        <f>IF(K4546&lt;-5,"CRÍTICO",IF(K4546&lt;0,"ATENÇÃO",IF(K4546&lt;=5,"OPORTUNO","MUITO BOM")))</f>
        <v/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>
        <f>E4547+G4547+H4547</f>
        <v/>
      </c>
      <c r="J4547" s="3">
        <f>ROUND(MIN(IF(C4547="Técnico III",35,IF(C4547="Técnico II",28,IF(C4547="Técnico I",23,IF(C4547="JR",20,IF(C4547="Estágio",10,0))))),IF(C4547="Técnico III",SUMIFS($D:$D,$A:$A,$A4547,$B:$B,"&lt;&gt;Patrícia Karla de Sousa Araújo",$B:$B,"&lt;&gt;Lorena Dias de Araujo",$B:$B,"&lt;&gt;Lucas Luiz Romero")*(35/1083),IF(C4547="Técnico II",SUMIFS($D:$D,$A:$A,$A4547,$B:$B,"&lt;&gt;Patrícia Karla de Sousa Araújo",$B:$B,"&lt;&gt;Lorena Dias de Araujo",$B:$B,"&lt;&gt;Lucas Luiz Romero")*(28/1083),IF(C4547="Técnico I",SUMIFS($D:$D,$A:$A,$A4547,$B:$B,"&lt;&gt;Patrícia Karla de Sousa Araújo",$B:$B,"&lt;&gt;Lorena Dias de Araujo",$B:$B,"&lt;&gt;Lucas Luiz Romero")*(23/1083),IF(C4547="JR",SUMIFS($D:$D,$A:$A,$A4547,$B:$B,"&lt;&gt;Patrícia Karla de Sousa Araújo",$B:$B,"&lt;&gt;Lorena Dias de Araujo",$B:$B,"&lt;&gt;Lucas Luiz Romero")*(20/1083),IF(C4547="Estágio",SUMIFS($D:$D,$A:$A,$A4547,$B:$B,"&lt;&gt;Patrícia Karla de Sousa Araújo",$B:$B,"&lt;&gt;Lorena Dias de Araujo",$B:$B,"&lt;&gt;Lucas Luiz Romero")*(10/1083),0)))))),0)</f>
        <v/>
      </c>
      <c r="K4547" s="3">
        <f>I4547-J4547</f>
        <v/>
      </c>
      <c r="L4547" s="3">
        <f>IF(K4547&lt;-5,"CRÍTICO",IF(K4547&lt;0,"ATENÇÃO",IF(K4547&lt;=5,"OPORTUNO","MUITO BOM")))</f>
        <v/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 t="n">
        <v>20</v>
      </c>
      <c r="J4548" s="3" t="n">
        <v>22</v>
      </c>
      <c r="K4548" s="3" t="n">
        <v>-2</v>
      </c>
      <c r="L4548" s="3" t="inlineStr">
        <is>
          <t>ATENÇÃO</t>
        </is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>
        <f>E4549+G4549+H4549</f>
        <v/>
      </c>
      <c r="J4549" s="3">
        <f>ROUND(MIN(IF(C4549="Técnico III",35,IF(C4549="Técnico II",28,IF(C4549="Técnico I",23,IF(C4549="JR",20,IF(C4549="Estágio",10,0))))),IF(C4549="Técnico III",SUMIFS($D:$D,$A:$A,$A4549,$B:$B,"&lt;&gt;Patrícia Karla de Sousa Araújo",$B:$B,"&lt;&gt;Lorena Dias de Araujo",$B:$B,"&lt;&gt;Lucas Luiz Romero")*(35/1083),IF(C4549="Técnico II",SUMIFS($D:$D,$A:$A,$A4549,$B:$B,"&lt;&gt;Patrícia Karla de Sousa Araújo",$B:$B,"&lt;&gt;Lorena Dias de Araujo",$B:$B,"&lt;&gt;Lucas Luiz Romero")*(28/1083),IF(C4549="Técnico I",SUMIFS($D:$D,$A:$A,$A4549,$B:$B,"&lt;&gt;Patrícia Karla de Sousa Araújo",$B:$B,"&lt;&gt;Lorena Dias de Araujo",$B:$B,"&lt;&gt;Lucas Luiz Romero")*(23/1083),IF(C4549="JR",SUMIFS($D:$D,$A:$A,$A4549,$B:$B,"&lt;&gt;Patrícia Karla de Sousa Araújo",$B:$B,"&lt;&gt;Lorena Dias de Araujo",$B:$B,"&lt;&gt;Lucas Luiz Romero")*(20/1083),IF(C4549="Estágio",SUMIFS($D:$D,$A:$A,$A4549,$B:$B,"&lt;&gt;Patrícia Karla de Sousa Araújo",$B:$B,"&lt;&gt;Lorena Dias de Araujo",$B:$B,"&lt;&gt;Lucas Luiz Romero")*(10/1083),0)))))),0)</f>
        <v/>
      </c>
      <c r="K4549" s="3">
        <f>I4549-J4549</f>
        <v/>
      </c>
      <c r="L4549" s="3">
        <f>IF(K4549&lt;-5,"CRÍTICO",IF(K4549&lt;0,"ATENÇÃO",IF(K4549&lt;=5,"OPORTUNO","MUITO BOM")))</f>
        <v/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>
        <f>E4550+G4550+H4550</f>
        <v/>
      </c>
      <c r="J4550" s="3">
        <f>ROUND(MIN(IF(C4550="Técnico III",35,IF(C4550="Técnico II",28,IF(C4550="Técnico I",23,IF(C4550="JR",20,IF(C4550="Estágio",10,0))))),IF(C4550="Técnico III",SUMIFS($D:$D,$A:$A,$A4550,$B:$B,"&lt;&gt;Patrícia Karla de Sousa Araújo",$B:$B,"&lt;&gt;Lorena Dias de Araujo",$B:$B,"&lt;&gt;Lucas Luiz Romero")*(35/1083),IF(C4550="Técnico II",SUMIFS($D:$D,$A:$A,$A4550,$B:$B,"&lt;&gt;Patrícia Karla de Sousa Araújo",$B:$B,"&lt;&gt;Lorena Dias de Araujo",$B:$B,"&lt;&gt;Lucas Luiz Romero")*(28/1083),IF(C4550="Técnico I",SUMIFS($D:$D,$A:$A,$A4550,$B:$B,"&lt;&gt;Patrícia Karla de Sousa Araújo",$B:$B,"&lt;&gt;Lorena Dias de Araujo",$B:$B,"&lt;&gt;Lucas Luiz Romero")*(23/1083),IF(C4550="JR",SUMIFS($D:$D,$A:$A,$A4550,$B:$B,"&lt;&gt;Patrícia Karla de Sousa Araújo",$B:$B,"&lt;&gt;Lorena Dias de Araujo",$B:$B,"&lt;&gt;Lucas Luiz Romero")*(20/1083),IF(C4550="Estágio",SUMIFS($D:$D,$A:$A,$A4550,$B:$B,"&lt;&gt;Patrícia Karla de Sousa Araújo",$B:$B,"&lt;&gt;Lorena Dias de Araujo",$B:$B,"&lt;&gt;Lucas Luiz Romero")*(10/1083),0)))))),0)</f>
        <v/>
      </c>
      <c r="K4550" s="3">
        <f>I4550-J4550</f>
        <v/>
      </c>
      <c r="L4550" s="3">
        <f>IF(K4550&lt;-5,"CRÍTICO",IF(K4550&lt;0,"ATENÇÃO",IF(K4550&lt;=5,"OPORTUNO","MUITO BOM")))</f>
        <v/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>
        <f>E4551+G4551+H4551</f>
        <v/>
      </c>
      <c r="J4551" s="3">
        <f>ROUND(MIN(IF(C4551="Técnico III",35,IF(C4551="Técnico II",28,IF(C4551="Técnico I",23,IF(C4551="JR",20,IF(C4551="Estágio",10,0))))),IF(C4551="Técnico III",SUMIFS($D:$D,$A:$A,$A4551,$B:$B,"&lt;&gt;Patrícia Karla de Sousa Araújo",$B:$B,"&lt;&gt;Lorena Dias de Araujo",$B:$B,"&lt;&gt;Lucas Luiz Romero")*(35/1083),IF(C4551="Técnico II",SUMIFS($D:$D,$A:$A,$A4551,$B:$B,"&lt;&gt;Patrícia Karla de Sousa Araújo",$B:$B,"&lt;&gt;Lorena Dias de Araujo",$B:$B,"&lt;&gt;Lucas Luiz Romero")*(28/1083),IF(C4551="Técnico I",SUMIFS($D:$D,$A:$A,$A4551,$B:$B,"&lt;&gt;Patrícia Karla de Sousa Araújo",$B:$B,"&lt;&gt;Lorena Dias de Araujo",$B:$B,"&lt;&gt;Lucas Luiz Romero")*(23/1083),IF(C4551="JR",SUMIFS($D:$D,$A:$A,$A4551,$B:$B,"&lt;&gt;Patrícia Karla de Sousa Araújo",$B:$B,"&lt;&gt;Lorena Dias de Araujo",$B:$B,"&lt;&gt;Lucas Luiz Romero")*(20/1083),IF(C4551="Estágio",SUMIFS($D:$D,$A:$A,$A4551,$B:$B,"&lt;&gt;Patrícia Karla de Sousa Araújo",$B:$B,"&lt;&gt;Lorena Dias de Araujo",$B:$B,"&lt;&gt;Lucas Luiz Romero")*(10/1083),0)))))),0)</f>
        <v/>
      </c>
      <c r="K4551" s="3">
        <f>I4551-J4551</f>
        <v/>
      </c>
      <c r="L4551" s="3">
        <f>IF(K4551&lt;-5,"CRÍTICO",IF(K4551&lt;0,"ATENÇÃO",IF(K4551&lt;=5,"OPORTUNO","MUITO BOM")))</f>
        <v/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>
        <f>E4552+G4552+H4552</f>
        <v/>
      </c>
      <c r="J4552" s="3">
        <f>ROUND(MIN(IF(C4552="Técnico III",35,IF(C4552="Técnico II",28,IF(C4552="Técnico I",23,IF(C4552="JR",20,IF(C4552="Estágio",10,0))))),IF(C4552="Técnico III",SUMIFS($D:$D,$A:$A,$A4552,$B:$B,"&lt;&gt;Patrícia Karla de Sousa Araújo",$B:$B,"&lt;&gt;Lorena Dias de Araujo",$B:$B,"&lt;&gt;Lucas Luiz Romero")*(35/1083),IF(C4552="Técnico II",SUMIFS($D:$D,$A:$A,$A4552,$B:$B,"&lt;&gt;Patrícia Karla de Sousa Araújo",$B:$B,"&lt;&gt;Lorena Dias de Araujo",$B:$B,"&lt;&gt;Lucas Luiz Romero")*(28/1083),IF(C4552="Técnico I",SUMIFS($D:$D,$A:$A,$A4552,$B:$B,"&lt;&gt;Patrícia Karla de Sousa Araújo",$B:$B,"&lt;&gt;Lorena Dias de Araujo",$B:$B,"&lt;&gt;Lucas Luiz Romero")*(23/1083),IF(C4552="JR",SUMIFS($D:$D,$A:$A,$A4552,$B:$B,"&lt;&gt;Patrícia Karla de Sousa Araújo",$B:$B,"&lt;&gt;Lorena Dias de Araujo",$B:$B,"&lt;&gt;Lucas Luiz Romero")*(20/1083),IF(C4552="Estágio",SUMIFS($D:$D,$A:$A,$A4552,$B:$B,"&lt;&gt;Patrícia Karla de Sousa Araújo",$B:$B,"&lt;&gt;Lorena Dias de Araujo",$B:$B,"&lt;&gt;Lucas Luiz Romero")*(10/1083),0)))))),0)</f>
        <v/>
      </c>
      <c r="K4552" s="3">
        <f>I4552-J4552</f>
        <v/>
      </c>
      <c r="L4552" s="3">
        <f>IF(K4552&lt;-5,"CRÍTICO",IF(K4552&lt;0,"ATENÇÃO",IF(K4552&lt;=5,"OPORTUNO","MUITO BOM")))</f>
        <v/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 t="n">
        <v>17</v>
      </c>
      <c r="J4553" s="3" t="n">
        <v>22</v>
      </c>
      <c r="K4553" s="3" t="n">
        <v>-5</v>
      </c>
      <c r="L4553" s="3" t="inlineStr">
        <is>
          <t>ATENÇÃO</t>
        </is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 t="inlineStr">
        <is>
          <t>BOM</t>
        </is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 t="n">
        <v>28</v>
      </c>
      <c r="J4555" s="3" t="n">
        <v>18</v>
      </c>
      <c r="K4555" s="3" t="n">
        <v>10</v>
      </c>
      <c r="L4555" s="3" t="inlineStr">
        <is>
          <t>EXCELENTE</t>
        </is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 t="n">
        <v>17</v>
      </c>
      <c r="J4556" s="3" t="n">
        <v>18</v>
      </c>
      <c r="K4556" s="3" t="n">
        <v>-1</v>
      </c>
      <c r="L4556" s="3" t="inlineStr">
        <is>
          <t>ATENÇÃO</t>
        </is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 t="n">
        <v>22</v>
      </c>
      <c r="J4557" s="3" t="n">
        <v>18</v>
      </c>
      <c r="K4557" s="3" t="n">
        <v>4</v>
      </c>
      <c r="L4557" s="3" t="inlineStr">
        <is>
          <t>BOM</t>
        </is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 t="n">
        <v>28</v>
      </c>
      <c r="J4558" s="3" t="n">
        <v>18</v>
      </c>
      <c r="K4558" s="3" t="n">
        <v>10</v>
      </c>
      <c r="L4558" s="3" t="inlineStr">
        <is>
          <t>EXCELENTE</t>
        </is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 t="n">
        <v>30</v>
      </c>
      <c r="J4559" s="3" t="n">
        <v>18</v>
      </c>
      <c r="K4559" s="3" t="n">
        <v>12</v>
      </c>
      <c r="L4559" s="3" t="inlineStr">
        <is>
          <t>EXCELENTE</t>
        </is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 t="n">
        <v>15</v>
      </c>
      <c r="J4560" s="3" t="n">
        <v>18</v>
      </c>
      <c r="K4560" s="3" t="n">
        <v>-3</v>
      </c>
      <c r="L4560" s="3" t="inlineStr">
        <is>
          <t>ATENÇÃO</t>
        </is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 t="n">
        <v>47</v>
      </c>
      <c r="J4561" s="3" t="n">
        <v>27</v>
      </c>
      <c r="K4561" s="3" t="n">
        <v>20</v>
      </c>
      <c r="L4561" s="3" t="inlineStr">
        <is>
          <t>EXCELENTE</t>
        </is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 t="n">
        <v>23</v>
      </c>
      <c r="J4564" s="3" t="n">
        <v>22</v>
      </c>
      <c r="K4564" s="3" t="n">
        <v>1</v>
      </c>
      <c r="L4564" s="3" t="inlineStr">
        <is>
          <t>BOM</t>
        </is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 t="n">
        <v>23</v>
      </c>
      <c r="J4565" s="3" t="n">
        <v>18</v>
      </c>
      <c r="K4565" s="3" t="n">
        <v>5</v>
      </c>
      <c r="L4565" s="3" t="inlineStr">
        <is>
          <t>BOM</t>
        </is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 t="n">
        <v>15</v>
      </c>
      <c r="J4571" s="3" t="n">
        <v>15</v>
      </c>
      <c r="K4571" s="3" t="n">
        <v>0</v>
      </c>
      <c r="L4571" s="3" t="inlineStr">
        <is>
          <t>BOM</t>
        </is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 t="n">
        <v>17</v>
      </c>
      <c r="J4572" s="3" t="n">
        <v>17</v>
      </c>
      <c r="K4572" s="3" t="n">
        <v>0</v>
      </c>
      <c r="L4572" s="3" t="inlineStr">
        <is>
          <t>BOM</t>
        </is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 t="n">
        <v>15</v>
      </c>
      <c r="J4573" s="3" t="n">
        <v>15</v>
      </c>
      <c r="K4573" s="3" t="n">
        <v>0</v>
      </c>
      <c r="L4573" s="3" t="inlineStr">
        <is>
          <t>BOM</t>
        </is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 t="n">
        <v>14</v>
      </c>
      <c r="J4574" s="3" t="n">
        <v>13</v>
      </c>
      <c r="K4574" s="3" t="n">
        <v>1</v>
      </c>
      <c r="L4574" s="3" t="inlineStr">
        <is>
          <t>BOM</t>
        </is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 t="n">
        <v>19</v>
      </c>
      <c r="J4575" s="3" t="n">
        <v>11</v>
      </c>
      <c r="K4575" s="3" t="n">
        <v>8</v>
      </c>
      <c r="L4575" s="3" t="inlineStr">
        <is>
          <t>EXCELENTE</t>
        </is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 t="n">
        <v>12</v>
      </c>
      <c r="J4576" s="3" t="n">
        <v>13</v>
      </c>
      <c r="K4576" s="3" t="n">
        <v>-1</v>
      </c>
      <c r="L4576" s="3" t="inlineStr">
        <is>
          <t>ATENÇÃO</t>
        </is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 t="n">
        <v>18</v>
      </c>
      <c r="J4577" s="3" t="n">
        <v>16</v>
      </c>
      <c r="K4577" s="3" t="n">
        <v>2</v>
      </c>
      <c r="L4577" s="3" t="inlineStr">
        <is>
          <t>BOM</t>
        </is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 t="n">
        <v>29</v>
      </c>
      <c r="J4578" s="3" t="n">
        <v>22</v>
      </c>
      <c r="K4578" s="3" t="n">
        <v>7</v>
      </c>
      <c r="L4578" s="3" t="inlineStr">
        <is>
          <t>EXCELENTE</t>
        </is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 t="inlineStr">
        <is>
          <t>BOM</t>
        </is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 t="n">
        <v>26</v>
      </c>
      <c r="J4580" s="3" t="n">
        <v>18</v>
      </c>
      <c r="K4580" s="3" t="n">
        <v>8</v>
      </c>
      <c r="L4580" s="3" t="inlineStr">
        <is>
          <t>EXCELENTE</t>
        </is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 t="n">
        <v>37</v>
      </c>
      <c r="J4581" s="3" t="n">
        <v>28</v>
      </c>
      <c r="K4581" s="3" t="n">
        <v>9</v>
      </c>
      <c r="L4581" s="3" t="inlineStr">
        <is>
          <t>EXCELENTE</t>
        </is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 t="n">
        <v>31</v>
      </c>
      <c r="J4582" s="3" t="n">
        <v>22</v>
      </c>
      <c r="K4582" s="3" t="n">
        <v>9</v>
      </c>
      <c r="L4582" s="3" t="inlineStr">
        <is>
          <t>EXCELENTE</t>
        </is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 t="n">
        <v>28</v>
      </c>
      <c r="J4583" s="3" t="n">
        <v>22</v>
      </c>
      <c r="K4583" s="3" t="n">
        <v>6</v>
      </c>
      <c r="L4583" s="3" t="inlineStr">
        <is>
          <t>EXCELENTE</t>
        </is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 t="n">
        <v>19</v>
      </c>
      <c r="J4584" s="3" t="n">
        <v>18</v>
      </c>
      <c r="K4584" s="3" t="n">
        <v>1</v>
      </c>
      <c r="L4584" s="3" t="inlineStr">
        <is>
          <t>BOM</t>
        </is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 t="n">
        <v>23</v>
      </c>
      <c r="J4585" s="3" t="n">
        <v>28</v>
      </c>
      <c r="K4585" s="3" t="n">
        <v>-5</v>
      </c>
      <c r="L4585" s="3" t="inlineStr">
        <is>
          <t>ATENÇÃO</t>
        </is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 t="inlineStr">
        <is>
          <t>BOM</t>
        </is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 t="n">
        <v>25</v>
      </c>
      <c r="J4587" s="3" t="n">
        <v>18</v>
      </c>
      <c r="K4587" s="3" t="n">
        <v>7</v>
      </c>
      <c r="L4587" s="3" t="inlineStr">
        <is>
          <t>EXCELENTE</t>
        </is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 t="inlineStr">
        <is>
          <t>BOM</t>
        </is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 t="n">
        <v>33</v>
      </c>
      <c r="J4589" s="3" t="n">
        <v>22</v>
      </c>
      <c r="K4589" s="3" t="n">
        <v>11</v>
      </c>
      <c r="L4589" s="3" t="inlineStr">
        <is>
          <t>EXCELENTE</t>
        </is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 t="n">
        <v>34</v>
      </c>
      <c r="J4590" s="3" t="n">
        <v>28</v>
      </c>
      <c r="K4590" s="3" t="n">
        <v>6</v>
      </c>
      <c r="L4590" s="3" t="inlineStr">
        <is>
          <t>EXCELENTE</t>
        </is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 t="inlineStr">
        <is>
          <t>BOM</t>
        </is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 t="n">
        <v>21</v>
      </c>
      <c r="J4592" s="3" t="n">
        <v>18</v>
      </c>
      <c r="K4592" s="3" t="n">
        <v>3</v>
      </c>
      <c r="L4592" s="3" t="inlineStr">
        <is>
          <t>BOM</t>
        </is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 t="n">
        <v>20</v>
      </c>
      <c r="J4593" s="3" t="n">
        <v>22</v>
      </c>
      <c r="K4593" s="3" t="n">
        <v>-2</v>
      </c>
      <c r="L4593" s="3" t="inlineStr">
        <is>
          <t>ATENÇÃO</t>
        </is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 t="n">
        <v>38</v>
      </c>
      <c r="J4594" s="3" t="n">
        <v>28</v>
      </c>
      <c r="K4594" s="3" t="n">
        <v>10</v>
      </c>
      <c r="L4594" s="3" t="inlineStr">
        <is>
          <t>EXCELENTE</t>
        </is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 t="n">
        <v>16</v>
      </c>
      <c r="J4595" s="3" t="n">
        <v>28</v>
      </c>
      <c r="K4595" s="3" t="n">
        <v>-12</v>
      </c>
      <c r="L4595" s="3" t="inlineStr">
        <is>
          <t>CRÍTICO</t>
        </is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 t="n">
        <v>5</v>
      </c>
      <c r="J4596" s="3" t="n">
        <v>22</v>
      </c>
      <c r="K4596" s="3" t="n">
        <v>-17</v>
      </c>
      <c r="L4596" s="3" t="inlineStr">
        <is>
          <t>CRÍTICO</t>
        </is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 t="inlineStr">
        <is>
          <t>BOM</t>
        </is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 t="n">
        <v>26</v>
      </c>
      <c r="J4598" s="3" t="n">
        <v>28</v>
      </c>
      <c r="K4598" s="3" t="n">
        <v>-2</v>
      </c>
      <c r="L4598" s="3" t="inlineStr">
        <is>
          <t>ATENÇÃO</t>
        </is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 t="n">
        <v>27</v>
      </c>
      <c r="J4599" s="3" t="n">
        <v>28</v>
      </c>
      <c r="K4599" s="3" t="n">
        <v>-1</v>
      </c>
      <c r="L4599" s="3" t="inlineStr">
        <is>
          <t>ATENÇÃO</t>
        </is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 t="n">
        <v>30</v>
      </c>
      <c r="J4600" s="3" t="n">
        <v>22</v>
      </c>
      <c r="K4600" s="3" t="n">
        <v>8</v>
      </c>
      <c r="L4600" s="3" t="inlineStr">
        <is>
          <t>EXCELENTE</t>
        </is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 t="n">
        <v>23</v>
      </c>
      <c r="J4601" s="3" t="n">
        <v>22</v>
      </c>
      <c r="K4601" s="3" t="n">
        <v>1</v>
      </c>
      <c r="L4601" s="3" t="inlineStr">
        <is>
          <t>BOM</t>
        </is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 t="inlineStr">
        <is>
          <t>BOM</t>
        </is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 t="n">
        <v>18</v>
      </c>
      <c r="J4603" s="3" t="n">
        <v>18</v>
      </c>
      <c r="K4603" s="3" t="n">
        <v>0</v>
      </c>
      <c r="L4603" s="3" t="inlineStr">
        <is>
          <t>BOM</t>
        </is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 t="n">
        <v>37</v>
      </c>
      <c r="J4604" s="3" t="n">
        <v>28</v>
      </c>
      <c r="K4604" s="3" t="n">
        <v>9</v>
      </c>
      <c r="L4604" s="3" t="inlineStr">
        <is>
          <t>EXCELENTE</t>
        </is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 t="n">
        <v>36</v>
      </c>
      <c r="J4605" s="3" t="n">
        <v>28</v>
      </c>
      <c r="K4605" s="3" t="n">
        <v>8</v>
      </c>
      <c r="L4605" s="3" t="inlineStr">
        <is>
          <t>EXCELENTE</t>
        </is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 t="inlineStr">
        <is>
          <t>BOM</t>
        </is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 t="n">
        <v>31</v>
      </c>
      <c r="J4607" s="3" t="n">
        <v>18</v>
      </c>
      <c r="K4607" s="3" t="n">
        <v>13</v>
      </c>
      <c r="L4607" s="3" t="inlineStr">
        <is>
          <t>EXCELENTE</t>
        </is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 t="n">
        <v>36</v>
      </c>
      <c r="J4608" s="3" t="n">
        <v>28</v>
      </c>
      <c r="K4608" s="3" t="n">
        <v>8</v>
      </c>
      <c r="L4608" s="3" t="inlineStr">
        <is>
          <t>EXCELENTE</t>
        </is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 t="n">
        <v>22</v>
      </c>
      <c r="J4609" s="3" t="n">
        <v>18</v>
      </c>
      <c r="K4609" s="3" t="n">
        <v>4</v>
      </c>
      <c r="L4609" s="3" t="inlineStr">
        <is>
          <t>BOM</t>
        </is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 t="n">
        <v>21</v>
      </c>
      <c r="J4610" s="3" t="n">
        <v>28</v>
      </c>
      <c r="K4610" s="3" t="n">
        <v>-7</v>
      </c>
      <c r="L4610" s="3" t="inlineStr">
        <is>
          <t>CRÍTICO</t>
        </is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 t="n">
        <v>21</v>
      </c>
      <c r="J4611" s="3" t="n">
        <v>16</v>
      </c>
      <c r="K4611" s="3" t="n">
        <v>5</v>
      </c>
      <c r="L4611" s="3" t="inlineStr">
        <is>
          <t>BOM</t>
        </is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 t="n">
        <v>20</v>
      </c>
      <c r="J4612" s="3" t="n">
        <v>15</v>
      </c>
      <c r="K4612" s="3" t="n">
        <v>5</v>
      </c>
      <c r="L4612" s="3" t="inlineStr">
        <is>
          <t>BOM</t>
        </is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 t="n">
        <v>17</v>
      </c>
      <c r="J4613" s="3" t="n">
        <v>16</v>
      </c>
      <c r="K4613" s="3" t="n">
        <v>1</v>
      </c>
      <c r="L4613" s="3" t="inlineStr">
        <is>
          <t>BOM</t>
        </is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 t="n">
        <v>18</v>
      </c>
      <c r="J4623" s="3" t="n">
        <v>22</v>
      </c>
      <c r="K4623" s="3" t="n">
        <v>-4</v>
      </c>
      <c r="L4623" s="3" t="inlineStr">
        <is>
          <t>ATENÇÃO</t>
        </is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 t="inlineStr">
        <is>
          <t>BOM</t>
        </is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 t="n">
        <v>34</v>
      </c>
      <c r="J4625" s="3" t="n">
        <v>18</v>
      </c>
      <c r="K4625" s="3" t="n">
        <v>16</v>
      </c>
      <c r="L4625" s="3" t="inlineStr">
        <is>
          <t>EXCELENTE</t>
        </is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 t="n">
        <v>17</v>
      </c>
      <c r="J4626" s="3" t="n">
        <v>27</v>
      </c>
      <c r="K4626" s="3" t="n">
        <v>-10</v>
      </c>
      <c r="L4626" s="3" t="inlineStr">
        <is>
          <t>CRÍTICO</t>
        </is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 t="n">
        <v>37</v>
      </c>
      <c r="J4627" s="3" t="n">
        <v>22</v>
      </c>
      <c r="K4627" s="3" t="n">
        <v>15</v>
      </c>
      <c r="L4627" s="3" t="inlineStr">
        <is>
          <t>EXCELENTE</t>
        </is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 t="n">
        <v>27</v>
      </c>
      <c r="J4628" s="3" t="n">
        <v>22</v>
      </c>
      <c r="K4628" s="3" t="n">
        <v>5</v>
      </c>
      <c r="L4628" s="3" t="inlineStr">
        <is>
          <t>BOM</t>
        </is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 t="n">
        <v>23</v>
      </c>
      <c r="J4629" s="3" t="n">
        <v>18</v>
      </c>
      <c r="K4629" s="3" t="n">
        <v>5</v>
      </c>
      <c r="L4629" s="3" t="inlineStr">
        <is>
          <t>BOM</t>
        </is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 t="n">
        <v>27</v>
      </c>
      <c r="J4630" s="3" t="n">
        <v>27</v>
      </c>
      <c r="K4630" s="3" t="n">
        <v>0</v>
      </c>
      <c r="L4630" s="3" t="inlineStr">
        <is>
          <t>BOM</t>
        </is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 t="inlineStr">
        <is>
          <t>BOM</t>
        </is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 t="n">
        <v>23</v>
      </c>
      <c r="J4632" s="3" t="n">
        <v>18</v>
      </c>
      <c r="K4632" s="3" t="n">
        <v>5</v>
      </c>
      <c r="L4632" s="3" t="inlineStr">
        <is>
          <t>BOM</t>
        </is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 t="inlineStr">
        <is>
          <t>BOM</t>
        </is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 t="n">
        <v>33</v>
      </c>
      <c r="J4634" s="3" t="n">
        <v>22</v>
      </c>
      <c r="K4634" s="3" t="n">
        <v>11</v>
      </c>
      <c r="L4634" s="3" t="inlineStr">
        <is>
          <t>EXCELENTE</t>
        </is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 t="n">
        <v>34</v>
      </c>
      <c r="J4635" s="3" t="n">
        <v>27</v>
      </c>
      <c r="K4635" s="3" t="n">
        <v>7</v>
      </c>
      <c r="L4635" s="3" t="inlineStr">
        <is>
          <t>EXCELENTE</t>
        </is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 t="inlineStr">
        <is>
          <t>BOM</t>
        </is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 t="n">
        <v>19</v>
      </c>
      <c r="J4637" s="3" t="n">
        <v>18</v>
      </c>
      <c r="K4637" s="3" t="n">
        <v>1</v>
      </c>
      <c r="L4637" s="3" t="inlineStr">
        <is>
          <t>BOM</t>
        </is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 t="n">
        <v>27</v>
      </c>
      <c r="J4638" s="3" t="n">
        <v>22</v>
      </c>
      <c r="K4638" s="3" t="n">
        <v>5</v>
      </c>
      <c r="L4638" s="3" t="inlineStr">
        <is>
          <t>BOM</t>
        </is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 t="n">
        <v>45</v>
      </c>
      <c r="J4639" s="3" t="n">
        <v>27</v>
      </c>
      <c r="K4639" s="3" t="n">
        <v>18</v>
      </c>
      <c r="L4639" s="3" t="inlineStr">
        <is>
          <t>EXCELENTE</t>
        </is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 t="n">
        <v>27</v>
      </c>
      <c r="J4640" s="3" t="n">
        <v>27</v>
      </c>
      <c r="K4640" s="3" t="n">
        <v>0</v>
      </c>
      <c r="L4640" s="3" t="inlineStr">
        <is>
          <t>BOM</t>
        </is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 t="inlineStr">
        <is>
          <t>BOM</t>
        </is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 t="inlineStr">
        <is>
          <t>BOM</t>
        </is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 t="n">
        <v>33</v>
      </c>
      <c r="J4643" s="3" t="n">
        <v>27</v>
      </c>
      <c r="K4643" s="3" t="n">
        <v>6</v>
      </c>
      <c r="L4643" s="3" t="inlineStr">
        <is>
          <t>EXCELENTE</t>
        </is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 t="n">
        <v>29</v>
      </c>
      <c r="J4644" s="3" t="n">
        <v>27</v>
      </c>
      <c r="K4644" s="3" t="n">
        <v>2</v>
      </c>
      <c r="L4644" s="3" t="inlineStr">
        <is>
          <t>BOM</t>
        </is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 t="n">
        <v>22</v>
      </c>
      <c r="J4645" s="3" t="n">
        <v>22</v>
      </c>
      <c r="K4645" s="3" t="n">
        <v>0</v>
      </c>
      <c r="L4645" s="3" t="inlineStr">
        <is>
          <t>BOM</t>
        </is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 t="inlineStr">
        <is>
          <t>BOM</t>
        </is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 t="inlineStr">
        <is>
          <t>BOM</t>
        </is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 t="n">
        <v>24</v>
      </c>
      <c r="J4648" s="3" t="n">
        <v>18</v>
      </c>
      <c r="K4648" s="3" t="n">
        <v>6</v>
      </c>
      <c r="L4648" s="3" t="inlineStr">
        <is>
          <t>EXCELENTE</t>
        </is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 t="n">
        <v>32</v>
      </c>
      <c r="J4649" s="3" t="n">
        <v>27</v>
      </c>
      <c r="K4649" s="3" t="n">
        <v>5</v>
      </c>
      <c r="L4649" s="3" t="inlineStr">
        <is>
          <t>BOM</t>
        </is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 t="n">
        <v>31</v>
      </c>
      <c r="J4650" s="3" t="n">
        <v>27</v>
      </c>
      <c r="K4650" s="3" t="n">
        <v>4</v>
      </c>
      <c r="L4650" s="3" t="inlineStr">
        <is>
          <t>BOM</t>
        </is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 t="inlineStr">
        <is>
          <t>BOM</t>
        </is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 t="n">
        <v>26</v>
      </c>
      <c r="J4652" s="3" t="n">
        <v>18</v>
      </c>
      <c r="K4652" s="3" t="n">
        <v>8</v>
      </c>
      <c r="L4652" s="3" t="inlineStr">
        <is>
          <t>EXCELENTE</t>
        </is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 t="n">
        <v>41</v>
      </c>
      <c r="J4653" s="3" t="n">
        <v>27</v>
      </c>
      <c r="K4653" s="3" t="n">
        <v>14</v>
      </c>
      <c r="L4653" s="3" t="inlineStr">
        <is>
          <t>EXCELENTE</t>
        </is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 t="n">
        <v>22</v>
      </c>
      <c r="J4654" s="3" t="n">
        <v>18</v>
      </c>
      <c r="K4654" s="3" t="n">
        <v>4</v>
      </c>
      <c r="L4654" s="3" t="inlineStr">
        <is>
          <t>BOM</t>
        </is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 t="n">
        <v>21</v>
      </c>
      <c r="J4655" s="3" t="n">
        <v>27</v>
      </c>
      <c r="K4655" s="3" t="n">
        <v>-6</v>
      </c>
      <c r="L4655" s="3" t="inlineStr">
        <is>
          <t>CRÍTICO</t>
        </is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 t="n">
        <v>13</v>
      </c>
      <c r="J4658" s="3" t="n">
        <v>8</v>
      </c>
      <c r="K4658" s="3" t="n">
        <v>5</v>
      </c>
      <c r="L4658" s="3" t="inlineStr">
        <is>
          <t>BOM</t>
        </is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 t="n">
        <v>19</v>
      </c>
      <c r="J4659" s="3" t="n">
        <v>8</v>
      </c>
      <c r="K4659" s="3" t="n">
        <v>11</v>
      </c>
      <c r="L4659" s="3" t="inlineStr">
        <is>
          <t>EXCELENTE</t>
        </is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 t="n">
        <v>15</v>
      </c>
      <c r="J4660" s="3" t="n">
        <v>7</v>
      </c>
      <c r="K4660" s="3" t="n">
        <v>8</v>
      </c>
      <c r="L4660" s="3" t="inlineStr">
        <is>
          <t>EXCELENTE</t>
        </is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 t="n">
        <v>18</v>
      </c>
      <c r="J4661" s="3" t="n">
        <v>6</v>
      </c>
      <c r="K4661" s="3" t="n">
        <v>12</v>
      </c>
      <c r="L4661" s="3" t="inlineStr">
        <is>
          <t>EXCELENTE</t>
        </is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 t="n">
        <v>15</v>
      </c>
      <c r="J4662" s="3" t="n">
        <v>6</v>
      </c>
      <c r="K4662" s="3" t="n">
        <v>9</v>
      </c>
      <c r="L4662" s="3" t="inlineStr">
        <is>
          <t>EXCELENTE</t>
        </is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 t="n">
        <v>17</v>
      </c>
      <c r="J4663" s="3" t="n">
        <v>6</v>
      </c>
      <c r="K4663" s="3" t="n">
        <v>11</v>
      </c>
      <c r="L4663" s="3" t="inlineStr">
        <is>
          <t>EXCELENTE</t>
        </is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 t="n">
        <v>13</v>
      </c>
      <c r="J4664" s="3" t="n">
        <v>8</v>
      </c>
      <c r="K4664" s="3" t="n">
        <v>5</v>
      </c>
      <c r="L4664" s="3" t="inlineStr">
        <is>
          <t>BOM</t>
        </is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 t="n">
        <v>16</v>
      </c>
      <c r="J4665" s="3" t="n">
        <v>8</v>
      </c>
      <c r="K4665" s="3" t="n">
        <v>8</v>
      </c>
      <c r="L4665" s="3" t="inlineStr">
        <is>
          <t>EXCELENTE</t>
        </is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 t="n">
        <v>14</v>
      </c>
      <c r="J4666" s="3" t="n">
        <v>8</v>
      </c>
      <c r="K4666" s="3" t="n">
        <v>6</v>
      </c>
      <c r="L4666" s="3" t="inlineStr">
        <is>
          <t>EXCELENTE</t>
        </is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 t="n">
        <v>15</v>
      </c>
      <c r="J4667" s="3" t="n">
        <v>8</v>
      </c>
      <c r="K4667" s="3" t="n">
        <v>7</v>
      </c>
      <c r="L4667" s="3" t="inlineStr">
        <is>
          <t>EXCELENTE</t>
        </is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 t="n">
        <v>15</v>
      </c>
      <c r="J4668" s="3" t="n">
        <v>22</v>
      </c>
      <c r="K4668" s="3" t="n">
        <v>-7</v>
      </c>
      <c r="L4668" s="3" t="inlineStr">
        <is>
          <t>CRÍTICO</t>
        </is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 t="inlineStr">
        <is>
          <t>BOM</t>
        </is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 t="n">
        <v>47</v>
      </c>
      <c r="J4670" s="3" t="n">
        <v>18</v>
      </c>
      <c r="K4670" s="3" t="n">
        <v>29</v>
      </c>
      <c r="L4670" s="3" t="inlineStr">
        <is>
          <t>EXCELENTE</t>
        </is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 t="n">
        <v>27</v>
      </c>
      <c r="J4671" s="3" t="n">
        <v>27</v>
      </c>
      <c r="K4671" s="3" t="n">
        <v>0</v>
      </c>
      <c r="L4671" s="3" t="inlineStr">
        <is>
          <t>BOM</t>
        </is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 t="n">
        <v>29</v>
      </c>
      <c r="J4672" s="3" t="n">
        <v>22</v>
      </c>
      <c r="K4672" s="3" t="n">
        <v>7</v>
      </c>
      <c r="L4672" s="3" t="inlineStr">
        <is>
          <t>EXCELENTE</t>
        </is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 t="n">
        <v>28</v>
      </c>
      <c r="J4673" s="3" t="n">
        <v>22</v>
      </c>
      <c r="K4673" s="3" t="n">
        <v>6</v>
      </c>
      <c r="L4673" s="3" t="inlineStr">
        <is>
          <t>EXCELENTE</t>
        </is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 t="n">
        <v>16</v>
      </c>
      <c r="J4674" s="3" t="n">
        <v>18</v>
      </c>
      <c r="K4674" s="3" t="n">
        <v>-2</v>
      </c>
      <c r="L4674" s="3" t="inlineStr">
        <is>
          <t>ATENÇÃO</t>
        </is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 t="n">
        <v>28</v>
      </c>
      <c r="J4675" s="3" t="n">
        <v>27</v>
      </c>
      <c r="K4675" s="3" t="n">
        <v>1</v>
      </c>
      <c r="L4675" s="3" t="inlineStr">
        <is>
          <t>BOM</t>
        </is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 t="inlineStr">
        <is>
          <t>BOM</t>
        </is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 t="n">
        <v>19</v>
      </c>
      <c r="J4677" s="3" t="n">
        <v>18</v>
      </c>
      <c r="K4677" s="3" t="n">
        <v>1</v>
      </c>
      <c r="L4677" s="3" t="inlineStr">
        <is>
          <t>BOM</t>
        </is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 t="inlineStr">
        <is>
          <t>BOM</t>
        </is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 t="n">
        <v>26</v>
      </c>
      <c r="J4679" s="3" t="n">
        <v>22</v>
      </c>
      <c r="K4679" s="3" t="n">
        <v>4</v>
      </c>
      <c r="L4679" s="3" t="inlineStr">
        <is>
          <t>BOM</t>
        </is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 t="n">
        <v>30</v>
      </c>
      <c r="J4680" s="3" t="n">
        <v>27</v>
      </c>
      <c r="K4680" s="3" t="n">
        <v>3</v>
      </c>
      <c r="L4680" s="3" t="inlineStr">
        <is>
          <t>BOM</t>
        </is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 t="inlineStr">
        <is>
          <t>BOM</t>
        </is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 t="n">
        <v>16</v>
      </c>
      <c r="J4682" s="3" t="n">
        <v>18</v>
      </c>
      <c r="K4682" s="3" t="n">
        <v>-2</v>
      </c>
      <c r="L4682" s="3" t="inlineStr">
        <is>
          <t>ATENÇÃO</t>
        </is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 t="n">
        <v>26</v>
      </c>
      <c r="J4683" s="3" t="n">
        <v>22</v>
      </c>
      <c r="K4683" s="3" t="n">
        <v>4</v>
      </c>
      <c r="L4683" s="3" t="inlineStr">
        <is>
          <t>BOM</t>
        </is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 t="n">
        <v>42</v>
      </c>
      <c r="J4684" s="3" t="n">
        <v>27</v>
      </c>
      <c r="K4684" s="3" t="n">
        <v>15</v>
      </c>
      <c r="L4684" s="3" t="inlineStr">
        <is>
          <t>EXCELENTE</t>
        </is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 t="n">
        <v>30</v>
      </c>
      <c r="J4685" s="3" t="n">
        <v>27</v>
      </c>
      <c r="K4685" s="3" t="n">
        <v>3</v>
      </c>
      <c r="L4685" s="3" t="inlineStr">
        <is>
          <t>BOM</t>
        </is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 t="inlineStr">
        <is>
          <t>BOM</t>
        </is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 t="inlineStr">
        <is>
          <t>BOM</t>
        </is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 t="n">
        <v>28</v>
      </c>
      <c r="J4688" s="3" t="n">
        <v>27</v>
      </c>
      <c r="K4688" s="3" t="n">
        <v>1</v>
      </c>
      <c r="L4688" s="3" t="inlineStr">
        <is>
          <t>BOM</t>
        </is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 t="n">
        <v>27</v>
      </c>
      <c r="J4689" s="3" t="n">
        <v>27</v>
      </c>
      <c r="K4689" s="3" t="n">
        <v>0</v>
      </c>
      <c r="L4689" s="3" t="inlineStr">
        <is>
          <t>BOM</t>
        </is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 t="n">
        <v>32</v>
      </c>
      <c r="J4690" s="3" t="n">
        <v>22</v>
      </c>
      <c r="K4690" s="3" t="n">
        <v>10</v>
      </c>
      <c r="L4690" s="3" t="inlineStr">
        <is>
          <t>EXCELENTE</t>
        </is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 t="n">
        <v>24</v>
      </c>
      <c r="J4691" s="3" t="n">
        <v>22</v>
      </c>
      <c r="K4691" s="3" t="n">
        <v>2</v>
      </c>
      <c r="L4691" s="3" t="inlineStr">
        <is>
          <t>BOM</t>
        </is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 t="n">
        <v>22</v>
      </c>
      <c r="J4692" s="3" t="n">
        <v>27</v>
      </c>
      <c r="K4692" s="3" t="n">
        <v>-5</v>
      </c>
      <c r="L4692" s="3" t="inlineStr">
        <is>
          <t>ATENÇÃO</t>
        </is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 t="n">
        <v>16</v>
      </c>
      <c r="J4693" s="3" t="n">
        <v>18</v>
      </c>
      <c r="K4693" s="3" t="n">
        <v>-2</v>
      </c>
      <c r="L4693" s="3" t="inlineStr">
        <is>
          <t>ATENÇÃO</t>
        </is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 t="n">
        <v>41</v>
      </c>
      <c r="J4694" s="3" t="n">
        <v>27</v>
      </c>
      <c r="K4694" s="3" t="n">
        <v>14</v>
      </c>
      <c r="L4694" s="3" t="inlineStr">
        <is>
          <t>EXCELENTE</t>
        </is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 t="n">
        <v>38</v>
      </c>
      <c r="J4695" s="3" t="n">
        <v>27</v>
      </c>
      <c r="K4695" s="3" t="n">
        <v>11</v>
      </c>
      <c r="L4695" s="3" t="inlineStr">
        <is>
          <t>EXCELENTE</t>
        </is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 t="inlineStr">
        <is>
          <t>BOM</t>
        </is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 t="n">
        <v>26</v>
      </c>
      <c r="J4697" s="3" t="n">
        <v>18</v>
      </c>
      <c r="K4697" s="3" t="n">
        <v>8</v>
      </c>
      <c r="L4697" s="3" t="inlineStr">
        <is>
          <t>EXCELENTE</t>
        </is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 t="n">
        <v>37</v>
      </c>
      <c r="J4698" s="3" t="n">
        <v>27</v>
      </c>
      <c r="K4698" s="3" t="n">
        <v>10</v>
      </c>
      <c r="L4698" s="3" t="inlineStr">
        <is>
          <t>EXCELENTE</t>
        </is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 t="n">
        <v>13</v>
      </c>
      <c r="J4699" s="3" t="n">
        <v>18</v>
      </c>
      <c r="K4699" s="3" t="n">
        <v>-5</v>
      </c>
      <c r="L4699" s="3" t="inlineStr">
        <is>
          <t>ATENÇÃO</t>
        </is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 t="n">
        <v>26</v>
      </c>
      <c r="J4700" s="3" t="n">
        <v>27</v>
      </c>
      <c r="K4700" s="3" t="n">
        <v>-1</v>
      </c>
      <c r="L4700" s="3" t="inlineStr">
        <is>
          <t>ATENÇÃO</t>
        </is>
      </c>
      <c r="M4700" s="3" t="n">
        <v>6</v>
      </c>
      <c r="N4700" s="3" t="n">
        <v>97.39</v>
      </c>
      <c r="O4700" s="12" t="n">
        <v>21.27139364303179</v>
      </c>
    </row>
    <row r="4701">
      <c r="A4701" s="10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H4701" t="n">
        <v>0</v>
      </c>
      <c r="I4701" s="3" t="n">
        <v>40</v>
      </c>
      <c r="J4701" s="3" t="n">
        <v>18</v>
      </c>
      <c r="K4701" s="3" t="n">
        <v>22</v>
      </c>
      <c r="L4701" s="3" t="inlineStr">
        <is>
          <t>EXCELENTE</t>
        </is>
      </c>
      <c r="M4701" t="n">
        <v>37</v>
      </c>
      <c r="N4701" t="n">
        <v>100</v>
      </c>
      <c r="O4701" t="n">
        <v>5.405405405405405</v>
      </c>
    </row>
    <row r="4702">
      <c r="A4702" s="10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H4702" t="n">
        <v>0</v>
      </c>
      <c r="I4702" s="3" t="n">
        <v>9</v>
      </c>
      <c r="J4702" s="3" t="n">
        <v>9</v>
      </c>
      <c r="K4702" s="3" t="n">
        <v>0</v>
      </c>
      <c r="L4702" s="3" t="inlineStr">
        <is>
          <t>BOM</t>
        </is>
      </c>
      <c r="M4702" t="n">
        <v>11</v>
      </c>
      <c r="N4702" t="n">
        <v>100</v>
      </c>
      <c r="O4702" t="n">
        <v>0</v>
      </c>
    </row>
    <row r="4703">
      <c r="A4703" s="10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H4703" t="n">
        <v>0</v>
      </c>
      <c r="I4703" s="3" t="n">
        <v>7</v>
      </c>
      <c r="J4703" s="3" t="n">
        <v>9</v>
      </c>
      <c r="K4703" s="3" t="n">
        <v>-2</v>
      </c>
      <c r="L4703" s="3" t="inlineStr">
        <is>
          <t>ATENÇÃO</t>
        </is>
      </c>
      <c r="M4703" t="n">
        <v>7</v>
      </c>
      <c r="N4703" t="n">
        <v>50</v>
      </c>
      <c r="O4703" t="n">
        <v>14.28571428571428</v>
      </c>
    </row>
    <row r="4704">
      <c r="A4704" s="10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H4704" t="n">
        <v>0</v>
      </c>
      <c r="I4704" s="3" t="n">
        <v>7</v>
      </c>
      <c r="J4704" s="3" t="n">
        <v>9</v>
      </c>
      <c r="K4704" s="3" t="n">
        <v>-2</v>
      </c>
      <c r="L4704" s="3" t="inlineStr">
        <is>
          <t>ATENÇÃO</t>
        </is>
      </c>
      <c r="M4704" t="n">
        <v>5</v>
      </c>
      <c r="N4704" t="n">
        <v>0</v>
      </c>
      <c r="O4704" t="n">
        <v>0</v>
      </c>
    </row>
    <row r="4705">
      <c r="A4705" s="10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H4705" t="n">
        <v>0</v>
      </c>
      <c r="I4705" s="3" t="n">
        <v>16</v>
      </c>
      <c r="J4705" s="3" t="n">
        <v>18</v>
      </c>
      <c r="K4705" s="3" t="n">
        <v>-2</v>
      </c>
      <c r="L4705" s="3" t="inlineStr">
        <is>
          <t>ATENÇÃO</t>
        </is>
      </c>
      <c r="M4705" t="n">
        <v>17</v>
      </c>
      <c r="N4705" t="n">
        <v>100</v>
      </c>
      <c r="O4705" t="n">
        <v>5.88235294117647</v>
      </c>
    </row>
    <row r="4706">
      <c r="A4706" s="10" t="n">
        <v>46174</v>
      </c>
      <c r="B4706" t="inlineStr">
        <is>
          <t>Leandro de Souza Silva</t>
        </is>
      </c>
      <c r="C4706" t="inlineStr">
        <is>
          <t>Técnico I</t>
        </is>
      </c>
      <c r="D4706" t="n">
        <v>11</v>
      </c>
      <c r="E4706" t="n">
        <v>11</v>
      </c>
      <c r="F4706" t="n">
        <v>16.52</v>
      </c>
      <c r="G4706" t="n">
        <v>1</v>
      </c>
      <c r="H4706" t="n">
        <v>0</v>
      </c>
      <c r="I4706" s="3" t="n">
        <v>12</v>
      </c>
      <c r="J4706" s="3" t="n">
        <v>20</v>
      </c>
      <c r="K4706" s="3" t="n">
        <v>-8</v>
      </c>
      <c r="L4706" s="3" t="inlineStr">
        <is>
          <t>CRÍTICO</t>
        </is>
      </c>
      <c r="M4706" t="n">
        <v>9</v>
      </c>
      <c r="N4706" t="n">
        <v>100</v>
      </c>
      <c r="O4706" t="n">
        <v>22.22222222222222</v>
      </c>
    </row>
    <row r="4707">
      <c r="A4707" s="10" t="n">
        <v>46174</v>
      </c>
      <c r="B4707" t="inlineStr">
        <is>
          <t>Maria Eduarda Sousa Costa</t>
        </is>
      </c>
      <c r="C4707" t="inlineStr">
        <is>
          <t>JR</t>
        </is>
      </c>
      <c r="D4707" t="n">
        <v>29</v>
      </c>
      <c r="E4707" t="n">
        <v>29</v>
      </c>
      <c r="F4707" t="n">
        <v>20.23</v>
      </c>
      <c r="G4707" t="n">
        <v>1</v>
      </c>
      <c r="H4707" t="n">
        <v>0</v>
      </c>
      <c r="I4707" s="3" t="n">
        <v>30</v>
      </c>
      <c r="J4707" s="3" t="n">
        <v>18</v>
      </c>
      <c r="K4707" s="3" t="n">
        <v>12</v>
      </c>
      <c r="L4707" s="3" t="inlineStr">
        <is>
          <t>EXCELENTE</t>
        </is>
      </c>
      <c r="M4707" t="n">
        <v>40</v>
      </c>
      <c r="N4707" t="n">
        <v>100</v>
      </c>
      <c r="O4707" t="n">
        <v>12.5</v>
      </c>
    </row>
    <row r="4708">
      <c r="A4708" s="10" t="n">
        <v>46174</v>
      </c>
      <c r="B4708" t="inlineStr">
        <is>
          <t>Michelle G Santos</t>
        </is>
      </c>
      <c r="C4708" t="inlineStr">
        <is>
          <t>JR</t>
        </is>
      </c>
      <c r="D4708" t="n">
        <v>17</v>
      </c>
      <c r="E4708" t="n">
        <v>17</v>
      </c>
      <c r="F4708" t="n">
        <v>35.54</v>
      </c>
      <c r="G4708" t="n">
        <v>0</v>
      </c>
      <c r="H4708" t="n">
        <v>0</v>
      </c>
      <c r="I4708" s="3" t="n">
        <v>17</v>
      </c>
      <c r="J4708" s="3" t="n">
        <v>18</v>
      </c>
      <c r="K4708" s="3" t="n">
        <v>-1</v>
      </c>
      <c r="L4708" s="3" t="inlineStr">
        <is>
          <t>ATENÇÃO</t>
        </is>
      </c>
      <c r="M4708" t="n">
        <v>11</v>
      </c>
      <c r="N4708" t="n">
        <v>100</v>
      </c>
      <c r="O4708" t="n">
        <v>9.090909090909092</v>
      </c>
    </row>
    <row r="4709">
      <c r="A4709" s="10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H4709" t="n">
        <v>0</v>
      </c>
      <c r="I4709" s="3" t="n">
        <v>34</v>
      </c>
      <c r="J4709" s="3" t="n">
        <v>18</v>
      </c>
      <c r="K4709" s="3" t="n">
        <v>16</v>
      </c>
      <c r="L4709" s="3" t="inlineStr">
        <is>
          <t>EXCELENTE</t>
        </is>
      </c>
      <c r="M4709" t="n">
        <v>35</v>
      </c>
      <c r="N4709" t="n">
        <v>100</v>
      </c>
      <c r="O4709" t="n">
        <v>2.857142857142857</v>
      </c>
    </row>
    <row r="4710">
      <c r="A4710" s="10" t="n">
        <v>46174</v>
      </c>
      <c r="B4710" t="inlineStr">
        <is>
          <t>Paulo Ricardo Santos</t>
        </is>
      </c>
      <c r="C4710" t="inlineStr">
        <is>
          <t>Técnico I</t>
        </is>
      </c>
      <c r="D4710" t="n">
        <v>20</v>
      </c>
      <c r="E4710" t="n">
        <v>19</v>
      </c>
      <c r="F4710" t="n">
        <v>20.01</v>
      </c>
      <c r="G4710" t="n">
        <v>0</v>
      </c>
      <c r="H4710" t="n">
        <v>0</v>
      </c>
      <c r="I4710" s="3" t="n">
        <v>19</v>
      </c>
      <c r="J4710" s="3" t="n">
        <v>20</v>
      </c>
      <c r="K4710" s="3" t="n">
        <v>-1</v>
      </c>
      <c r="L4710" s="3" t="inlineStr">
        <is>
          <t>ATENÇÃO</t>
        </is>
      </c>
      <c r="M4710" t="n">
        <v>15</v>
      </c>
      <c r="N4710" t="n">
        <v>100</v>
      </c>
      <c r="O4710" t="n">
        <v>0</v>
      </c>
    </row>
    <row r="4711">
      <c r="A4711" s="10" t="n">
        <v>46174</v>
      </c>
      <c r="B4711" t="inlineStr">
        <is>
          <t>Pedro Luiz Mota Sousa</t>
        </is>
      </c>
      <c r="C4711" t="inlineStr">
        <is>
          <t>Técnico I</t>
        </is>
      </c>
      <c r="D4711" t="n">
        <v>17</v>
      </c>
      <c r="E4711" t="n">
        <v>17</v>
      </c>
      <c r="F4711" t="n">
        <v>23.45</v>
      </c>
      <c r="G4711" t="n">
        <v>0</v>
      </c>
      <c r="H4711" t="n">
        <v>0</v>
      </c>
      <c r="I4711" s="3" t="n">
        <v>17</v>
      </c>
      <c r="J4711" s="3" t="n">
        <v>20</v>
      </c>
      <c r="K4711" s="3" t="n">
        <v>-3</v>
      </c>
      <c r="L4711" s="3" t="inlineStr">
        <is>
          <t>ATENÇÃO</t>
        </is>
      </c>
      <c r="M4711" t="n">
        <v>22</v>
      </c>
      <c r="N4711" t="n">
        <v>100</v>
      </c>
      <c r="O4711" t="n">
        <v>13.63636363636363</v>
      </c>
    </row>
    <row r="4712">
      <c r="A4712" s="10" t="n">
        <v>46174</v>
      </c>
      <c r="B4712" t="inlineStr">
        <is>
          <t>Quirino Diogo Leite Torres</t>
        </is>
      </c>
      <c r="C4712" t="inlineStr">
        <is>
          <t>JR</t>
        </is>
      </c>
      <c r="D4712" t="n">
        <v>15</v>
      </c>
      <c r="E4712" t="n">
        <v>15</v>
      </c>
      <c r="F4712" t="n">
        <v>30.26</v>
      </c>
      <c r="G4712" t="n">
        <v>0</v>
      </c>
      <c r="H4712" t="n">
        <v>0</v>
      </c>
      <c r="I4712" s="3" t="n">
        <v>15</v>
      </c>
      <c r="J4712" s="3" t="n">
        <v>18</v>
      </c>
      <c r="K4712" s="3" t="n">
        <v>-3</v>
      </c>
      <c r="L4712" s="3" t="inlineStr">
        <is>
          <t>ATENÇÃO</t>
        </is>
      </c>
      <c r="M4712" t="n">
        <v>24</v>
      </c>
      <c r="N4712" t="n">
        <v>100</v>
      </c>
      <c r="O4712" t="n">
        <v>8.333333333333332</v>
      </c>
    </row>
    <row r="4713">
      <c r="A4713" s="10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H4713" t="n">
        <v>0</v>
      </c>
      <c r="I4713" s="3" t="n">
        <v>26</v>
      </c>
      <c r="J4713" s="3" t="n">
        <v>25</v>
      </c>
      <c r="K4713" s="3" t="n">
        <v>1</v>
      </c>
      <c r="L4713" s="3" t="inlineStr">
        <is>
          <t>BOM</t>
        </is>
      </c>
      <c r="M4713" t="n">
        <v>18</v>
      </c>
      <c r="N4713" t="n">
        <v>100</v>
      </c>
      <c r="O4713" t="n">
        <v>5.555555555555555</v>
      </c>
    </row>
    <row r="4714">
      <c r="A4714" s="10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s="3" t="n">
        <v>21</v>
      </c>
      <c r="J4714" s="3" t="n">
        <v>31</v>
      </c>
      <c r="K4714" s="3" t="n">
        <v>-10</v>
      </c>
      <c r="L4714" s="3" t="inlineStr">
        <is>
          <t>CRÍTICO</t>
        </is>
      </c>
      <c r="M4714" t="n">
        <v>19</v>
      </c>
      <c r="N4714" t="n">
        <v>100</v>
      </c>
      <c r="O4714" t="n">
        <v>10.52631578947368</v>
      </c>
    </row>
    <row r="4715">
      <c r="A4715" s="10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H4715" t="n">
        <v>0</v>
      </c>
      <c r="I4715" s="3" t="n">
        <v>37</v>
      </c>
      <c r="J4715" s="3" t="n">
        <v>20</v>
      </c>
      <c r="K4715" s="3" t="n">
        <v>17</v>
      </c>
      <c r="L4715" s="3" t="inlineStr">
        <is>
          <t>EXCELENTE</t>
        </is>
      </c>
      <c r="M4715" t="n">
        <v>57</v>
      </c>
      <c r="N4715" t="n">
        <v>100</v>
      </c>
      <c r="O4715" t="n">
        <v>3.508771929824561</v>
      </c>
    </row>
    <row r="4716">
      <c r="A4716" s="10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H4716" t="n">
        <v>0</v>
      </c>
      <c r="I4716" s="3" t="n">
        <v>29</v>
      </c>
      <c r="J4716" s="3" t="n">
        <v>31</v>
      </c>
      <c r="K4716" s="3" t="n">
        <v>-2</v>
      </c>
      <c r="L4716" s="3" t="inlineStr">
        <is>
          <t>ATENÇÃO</t>
        </is>
      </c>
      <c r="M4716" t="n">
        <v>50</v>
      </c>
      <c r="N4716" t="n">
        <v>100</v>
      </c>
      <c r="O4716" t="n">
        <v>10</v>
      </c>
    </row>
    <row r="4717">
      <c r="A4717" s="10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H4717" t="n">
        <v>0</v>
      </c>
      <c r="I4717" s="3" t="n">
        <v>49</v>
      </c>
      <c r="J4717" s="3" t="n">
        <v>25</v>
      </c>
      <c r="K4717" s="3" t="n">
        <v>24</v>
      </c>
      <c r="L4717" s="3" t="inlineStr">
        <is>
          <t>EXCELENTE</t>
        </is>
      </c>
      <c r="M4717" t="n">
        <v>71</v>
      </c>
      <c r="N4717" t="n">
        <v>100</v>
      </c>
      <c r="O4717" t="n">
        <v>12.67605633802817</v>
      </c>
    </row>
    <row r="4718">
      <c r="A4718" s="10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H4718" t="n">
        <v>0</v>
      </c>
      <c r="I4718" s="3" t="n">
        <v>32</v>
      </c>
      <c r="J4718" s="3" t="n">
        <v>25</v>
      </c>
      <c r="K4718" s="3" t="n">
        <v>7</v>
      </c>
      <c r="L4718" s="3" t="inlineStr">
        <is>
          <t>EXCELENTE</t>
        </is>
      </c>
      <c r="M4718" t="n">
        <v>45</v>
      </c>
      <c r="N4718" t="n">
        <v>100</v>
      </c>
      <c r="O4718" t="n">
        <v>8.888888888888889</v>
      </c>
    </row>
    <row r="4719">
      <c r="A4719" s="10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H4719" t="n">
        <v>0</v>
      </c>
      <c r="I4719" s="3" t="n">
        <v>35</v>
      </c>
      <c r="J4719" s="3" t="n">
        <v>20</v>
      </c>
      <c r="K4719" s="3" t="n">
        <v>15</v>
      </c>
      <c r="L4719" s="3" t="inlineStr">
        <is>
          <t>EXCELENTE</t>
        </is>
      </c>
      <c r="M4719" t="n">
        <v>34</v>
      </c>
      <c r="N4719" t="n">
        <v>100</v>
      </c>
      <c r="O4719" t="n">
        <v>17.64705882352941</v>
      </c>
    </row>
    <row r="4720">
      <c r="A4720" s="10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H4720" t="n">
        <v>0</v>
      </c>
      <c r="I4720" s="3" t="n">
        <v>41</v>
      </c>
      <c r="J4720" s="3" t="n">
        <v>31</v>
      </c>
      <c r="K4720" s="3" t="n">
        <v>10</v>
      </c>
      <c r="L4720" s="3" t="inlineStr">
        <is>
          <t>EXCELENTE</t>
        </is>
      </c>
      <c r="M4720" t="n">
        <v>62</v>
      </c>
      <c r="N4720" t="n">
        <v>90</v>
      </c>
      <c r="O4720" t="n">
        <v>16.12903225806452</v>
      </c>
    </row>
    <row r="4721">
      <c r="A4721" s="10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s="3" t="n">
        <v>0</v>
      </c>
      <c r="J4721" s="3" t="n">
        <v>0</v>
      </c>
      <c r="K4721" s="3" t="n">
        <v>0</v>
      </c>
      <c r="L4721" s="3" t="inlineStr">
        <is>
          <t>BOM</t>
        </is>
      </c>
      <c r="M4721" t="n">
        <v>0</v>
      </c>
      <c r="N4721" t="n">
        <v>0</v>
      </c>
      <c r="O4721" t="n">
        <v>0</v>
      </c>
    </row>
    <row r="4722">
      <c r="A4722" s="10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H4722" t="n">
        <v>0</v>
      </c>
      <c r="I4722" s="3" t="n">
        <v>21</v>
      </c>
      <c r="J4722" s="3" t="n">
        <v>20</v>
      </c>
      <c r="K4722" s="3" t="n">
        <v>1</v>
      </c>
      <c r="L4722" s="3" t="inlineStr">
        <is>
          <t>BOM</t>
        </is>
      </c>
      <c r="M4722" t="n">
        <v>25</v>
      </c>
      <c r="N4722" t="n">
        <v>100</v>
      </c>
      <c r="O4722" t="n">
        <v>8</v>
      </c>
    </row>
    <row r="4723">
      <c r="A4723" s="10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H4723" t="n">
        <v>0</v>
      </c>
      <c r="I4723" s="3" t="n">
        <v>1</v>
      </c>
      <c r="J4723" s="3" t="n">
        <v>31</v>
      </c>
      <c r="K4723" s="3" t="n">
        <v>-30</v>
      </c>
      <c r="L4723" s="3" t="inlineStr">
        <is>
          <t>CRÍTICO</t>
        </is>
      </c>
      <c r="M4723" t="n">
        <v>0</v>
      </c>
      <c r="N4723" t="n">
        <v>0</v>
      </c>
      <c r="O4723" t="n">
        <v>0</v>
      </c>
    </row>
    <row r="4724">
      <c r="A4724" s="10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H4724" t="n">
        <v>0</v>
      </c>
      <c r="I4724" s="3" t="n">
        <v>38</v>
      </c>
      <c r="J4724" s="3" t="n">
        <v>25</v>
      </c>
      <c r="K4724" s="3" t="n">
        <v>13</v>
      </c>
      <c r="L4724" s="3" t="inlineStr">
        <is>
          <t>EXCELENTE</t>
        </is>
      </c>
      <c r="M4724" t="n">
        <v>35</v>
      </c>
      <c r="N4724" t="n">
        <v>100</v>
      </c>
      <c r="O4724" t="n">
        <v>0</v>
      </c>
    </row>
    <row r="4725">
      <c r="A4725" s="10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H4725" t="n">
        <v>0</v>
      </c>
      <c r="I4725" s="3" t="n">
        <v>41</v>
      </c>
      <c r="J4725" s="3" t="n">
        <v>31</v>
      </c>
      <c r="K4725" s="3" t="n">
        <v>10</v>
      </c>
      <c r="L4725" s="3" t="inlineStr">
        <is>
          <t>EXCELENTE</t>
        </is>
      </c>
      <c r="M4725" t="n">
        <v>67</v>
      </c>
      <c r="N4725" t="n">
        <v>100</v>
      </c>
      <c r="O4725" t="n">
        <v>1.492537313432836</v>
      </c>
    </row>
    <row r="4726">
      <c r="A4726" s="10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s="3" t="n">
        <v>0</v>
      </c>
      <c r="J4726" s="3" t="n">
        <v>0</v>
      </c>
      <c r="K4726" s="3" t="n">
        <v>0</v>
      </c>
      <c r="L4726" s="3" t="inlineStr">
        <is>
          <t>BOM</t>
        </is>
      </c>
      <c r="M4726" t="n">
        <v>0</v>
      </c>
      <c r="N4726" t="n">
        <v>0</v>
      </c>
      <c r="O4726" t="n">
        <v>0</v>
      </c>
    </row>
    <row r="4727">
      <c r="A4727" s="10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H4727" t="n">
        <v>0</v>
      </c>
      <c r="I4727" s="3" t="n">
        <v>22</v>
      </c>
      <c r="J4727" s="3" t="n">
        <v>20</v>
      </c>
      <c r="K4727" s="3" t="n">
        <v>2</v>
      </c>
      <c r="L4727" s="3" t="inlineStr">
        <is>
          <t>BOM</t>
        </is>
      </c>
      <c r="M4727" t="n">
        <v>21</v>
      </c>
      <c r="N4727" t="n">
        <v>100</v>
      </c>
      <c r="O4727" t="n">
        <v>23.80952380952381</v>
      </c>
    </row>
    <row r="4728">
      <c r="A4728" s="10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H4728" t="n">
        <v>0</v>
      </c>
      <c r="I4728" s="3" t="n">
        <v>36</v>
      </c>
      <c r="J4728" s="3" t="n">
        <v>25</v>
      </c>
      <c r="K4728" s="3" t="n">
        <v>11</v>
      </c>
      <c r="L4728" s="3" t="inlineStr">
        <is>
          <t>EXCELENTE</t>
        </is>
      </c>
      <c r="M4728" t="n">
        <v>28</v>
      </c>
      <c r="N4728" t="n">
        <v>100</v>
      </c>
      <c r="O4728" t="n">
        <v>3.571428571428571</v>
      </c>
    </row>
    <row r="4729">
      <c r="A4729" s="10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s="3" t="n">
        <v>0</v>
      </c>
      <c r="J4729" s="3" t="n">
        <v>0</v>
      </c>
      <c r="K4729" s="3" t="n">
        <v>0</v>
      </c>
      <c r="L4729" s="3" t="inlineStr">
        <is>
          <t>BOM</t>
        </is>
      </c>
      <c r="M4729" t="n">
        <v>0</v>
      </c>
      <c r="N4729" t="n">
        <v>100</v>
      </c>
      <c r="O4729" t="n">
        <v>0</v>
      </c>
    </row>
    <row r="4730">
      <c r="A4730" s="10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H4730" t="n">
        <v>0</v>
      </c>
      <c r="I4730" s="3" t="n">
        <v>41</v>
      </c>
      <c r="J4730" s="3" t="n">
        <v>31</v>
      </c>
      <c r="K4730" s="3" t="n">
        <v>10</v>
      </c>
      <c r="L4730" s="3" t="inlineStr">
        <is>
          <t>EXCELENTE</t>
        </is>
      </c>
      <c r="M4730" t="n">
        <v>41</v>
      </c>
      <c r="N4730" t="n">
        <v>100</v>
      </c>
      <c r="O4730" t="n">
        <v>2.439024390243902</v>
      </c>
    </row>
    <row r="4731">
      <c r="A4731" s="10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s="3" t="n">
        <v>0</v>
      </c>
      <c r="J4731" s="3" t="n">
        <v>0</v>
      </c>
      <c r="K4731" s="3" t="n">
        <v>0</v>
      </c>
      <c r="L4731" s="3" t="inlineStr">
        <is>
          <t>BOM</t>
        </is>
      </c>
      <c r="M4731" t="n">
        <v>0</v>
      </c>
      <c r="N4731" t="n">
        <v>100</v>
      </c>
      <c r="O4731" t="n">
        <v>0</v>
      </c>
    </row>
    <row r="4732">
      <c r="A4732" s="10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s="3" t="n">
        <v>0</v>
      </c>
      <c r="J4732" s="3" t="n">
        <v>0</v>
      </c>
      <c r="K4732" s="3" t="n">
        <v>0</v>
      </c>
      <c r="L4732" s="3" t="inlineStr">
        <is>
          <t>BOM</t>
        </is>
      </c>
      <c r="M4732" t="n">
        <v>0</v>
      </c>
      <c r="N4732" t="n">
        <v>0</v>
      </c>
      <c r="O4732" t="n">
        <v>0</v>
      </c>
    </row>
    <row r="4733">
      <c r="A4733" s="10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s="3" t="n">
        <v>0</v>
      </c>
      <c r="J4733" s="3" t="n">
        <v>0</v>
      </c>
      <c r="K4733" s="3" t="n">
        <v>0</v>
      </c>
      <c r="L4733" s="3" t="inlineStr">
        <is>
          <t>BOM</t>
        </is>
      </c>
      <c r="M4733" t="n">
        <v>0</v>
      </c>
      <c r="N4733" t="n">
        <v>100</v>
      </c>
      <c r="O4733" t="n">
        <v>0</v>
      </c>
    </row>
    <row r="4734">
      <c r="A4734" s="10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H4734" t="n">
        <v>0</v>
      </c>
      <c r="I4734" s="3" t="n">
        <v>38</v>
      </c>
      <c r="J4734" s="3" t="n">
        <v>31</v>
      </c>
      <c r="K4734" s="3" t="n">
        <v>7</v>
      </c>
      <c r="L4734" s="3" t="inlineStr">
        <is>
          <t>EXCELENTE</t>
        </is>
      </c>
      <c r="M4734" t="n">
        <v>52</v>
      </c>
      <c r="N4734" t="n">
        <v>100</v>
      </c>
      <c r="O4734" t="n">
        <v>5.769230769230769</v>
      </c>
    </row>
    <row r="4735">
      <c r="A4735" s="10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H4735" t="n">
        <v>0</v>
      </c>
      <c r="I4735" s="3" t="n">
        <v>34</v>
      </c>
      <c r="J4735" s="3" t="n">
        <v>25</v>
      </c>
      <c r="K4735" s="3" t="n">
        <v>9</v>
      </c>
      <c r="L4735" s="3" t="inlineStr">
        <is>
          <t>EXCELENTE</t>
        </is>
      </c>
      <c r="M4735" t="n">
        <v>14</v>
      </c>
      <c r="N4735" t="n">
        <v>100</v>
      </c>
      <c r="O4735" t="n">
        <v>7.142857142857142</v>
      </c>
    </row>
    <row r="4736">
      <c r="A4736" s="10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H4736" t="n">
        <v>0</v>
      </c>
      <c r="I4736" s="3" t="n">
        <v>23</v>
      </c>
      <c r="J4736" s="3" t="n">
        <v>25</v>
      </c>
      <c r="K4736" s="3" t="n">
        <v>-2</v>
      </c>
      <c r="L4736" s="3" t="inlineStr">
        <is>
          <t>ATENÇÃO</t>
        </is>
      </c>
      <c r="M4736" t="n">
        <v>38</v>
      </c>
      <c r="N4736" t="n">
        <v>100</v>
      </c>
      <c r="O4736" t="n">
        <v>15.78947368421053</v>
      </c>
    </row>
    <row r="4737">
      <c r="A4737" s="10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s="3" t="n">
        <v>0</v>
      </c>
      <c r="J4737" s="3" t="n">
        <v>0</v>
      </c>
      <c r="K4737" s="3" t="n">
        <v>0</v>
      </c>
      <c r="L4737" s="3" t="inlineStr">
        <is>
          <t>BOM</t>
        </is>
      </c>
      <c r="M4737" t="n">
        <v>16</v>
      </c>
      <c r="N4737" t="n">
        <v>40</v>
      </c>
      <c r="O4737" t="n">
        <v>12.5</v>
      </c>
    </row>
    <row r="4738">
      <c r="A4738" s="10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H4738" t="n">
        <v>0</v>
      </c>
      <c r="I4738" s="3" t="n">
        <v>26</v>
      </c>
      <c r="J4738" s="3" t="n">
        <v>20</v>
      </c>
      <c r="K4738" s="3" t="n">
        <v>6</v>
      </c>
      <c r="L4738" s="3" t="inlineStr">
        <is>
          <t>EXCELENTE</t>
        </is>
      </c>
      <c r="M4738" t="n">
        <v>25</v>
      </c>
      <c r="N4738" t="n">
        <v>100</v>
      </c>
      <c r="O4738" t="n">
        <v>4</v>
      </c>
    </row>
    <row r="4739">
      <c r="A4739" s="10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s="3" t="n">
        <v>0</v>
      </c>
      <c r="J4739" s="3" t="n">
        <v>0</v>
      </c>
      <c r="K4739" s="3" t="n">
        <v>0</v>
      </c>
      <c r="L4739" s="3" t="inlineStr">
        <is>
          <t>BOM</t>
        </is>
      </c>
      <c r="M4739" t="n">
        <v>9</v>
      </c>
      <c r="N4739" t="n">
        <v>0</v>
      </c>
      <c r="O4739" t="n">
        <v>0</v>
      </c>
    </row>
    <row r="4740">
      <c r="A4740" s="10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H4740" t="n">
        <v>0</v>
      </c>
      <c r="I4740" s="3" t="n">
        <v>43</v>
      </c>
      <c r="J4740" s="3" t="n">
        <v>31</v>
      </c>
      <c r="K4740" s="3" t="n">
        <v>12</v>
      </c>
      <c r="L4740" s="3" t="inlineStr">
        <is>
          <t>EXCELENTE</t>
        </is>
      </c>
      <c r="M4740" t="n">
        <v>46</v>
      </c>
      <c r="N4740" t="n">
        <v>100</v>
      </c>
      <c r="O4740" t="n">
        <v>13.04347826086956</v>
      </c>
    </row>
    <row r="4741">
      <c r="A4741" s="10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s="3" t="n">
        <v>0</v>
      </c>
      <c r="J4741" s="3" t="n">
        <v>0</v>
      </c>
      <c r="K4741" s="3" t="n">
        <v>0</v>
      </c>
      <c r="L4741" s="3" t="inlineStr">
        <is>
          <t>BOM</t>
        </is>
      </c>
      <c r="M4741" t="n">
        <v>0</v>
      </c>
      <c r="N4741" t="n">
        <v>100</v>
      </c>
      <c r="O4741" t="n">
        <v>0</v>
      </c>
    </row>
    <row r="4742">
      <c r="A4742" s="10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H4742" t="n">
        <v>0</v>
      </c>
      <c r="I4742" s="3" t="n">
        <v>38</v>
      </c>
      <c r="J4742" s="3" t="n">
        <v>20</v>
      </c>
      <c r="K4742" s="3" t="n">
        <v>18</v>
      </c>
      <c r="L4742" s="3" t="inlineStr">
        <is>
          <t>EXCELENTE</t>
        </is>
      </c>
      <c r="M4742" t="n">
        <v>30</v>
      </c>
      <c r="N4742" t="n">
        <v>80</v>
      </c>
      <c r="O4742" t="n">
        <v>6.666666666666667</v>
      </c>
    </row>
    <row r="4743">
      <c r="A4743" s="10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H4743" t="n">
        <v>0</v>
      </c>
      <c r="I4743" s="3" t="n">
        <v>44</v>
      </c>
      <c r="J4743" s="3" t="n">
        <v>31</v>
      </c>
      <c r="K4743" s="3" t="n">
        <v>13</v>
      </c>
      <c r="L4743" s="3" t="inlineStr">
        <is>
          <t>EXCELENTE</t>
        </is>
      </c>
      <c r="M4743" t="n">
        <v>67</v>
      </c>
      <c r="N4743" t="n">
        <v>100</v>
      </c>
      <c r="O4743" t="n">
        <v>13.43283582089552</v>
      </c>
    </row>
    <row r="4744">
      <c r="A4744" s="10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H4744" t="n">
        <v>0</v>
      </c>
      <c r="I4744" s="3" t="n">
        <v>21</v>
      </c>
      <c r="J4744" s="3" t="n">
        <v>20</v>
      </c>
      <c r="K4744" s="3" t="n">
        <v>1</v>
      </c>
      <c r="L4744" s="3" t="inlineStr">
        <is>
          <t>BOM</t>
        </is>
      </c>
      <c r="M4744" t="n">
        <v>12</v>
      </c>
      <c r="N4744" t="n">
        <v>100</v>
      </c>
      <c r="O4744" t="n">
        <v>8.333333333333332</v>
      </c>
    </row>
    <row r="4745">
      <c r="A4745" s="10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s="3" t="n">
        <v>0</v>
      </c>
      <c r="J4745" s="3" t="n">
        <v>0</v>
      </c>
      <c r="K4745" s="3" t="n">
        <v>0</v>
      </c>
      <c r="L4745" s="3" t="inlineStr">
        <is>
          <t>BOM</t>
        </is>
      </c>
      <c r="M4745" t="n">
        <v>0</v>
      </c>
      <c r="N4745" t="n">
        <v>100</v>
      </c>
      <c r="O4745" t="n">
        <v>0</v>
      </c>
    </row>
    <row r="4746">
      <c r="A4746" s="10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H4746" t="n">
        <v>0</v>
      </c>
      <c r="I4746" s="3" t="n">
        <v>31</v>
      </c>
      <c r="J4746" s="3" t="n">
        <v>19</v>
      </c>
      <c r="K4746" s="3" t="n">
        <v>12</v>
      </c>
      <c r="L4746" s="3" t="inlineStr">
        <is>
          <t>EXCELENTE</t>
        </is>
      </c>
      <c r="M4746" t="n">
        <v>8</v>
      </c>
      <c r="N4746" t="n">
        <v>100</v>
      </c>
      <c r="O4746" t="n">
        <v>6.818181818181817</v>
      </c>
    </row>
    <row r="4747">
      <c r="A4747" s="10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H4747" t="n">
        <v>0</v>
      </c>
      <c r="I4747" s="3" t="n">
        <v>8</v>
      </c>
      <c r="J4747" s="3" t="n">
        <v>10</v>
      </c>
      <c r="K4747" s="3" t="n">
        <v>-2</v>
      </c>
      <c r="L4747" s="3" t="inlineStr">
        <is>
          <t>ATENÇÃO</t>
        </is>
      </c>
      <c r="M4747" t="n">
        <v>7</v>
      </c>
      <c r="N4747" t="n">
        <v>100</v>
      </c>
      <c r="O4747" t="n">
        <v>0</v>
      </c>
    </row>
    <row r="4748">
      <c r="A4748" s="10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H4748" t="n">
        <v>0</v>
      </c>
      <c r="I4748" s="3" t="n">
        <v>32</v>
      </c>
      <c r="J4748" s="3" t="n">
        <v>10</v>
      </c>
      <c r="K4748" s="3" t="n">
        <v>22</v>
      </c>
      <c r="L4748" s="3" t="inlineStr">
        <is>
          <t>EXCELENTE</t>
        </is>
      </c>
      <c r="M4748" t="n">
        <v>1</v>
      </c>
      <c r="N4748" t="n">
        <v>50</v>
      </c>
      <c r="O4748" t="n">
        <v>12.5</v>
      </c>
    </row>
    <row r="4749">
      <c r="A4749" s="10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H4749" t="n">
        <v>0</v>
      </c>
      <c r="I4749" s="3" t="n">
        <v>50</v>
      </c>
      <c r="J4749" s="3" t="n">
        <v>10</v>
      </c>
      <c r="K4749" s="3" t="n">
        <v>40</v>
      </c>
      <c r="L4749" s="3" t="inlineStr">
        <is>
          <t>EXCELENTE</t>
        </is>
      </c>
      <c r="M4749" t="n">
        <v>0</v>
      </c>
      <c r="N4749" t="n">
        <v>0</v>
      </c>
      <c r="O4749" t="n">
        <v>0</v>
      </c>
    </row>
    <row r="4750">
      <c r="A4750" s="10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H4750" t="n">
        <v>0</v>
      </c>
      <c r="I4750" s="3" t="n">
        <v>13</v>
      </c>
      <c r="J4750" s="3" t="n">
        <v>19</v>
      </c>
      <c r="K4750" s="3" t="n">
        <v>-6</v>
      </c>
      <c r="L4750" s="3" t="inlineStr">
        <is>
          <t>CRÍTICO</t>
        </is>
      </c>
      <c r="M4750" t="n">
        <v>11</v>
      </c>
      <c r="N4750" t="n">
        <v>100</v>
      </c>
      <c r="O4750" t="n">
        <v>3.571428571428571</v>
      </c>
    </row>
    <row r="4751">
      <c r="A4751" s="10" t="n">
        <v>46175</v>
      </c>
      <c r="B4751" t="inlineStr">
        <is>
          <t>Leandro de Souza Silva</t>
        </is>
      </c>
      <c r="C4751" t="inlineStr">
        <is>
          <t>Técnico I</t>
        </is>
      </c>
      <c r="D4751" t="n">
        <v>12</v>
      </c>
      <c r="E4751" t="n">
        <v>9</v>
      </c>
      <c r="F4751" t="n">
        <v>17.34</v>
      </c>
      <c r="G4751" t="n">
        <v>5</v>
      </c>
      <c r="H4751" t="n">
        <v>0</v>
      </c>
      <c r="I4751" s="3" t="n">
        <v>14</v>
      </c>
      <c r="J4751" s="3" t="n">
        <v>22</v>
      </c>
      <c r="K4751" s="3" t="n">
        <v>-8</v>
      </c>
      <c r="L4751" s="3" t="inlineStr">
        <is>
          <t>CRÍTICO</t>
        </is>
      </c>
      <c r="M4751" t="n">
        <v>9</v>
      </c>
      <c r="N4751" t="n">
        <v>100</v>
      </c>
      <c r="O4751" t="n">
        <v>16.66666666666666</v>
      </c>
    </row>
    <row r="4752">
      <c r="A4752" s="10" t="n">
        <v>46175</v>
      </c>
      <c r="B4752" t="inlineStr">
        <is>
          <t>Maria Eduarda Sousa Costa</t>
        </is>
      </c>
      <c r="C4752" t="inlineStr">
        <is>
          <t>JR</t>
        </is>
      </c>
      <c r="D4752" t="n">
        <v>73</v>
      </c>
      <c r="E4752" t="n">
        <v>51</v>
      </c>
      <c r="F4752" t="n">
        <v>8.289999999999999</v>
      </c>
      <c r="G4752" t="n">
        <v>1</v>
      </c>
      <c r="H4752" t="n">
        <v>0</v>
      </c>
      <c r="I4752" s="3" t="n">
        <v>52</v>
      </c>
      <c r="J4752" s="3" t="n">
        <v>19</v>
      </c>
      <c r="K4752" s="3" t="n">
        <v>33</v>
      </c>
      <c r="L4752" s="3" t="inlineStr">
        <is>
          <t>EXCELENTE</t>
        </is>
      </c>
      <c r="M4752" t="n">
        <v>13</v>
      </c>
      <c r="N4752" t="n">
        <v>100</v>
      </c>
      <c r="O4752" t="n">
        <v>13.46153846153846</v>
      </c>
    </row>
    <row r="4753">
      <c r="A4753" s="10" t="n">
        <v>46175</v>
      </c>
      <c r="B4753" t="inlineStr">
        <is>
          <t>Michelle G Santos</t>
        </is>
      </c>
      <c r="C4753" t="inlineStr">
        <is>
          <t>JR</t>
        </is>
      </c>
      <c r="D4753" t="n">
        <v>13</v>
      </c>
      <c r="E4753" t="n">
        <v>13</v>
      </c>
      <c r="F4753" t="n">
        <v>43.36</v>
      </c>
      <c r="G4753" t="n">
        <v>0</v>
      </c>
      <c r="H4753" t="n">
        <v>0</v>
      </c>
      <c r="I4753" s="3" t="n">
        <v>13</v>
      </c>
      <c r="J4753" s="3" t="n">
        <v>19</v>
      </c>
      <c r="K4753" s="3" t="n">
        <v>-6</v>
      </c>
      <c r="L4753" s="3" t="inlineStr">
        <is>
          <t>CRÍTICO</t>
        </is>
      </c>
      <c r="M4753" t="n">
        <v>4</v>
      </c>
      <c r="N4753" t="n">
        <v>100</v>
      </c>
      <c r="O4753" t="n">
        <v>6.666666666666667</v>
      </c>
    </row>
    <row r="4754">
      <c r="A4754" s="10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s="3" t="n">
        <v>0</v>
      </c>
      <c r="J4754" s="3" t="n">
        <v>0</v>
      </c>
      <c r="K4754" s="3" t="n">
        <v>0</v>
      </c>
      <c r="L4754" s="3" t="inlineStr">
        <is>
          <t>BOM</t>
        </is>
      </c>
      <c r="M4754" t="n">
        <v>0</v>
      </c>
      <c r="N4754" t="n">
        <v>100</v>
      </c>
      <c r="O4754" t="n">
        <v>2.857142857142857</v>
      </c>
    </row>
    <row r="4755">
      <c r="A4755" s="10" t="n">
        <v>46175</v>
      </c>
      <c r="B4755" t="inlineStr">
        <is>
          <t>Paulo Ricardo Santos</t>
        </is>
      </c>
      <c r="C4755" t="inlineStr">
        <is>
          <t>Técnico I</t>
        </is>
      </c>
      <c r="D4755" t="n">
        <v>13</v>
      </c>
      <c r="E4755" t="n">
        <v>13</v>
      </c>
      <c r="F4755" t="n">
        <v>19.17</v>
      </c>
      <c r="G4755" t="n">
        <v>1</v>
      </c>
      <c r="H4755" t="n">
        <v>0</v>
      </c>
      <c r="I4755" s="3" t="n">
        <v>14</v>
      </c>
      <c r="J4755" s="3" t="n">
        <v>22</v>
      </c>
      <c r="K4755" s="3" t="n">
        <v>-8</v>
      </c>
      <c r="L4755" s="3" t="inlineStr">
        <is>
          <t>CRÍTICO</t>
        </is>
      </c>
      <c r="M4755" t="n">
        <v>14</v>
      </c>
      <c r="N4755" t="n">
        <v>100</v>
      </c>
      <c r="O4755" t="n">
        <v>3.448275862068965</v>
      </c>
    </row>
    <row r="4756">
      <c r="A4756" s="10" t="n">
        <v>46175</v>
      </c>
      <c r="B4756" t="inlineStr">
        <is>
          <t>Pedro Luiz Mota Sousa</t>
        </is>
      </c>
      <c r="C4756" t="inlineStr">
        <is>
          <t>Técnico I</t>
        </is>
      </c>
      <c r="D4756" t="n">
        <v>23</v>
      </c>
      <c r="E4756" t="n">
        <v>23</v>
      </c>
      <c r="F4756" t="n">
        <v>15.49</v>
      </c>
      <c r="G4756" t="n">
        <v>6</v>
      </c>
      <c r="H4756" t="n">
        <v>0</v>
      </c>
      <c r="I4756" s="3" t="n">
        <v>29</v>
      </c>
      <c r="J4756" s="3" t="n">
        <v>22</v>
      </c>
      <c r="K4756" s="3" t="n">
        <v>7</v>
      </c>
      <c r="L4756" s="3" t="inlineStr">
        <is>
          <t>EXCELENTE</t>
        </is>
      </c>
      <c r="M4756" t="n">
        <v>29</v>
      </c>
      <c r="N4756" t="n">
        <v>100</v>
      </c>
      <c r="O4756" t="n">
        <v>7.84313725490196</v>
      </c>
    </row>
    <row r="4757">
      <c r="A4757" s="10" t="n">
        <v>46175</v>
      </c>
      <c r="B4757" t="inlineStr">
        <is>
          <t>Quirino Diogo Leite Torres</t>
        </is>
      </c>
      <c r="C4757" t="inlineStr">
        <is>
          <t>JR</t>
        </is>
      </c>
      <c r="D4757" t="n">
        <v>19</v>
      </c>
      <c r="E4757" t="n">
        <v>16</v>
      </c>
      <c r="F4757" t="n">
        <v>23.53</v>
      </c>
      <c r="G4757" t="n">
        <v>1</v>
      </c>
      <c r="H4757" t="n">
        <v>0</v>
      </c>
      <c r="I4757" s="3" t="n">
        <v>17</v>
      </c>
      <c r="J4757" s="3" t="n">
        <v>19</v>
      </c>
      <c r="K4757" s="3" t="n">
        <v>-2</v>
      </c>
      <c r="L4757" s="3" t="inlineStr">
        <is>
          <t>ATENÇÃO</t>
        </is>
      </c>
      <c r="M4757" t="n">
        <v>13</v>
      </c>
      <c r="N4757" t="n">
        <v>100</v>
      </c>
      <c r="O4757" t="n">
        <v>5.405405405405405</v>
      </c>
    </row>
    <row r="4758">
      <c r="A4758" s="10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H4758" t="n">
        <v>0</v>
      </c>
      <c r="I4758" s="3" t="n">
        <v>34</v>
      </c>
      <c r="J4758" s="3" t="n">
        <v>27</v>
      </c>
      <c r="K4758" s="3" t="n">
        <v>7</v>
      </c>
      <c r="L4758" s="3" t="inlineStr">
        <is>
          <t>EXCELENTE</t>
        </is>
      </c>
      <c r="M4758" t="n">
        <v>6</v>
      </c>
      <c r="N4758" t="n">
        <v>100</v>
      </c>
      <c r="O4758" t="n">
        <v>4.166666666666666</v>
      </c>
    </row>
    <row r="4759">
      <c r="A4759" s="10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s="3" t="n">
        <v>32</v>
      </c>
      <c r="J4759" s="3" t="n">
        <v>34</v>
      </c>
      <c r="K4759" s="3" t="n">
        <v>-2</v>
      </c>
      <c r="L4759" s="3" t="inlineStr">
        <is>
          <t>ATENÇÃO</t>
        </is>
      </c>
      <c r="M4759" t="n">
        <v>29</v>
      </c>
      <c r="N4759" t="n">
        <v>100</v>
      </c>
      <c r="O4759" t="n">
        <v>8.333333333333332</v>
      </c>
    </row>
    <row r="4760">
      <c r="A4760" s="10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H4760" t="n">
        <v>0</v>
      </c>
      <c r="I4760" s="3" t="n">
        <v>35</v>
      </c>
      <c r="J4760" s="3" t="n">
        <v>22</v>
      </c>
      <c r="K4760" s="3" t="n">
        <v>13</v>
      </c>
      <c r="L4760" s="3" t="inlineStr">
        <is>
          <t>EXCELENTE</t>
        </is>
      </c>
      <c r="M4760" t="n">
        <v>31</v>
      </c>
      <c r="N4760" t="n">
        <v>100</v>
      </c>
      <c r="O4760" t="n">
        <v>2.272727272727273</v>
      </c>
    </row>
    <row r="4761">
      <c r="A4761" s="10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H4761" t="n">
        <v>0</v>
      </c>
      <c r="I4761" s="3" t="n">
        <v>33</v>
      </c>
      <c r="J4761" s="3" t="n">
        <v>34</v>
      </c>
      <c r="K4761" s="3" t="n">
        <v>-1</v>
      </c>
      <c r="L4761" s="3" t="inlineStr">
        <is>
          <t>ATENÇÃO</t>
        </is>
      </c>
      <c r="M4761" t="n">
        <v>29</v>
      </c>
      <c r="N4761" t="n">
        <v>100</v>
      </c>
      <c r="O4761" t="n">
        <v>6.329113924050633</v>
      </c>
    </row>
    <row r="4762">
      <c r="A4762" s="10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H4762" t="n">
        <v>0</v>
      </c>
      <c r="I4762" s="3" t="n">
        <v>31</v>
      </c>
      <c r="J4762" s="3" t="n">
        <v>27</v>
      </c>
      <c r="K4762" s="3" t="n">
        <v>4</v>
      </c>
      <c r="L4762" s="3" t="inlineStr">
        <is>
          <t>BOM</t>
        </is>
      </c>
      <c r="M4762" t="n">
        <v>32</v>
      </c>
      <c r="N4762" t="n">
        <v>100</v>
      </c>
      <c r="O4762" t="n">
        <v>10.67961165048544</v>
      </c>
    </row>
    <row r="4763">
      <c r="A4763" s="10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H4763" t="n">
        <v>0</v>
      </c>
      <c r="I4763" s="3" t="n">
        <v>45</v>
      </c>
      <c r="J4763" s="3" t="n">
        <v>27</v>
      </c>
      <c r="K4763" s="3" t="n">
        <v>18</v>
      </c>
      <c r="L4763" s="3" t="inlineStr">
        <is>
          <t>EXCELENTE</t>
        </is>
      </c>
      <c r="M4763" t="n">
        <v>34</v>
      </c>
      <c r="N4763" t="n">
        <v>100</v>
      </c>
      <c r="O4763" t="n">
        <v>7.59493670886076</v>
      </c>
    </row>
    <row r="4764">
      <c r="A4764" s="10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H4764" t="n">
        <v>0</v>
      </c>
      <c r="I4764" s="3" t="n">
        <v>25</v>
      </c>
      <c r="J4764" s="3" t="n">
        <v>22</v>
      </c>
      <c r="K4764" s="3" t="n">
        <v>3</v>
      </c>
      <c r="L4764" s="3" t="inlineStr">
        <is>
          <t>BOM</t>
        </is>
      </c>
      <c r="M4764" t="n">
        <v>20</v>
      </c>
      <c r="N4764" t="n">
        <v>100</v>
      </c>
      <c r="O4764" t="n">
        <v>16.66666666666666</v>
      </c>
    </row>
    <row r="4765">
      <c r="A4765" s="10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H4765" t="n">
        <v>0</v>
      </c>
      <c r="I4765" s="3" t="n">
        <v>53</v>
      </c>
      <c r="J4765" s="3" t="n">
        <v>34</v>
      </c>
      <c r="K4765" s="3" t="n">
        <v>19</v>
      </c>
      <c r="L4765" s="3" t="inlineStr">
        <is>
          <t>EXCELENTE</t>
        </is>
      </c>
      <c r="M4765" t="n">
        <v>44</v>
      </c>
      <c r="N4765" t="n">
        <v>85.70999999999999</v>
      </c>
      <c r="O4765" t="n">
        <v>11.32075471698113</v>
      </c>
    </row>
    <row r="4766">
      <c r="A4766" s="10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H4766" t="n">
        <v>0</v>
      </c>
      <c r="I4766" s="3" t="n">
        <v>33</v>
      </c>
      <c r="J4766" s="3" t="n">
        <v>27</v>
      </c>
      <c r="K4766" s="3" t="n">
        <v>6</v>
      </c>
      <c r="L4766" s="3" t="inlineStr">
        <is>
          <t>EXCELENTE</t>
        </is>
      </c>
      <c r="M4766" t="n">
        <v>28</v>
      </c>
      <c r="N4766" t="n">
        <v>0</v>
      </c>
      <c r="O4766" t="n">
        <v>0</v>
      </c>
    </row>
    <row r="4767">
      <c r="A4767" s="10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H4767" t="n">
        <v>0</v>
      </c>
      <c r="I4767" s="3" t="n">
        <v>21</v>
      </c>
      <c r="J4767" s="3" t="n">
        <v>22</v>
      </c>
      <c r="K4767" s="3" t="n">
        <v>-1</v>
      </c>
      <c r="L4767" s="3" t="inlineStr">
        <is>
          <t>ATENÇÃO</t>
        </is>
      </c>
      <c r="M4767" t="n">
        <v>17</v>
      </c>
      <c r="N4767" t="n">
        <v>100</v>
      </c>
      <c r="O4767" t="n">
        <v>9.523809523809524</v>
      </c>
    </row>
    <row r="4768">
      <c r="A4768" s="10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H4768" t="n">
        <v>0</v>
      </c>
      <c r="I4768" s="3" t="n">
        <v>27</v>
      </c>
      <c r="J4768" s="3" t="n">
        <v>34</v>
      </c>
      <c r="K4768" s="3" t="n">
        <v>-7</v>
      </c>
      <c r="L4768" s="3" t="inlineStr">
        <is>
          <t>CRÍTICO</t>
        </is>
      </c>
      <c r="M4768" t="n">
        <v>27</v>
      </c>
      <c r="N4768" t="n">
        <v>100</v>
      </c>
      <c r="O4768" t="n">
        <v>18.51851851851852</v>
      </c>
    </row>
    <row r="4769">
      <c r="A4769" s="10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H4769" t="n">
        <v>0</v>
      </c>
      <c r="I4769" s="3" t="n">
        <v>31</v>
      </c>
      <c r="J4769" s="3" t="n">
        <v>27</v>
      </c>
      <c r="K4769" s="3" t="n">
        <v>4</v>
      </c>
      <c r="L4769" s="3" t="inlineStr">
        <is>
          <t>BOM</t>
        </is>
      </c>
      <c r="M4769" t="n">
        <v>22</v>
      </c>
      <c r="N4769" t="n">
        <v>100</v>
      </c>
      <c r="O4769" t="n">
        <v>3.508771929824561</v>
      </c>
    </row>
    <row r="4770">
      <c r="A4770" s="10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H4770" t="n">
        <v>0</v>
      </c>
      <c r="I4770" s="3" t="n">
        <v>35</v>
      </c>
      <c r="J4770" s="3" t="n">
        <v>34</v>
      </c>
      <c r="K4770" s="3" t="n">
        <v>1</v>
      </c>
      <c r="L4770" s="3" t="inlineStr">
        <is>
          <t>BOM</t>
        </is>
      </c>
      <c r="M4770" t="n">
        <v>35</v>
      </c>
      <c r="N4770" t="n">
        <v>100</v>
      </c>
      <c r="O4770" t="n">
        <v>2.941176470588235</v>
      </c>
    </row>
    <row r="4771">
      <c r="A4771" s="10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s="3" t="n">
        <v>0</v>
      </c>
      <c r="J4771" s="3" t="n">
        <v>0</v>
      </c>
      <c r="K4771" s="3" t="n">
        <v>0</v>
      </c>
      <c r="L4771" s="3" t="inlineStr">
        <is>
          <t>BOM</t>
        </is>
      </c>
      <c r="M4771" t="n">
        <v>0</v>
      </c>
      <c r="N4771" t="n">
        <v>0</v>
      </c>
      <c r="O4771" t="n">
        <v>0</v>
      </c>
    </row>
    <row r="4772">
      <c r="A4772" s="10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H4772" t="n">
        <v>0</v>
      </c>
      <c r="I4772" s="3" t="n">
        <v>15</v>
      </c>
      <c r="J4772" s="3" t="n">
        <v>22</v>
      </c>
      <c r="K4772" s="3" t="n">
        <v>-7</v>
      </c>
      <c r="L4772" s="3" t="inlineStr">
        <is>
          <t>CRÍTICO</t>
        </is>
      </c>
      <c r="M4772" t="n">
        <v>23</v>
      </c>
      <c r="N4772" t="n">
        <v>100</v>
      </c>
      <c r="O4772" t="n">
        <v>13.63636363636363</v>
      </c>
    </row>
    <row r="4773">
      <c r="A4773" s="10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H4773" t="n">
        <v>0</v>
      </c>
      <c r="I4773" s="3" t="n">
        <v>36</v>
      </c>
      <c r="J4773" s="3" t="n">
        <v>27</v>
      </c>
      <c r="K4773" s="3" t="n">
        <v>9</v>
      </c>
      <c r="L4773" s="3" t="inlineStr">
        <is>
          <t>EXCELENTE</t>
        </is>
      </c>
      <c r="M4773" t="n">
        <v>33</v>
      </c>
      <c r="N4773" t="n">
        <v>100</v>
      </c>
      <c r="O4773" t="n">
        <v>6.666666666666667</v>
      </c>
    </row>
    <row r="4774">
      <c r="A4774" s="10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s="3" t="n">
        <v>0</v>
      </c>
      <c r="J4774" s="3" t="n">
        <v>0</v>
      </c>
      <c r="K4774" s="3" t="n">
        <v>0</v>
      </c>
      <c r="L4774" s="3" t="inlineStr">
        <is>
          <t>BOM</t>
        </is>
      </c>
      <c r="M4774" t="n">
        <v>0</v>
      </c>
      <c r="N4774" t="n">
        <v>100</v>
      </c>
      <c r="O4774" t="n">
        <v>0</v>
      </c>
    </row>
    <row r="4775">
      <c r="A4775" s="10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H4775" t="n">
        <v>0</v>
      </c>
      <c r="I4775" s="3" t="n">
        <v>55</v>
      </c>
      <c r="J4775" s="3" t="n">
        <v>34</v>
      </c>
      <c r="K4775" s="3" t="n">
        <v>21</v>
      </c>
      <c r="L4775" s="3" t="inlineStr">
        <is>
          <t>EXCELENTE</t>
        </is>
      </c>
      <c r="M4775" t="n">
        <v>45</v>
      </c>
      <c r="N4775" t="n">
        <v>100</v>
      </c>
      <c r="O4775" t="n">
        <v>2.325581395348837</v>
      </c>
    </row>
    <row r="4776">
      <c r="A4776" s="10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s="3" t="n">
        <v>0</v>
      </c>
      <c r="J4776" s="3" t="n">
        <v>0</v>
      </c>
      <c r="K4776" s="3" t="n">
        <v>0</v>
      </c>
      <c r="L4776" s="3" t="inlineStr">
        <is>
          <t>BOM</t>
        </is>
      </c>
      <c r="M4776" t="n">
        <v>0</v>
      </c>
      <c r="N4776" t="n">
        <v>100</v>
      </c>
      <c r="O4776" t="n">
        <v>0</v>
      </c>
    </row>
    <row r="4777">
      <c r="A4777" s="10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s="3" t="n">
        <v>0</v>
      </c>
      <c r="J4777" s="3" t="n">
        <v>0</v>
      </c>
      <c r="K4777" s="3" t="n">
        <v>0</v>
      </c>
      <c r="L4777" s="3" t="inlineStr">
        <is>
          <t>BOM</t>
        </is>
      </c>
      <c r="M4777" t="n">
        <v>0</v>
      </c>
      <c r="N4777" t="n">
        <v>0</v>
      </c>
      <c r="O4777" t="n">
        <v>0</v>
      </c>
    </row>
    <row r="4778">
      <c r="A4778" s="10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s="3" t="n">
        <v>0</v>
      </c>
      <c r="J4778" s="3" t="n">
        <v>0</v>
      </c>
      <c r="K4778" s="3" t="n">
        <v>0</v>
      </c>
      <c r="L4778" s="3" t="inlineStr">
        <is>
          <t>BOM</t>
        </is>
      </c>
      <c r="M4778" t="n">
        <v>0</v>
      </c>
      <c r="N4778" t="n">
        <v>100</v>
      </c>
      <c r="O4778" t="n">
        <v>0</v>
      </c>
    </row>
    <row r="4779">
      <c r="A4779" s="10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H4779" t="n">
        <v>0</v>
      </c>
      <c r="I4779" s="3" t="n">
        <v>41</v>
      </c>
      <c r="J4779" s="3" t="n">
        <v>34</v>
      </c>
      <c r="K4779" s="3" t="n">
        <v>7</v>
      </c>
      <c r="L4779" s="3" t="inlineStr">
        <is>
          <t>EXCELENTE</t>
        </is>
      </c>
      <c r="M4779" t="n">
        <v>38</v>
      </c>
      <c r="N4779" t="n">
        <v>100</v>
      </c>
      <c r="O4779" t="n">
        <v>5.555555555555555</v>
      </c>
    </row>
    <row r="4780">
      <c r="A4780" s="10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H4780" t="n">
        <v>0</v>
      </c>
      <c r="I4780" s="3" t="n">
        <v>26</v>
      </c>
      <c r="J4780" s="3" t="n">
        <v>27</v>
      </c>
      <c r="K4780" s="3" t="n">
        <v>-1</v>
      </c>
      <c r="L4780" s="3" t="inlineStr">
        <is>
          <t>ATENÇÃO</t>
        </is>
      </c>
      <c r="M4780" t="n">
        <v>8</v>
      </c>
      <c r="N4780" t="n">
        <v>100</v>
      </c>
      <c r="O4780" t="n">
        <v>4.545454545454546</v>
      </c>
    </row>
    <row r="4781">
      <c r="A4781" s="10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s="3" t="n">
        <v>0</v>
      </c>
      <c r="J4781" s="3" t="n">
        <v>0</v>
      </c>
      <c r="K4781" s="3" t="n">
        <v>0</v>
      </c>
      <c r="L4781" s="3" t="inlineStr">
        <is>
          <t>BOM</t>
        </is>
      </c>
      <c r="M4781" t="n">
        <v>0</v>
      </c>
      <c r="N4781" t="n">
        <v>100</v>
      </c>
      <c r="O4781" t="n">
        <v>15.78947368421053</v>
      </c>
    </row>
    <row r="4782">
      <c r="A4782" s="10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s="3" t="n">
        <v>0</v>
      </c>
      <c r="J4782" s="3" t="n">
        <v>0</v>
      </c>
      <c r="K4782" s="3" t="n">
        <v>0</v>
      </c>
      <c r="L4782" s="3" t="inlineStr">
        <is>
          <t>BOM</t>
        </is>
      </c>
      <c r="M4782" t="n">
        <v>14</v>
      </c>
      <c r="N4782" t="n">
        <v>72.73</v>
      </c>
      <c r="O4782" t="n">
        <v>13.33333333333333</v>
      </c>
    </row>
    <row r="4783">
      <c r="A4783" s="10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H4783" t="n">
        <v>0</v>
      </c>
      <c r="I4783" s="3" t="n">
        <v>20</v>
      </c>
      <c r="J4783" s="3" t="n">
        <v>22</v>
      </c>
      <c r="K4783" s="3" t="n">
        <v>-2</v>
      </c>
      <c r="L4783" s="3" t="inlineStr">
        <is>
          <t>ATENÇÃO</t>
        </is>
      </c>
      <c r="M4783" t="n">
        <v>26</v>
      </c>
      <c r="N4783" t="n">
        <v>100</v>
      </c>
      <c r="O4783" t="n">
        <v>1.96078431372549</v>
      </c>
    </row>
    <row r="4784">
      <c r="A4784" s="10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s="3" t="n">
        <v>0</v>
      </c>
      <c r="J4784" s="3" t="n">
        <v>0</v>
      </c>
      <c r="K4784" s="3" t="n">
        <v>0</v>
      </c>
      <c r="L4784" s="3" t="inlineStr">
        <is>
          <t>BOM</t>
        </is>
      </c>
      <c r="M4784" t="n">
        <v>10</v>
      </c>
      <c r="N4784" t="n">
        <v>0</v>
      </c>
      <c r="O4784" t="n">
        <v>0</v>
      </c>
    </row>
    <row r="4785">
      <c r="A4785" s="10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H4785" t="n">
        <v>0</v>
      </c>
      <c r="I4785" s="3" t="n">
        <v>40</v>
      </c>
      <c r="J4785" s="3" t="n">
        <v>34</v>
      </c>
      <c r="K4785" s="3" t="n">
        <v>6</v>
      </c>
      <c r="L4785" s="3" t="inlineStr">
        <is>
          <t>EXCELENTE</t>
        </is>
      </c>
      <c r="M4785" t="n">
        <v>24</v>
      </c>
      <c r="N4785" t="n">
        <v>90</v>
      </c>
      <c r="O4785" t="n">
        <v>10</v>
      </c>
    </row>
    <row r="4786">
      <c r="A4786" s="10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s="3" t="n">
        <v>0</v>
      </c>
      <c r="J4786" s="3" t="n">
        <v>0</v>
      </c>
      <c r="K4786" s="3" t="n">
        <v>0</v>
      </c>
      <c r="L4786" s="3" t="inlineStr">
        <is>
          <t>BOM</t>
        </is>
      </c>
      <c r="M4786" t="n">
        <v>0</v>
      </c>
      <c r="N4786" t="n">
        <v>100</v>
      </c>
      <c r="O4786" t="n">
        <v>0</v>
      </c>
    </row>
    <row r="4787">
      <c r="A4787" s="10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H4787" t="n">
        <v>0</v>
      </c>
      <c r="I4787" s="3" t="n">
        <v>35</v>
      </c>
      <c r="J4787" s="3" t="n">
        <v>22</v>
      </c>
      <c r="K4787" s="3" t="n">
        <v>13</v>
      </c>
      <c r="L4787" s="3" t="inlineStr">
        <is>
          <t>EXCELENTE</t>
        </is>
      </c>
      <c r="M4787" t="n">
        <v>17</v>
      </c>
      <c r="N4787" t="n">
        <v>88.89</v>
      </c>
      <c r="O4787" t="n">
        <v>4.25531914893617</v>
      </c>
    </row>
    <row r="4788">
      <c r="A4788" s="10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H4788" t="n">
        <v>0</v>
      </c>
      <c r="I4788" s="3" t="n">
        <v>50</v>
      </c>
      <c r="J4788" s="3" t="n">
        <v>34</v>
      </c>
      <c r="K4788" s="3" t="n">
        <v>16</v>
      </c>
      <c r="L4788" s="3" t="inlineStr">
        <is>
          <t>EXCELENTE</t>
        </is>
      </c>
      <c r="M4788" t="n">
        <v>48</v>
      </c>
      <c r="N4788" t="n">
        <v>100</v>
      </c>
      <c r="O4788" t="n">
        <v>10.43478260869565</v>
      </c>
    </row>
    <row r="4789">
      <c r="A4789" s="10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H4789" t="n">
        <v>0</v>
      </c>
      <c r="I4789" s="3" t="n">
        <v>33</v>
      </c>
      <c r="J4789" s="3" t="n">
        <v>22</v>
      </c>
      <c r="K4789" s="3" t="n">
        <v>11</v>
      </c>
      <c r="L4789" s="3" t="inlineStr">
        <is>
          <t>EXCELENTE</t>
        </is>
      </c>
      <c r="M4789" t="n">
        <v>19</v>
      </c>
      <c r="N4789" t="n">
        <v>100</v>
      </c>
      <c r="O4789" t="n">
        <v>3.225806451612903</v>
      </c>
    </row>
    <row r="4790">
      <c r="A4790" s="10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s="3" t="n">
        <v>0</v>
      </c>
      <c r="J4790" s="3" t="n">
        <v>0</v>
      </c>
      <c r="K4790" s="3" t="n">
        <v>0</v>
      </c>
      <c r="L4790" s="3" t="inlineStr">
        <is>
          <t>BOM</t>
        </is>
      </c>
      <c r="M4790" t="n">
        <v>0</v>
      </c>
      <c r="N4790" t="n">
        <v>100</v>
      </c>
      <c r="O4790" t="n">
        <v>0</v>
      </c>
    </row>
    <row r="4791">
      <c r="A4791" s="10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  <c r="G4791" t="n">
        <v>1</v>
      </c>
      <c r="H4791" t="n">
        <v>0</v>
      </c>
      <c r="I4791" s="3" t="n">
        <v>32</v>
      </c>
      <c r="J4791" s="3" t="n">
        <v>19</v>
      </c>
      <c r="K4791" s="3" t="n">
        <v>13</v>
      </c>
      <c r="L4791" s="3" t="inlineStr">
        <is>
          <t>EXCELENTE</t>
        </is>
      </c>
      <c r="M4791" t="n">
        <v>35</v>
      </c>
      <c r="N4791" t="n">
        <v>100</v>
      </c>
      <c r="O4791" t="n">
        <v>6.329113924050633</v>
      </c>
    </row>
    <row r="4792">
      <c r="A4792" s="10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  <c r="G4792" t="n">
        <v>0</v>
      </c>
      <c r="H4792" t="n">
        <v>0</v>
      </c>
      <c r="I4792" s="3" t="n">
        <v>21</v>
      </c>
      <c r="J4792" s="3" t="n">
        <v>9</v>
      </c>
      <c r="K4792" s="3" t="n">
        <v>12</v>
      </c>
      <c r="L4792" s="3" t="inlineStr">
        <is>
          <t>EXCELENTE</t>
        </is>
      </c>
      <c r="M4792" t="n">
        <v>17</v>
      </c>
      <c r="N4792" t="n">
        <v>100</v>
      </c>
      <c r="O4792" t="n">
        <v>0</v>
      </c>
    </row>
    <row r="4793">
      <c r="A4793" s="10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  <c r="G4793" t="n">
        <v>0</v>
      </c>
      <c r="H4793" t="n">
        <v>0</v>
      </c>
      <c r="I4793" s="3" t="n">
        <v>6</v>
      </c>
      <c r="J4793" s="3" t="n">
        <v>9</v>
      </c>
      <c r="K4793" s="3" t="n">
        <v>-3</v>
      </c>
      <c r="L4793" s="3" t="inlineStr">
        <is>
          <t>ATENÇÃO</t>
        </is>
      </c>
      <c r="M4793" t="n">
        <v>6</v>
      </c>
      <c r="N4793" t="n">
        <v>66.67</v>
      </c>
      <c r="O4793" t="n">
        <v>14.28571428571428</v>
      </c>
    </row>
    <row r="4794">
      <c r="A4794" s="10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  <c r="G4794" t="n">
        <v>0</v>
      </c>
      <c r="H4794" t="n">
        <v>0</v>
      </c>
      <c r="I4794" s="3" t="n">
        <v>12</v>
      </c>
      <c r="J4794" s="3" t="n">
        <v>9</v>
      </c>
      <c r="K4794" s="3" t="n">
        <v>3</v>
      </c>
      <c r="L4794" s="3" t="inlineStr">
        <is>
          <t>BOM</t>
        </is>
      </c>
      <c r="M4794" t="n">
        <v>9</v>
      </c>
      <c r="N4794" t="n">
        <v>100</v>
      </c>
      <c r="O4794" t="n">
        <v>7.142857142857142</v>
      </c>
    </row>
    <row r="4795">
      <c r="A4795" s="10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  <c r="G4795" t="n">
        <v>1</v>
      </c>
      <c r="H4795" t="n">
        <v>0</v>
      </c>
      <c r="I4795" s="3" t="n">
        <v>23</v>
      </c>
      <c r="J4795" s="3" t="n">
        <v>19</v>
      </c>
      <c r="K4795" s="3" t="n">
        <v>4</v>
      </c>
      <c r="L4795" s="3" t="inlineStr">
        <is>
          <t>BOM</t>
        </is>
      </c>
      <c r="M4795" t="n">
        <v>23</v>
      </c>
      <c r="N4795" t="n">
        <v>100</v>
      </c>
      <c r="O4795" t="n">
        <v>3.92156862745098</v>
      </c>
    </row>
    <row r="4796">
      <c r="A4796" s="10" t="n">
        <v>46176</v>
      </c>
      <c r="B4796" t="inlineStr">
        <is>
          <t>Leandro de Souza Silva</t>
        </is>
      </c>
      <c r="C4796" t="inlineStr">
        <is>
          <t>Técnico I</t>
        </is>
      </c>
      <c r="D4796" t="n">
        <v>12</v>
      </c>
      <c r="E4796" t="n">
        <v>11</v>
      </c>
      <c r="F4796" t="n">
        <v>22.35</v>
      </c>
      <c r="G4796" t="n">
        <v>1</v>
      </c>
      <c r="H4796" t="n">
        <v>0</v>
      </c>
      <c r="I4796" s="3" t="n">
        <v>12</v>
      </c>
      <c r="J4796" s="3" t="n">
        <v>22</v>
      </c>
      <c r="K4796" s="3" t="n">
        <v>-10</v>
      </c>
      <c r="L4796" s="3" t="inlineStr">
        <is>
          <t>CRÍTICO</t>
        </is>
      </c>
      <c r="M4796" t="n">
        <v>12</v>
      </c>
      <c r="N4796" t="n">
        <v>100</v>
      </c>
      <c r="O4796" t="n">
        <v>10</v>
      </c>
    </row>
    <row r="4797">
      <c r="A4797" s="10" t="n">
        <v>46176</v>
      </c>
      <c r="B4797" t="inlineStr">
        <is>
          <t>Maria Eduarda Sousa Costa</t>
        </is>
      </c>
      <c r="C4797" t="inlineStr">
        <is>
          <t>JR</t>
        </is>
      </c>
      <c r="D4797" t="n">
        <v>29</v>
      </c>
      <c r="E4797" t="n">
        <v>29</v>
      </c>
      <c r="F4797" t="n">
        <v>23.37</v>
      </c>
      <c r="G4797" t="n">
        <v>0</v>
      </c>
      <c r="H4797" t="n">
        <v>0</v>
      </c>
      <c r="I4797" s="3" t="n">
        <v>29</v>
      </c>
      <c r="J4797" s="3" t="n">
        <v>19</v>
      </c>
      <c r="K4797" s="3" t="n">
        <v>10</v>
      </c>
      <c r="L4797" s="3" t="inlineStr">
        <is>
          <t>EXCELENTE</t>
        </is>
      </c>
      <c r="M4797" t="n">
        <v>23</v>
      </c>
      <c r="N4797" t="n">
        <v>100</v>
      </c>
      <c r="O4797" t="n">
        <v>9.333333333333334</v>
      </c>
    </row>
    <row r="4798">
      <c r="A4798" s="10" t="n">
        <v>46176</v>
      </c>
      <c r="B4798" t="inlineStr">
        <is>
          <t>Michelle G Santos</t>
        </is>
      </c>
      <c r="C4798" t="inlineStr">
        <is>
          <t>JR</t>
        </is>
      </c>
      <c r="D4798" t="n">
        <v>20</v>
      </c>
      <c r="E4798" t="n">
        <v>20</v>
      </c>
      <c r="F4798" t="n">
        <v>28.52</v>
      </c>
      <c r="G4798" t="n">
        <v>0</v>
      </c>
      <c r="H4798" t="n">
        <v>0</v>
      </c>
      <c r="I4798" s="3" t="n">
        <v>20</v>
      </c>
      <c r="J4798" s="3" t="n">
        <v>19</v>
      </c>
      <c r="K4798" s="3" t="n">
        <v>1</v>
      </c>
      <c r="L4798" s="3" t="inlineStr">
        <is>
          <t>BOM</t>
        </is>
      </c>
      <c r="M4798" t="n">
        <v>12</v>
      </c>
      <c r="N4798" t="n">
        <v>100</v>
      </c>
      <c r="O4798" t="n">
        <v>3.703703703703703</v>
      </c>
    </row>
    <row r="4799">
      <c r="A4799" s="10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  <c r="G4799" t="n">
        <v>2</v>
      </c>
      <c r="H4799" t="n">
        <v>0</v>
      </c>
      <c r="I4799" s="3" t="n">
        <v>36</v>
      </c>
      <c r="J4799" s="3" t="n">
        <v>19</v>
      </c>
      <c r="K4799" s="3" t="n">
        <v>17</v>
      </c>
      <c r="L4799" s="3" t="inlineStr">
        <is>
          <t>EXCELENTE</t>
        </is>
      </c>
      <c r="M4799" t="n">
        <v>27</v>
      </c>
      <c r="N4799" t="n">
        <v>100</v>
      </c>
      <c r="O4799" t="n">
        <v>1.612903225806452</v>
      </c>
    </row>
    <row r="4800">
      <c r="A4800" s="10" t="n">
        <v>46176</v>
      </c>
      <c r="B4800" t="inlineStr">
        <is>
          <t>Paulo Ricardo Santos</t>
        </is>
      </c>
      <c r="C4800" t="inlineStr">
        <is>
          <t>Técnico I</t>
        </is>
      </c>
      <c r="D4800" t="n">
        <v>17</v>
      </c>
      <c r="E4800" t="n">
        <v>17</v>
      </c>
      <c r="F4800" t="n">
        <v>16.46</v>
      </c>
      <c r="G4800" t="n">
        <v>4</v>
      </c>
      <c r="H4800" t="n">
        <v>0</v>
      </c>
      <c r="I4800" s="3" t="n">
        <v>21</v>
      </c>
      <c r="J4800" s="3" t="n">
        <v>22</v>
      </c>
      <c r="K4800" s="3" t="n">
        <v>-1</v>
      </c>
      <c r="L4800" s="3" t="inlineStr">
        <is>
          <t>ATENÇÃO</t>
        </is>
      </c>
      <c r="M4800" t="n">
        <v>15</v>
      </c>
      <c r="N4800" t="n">
        <v>100</v>
      </c>
      <c r="O4800" t="n">
        <v>4.545454545454546</v>
      </c>
    </row>
    <row r="4801">
      <c r="A4801" s="10" t="n">
        <v>46176</v>
      </c>
      <c r="B4801" t="inlineStr">
        <is>
          <t>Pedro Luiz Mota Sousa</t>
        </is>
      </c>
      <c r="C4801" t="inlineStr">
        <is>
          <t>Técnico I</t>
        </is>
      </c>
      <c r="D4801" t="n">
        <v>23</v>
      </c>
      <c r="E4801" t="n">
        <v>21</v>
      </c>
      <c r="F4801" t="n">
        <v>20.04</v>
      </c>
      <c r="G4801" t="n">
        <v>1</v>
      </c>
      <c r="H4801" t="n">
        <v>0</v>
      </c>
      <c r="I4801" s="3" t="n">
        <v>22</v>
      </c>
      <c r="J4801" s="3" t="n">
        <v>22</v>
      </c>
      <c r="K4801" s="3" t="n">
        <v>0</v>
      </c>
      <c r="L4801" s="3" t="inlineStr">
        <is>
          <t>BOM</t>
        </is>
      </c>
      <c r="M4801" t="n">
        <v>20</v>
      </c>
      <c r="N4801" t="n">
        <v>100</v>
      </c>
      <c r="O4801" t="n">
        <v>7.042253521126761</v>
      </c>
    </row>
    <row r="4802">
      <c r="A4802" s="10" t="n">
        <v>46176</v>
      </c>
      <c r="B4802" t="inlineStr">
        <is>
          <t>Quirino Diogo Leite Torres</t>
        </is>
      </c>
      <c r="C4802" t="inlineStr">
        <is>
          <t>JR</t>
        </is>
      </c>
      <c r="D4802" t="n">
        <v>19</v>
      </c>
      <c r="E4802" t="n">
        <v>16</v>
      </c>
      <c r="F4802" t="n">
        <v>25.28</v>
      </c>
      <c r="G4802" t="n">
        <v>3</v>
      </c>
      <c r="H4802" t="n">
        <v>0</v>
      </c>
      <c r="I4802" s="3" t="n">
        <v>19</v>
      </c>
      <c r="J4802" s="3" t="n">
        <v>19</v>
      </c>
      <c r="K4802" s="3" t="n">
        <v>0</v>
      </c>
      <c r="L4802" s="3" t="inlineStr">
        <is>
          <t>BOM</t>
        </is>
      </c>
      <c r="M4802" t="n">
        <v>14</v>
      </c>
      <c r="N4802" t="n">
        <v>100</v>
      </c>
      <c r="O4802" t="n">
        <v>3.92156862745098</v>
      </c>
    </row>
    <row r="4803">
      <c r="A4803" s="10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  <c r="G4803" t="n">
        <v>4</v>
      </c>
      <c r="H4803" t="n">
        <v>0</v>
      </c>
      <c r="I4803" s="3" t="n">
        <v>33</v>
      </c>
      <c r="J4803" s="3" t="n">
        <v>27</v>
      </c>
      <c r="K4803" s="3" t="n">
        <v>6</v>
      </c>
      <c r="L4803" s="3" t="inlineStr">
        <is>
          <t>EXCELENTE</t>
        </is>
      </c>
      <c r="M4803" t="n">
        <v>40</v>
      </c>
      <c r="N4803" t="n">
        <v>100</v>
      </c>
      <c r="O4803" t="n">
        <v>1.5625</v>
      </c>
    </row>
    <row r="4804">
      <c r="A4804" s="10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  <c r="G4804" t="n">
        <v>0</v>
      </c>
      <c r="H4804" t="n">
        <v>0</v>
      </c>
      <c r="I4804" s="3" t="n">
        <v>27</v>
      </c>
      <c r="J4804" s="3" t="n">
        <v>33</v>
      </c>
      <c r="K4804" s="3" t="n">
        <v>-6</v>
      </c>
      <c r="L4804" s="3" t="inlineStr">
        <is>
          <t>CRÍTICO</t>
        </is>
      </c>
      <c r="M4804" t="n">
        <v>23</v>
      </c>
      <c r="N4804" t="n">
        <v>100</v>
      </c>
      <c r="O4804" t="n">
        <v>8.450704225352112</v>
      </c>
    </row>
    <row r="4805">
      <c r="A4805" s="10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  <c r="G4805" t="n">
        <v>2</v>
      </c>
      <c r="H4805" t="n">
        <v>0</v>
      </c>
      <c r="I4805" s="3" t="n">
        <v>34</v>
      </c>
      <c r="J4805" s="3" t="n">
        <v>22</v>
      </c>
      <c r="K4805" s="3" t="n">
        <v>12</v>
      </c>
      <c r="L4805" s="3" t="inlineStr">
        <is>
          <t>EXCELENTE</t>
        </is>
      </c>
      <c r="M4805" t="n">
        <v>32</v>
      </c>
      <c r="N4805" t="n">
        <v>100</v>
      </c>
      <c r="O4805" t="n">
        <v>3.333333333333333</v>
      </c>
    </row>
    <row r="4806">
      <c r="A4806" s="10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  <c r="G4806" t="n">
        <v>1</v>
      </c>
      <c r="H4806" t="n">
        <v>0</v>
      </c>
      <c r="I4806" s="3" t="n">
        <v>24</v>
      </c>
      <c r="J4806" s="3" t="n">
        <v>33</v>
      </c>
      <c r="K4806" s="3" t="n">
        <v>-9</v>
      </c>
      <c r="L4806" s="3" t="inlineStr">
        <is>
          <t>CRÍTICO</t>
        </is>
      </c>
      <c r="M4806" t="n">
        <v>22</v>
      </c>
      <c r="N4806" t="n">
        <v>100</v>
      </c>
      <c r="O4806" t="n">
        <v>4.95049504950495</v>
      </c>
    </row>
    <row r="4807">
      <c r="A4807" s="10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  <c r="G4807" t="n">
        <v>4</v>
      </c>
      <c r="H4807" t="n">
        <v>0</v>
      </c>
      <c r="I4807" s="3" t="n">
        <v>47</v>
      </c>
      <c r="J4807" s="3" t="n">
        <v>27</v>
      </c>
      <c r="K4807" s="3" t="n">
        <v>20</v>
      </c>
      <c r="L4807" s="3" t="inlineStr">
        <is>
          <t>EXCELENTE</t>
        </is>
      </c>
      <c r="M4807" t="n">
        <v>44</v>
      </c>
      <c r="N4807" t="n">
        <v>100</v>
      </c>
      <c r="O4807" t="n">
        <v>7.482993197278912</v>
      </c>
    </row>
    <row r="4808">
      <c r="A4808" s="10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  <c r="G4808" t="n">
        <v>2</v>
      </c>
      <c r="H4808" t="n">
        <v>0</v>
      </c>
      <c r="I4808" s="3" t="n">
        <v>36</v>
      </c>
      <c r="J4808" s="3" t="n">
        <v>27</v>
      </c>
      <c r="K4808" s="3" t="n">
        <v>9</v>
      </c>
      <c r="L4808" s="3" t="inlineStr">
        <is>
          <t>EXCELENTE</t>
        </is>
      </c>
      <c r="M4808" t="n">
        <v>34</v>
      </c>
      <c r="N4808" t="n">
        <v>100</v>
      </c>
      <c r="O4808" t="n">
        <v>5.309734513274337</v>
      </c>
    </row>
    <row r="4809">
      <c r="A4809" s="10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  <c r="G4809" t="n">
        <v>2</v>
      </c>
      <c r="H4809" t="n">
        <v>0</v>
      </c>
      <c r="I4809" s="3" t="n">
        <v>35</v>
      </c>
      <c r="J4809" s="3" t="n">
        <v>22</v>
      </c>
      <c r="K4809" s="3" t="n">
        <v>13</v>
      </c>
      <c r="L4809" s="3" t="inlineStr">
        <is>
          <t>EXCELENTE</t>
        </is>
      </c>
      <c r="M4809" t="n">
        <v>28</v>
      </c>
      <c r="N4809" t="n">
        <v>100</v>
      </c>
      <c r="O4809" t="n">
        <v>12.19512195121951</v>
      </c>
    </row>
    <row r="4810">
      <c r="A4810" s="10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  <c r="G4810" t="n">
        <v>6</v>
      </c>
      <c r="H4810" t="n">
        <v>0</v>
      </c>
      <c r="I4810" s="3" t="n">
        <v>44</v>
      </c>
      <c r="J4810" s="3" t="n">
        <v>33</v>
      </c>
      <c r="K4810" s="3" t="n">
        <v>11</v>
      </c>
      <c r="L4810" s="3" t="inlineStr">
        <is>
          <t>EXCELENTE</t>
        </is>
      </c>
      <c r="M4810" t="n">
        <v>32</v>
      </c>
      <c r="N4810" t="n">
        <v>87.5</v>
      </c>
      <c r="O4810" t="n">
        <v>10.14492753623188</v>
      </c>
    </row>
    <row r="4811">
      <c r="A4811" s="10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  <c r="G4811" t="n">
        <v>0</v>
      </c>
      <c r="H4811" t="n">
        <v>0</v>
      </c>
      <c r="I4811" s="3" t="n">
        <v>38</v>
      </c>
      <c r="J4811" s="3" t="n">
        <v>27</v>
      </c>
      <c r="K4811" s="3" t="n">
        <v>11</v>
      </c>
      <c r="L4811" s="3" t="inlineStr">
        <is>
          <t>EXCELENTE</t>
        </is>
      </c>
      <c r="M4811" t="n">
        <v>26</v>
      </c>
      <c r="N4811" t="n">
        <v>100</v>
      </c>
      <c r="O4811" t="n">
        <v>3.703703703703703</v>
      </c>
    </row>
    <row r="4812">
      <c r="A4812" s="10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  <c r="G4812" t="n">
        <v>0</v>
      </c>
      <c r="H4812" t="n">
        <v>0</v>
      </c>
      <c r="I4812" s="3" t="n">
        <v>19</v>
      </c>
      <c r="J4812" s="3" t="n">
        <v>22</v>
      </c>
      <c r="K4812" s="3" t="n">
        <v>-3</v>
      </c>
      <c r="L4812" s="3" t="inlineStr">
        <is>
          <t>ATENÇÃO</t>
        </is>
      </c>
      <c r="M4812" t="n">
        <v>14</v>
      </c>
      <c r="N4812" t="n">
        <v>100</v>
      </c>
      <c r="O4812" t="n">
        <v>7.142857142857142</v>
      </c>
    </row>
    <row r="4813">
      <c r="A4813" s="10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  <c r="G4813" t="n">
        <v>1</v>
      </c>
      <c r="H4813" t="n">
        <v>0</v>
      </c>
      <c r="I4813" s="3" t="n">
        <v>30</v>
      </c>
      <c r="J4813" s="3" t="n">
        <v>33</v>
      </c>
      <c r="K4813" s="3" t="n">
        <v>-3</v>
      </c>
      <c r="L4813" s="3" t="inlineStr">
        <is>
          <t>ATENÇÃO</t>
        </is>
      </c>
      <c r="M4813" t="n">
        <v>30</v>
      </c>
      <c r="N4813" t="n">
        <v>100</v>
      </c>
      <c r="O4813" t="n">
        <v>8.771929824561402</v>
      </c>
    </row>
    <row r="4814">
      <c r="A4814" s="10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  <c r="G4814" t="n">
        <v>6</v>
      </c>
      <c r="H4814" t="n">
        <v>0</v>
      </c>
      <c r="I4814" s="3" t="n">
        <v>41</v>
      </c>
      <c r="J4814" s="3" t="n">
        <v>27</v>
      </c>
      <c r="K4814" s="3" t="n">
        <v>14</v>
      </c>
      <c r="L4814" s="3" t="inlineStr">
        <is>
          <t>EXCELENTE</t>
        </is>
      </c>
      <c r="M4814" t="n">
        <v>30</v>
      </c>
      <c r="N4814" t="n">
        <v>100</v>
      </c>
      <c r="O4814" t="n">
        <v>2.298850574712644</v>
      </c>
    </row>
    <row r="4815">
      <c r="A4815" s="10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  <c r="G4815" t="n">
        <v>3</v>
      </c>
      <c r="H4815" t="n">
        <v>0</v>
      </c>
      <c r="I4815" s="3" t="n">
        <v>42</v>
      </c>
      <c r="J4815" s="3" t="n">
        <v>33</v>
      </c>
      <c r="K4815" s="3" t="n">
        <v>9</v>
      </c>
      <c r="L4815" s="3" t="inlineStr">
        <is>
          <t>EXCELENTE</t>
        </is>
      </c>
      <c r="M4815" t="n">
        <v>38</v>
      </c>
      <c r="N4815" t="n">
        <v>100</v>
      </c>
      <c r="O4815" t="n">
        <v>3.571428571428571</v>
      </c>
    </row>
    <row r="4816">
      <c r="A4816" s="10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s="3" t="n">
        <v>0</v>
      </c>
      <c r="J4816" s="3" t="n">
        <v>0</v>
      </c>
      <c r="K4816" s="3" t="n">
        <v>0</v>
      </c>
      <c r="L4816" s="3" t="inlineStr">
        <is>
          <t>BOM</t>
        </is>
      </c>
      <c r="M4816" t="n">
        <v>0</v>
      </c>
      <c r="N4816" t="n">
        <v>100</v>
      </c>
      <c r="O4816" t="n">
        <v>0</v>
      </c>
    </row>
    <row r="4817">
      <c r="A4817" s="10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  <c r="G4817" t="n">
        <v>5</v>
      </c>
      <c r="H4817" t="n">
        <v>0</v>
      </c>
      <c r="I4817" s="3" t="n">
        <v>24</v>
      </c>
      <c r="J4817" s="3" t="n">
        <v>22</v>
      </c>
      <c r="K4817" s="3" t="n">
        <v>2</v>
      </c>
      <c r="L4817" s="3" t="inlineStr">
        <is>
          <t>BOM</t>
        </is>
      </c>
      <c r="M4817" t="n">
        <v>19</v>
      </c>
      <c r="N4817" t="n">
        <v>100</v>
      </c>
      <c r="O4817" t="n">
        <v>11.11111111111111</v>
      </c>
    </row>
    <row r="4818">
      <c r="A4818" s="10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  <c r="G4818" t="n">
        <v>3</v>
      </c>
      <c r="H4818" t="n">
        <v>0</v>
      </c>
      <c r="I4818" s="3" t="n">
        <v>35</v>
      </c>
      <c r="J4818" s="3" t="n">
        <v>27</v>
      </c>
      <c r="K4818" s="3" t="n">
        <v>8</v>
      </c>
      <c r="L4818" s="3" t="inlineStr">
        <is>
          <t>EXCELENTE</t>
        </is>
      </c>
      <c r="M4818" t="n">
        <v>31</v>
      </c>
      <c r="N4818" t="n">
        <v>100</v>
      </c>
      <c r="O4818" t="n">
        <v>4.444444444444445</v>
      </c>
    </row>
    <row r="4819">
      <c r="A4819" s="10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s="3" t="n">
        <v>0</v>
      </c>
      <c r="J4819" s="3" t="n">
        <v>0</v>
      </c>
      <c r="K4819" s="3" t="n">
        <v>0</v>
      </c>
      <c r="L4819" s="3" t="inlineStr">
        <is>
          <t>BOM</t>
        </is>
      </c>
      <c r="M4819" t="n">
        <v>0</v>
      </c>
      <c r="N4819" t="n">
        <v>100</v>
      </c>
      <c r="O4819" t="n">
        <v>0</v>
      </c>
    </row>
    <row r="4820">
      <c r="A4820" s="10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  <c r="G4820" t="n">
        <v>2</v>
      </c>
      <c r="H4820" t="n">
        <v>0</v>
      </c>
      <c r="I4820" s="3" t="n">
        <v>35</v>
      </c>
      <c r="J4820" s="3" t="n">
        <v>33</v>
      </c>
      <c r="K4820" s="3" t="n">
        <v>2</v>
      </c>
      <c r="L4820" s="3" t="inlineStr">
        <is>
          <t>BOM</t>
        </is>
      </c>
      <c r="M4820" t="n">
        <v>39</v>
      </c>
      <c r="N4820" t="n">
        <v>100</v>
      </c>
      <c r="O4820" t="n">
        <v>2.4</v>
      </c>
    </row>
    <row r="4821">
      <c r="A4821" s="10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s="3" t="n">
        <v>0</v>
      </c>
      <c r="J4821" s="3" t="n">
        <v>0</v>
      </c>
      <c r="K4821" s="3" t="n">
        <v>0</v>
      </c>
      <c r="L4821" s="3" t="inlineStr">
        <is>
          <t>BOM</t>
        </is>
      </c>
      <c r="M4821" t="n">
        <v>0</v>
      </c>
      <c r="N4821" t="n">
        <v>100</v>
      </c>
      <c r="O4821" t="n">
        <v>0</v>
      </c>
    </row>
    <row r="4822">
      <c r="A4822" s="10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s="3" t="n">
        <v>0</v>
      </c>
      <c r="J4822" s="3" t="n">
        <v>0</v>
      </c>
      <c r="K4822" s="3" t="n">
        <v>0</v>
      </c>
      <c r="L4822" s="3" t="inlineStr">
        <is>
          <t>BOM</t>
        </is>
      </c>
      <c r="M4822" t="n">
        <v>0</v>
      </c>
      <c r="N4822" t="n">
        <v>0</v>
      </c>
      <c r="O4822" t="n">
        <v>0</v>
      </c>
    </row>
    <row r="4823">
      <c r="A4823" s="10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s="3" t="n">
        <v>0</v>
      </c>
      <c r="J4823" s="3" t="n">
        <v>0</v>
      </c>
      <c r="K4823" s="3" t="n">
        <v>0</v>
      </c>
      <c r="L4823" s="3" t="inlineStr">
        <is>
          <t>BOM</t>
        </is>
      </c>
      <c r="M4823" t="n">
        <v>0</v>
      </c>
      <c r="N4823" t="n">
        <v>100</v>
      </c>
      <c r="O4823" t="n">
        <v>0</v>
      </c>
    </row>
    <row r="4824">
      <c r="A4824" s="10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  <c r="G4824" t="n">
        <v>1</v>
      </c>
      <c r="H4824" t="n">
        <v>0</v>
      </c>
      <c r="I4824" s="3" t="n">
        <v>34</v>
      </c>
      <c r="J4824" s="3" t="n">
        <v>33</v>
      </c>
      <c r="K4824" s="3" t="n">
        <v>1</v>
      </c>
      <c r="L4824" s="3" t="inlineStr">
        <is>
          <t>BOM</t>
        </is>
      </c>
      <c r="M4824" t="n">
        <v>31</v>
      </c>
      <c r="N4824" t="n">
        <v>100</v>
      </c>
      <c r="O4824" t="n">
        <v>4.132231404958678</v>
      </c>
    </row>
    <row r="4825">
      <c r="A4825" s="10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  <c r="G4825" t="n">
        <v>1</v>
      </c>
      <c r="H4825" t="n">
        <v>0</v>
      </c>
      <c r="I4825" s="3" t="n">
        <v>28</v>
      </c>
      <c r="J4825" s="3" t="n">
        <v>27</v>
      </c>
      <c r="K4825" s="3" t="n">
        <v>1</v>
      </c>
      <c r="L4825" s="3" t="inlineStr">
        <is>
          <t>BOM</t>
        </is>
      </c>
      <c r="M4825" t="n">
        <v>23</v>
      </c>
      <c r="N4825" t="n">
        <v>100</v>
      </c>
      <c r="O4825" t="n">
        <v>2.222222222222222</v>
      </c>
    </row>
    <row r="4826">
      <c r="A4826" s="10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  <c r="G4826" t="n">
        <v>0</v>
      </c>
      <c r="H4826" t="n">
        <v>0</v>
      </c>
      <c r="I4826" s="3" t="n">
        <v>34</v>
      </c>
      <c r="J4826" s="3" t="n">
        <v>27</v>
      </c>
      <c r="K4826" s="3" t="n">
        <v>7</v>
      </c>
      <c r="L4826" s="3" t="inlineStr">
        <is>
          <t>EXCELENTE</t>
        </is>
      </c>
      <c r="M4826" t="n">
        <v>30</v>
      </c>
      <c r="N4826" t="n">
        <v>100</v>
      </c>
      <c r="O4826" t="n">
        <v>8.823529411764707</v>
      </c>
    </row>
    <row r="4827">
      <c r="A4827" s="10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s="3" t="n">
        <v>0</v>
      </c>
      <c r="J4827" s="3" t="n">
        <v>0</v>
      </c>
      <c r="K4827" s="3" t="n">
        <v>0</v>
      </c>
      <c r="L4827" s="3" t="inlineStr">
        <is>
          <t>BOM</t>
        </is>
      </c>
      <c r="M4827" t="n">
        <v>13</v>
      </c>
      <c r="N4827" t="n">
        <v>81.25</v>
      </c>
      <c r="O4827" t="n">
        <v>13.95348837209302</v>
      </c>
    </row>
    <row r="4828">
      <c r="A4828" s="10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  <c r="G4828" t="n">
        <v>0</v>
      </c>
      <c r="H4828" t="n">
        <v>0</v>
      </c>
      <c r="I4828" s="3" t="n">
        <v>26</v>
      </c>
      <c r="J4828" s="3" t="n">
        <v>22</v>
      </c>
      <c r="K4828" s="3" t="n">
        <v>4</v>
      </c>
      <c r="L4828" s="3" t="inlineStr">
        <is>
          <t>BOM</t>
        </is>
      </c>
      <c r="M4828" t="n">
        <v>26</v>
      </c>
      <c r="N4828" t="n">
        <v>100</v>
      </c>
      <c r="O4828" t="n">
        <v>2.597402597402597</v>
      </c>
    </row>
    <row r="4829">
      <c r="A4829" s="10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s="3" t="n">
        <v>0</v>
      </c>
      <c r="J4829" s="3" t="n">
        <v>0</v>
      </c>
      <c r="K4829" s="3" t="n">
        <v>0</v>
      </c>
      <c r="L4829" s="3" t="inlineStr">
        <is>
          <t>BOM</t>
        </is>
      </c>
      <c r="M4829" t="n">
        <v>22</v>
      </c>
      <c r="N4829" t="n">
        <v>0</v>
      </c>
      <c r="O4829" t="n">
        <v>0</v>
      </c>
    </row>
    <row r="4830">
      <c r="A4830" s="10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  <c r="G4830" t="n">
        <v>5</v>
      </c>
      <c r="H4830" t="n">
        <v>0</v>
      </c>
      <c r="I4830" s="3" t="n">
        <v>35</v>
      </c>
      <c r="J4830" s="3" t="n">
        <v>33</v>
      </c>
      <c r="K4830" s="3" t="n">
        <v>2</v>
      </c>
      <c r="L4830" s="3" t="inlineStr">
        <is>
          <t>BOM</t>
        </is>
      </c>
      <c r="M4830" t="n">
        <v>45</v>
      </c>
      <c r="N4830" t="n">
        <v>93.33</v>
      </c>
      <c r="O4830" t="n">
        <v>6.956521739130435</v>
      </c>
    </row>
    <row r="4831">
      <c r="A4831" s="10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s="3" t="n">
        <v>0</v>
      </c>
      <c r="J4831" s="3" t="n">
        <v>0</v>
      </c>
      <c r="K4831" s="3" t="n">
        <v>0</v>
      </c>
      <c r="L4831" s="3" t="inlineStr">
        <is>
          <t>BOM</t>
        </is>
      </c>
      <c r="M4831" t="n">
        <v>0</v>
      </c>
      <c r="N4831" t="n">
        <v>100</v>
      </c>
      <c r="O4831" t="n">
        <v>0</v>
      </c>
    </row>
    <row r="4832">
      <c r="A4832" s="10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  <c r="G4832" t="n">
        <v>4</v>
      </c>
      <c r="H4832" t="n">
        <v>0</v>
      </c>
      <c r="I4832" s="3" t="n">
        <v>32</v>
      </c>
      <c r="J4832" s="3" t="n">
        <v>22</v>
      </c>
      <c r="K4832" s="3" t="n">
        <v>10</v>
      </c>
      <c r="L4832" s="3" t="inlineStr">
        <is>
          <t>EXCELENTE</t>
        </is>
      </c>
      <c r="M4832" t="n">
        <v>23</v>
      </c>
      <c r="N4832" t="n">
        <v>91.67</v>
      </c>
      <c r="O4832" t="n">
        <v>4.285714285714286</v>
      </c>
    </row>
    <row r="4833">
      <c r="A4833" s="10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  <c r="G4833" t="n">
        <v>1</v>
      </c>
      <c r="H4833" t="n">
        <v>0</v>
      </c>
      <c r="I4833" s="3" t="n">
        <v>47</v>
      </c>
      <c r="J4833" s="3" t="n">
        <v>33</v>
      </c>
      <c r="K4833" s="3" t="n">
        <v>14</v>
      </c>
      <c r="L4833" s="3" t="inlineStr">
        <is>
          <t>EXCELENTE</t>
        </is>
      </c>
      <c r="M4833" t="n">
        <v>47</v>
      </c>
      <c r="N4833" t="n">
        <v>100</v>
      </c>
      <c r="O4833" t="n">
        <v>9.25925925925926</v>
      </c>
    </row>
    <row r="4834">
      <c r="A4834" s="10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  <c r="G4834" t="n">
        <v>2</v>
      </c>
      <c r="H4834" t="n">
        <v>0</v>
      </c>
      <c r="I4834" s="3" t="n">
        <v>22</v>
      </c>
      <c r="J4834" s="3" t="n">
        <v>22</v>
      </c>
      <c r="K4834" s="3" t="n">
        <v>0</v>
      </c>
      <c r="L4834" s="3" t="inlineStr">
        <is>
          <t>BOM</t>
        </is>
      </c>
      <c r="M4834" t="n">
        <v>13</v>
      </c>
      <c r="N4834" t="n">
        <v>100</v>
      </c>
      <c r="O4834" t="n">
        <v>4.545454545454546</v>
      </c>
    </row>
    <row r="4835">
      <c r="A4835" s="10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s="3" t="n">
        <v>0</v>
      </c>
      <c r="J4835" s="3" t="n">
        <v>0</v>
      </c>
      <c r="K4835" s="3" t="n">
        <v>0</v>
      </c>
      <c r="L4835" s="3" t="inlineStr">
        <is>
          <t>BOM</t>
        </is>
      </c>
      <c r="M4835" t="n">
        <v>0</v>
      </c>
      <c r="N4835" t="n">
        <v>100</v>
      </c>
      <c r="O4835" t="n">
        <v>0</v>
      </c>
    </row>
    <row r="4836">
      <c r="A4836" s="10" t="n">
        <v>46177</v>
      </c>
      <c r="B4836" t="inlineStr">
        <is>
          <t>Anna Luiza Rezende Tavares</t>
        </is>
      </c>
      <c r="C4836" t="inlineStr">
        <is>
          <t>JR</t>
        </is>
      </c>
      <c r="D4836" t="n">
        <v>0</v>
      </c>
      <c r="E4836" t="n">
        <v>0</v>
      </c>
      <c r="F4836" t="n">
        <v>0</v>
      </c>
      <c r="G4836" t="n">
        <v>0</v>
      </c>
      <c r="H4836" t="n">
        <v>0</v>
      </c>
      <c r="I4836" s="3" t="n">
        <v>0</v>
      </c>
      <c r="J4836" s="3" t="n">
        <v>0</v>
      </c>
      <c r="K4836" s="3" t="n">
        <v>0</v>
      </c>
      <c r="L4836" s="3" t="inlineStr">
        <is>
          <t>BOM</t>
        </is>
      </c>
    </row>
    <row r="4837">
      <c r="A4837" s="10" t="n">
        <v>46177</v>
      </c>
      <c r="B4837" t="inlineStr">
        <is>
          <t>Claudio de Sousa Velasco Filho</t>
        </is>
      </c>
      <c r="C4837" t="inlineStr">
        <is>
          <t>Estágio</t>
        </is>
      </c>
      <c r="D4837" t="n">
        <v>0</v>
      </c>
      <c r="E4837" t="n">
        <v>0</v>
      </c>
      <c r="F4837" t="n">
        <v>0</v>
      </c>
      <c r="G4837" t="n">
        <v>0</v>
      </c>
      <c r="H4837" t="n">
        <v>0</v>
      </c>
      <c r="I4837" s="3" t="n">
        <v>0</v>
      </c>
      <c r="J4837" s="3" t="n">
        <v>0</v>
      </c>
      <c r="K4837" s="3" t="n">
        <v>0</v>
      </c>
      <c r="L4837" s="3" t="inlineStr">
        <is>
          <t>BOM</t>
        </is>
      </c>
    </row>
    <row r="4838">
      <c r="A4838" s="10" t="n">
        <v>46177</v>
      </c>
      <c r="B4838" t="inlineStr">
        <is>
          <t>Emilly Caylane Costa</t>
        </is>
      </c>
      <c r="C4838" t="inlineStr">
        <is>
          <t>Estágio</t>
        </is>
      </c>
      <c r="D4838" t="n">
        <v>0</v>
      </c>
      <c r="E4838" t="n">
        <v>0</v>
      </c>
      <c r="F4838" t="n">
        <v>0</v>
      </c>
      <c r="G4838" t="n">
        <v>0</v>
      </c>
      <c r="H4838" t="n">
        <v>0</v>
      </c>
      <c r="I4838" s="3" t="n">
        <v>0</v>
      </c>
      <c r="J4838" s="3" t="n">
        <v>0</v>
      </c>
      <c r="K4838" s="3" t="n">
        <v>0</v>
      </c>
      <c r="L4838" s="3" t="inlineStr">
        <is>
          <t>BOM</t>
        </is>
      </c>
    </row>
    <row r="4839">
      <c r="A4839" s="10" t="n">
        <v>46177</v>
      </c>
      <c r="B4839" t="inlineStr">
        <is>
          <t>Gabriel Alves</t>
        </is>
      </c>
      <c r="C4839" t="inlineStr">
        <is>
          <t>Estágio</t>
        </is>
      </c>
      <c r="D4839" t="n">
        <v>0</v>
      </c>
      <c r="E4839" t="n">
        <v>0</v>
      </c>
      <c r="F4839" t="n">
        <v>0</v>
      </c>
      <c r="G4839" t="n">
        <v>0</v>
      </c>
      <c r="H4839" t="n">
        <v>0</v>
      </c>
      <c r="I4839" s="3" t="n">
        <v>0</v>
      </c>
      <c r="J4839" s="3" t="n">
        <v>0</v>
      </c>
      <c r="K4839" s="3" t="n">
        <v>0</v>
      </c>
      <c r="L4839" s="3" t="inlineStr">
        <is>
          <t>BOM</t>
        </is>
      </c>
    </row>
    <row r="4840">
      <c r="A4840" s="10" t="n">
        <v>46177</v>
      </c>
      <c r="B4840" t="inlineStr">
        <is>
          <t>Karina Gonçalves Martins</t>
        </is>
      </c>
      <c r="C4840" t="inlineStr">
        <is>
          <t>JR</t>
        </is>
      </c>
      <c r="D4840" t="n">
        <v>0</v>
      </c>
      <c r="E4840" t="n">
        <v>0</v>
      </c>
      <c r="F4840" t="n">
        <v>0</v>
      </c>
      <c r="G4840" t="n">
        <v>0</v>
      </c>
      <c r="H4840" t="n">
        <v>0</v>
      </c>
      <c r="I4840" s="3" t="n">
        <v>0</v>
      </c>
      <c r="J4840" s="3" t="n">
        <v>0</v>
      </c>
      <c r="K4840" s="3" t="n">
        <v>0</v>
      </c>
      <c r="L4840" s="3" t="inlineStr">
        <is>
          <t>BOM</t>
        </is>
      </c>
    </row>
    <row r="4841">
      <c r="A4841" s="10" t="n">
        <v>46177</v>
      </c>
      <c r="B4841" t="inlineStr">
        <is>
          <t>Leandro de Souza Silva</t>
        </is>
      </c>
      <c r="C4841" t="inlineStr">
        <is>
          <t>Técnico I</t>
        </is>
      </c>
      <c r="D4841" t="n">
        <v>0</v>
      </c>
      <c r="E4841" t="n">
        <v>0</v>
      </c>
      <c r="F4841" t="n">
        <v>0</v>
      </c>
      <c r="G4841" t="n">
        <v>0</v>
      </c>
      <c r="H4841" t="n">
        <v>0</v>
      </c>
      <c r="I4841" s="3" t="n">
        <v>0</v>
      </c>
      <c r="J4841" s="3" t="n">
        <v>0</v>
      </c>
      <c r="K4841" s="3" t="n">
        <v>0</v>
      </c>
      <c r="L4841" s="3" t="inlineStr">
        <is>
          <t>BOM</t>
        </is>
      </c>
    </row>
    <row r="4842">
      <c r="A4842" s="10" t="n">
        <v>46177</v>
      </c>
      <c r="B4842" t="inlineStr">
        <is>
          <t>Maria Eduarda Sousa Costa</t>
        </is>
      </c>
      <c r="C4842" t="inlineStr">
        <is>
          <t>JR</t>
        </is>
      </c>
      <c r="D4842" t="n">
        <v>0</v>
      </c>
      <c r="E4842" t="n">
        <v>0</v>
      </c>
      <c r="F4842" t="n">
        <v>0</v>
      </c>
      <c r="G4842" t="n">
        <v>0</v>
      </c>
      <c r="H4842" t="n">
        <v>0</v>
      </c>
      <c r="I4842" s="3" t="n">
        <v>0</v>
      </c>
      <c r="J4842" s="3" t="n">
        <v>0</v>
      </c>
      <c r="K4842" s="3" t="n">
        <v>0</v>
      </c>
      <c r="L4842" s="3" t="inlineStr">
        <is>
          <t>BOM</t>
        </is>
      </c>
    </row>
    <row r="4843">
      <c r="A4843" s="10" t="n">
        <v>46177</v>
      </c>
      <c r="B4843" t="inlineStr">
        <is>
          <t>Michelle G Santos</t>
        </is>
      </c>
      <c r="C4843" t="inlineStr">
        <is>
          <t>JR</t>
        </is>
      </c>
      <c r="D4843" t="n">
        <v>0</v>
      </c>
      <c r="E4843" t="n">
        <v>0</v>
      </c>
      <c r="F4843" t="n">
        <v>0</v>
      </c>
      <c r="G4843" t="n">
        <v>0</v>
      </c>
      <c r="H4843" t="n">
        <v>0</v>
      </c>
      <c r="I4843" s="3" t="n">
        <v>0</v>
      </c>
      <c r="J4843" s="3" t="n">
        <v>0</v>
      </c>
      <c r="K4843" s="3" t="n">
        <v>0</v>
      </c>
      <c r="L4843" s="3" t="inlineStr">
        <is>
          <t>BOM</t>
        </is>
      </c>
    </row>
    <row r="4844">
      <c r="A4844" s="10" t="n">
        <v>46177</v>
      </c>
      <c r="B4844" t="inlineStr">
        <is>
          <t>Milena Sales</t>
        </is>
      </c>
      <c r="C4844" t="inlineStr">
        <is>
          <t>JR</t>
        </is>
      </c>
      <c r="D4844" t="n">
        <v>0</v>
      </c>
      <c r="E4844" t="n">
        <v>0</v>
      </c>
      <c r="F4844" t="n">
        <v>0</v>
      </c>
      <c r="G4844" t="n">
        <v>0</v>
      </c>
      <c r="H4844" t="n">
        <v>0</v>
      </c>
      <c r="I4844" s="3" t="n">
        <v>0</v>
      </c>
      <c r="J4844" s="3" t="n">
        <v>0</v>
      </c>
      <c r="K4844" s="3" t="n">
        <v>0</v>
      </c>
      <c r="L4844" s="3" t="inlineStr">
        <is>
          <t>BOM</t>
        </is>
      </c>
    </row>
    <row r="4845">
      <c r="A4845" s="10" t="n">
        <v>46177</v>
      </c>
      <c r="B4845" t="inlineStr">
        <is>
          <t>Paulo Ricardo Santos</t>
        </is>
      </c>
      <c r="C4845" t="inlineStr">
        <is>
          <t>Técnico I</t>
        </is>
      </c>
      <c r="D4845" t="n">
        <v>0</v>
      </c>
      <c r="E4845" t="n">
        <v>0</v>
      </c>
      <c r="F4845" t="n">
        <v>0</v>
      </c>
      <c r="G4845" t="n">
        <v>0</v>
      </c>
      <c r="H4845" t="n">
        <v>0</v>
      </c>
      <c r="I4845" s="3" t="n">
        <v>0</v>
      </c>
      <c r="J4845" s="3" t="n">
        <v>0</v>
      </c>
      <c r="K4845" s="3" t="n">
        <v>0</v>
      </c>
      <c r="L4845" s="3" t="inlineStr">
        <is>
          <t>BOM</t>
        </is>
      </c>
    </row>
    <row r="4846">
      <c r="A4846" s="10" t="n">
        <v>46177</v>
      </c>
      <c r="B4846" t="inlineStr">
        <is>
          <t>Pedro Luiz Mota Sousa</t>
        </is>
      </c>
      <c r="C4846" t="inlineStr">
        <is>
          <t>Técnico I</t>
        </is>
      </c>
      <c r="D4846" t="n">
        <v>0</v>
      </c>
      <c r="E4846" t="n">
        <v>0</v>
      </c>
      <c r="F4846" t="n">
        <v>0</v>
      </c>
      <c r="G4846" t="n">
        <v>0</v>
      </c>
      <c r="H4846" t="n">
        <v>0</v>
      </c>
      <c r="I4846" s="3" t="n">
        <v>0</v>
      </c>
      <c r="J4846" s="3" t="n">
        <v>0</v>
      </c>
      <c r="K4846" s="3" t="n">
        <v>0</v>
      </c>
      <c r="L4846" s="3" t="inlineStr">
        <is>
          <t>BOM</t>
        </is>
      </c>
    </row>
    <row r="4847">
      <c r="A4847" s="10" t="n">
        <v>46177</v>
      </c>
      <c r="B4847" t="inlineStr">
        <is>
          <t>Quirino Diogo Leite Torres</t>
        </is>
      </c>
      <c r="C4847" t="inlineStr">
        <is>
          <t>JR</t>
        </is>
      </c>
      <c r="D4847" t="n">
        <v>0</v>
      </c>
      <c r="E4847" t="n">
        <v>0</v>
      </c>
      <c r="F4847" t="n">
        <v>0</v>
      </c>
      <c r="G4847" t="n">
        <v>0</v>
      </c>
      <c r="H4847" t="n">
        <v>0</v>
      </c>
      <c r="I4847" s="3" t="n">
        <v>0</v>
      </c>
      <c r="J4847" s="3" t="n">
        <v>0</v>
      </c>
      <c r="K4847" s="3" t="n">
        <v>0</v>
      </c>
      <c r="L4847" s="3" t="inlineStr">
        <is>
          <t>BOM</t>
        </is>
      </c>
    </row>
    <row r="4848">
      <c r="A4848" s="10" t="n">
        <v>46177</v>
      </c>
      <c r="B4848" t="inlineStr">
        <is>
          <t>Alisson de Freitas Silva</t>
        </is>
      </c>
      <c r="C4848" t="inlineStr">
        <is>
          <t>Técnico II</t>
        </is>
      </c>
      <c r="D4848" t="n">
        <v>0</v>
      </c>
      <c r="E4848" t="n">
        <v>0</v>
      </c>
      <c r="F4848" t="n">
        <v>0</v>
      </c>
      <c r="G4848" t="n">
        <v>0</v>
      </c>
      <c r="H4848" t="n">
        <v>0</v>
      </c>
      <c r="I4848" s="3" t="n">
        <v>0</v>
      </c>
      <c r="J4848" s="3" t="n">
        <v>0</v>
      </c>
      <c r="K4848" s="3" t="n">
        <v>0</v>
      </c>
      <c r="L4848" s="3" t="inlineStr">
        <is>
          <t>BOM</t>
        </is>
      </c>
    </row>
    <row r="4849">
      <c r="A4849" s="10" t="n">
        <v>46177</v>
      </c>
      <c r="B4849" t="inlineStr">
        <is>
          <t>Amanda Moura Ferreira</t>
        </is>
      </c>
      <c r="C4849" t="inlineStr">
        <is>
          <t>Técnico III</t>
        </is>
      </c>
      <c r="D4849" t="n">
        <v>0</v>
      </c>
      <c r="E4849" t="n">
        <v>0</v>
      </c>
      <c r="F4849" t="n">
        <v>0</v>
      </c>
      <c r="G4849" t="n">
        <v>0</v>
      </c>
      <c r="H4849" t="n">
        <v>0</v>
      </c>
      <c r="I4849" s="3" t="n">
        <v>0</v>
      </c>
      <c r="J4849" s="3" t="n">
        <v>0</v>
      </c>
      <c r="K4849" s="3" t="n">
        <v>0</v>
      </c>
      <c r="L4849" s="3" t="inlineStr">
        <is>
          <t>BOM</t>
        </is>
      </c>
    </row>
    <row r="4850">
      <c r="A4850" s="10" t="n">
        <v>46177</v>
      </c>
      <c r="B4850" t="inlineStr">
        <is>
          <t>Ana Karollyne Souza Faria</t>
        </is>
      </c>
      <c r="C4850" t="inlineStr">
        <is>
          <t>Técnico I</t>
        </is>
      </c>
      <c r="D4850" t="n">
        <v>0</v>
      </c>
      <c r="E4850" t="n">
        <v>0</v>
      </c>
      <c r="F4850" t="n">
        <v>0</v>
      </c>
      <c r="G4850" t="n">
        <v>1</v>
      </c>
      <c r="H4850" t="n">
        <v>0</v>
      </c>
      <c r="I4850" s="3" t="n">
        <v>1</v>
      </c>
      <c r="J4850" s="3" t="n">
        <v>0</v>
      </c>
      <c r="K4850" s="3" t="n">
        <v>1</v>
      </c>
      <c r="L4850" s="3" t="inlineStr">
        <is>
          <t>BOM</t>
        </is>
      </c>
    </row>
    <row r="4851">
      <c r="A4851" s="10" t="n">
        <v>46177</v>
      </c>
      <c r="B4851" t="inlineStr">
        <is>
          <t>Ana Paula Da Luz Silva Aleixo</t>
        </is>
      </c>
      <c r="C4851" t="inlineStr">
        <is>
          <t>Técnico III</t>
        </is>
      </c>
      <c r="D4851" t="n">
        <v>0</v>
      </c>
      <c r="E4851" t="n">
        <v>0</v>
      </c>
      <c r="F4851" t="n">
        <v>0</v>
      </c>
      <c r="G4851" t="n">
        <v>0</v>
      </c>
      <c r="H4851" t="n">
        <v>0</v>
      </c>
      <c r="I4851" s="3" t="n">
        <v>0</v>
      </c>
      <c r="J4851" s="3" t="n">
        <v>0</v>
      </c>
      <c r="K4851" s="3" t="n">
        <v>0</v>
      </c>
      <c r="L4851" s="3" t="inlineStr">
        <is>
          <t>BOM</t>
        </is>
      </c>
    </row>
    <row r="4852">
      <c r="A4852" s="10" t="n">
        <v>46177</v>
      </c>
      <c r="B4852" t="inlineStr">
        <is>
          <t>Brenda de Menezes Silva</t>
        </is>
      </c>
      <c r="C4852" t="inlineStr">
        <is>
          <t>Técnico II</t>
        </is>
      </c>
      <c r="D4852" t="n">
        <v>0</v>
      </c>
      <c r="E4852" t="n">
        <v>0</v>
      </c>
      <c r="F4852" t="n">
        <v>0</v>
      </c>
      <c r="G4852" t="n">
        <v>0</v>
      </c>
      <c r="H4852" t="n">
        <v>0</v>
      </c>
      <c r="I4852" s="3" t="n">
        <v>0</v>
      </c>
      <c r="J4852" s="3" t="n">
        <v>0</v>
      </c>
      <c r="K4852" s="3" t="n">
        <v>0</v>
      </c>
      <c r="L4852" s="3" t="inlineStr">
        <is>
          <t>BOM</t>
        </is>
      </c>
    </row>
    <row r="4853">
      <c r="A4853" s="10" t="n">
        <v>46177</v>
      </c>
      <c r="B4853" t="inlineStr">
        <is>
          <t>Carlos Mateus Cassimiro Nunes</t>
        </is>
      </c>
      <c r="C4853" t="inlineStr">
        <is>
          <t>Técnico II</t>
        </is>
      </c>
      <c r="D4853" t="n">
        <v>0</v>
      </c>
      <c r="E4853" t="n">
        <v>0</v>
      </c>
      <c r="F4853" t="n">
        <v>0</v>
      </c>
      <c r="G4853" t="n">
        <v>0</v>
      </c>
      <c r="H4853" t="n">
        <v>0</v>
      </c>
      <c r="I4853" s="3" t="n">
        <v>0</v>
      </c>
      <c r="J4853" s="3" t="n">
        <v>0</v>
      </c>
      <c r="K4853" s="3" t="n">
        <v>0</v>
      </c>
      <c r="L4853" s="3" t="inlineStr">
        <is>
          <t>BOM</t>
        </is>
      </c>
    </row>
    <row r="4854">
      <c r="A4854" s="10" t="n">
        <v>46177</v>
      </c>
      <c r="B4854" t="inlineStr">
        <is>
          <t>Clessiane Pereira dos Santos</t>
        </is>
      </c>
      <c r="C4854" t="inlineStr">
        <is>
          <t>Técnico I</t>
        </is>
      </c>
      <c r="D4854" t="n">
        <v>0</v>
      </c>
      <c r="E4854" t="n">
        <v>0</v>
      </c>
      <c r="F4854" t="n">
        <v>0</v>
      </c>
      <c r="G4854" t="n">
        <v>0</v>
      </c>
      <c r="H4854" t="n">
        <v>0</v>
      </c>
      <c r="I4854" s="3" t="n">
        <v>0</v>
      </c>
      <c r="J4854" s="3" t="n">
        <v>0</v>
      </c>
      <c r="K4854" s="3" t="n">
        <v>0</v>
      </c>
      <c r="L4854" s="3" t="inlineStr">
        <is>
          <t>BOM</t>
        </is>
      </c>
    </row>
    <row r="4855">
      <c r="A4855" s="10" t="n">
        <v>46177</v>
      </c>
      <c r="B4855" t="inlineStr">
        <is>
          <t>Cristiane Ramos da Silva Rocha</t>
        </is>
      </c>
      <c r="C4855" t="inlineStr">
        <is>
          <t>Técnico III</t>
        </is>
      </c>
      <c r="D4855" t="n">
        <v>0</v>
      </c>
      <c r="E4855" t="n">
        <v>0</v>
      </c>
      <c r="F4855" t="n">
        <v>0</v>
      </c>
      <c r="G4855" t="n">
        <v>0</v>
      </c>
      <c r="H4855" t="n">
        <v>0</v>
      </c>
      <c r="I4855" s="3" t="n">
        <v>0</v>
      </c>
      <c r="J4855" s="3" t="n">
        <v>0</v>
      </c>
      <c r="K4855" s="3" t="n">
        <v>0</v>
      </c>
      <c r="L4855" s="3" t="inlineStr">
        <is>
          <t>BOM</t>
        </is>
      </c>
    </row>
    <row r="4856">
      <c r="A4856" s="10" t="n">
        <v>46177</v>
      </c>
      <c r="B4856" t="inlineStr">
        <is>
          <t>Damyllis Lorraine de Oliveira Gonçalves</t>
        </is>
      </c>
      <c r="C4856" t="inlineStr">
        <is>
          <t>Técnico II</t>
        </is>
      </c>
      <c r="D4856" t="n">
        <v>0</v>
      </c>
      <c r="E4856" t="n">
        <v>0</v>
      </c>
      <c r="F4856" t="n">
        <v>0</v>
      </c>
      <c r="G4856" t="n">
        <v>0</v>
      </c>
      <c r="H4856" t="n">
        <v>0</v>
      </c>
      <c r="I4856" s="3" t="n">
        <v>0</v>
      </c>
      <c r="J4856" s="3" t="n">
        <v>0</v>
      </c>
      <c r="K4856" s="3" t="n">
        <v>0</v>
      </c>
      <c r="L4856" s="3" t="inlineStr">
        <is>
          <t>BOM</t>
        </is>
      </c>
    </row>
    <row r="4857">
      <c r="A4857" s="10" t="n">
        <v>46177</v>
      </c>
      <c r="B4857" t="inlineStr">
        <is>
          <t>Daniel Gomes da Silva</t>
        </is>
      </c>
      <c r="C4857" t="inlineStr">
        <is>
          <t>Técnico I</t>
        </is>
      </c>
      <c r="D4857" t="n">
        <v>0</v>
      </c>
      <c r="E4857" t="n">
        <v>0</v>
      </c>
      <c r="F4857" t="n">
        <v>0</v>
      </c>
      <c r="G4857" t="n">
        <v>0</v>
      </c>
      <c r="H4857" t="n">
        <v>0</v>
      </c>
      <c r="I4857" s="3" t="n">
        <v>0</v>
      </c>
      <c r="J4857" s="3" t="n">
        <v>0</v>
      </c>
      <c r="K4857" s="3" t="n">
        <v>0</v>
      </c>
      <c r="L4857" s="3" t="inlineStr">
        <is>
          <t>BOM</t>
        </is>
      </c>
    </row>
    <row r="4858">
      <c r="A4858" s="10" t="n">
        <v>46177</v>
      </c>
      <c r="B4858" t="inlineStr">
        <is>
          <t>Davylla Rodrigues Freitas Silva</t>
        </is>
      </c>
      <c r="C4858" t="inlineStr">
        <is>
          <t>Técnico III</t>
        </is>
      </c>
      <c r="D4858" t="n">
        <v>0</v>
      </c>
      <c r="E4858" t="n">
        <v>0</v>
      </c>
      <c r="F4858" t="n">
        <v>0</v>
      </c>
      <c r="G4858" t="n">
        <v>0</v>
      </c>
      <c r="H4858" t="n">
        <v>0</v>
      </c>
      <c r="I4858" s="3" t="n">
        <v>0</v>
      </c>
      <c r="J4858" s="3" t="n">
        <v>0</v>
      </c>
      <c r="K4858" s="3" t="n">
        <v>0</v>
      </c>
      <c r="L4858" s="3" t="inlineStr">
        <is>
          <t>BOM</t>
        </is>
      </c>
    </row>
    <row r="4859">
      <c r="A4859" s="10" t="n">
        <v>46177</v>
      </c>
      <c r="B4859" t="inlineStr">
        <is>
          <t>Emilly Kamilly Medeiros Miranda</t>
        </is>
      </c>
      <c r="C4859" t="inlineStr">
        <is>
          <t>Técnico II</t>
        </is>
      </c>
      <c r="D4859" t="n">
        <v>0</v>
      </c>
      <c r="E4859" t="n">
        <v>0</v>
      </c>
      <c r="F4859" t="n">
        <v>0</v>
      </c>
      <c r="G4859" t="n">
        <v>0</v>
      </c>
      <c r="H4859" t="n">
        <v>0</v>
      </c>
      <c r="I4859" s="3" t="n">
        <v>0</v>
      </c>
      <c r="J4859" s="3" t="n">
        <v>0</v>
      </c>
      <c r="K4859" s="3" t="n">
        <v>0</v>
      </c>
      <c r="L4859" s="3" t="inlineStr">
        <is>
          <t>BOM</t>
        </is>
      </c>
    </row>
    <row r="4860">
      <c r="A4860" s="10" t="n">
        <v>46177</v>
      </c>
      <c r="B4860" t="inlineStr">
        <is>
          <t>Francielson de Oliveira</t>
        </is>
      </c>
      <c r="C4860" t="inlineStr">
        <is>
          <t>Técnico III</t>
        </is>
      </c>
      <c r="D4860" t="n">
        <v>0</v>
      </c>
      <c r="E4860" t="n">
        <v>0</v>
      </c>
      <c r="F4860" t="n">
        <v>0</v>
      </c>
      <c r="G4860" t="n">
        <v>0</v>
      </c>
      <c r="H4860" t="n">
        <v>0</v>
      </c>
      <c r="I4860" s="3" t="n">
        <v>0</v>
      </c>
      <c r="J4860" s="3" t="n">
        <v>0</v>
      </c>
      <c r="K4860" s="3" t="n">
        <v>0</v>
      </c>
      <c r="L4860" s="3" t="inlineStr">
        <is>
          <t>BOM</t>
        </is>
      </c>
    </row>
    <row r="4861">
      <c r="A4861" s="10" t="n">
        <v>46177</v>
      </c>
      <c r="B4861" t="inlineStr">
        <is>
          <t>Francilene Ferreira de Jesus</t>
        </is>
      </c>
      <c r="C4861" t="inlineStr">
        <is>
          <t>Técnico II</t>
        </is>
      </c>
      <c r="D4861" t="n">
        <v>0</v>
      </c>
      <c r="E4861" t="n">
        <v>0</v>
      </c>
      <c r="F4861" t="n">
        <v>0</v>
      </c>
      <c r="G4861" t="n">
        <v>0</v>
      </c>
      <c r="H4861" t="n">
        <v>0</v>
      </c>
      <c r="I4861" s="3" t="n">
        <v>0</v>
      </c>
      <c r="J4861" s="3" t="n">
        <v>0</v>
      </c>
      <c r="K4861" s="3" t="n">
        <v>0</v>
      </c>
      <c r="L4861" s="3" t="inlineStr">
        <is>
          <t>BOM</t>
        </is>
      </c>
    </row>
    <row r="4862">
      <c r="A4862" s="10" t="n">
        <v>46177</v>
      </c>
      <c r="B4862" t="inlineStr">
        <is>
          <t>Gabriel Gomes de Andrade</t>
        </is>
      </c>
      <c r="C4862" t="inlineStr">
        <is>
          <t>Técnico I</t>
        </is>
      </c>
      <c r="D4862" t="n">
        <v>0</v>
      </c>
      <c r="E4862" t="n">
        <v>0</v>
      </c>
      <c r="F4862" t="n">
        <v>0</v>
      </c>
      <c r="G4862" t="n">
        <v>0</v>
      </c>
      <c r="H4862" t="n">
        <v>0</v>
      </c>
      <c r="I4862" s="3" t="n">
        <v>0</v>
      </c>
      <c r="J4862" s="3" t="n">
        <v>0</v>
      </c>
      <c r="K4862" s="3" t="n">
        <v>0</v>
      </c>
      <c r="L4862" s="3" t="inlineStr">
        <is>
          <t>BOM</t>
        </is>
      </c>
    </row>
    <row r="4863">
      <c r="A4863" s="10" t="n">
        <v>46177</v>
      </c>
      <c r="B4863" t="inlineStr">
        <is>
          <t>Isabella Borges de Oliveira</t>
        </is>
      </c>
      <c r="C4863" t="inlineStr">
        <is>
          <t>Técnico II</t>
        </is>
      </c>
      <c r="D4863" t="n">
        <v>0</v>
      </c>
      <c r="E4863" t="n">
        <v>0</v>
      </c>
      <c r="F4863" t="n">
        <v>0</v>
      </c>
      <c r="G4863" t="n">
        <v>0</v>
      </c>
      <c r="H4863" t="n">
        <v>0</v>
      </c>
      <c r="I4863" s="3" t="n">
        <v>0</v>
      </c>
      <c r="J4863" s="3" t="n">
        <v>0</v>
      </c>
      <c r="K4863" s="3" t="n">
        <v>0</v>
      </c>
      <c r="L4863" s="3" t="inlineStr">
        <is>
          <t>BOM</t>
        </is>
      </c>
    </row>
    <row r="4864">
      <c r="A4864" s="10" t="n">
        <v>46177</v>
      </c>
      <c r="B4864" t="inlineStr">
        <is>
          <t>Janaina Lima dos Reis Urany</t>
        </is>
      </c>
      <c r="C4864" t="inlineStr">
        <is>
          <t>Técnico III</t>
        </is>
      </c>
      <c r="D4864" t="n">
        <v>0</v>
      </c>
      <c r="E4864" t="n">
        <v>0</v>
      </c>
      <c r="F4864" t="n">
        <v>0</v>
      </c>
      <c r="G4864" t="n">
        <v>0</v>
      </c>
      <c r="H4864" t="n">
        <v>0</v>
      </c>
      <c r="I4864" s="3" t="n">
        <v>0</v>
      </c>
      <c r="J4864" s="3" t="n">
        <v>0</v>
      </c>
      <c r="K4864" s="3" t="n">
        <v>0</v>
      </c>
      <c r="L4864" s="3" t="inlineStr">
        <is>
          <t>BOM</t>
        </is>
      </c>
    </row>
    <row r="4865">
      <c r="A4865" s="10" t="n">
        <v>46177</v>
      </c>
      <c r="B4865" t="inlineStr">
        <is>
          <t>Jaqueline Evangelista da Silva Martins</t>
        </is>
      </c>
      <c r="C4865" t="inlineStr">
        <is>
          <t>Técnico III</t>
        </is>
      </c>
      <c r="D4865" t="n">
        <v>0</v>
      </c>
      <c r="E4865" t="n">
        <v>0</v>
      </c>
      <c r="F4865" t="n">
        <v>0</v>
      </c>
      <c r="G4865" t="n">
        <v>0</v>
      </c>
      <c r="H4865" t="n">
        <v>0</v>
      </c>
      <c r="I4865" s="3" t="n">
        <v>0</v>
      </c>
      <c r="J4865" s="3" t="n">
        <v>0</v>
      </c>
      <c r="K4865" s="3" t="n">
        <v>0</v>
      </c>
      <c r="L4865" s="3" t="inlineStr">
        <is>
          <t>BOM</t>
        </is>
      </c>
    </row>
    <row r="4866">
      <c r="A4866" s="10" t="n">
        <v>46177</v>
      </c>
      <c r="B4866" t="inlineStr">
        <is>
          <t>Jessica Faria da Silveira</t>
        </is>
      </c>
      <c r="C4866" t="inlineStr">
        <is>
          <t>Técnico II</t>
        </is>
      </c>
      <c r="D4866" t="n">
        <v>0</v>
      </c>
      <c r="E4866" t="n">
        <v>0</v>
      </c>
      <c r="F4866" t="n">
        <v>0</v>
      </c>
      <c r="G4866" t="n">
        <v>0</v>
      </c>
      <c r="H4866" t="n">
        <v>0</v>
      </c>
      <c r="I4866" s="3" t="n">
        <v>0</v>
      </c>
      <c r="J4866" s="3" t="n">
        <v>0</v>
      </c>
      <c r="K4866" s="3" t="n">
        <v>0</v>
      </c>
      <c r="L4866" s="3" t="inlineStr">
        <is>
          <t>BOM</t>
        </is>
      </c>
    </row>
    <row r="4867">
      <c r="A4867" s="10" t="n">
        <v>46177</v>
      </c>
      <c r="B4867" t="inlineStr">
        <is>
          <t>Jéssica Fé Moura</t>
        </is>
      </c>
      <c r="C4867" t="inlineStr">
        <is>
          <t>Técnico III</t>
        </is>
      </c>
      <c r="D4867" t="n">
        <v>0</v>
      </c>
      <c r="E4867" t="n">
        <v>0</v>
      </c>
      <c r="F4867" t="n">
        <v>0</v>
      </c>
      <c r="G4867" t="n">
        <v>0</v>
      </c>
      <c r="H4867" t="n">
        <v>0</v>
      </c>
      <c r="I4867" s="3" t="n">
        <v>0</v>
      </c>
      <c r="J4867" s="3" t="n">
        <v>0</v>
      </c>
      <c r="K4867" s="3" t="n">
        <v>0</v>
      </c>
      <c r="L4867" s="3" t="inlineStr">
        <is>
          <t>BOM</t>
        </is>
      </c>
    </row>
    <row r="4868">
      <c r="A4868" s="10" t="n">
        <v>46177</v>
      </c>
      <c r="B4868" t="inlineStr">
        <is>
          <t>Kerollen Cristielly de Jesus Siqueira</t>
        </is>
      </c>
      <c r="C4868" t="inlineStr">
        <is>
          <t>Técnico III</t>
        </is>
      </c>
      <c r="D4868" t="n">
        <v>0</v>
      </c>
      <c r="E4868" t="n">
        <v>0</v>
      </c>
      <c r="F4868" t="n">
        <v>0</v>
      </c>
      <c r="G4868" t="n">
        <v>0</v>
      </c>
      <c r="H4868" t="n">
        <v>0</v>
      </c>
      <c r="I4868" s="3" t="n">
        <v>0</v>
      </c>
      <c r="J4868" s="3" t="n">
        <v>0</v>
      </c>
      <c r="K4868" s="3" t="n">
        <v>0</v>
      </c>
      <c r="L4868" s="3" t="inlineStr">
        <is>
          <t>BOM</t>
        </is>
      </c>
    </row>
    <row r="4869">
      <c r="A4869" s="10" t="n">
        <v>46177</v>
      </c>
      <c r="B4869" t="inlineStr">
        <is>
          <t>Leandro Oliveira de Sousa</t>
        </is>
      </c>
      <c r="C4869" t="inlineStr">
        <is>
          <t>Técnico III</t>
        </is>
      </c>
      <c r="D4869" t="n">
        <v>0</v>
      </c>
      <c r="E4869" t="n">
        <v>0</v>
      </c>
      <c r="F4869" t="n">
        <v>0</v>
      </c>
      <c r="G4869" t="n">
        <v>0</v>
      </c>
      <c r="H4869" t="n">
        <v>0</v>
      </c>
      <c r="I4869" s="3" t="n">
        <v>0</v>
      </c>
      <c r="J4869" s="3" t="n">
        <v>0</v>
      </c>
      <c r="K4869" s="3" t="n">
        <v>0</v>
      </c>
      <c r="L4869" s="3" t="inlineStr">
        <is>
          <t>BOM</t>
        </is>
      </c>
    </row>
    <row r="4870">
      <c r="A4870" s="10" t="n">
        <v>46177</v>
      </c>
      <c r="B4870" t="inlineStr">
        <is>
          <t>Lizandra Gomes Duarte</t>
        </is>
      </c>
      <c r="C4870" t="inlineStr">
        <is>
          <t>Técnico II</t>
        </is>
      </c>
      <c r="D4870" t="n">
        <v>0</v>
      </c>
      <c r="E4870" t="n">
        <v>0</v>
      </c>
      <c r="F4870" t="n">
        <v>0</v>
      </c>
      <c r="G4870" t="n">
        <v>0</v>
      </c>
      <c r="H4870" t="n">
        <v>0</v>
      </c>
      <c r="I4870" s="3" t="n">
        <v>0</v>
      </c>
      <c r="J4870" s="3" t="n">
        <v>0</v>
      </c>
      <c r="K4870" s="3" t="n">
        <v>0</v>
      </c>
      <c r="L4870" s="3" t="inlineStr">
        <is>
          <t>BOM</t>
        </is>
      </c>
    </row>
    <row r="4871">
      <c r="A4871" s="10" t="n">
        <v>46177</v>
      </c>
      <c r="B4871" t="inlineStr">
        <is>
          <t>Lorena Dias de Araujo</t>
        </is>
      </c>
      <c r="C4871" t="inlineStr">
        <is>
          <t>Técnico II</t>
        </is>
      </c>
      <c r="D4871" t="n">
        <v>0</v>
      </c>
      <c r="E4871" t="n">
        <v>0</v>
      </c>
      <c r="F4871" t="n">
        <v>0</v>
      </c>
      <c r="G4871" t="n">
        <v>0</v>
      </c>
      <c r="H4871" t="n">
        <v>0</v>
      </c>
      <c r="I4871" s="3" t="n">
        <v>0</v>
      </c>
      <c r="J4871" s="3" t="n">
        <v>0</v>
      </c>
      <c r="K4871" s="3" t="n">
        <v>0</v>
      </c>
      <c r="L4871" s="3" t="inlineStr">
        <is>
          <t>BOM</t>
        </is>
      </c>
    </row>
    <row r="4872">
      <c r="A4872" s="10" t="n">
        <v>46177</v>
      </c>
      <c r="B4872" t="inlineStr">
        <is>
          <t>Lucas Luiz Romero</t>
        </is>
      </c>
      <c r="C4872" t="inlineStr">
        <is>
          <t>Técnico III</t>
        </is>
      </c>
      <c r="D4872" t="n">
        <v>0</v>
      </c>
      <c r="E4872" t="n">
        <v>0</v>
      </c>
      <c r="F4872" t="n">
        <v>0</v>
      </c>
      <c r="G4872" t="n">
        <v>0</v>
      </c>
      <c r="H4872" t="n">
        <v>0</v>
      </c>
      <c r="I4872" s="3" t="n">
        <v>0</v>
      </c>
      <c r="J4872" s="3" t="n">
        <v>0</v>
      </c>
      <c r="K4872" s="3" t="n">
        <v>0</v>
      </c>
      <c r="L4872" s="3" t="inlineStr">
        <is>
          <t>BOM</t>
        </is>
      </c>
    </row>
    <row r="4873">
      <c r="A4873" s="10" t="n">
        <v>46177</v>
      </c>
      <c r="B4873" t="inlineStr">
        <is>
          <t>Luiz Fernando de Carvalho Junior</t>
        </is>
      </c>
      <c r="C4873" t="inlineStr">
        <is>
          <t>Técnico I</t>
        </is>
      </c>
      <c r="D4873" t="n">
        <v>0</v>
      </c>
      <c r="E4873" t="n">
        <v>0</v>
      </c>
      <c r="F4873" t="n">
        <v>0</v>
      </c>
      <c r="G4873" t="n">
        <v>0</v>
      </c>
      <c r="H4873" t="n">
        <v>0</v>
      </c>
      <c r="I4873" s="3" t="n">
        <v>0</v>
      </c>
      <c r="J4873" s="3" t="n">
        <v>0</v>
      </c>
      <c r="K4873" s="3" t="n">
        <v>0</v>
      </c>
      <c r="L4873" s="3" t="inlineStr">
        <is>
          <t>BOM</t>
        </is>
      </c>
    </row>
    <row r="4874">
      <c r="A4874" s="10" t="n">
        <v>46177</v>
      </c>
      <c r="B4874" t="inlineStr">
        <is>
          <t>Matheus Farias De Souza</t>
        </is>
      </c>
      <c r="C4874" t="inlineStr">
        <is>
          <t>Técnico III</t>
        </is>
      </c>
      <c r="D4874" t="n">
        <v>0</v>
      </c>
      <c r="E4874" t="n">
        <v>0</v>
      </c>
      <c r="F4874" t="n">
        <v>0</v>
      </c>
      <c r="G4874" t="n">
        <v>0</v>
      </c>
      <c r="H4874" t="n">
        <v>0</v>
      </c>
      <c r="I4874" s="3" t="n">
        <v>0</v>
      </c>
      <c r="J4874" s="3" t="n">
        <v>0</v>
      </c>
      <c r="K4874" s="3" t="n">
        <v>0</v>
      </c>
      <c r="L4874" s="3" t="inlineStr">
        <is>
          <t>BOM</t>
        </is>
      </c>
    </row>
    <row r="4875">
      <c r="A4875" s="10" t="n">
        <v>46177</v>
      </c>
      <c r="B4875" t="inlineStr">
        <is>
          <t>Maysa Victoria Dias Moura</t>
        </is>
      </c>
      <c r="C4875" t="inlineStr">
        <is>
          <t>Técnico III</t>
        </is>
      </c>
      <c r="D4875" t="n">
        <v>0</v>
      </c>
      <c r="E4875" t="n">
        <v>0</v>
      </c>
      <c r="F4875" t="n">
        <v>0</v>
      </c>
      <c r="G4875" t="n">
        <v>0</v>
      </c>
      <c r="H4875" t="n">
        <v>0</v>
      </c>
      <c r="I4875" s="3" t="n">
        <v>0</v>
      </c>
      <c r="J4875" s="3" t="n">
        <v>0</v>
      </c>
      <c r="K4875" s="3" t="n">
        <v>0</v>
      </c>
      <c r="L4875" s="3" t="inlineStr">
        <is>
          <t>BOM</t>
        </is>
      </c>
    </row>
    <row r="4876">
      <c r="A4876" s="10" t="n">
        <v>46177</v>
      </c>
      <c r="B4876" t="inlineStr">
        <is>
          <t>Patrícia Karla de Sousa Araújo</t>
        </is>
      </c>
      <c r="C4876" t="inlineStr">
        <is>
          <t>Técnico II</t>
        </is>
      </c>
      <c r="D4876" t="n">
        <v>0</v>
      </c>
      <c r="E4876" t="n">
        <v>0</v>
      </c>
      <c r="F4876" t="n">
        <v>0</v>
      </c>
      <c r="G4876" t="n">
        <v>0</v>
      </c>
      <c r="H4876" t="n">
        <v>0</v>
      </c>
      <c r="I4876" s="3" t="n">
        <v>0</v>
      </c>
      <c r="J4876" s="3" t="n">
        <v>0</v>
      </c>
      <c r="K4876" s="3" t="n">
        <v>0</v>
      </c>
      <c r="L4876" s="3" t="inlineStr">
        <is>
          <t>BOM</t>
        </is>
      </c>
    </row>
    <row r="4877">
      <c r="A4877" s="10" t="n">
        <v>46177</v>
      </c>
      <c r="B4877" t="inlineStr">
        <is>
          <t>Raane Batista Matos</t>
        </is>
      </c>
      <c r="C4877" t="inlineStr">
        <is>
          <t>Técnico I</t>
        </is>
      </c>
      <c r="D4877" t="n">
        <v>0</v>
      </c>
      <c r="E4877" t="n">
        <v>0</v>
      </c>
      <c r="F4877" t="n">
        <v>0</v>
      </c>
      <c r="G4877" t="n">
        <v>0</v>
      </c>
      <c r="H4877" t="n">
        <v>0</v>
      </c>
      <c r="I4877" s="3" t="n">
        <v>0</v>
      </c>
      <c r="J4877" s="3" t="n">
        <v>0</v>
      </c>
      <c r="K4877" s="3" t="n">
        <v>0</v>
      </c>
      <c r="L4877" s="3" t="inlineStr">
        <is>
          <t>BOM</t>
        </is>
      </c>
    </row>
    <row r="4878">
      <c r="A4878" s="10" t="n">
        <v>46177</v>
      </c>
      <c r="B4878" t="inlineStr">
        <is>
          <t>Rafael Gomes de Morais</t>
        </is>
      </c>
      <c r="C4878" t="inlineStr">
        <is>
          <t>Técnico III</t>
        </is>
      </c>
      <c r="D4878" t="n">
        <v>0</v>
      </c>
      <c r="E4878" t="n">
        <v>0</v>
      </c>
      <c r="F4878" t="n">
        <v>0</v>
      </c>
      <c r="G4878" t="n">
        <v>0</v>
      </c>
      <c r="H4878" t="n">
        <v>0</v>
      </c>
      <c r="I4878" s="3" t="n">
        <v>0</v>
      </c>
      <c r="J4878" s="3" t="n">
        <v>0</v>
      </c>
      <c r="K4878" s="3" t="n">
        <v>0</v>
      </c>
      <c r="L4878" s="3" t="inlineStr">
        <is>
          <t>BOM</t>
        </is>
      </c>
    </row>
    <row r="4879">
      <c r="A4879" s="10" t="n">
        <v>46177</v>
      </c>
      <c r="B4879" t="inlineStr">
        <is>
          <t>Sara Maria Monteiro Lopes</t>
        </is>
      </c>
      <c r="C4879" t="inlineStr">
        <is>
          <t>Técnico I</t>
        </is>
      </c>
      <c r="D4879" t="n">
        <v>0</v>
      </c>
      <c r="E4879" t="n">
        <v>0</v>
      </c>
      <c r="F4879" t="n">
        <v>0</v>
      </c>
      <c r="G4879" t="n">
        <v>0</v>
      </c>
      <c r="H4879" t="n">
        <v>0</v>
      </c>
      <c r="I4879" s="3" t="n">
        <v>0</v>
      </c>
      <c r="J4879" s="3" t="n">
        <v>0</v>
      </c>
      <c r="K4879" s="3" t="n">
        <v>0</v>
      </c>
      <c r="L4879" s="3" t="inlineStr">
        <is>
          <t>BOM</t>
        </is>
      </c>
    </row>
    <row r="4880">
      <c r="A4880" s="10" t="n">
        <v>46177</v>
      </c>
      <c r="B4880" t="inlineStr">
        <is>
          <t>Sarah Steffanie de Lima Borges</t>
        </is>
      </c>
      <c r="C4880" t="inlineStr">
        <is>
          <t>Técnico III</t>
        </is>
      </c>
      <c r="D4880" t="n">
        <v>0</v>
      </c>
      <c r="E4880" t="n">
        <v>0</v>
      </c>
      <c r="F4880" t="n">
        <v>0</v>
      </c>
      <c r="G4880" t="n">
        <v>0</v>
      </c>
      <c r="H4880" t="n">
        <v>0</v>
      </c>
      <c r="I4880" s="3" t="n">
        <v>0</v>
      </c>
      <c r="J4880" s="3" t="n">
        <v>0</v>
      </c>
      <c r="K4880" s="3" t="n">
        <v>0</v>
      </c>
      <c r="L4880" s="3" t="inlineStr">
        <is>
          <t>BOM</t>
        </is>
      </c>
    </row>
    <row r="4881">
      <c r="I4881" s="3">
        <f>E4881+G4881+H4881</f>
        <v/>
      </c>
      <c r="J4881" s="3">
        <f>ROUND(MIN(IF(C4881="Técnico III",35,IF(C4881="Técnico II",28,IF(C4881="Técnico I",23,IF(C4881="JR",20,IF(C4881="Estágio",10,0))))),IF(C4881="Técnico III",SUMIFS($D:$D,$A:$A,$A4881,$B:$B,"&lt;&gt;Patrícia Karla de Sousa Araújo",$B:$B,"&lt;&gt;Lorena Dias de Araujo",$B:$B,"&lt;&gt;Lucas Luiz Romero")*(35/1083),IF(C4881="Técnico II",SUMIFS($D:$D,$A:$A,$A4881,$B:$B,"&lt;&gt;Patrícia Karla de Sousa Araújo",$B:$B,"&lt;&gt;Lorena Dias de Araujo",$B:$B,"&lt;&gt;Lucas Luiz Romero")*(28/1083),IF(C4881="Técnico I",SUMIFS($D:$D,$A:$A,$A4881,$B:$B,"&lt;&gt;Patrícia Karla de Sousa Araújo",$B:$B,"&lt;&gt;Lorena Dias de Araujo",$B:$B,"&lt;&gt;Lucas Luiz Romero")*(23/1083),IF(C4881="JR",SUMIFS($D:$D,$A:$A,$A4881,$B:$B,"&lt;&gt;Patrícia Karla de Sousa Araújo",$B:$B,"&lt;&gt;Lorena Dias de Araujo",$B:$B,"&lt;&gt;Lucas Luiz Romero")*(20/1083),IF(C4881="Estágio",SUMIFS($D:$D,$A:$A,$A4881,$B:$B,"&lt;&gt;Patrícia Karla de Sousa Araújo",$B:$B,"&lt;&gt;Lorena Dias de Araujo",$B:$B,"&lt;&gt;Lucas Luiz Romero")*(10/1083),0)))))),0)</f>
        <v/>
      </c>
      <c r="K4881" s="3">
        <f>I4881-J4881</f>
        <v/>
      </c>
      <c r="L4881" s="3">
        <f>IF(K4881&lt;-5,"CRÍTICO",IF(K4881&lt;0,"ATENÇÃO",IF(K4881&lt;=5,"OPORTUNO","MUITO BOM")))</f>
        <v/>
      </c>
    </row>
    <row r="4882">
      <c r="I4882" s="3">
        <f>E4882+G4882+H4882</f>
        <v/>
      </c>
      <c r="J4882" s="3">
        <f>ROUND(MIN(IF(C4882="Técnico III",35,IF(C4882="Técnico II",28,IF(C4882="Técnico I",23,IF(C4882="JR",20,IF(C4882="Estágio",10,0))))),IF(C4882="Técnico III",SUMIFS($D:$D,$A:$A,$A4882,$B:$B,"&lt;&gt;Patrícia Karla de Sousa Araújo",$B:$B,"&lt;&gt;Lorena Dias de Araujo",$B:$B,"&lt;&gt;Lucas Luiz Romero")*(35/1083),IF(C4882="Técnico II",SUMIFS($D:$D,$A:$A,$A4882,$B:$B,"&lt;&gt;Patrícia Karla de Sousa Araújo",$B:$B,"&lt;&gt;Lorena Dias de Araujo",$B:$B,"&lt;&gt;Lucas Luiz Romero")*(28/1083),IF(C4882="Técnico I",SUMIFS($D:$D,$A:$A,$A4882,$B:$B,"&lt;&gt;Patrícia Karla de Sousa Araújo",$B:$B,"&lt;&gt;Lorena Dias de Araujo",$B:$B,"&lt;&gt;Lucas Luiz Romero")*(23/1083),IF(C4882="JR",SUMIFS($D:$D,$A:$A,$A4882,$B:$B,"&lt;&gt;Patrícia Karla de Sousa Araújo",$B:$B,"&lt;&gt;Lorena Dias de Araujo",$B:$B,"&lt;&gt;Lucas Luiz Romero")*(20/1083),IF(C4882="Estágio",SUMIFS($D:$D,$A:$A,$A4882,$B:$B,"&lt;&gt;Patrícia Karla de Sousa Araújo",$B:$B,"&lt;&gt;Lorena Dias de Araujo",$B:$B,"&lt;&gt;Lucas Luiz Romero")*(10/1083),0)))))),0)</f>
        <v/>
      </c>
      <c r="K4882" s="3">
        <f>I4882-J4882</f>
        <v/>
      </c>
      <c r="L4882" s="3">
        <f>IF(K4882&lt;-5,"CRÍTICO",IF(K4882&lt;0,"ATENÇÃO",IF(K4882&lt;=5,"OPORTUNO","MUITO BOM")))</f>
        <v/>
      </c>
    </row>
    <row r="4883">
      <c r="I4883" s="3">
        <f>E4883+G4883+H4883</f>
        <v/>
      </c>
      <c r="J4883" s="3">
        <f>ROUND(MIN(IF(C4883="Técnico III",35,IF(C4883="Técnico II",28,IF(C4883="Técnico I",23,IF(C4883="JR",20,IF(C4883="Estágio",10,0))))),IF(C4883="Técnico III",SUMIFS($D:$D,$A:$A,$A4883,$B:$B,"&lt;&gt;Patrícia Karla de Sousa Araújo",$B:$B,"&lt;&gt;Lorena Dias de Araujo",$B:$B,"&lt;&gt;Lucas Luiz Romero")*(35/1083),IF(C4883="Técnico II",SUMIFS($D:$D,$A:$A,$A4883,$B:$B,"&lt;&gt;Patrícia Karla de Sousa Araújo",$B:$B,"&lt;&gt;Lorena Dias de Araujo",$B:$B,"&lt;&gt;Lucas Luiz Romero")*(28/1083),IF(C4883="Técnico I",SUMIFS($D:$D,$A:$A,$A4883,$B:$B,"&lt;&gt;Patrícia Karla de Sousa Araújo",$B:$B,"&lt;&gt;Lorena Dias de Araujo",$B:$B,"&lt;&gt;Lucas Luiz Romero")*(23/1083),IF(C4883="JR",SUMIFS($D:$D,$A:$A,$A4883,$B:$B,"&lt;&gt;Patrícia Karla de Sousa Araújo",$B:$B,"&lt;&gt;Lorena Dias de Araujo",$B:$B,"&lt;&gt;Lucas Luiz Romero")*(20/1083),IF(C4883="Estágio",SUMIFS($D:$D,$A:$A,$A4883,$B:$B,"&lt;&gt;Patrícia Karla de Sousa Araújo",$B:$B,"&lt;&gt;Lorena Dias de Araujo",$B:$B,"&lt;&gt;Lucas Luiz Romero")*(10/1083),0)))))),0)</f>
        <v/>
      </c>
      <c r="K4883" s="3">
        <f>I4883-J4883</f>
        <v/>
      </c>
      <c r="L4883" s="3">
        <f>IF(K4883&lt;-5,"CRÍTICO",IF(K4883&lt;0,"ATENÇÃO",IF(K4883&lt;=5,"OPORTUNO","MUITO BOM")))</f>
        <v/>
      </c>
    </row>
    <row r="4884">
      <c r="I4884" s="3">
        <f>E4884+G4884+H4884</f>
        <v/>
      </c>
      <c r="J4884" s="3">
        <f>ROUND(MIN(IF(C4884="Técnico III",35,IF(C4884="Técnico II",28,IF(C4884="Técnico I",23,IF(C4884="JR",20,IF(C4884="Estágio",10,0))))),IF(C4884="Técnico III",SUMIFS($D:$D,$A:$A,$A4884,$B:$B,"&lt;&gt;Patrícia Karla de Sousa Araújo",$B:$B,"&lt;&gt;Lorena Dias de Araujo",$B:$B,"&lt;&gt;Lucas Luiz Romero")*(35/1083),IF(C4884="Técnico II",SUMIFS($D:$D,$A:$A,$A4884,$B:$B,"&lt;&gt;Patrícia Karla de Sousa Araújo",$B:$B,"&lt;&gt;Lorena Dias de Araujo",$B:$B,"&lt;&gt;Lucas Luiz Romero")*(28/1083),IF(C4884="Técnico I",SUMIFS($D:$D,$A:$A,$A4884,$B:$B,"&lt;&gt;Patrícia Karla de Sousa Araújo",$B:$B,"&lt;&gt;Lorena Dias de Araujo",$B:$B,"&lt;&gt;Lucas Luiz Romero")*(23/1083),IF(C4884="JR",SUMIFS($D:$D,$A:$A,$A4884,$B:$B,"&lt;&gt;Patrícia Karla de Sousa Araújo",$B:$B,"&lt;&gt;Lorena Dias de Araujo",$B:$B,"&lt;&gt;Lucas Luiz Romero")*(20/1083),IF(C4884="Estágio",SUMIFS($D:$D,$A:$A,$A4884,$B:$B,"&lt;&gt;Patrícia Karla de Sousa Araújo",$B:$B,"&lt;&gt;Lorena Dias de Araujo",$B:$B,"&lt;&gt;Lucas Luiz Romero")*(10/1083),0)))))),0)</f>
        <v/>
      </c>
      <c r="K4884" s="3">
        <f>I4884-J4884</f>
        <v/>
      </c>
      <c r="L4884" s="3">
        <f>IF(K4884&lt;-5,"CRÍTICO",IF(K4884&lt;0,"ATENÇÃO",IF(K4884&lt;=5,"OPORTUNO","MUITO BOM")))</f>
        <v/>
      </c>
    </row>
    <row r="4885">
      <c r="I4885" s="3">
        <f>E4885+G4885+H4885</f>
        <v/>
      </c>
      <c r="J4885" s="3">
        <f>ROUND(MIN(IF(C4885="Técnico III",35,IF(C4885="Técnico II",28,IF(C4885="Técnico I",23,IF(C4885="JR",20,IF(C4885="Estágio",10,0))))),IF(C4885="Técnico III",SUMIFS($D:$D,$A:$A,$A4885,$B:$B,"&lt;&gt;Patrícia Karla de Sousa Araújo",$B:$B,"&lt;&gt;Lorena Dias de Araujo",$B:$B,"&lt;&gt;Lucas Luiz Romero")*(35/1083),IF(C4885="Técnico II",SUMIFS($D:$D,$A:$A,$A4885,$B:$B,"&lt;&gt;Patrícia Karla de Sousa Araújo",$B:$B,"&lt;&gt;Lorena Dias de Araujo",$B:$B,"&lt;&gt;Lucas Luiz Romero")*(28/1083),IF(C4885="Técnico I",SUMIFS($D:$D,$A:$A,$A4885,$B:$B,"&lt;&gt;Patrícia Karla de Sousa Araújo",$B:$B,"&lt;&gt;Lorena Dias de Araujo",$B:$B,"&lt;&gt;Lucas Luiz Romero")*(23/1083),IF(C4885="JR",SUMIFS($D:$D,$A:$A,$A4885,$B:$B,"&lt;&gt;Patrícia Karla de Sousa Araújo",$B:$B,"&lt;&gt;Lorena Dias de Araujo",$B:$B,"&lt;&gt;Lucas Luiz Romero")*(20/1083),IF(C4885="Estágio",SUMIFS($D:$D,$A:$A,$A4885,$B:$B,"&lt;&gt;Patrícia Karla de Sousa Araújo",$B:$B,"&lt;&gt;Lorena Dias de Araujo",$B:$B,"&lt;&gt;Lucas Luiz Romero")*(10/1083),0)))))),0)</f>
        <v/>
      </c>
      <c r="K4885" s="3">
        <f>I4885-J4885</f>
        <v/>
      </c>
      <c r="L4885" s="3">
        <f>IF(K4885&lt;-5,"CRÍTICO",IF(K4885&lt;0,"ATENÇÃO",IF(K4885&lt;=5,"OPORTUNO","MUITO BOM")))</f>
        <v/>
      </c>
    </row>
    <row r="4886">
      <c r="I4886" s="3">
        <f>E4886+G4886+H4886</f>
        <v/>
      </c>
      <c r="J4886" s="3">
        <f>ROUND(MIN(IF(C4886="Técnico III",35,IF(C4886="Técnico II",28,IF(C4886="Técnico I",23,IF(C4886="JR",20,IF(C4886="Estágio",10,0))))),IF(C4886="Técnico III",SUMIFS($D:$D,$A:$A,$A4886,$B:$B,"&lt;&gt;Patrícia Karla de Sousa Araújo",$B:$B,"&lt;&gt;Lorena Dias de Araujo",$B:$B,"&lt;&gt;Lucas Luiz Romero")*(35/1083),IF(C4886="Técnico II",SUMIFS($D:$D,$A:$A,$A4886,$B:$B,"&lt;&gt;Patrícia Karla de Sousa Araújo",$B:$B,"&lt;&gt;Lorena Dias de Araujo",$B:$B,"&lt;&gt;Lucas Luiz Romero")*(28/1083),IF(C4886="Técnico I",SUMIFS($D:$D,$A:$A,$A4886,$B:$B,"&lt;&gt;Patrícia Karla de Sousa Araújo",$B:$B,"&lt;&gt;Lorena Dias de Araujo",$B:$B,"&lt;&gt;Lucas Luiz Romero")*(23/1083),IF(C4886="JR",SUMIFS($D:$D,$A:$A,$A4886,$B:$B,"&lt;&gt;Patrícia Karla de Sousa Araújo",$B:$B,"&lt;&gt;Lorena Dias de Araujo",$B:$B,"&lt;&gt;Lucas Luiz Romero")*(20/1083),IF(C4886="Estágio",SUMIFS($D:$D,$A:$A,$A4886,$B:$B,"&lt;&gt;Patrícia Karla de Sousa Araújo",$B:$B,"&lt;&gt;Lorena Dias de Araujo",$B:$B,"&lt;&gt;Lucas Luiz Romero")*(10/1083),0)))))),0)</f>
        <v/>
      </c>
      <c r="K4886" s="3">
        <f>I4886-J4886</f>
        <v/>
      </c>
      <c r="L4886" s="3">
        <f>IF(K4886&lt;-5,"CRÍTICO",IF(K4886&lt;0,"ATENÇÃO",IF(K4886&lt;=5,"OPORTUNO","MUITO BOM")))</f>
        <v/>
      </c>
    </row>
    <row r="4887">
      <c r="I4887" s="3">
        <f>E4887+G4887+H4887</f>
        <v/>
      </c>
      <c r="J4887" s="3">
        <f>ROUND(MIN(IF(C4887="Técnico III",35,IF(C4887="Técnico II",28,IF(C4887="Técnico I",23,IF(C4887="JR",20,IF(C4887="Estágio",10,0))))),IF(C4887="Técnico III",SUMIFS($D:$D,$A:$A,$A4887,$B:$B,"&lt;&gt;Patrícia Karla de Sousa Araújo",$B:$B,"&lt;&gt;Lorena Dias de Araujo",$B:$B,"&lt;&gt;Lucas Luiz Romero")*(35/1083),IF(C4887="Técnico II",SUMIFS($D:$D,$A:$A,$A4887,$B:$B,"&lt;&gt;Patrícia Karla de Sousa Araújo",$B:$B,"&lt;&gt;Lorena Dias de Araujo",$B:$B,"&lt;&gt;Lucas Luiz Romero")*(28/1083),IF(C4887="Técnico I",SUMIFS($D:$D,$A:$A,$A4887,$B:$B,"&lt;&gt;Patrícia Karla de Sousa Araújo",$B:$B,"&lt;&gt;Lorena Dias de Araujo",$B:$B,"&lt;&gt;Lucas Luiz Romero")*(23/1083),IF(C4887="JR",SUMIFS($D:$D,$A:$A,$A4887,$B:$B,"&lt;&gt;Patrícia Karla de Sousa Araújo",$B:$B,"&lt;&gt;Lorena Dias de Araujo",$B:$B,"&lt;&gt;Lucas Luiz Romero")*(20/1083),IF(C4887="Estágio",SUMIFS($D:$D,$A:$A,$A4887,$B:$B,"&lt;&gt;Patrícia Karla de Sousa Araújo",$B:$B,"&lt;&gt;Lorena Dias de Araujo",$B:$B,"&lt;&gt;Lucas Luiz Romero")*(10/1083),0)))))),0)</f>
        <v/>
      </c>
      <c r="K4887" s="3">
        <f>I4887-J4887</f>
        <v/>
      </c>
      <c r="L4887" s="3">
        <f>IF(K4887&lt;-5,"CRÍTICO",IF(K4887&lt;0,"ATENÇÃO",IF(K4887&lt;=5,"OPORTUNO","MUITO BOM")))</f>
        <v/>
      </c>
    </row>
    <row r="4888">
      <c r="I4888" s="3">
        <f>E4888+G4888+H4888</f>
        <v/>
      </c>
      <c r="J4888" s="3">
        <f>ROUND(MIN(IF(C4888="Técnico III",35,IF(C4888="Técnico II",28,IF(C4888="Técnico I",23,IF(C4888="JR",20,IF(C4888="Estágio",10,0))))),IF(C4888="Técnico III",SUMIFS($D:$D,$A:$A,$A4888,$B:$B,"&lt;&gt;Patrícia Karla de Sousa Araújo",$B:$B,"&lt;&gt;Lorena Dias de Araujo",$B:$B,"&lt;&gt;Lucas Luiz Romero")*(35/1083),IF(C4888="Técnico II",SUMIFS($D:$D,$A:$A,$A4888,$B:$B,"&lt;&gt;Patrícia Karla de Sousa Araújo",$B:$B,"&lt;&gt;Lorena Dias de Araujo",$B:$B,"&lt;&gt;Lucas Luiz Romero")*(28/1083),IF(C4888="Técnico I",SUMIFS($D:$D,$A:$A,$A4888,$B:$B,"&lt;&gt;Patrícia Karla de Sousa Araújo",$B:$B,"&lt;&gt;Lorena Dias de Araujo",$B:$B,"&lt;&gt;Lucas Luiz Romero")*(23/1083),IF(C4888="JR",SUMIFS($D:$D,$A:$A,$A4888,$B:$B,"&lt;&gt;Patrícia Karla de Sousa Araújo",$B:$B,"&lt;&gt;Lorena Dias de Araujo",$B:$B,"&lt;&gt;Lucas Luiz Romero")*(20/1083),IF(C4888="Estágio",SUMIFS($D:$D,$A:$A,$A4888,$B:$B,"&lt;&gt;Patrícia Karla de Sousa Araújo",$B:$B,"&lt;&gt;Lorena Dias de Araujo",$B:$B,"&lt;&gt;Lucas Luiz Romero")*(10/1083),0)))))),0)</f>
        <v/>
      </c>
      <c r="K4888" s="3">
        <f>I4888-J4888</f>
        <v/>
      </c>
      <c r="L4888" s="3">
        <f>IF(K4888&lt;-5,"CRÍTICO",IF(K4888&lt;0,"ATENÇÃO",IF(K4888&lt;=5,"OPORTUNO","MUITO BOM")))</f>
        <v/>
      </c>
    </row>
    <row r="4889">
      <c r="I4889" s="3">
        <f>E4889+G4889+H4889</f>
        <v/>
      </c>
      <c r="J4889" s="3">
        <f>ROUND(MIN(IF(C4889="Técnico III",35,IF(C4889="Técnico II",28,IF(C4889="Técnico I",23,IF(C4889="JR",20,IF(C4889="Estágio",10,0))))),IF(C4889="Técnico III",SUMIFS($D:$D,$A:$A,$A4889,$B:$B,"&lt;&gt;Patrícia Karla de Sousa Araújo",$B:$B,"&lt;&gt;Lorena Dias de Araujo",$B:$B,"&lt;&gt;Lucas Luiz Romero")*(35/1083),IF(C4889="Técnico II",SUMIFS($D:$D,$A:$A,$A4889,$B:$B,"&lt;&gt;Patrícia Karla de Sousa Araújo",$B:$B,"&lt;&gt;Lorena Dias de Araujo",$B:$B,"&lt;&gt;Lucas Luiz Romero")*(28/1083),IF(C4889="Técnico I",SUMIFS($D:$D,$A:$A,$A4889,$B:$B,"&lt;&gt;Patrícia Karla de Sousa Araújo",$B:$B,"&lt;&gt;Lorena Dias de Araujo",$B:$B,"&lt;&gt;Lucas Luiz Romero")*(23/1083),IF(C4889="JR",SUMIFS($D:$D,$A:$A,$A4889,$B:$B,"&lt;&gt;Patrícia Karla de Sousa Araújo",$B:$B,"&lt;&gt;Lorena Dias de Araujo",$B:$B,"&lt;&gt;Lucas Luiz Romero")*(20/1083),IF(C4889="Estágio",SUMIFS($D:$D,$A:$A,$A4889,$B:$B,"&lt;&gt;Patrícia Karla de Sousa Araújo",$B:$B,"&lt;&gt;Lorena Dias de Araujo",$B:$B,"&lt;&gt;Lucas Luiz Romero")*(10/1083),0)))))),0)</f>
        <v/>
      </c>
      <c r="K4889" s="3">
        <f>I4889-J4889</f>
        <v/>
      </c>
      <c r="L4889" s="3">
        <f>IF(K4889&lt;-5,"CRÍTICO",IF(K4889&lt;0,"ATENÇÃO",IF(K4889&lt;=5,"OPORTUNO","MUITO BOM")))</f>
        <v/>
      </c>
    </row>
    <row r="4890">
      <c r="I4890" s="3">
        <f>E4890+G4890+H4890</f>
        <v/>
      </c>
      <c r="J4890" s="3">
        <f>ROUND(MIN(IF(C4890="Técnico III",35,IF(C4890="Técnico II",28,IF(C4890="Técnico I",23,IF(C4890="JR",20,IF(C4890="Estágio",10,0))))),IF(C4890="Técnico III",SUMIFS($D:$D,$A:$A,$A4890,$B:$B,"&lt;&gt;Patrícia Karla de Sousa Araújo",$B:$B,"&lt;&gt;Lorena Dias de Araujo",$B:$B,"&lt;&gt;Lucas Luiz Romero")*(35/1083),IF(C4890="Técnico II",SUMIFS($D:$D,$A:$A,$A4890,$B:$B,"&lt;&gt;Patrícia Karla de Sousa Araújo",$B:$B,"&lt;&gt;Lorena Dias de Araujo",$B:$B,"&lt;&gt;Lucas Luiz Romero")*(28/1083),IF(C4890="Técnico I",SUMIFS($D:$D,$A:$A,$A4890,$B:$B,"&lt;&gt;Patrícia Karla de Sousa Araújo",$B:$B,"&lt;&gt;Lorena Dias de Araujo",$B:$B,"&lt;&gt;Lucas Luiz Romero")*(23/1083),IF(C4890="JR",SUMIFS($D:$D,$A:$A,$A4890,$B:$B,"&lt;&gt;Patrícia Karla de Sousa Araújo",$B:$B,"&lt;&gt;Lorena Dias de Araujo",$B:$B,"&lt;&gt;Lucas Luiz Romero")*(20/1083),IF(C4890="Estágio",SUMIFS($D:$D,$A:$A,$A4890,$B:$B,"&lt;&gt;Patrícia Karla de Sousa Araújo",$B:$B,"&lt;&gt;Lorena Dias de Araujo",$B:$B,"&lt;&gt;Lucas Luiz Romero")*(10/1083),0)))))),0)</f>
        <v/>
      </c>
      <c r="K4890" s="3">
        <f>I4890-J4890</f>
        <v/>
      </c>
      <c r="L4890" s="3">
        <f>IF(K4890&lt;-5,"CRÍTICO",IF(K4890&lt;0,"ATENÇÃO",IF(K4890&lt;=5,"OPORTUNO","MUITO BOM")))</f>
        <v/>
      </c>
    </row>
    <row r="4891">
      <c r="I4891" s="3">
        <f>E4891+G4891+H4891</f>
        <v/>
      </c>
      <c r="J4891" s="3">
        <f>ROUND(MIN(IF(C4891="Técnico III",35,IF(C4891="Técnico II",28,IF(C4891="Técnico I",23,IF(C4891="JR",20,IF(C4891="Estágio",10,0))))),IF(C4891="Técnico III",SUMIFS($D:$D,$A:$A,$A4891,$B:$B,"&lt;&gt;Patrícia Karla de Sousa Araújo",$B:$B,"&lt;&gt;Lorena Dias de Araujo",$B:$B,"&lt;&gt;Lucas Luiz Romero")*(35/1083),IF(C4891="Técnico II",SUMIFS($D:$D,$A:$A,$A4891,$B:$B,"&lt;&gt;Patrícia Karla de Sousa Araújo",$B:$B,"&lt;&gt;Lorena Dias de Araujo",$B:$B,"&lt;&gt;Lucas Luiz Romero")*(28/1083),IF(C4891="Técnico I",SUMIFS($D:$D,$A:$A,$A4891,$B:$B,"&lt;&gt;Patrícia Karla de Sousa Araújo",$B:$B,"&lt;&gt;Lorena Dias de Araujo",$B:$B,"&lt;&gt;Lucas Luiz Romero")*(23/1083),IF(C4891="JR",SUMIFS($D:$D,$A:$A,$A4891,$B:$B,"&lt;&gt;Patrícia Karla de Sousa Araújo",$B:$B,"&lt;&gt;Lorena Dias de Araujo",$B:$B,"&lt;&gt;Lucas Luiz Romero")*(20/1083),IF(C4891="Estágio",SUMIFS($D:$D,$A:$A,$A4891,$B:$B,"&lt;&gt;Patrícia Karla de Sousa Araújo",$B:$B,"&lt;&gt;Lorena Dias de Araujo",$B:$B,"&lt;&gt;Lucas Luiz Romero")*(10/1083),0)))))),0)</f>
        <v/>
      </c>
      <c r="K4891" s="3">
        <f>I4891-J4891</f>
        <v/>
      </c>
      <c r="L4891" s="3">
        <f>IF(K4891&lt;-5,"CRÍTICO",IF(K4891&lt;0,"ATENÇÃO",IF(K4891&lt;=5,"OPORTUNO","MUITO BOM")))</f>
        <v/>
      </c>
    </row>
    <row r="4892">
      <c r="I4892" s="3">
        <f>E4892+G4892+H4892</f>
        <v/>
      </c>
      <c r="J4892" s="3">
        <f>ROUND(MIN(IF(C4892="Técnico III",35,IF(C4892="Técnico II",28,IF(C4892="Técnico I",23,IF(C4892="JR",20,IF(C4892="Estágio",10,0))))),IF(C4892="Técnico III",SUMIFS($D:$D,$A:$A,$A4892,$B:$B,"&lt;&gt;Patrícia Karla de Sousa Araújo",$B:$B,"&lt;&gt;Lorena Dias de Araujo",$B:$B,"&lt;&gt;Lucas Luiz Romero")*(35/1083),IF(C4892="Técnico II",SUMIFS($D:$D,$A:$A,$A4892,$B:$B,"&lt;&gt;Patrícia Karla de Sousa Araújo",$B:$B,"&lt;&gt;Lorena Dias de Araujo",$B:$B,"&lt;&gt;Lucas Luiz Romero")*(28/1083),IF(C4892="Técnico I",SUMIFS($D:$D,$A:$A,$A4892,$B:$B,"&lt;&gt;Patrícia Karla de Sousa Araújo",$B:$B,"&lt;&gt;Lorena Dias de Araujo",$B:$B,"&lt;&gt;Lucas Luiz Romero")*(23/1083),IF(C4892="JR",SUMIFS($D:$D,$A:$A,$A4892,$B:$B,"&lt;&gt;Patrícia Karla de Sousa Araújo",$B:$B,"&lt;&gt;Lorena Dias de Araujo",$B:$B,"&lt;&gt;Lucas Luiz Romero")*(20/1083),IF(C4892="Estágio",SUMIFS($D:$D,$A:$A,$A4892,$B:$B,"&lt;&gt;Patrícia Karla de Sousa Araújo",$B:$B,"&lt;&gt;Lorena Dias de Araujo",$B:$B,"&lt;&gt;Lucas Luiz Romero")*(10/1083),0)))))),0)</f>
        <v/>
      </c>
      <c r="K4892" s="3">
        <f>I4892-J4892</f>
        <v/>
      </c>
      <c r="L4892" s="3">
        <f>IF(K4892&lt;-5,"CRÍTICO",IF(K4892&lt;0,"ATENÇÃO",IF(K4892&lt;=5,"OPORTUNO","MUITO BOM")))</f>
        <v/>
      </c>
    </row>
    <row r="4893">
      <c r="I4893" s="3">
        <f>E4893+G4893+H4893</f>
        <v/>
      </c>
      <c r="J4893" s="3">
        <f>ROUND(MIN(IF(C4893="Técnico III",35,IF(C4893="Técnico II",28,IF(C4893="Técnico I",23,IF(C4893="JR",20,IF(C4893="Estágio",10,0))))),IF(C4893="Técnico III",SUMIFS($D:$D,$A:$A,$A4893,$B:$B,"&lt;&gt;Patrícia Karla de Sousa Araújo",$B:$B,"&lt;&gt;Lorena Dias de Araujo",$B:$B,"&lt;&gt;Lucas Luiz Romero")*(35/1083),IF(C4893="Técnico II",SUMIFS($D:$D,$A:$A,$A4893,$B:$B,"&lt;&gt;Patrícia Karla de Sousa Araújo",$B:$B,"&lt;&gt;Lorena Dias de Araujo",$B:$B,"&lt;&gt;Lucas Luiz Romero")*(28/1083),IF(C4893="Técnico I",SUMIFS($D:$D,$A:$A,$A4893,$B:$B,"&lt;&gt;Patrícia Karla de Sousa Araújo",$B:$B,"&lt;&gt;Lorena Dias de Araujo",$B:$B,"&lt;&gt;Lucas Luiz Romero")*(23/1083),IF(C4893="JR",SUMIFS($D:$D,$A:$A,$A4893,$B:$B,"&lt;&gt;Patrícia Karla de Sousa Araújo",$B:$B,"&lt;&gt;Lorena Dias de Araujo",$B:$B,"&lt;&gt;Lucas Luiz Romero")*(20/1083),IF(C4893="Estágio",SUMIFS($D:$D,$A:$A,$A4893,$B:$B,"&lt;&gt;Patrícia Karla de Sousa Araújo",$B:$B,"&lt;&gt;Lorena Dias de Araujo",$B:$B,"&lt;&gt;Lucas Luiz Romero")*(10/1083),0)))))),0)</f>
        <v/>
      </c>
      <c r="K4893" s="3">
        <f>I4893-J4893</f>
        <v/>
      </c>
      <c r="L4893" s="3">
        <f>IF(K4893&lt;-5,"CRÍTICO",IF(K4893&lt;0,"ATENÇÃO",IF(K4893&lt;=5,"OPORTUNO","MUITO BOM")))</f>
        <v/>
      </c>
    </row>
    <row r="4894">
      <c r="I4894" s="3">
        <f>E4894+G4894+H4894</f>
        <v/>
      </c>
      <c r="J4894" s="3">
        <f>ROUND(MIN(IF(C4894="Técnico III",35,IF(C4894="Técnico II",28,IF(C4894="Técnico I",23,IF(C4894="JR",20,IF(C4894="Estágio",10,0))))),IF(C4894="Técnico III",SUMIFS($D:$D,$A:$A,$A4894,$B:$B,"&lt;&gt;Patrícia Karla de Sousa Araújo",$B:$B,"&lt;&gt;Lorena Dias de Araujo",$B:$B,"&lt;&gt;Lucas Luiz Romero")*(35/1083),IF(C4894="Técnico II",SUMIFS($D:$D,$A:$A,$A4894,$B:$B,"&lt;&gt;Patrícia Karla de Sousa Araújo",$B:$B,"&lt;&gt;Lorena Dias de Araujo",$B:$B,"&lt;&gt;Lucas Luiz Romero")*(28/1083),IF(C4894="Técnico I",SUMIFS($D:$D,$A:$A,$A4894,$B:$B,"&lt;&gt;Patrícia Karla de Sousa Araújo",$B:$B,"&lt;&gt;Lorena Dias de Araujo",$B:$B,"&lt;&gt;Lucas Luiz Romero")*(23/1083),IF(C4894="JR",SUMIFS($D:$D,$A:$A,$A4894,$B:$B,"&lt;&gt;Patrícia Karla de Sousa Araújo",$B:$B,"&lt;&gt;Lorena Dias de Araujo",$B:$B,"&lt;&gt;Lucas Luiz Romero")*(20/1083),IF(C4894="Estágio",SUMIFS($D:$D,$A:$A,$A4894,$B:$B,"&lt;&gt;Patrícia Karla de Sousa Araújo",$B:$B,"&lt;&gt;Lorena Dias de Araujo",$B:$B,"&lt;&gt;Lucas Luiz Romero")*(10/1083),0)))))),0)</f>
        <v/>
      </c>
      <c r="K4894" s="3">
        <f>I4894-J4894</f>
        <v/>
      </c>
      <c r="L4894" s="3">
        <f>IF(K4894&lt;-5,"CRÍTICO",IF(K4894&lt;0,"ATENÇÃO",IF(K4894&lt;=5,"OPORTUNO","MUITO BOM")))</f>
        <v/>
      </c>
    </row>
    <row r="4895">
      <c r="I4895" s="3">
        <f>E4895+G4895+H4895</f>
        <v/>
      </c>
      <c r="J4895" s="3">
        <f>ROUND(MIN(IF(C4895="Técnico III",35,IF(C4895="Técnico II",28,IF(C4895="Técnico I",23,IF(C4895="JR",20,IF(C4895="Estágio",10,0))))),IF(C4895="Técnico III",SUMIFS($D:$D,$A:$A,$A4895,$B:$B,"&lt;&gt;Patrícia Karla de Sousa Araújo",$B:$B,"&lt;&gt;Lorena Dias de Araujo",$B:$B,"&lt;&gt;Lucas Luiz Romero")*(35/1083),IF(C4895="Técnico II",SUMIFS($D:$D,$A:$A,$A4895,$B:$B,"&lt;&gt;Patrícia Karla de Sousa Araújo",$B:$B,"&lt;&gt;Lorena Dias de Araujo",$B:$B,"&lt;&gt;Lucas Luiz Romero")*(28/1083),IF(C4895="Técnico I",SUMIFS($D:$D,$A:$A,$A4895,$B:$B,"&lt;&gt;Patrícia Karla de Sousa Araújo",$B:$B,"&lt;&gt;Lorena Dias de Araujo",$B:$B,"&lt;&gt;Lucas Luiz Romero")*(23/1083),IF(C4895="JR",SUMIFS($D:$D,$A:$A,$A4895,$B:$B,"&lt;&gt;Patrícia Karla de Sousa Araújo",$B:$B,"&lt;&gt;Lorena Dias de Araujo",$B:$B,"&lt;&gt;Lucas Luiz Romero")*(20/1083),IF(C4895="Estágio",SUMIFS($D:$D,$A:$A,$A4895,$B:$B,"&lt;&gt;Patrícia Karla de Sousa Araújo",$B:$B,"&lt;&gt;Lorena Dias de Araujo",$B:$B,"&lt;&gt;Lucas Luiz Romero")*(10/1083),0)))))),0)</f>
        <v/>
      </c>
      <c r="K4895" s="3">
        <f>I4895-J4895</f>
        <v/>
      </c>
      <c r="L4895" s="3">
        <f>IF(K4895&lt;-5,"CRÍTICO",IF(K4895&lt;0,"ATENÇÃO",IF(K4895&lt;=5,"OPORTUNO","MUITO BOM")))</f>
        <v/>
      </c>
    </row>
    <row r="4896">
      <c r="I4896" s="3">
        <f>E4896+G4896+H4896</f>
        <v/>
      </c>
      <c r="J4896" s="3">
        <f>ROUND(MIN(IF(C4896="Técnico III",35,IF(C4896="Técnico II",28,IF(C4896="Técnico I",23,IF(C4896="JR",20,IF(C4896="Estágio",10,0))))),IF(C4896="Técnico III",SUMIFS($D:$D,$A:$A,$A4896,$B:$B,"&lt;&gt;Patrícia Karla de Sousa Araújo",$B:$B,"&lt;&gt;Lorena Dias de Araujo",$B:$B,"&lt;&gt;Lucas Luiz Romero")*(35/1083),IF(C4896="Técnico II",SUMIFS($D:$D,$A:$A,$A4896,$B:$B,"&lt;&gt;Patrícia Karla de Sousa Araújo",$B:$B,"&lt;&gt;Lorena Dias de Araujo",$B:$B,"&lt;&gt;Lucas Luiz Romero")*(28/1083),IF(C4896="Técnico I",SUMIFS($D:$D,$A:$A,$A4896,$B:$B,"&lt;&gt;Patrícia Karla de Sousa Araújo",$B:$B,"&lt;&gt;Lorena Dias de Araujo",$B:$B,"&lt;&gt;Lucas Luiz Romero")*(23/1083),IF(C4896="JR",SUMIFS($D:$D,$A:$A,$A4896,$B:$B,"&lt;&gt;Patrícia Karla de Sousa Araújo",$B:$B,"&lt;&gt;Lorena Dias de Araujo",$B:$B,"&lt;&gt;Lucas Luiz Romero")*(20/1083),IF(C4896="Estágio",SUMIFS($D:$D,$A:$A,$A4896,$B:$B,"&lt;&gt;Patrícia Karla de Sousa Araújo",$B:$B,"&lt;&gt;Lorena Dias de Araujo",$B:$B,"&lt;&gt;Lucas Luiz Romero")*(10/1083),0)))))),0)</f>
        <v/>
      </c>
      <c r="K4896" s="3">
        <f>I4896-J4896</f>
        <v/>
      </c>
      <c r="L4896" s="3">
        <f>IF(K4896&lt;-5,"CRÍTICO",IF(K4896&lt;0,"ATENÇÃO",IF(K4896&lt;=5,"OPORTUNO","MUITO BOM")))</f>
        <v/>
      </c>
    </row>
    <row r="4897">
      <c r="I4897" s="3">
        <f>E4897+G4897+H4897</f>
        <v/>
      </c>
      <c r="J4897" s="3">
        <f>ROUND(MIN(IF(C4897="Técnico III",35,IF(C4897="Técnico II",28,IF(C4897="Técnico I",23,IF(C4897="JR",20,IF(C4897="Estágio",10,0))))),IF(C4897="Técnico III",SUMIFS($D:$D,$A:$A,$A4897,$B:$B,"&lt;&gt;Patrícia Karla de Sousa Araújo",$B:$B,"&lt;&gt;Lorena Dias de Araujo",$B:$B,"&lt;&gt;Lucas Luiz Romero")*(35/1083),IF(C4897="Técnico II",SUMIFS($D:$D,$A:$A,$A4897,$B:$B,"&lt;&gt;Patrícia Karla de Sousa Araújo",$B:$B,"&lt;&gt;Lorena Dias de Araujo",$B:$B,"&lt;&gt;Lucas Luiz Romero")*(28/1083),IF(C4897="Técnico I",SUMIFS($D:$D,$A:$A,$A4897,$B:$B,"&lt;&gt;Patrícia Karla de Sousa Araújo",$B:$B,"&lt;&gt;Lorena Dias de Araujo",$B:$B,"&lt;&gt;Lucas Luiz Romero")*(23/1083),IF(C4897="JR",SUMIFS($D:$D,$A:$A,$A4897,$B:$B,"&lt;&gt;Patrícia Karla de Sousa Araújo",$B:$B,"&lt;&gt;Lorena Dias de Araujo",$B:$B,"&lt;&gt;Lucas Luiz Romero")*(20/1083),IF(C4897="Estágio",SUMIFS($D:$D,$A:$A,$A4897,$B:$B,"&lt;&gt;Patrícia Karla de Sousa Araújo",$B:$B,"&lt;&gt;Lorena Dias de Araujo",$B:$B,"&lt;&gt;Lucas Luiz Romero")*(10/1083),0)))))),0)</f>
        <v/>
      </c>
      <c r="K4897" s="3">
        <f>I4897-J4897</f>
        <v/>
      </c>
      <c r="L4897" s="3">
        <f>IF(K4897&lt;-5,"CRÍTICO",IF(K4897&lt;0,"ATENÇÃO",IF(K4897&lt;=5,"OPORTUNO","MUITO BOM")))</f>
        <v/>
      </c>
    </row>
    <row r="4898">
      <c r="I4898" s="3">
        <f>E4898+G4898+H4898</f>
        <v/>
      </c>
      <c r="J4898" s="3">
        <f>ROUND(MIN(IF(C4898="Técnico III",35,IF(C4898="Técnico II",28,IF(C4898="Técnico I",23,IF(C4898="JR",20,IF(C4898="Estágio",10,0))))),IF(C4898="Técnico III",SUMIFS($D:$D,$A:$A,$A4898,$B:$B,"&lt;&gt;Patrícia Karla de Sousa Araújo",$B:$B,"&lt;&gt;Lorena Dias de Araujo",$B:$B,"&lt;&gt;Lucas Luiz Romero")*(35/1083),IF(C4898="Técnico II",SUMIFS($D:$D,$A:$A,$A4898,$B:$B,"&lt;&gt;Patrícia Karla de Sousa Araújo",$B:$B,"&lt;&gt;Lorena Dias de Araujo",$B:$B,"&lt;&gt;Lucas Luiz Romero")*(28/1083),IF(C4898="Técnico I",SUMIFS($D:$D,$A:$A,$A4898,$B:$B,"&lt;&gt;Patrícia Karla de Sousa Araújo",$B:$B,"&lt;&gt;Lorena Dias de Araujo",$B:$B,"&lt;&gt;Lucas Luiz Romero")*(23/1083),IF(C4898="JR",SUMIFS($D:$D,$A:$A,$A4898,$B:$B,"&lt;&gt;Patrícia Karla de Sousa Araújo",$B:$B,"&lt;&gt;Lorena Dias de Araujo",$B:$B,"&lt;&gt;Lucas Luiz Romero")*(20/1083),IF(C4898="Estágio",SUMIFS($D:$D,$A:$A,$A4898,$B:$B,"&lt;&gt;Patrícia Karla de Sousa Araújo",$B:$B,"&lt;&gt;Lorena Dias de Araujo",$B:$B,"&lt;&gt;Lucas Luiz Romero")*(10/1083),0)))))),0)</f>
        <v/>
      </c>
      <c r="K4898" s="3">
        <f>I4898-J4898</f>
        <v/>
      </c>
      <c r="L4898" s="3">
        <f>IF(K4898&lt;-5,"CRÍTICO",IF(K4898&lt;0,"ATENÇÃO",IF(K4898&lt;=5,"OPORTUNO","MUITO BOM")))</f>
        <v/>
      </c>
    </row>
    <row r="4899">
      <c r="I4899" s="3">
        <f>E4899+G4899+H4899</f>
        <v/>
      </c>
      <c r="J4899" s="3">
        <f>ROUND(MIN(IF(C4899="Técnico III",35,IF(C4899="Técnico II",28,IF(C4899="Técnico I",23,IF(C4899="JR",20,IF(C4899="Estágio",10,0))))),IF(C4899="Técnico III",SUMIFS($D:$D,$A:$A,$A4899,$B:$B,"&lt;&gt;Patrícia Karla de Sousa Araújo",$B:$B,"&lt;&gt;Lorena Dias de Araujo",$B:$B,"&lt;&gt;Lucas Luiz Romero")*(35/1083),IF(C4899="Técnico II",SUMIFS($D:$D,$A:$A,$A4899,$B:$B,"&lt;&gt;Patrícia Karla de Sousa Araújo",$B:$B,"&lt;&gt;Lorena Dias de Araujo",$B:$B,"&lt;&gt;Lucas Luiz Romero")*(28/1083),IF(C4899="Técnico I",SUMIFS($D:$D,$A:$A,$A4899,$B:$B,"&lt;&gt;Patrícia Karla de Sousa Araújo",$B:$B,"&lt;&gt;Lorena Dias de Araujo",$B:$B,"&lt;&gt;Lucas Luiz Romero")*(23/1083),IF(C4899="JR",SUMIFS($D:$D,$A:$A,$A4899,$B:$B,"&lt;&gt;Patrícia Karla de Sousa Araújo",$B:$B,"&lt;&gt;Lorena Dias de Araujo",$B:$B,"&lt;&gt;Lucas Luiz Romero")*(20/1083),IF(C4899="Estágio",SUMIFS($D:$D,$A:$A,$A4899,$B:$B,"&lt;&gt;Patrícia Karla de Sousa Araújo",$B:$B,"&lt;&gt;Lorena Dias de Araujo",$B:$B,"&lt;&gt;Lucas Luiz Romero")*(10/1083),0)))))),0)</f>
        <v/>
      </c>
      <c r="K4899" s="3">
        <f>I4899-J4899</f>
        <v/>
      </c>
      <c r="L4899" s="3">
        <f>IF(K4899&lt;-5,"CRÍTICO",IF(K4899&lt;0,"ATENÇÃO",IF(K4899&lt;=5,"OPORTUNO","MUITO BOM")))</f>
        <v/>
      </c>
    </row>
    <row r="4900">
      <c r="I4900" s="3">
        <f>E4900+G4900+H4900</f>
        <v/>
      </c>
      <c r="J4900" s="3">
        <f>ROUND(MIN(IF(C4900="Técnico III",35,IF(C4900="Técnico II",28,IF(C4900="Técnico I",23,IF(C4900="JR",20,IF(C4900="Estágio",10,0))))),IF(C4900="Técnico III",SUMIFS($D:$D,$A:$A,$A4900,$B:$B,"&lt;&gt;Patrícia Karla de Sousa Araújo",$B:$B,"&lt;&gt;Lorena Dias de Araujo",$B:$B,"&lt;&gt;Lucas Luiz Romero")*(35/1083),IF(C4900="Técnico II",SUMIFS($D:$D,$A:$A,$A4900,$B:$B,"&lt;&gt;Patrícia Karla de Sousa Araújo",$B:$B,"&lt;&gt;Lorena Dias de Araujo",$B:$B,"&lt;&gt;Lucas Luiz Romero")*(28/1083),IF(C4900="Técnico I",SUMIFS($D:$D,$A:$A,$A4900,$B:$B,"&lt;&gt;Patrícia Karla de Sousa Araújo",$B:$B,"&lt;&gt;Lorena Dias de Araujo",$B:$B,"&lt;&gt;Lucas Luiz Romero")*(23/1083),IF(C4900="JR",SUMIFS($D:$D,$A:$A,$A4900,$B:$B,"&lt;&gt;Patrícia Karla de Sousa Araújo",$B:$B,"&lt;&gt;Lorena Dias de Araujo",$B:$B,"&lt;&gt;Lucas Luiz Romero")*(20/1083),IF(C4900="Estágio",SUMIFS($D:$D,$A:$A,$A4900,$B:$B,"&lt;&gt;Patrícia Karla de Sousa Araújo",$B:$B,"&lt;&gt;Lorena Dias de Araujo",$B:$B,"&lt;&gt;Lucas Luiz Romero")*(10/1083),0)))))),0)</f>
        <v/>
      </c>
      <c r="K4900" s="3">
        <f>I4900-J4900</f>
        <v/>
      </c>
      <c r="L4900" s="3">
        <f>IF(K4900&lt;-5,"CRÍTICO",IF(K4900&lt;0,"ATENÇÃO",IF(K4900&lt;=5,"OPORTUNO","MUITO BOM")))</f>
        <v/>
      </c>
    </row>
    <row r="4901">
      <c r="I4901" s="3">
        <f>E4901+G4901+H4901</f>
        <v/>
      </c>
      <c r="J4901" s="3">
        <f>ROUND(MIN(IF(C4901="Técnico III",35,IF(C4901="Técnico II",28,IF(C4901="Técnico I",23,IF(C4901="JR",20,IF(C4901="Estágio",10,0))))),IF(C4901="Técnico III",SUMIFS($D:$D,$A:$A,$A4901,$B:$B,"&lt;&gt;Patrícia Karla de Sousa Araújo",$B:$B,"&lt;&gt;Lorena Dias de Araujo",$B:$B,"&lt;&gt;Lucas Luiz Romero")*(35/1083),IF(C4901="Técnico II",SUMIFS($D:$D,$A:$A,$A4901,$B:$B,"&lt;&gt;Patrícia Karla de Sousa Araújo",$B:$B,"&lt;&gt;Lorena Dias de Araujo",$B:$B,"&lt;&gt;Lucas Luiz Romero")*(28/1083),IF(C4901="Técnico I",SUMIFS($D:$D,$A:$A,$A4901,$B:$B,"&lt;&gt;Patrícia Karla de Sousa Araújo",$B:$B,"&lt;&gt;Lorena Dias de Araujo",$B:$B,"&lt;&gt;Lucas Luiz Romero")*(23/1083),IF(C4901="JR",SUMIFS($D:$D,$A:$A,$A4901,$B:$B,"&lt;&gt;Patrícia Karla de Sousa Araújo",$B:$B,"&lt;&gt;Lorena Dias de Araujo",$B:$B,"&lt;&gt;Lucas Luiz Romero")*(20/1083),IF(C4901="Estágio",SUMIFS($D:$D,$A:$A,$A4901,$B:$B,"&lt;&gt;Patrícia Karla de Sousa Araújo",$B:$B,"&lt;&gt;Lorena Dias de Araujo",$B:$B,"&lt;&gt;Lucas Luiz Romero")*(10/1083),0)))))),0)</f>
        <v/>
      </c>
      <c r="K4901" s="3">
        <f>I4901-J4901</f>
        <v/>
      </c>
      <c r="L4901" s="3">
        <f>IF(K4901&lt;-5,"CRÍTICO",IF(K4901&lt;0,"ATENÇÃO",IF(K4901&lt;=5,"OPORTUNO","MUITO BOM")))</f>
        <v/>
      </c>
    </row>
    <row r="4902">
      <c r="I4902" s="3">
        <f>E4902+G4902+H4902</f>
        <v/>
      </c>
      <c r="J4902" s="3">
        <f>ROUND(MIN(IF(C4902="Técnico III",35,IF(C4902="Técnico II",28,IF(C4902="Técnico I",23,IF(C4902="JR",20,IF(C4902="Estágio",10,0))))),IF(C4902="Técnico III",SUMIFS($D:$D,$A:$A,$A4902,$B:$B,"&lt;&gt;Patrícia Karla de Sousa Araújo",$B:$B,"&lt;&gt;Lorena Dias de Araujo",$B:$B,"&lt;&gt;Lucas Luiz Romero")*(35/1083),IF(C4902="Técnico II",SUMIFS($D:$D,$A:$A,$A4902,$B:$B,"&lt;&gt;Patrícia Karla de Sousa Araújo",$B:$B,"&lt;&gt;Lorena Dias de Araujo",$B:$B,"&lt;&gt;Lucas Luiz Romero")*(28/1083),IF(C4902="Técnico I",SUMIFS($D:$D,$A:$A,$A4902,$B:$B,"&lt;&gt;Patrícia Karla de Sousa Araújo",$B:$B,"&lt;&gt;Lorena Dias de Araujo",$B:$B,"&lt;&gt;Lucas Luiz Romero")*(23/1083),IF(C4902="JR",SUMIFS($D:$D,$A:$A,$A4902,$B:$B,"&lt;&gt;Patrícia Karla de Sousa Araújo",$B:$B,"&lt;&gt;Lorena Dias de Araujo",$B:$B,"&lt;&gt;Lucas Luiz Romero")*(20/1083),IF(C4902="Estágio",SUMIFS($D:$D,$A:$A,$A4902,$B:$B,"&lt;&gt;Patrícia Karla de Sousa Araújo",$B:$B,"&lt;&gt;Lorena Dias de Araujo",$B:$B,"&lt;&gt;Lucas Luiz Romero")*(10/1083),0)))))),0)</f>
        <v/>
      </c>
      <c r="K4902" s="3">
        <f>I4902-J4902</f>
        <v/>
      </c>
      <c r="L4902" s="3">
        <f>IF(K4902&lt;-5,"CRÍTICO",IF(K4902&lt;0,"ATENÇÃO",IF(K4902&lt;=5,"OPORTUNO","MUITO BOM")))</f>
        <v/>
      </c>
    </row>
    <row r="4903">
      <c r="I4903" s="3">
        <f>E4903+G4903+H4903</f>
        <v/>
      </c>
      <c r="J4903" s="3">
        <f>ROUND(MIN(IF(C4903="Técnico III",35,IF(C4903="Técnico II",28,IF(C4903="Técnico I",23,IF(C4903="JR",20,IF(C4903="Estágio",10,0))))),IF(C4903="Técnico III",SUMIFS($D:$D,$A:$A,$A4903,$B:$B,"&lt;&gt;Patrícia Karla de Sousa Araújo",$B:$B,"&lt;&gt;Lorena Dias de Araujo",$B:$B,"&lt;&gt;Lucas Luiz Romero")*(35/1083),IF(C4903="Técnico II",SUMIFS($D:$D,$A:$A,$A4903,$B:$B,"&lt;&gt;Patrícia Karla de Sousa Araújo",$B:$B,"&lt;&gt;Lorena Dias de Araujo",$B:$B,"&lt;&gt;Lucas Luiz Romero")*(28/1083),IF(C4903="Técnico I",SUMIFS($D:$D,$A:$A,$A4903,$B:$B,"&lt;&gt;Patrícia Karla de Sousa Araújo",$B:$B,"&lt;&gt;Lorena Dias de Araujo",$B:$B,"&lt;&gt;Lucas Luiz Romero")*(23/1083),IF(C4903="JR",SUMIFS($D:$D,$A:$A,$A4903,$B:$B,"&lt;&gt;Patrícia Karla de Sousa Araújo",$B:$B,"&lt;&gt;Lorena Dias de Araujo",$B:$B,"&lt;&gt;Lucas Luiz Romero")*(20/1083),IF(C4903="Estágio",SUMIFS($D:$D,$A:$A,$A4903,$B:$B,"&lt;&gt;Patrícia Karla de Sousa Araújo",$B:$B,"&lt;&gt;Lorena Dias de Araujo",$B:$B,"&lt;&gt;Lucas Luiz Romero")*(10/1083),0)))))),0)</f>
        <v/>
      </c>
      <c r="K4903" s="3">
        <f>I4903-J4903</f>
        <v/>
      </c>
      <c r="L4903" s="3">
        <f>IF(K4903&lt;-5,"CRÍTICO",IF(K4903&lt;0,"ATENÇÃO",IF(K4903&lt;=5,"OPORTUNO","MUITO BOM")))</f>
        <v/>
      </c>
    </row>
    <row r="4904">
      <c r="I4904" s="3">
        <f>E4904+G4904+H4904</f>
        <v/>
      </c>
      <c r="J4904" s="3">
        <f>ROUND(MIN(IF(C4904="Técnico III",35,IF(C4904="Técnico II",28,IF(C4904="Técnico I",23,IF(C4904="JR",20,IF(C4904="Estágio",10,0))))),IF(C4904="Técnico III",SUMIFS($D:$D,$A:$A,$A4904,$B:$B,"&lt;&gt;Patrícia Karla de Sousa Araújo",$B:$B,"&lt;&gt;Lorena Dias de Araujo",$B:$B,"&lt;&gt;Lucas Luiz Romero")*(35/1083),IF(C4904="Técnico II",SUMIFS($D:$D,$A:$A,$A4904,$B:$B,"&lt;&gt;Patrícia Karla de Sousa Araújo",$B:$B,"&lt;&gt;Lorena Dias de Araujo",$B:$B,"&lt;&gt;Lucas Luiz Romero")*(28/1083),IF(C4904="Técnico I",SUMIFS($D:$D,$A:$A,$A4904,$B:$B,"&lt;&gt;Patrícia Karla de Sousa Araújo",$B:$B,"&lt;&gt;Lorena Dias de Araujo",$B:$B,"&lt;&gt;Lucas Luiz Romero")*(23/1083),IF(C4904="JR",SUMIFS($D:$D,$A:$A,$A4904,$B:$B,"&lt;&gt;Patrícia Karla de Sousa Araújo",$B:$B,"&lt;&gt;Lorena Dias de Araujo",$B:$B,"&lt;&gt;Lucas Luiz Romero")*(20/1083),IF(C4904="Estágio",SUMIFS($D:$D,$A:$A,$A4904,$B:$B,"&lt;&gt;Patrícia Karla de Sousa Araújo",$B:$B,"&lt;&gt;Lorena Dias de Araujo",$B:$B,"&lt;&gt;Lucas Luiz Romero")*(10/1083),0)))))),0)</f>
        <v/>
      </c>
      <c r="K4904" s="3">
        <f>I4904-J4904</f>
        <v/>
      </c>
      <c r="L4904" s="3">
        <f>IF(K4904&lt;-5,"CRÍTICO",IF(K4904&lt;0,"ATENÇÃO",IF(K4904&lt;=5,"OPORTUNO","MUITO BOM")))</f>
        <v/>
      </c>
    </row>
    <row r="4905">
      <c r="I4905" s="3">
        <f>E4905+G4905+H4905</f>
        <v/>
      </c>
      <c r="J4905" s="3">
        <f>ROUND(MIN(IF(C4905="Técnico III",35,IF(C4905="Técnico II",28,IF(C4905="Técnico I",23,IF(C4905="JR",20,IF(C4905="Estágio",10,0))))),IF(C4905="Técnico III",SUMIFS($D:$D,$A:$A,$A4905,$B:$B,"&lt;&gt;Patrícia Karla de Sousa Araújo",$B:$B,"&lt;&gt;Lorena Dias de Araujo",$B:$B,"&lt;&gt;Lucas Luiz Romero")*(35/1083),IF(C4905="Técnico II",SUMIFS($D:$D,$A:$A,$A4905,$B:$B,"&lt;&gt;Patrícia Karla de Sousa Araújo",$B:$B,"&lt;&gt;Lorena Dias de Araujo",$B:$B,"&lt;&gt;Lucas Luiz Romero")*(28/1083),IF(C4905="Técnico I",SUMIFS($D:$D,$A:$A,$A4905,$B:$B,"&lt;&gt;Patrícia Karla de Sousa Araújo",$B:$B,"&lt;&gt;Lorena Dias de Araujo",$B:$B,"&lt;&gt;Lucas Luiz Romero")*(23/1083),IF(C4905="JR",SUMIFS($D:$D,$A:$A,$A4905,$B:$B,"&lt;&gt;Patrícia Karla de Sousa Araújo",$B:$B,"&lt;&gt;Lorena Dias de Araujo",$B:$B,"&lt;&gt;Lucas Luiz Romero")*(20/1083),IF(C4905="Estágio",SUMIFS($D:$D,$A:$A,$A4905,$B:$B,"&lt;&gt;Patrícia Karla de Sousa Araújo",$B:$B,"&lt;&gt;Lorena Dias de Araujo",$B:$B,"&lt;&gt;Lucas Luiz Romero")*(10/1083),0)))))),0)</f>
        <v/>
      </c>
      <c r="K4905" s="3">
        <f>I4905-J4905</f>
        <v/>
      </c>
      <c r="L4905" s="3">
        <f>IF(K4905&lt;-5,"CRÍTICO",IF(K4905&lt;0,"ATENÇÃO",IF(K4905&lt;=5,"OPORTUNO","MUITO BOM")))</f>
        <v/>
      </c>
    </row>
    <row r="4906">
      <c r="I4906" s="3">
        <f>E4906+G4906+H4906</f>
        <v/>
      </c>
      <c r="J4906" s="3">
        <f>ROUND(MIN(IF(C4906="Técnico III",35,IF(C4906="Técnico II",28,IF(C4906="Técnico I",23,IF(C4906="JR",20,IF(C4906="Estágio",10,0))))),IF(C4906="Técnico III",SUMIFS($D:$D,$A:$A,$A4906,$B:$B,"&lt;&gt;Patrícia Karla de Sousa Araújo",$B:$B,"&lt;&gt;Lorena Dias de Araujo",$B:$B,"&lt;&gt;Lucas Luiz Romero")*(35/1083),IF(C4906="Técnico II",SUMIFS($D:$D,$A:$A,$A4906,$B:$B,"&lt;&gt;Patrícia Karla de Sousa Araújo",$B:$B,"&lt;&gt;Lorena Dias de Araujo",$B:$B,"&lt;&gt;Lucas Luiz Romero")*(28/1083),IF(C4906="Técnico I",SUMIFS($D:$D,$A:$A,$A4906,$B:$B,"&lt;&gt;Patrícia Karla de Sousa Araújo",$B:$B,"&lt;&gt;Lorena Dias de Araujo",$B:$B,"&lt;&gt;Lucas Luiz Romero")*(23/1083),IF(C4906="JR",SUMIFS($D:$D,$A:$A,$A4906,$B:$B,"&lt;&gt;Patrícia Karla de Sousa Araújo",$B:$B,"&lt;&gt;Lorena Dias de Araujo",$B:$B,"&lt;&gt;Lucas Luiz Romero")*(20/1083),IF(C4906="Estágio",SUMIFS($D:$D,$A:$A,$A4906,$B:$B,"&lt;&gt;Patrícia Karla de Sousa Araújo",$B:$B,"&lt;&gt;Lorena Dias de Araujo",$B:$B,"&lt;&gt;Lucas Luiz Romero")*(10/1083),0)))))),0)</f>
        <v/>
      </c>
      <c r="K4906" s="3">
        <f>I4906-J4906</f>
        <v/>
      </c>
      <c r="L4906" s="3">
        <f>IF(K4906&lt;-5,"CRÍTICO",IF(K4906&lt;0,"ATENÇÃO",IF(K4906&lt;=5,"OPORTUNO","MUITO BOM")))</f>
        <v/>
      </c>
    </row>
    <row r="4907">
      <c r="I4907" s="3">
        <f>E4907+G4907+H4907</f>
        <v/>
      </c>
      <c r="J4907" s="3">
        <f>ROUND(MIN(IF(C4907="Técnico III",35,IF(C4907="Técnico II",28,IF(C4907="Técnico I",23,IF(C4907="JR",20,IF(C4907="Estágio",10,0))))),IF(C4907="Técnico III",SUMIFS($D:$D,$A:$A,$A4907,$B:$B,"&lt;&gt;Patrícia Karla de Sousa Araújo",$B:$B,"&lt;&gt;Lorena Dias de Araujo",$B:$B,"&lt;&gt;Lucas Luiz Romero")*(35/1083),IF(C4907="Técnico II",SUMIFS($D:$D,$A:$A,$A4907,$B:$B,"&lt;&gt;Patrícia Karla de Sousa Araújo",$B:$B,"&lt;&gt;Lorena Dias de Araujo",$B:$B,"&lt;&gt;Lucas Luiz Romero")*(28/1083),IF(C4907="Técnico I",SUMIFS($D:$D,$A:$A,$A4907,$B:$B,"&lt;&gt;Patrícia Karla de Sousa Araújo",$B:$B,"&lt;&gt;Lorena Dias de Araujo",$B:$B,"&lt;&gt;Lucas Luiz Romero")*(23/1083),IF(C4907="JR",SUMIFS($D:$D,$A:$A,$A4907,$B:$B,"&lt;&gt;Patrícia Karla de Sousa Araújo",$B:$B,"&lt;&gt;Lorena Dias de Araujo",$B:$B,"&lt;&gt;Lucas Luiz Romero")*(20/1083),IF(C4907="Estágio",SUMIFS($D:$D,$A:$A,$A4907,$B:$B,"&lt;&gt;Patrícia Karla de Sousa Araújo",$B:$B,"&lt;&gt;Lorena Dias de Araujo",$B:$B,"&lt;&gt;Lucas Luiz Romero")*(10/1083),0)))))),0)</f>
        <v/>
      </c>
      <c r="K4907" s="3">
        <f>I4907-J4907</f>
        <v/>
      </c>
      <c r="L4907" s="3">
        <f>IF(K4907&lt;-5,"CRÍTICO",IF(K4907&lt;0,"ATENÇÃO",IF(K4907&lt;=5,"OPORTUNO","MUITO BOM")))</f>
        <v/>
      </c>
    </row>
    <row r="4908">
      <c r="I4908" s="3">
        <f>E4908+G4908+H4908</f>
        <v/>
      </c>
      <c r="J4908" s="3">
        <f>ROUND(MIN(IF(C4908="Técnico III",35,IF(C4908="Técnico II",28,IF(C4908="Técnico I",23,IF(C4908="JR",20,IF(C4908="Estágio",10,0))))),IF(C4908="Técnico III",SUMIFS($D:$D,$A:$A,$A4908,$B:$B,"&lt;&gt;Patrícia Karla de Sousa Araújo",$B:$B,"&lt;&gt;Lorena Dias de Araujo",$B:$B,"&lt;&gt;Lucas Luiz Romero")*(35/1083),IF(C4908="Técnico II",SUMIFS($D:$D,$A:$A,$A4908,$B:$B,"&lt;&gt;Patrícia Karla de Sousa Araújo",$B:$B,"&lt;&gt;Lorena Dias de Araujo",$B:$B,"&lt;&gt;Lucas Luiz Romero")*(28/1083),IF(C4908="Técnico I",SUMIFS($D:$D,$A:$A,$A4908,$B:$B,"&lt;&gt;Patrícia Karla de Sousa Araújo",$B:$B,"&lt;&gt;Lorena Dias de Araujo",$B:$B,"&lt;&gt;Lucas Luiz Romero")*(23/1083),IF(C4908="JR",SUMIFS($D:$D,$A:$A,$A4908,$B:$B,"&lt;&gt;Patrícia Karla de Sousa Araújo",$B:$B,"&lt;&gt;Lorena Dias de Araujo",$B:$B,"&lt;&gt;Lucas Luiz Romero")*(20/1083),IF(C4908="Estágio",SUMIFS($D:$D,$A:$A,$A4908,$B:$B,"&lt;&gt;Patrícia Karla de Sousa Araújo",$B:$B,"&lt;&gt;Lorena Dias de Araujo",$B:$B,"&lt;&gt;Lucas Luiz Romero")*(10/1083),0)))))),0)</f>
        <v/>
      </c>
      <c r="K4908" s="3">
        <f>I4908-J4908</f>
        <v/>
      </c>
      <c r="L4908" s="3">
        <f>IF(K4908&lt;-5,"CRÍTICO",IF(K4908&lt;0,"ATENÇÃO",IF(K4908&lt;=5,"OPORTUNO","MUITO BOM")))</f>
        <v/>
      </c>
    </row>
    <row r="4909">
      <c r="I4909" s="3">
        <f>E4909+G4909+H4909</f>
        <v/>
      </c>
      <c r="J4909" s="3">
        <f>ROUND(MIN(IF(C4909="Técnico III",35,IF(C4909="Técnico II",28,IF(C4909="Técnico I",23,IF(C4909="JR",20,IF(C4909="Estágio",10,0))))),IF(C4909="Técnico III",SUMIFS($D:$D,$A:$A,$A4909,$B:$B,"&lt;&gt;Patrícia Karla de Sousa Araújo",$B:$B,"&lt;&gt;Lorena Dias de Araujo",$B:$B,"&lt;&gt;Lucas Luiz Romero")*(35/1083),IF(C4909="Técnico II",SUMIFS($D:$D,$A:$A,$A4909,$B:$B,"&lt;&gt;Patrícia Karla de Sousa Araújo",$B:$B,"&lt;&gt;Lorena Dias de Araujo",$B:$B,"&lt;&gt;Lucas Luiz Romero")*(28/1083),IF(C4909="Técnico I",SUMIFS($D:$D,$A:$A,$A4909,$B:$B,"&lt;&gt;Patrícia Karla de Sousa Araújo",$B:$B,"&lt;&gt;Lorena Dias de Araujo",$B:$B,"&lt;&gt;Lucas Luiz Romero")*(23/1083),IF(C4909="JR",SUMIFS($D:$D,$A:$A,$A4909,$B:$B,"&lt;&gt;Patrícia Karla de Sousa Araújo",$B:$B,"&lt;&gt;Lorena Dias de Araujo",$B:$B,"&lt;&gt;Lucas Luiz Romero")*(20/1083),IF(C4909="Estágio",SUMIFS($D:$D,$A:$A,$A4909,$B:$B,"&lt;&gt;Patrícia Karla de Sousa Araújo",$B:$B,"&lt;&gt;Lorena Dias de Araujo",$B:$B,"&lt;&gt;Lucas Luiz Romero")*(10/1083),0)))))),0)</f>
        <v/>
      </c>
      <c r="K4909" s="3">
        <f>I4909-J4909</f>
        <v/>
      </c>
      <c r="L4909" s="3">
        <f>IF(K4909&lt;-5,"CRÍTICO",IF(K4909&lt;0,"ATENÇÃO",IF(K4909&lt;=5,"OPORTUNO","MUITO BOM")))</f>
        <v/>
      </c>
    </row>
    <row r="4910">
      <c r="I4910" s="3">
        <f>E4910+G4910+H4910</f>
        <v/>
      </c>
      <c r="J4910" s="3">
        <f>ROUND(MIN(IF(C4910="Técnico III",35,IF(C4910="Técnico II",28,IF(C4910="Técnico I",23,IF(C4910="JR",20,IF(C4910="Estágio",10,0))))),IF(C4910="Técnico III",SUMIFS($D:$D,$A:$A,$A4910,$B:$B,"&lt;&gt;Patrícia Karla de Sousa Araújo",$B:$B,"&lt;&gt;Lorena Dias de Araujo",$B:$B,"&lt;&gt;Lucas Luiz Romero")*(35/1083),IF(C4910="Técnico II",SUMIFS($D:$D,$A:$A,$A4910,$B:$B,"&lt;&gt;Patrícia Karla de Sousa Araújo",$B:$B,"&lt;&gt;Lorena Dias de Araujo",$B:$B,"&lt;&gt;Lucas Luiz Romero")*(28/1083),IF(C4910="Técnico I",SUMIFS($D:$D,$A:$A,$A4910,$B:$B,"&lt;&gt;Patrícia Karla de Sousa Araújo",$B:$B,"&lt;&gt;Lorena Dias de Araujo",$B:$B,"&lt;&gt;Lucas Luiz Romero")*(23/1083),IF(C4910="JR",SUMIFS($D:$D,$A:$A,$A4910,$B:$B,"&lt;&gt;Patrícia Karla de Sousa Araújo",$B:$B,"&lt;&gt;Lorena Dias de Araujo",$B:$B,"&lt;&gt;Lucas Luiz Romero")*(20/1083),IF(C4910="Estágio",SUMIFS($D:$D,$A:$A,$A4910,$B:$B,"&lt;&gt;Patrícia Karla de Sousa Araújo",$B:$B,"&lt;&gt;Lorena Dias de Araujo",$B:$B,"&lt;&gt;Lucas Luiz Romero")*(10/1083),0)))))),0)</f>
        <v/>
      </c>
      <c r="K4910" s="3">
        <f>I4910-J4910</f>
        <v/>
      </c>
      <c r="L4910" s="3">
        <f>IF(K4910&lt;-5,"CRÍTICO",IF(K4910&lt;0,"ATENÇÃO",IF(K4910&lt;=5,"OPORTUNO","MUITO BOM")))</f>
        <v/>
      </c>
    </row>
    <row r="4911">
      <c r="I4911" s="3">
        <f>E4911+G4911+H4911</f>
        <v/>
      </c>
      <c r="J4911" s="3">
        <f>ROUND(MIN(IF(C4911="Técnico III",35,IF(C4911="Técnico II",28,IF(C4911="Técnico I",23,IF(C4911="JR",20,IF(C4911="Estágio",10,0))))),IF(C4911="Técnico III",SUMIFS($D:$D,$A:$A,$A4911,$B:$B,"&lt;&gt;Patrícia Karla de Sousa Araújo",$B:$B,"&lt;&gt;Lorena Dias de Araujo",$B:$B,"&lt;&gt;Lucas Luiz Romero")*(35/1083),IF(C4911="Técnico II",SUMIFS($D:$D,$A:$A,$A4911,$B:$B,"&lt;&gt;Patrícia Karla de Sousa Araújo",$B:$B,"&lt;&gt;Lorena Dias de Araujo",$B:$B,"&lt;&gt;Lucas Luiz Romero")*(28/1083),IF(C4911="Técnico I",SUMIFS($D:$D,$A:$A,$A4911,$B:$B,"&lt;&gt;Patrícia Karla de Sousa Araújo",$B:$B,"&lt;&gt;Lorena Dias de Araujo",$B:$B,"&lt;&gt;Lucas Luiz Romero")*(23/1083),IF(C4911="JR",SUMIFS($D:$D,$A:$A,$A4911,$B:$B,"&lt;&gt;Patrícia Karla de Sousa Araújo",$B:$B,"&lt;&gt;Lorena Dias de Araujo",$B:$B,"&lt;&gt;Lucas Luiz Romero")*(20/1083),IF(C4911="Estágio",SUMIFS($D:$D,$A:$A,$A4911,$B:$B,"&lt;&gt;Patrícia Karla de Sousa Araújo",$B:$B,"&lt;&gt;Lorena Dias de Araujo",$B:$B,"&lt;&gt;Lucas Luiz Romero")*(10/1083),0)))))),0)</f>
        <v/>
      </c>
      <c r="K4911" s="3">
        <f>I4911-J4911</f>
        <v/>
      </c>
      <c r="L4911" s="3">
        <f>IF(K4911&lt;-5,"CRÍTICO",IF(K4911&lt;0,"ATENÇÃO",IF(K4911&lt;=5,"OPORTUNO","MUITO BOM")))</f>
        <v/>
      </c>
    </row>
    <row r="4912">
      <c r="I4912" s="3">
        <f>E4912+G4912+H4912</f>
        <v/>
      </c>
      <c r="J4912" s="3">
        <f>ROUND(MIN(IF(C4912="Técnico III",35,IF(C4912="Técnico II",28,IF(C4912="Técnico I",23,IF(C4912="JR",20,IF(C4912="Estágio",10,0))))),IF(C4912="Técnico III",SUMIFS($D:$D,$A:$A,$A4912,$B:$B,"&lt;&gt;Patrícia Karla de Sousa Araújo",$B:$B,"&lt;&gt;Lorena Dias de Araujo",$B:$B,"&lt;&gt;Lucas Luiz Romero")*(35/1083),IF(C4912="Técnico II",SUMIFS($D:$D,$A:$A,$A4912,$B:$B,"&lt;&gt;Patrícia Karla de Sousa Araújo",$B:$B,"&lt;&gt;Lorena Dias de Araujo",$B:$B,"&lt;&gt;Lucas Luiz Romero")*(28/1083),IF(C4912="Técnico I",SUMIFS($D:$D,$A:$A,$A4912,$B:$B,"&lt;&gt;Patrícia Karla de Sousa Araújo",$B:$B,"&lt;&gt;Lorena Dias de Araujo",$B:$B,"&lt;&gt;Lucas Luiz Romero")*(23/1083),IF(C4912="JR",SUMIFS($D:$D,$A:$A,$A4912,$B:$B,"&lt;&gt;Patrícia Karla de Sousa Araújo",$B:$B,"&lt;&gt;Lorena Dias de Araujo",$B:$B,"&lt;&gt;Lucas Luiz Romero")*(20/1083),IF(C4912="Estágio",SUMIFS($D:$D,$A:$A,$A4912,$B:$B,"&lt;&gt;Patrícia Karla de Sousa Araújo",$B:$B,"&lt;&gt;Lorena Dias de Araujo",$B:$B,"&lt;&gt;Lucas Luiz Romero")*(10/1083),0)))))),0)</f>
        <v/>
      </c>
      <c r="K4912" s="3">
        <f>I4912-J4912</f>
        <v/>
      </c>
      <c r="L4912" s="3">
        <f>IF(K4912&lt;-5,"CRÍTICO",IF(K4912&lt;0,"ATENÇÃO",IF(K4912&lt;=5,"OPORTUNO","MUITO BOM")))</f>
        <v/>
      </c>
    </row>
    <row r="4913">
      <c r="I4913" s="3">
        <f>E4913+G4913+H4913</f>
        <v/>
      </c>
      <c r="J4913" s="3">
        <f>ROUND(MIN(IF(C4913="Técnico III",35,IF(C4913="Técnico II",28,IF(C4913="Técnico I",23,IF(C4913="JR",20,IF(C4913="Estágio",10,0))))),IF(C4913="Técnico III",SUMIFS($D:$D,$A:$A,$A4913,$B:$B,"&lt;&gt;Patrícia Karla de Sousa Araújo",$B:$B,"&lt;&gt;Lorena Dias de Araujo",$B:$B,"&lt;&gt;Lucas Luiz Romero")*(35/1083),IF(C4913="Técnico II",SUMIFS($D:$D,$A:$A,$A4913,$B:$B,"&lt;&gt;Patrícia Karla de Sousa Araújo",$B:$B,"&lt;&gt;Lorena Dias de Araujo",$B:$B,"&lt;&gt;Lucas Luiz Romero")*(28/1083),IF(C4913="Técnico I",SUMIFS($D:$D,$A:$A,$A4913,$B:$B,"&lt;&gt;Patrícia Karla de Sousa Araújo",$B:$B,"&lt;&gt;Lorena Dias de Araujo",$B:$B,"&lt;&gt;Lucas Luiz Romero")*(23/1083),IF(C4913="JR",SUMIFS($D:$D,$A:$A,$A4913,$B:$B,"&lt;&gt;Patrícia Karla de Sousa Araújo",$B:$B,"&lt;&gt;Lorena Dias de Araujo",$B:$B,"&lt;&gt;Lucas Luiz Romero")*(20/1083),IF(C4913="Estágio",SUMIFS($D:$D,$A:$A,$A4913,$B:$B,"&lt;&gt;Patrícia Karla de Sousa Araújo",$B:$B,"&lt;&gt;Lorena Dias de Araujo",$B:$B,"&lt;&gt;Lucas Luiz Romero")*(10/1083),0)))))),0)</f>
        <v/>
      </c>
      <c r="K4913" s="3">
        <f>I4913-J4913</f>
        <v/>
      </c>
      <c r="L4913" s="3">
        <f>IF(K4913&lt;-5,"CRÍTICO",IF(K4913&lt;0,"ATENÇÃO",IF(K4913&lt;=5,"OPORTUNO","MUITO BOM")))</f>
        <v/>
      </c>
    </row>
    <row r="4914">
      <c r="I4914" s="3">
        <f>E4914+G4914+H4914</f>
        <v/>
      </c>
      <c r="J4914" s="3">
        <f>ROUND(MIN(IF(C4914="Técnico III",35,IF(C4914="Técnico II",28,IF(C4914="Técnico I",23,IF(C4914="JR",20,IF(C4914="Estágio",10,0))))),IF(C4914="Técnico III",SUMIFS($D:$D,$A:$A,$A4914,$B:$B,"&lt;&gt;Patrícia Karla de Sousa Araújo",$B:$B,"&lt;&gt;Lorena Dias de Araujo",$B:$B,"&lt;&gt;Lucas Luiz Romero")*(35/1083),IF(C4914="Técnico II",SUMIFS($D:$D,$A:$A,$A4914,$B:$B,"&lt;&gt;Patrícia Karla de Sousa Araújo",$B:$B,"&lt;&gt;Lorena Dias de Araujo",$B:$B,"&lt;&gt;Lucas Luiz Romero")*(28/1083),IF(C4914="Técnico I",SUMIFS($D:$D,$A:$A,$A4914,$B:$B,"&lt;&gt;Patrícia Karla de Sousa Araújo",$B:$B,"&lt;&gt;Lorena Dias de Araujo",$B:$B,"&lt;&gt;Lucas Luiz Romero")*(23/1083),IF(C4914="JR",SUMIFS($D:$D,$A:$A,$A4914,$B:$B,"&lt;&gt;Patrícia Karla de Sousa Araújo",$B:$B,"&lt;&gt;Lorena Dias de Araujo",$B:$B,"&lt;&gt;Lucas Luiz Romero")*(20/1083),IF(C4914="Estágio",SUMIFS($D:$D,$A:$A,$A4914,$B:$B,"&lt;&gt;Patrícia Karla de Sousa Araújo",$B:$B,"&lt;&gt;Lorena Dias de Araujo",$B:$B,"&lt;&gt;Lucas Luiz Romero")*(10/1083),0)))))),0)</f>
        <v/>
      </c>
      <c r="K4914" s="3">
        <f>I4914-J4914</f>
        <v/>
      </c>
      <c r="L4914" s="3">
        <f>IF(K4914&lt;-5,"CRÍTICO",IF(K4914&lt;0,"ATENÇÃO",IF(K4914&lt;=5,"OPORTUNO","MUITO BOM")))</f>
        <v/>
      </c>
    </row>
    <row r="4915">
      <c r="I4915" s="3">
        <f>E4915+G4915+H4915</f>
        <v/>
      </c>
      <c r="J4915" s="3">
        <f>ROUND(MIN(IF(C4915="Técnico III",35,IF(C4915="Técnico II",28,IF(C4915="Técnico I",23,IF(C4915="JR",20,IF(C4915="Estágio",10,0))))),IF(C4915="Técnico III",SUMIFS($D:$D,$A:$A,$A4915,$B:$B,"&lt;&gt;Patrícia Karla de Sousa Araújo",$B:$B,"&lt;&gt;Lorena Dias de Araujo",$B:$B,"&lt;&gt;Lucas Luiz Romero")*(35/1083),IF(C4915="Técnico II",SUMIFS($D:$D,$A:$A,$A4915,$B:$B,"&lt;&gt;Patrícia Karla de Sousa Araújo",$B:$B,"&lt;&gt;Lorena Dias de Araujo",$B:$B,"&lt;&gt;Lucas Luiz Romero")*(28/1083),IF(C4915="Técnico I",SUMIFS($D:$D,$A:$A,$A4915,$B:$B,"&lt;&gt;Patrícia Karla de Sousa Araújo",$B:$B,"&lt;&gt;Lorena Dias de Araujo",$B:$B,"&lt;&gt;Lucas Luiz Romero")*(23/1083),IF(C4915="JR",SUMIFS($D:$D,$A:$A,$A4915,$B:$B,"&lt;&gt;Patrícia Karla de Sousa Araújo",$B:$B,"&lt;&gt;Lorena Dias de Araujo",$B:$B,"&lt;&gt;Lucas Luiz Romero")*(20/1083),IF(C4915="Estágio",SUMIFS($D:$D,$A:$A,$A4915,$B:$B,"&lt;&gt;Patrícia Karla de Sousa Araújo",$B:$B,"&lt;&gt;Lorena Dias de Araujo",$B:$B,"&lt;&gt;Lucas Luiz Romero")*(10/1083),0)))))),0)</f>
        <v/>
      </c>
      <c r="K4915" s="3">
        <f>I4915-J4915</f>
        <v/>
      </c>
      <c r="L4915" s="3">
        <f>IF(K4915&lt;-5,"CRÍTICO",IF(K4915&lt;0,"ATENÇÃO",IF(K4915&lt;=5,"OPORTUNO","MUITO BOM")))</f>
        <v/>
      </c>
    </row>
    <row r="4916">
      <c r="I4916" s="3">
        <f>E4916+G4916+H4916</f>
        <v/>
      </c>
      <c r="J4916" s="3">
        <f>ROUND(MIN(IF(C4916="Técnico III",35,IF(C4916="Técnico II",28,IF(C4916="Técnico I",23,IF(C4916="JR",20,IF(C4916="Estágio",10,0))))),IF(C4916="Técnico III",SUMIFS($D:$D,$A:$A,$A4916,$B:$B,"&lt;&gt;Patrícia Karla de Sousa Araújo",$B:$B,"&lt;&gt;Lorena Dias de Araujo",$B:$B,"&lt;&gt;Lucas Luiz Romero")*(35/1083),IF(C4916="Técnico II",SUMIFS($D:$D,$A:$A,$A4916,$B:$B,"&lt;&gt;Patrícia Karla de Sousa Araújo",$B:$B,"&lt;&gt;Lorena Dias de Araujo",$B:$B,"&lt;&gt;Lucas Luiz Romero")*(28/1083),IF(C4916="Técnico I",SUMIFS($D:$D,$A:$A,$A4916,$B:$B,"&lt;&gt;Patrícia Karla de Sousa Araújo",$B:$B,"&lt;&gt;Lorena Dias de Araujo",$B:$B,"&lt;&gt;Lucas Luiz Romero")*(23/1083),IF(C4916="JR",SUMIFS($D:$D,$A:$A,$A4916,$B:$B,"&lt;&gt;Patrícia Karla de Sousa Araújo",$B:$B,"&lt;&gt;Lorena Dias de Araujo",$B:$B,"&lt;&gt;Lucas Luiz Romero")*(20/1083),IF(C4916="Estágio",SUMIFS($D:$D,$A:$A,$A4916,$B:$B,"&lt;&gt;Patrícia Karla de Sousa Araújo",$B:$B,"&lt;&gt;Lorena Dias de Araujo",$B:$B,"&lt;&gt;Lucas Luiz Romero")*(10/1083),0)))))),0)</f>
        <v/>
      </c>
      <c r="K4916" s="3">
        <f>I4916-J4916</f>
        <v/>
      </c>
      <c r="L4916" s="3">
        <f>IF(K4916&lt;-5,"CRÍTICO",IF(K4916&lt;0,"ATENÇÃO",IF(K4916&lt;=5,"OPORTUNO","MUITO BOM")))</f>
        <v/>
      </c>
    </row>
    <row r="4917">
      <c r="I4917" s="3">
        <f>E4917+G4917+H4917</f>
        <v/>
      </c>
      <c r="J4917" s="3">
        <f>ROUND(MIN(IF(C4917="Técnico III",35,IF(C4917="Técnico II",28,IF(C4917="Técnico I",23,IF(C4917="JR",20,IF(C4917="Estágio",10,0))))),IF(C4917="Técnico III",SUMIFS($D:$D,$A:$A,$A4917,$B:$B,"&lt;&gt;Patrícia Karla de Sousa Araújo",$B:$B,"&lt;&gt;Lorena Dias de Araujo",$B:$B,"&lt;&gt;Lucas Luiz Romero")*(35/1083),IF(C4917="Técnico II",SUMIFS($D:$D,$A:$A,$A4917,$B:$B,"&lt;&gt;Patrícia Karla de Sousa Araújo",$B:$B,"&lt;&gt;Lorena Dias de Araujo",$B:$B,"&lt;&gt;Lucas Luiz Romero")*(28/1083),IF(C4917="Técnico I",SUMIFS($D:$D,$A:$A,$A4917,$B:$B,"&lt;&gt;Patrícia Karla de Sousa Araújo",$B:$B,"&lt;&gt;Lorena Dias de Araujo",$B:$B,"&lt;&gt;Lucas Luiz Romero")*(23/1083),IF(C4917="JR",SUMIFS($D:$D,$A:$A,$A4917,$B:$B,"&lt;&gt;Patrícia Karla de Sousa Araújo",$B:$B,"&lt;&gt;Lorena Dias de Araujo",$B:$B,"&lt;&gt;Lucas Luiz Romero")*(20/1083),IF(C4917="Estágio",SUMIFS($D:$D,$A:$A,$A4917,$B:$B,"&lt;&gt;Patrícia Karla de Sousa Araújo",$B:$B,"&lt;&gt;Lorena Dias de Araujo",$B:$B,"&lt;&gt;Lucas Luiz Romero")*(10/1083),0)))))),0)</f>
        <v/>
      </c>
      <c r="K4917" s="3">
        <f>I4917-J4917</f>
        <v/>
      </c>
      <c r="L4917" s="3">
        <f>IF(K4917&lt;-5,"CRÍTICO",IF(K4917&lt;0,"ATENÇÃO",IF(K4917&lt;=5,"OPORTUNO","MUITO BOM")))</f>
        <v/>
      </c>
    </row>
    <row r="4918">
      <c r="I4918" s="3">
        <f>E4918+G4918+H4918</f>
        <v/>
      </c>
      <c r="J4918" s="3">
        <f>ROUND(MIN(IF(C4918="Técnico III",35,IF(C4918="Técnico II",28,IF(C4918="Técnico I",23,IF(C4918="JR",20,IF(C4918="Estágio",10,0))))),IF(C4918="Técnico III",SUMIFS($D:$D,$A:$A,$A4918,$B:$B,"&lt;&gt;Patrícia Karla de Sousa Araújo",$B:$B,"&lt;&gt;Lorena Dias de Araujo",$B:$B,"&lt;&gt;Lucas Luiz Romero")*(35/1083),IF(C4918="Técnico II",SUMIFS($D:$D,$A:$A,$A4918,$B:$B,"&lt;&gt;Patrícia Karla de Sousa Araújo",$B:$B,"&lt;&gt;Lorena Dias de Araujo",$B:$B,"&lt;&gt;Lucas Luiz Romero")*(28/1083),IF(C4918="Técnico I",SUMIFS($D:$D,$A:$A,$A4918,$B:$B,"&lt;&gt;Patrícia Karla de Sousa Araújo",$B:$B,"&lt;&gt;Lorena Dias de Araujo",$B:$B,"&lt;&gt;Lucas Luiz Romero")*(23/1083),IF(C4918="JR",SUMIFS($D:$D,$A:$A,$A4918,$B:$B,"&lt;&gt;Patrícia Karla de Sousa Araújo",$B:$B,"&lt;&gt;Lorena Dias de Araujo",$B:$B,"&lt;&gt;Lucas Luiz Romero")*(20/1083),IF(C4918="Estágio",SUMIFS($D:$D,$A:$A,$A4918,$B:$B,"&lt;&gt;Patrícia Karla de Sousa Araújo",$B:$B,"&lt;&gt;Lorena Dias de Araujo",$B:$B,"&lt;&gt;Lucas Luiz Romero")*(10/1083),0)))))),0)</f>
        <v/>
      </c>
      <c r="K4918" s="3">
        <f>I4918-J4918</f>
        <v/>
      </c>
      <c r="L4918" s="3">
        <f>IF(K4918&lt;-5,"CRÍTICO",IF(K4918&lt;0,"ATENÇÃO",IF(K4918&lt;=5,"OPORTUNO","MUITO BOM")))</f>
        <v/>
      </c>
    </row>
    <row r="4919">
      <c r="I4919" s="3">
        <f>E4919+G4919+H4919</f>
        <v/>
      </c>
      <c r="J4919" s="3">
        <f>ROUND(MIN(IF(C4919="Técnico III",35,IF(C4919="Técnico II",28,IF(C4919="Técnico I",23,IF(C4919="JR",20,IF(C4919="Estágio",10,0))))),IF(C4919="Técnico III",SUMIFS($D:$D,$A:$A,$A4919,$B:$B,"&lt;&gt;Patrícia Karla de Sousa Araújo",$B:$B,"&lt;&gt;Lorena Dias de Araujo",$B:$B,"&lt;&gt;Lucas Luiz Romero")*(35/1083),IF(C4919="Técnico II",SUMIFS($D:$D,$A:$A,$A4919,$B:$B,"&lt;&gt;Patrícia Karla de Sousa Araújo",$B:$B,"&lt;&gt;Lorena Dias de Araujo",$B:$B,"&lt;&gt;Lucas Luiz Romero")*(28/1083),IF(C4919="Técnico I",SUMIFS($D:$D,$A:$A,$A4919,$B:$B,"&lt;&gt;Patrícia Karla de Sousa Araújo",$B:$B,"&lt;&gt;Lorena Dias de Araujo",$B:$B,"&lt;&gt;Lucas Luiz Romero")*(23/1083),IF(C4919="JR",SUMIFS($D:$D,$A:$A,$A4919,$B:$B,"&lt;&gt;Patrícia Karla de Sousa Araújo",$B:$B,"&lt;&gt;Lorena Dias de Araujo",$B:$B,"&lt;&gt;Lucas Luiz Romero")*(20/1083),IF(C4919="Estágio",SUMIFS($D:$D,$A:$A,$A4919,$B:$B,"&lt;&gt;Patrícia Karla de Sousa Araújo",$B:$B,"&lt;&gt;Lorena Dias de Araujo",$B:$B,"&lt;&gt;Lucas Luiz Romero")*(10/1083),0)))))),0)</f>
        <v/>
      </c>
      <c r="K4919" s="3">
        <f>I4919-J4919</f>
        <v/>
      </c>
      <c r="L4919" s="3">
        <f>IF(K4919&lt;-5,"CRÍTICO",IF(K4919&lt;0,"ATENÇÃO",IF(K4919&lt;=5,"OPORTUNO","MUITO BOM")))</f>
        <v/>
      </c>
    </row>
    <row r="4920">
      <c r="I4920" s="3">
        <f>E4920+G4920+H4920</f>
        <v/>
      </c>
      <c r="J4920" s="3">
        <f>ROUND(MIN(IF(C4920="Técnico III",35,IF(C4920="Técnico II",28,IF(C4920="Técnico I",23,IF(C4920="JR",20,IF(C4920="Estágio",10,0))))),IF(C4920="Técnico III",SUMIFS($D:$D,$A:$A,$A4920,$B:$B,"&lt;&gt;Patrícia Karla de Sousa Araújo",$B:$B,"&lt;&gt;Lorena Dias de Araujo",$B:$B,"&lt;&gt;Lucas Luiz Romero")*(35/1083),IF(C4920="Técnico II",SUMIFS($D:$D,$A:$A,$A4920,$B:$B,"&lt;&gt;Patrícia Karla de Sousa Araújo",$B:$B,"&lt;&gt;Lorena Dias de Araujo",$B:$B,"&lt;&gt;Lucas Luiz Romero")*(28/1083),IF(C4920="Técnico I",SUMIFS($D:$D,$A:$A,$A4920,$B:$B,"&lt;&gt;Patrícia Karla de Sousa Araújo",$B:$B,"&lt;&gt;Lorena Dias de Araujo",$B:$B,"&lt;&gt;Lucas Luiz Romero")*(23/1083),IF(C4920="JR",SUMIFS($D:$D,$A:$A,$A4920,$B:$B,"&lt;&gt;Patrícia Karla de Sousa Araújo",$B:$B,"&lt;&gt;Lorena Dias de Araujo",$B:$B,"&lt;&gt;Lucas Luiz Romero")*(20/1083),IF(C4920="Estágio",SUMIFS($D:$D,$A:$A,$A4920,$B:$B,"&lt;&gt;Patrícia Karla de Sousa Araújo",$B:$B,"&lt;&gt;Lorena Dias de Araujo",$B:$B,"&lt;&gt;Lucas Luiz Romero")*(10/1083),0)))))),0)</f>
        <v/>
      </c>
      <c r="K4920" s="3">
        <f>I4920-J4920</f>
        <v/>
      </c>
      <c r="L4920" s="3">
        <f>IF(K4920&lt;-5,"CRÍTICO",IF(K4920&lt;0,"ATENÇÃO",IF(K4920&lt;=5,"OPORTUNO","MUITO BOM")))</f>
        <v/>
      </c>
    </row>
    <row r="4921">
      <c r="I4921" s="3">
        <f>E4921+G4921+H4921</f>
        <v/>
      </c>
      <c r="J4921" s="3">
        <f>ROUND(MIN(IF(C4921="Técnico III",35,IF(C4921="Técnico II",28,IF(C4921="Técnico I",23,IF(C4921="JR",20,IF(C4921="Estágio",10,0))))),IF(C4921="Técnico III",SUMIFS($D:$D,$A:$A,$A4921,$B:$B,"&lt;&gt;Patrícia Karla de Sousa Araújo",$B:$B,"&lt;&gt;Lorena Dias de Araujo",$B:$B,"&lt;&gt;Lucas Luiz Romero")*(35/1083),IF(C4921="Técnico II",SUMIFS($D:$D,$A:$A,$A4921,$B:$B,"&lt;&gt;Patrícia Karla de Sousa Araújo",$B:$B,"&lt;&gt;Lorena Dias de Araujo",$B:$B,"&lt;&gt;Lucas Luiz Romero")*(28/1083),IF(C4921="Técnico I",SUMIFS($D:$D,$A:$A,$A4921,$B:$B,"&lt;&gt;Patrícia Karla de Sousa Araújo",$B:$B,"&lt;&gt;Lorena Dias de Araujo",$B:$B,"&lt;&gt;Lucas Luiz Romero")*(23/1083),IF(C4921="JR",SUMIFS($D:$D,$A:$A,$A4921,$B:$B,"&lt;&gt;Patrícia Karla de Sousa Araújo",$B:$B,"&lt;&gt;Lorena Dias de Araujo",$B:$B,"&lt;&gt;Lucas Luiz Romero")*(20/1083),IF(C4921="Estágio",SUMIFS($D:$D,$A:$A,$A4921,$B:$B,"&lt;&gt;Patrícia Karla de Sousa Araújo",$B:$B,"&lt;&gt;Lorena Dias de Araujo",$B:$B,"&lt;&gt;Lucas Luiz Romero")*(10/1083),0)))))),0)</f>
        <v/>
      </c>
      <c r="K4921" s="3">
        <f>I4921-J4921</f>
        <v/>
      </c>
      <c r="L4921" s="3">
        <f>IF(K4921&lt;-5,"CRÍTICO",IF(K4921&lt;0,"ATENÇÃO",IF(K4921&lt;=5,"OPORTUNO","MUITO BOM")))</f>
        <v/>
      </c>
    </row>
    <row r="4922">
      <c r="I4922" s="3">
        <f>E4922+G4922+H4922</f>
        <v/>
      </c>
      <c r="J4922" s="3">
        <f>ROUND(MIN(IF(C4922="Técnico III",35,IF(C4922="Técnico II",28,IF(C4922="Técnico I",23,IF(C4922="JR",20,IF(C4922="Estágio",10,0))))),IF(C4922="Técnico III",SUMIFS($D:$D,$A:$A,$A4922,$B:$B,"&lt;&gt;Patrícia Karla de Sousa Araújo",$B:$B,"&lt;&gt;Lorena Dias de Araujo",$B:$B,"&lt;&gt;Lucas Luiz Romero")*(35/1083),IF(C4922="Técnico II",SUMIFS($D:$D,$A:$A,$A4922,$B:$B,"&lt;&gt;Patrícia Karla de Sousa Araújo",$B:$B,"&lt;&gt;Lorena Dias de Araujo",$B:$B,"&lt;&gt;Lucas Luiz Romero")*(28/1083),IF(C4922="Técnico I",SUMIFS($D:$D,$A:$A,$A4922,$B:$B,"&lt;&gt;Patrícia Karla de Sousa Araújo",$B:$B,"&lt;&gt;Lorena Dias de Araujo",$B:$B,"&lt;&gt;Lucas Luiz Romero")*(23/1083),IF(C4922="JR",SUMIFS($D:$D,$A:$A,$A4922,$B:$B,"&lt;&gt;Patrícia Karla de Sousa Araújo",$B:$B,"&lt;&gt;Lorena Dias de Araujo",$B:$B,"&lt;&gt;Lucas Luiz Romero")*(20/1083),IF(C4922="Estágio",SUMIFS($D:$D,$A:$A,$A4922,$B:$B,"&lt;&gt;Patrícia Karla de Sousa Araújo",$B:$B,"&lt;&gt;Lorena Dias de Araujo",$B:$B,"&lt;&gt;Lucas Luiz Romero")*(10/1083),0)))))),0)</f>
        <v/>
      </c>
      <c r="K4922" s="3">
        <f>I4922-J4922</f>
        <v/>
      </c>
      <c r="L4922" s="3">
        <f>IF(K4922&lt;-5,"CRÍTICO",IF(K4922&lt;0,"ATENÇÃO",IF(K4922&lt;=5,"OPORTUNO","MUITO BOM")))</f>
        <v/>
      </c>
    </row>
    <row r="4923">
      <c r="I4923" s="3">
        <f>E4923+G4923+H4923</f>
        <v/>
      </c>
      <c r="J4923" s="3">
        <f>ROUND(MIN(IF(C4923="Técnico III",35,IF(C4923="Técnico II",28,IF(C4923="Técnico I",23,IF(C4923="JR",20,IF(C4923="Estágio",10,0))))),IF(C4923="Técnico III",SUMIFS($D:$D,$A:$A,$A4923,$B:$B,"&lt;&gt;Patrícia Karla de Sousa Araújo",$B:$B,"&lt;&gt;Lorena Dias de Araujo",$B:$B,"&lt;&gt;Lucas Luiz Romero")*(35/1083),IF(C4923="Técnico II",SUMIFS($D:$D,$A:$A,$A4923,$B:$B,"&lt;&gt;Patrícia Karla de Sousa Araújo",$B:$B,"&lt;&gt;Lorena Dias de Araujo",$B:$B,"&lt;&gt;Lucas Luiz Romero")*(28/1083),IF(C4923="Técnico I",SUMIFS($D:$D,$A:$A,$A4923,$B:$B,"&lt;&gt;Patrícia Karla de Sousa Araújo",$B:$B,"&lt;&gt;Lorena Dias de Araujo",$B:$B,"&lt;&gt;Lucas Luiz Romero")*(23/1083),IF(C4923="JR",SUMIFS($D:$D,$A:$A,$A4923,$B:$B,"&lt;&gt;Patrícia Karla de Sousa Araújo",$B:$B,"&lt;&gt;Lorena Dias de Araujo",$B:$B,"&lt;&gt;Lucas Luiz Romero")*(20/1083),IF(C4923="Estágio",SUMIFS($D:$D,$A:$A,$A4923,$B:$B,"&lt;&gt;Patrícia Karla de Sousa Araújo",$B:$B,"&lt;&gt;Lorena Dias de Araujo",$B:$B,"&lt;&gt;Lucas Luiz Romero")*(10/1083),0)))))),0)</f>
        <v/>
      </c>
      <c r="K4923" s="3">
        <f>I4923-J4923</f>
        <v/>
      </c>
      <c r="L4923" s="3">
        <f>IF(K4923&lt;-5,"CRÍTICO",IF(K4923&lt;0,"ATENÇÃO",IF(K4923&lt;=5,"OPORTUNO","MUITO BOM")))</f>
        <v/>
      </c>
    </row>
    <row r="4924">
      <c r="I4924" s="3">
        <f>E4924+G4924+H4924</f>
        <v/>
      </c>
      <c r="J4924" s="3">
        <f>ROUND(MIN(IF(C4924="Técnico III",35,IF(C4924="Técnico II",28,IF(C4924="Técnico I",23,IF(C4924="JR",20,IF(C4924="Estágio",10,0))))),IF(C4924="Técnico III",SUMIFS($D:$D,$A:$A,$A4924,$B:$B,"&lt;&gt;Patrícia Karla de Sousa Araújo",$B:$B,"&lt;&gt;Lorena Dias de Araujo",$B:$B,"&lt;&gt;Lucas Luiz Romero")*(35/1083),IF(C4924="Técnico II",SUMIFS($D:$D,$A:$A,$A4924,$B:$B,"&lt;&gt;Patrícia Karla de Sousa Araújo",$B:$B,"&lt;&gt;Lorena Dias de Araujo",$B:$B,"&lt;&gt;Lucas Luiz Romero")*(28/1083),IF(C4924="Técnico I",SUMIFS($D:$D,$A:$A,$A4924,$B:$B,"&lt;&gt;Patrícia Karla de Sousa Araújo",$B:$B,"&lt;&gt;Lorena Dias de Araujo",$B:$B,"&lt;&gt;Lucas Luiz Romero")*(23/1083),IF(C4924="JR",SUMIFS($D:$D,$A:$A,$A4924,$B:$B,"&lt;&gt;Patrícia Karla de Sousa Araújo",$B:$B,"&lt;&gt;Lorena Dias de Araujo",$B:$B,"&lt;&gt;Lucas Luiz Romero")*(20/1083),IF(C4924="Estágio",SUMIFS($D:$D,$A:$A,$A4924,$B:$B,"&lt;&gt;Patrícia Karla de Sousa Araújo",$B:$B,"&lt;&gt;Lorena Dias de Araujo",$B:$B,"&lt;&gt;Lucas Luiz Romero")*(10/1083),0)))))),0)</f>
        <v/>
      </c>
      <c r="K4924" s="3">
        <f>I4924-J4924</f>
        <v/>
      </c>
      <c r="L4924" s="3">
        <f>IF(K4924&lt;-5,"CRÍTICO",IF(K4924&lt;0,"ATENÇÃO",IF(K4924&lt;=5,"OPORTUNO","MUITO BOM")))</f>
        <v/>
      </c>
    </row>
    <row r="4925">
      <c r="I4925" s="3">
        <f>E4925+G4925+H4925</f>
        <v/>
      </c>
      <c r="J4925" s="3">
        <f>ROUND(MIN(IF(C4925="Técnico III",35,IF(C4925="Técnico II",28,IF(C4925="Técnico I",23,IF(C4925="JR",20,IF(C4925="Estágio",10,0))))),IF(C4925="Técnico III",SUMIFS($D:$D,$A:$A,$A4925,$B:$B,"&lt;&gt;Patrícia Karla de Sousa Araújo",$B:$B,"&lt;&gt;Lorena Dias de Araujo",$B:$B,"&lt;&gt;Lucas Luiz Romero")*(35/1083),IF(C4925="Técnico II",SUMIFS($D:$D,$A:$A,$A4925,$B:$B,"&lt;&gt;Patrícia Karla de Sousa Araújo",$B:$B,"&lt;&gt;Lorena Dias de Araujo",$B:$B,"&lt;&gt;Lucas Luiz Romero")*(28/1083),IF(C4925="Técnico I",SUMIFS($D:$D,$A:$A,$A4925,$B:$B,"&lt;&gt;Patrícia Karla de Sousa Araújo",$B:$B,"&lt;&gt;Lorena Dias de Araujo",$B:$B,"&lt;&gt;Lucas Luiz Romero")*(23/1083),IF(C4925="JR",SUMIFS($D:$D,$A:$A,$A4925,$B:$B,"&lt;&gt;Patrícia Karla de Sousa Araújo",$B:$B,"&lt;&gt;Lorena Dias de Araujo",$B:$B,"&lt;&gt;Lucas Luiz Romero")*(20/1083),IF(C4925="Estágio",SUMIFS($D:$D,$A:$A,$A4925,$B:$B,"&lt;&gt;Patrícia Karla de Sousa Araújo",$B:$B,"&lt;&gt;Lorena Dias de Araujo",$B:$B,"&lt;&gt;Lucas Luiz Romero")*(10/1083),0)))))),0)</f>
        <v/>
      </c>
      <c r="K4925" s="3">
        <f>I4925-J4925</f>
        <v/>
      </c>
      <c r="L4925" s="3">
        <f>IF(K4925&lt;-5,"CRÍTICO",IF(K4925&lt;0,"ATENÇÃO",IF(K4925&lt;=5,"OPORTUNO","MUITO BOM")))</f>
        <v/>
      </c>
    </row>
    <row r="4926">
      <c r="I4926" s="3">
        <f>E4926+G4926+H4926</f>
        <v/>
      </c>
      <c r="J4926" s="3">
        <f>ROUND(MIN(IF(C4926="Técnico III",35,IF(C4926="Técnico II",28,IF(C4926="Técnico I",23,IF(C4926="JR",20,IF(C4926="Estágio",10,0))))),IF(C4926="Técnico III",SUMIFS($D:$D,$A:$A,$A4926,$B:$B,"&lt;&gt;Patrícia Karla de Sousa Araújo",$B:$B,"&lt;&gt;Lorena Dias de Araujo",$B:$B,"&lt;&gt;Lucas Luiz Romero")*(35/1083),IF(C4926="Técnico II",SUMIFS($D:$D,$A:$A,$A4926,$B:$B,"&lt;&gt;Patrícia Karla de Sousa Araújo",$B:$B,"&lt;&gt;Lorena Dias de Araujo",$B:$B,"&lt;&gt;Lucas Luiz Romero")*(28/1083),IF(C4926="Técnico I",SUMIFS($D:$D,$A:$A,$A4926,$B:$B,"&lt;&gt;Patrícia Karla de Sousa Araújo",$B:$B,"&lt;&gt;Lorena Dias de Araujo",$B:$B,"&lt;&gt;Lucas Luiz Romero")*(23/1083),IF(C4926="JR",SUMIFS($D:$D,$A:$A,$A4926,$B:$B,"&lt;&gt;Patrícia Karla de Sousa Araújo",$B:$B,"&lt;&gt;Lorena Dias de Araujo",$B:$B,"&lt;&gt;Lucas Luiz Romero")*(20/1083),IF(C4926="Estágio",SUMIFS($D:$D,$A:$A,$A4926,$B:$B,"&lt;&gt;Patrícia Karla de Sousa Araújo",$B:$B,"&lt;&gt;Lorena Dias de Araujo",$B:$B,"&lt;&gt;Lucas Luiz Romero")*(10/1083),0)))))),0)</f>
        <v/>
      </c>
      <c r="K4926" s="3">
        <f>I4926-J4926</f>
        <v/>
      </c>
      <c r="L4926" s="3">
        <f>IF(K4926&lt;-5,"CRÍTICO",IF(K4926&lt;0,"ATENÇÃO",IF(K4926&lt;=5,"OPORTUNO","MUITO BOM")))</f>
        <v/>
      </c>
    </row>
    <row r="4927">
      <c r="I4927" s="3">
        <f>E4927+G4927+H4927</f>
        <v/>
      </c>
      <c r="J4927" s="3">
        <f>ROUND(MIN(IF(C4927="Técnico III",35,IF(C4927="Técnico II",28,IF(C4927="Técnico I",23,IF(C4927="JR",20,IF(C4927="Estágio",10,0))))),IF(C4927="Técnico III",SUMIFS($D:$D,$A:$A,$A4927,$B:$B,"&lt;&gt;Patrícia Karla de Sousa Araújo",$B:$B,"&lt;&gt;Lorena Dias de Araujo",$B:$B,"&lt;&gt;Lucas Luiz Romero")*(35/1083),IF(C4927="Técnico II",SUMIFS($D:$D,$A:$A,$A4927,$B:$B,"&lt;&gt;Patrícia Karla de Sousa Araújo",$B:$B,"&lt;&gt;Lorena Dias de Araujo",$B:$B,"&lt;&gt;Lucas Luiz Romero")*(28/1083),IF(C4927="Técnico I",SUMIFS($D:$D,$A:$A,$A4927,$B:$B,"&lt;&gt;Patrícia Karla de Sousa Araújo",$B:$B,"&lt;&gt;Lorena Dias de Araujo",$B:$B,"&lt;&gt;Lucas Luiz Romero")*(23/1083),IF(C4927="JR",SUMIFS($D:$D,$A:$A,$A4927,$B:$B,"&lt;&gt;Patrícia Karla de Sousa Araújo",$B:$B,"&lt;&gt;Lorena Dias de Araujo",$B:$B,"&lt;&gt;Lucas Luiz Romero")*(20/1083),IF(C4927="Estágio",SUMIFS($D:$D,$A:$A,$A4927,$B:$B,"&lt;&gt;Patrícia Karla de Sousa Araújo",$B:$B,"&lt;&gt;Lorena Dias de Araujo",$B:$B,"&lt;&gt;Lucas Luiz Romero")*(10/1083),0)))))),0)</f>
        <v/>
      </c>
      <c r="K4927" s="3">
        <f>I4927-J4927</f>
        <v/>
      </c>
      <c r="L4927" s="3">
        <f>IF(K4927&lt;-5,"CRÍTICO",IF(K4927&lt;0,"ATENÇÃO",IF(K4927&lt;=5,"OPORTUNO","MUITO BOM")))</f>
        <v/>
      </c>
    </row>
    <row r="4928">
      <c r="I4928" s="3">
        <f>E4928+G4928+H4928</f>
        <v/>
      </c>
      <c r="J4928" s="3">
        <f>ROUND(MIN(IF(C4928="Técnico III",35,IF(C4928="Técnico II",28,IF(C4928="Técnico I",23,IF(C4928="JR",20,IF(C4928="Estágio",10,0))))),IF(C4928="Técnico III",SUMIFS($D:$D,$A:$A,$A4928,$B:$B,"&lt;&gt;Patrícia Karla de Sousa Araújo",$B:$B,"&lt;&gt;Lorena Dias de Araujo",$B:$B,"&lt;&gt;Lucas Luiz Romero")*(35/1083),IF(C4928="Técnico II",SUMIFS($D:$D,$A:$A,$A4928,$B:$B,"&lt;&gt;Patrícia Karla de Sousa Araújo",$B:$B,"&lt;&gt;Lorena Dias de Araujo",$B:$B,"&lt;&gt;Lucas Luiz Romero")*(28/1083),IF(C4928="Técnico I",SUMIFS($D:$D,$A:$A,$A4928,$B:$B,"&lt;&gt;Patrícia Karla de Sousa Araújo",$B:$B,"&lt;&gt;Lorena Dias de Araujo",$B:$B,"&lt;&gt;Lucas Luiz Romero")*(23/1083),IF(C4928="JR",SUMIFS($D:$D,$A:$A,$A4928,$B:$B,"&lt;&gt;Patrícia Karla de Sousa Araújo",$B:$B,"&lt;&gt;Lorena Dias de Araujo",$B:$B,"&lt;&gt;Lucas Luiz Romero")*(20/1083),IF(C4928="Estágio",SUMIFS($D:$D,$A:$A,$A4928,$B:$B,"&lt;&gt;Patrícia Karla de Sousa Araújo",$B:$B,"&lt;&gt;Lorena Dias de Araujo",$B:$B,"&lt;&gt;Lucas Luiz Romero")*(10/1083),0)))))),0)</f>
        <v/>
      </c>
      <c r="K4928" s="3">
        <f>I4928-J4928</f>
        <v/>
      </c>
      <c r="L4928" s="3">
        <f>IF(K4928&lt;-5,"CRÍTICO",IF(K4928&lt;0,"ATENÇÃO",IF(K4928&lt;=5,"OPORTUNO","MUITO BOM")))</f>
        <v/>
      </c>
    </row>
    <row r="4929">
      <c r="I4929" s="3">
        <f>E4929+G4929+H4929</f>
        <v/>
      </c>
      <c r="J4929" s="3">
        <f>ROUND(MIN(IF(C4929="Técnico III",35,IF(C4929="Técnico II",28,IF(C4929="Técnico I",23,IF(C4929="JR",20,IF(C4929="Estágio",10,0))))),IF(C4929="Técnico III",SUMIFS($D:$D,$A:$A,$A4929,$B:$B,"&lt;&gt;Patrícia Karla de Sousa Araújo",$B:$B,"&lt;&gt;Lorena Dias de Araujo",$B:$B,"&lt;&gt;Lucas Luiz Romero")*(35/1083),IF(C4929="Técnico II",SUMIFS($D:$D,$A:$A,$A4929,$B:$B,"&lt;&gt;Patrícia Karla de Sousa Araújo",$B:$B,"&lt;&gt;Lorena Dias de Araujo",$B:$B,"&lt;&gt;Lucas Luiz Romero")*(28/1083),IF(C4929="Técnico I",SUMIFS($D:$D,$A:$A,$A4929,$B:$B,"&lt;&gt;Patrícia Karla de Sousa Araújo",$B:$B,"&lt;&gt;Lorena Dias de Araujo",$B:$B,"&lt;&gt;Lucas Luiz Romero")*(23/1083),IF(C4929="JR",SUMIFS($D:$D,$A:$A,$A4929,$B:$B,"&lt;&gt;Patrícia Karla de Sousa Araújo",$B:$B,"&lt;&gt;Lorena Dias de Araujo",$B:$B,"&lt;&gt;Lucas Luiz Romero")*(20/1083),IF(C4929="Estágio",SUMIFS($D:$D,$A:$A,$A4929,$B:$B,"&lt;&gt;Patrícia Karla de Sousa Araújo",$B:$B,"&lt;&gt;Lorena Dias de Araujo",$B:$B,"&lt;&gt;Lucas Luiz Romero")*(10/1083),0)))))),0)</f>
        <v/>
      </c>
      <c r="K4929" s="3">
        <f>I4929-J4929</f>
        <v/>
      </c>
      <c r="L4929" s="3">
        <f>IF(K4929&lt;-5,"CRÍTICO",IF(K4929&lt;0,"ATENÇÃO",IF(K4929&lt;=5,"OPORTUNO","MUITO BOM")))</f>
        <v/>
      </c>
    </row>
    <row r="4930">
      <c r="I4930" s="3">
        <f>E4930+G4930+H4930</f>
        <v/>
      </c>
      <c r="J4930" s="3">
        <f>ROUND(MIN(IF(C4930="Técnico III",35,IF(C4930="Técnico II",28,IF(C4930="Técnico I",23,IF(C4930="JR",20,IF(C4930="Estágio",10,0))))),IF(C4930="Técnico III",SUMIFS($D:$D,$A:$A,$A4930,$B:$B,"&lt;&gt;Patrícia Karla de Sousa Araújo",$B:$B,"&lt;&gt;Lorena Dias de Araujo",$B:$B,"&lt;&gt;Lucas Luiz Romero")*(35/1083),IF(C4930="Técnico II",SUMIFS($D:$D,$A:$A,$A4930,$B:$B,"&lt;&gt;Patrícia Karla de Sousa Araújo",$B:$B,"&lt;&gt;Lorena Dias de Araujo",$B:$B,"&lt;&gt;Lucas Luiz Romero")*(28/1083),IF(C4930="Técnico I",SUMIFS($D:$D,$A:$A,$A4930,$B:$B,"&lt;&gt;Patrícia Karla de Sousa Araújo",$B:$B,"&lt;&gt;Lorena Dias de Araujo",$B:$B,"&lt;&gt;Lucas Luiz Romero")*(23/1083),IF(C4930="JR",SUMIFS($D:$D,$A:$A,$A4930,$B:$B,"&lt;&gt;Patrícia Karla de Sousa Araújo",$B:$B,"&lt;&gt;Lorena Dias de Araujo",$B:$B,"&lt;&gt;Lucas Luiz Romero")*(20/1083),IF(C4930="Estágio",SUMIFS($D:$D,$A:$A,$A4930,$B:$B,"&lt;&gt;Patrícia Karla de Sousa Araújo",$B:$B,"&lt;&gt;Lorena Dias de Araujo",$B:$B,"&lt;&gt;Lucas Luiz Romero")*(10/1083),0)))))),0)</f>
        <v/>
      </c>
      <c r="K4930" s="3">
        <f>I4930-J4930</f>
        <v/>
      </c>
      <c r="L4930" s="3">
        <f>IF(K4930&lt;-5,"CRÍTICO",IF(K4930&lt;0,"ATENÇÃO",IF(K4930&lt;=5,"OPORTUNO","MUITO BOM")))</f>
        <v/>
      </c>
    </row>
    <row r="4931">
      <c r="I4931" s="3">
        <f>E4931+G4931+H4931</f>
        <v/>
      </c>
      <c r="J4931" s="3">
        <f>ROUND(MIN(IF(C4931="Técnico III",35,IF(C4931="Técnico II",28,IF(C4931="Técnico I",23,IF(C4931="JR",20,IF(C4931="Estágio",10,0))))),IF(C4931="Técnico III",SUMIFS($D:$D,$A:$A,$A4931,$B:$B,"&lt;&gt;Patrícia Karla de Sousa Araújo",$B:$B,"&lt;&gt;Lorena Dias de Araujo",$B:$B,"&lt;&gt;Lucas Luiz Romero")*(35/1083),IF(C4931="Técnico II",SUMIFS($D:$D,$A:$A,$A4931,$B:$B,"&lt;&gt;Patrícia Karla de Sousa Araújo",$B:$B,"&lt;&gt;Lorena Dias de Araujo",$B:$B,"&lt;&gt;Lucas Luiz Romero")*(28/1083),IF(C4931="Técnico I",SUMIFS($D:$D,$A:$A,$A4931,$B:$B,"&lt;&gt;Patrícia Karla de Sousa Araújo",$B:$B,"&lt;&gt;Lorena Dias de Araujo",$B:$B,"&lt;&gt;Lucas Luiz Romero")*(23/1083),IF(C4931="JR",SUMIFS($D:$D,$A:$A,$A4931,$B:$B,"&lt;&gt;Patrícia Karla de Sousa Araújo",$B:$B,"&lt;&gt;Lorena Dias de Araujo",$B:$B,"&lt;&gt;Lucas Luiz Romero")*(20/1083),IF(C4931="Estágio",SUMIFS($D:$D,$A:$A,$A4931,$B:$B,"&lt;&gt;Patrícia Karla de Sousa Araújo",$B:$B,"&lt;&gt;Lorena Dias de Araujo",$B:$B,"&lt;&gt;Lucas Luiz Romero")*(10/1083),0)))))),0)</f>
        <v/>
      </c>
      <c r="K4931" s="3">
        <f>I4931-J4931</f>
        <v/>
      </c>
      <c r="L4931" s="3">
        <f>IF(K4931&lt;-5,"CRÍTICO",IF(K4931&lt;0,"ATENÇÃO",IF(K4931&lt;=5,"OPORTUNO","MUITO BOM")))</f>
        <v/>
      </c>
    </row>
    <row r="4932">
      <c r="I4932" s="3">
        <f>E4932+G4932+H4932</f>
        <v/>
      </c>
      <c r="J4932" s="3">
        <f>ROUND(MIN(IF(C4932="Técnico III",35,IF(C4932="Técnico II",28,IF(C4932="Técnico I",23,IF(C4932="JR",20,IF(C4932="Estágio",10,0))))),IF(C4932="Técnico III",SUMIFS($D:$D,$A:$A,$A4932,$B:$B,"&lt;&gt;Patrícia Karla de Sousa Araújo",$B:$B,"&lt;&gt;Lorena Dias de Araujo",$B:$B,"&lt;&gt;Lucas Luiz Romero")*(35/1083),IF(C4932="Técnico II",SUMIFS($D:$D,$A:$A,$A4932,$B:$B,"&lt;&gt;Patrícia Karla de Sousa Araújo",$B:$B,"&lt;&gt;Lorena Dias de Araujo",$B:$B,"&lt;&gt;Lucas Luiz Romero")*(28/1083),IF(C4932="Técnico I",SUMIFS($D:$D,$A:$A,$A4932,$B:$B,"&lt;&gt;Patrícia Karla de Sousa Araújo",$B:$B,"&lt;&gt;Lorena Dias de Araujo",$B:$B,"&lt;&gt;Lucas Luiz Romero")*(23/1083),IF(C4932="JR",SUMIFS($D:$D,$A:$A,$A4932,$B:$B,"&lt;&gt;Patrícia Karla de Sousa Araújo",$B:$B,"&lt;&gt;Lorena Dias de Araujo",$B:$B,"&lt;&gt;Lucas Luiz Romero")*(20/1083),IF(C4932="Estágio",SUMIFS($D:$D,$A:$A,$A4932,$B:$B,"&lt;&gt;Patrícia Karla de Sousa Araújo",$B:$B,"&lt;&gt;Lorena Dias de Araujo",$B:$B,"&lt;&gt;Lucas Luiz Romero")*(10/1083),0)))))),0)</f>
        <v/>
      </c>
      <c r="K4932" s="3">
        <f>I4932-J4932</f>
        <v/>
      </c>
      <c r="L4932" s="3">
        <f>IF(K4932&lt;-5,"CRÍTICO",IF(K4932&lt;0,"ATENÇÃO",IF(K4932&lt;=5,"OPORTUNO","MUITO BOM")))</f>
        <v/>
      </c>
    </row>
    <row r="4933">
      <c r="I4933" s="3">
        <f>E4933+G4933+H4933</f>
        <v/>
      </c>
      <c r="J4933" s="3">
        <f>ROUND(MIN(IF(C4933="Técnico III",35,IF(C4933="Técnico II",28,IF(C4933="Técnico I",23,IF(C4933="JR",20,IF(C4933="Estágio",10,0))))),IF(C4933="Técnico III",SUMIFS($D:$D,$A:$A,$A4933,$B:$B,"&lt;&gt;Patrícia Karla de Sousa Araújo",$B:$B,"&lt;&gt;Lorena Dias de Araujo",$B:$B,"&lt;&gt;Lucas Luiz Romero")*(35/1083),IF(C4933="Técnico II",SUMIFS($D:$D,$A:$A,$A4933,$B:$B,"&lt;&gt;Patrícia Karla de Sousa Araújo",$B:$B,"&lt;&gt;Lorena Dias de Araujo",$B:$B,"&lt;&gt;Lucas Luiz Romero")*(28/1083),IF(C4933="Técnico I",SUMIFS($D:$D,$A:$A,$A4933,$B:$B,"&lt;&gt;Patrícia Karla de Sousa Araújo",$B:$B,"&lt;&gt;Lorena Dias de Araujo",$B:$B,"&lt;&gt;Lucas Luiz Romero")*(23/1083),IF(C4933="JR",SUMIFS($D:$D,$A:$A,$A4933,$B:$B,"&lt;&gt;Patrícia Karla de Sousa Araújo",$B:$B,"&lt;&gt;Lorena Dias de Araujo",$B:$B,"&lt;&gt;Lucas Luiz Romero")*(20/1083),IF(C4933="Estágio",SUMIFS($D:$D,$A:$A,$A4933,$B:$B,"&lt;&gt;Patrícia Karla de Sousa Araújo",$B:$B,"&lt;&gt;Lorena Dias de Araujo",$B:$B,"&lt;&gt;Lucas Luiz Romero")*(10/1083),0)))))),0)</f>
        <v/>
      </c>
      <c r="K4933" s="3">
        <f>I4933-J4933</f>
        <v/>
      </c>
      <c r="L4933" s="3">
        <f>IF(K4933&lt;-5,"CRÍTICO",IF(K4933&lt;0,"ATENÇÃO",IF(K4933&lt;=5,"OPORTUNO","MUITO BOM")))</f>
        <v/>
      </c>
    </row>
    <row r="4934">
      <c r="I4934" s="3">
        <f>E4934+G4934+H4934</f>
        <v/>
      </c>
      <c r="J4934" s="3">
        <f>ROUND(MIN(IF(C4934="Técnico III",35,IF(C4934="Técnico II",28,IF(C4934="Técnico I",23,IF(C4934="JR",20,IF(C4934="Estágio",10,0))))),IF(C4934="Técnico III",SUMIFS($D:$D,$A:$A,$A4934,$B:$B,"&lt;&gt;Patrícia Karla de Sousa Araújo",$B:$B,"&lt;&gt;Lorena Dias de Araujo",$B:$B,"&lt;&gt;Lucas Luiz Romero")*(35/1083),IF(C4934="Técnico II",SUMIFS($D:$D,$A:$A,$A4934,$B:$B,"&lt;&gt;Patrícia Karla de Sousa Araújo",$B:$B,"&lt;&gt;Lorena Dias de Araujo",$B:$B,"&lt;&gt;Lucas Luiz Romero")*(28/1083),IF(C4934="Técnico I",SUMIFS($D:$D,$A:$A,$A4934,$B:$B,"&lt;&gt;Patrícia Karla de Sousa Araújo",$B:$B,"&lt;&gt;Lorena Dias de Araujo",$B:$B,"&lt;&gt;Lucas Luiz Romero")*(23/1083),IF(C4934="JR",SUMIFS($D:$D,$A:$A,$A4934,$B:$B,"&lt;&gt;Patrícia Karla de Sousa Araújo",$B:$B,"&lt;&gt;Lorena Dias de Araujo",$B:$B,"&lt;&gt;Lucas Luiz Romero")*(20/1083),IF(C4934="Estágio",SUMIFS($D:$D,$A:$A,$A4934,$B:$B,"&lt;&gt;Patrícia Karla de Sousa Araújo",$B:$B,"&lt;&gt;Lorena Dias de Araujo",$B:$B,"&lt;&gt;Lucas Luiz Romero")*(10/1083),0)))))),0)</f>
        <v/>
      </c>
      <c r="K4934" s="3">
        <f>I4934-J4934</f>
        <v/>
      </c>
      <c r="L4934" s="3">
        <f>IF(K4934&lt;-5,"CRÍTICO",IF(K4934&lt;0,"ATENÇÃO",IF(K4934&lt;=5,"OPORTUNO","MUITO BOM")))</f>
        <v/>
      </c>
    </row>
    <row r="4935">
      <c r="I4935" s="3">
        <f>E4935+G4935+H4935</f>
        <v/>
      </c>
      <c r="J4935" s="3">
        <f>ROUND(MIN(IF(C4935="Técnico III",35,IF(C4935="Técnico II",28,IF(C4935="Técnico I",23,IF(C4935="JR",20,IF(C4935="Estágio",10,0))))),IF(C4935="Técnico III",SUMIFS($D:$D,$A:$A,$A4935,$B:$B,"&lt;&gt;Patrícia Karla de Sousa Araújo",$B:$B,"&lt;&gt;Lorena Dias de Araujo",$B:$B,"&lt;&gt;Lucas Luiz Romero")*(35/1083),IF(C4935="Técnico II",SUMIFS($D:$D,$A:$A,$A4935,$B:$B,"&lt;&gt;Patrícia Karla de Sousa Araújo",$B:$B,"&lt;&gt;Lorena Dias de Araujo",$B:$B,"&lt;&gt;Lucas Luiz Romero")*(28/1083),IF(C4935="Técnico I",SUMIFS($D:$D,$A:$A,$A4935,$B:$B,"&lt;&gt;Patrícia Karla de Sousa Araújo",$B:$B,"&lt;&gt;Lorena Dias de Araujo",$B:$B,"&lt;&gt;Lucas Luiz Romero")*(23/1083),IF(C4935="JR",SUMIFS($D:$D,$A:$A,$A4935,$B:$B,"&lt;&gt;Patrícia Karla de Sousa Araújo",$B:$B,"&lt;&gt;Lorena Dias de Araujo",$B:$B,"&lt;&gt;Lucas Luiz Romero")*(20/1083),IF(C4935="Estágio",SUMIFS($D:$D,$A:$A,$A4935,$B:$B,"&lt;&gt;Patrícia Karla de Sousa Araújo",$B:$B,"&lt;&gt;Lorena Dias de Araujo",$B:$B,"&lt;&gt;Lucas Luiz Romero")*(10/1083),0)))))),0)</f>
        <v/>
      </c>
      <c r="K4935" s="3">
        <f>I4935-J4935</f>
        <v/>
      </c>
      <c r="L4935" s="3">
        <f>IF(K4935&lt;-5,"CRÍTICO",IF(K4935&lt;0,"ATENÇÃO",IF(K4935&lt;=5,"OPORTUNO","MUITO BOM")))</f>
        <v/>
      </c>
    </row>
    <row r="4936">
      <c r="I4936" s="3">
        <f>E4936+G4936+H4936</f>
        <v/>
      </c>
      <c r="J4936" s="3">
        <f>ROUND(MIN(IF(C4936="Técnico III",35,IF(C4936="Técnico II",28,IF(C4936="Técnico I",23,IF(C4936="JR",20,IF(C4936="Estágio",10,0))))),IF(C4936="Técnico III",SUMIFS($D:$D,$A:$A,$A4936,$B:$B,"&lt;&gt;Patrícia Karla de Sousa Araújo",$B:$B,"&lt;&gt;Lorena Dias de Araujo",$B:$B,"&lt;&gt;Lucas Luiz Romero")*(35/1083),IF(C4936="Técnico II",SUMIFS($D:$D,$A:$A,$A4936,$B:$B,"&lt;&gt;Patrícia Karla de Sousa Araújo",$B:$B,"&lt;&gt;Lorena Dias de Araujo",$B:$B,"&lt;&gt;Lucas Luiz Romero")*(28/1083),IF(C4936="Técnico I",SUMIFS($D:$D,$A:$A,$A4936,$B:$B,"&lt;&gt;Patrícia Karla de Sousa Araújo",$B:$B,"&lt;&gt;Lorena Dias de Araujo",$B:$B,"&lt;&gt;Lucas Luiz Romero")*(23/1083),IF(C4936="JR",SUMIFS($D:$D,$A:$A,$A4936,$B:$B,"&lt;&gt;Patrícia Karla de Sousa Araújo",$B:$B,"&lt;&gt;Lorena Dias de Araujo",$B:$B,"&lt;&gt;Lucas Luiz Romero")*(20/1083),IF(C4936="Estágio",SUMIFS($D:$D,$A:$A,$A4936,$B:$B,"&lt;&gt;Patrícia Karla de Sousa Araújo",$B:$B,"&lt;&gt;Lorena Dias de Araujo",$B:$B,"&lt;&gt;Lucas Luiz Romero")*(10/1083),0)))))),0)</f>
        <v/>
      </c>
      <c r="K4936" s="3">
        <f>I4936-J4936</f>
        <v/>
      </c>
      <c r="L4936" s="3">
        <f>IF(K4936&lt;-5,"CRÍTICO",IF(K4936&lt;0,"ATENÇÃO",IF(K4936&lt;=5,"OPORTUNO","MUITO BOM")))</f>
        <v/>
      </c>
    </row>
    <row r="4937">
      <c r="I4937" s="3">
        <f>E4937+G4937+H4937</f>
        <v/>
      </c>
      <c r="J4937" s="3">
        <f>ROUND(MIN(IF(C4937="Técnico III",35,IF(C4937="Técnico II",28,IF(C4937="Técnico I",23,IF(C4937="JR",20,IF(C4937="Estágio",10,0))))),IF(C4937="Técnico III",SUMIFS($D:$D,$A:$A,$A4937,$B:$B,"&lt;&gt;Patrícia Karla de Sousa Araújo",$B:$B,"&lt;&gt;Lorena Dias de Araujo",$B:$B,"&lt;&gt;Lucas Luiz Romero")*(35/1083),IF(C4937="Técnico II",SUMIFS($D:$D,$A:$A,$A4937,$B:$B,"&lt;&gt;Patrícia Karla de Sousa Araújo",$B:$B,"&lt;&gt;Lorena Dias de Araujo",$B:$B,"&lt;&gt;Lucas Luiz Romero")*(28/1083),IF(C4937="Técnico I",SUMIFS($D:$D,$A:$A,$A4937,$B:$B,"&lt;&gt;Patrícia Karla de Sousa Araújo",$B:$B,"&lt;&gt;Lorena Dias de Araujo",$B:$B,"&lt;&gt;Lucas Luiz Romero")*(23/1083),IF(C4937="JR",SUMIFS($D:$D,$A:$A,$A4937,$B:$B,"&lt;&gt;Patrícia Karla de Sousa Araújo",$B:$B,"&lt;&gt;Lorena Dias de Araujo",$B:$B,"&lt;&gt;Lucas Luiz Romero")*(20/1083),IF(C4937="Estágio",SUMIFS($D:$D,$A:$A,$A4937,$B:$B,"&lt;&gt;Patrícia Karla de Sousa Araújo",$B:$B,"&lt;&gt;Lorena Dias de Araujo",$B:$B,"&lt;&gt;Lucas Luiz Romero")*(10/1083),0)))))),0)</f>
        <v/>
      </c>
      <c r="K4937" s="3">
        <f>I4937-J4937</f>
        <v/>
      </c>
      <c r="L4937" s="3">
        <f>IF(K4937&lt;-5,"CRÍTICO",IF(K4937&lt;0,"ATENÇÃO",IF(K4937&lt;=5,"OPORTUNO","MUITO BOM")))</f>
        <v/>
      </c>
    </row>
    <row r="4938">
      <c r="I4938" s="3">
        <f>E4938+G4938+H4938</f>
        <v/>
      </c>
      <c r="J4938" s="3">
        <f>ROUND(MIN(IF(C4938="Técnico III",35,IF(C4938="Técnico II",28,IF(C4938="Técnico I",23,IF(C4938="JR",20,IF(C4938="Estágio",10,0))))),IF(C4938="Técnico III",SUMIFS($D:$D,$A:$A,$A4938,$B:$B,"&lt;&gt;Patrícia Karla de Sousa Araújo",$B:$B,"&lt;&gt;Lorena Dias de Araujo",$B:$B,"&lt;&gt;Lucas Luiz Romero")*(35/1083),IF(C4938="Técnico II",SUMIFS($D:$D,$A:$A,$A4938,$B:$B,"&lt;&gt;Patrícia Karla de Sousa Araújo",$B:$B,"&lt;&gt;Lorena Dias de Araujo",$B:$B,"&lt;&gt;Lucas Luiz Romero")*(28/1083),IF(C4938="Técnico I",SUMIFS($D:$D,$A:$A,$A4938,$B:$B,"&lt;&gt;Patrícia Karla de Sousa Araújo",$B:$B,"&lt;&gt;Lorena Dias de Araujo",$B:$B,"&lt;&gt;Lucas Luiz Romero")*(23/1083),IF(C4938="JR",SUMIFS($D:$D,$A:$A,$A4938,$B:$B,"&lt;&gt;Patrícia Karla de Sousa Araújo",$B:$B,"&lt;&gt;Lorena Dias de Araujo",$B:$B,"&lt;&gt;Lucas Luiz Romero")*(20/1083),IF(C4938="Estágio",SUMIFS($D:$D,$A:$A,$A4938,$B:$B,"&lt;&gt;Patrícia Karla de Sousa Araújo",$B:$B,"&lt;&gt;Lorena Dias de Araujo",$B:$B,"&lt;&gt;Lucas Luiz Romero")*(10/1083),0)))))),0)</f>
        <v/>
      </c>
      <c r="K4938" s="3">
        <f>I4938-J4938</f>
        <v/>
      </c>
      <c r="L4938" s="3">
        <f>IF(K4938&lt;-5,"CRÍTICO",IF(K4938&lt;0,"ATENÇÃO",IF(K4938&lt;=5,"OPORTUNO","MUITO BOM")))</f>
        <v/>
      </c>
    </row>
    <row r="4939">
      <c r="I4939" s="3">
        <f>E4939+G4939+H4939</f>
        <v/>
      </c>
      <c r="J4939" s="3">
        <f>ROUND(MIN(IF(C4939="Técnico III",35,IF(C4939="Técnico II",28,IF(C4939="Técnico I",23,IF(C4939="JR",20,IF(C4939="Estágio",10,0))))),IF(C4939="Técnico III",SUMIFS($D:$D,$A:$A,$A4939,$B:$B,"&lt;&gt;Patrícia Karla de Sousa Araújo",$B:$B,"&lt;&gt;Lorena Dias de Araujo",$B:$B,"&lt;&gt;Lucas Luiz Romero")*(35/1083),IF(C4939="Técnico II",SUMIFS($D:$D,$A:$A,$A4939,$B:$B,"&lt;&gt;Patrícia Karla de Sousa Araújo",$B:$B,"&lt;&gt;Lorena Dias de Araujo",$B:$B,"&lt;&gt;Lucas Luiz Romero")*(28/1083),IF(C4939="Técnico I",SUMIFS($D:$D,$A:$A,$A4939,$B:$B,"&lt;&gt;Patrícia Karla de Sousa Araújo",$B:$B,"&lt;&gt;Lorena Dias de Araujo",$B:$B,"&lt;&gt;Lucas Luiz Romero")*(23/1083),IF(C4939="JR",SUMIFS($D:$D,$A:$A,$A4939,$B:$B,"&lt;&gt;Patrícia Karla de Sousa Araújo",$B:$B,"&lt;&gt;Lorena Dias de Araujo",$B:$B,"&lt;&gt;Lucas Luiz Romero")*(20/1083),IF(C4939="Estágio",SUMIFS($D:$D,$A:$A,$A4939,$B:$B,"&lt;&gt;Patrícia Karla de Sousa Araújo",$B:$B,"&lt;&gt;Lorena Dias de Araujo",$B:$B,"&lt;&gt;Lucas Luiz Romero")*(10/1083),0)))))),0)</f>
        <v/>
      </c>
      <c r="K4939" s="3">
        <f>I4939-J4939</f>
        <v/>
      </c>
      <c r="L4939" s="3">
        <f>IF(K4939&lt;-5,"CRÍTICO",IF(K4939&lt;0,"ATENÇÃO",IF(K4939&lt;=5,"OPORTUNO","MUITO BOM")))</f>
        <v/>
      </c>
    </row>
    <row r="4940">
      <c r="I4940" s="3">
        <f>E4940+G4940+H4940</f>
        <v/>
      </c>
      <c r="J4940" s="3">
        <f>ROUND(MIN(IF(C4940="Técnico III",35,IF(C4940="Técnico II",28,IF(C4940="Técnico I",23,IF(C4940="JR",20,IF(C4940="Estágio",10,0))))),IF(C4940="Técnico III",SUMIFS($D:$D,$A:$A,$A4940,$B:$B,"&lt;&gt;Patrícia Karla de Sousa Araújo",$B:$B,"&lt;&gt;Lorena Dias de Araujo",$B:$B,"&lt;&gt;Lucas Luiz Romero")*(35/1083),IF(C4940="Técnico II",SUMIFS($D:$D,$A:$A,$A4940,$B:$B,"&lt;&gt;Patrícia Karla de Sousa Araújo",$B:$B,"&lt;&gt;Lorena Dias de Araujo",$B:$B,"&lt;&gt;Lucas Luiz Romero")*(28/1083),IF(C4940="Técnico I",SUMIFS($D:$D,$A:$A,$A4940,$B:$B,"&lt;&gt;Patrícia Karla de Sousa Araújo",$B:$B,"&lt;&gt;Lorena Dias de Araujo",$B:$B,"&lt;&gt;Lucas Luiz Romero")*(23/1083),IF(C4940="JR",SUMIFS($D:$D,$A:$A,$A4940,$B:$B,"&lt;&gt;Patrícia Karla de Sousa Araújo",$B:$B,"&lt;&gt;Lorena Dias de Araujo",$B:$B,"&lt;&gt;Lucas Luiz Romero")*(20/1083),IF(C4940="Estágio",SUMIFS($D:$D,$A:$A,$A4940,$B:$B,"&lt;&gt;Patrícia Karla de Sousa Araújo",$B:$B,"&lt;&gt;Lorena Dias de Araujo",$B:$B,"&lt;&gt;Lucas Luiz Romero")*(10/1083),0)))))),0)</f>
        <v/>
      </c>
      <c r="K4940" s="3">
        <f>I4940-J4940</f>
        <v/>
      </c>
      <c r="L4940" s="3">
        <f>IF(K4940&lt;-5,"CRÍTICO",IF(K4940&lt;0,"ATENÇÃO",IF(K4940&lt;=5,"OPORTUNO","MUITO BOM")))</f>
        <v/>
      </c>
    </row>
    <row r="4941">
      <c r="I4941" s="3">
        <f>E4941+G4941+H4941</f>
        <v/>
      </c>
      <c r="J4941" s="3">
        <f>ROUND(MIN(IF(C4941="Técnico III",35,IF(C4941="Técnico II",28,IF(C4941="Técnico I",23,IF(C4941="JR",20,IF(C4941="Estágio",10,0))))),IF(C4941="Técnico III",SUMIFS($D:$D,$A:$A,$A4941,$B:$B,"&lt;&gt;Patrícia Karla de Sousa Araújo",$B:$B,"&lt;&gt;Lorena Dias de Araujo",$B:$B,"&lt;&gt;Lucas Luiz Romero")*(35/1083),IF(C4941="Técnico II",SUMIFS($D:$D,$A:$A,$A4941,$B:$B,"&lt;&gt;Patrícia Karla de Sousa Araújo",$B:$B,"&lt;&gt;Lorena Dias de Araujo",$B:$B,"&lt;&gt;Lucas Luiz Romero")*(28/1083),IF(C4941="Técnico I",SUMIFS($D:$D,$A:$A,$A4941,$B:$B,"&lt;&gt;Patrícia Karla de Sousa Araújo",$B:$B,"&lt;&gt;Lorena Dias de Araujo",$B:$B,"&lt;&gt;Lucas Luiz Romero")*(23/1083),IF(C4941="JR",SUMIFS($D:$D,$A:$A,$A4941,$B:$B,"&lt;&gt;Patrícia Karla de Sousa Araújo",$B:$B,"&lt;&gt;Lorena Dias de Araujo",$B:$B,"&lt;&gt;Lucas Luiz Romero")*(20/1083),IF(C4941="Estágio",SUMIFS($D:$D,$A:$A,$A4941,$B:$B,"&lt;&gt;Patrícia Karla de Sousa Araújo",$B:$B,"&lt;&gt;Lorena Dias de Araujo",$B:$B,"&lt;&gt;Lucas Luiz Romero")*(10/1083),0)))))),0)</f>
        <v/>
      </c>
      <c r="K4941" s="3">
        <f>I4941-J4941</f>
        <v/>
      </c>
      <c r="L4941" s="3">
        <f>IF(K4941&lt;-5,"CRÍTICO",IF(K4941&lt;0,"ATENÇÃO",IF(K4941&lt;=5,"OPORTUNO","MUITO BOM")))</f>
        <v/>
      </c>
    </row>
    <row r="4942">
      <c r="I4942" s="3">
        <f>E4942+G4942+H4942</f>
        <v/>
      </c>
      <c r="J4942" s="3">
        <f>ROUND(MIN(IF(C4942="Técnico III",35,IF(C4942="Técnico II",28,IF(C4942="Técnico I",23,IF(C4942="JR",20,IF(C4942="Estágio",10,0))))),IF(C4942="Técnico III",SUMIFS($D:$D,$A:$A,$A4942,$B:$B,"&lt;&gt;Patrícia Karla de Sousa Araújo",$B:$B,"&lt;&gt;Lorena Dias de Araujo",$B:$B,"&lt;&gt;Lucas Luiz Romero")*(35/1083),IF(C4942="Técnico II",SUMIFS($D:$D,$A:$A,$A4942,$B:$B,"&lt;&gt;Patrícia Karla de Sousa Araújo",$B:$B,"&lt;&gt;Lorena Dias de Araujo",$B:$B,"&lt;&gt;Lucas Luiz Romero")*(28/1083),IF(C4942="Técnico I",SUMIFS($D:$D,$A:$A,$A4942,$B:$B,"&lt;&gt;Patrícia Karla de Sousa Araújo",$B:$B,"&lt;&gt;Lorena Dias de Araujo",$B:$B,"&lt;&gt;Lucas Luiz Romero")*(23/1083),IF(C4942="JR",SUMIFS($D:$D,$A:$A,$A4942,$B:$B,"&lt;&gt;Patrícia Karla de Sousa Araújo",$B:$B,"&lt;&gt;Lorena Dias de Araujo",$B:$B,"&lt;&gt;Lucas Luiz Romero")*(20/1083),IF(C4942="Estágio",SUMIFS($D:$D,$A:$A,$A4942,$B:$B,"&lt;&gt;Patrícia Karla de Sousa Araújo",$B:$B,"&lt;&gt;Lorena Dias de Araujo",$B:$B,"&lt;&gt;Lucas Luiz Romero")*(10/1083),0)))))),0)</f>
        <v/>
      </c>
      <c r="K4942" s="3">
        <f>I4942-J4942</f>
        <v/>
      </c>
      <c r="L4942" s="3">
        <f>IF(K4942&lt;-5,"CRÍTICO",IF(K4942&lt;0,"ATENÇÃO",IF(K4942&lt;=5,"OPORTUNO","MUITO BOM")))</f>
        <v/>
      </c>
    </row>
    <row r="4943">
      <c r="I4943" s="3">
        <f>E4943+G4943+H4943</f>
        <v/>
      </c>
      <c r="J4943" s="3">
        <f>ROUND(MIN(IF(C4943="Técnico III",35,IF(C4943="Técnico II",28,IF(C4943="Técnico I",23,IF(C4943="JR",20,IF(C4943="Estágio",10,0))))),IF(C4943="Técnico III",SUMIFS($D:$D,$A:$A,$A4943,$B:$B,"&lt;&gt;Patrícia Karla de Sousa Araújo",$B:$B,"&lt;&gt;Lorena Dias de Araujo",$B:$B,"&lt;&gt;Lucas Luiz Romero")*(35/1083),IF(C4943="Técnico II",SUMIFS($D:$D,$A:$A,$A4943,$B:$B,"&lt;&gt;Patrícia Karla de Sousa Araújo",$B:$B,"&lt;&gt;Lorena Dias de Araujo",$B:$B,"&lt;&gt;Lucas Luiz Romero")*(28/1083),IF(C4943="Técnico I",SUMIFS($D:$D,$A:$A,$A4943,$B:$B,"&lt;&gt;Patrícia Karla de Sousa Araújo",$B:$B,"&lt;&gt;Lorena Dias de Araujo",$B:$B,"&lt;&gt;Lucas Luiz Romero")*(23/1083),IF(C4943="JR",SUMIFS($D:$D,$A:$A,$A4943,$B:$B,"&lt;&gt;Patrícia Karla de Sousa Araújo",$B:$B,"&lt;&gt;Lorena Dias de Araujo",$B:$B,"&lt;&gt;Lucas Luiz Romero")*(20/1083),IF(C4943="Estágio",SUMIFS($D:$D,$A:$A,$A4943,$B:$B,"&lt;&gt;Patrícia Karla de Sousa Araújo",$B:$B,"&lt;&gt;Lorena Dias de Araujo",$B:$B,"&lt;&gt;Lucas Luiz Romero")*(10/1083),0)))))),0)</f>
        <v/>
      </c>
      <c r="K4943" s="3">
        <f>I4943-J4943</f>
        <v/>
      </c>
      <c r="L4943" s="3">
        <f>IF(K4943&lt;-5,"CRÍTICO",IF(K4943&lt;0,"ATENÇÃO",IF(K4943&lt;=5,"OPORTUNO","MUITO BOM")))</f>
        <v/>
      </c>
    </row>
    <row r="4944">
      <c r="I4944" s="3">
        <f>E4944+G4944+H4944</f>
        <v/>
      </c>
      <c r="J4944" s="3">
        <f>ROUND(MIN(IF(C4944="Técnico III",35,IF(C4944="Técnico II",28,IF(C4944="Técnico I",23,IF(C4944="JR",20,IF(C4944="Estágio",10,0))))),IF(C4944="Técnico III",SUMIFS($D:$D,$A:$A,$A4944,$B:$B,"&lt;&gt;Patrícia Karla de Sousa Araújo",$B:$B,"&lt;&gt;Lorena Dias de Araujo",$B:$B,"&lt;&gt;Lucas Luiz Romero")*(35/1083),IF(C4944="Técnico II",SUMIFS($D:$D,$A:$A,$A4944,$B:$B,"&lt;&gt;Patrícia Karla de Sousa Araújo",$B:$B,"&lt;&gt;Lorena Dias de Araujo",$B:$B,"&lt;&gt;Lucas Luiz Romero")*(28/1083),IF(C4944="Técnico I",SUMIFS($D:$D,$A:$A,$A4944,$B:$B,"&lt;&gt;Patrícia Karla de Sousa Araújo",$B:$B,"&lt;&gt;Lorena Dias de Araujo",$B:$B,"&lt;&gt;Lucas Luiz Romero")*(23/1083),IF(C4944="JR",SUMIFS($D:$D,$A:$A,$A4944,$B:$B,"&lt;&gt;Patrícia Karla de Sousa Araújo",$B:$B,"&lt;&gt;Lorena Dias de Araujo",$B:$B,"&lt;&gt;Lucas Luiz Romero")*(20/1083),IF(C4944="Estágio",SUMIFS($D:$D,$A:$A,$A4944,$B:$B,"&lt;&gt;Patrícia Karla de Sousa Araújo",$B:$B,"&lt;&gt;Lorena Dias de Araujo",$B:$B,"&lt;&gt;Lucas Luiz Romero")*(10/1083),0)))))),0)</f>
        <v/>
      </c>
      <c r="K4944" s="3">
        <f>I4944-J4944</f>
        <v/>
      </c>
      <c r="L4944" s="3">
        <f>IF(K4944&lt;-5,"CRÍTICO",IF(K4944&lt;0,"ATENÇÃO",IF(K4944&lt;=5,"OPORTUNO","MUITO BOM")))</f>
        <v/>
      </c>
    </row>
    <row r="4945">
      <c r="I4945" s="3">
        <f>E4945+G4945+H4945</f>
        <v/>
      </c>
      <c r="J4945" s="3">
        <f>ROUND(MIN(IF(C4945="Técnico III",35,IF(C4945="Técnico II",28,IF(C4945="Técnico I",23,IF(C4945="JR",20,IF(C4945="Estágio",10,0))))),IF(C4945="Técnico III",SUMIFS($D:$D,$A:$A,$A4945,$B:$B,"&lt;&gt;Patrícia Karla de Sousa Araújo",$B:$B,"&lt;&gt;Lorena Dias de Araujo",$B:$B,"&lt;&gt;Lucas Luiz Romero")*(35/1083),IF(C4945="Técnico II",SUMIFS($D:$D,$A:$A,$A4945,$B:$B,"&lt;&gt;Patrícia Karla de Sousa Araújo",$B:$B,"&lt;&gt;Lorena Dias de Araujo",$B:$B,"&lt;&gt;Lucas Luiz Romero")*(28/1083),IF(C4945="Técnico I",SUMIFS($D:$D,$A:$A,$A4945,$B:$B,"&lt;&gt;Patrícia Karla de Sousa Araújo",$B:$B,"&lt;&gt;Lorena Dias de Araujo",$B:$B,"&lt;&gt;Lucas Luiz Romero")*(23/1083),IF(C4945="JR",SUMIFS($D:$D,$A:$A,$A4945,$B:$B,"&lt;&gt;Patrícia Karla de Sousa Araújo",$B:$B,"&lt;&gt;Lorena Dias de Araujo",$B:$B,"&lt;&gt;Lucas Luiz Romero")*(20/1083),IF(C4945="Estágio",SUMIFS($D:$D,$A:$A,$A4945,$B:$B,"&lt;&gt;Patrícia Karla de Sousa Araújo",$B:$B,"&lt;&gt;Lorena Dias de Araujo",$B:$B,"&lt;&gt;Lucas Luiz Romero")*(10/1083),0)))))),0)</f>
        <v/>
      </c>
      <c r="K4945" s="3">
        <f>I4945-J4945</f>
        <v/>
      </c>
      <c r="L4945" s="3">
        <f>IF(K4945&lt;-5,"CRÍTICO",IF(K4945&lt;0,"ATENÇÃO",IF(K4945&lt;=5,"OPORTUNO","MUITO BOM")))</f>
        <v/>
      </c>
    </row>
    <row r="4946">
      <c r="I4946" s="3">
        <f>E4946+G4946+H4946</f>
        <v/>
      </c>
      <c r="J4946" s="3">
        <f>ROUND(MIN(IF(C4946="Técnico III",35,IF(C4946="Técnico II",28,IF(C4946="Técnico I",23,IF(C4946="JR",20,IF(C4946="Estágio",10,0))))),IF(C4946="Técnico III",SUMIFS($D:$D,$A:$A,$A4946,$B:$B,"&lt;&gt;Patrícia Karla de Sousa Araújo",$B:$B,"&lt;&gt;Lorena Dias de Araujo",$B:$B,"&lt;&gt;Lucas Luiz Romero")*(35/1083),IF(C4946="Técnico II",SUMIFS($D:$D,$A:$A,$A4946,$B:$B,"&lt;&gt;Patrícia Karla de Sousa Araújo",$B:$B,"&lt;&gt;Lorena Dias de Araujo",$B:$B,"&lt;&gt;Lucas Luiz Romero")*(28/1083),IF(C4946="Técnico I",SUMIFS($D:$D,$A:$A,$A4946,$B:$B,"&lt;&gt;Patrícia Karla de Sousa Araújo",$B:$B,"&lt;&gt;Lorena Dias de Araujo",$B:$B,"&lt;&gt;Lucas Luiz Romero")*(23/1083),IF(C4946="JR",SUMIFS($D:$D,$A:$A,$A4946,$B:$B,"&lt;&gt;Patrícia Karla de Sousa Araújo",$B:$B,"&lt;&gt;Lorena Dias de Araujo",$B:$B,"&lt;&gt;Lucas Luiz Romero")*(20/1083),IF(C4946="Estágio",SUMIFS($D:$D,$A:$A,$A4946,$B:$B,"&lt;&gt;Patrícia Karla de Sousa Araújo",$B:$B,"&lt;&gt;Lorena Dias de Araujo",$B:$B,"&lt;&gt;Lucas Luiz Romero")*(10/1083),0)))))),0)</f>
        <v/>
      </c>
      <c r="K4946" s="3">
        <f>I4946-J4946</f>
        <v/>
      </c>
      <c r="L4946" s="3">
        <f>IF(K4946&lt;-5,"CRÍTICO",IF(K4946&lt;0,"ATENÇÃO",IF(K4946&lt;=5,"OPORTUNO","MUITO BOM")))</f>
        <v/>
      </c>
    </row>
    <row r="4947">
      <c r="I4947" s="3">
        <f>E4947+G4947+H4947</f>
        <v/>
      </c>
      <c r="J4947" s="3">
        <f>ROUND(MIN(IF(C4947="Técnico III",35,IF(C4947="Técnico II",28,IF(C4947="Técnico I",23,IF(C4947="JR",20,IF(C4947="Estágio",10,0))))),IF(C4947="Técnico III",SUMIFS($D:$D,$A:$A,$A4947,$B:$B,"&lt;&gt;Patrícia Karla de Sousa Araújo",$B:$B,"&lt;&gt;Lorena Dias de Araujo",$B:$B,"&lt;&gt;Lucas Luiz Romero")*(35/1083),IF(C4947="Técnico II",SUMIFS($D:$D,$A:$A,$A4947,$B:$B,"&lt;&gt;Patrícia Karla de Sousa Araújo",$B:$B,"&lt;&gt;Lorena Dias de Araujo",$B:$B,"&lt;&gt;Lucas Luiz Romero")*(28/1083),IF(C4947="Técnico I",SUMIFS($D:$D,$A:$A,$A4947,$B:$B,"&lt;&gt;Patrícia Karla de Sousa Araújo",$B:$B,"&lt;&gt;Lorena Dias de Araujo",$B:$B,"&lt;&gt;Lucas Luiz Romero")*(23/1083),IF(C4947="JR",SUMIFS($D:$D,$A:$A,$A4947,$B:$B,"&lt;&gt;Patrícia Karla de Sousa Araújo",$B:$B,"&lt;&gt;Lorena Dias de Araujo",$B:$B,"&lt;&gt;Lucas Luiz Romero")*(20/1083),IF(C4947="Estágio",SUMIFS($D:$D,$A:$A,$A4947,$B:$B,"&lt;&gt;Patrícia Karla de Sousa Araújo",$B:$B,"&lt;&gt;Lorena Dias de Araujo",$B:$B,"&lt;&gt;Lucas Luiz Romero")*(10/1083),0)))))),0)</f>
        <v/>
      </c>
      <c r="K4947" s="3">
        <f>I4947-J4947</f>
        <v/>
      </c>
      <c r="L4947" s="3">
        <f>IF(K4947&lt;-5,"CRÍTICO",IF(K4947&lt;0,"ATENÇÃO",IF(K4947&lt;=5,"OPORTUNO","MUITO BOM")))</f>
        <v/>
      </c>
    </row>
    <row r="4948">
      <c r="I4948" s="3">
        <f>E4948+G4948+H4948</f>
        <v/>
      </c>
      <c r="J4948" s="3">
        <f>ROUND(MIN(IF(C4948="Técnico III",35,IF(C4948="Técnico II",28,IF(C4948="Técnico I",23,IF(C4948="JR",20,IF(C4948="Estágio",10,0))))),IF(C4948="Técnico III",SUMIFS($D:$D,$A:$A,$A4948,$B:$B,"&lt;&gt;Patrícia Karla de Sousa Araújo",$B:$B,"&lt;&gt;Lorena Dias de Araujo",$B:$B,"&lt;&gt;Lucas Luiz Romero")*(35/1083),IF(C4948="Técnico II",SUMIFS($D:$D,$A:$A,$A4948,$B:$B,"&lt;&gt;Patrícia Karla de Sousa Araújo",$B:$B,"&lt;&gt;Lorena Dias de Araujo",$B:$B,"&lt;&gt;Lucas Luiz Romero")*(28/1083),IF(C4948="Técnico I",SUMIFS($D:$D,$A:$A,$A4948,$B:$B,"&lt;&gt;Patrícia Karla de Sousa Araújo",$B:$B,"&lt;&gt;Lorena Dias de Araujo",$B:$B,"&lt;&gt;Lucas Luiz Romero")*(23/1083),IF(C4948="JR",SUMIFS($D:$D,$A:$A,$A4948,$B:$B,"&lt;&gt;Patrícia Karla de Sousa Araújo",$B:$B,"&lt;&gt;Lorena Dias de Araujo",$B:$B,"&lt;&gt;Lucas Luiz Romero")*(20/1083),IF(C4948="Estágio",SUMIFS($D:$D,$A:$A,$A4948,$B:$B,"&lt;&gt;Patrícia Karla de Sousa Araújo",$B:$B,"&lt;&gt;Lorena Dias de Araujo",$B:$B,"&lt;&gt;Lucas Luiz Romero")*(10/1083),0)))))),0)</f>
        <v/>
      </c>
      <c r="K4948" s="3">
        <f>I4948-J4948</f>
        <v/>
      </c>
      <c r="L4948" s="3">
        <f>IF(K4948&lt;-5,"CRÍTICO",IF(K4948&lt;0,"ATENÇÃO",IF(K4948&lt;=5,"OPORTUNO","MUITO BOM")))</f>
        <v/>
      </c>
    </row>
    <row r="4949">
      <c r="I4949" s="3">
        <f>E4949+G4949+H4949</f>
        <v/>
      </c>
      <c r="J4949" s="3">
        <f>ROUND(MIN(IF(C4949="Técnico III",35,IF(C4949="Técnico II",28,IF(C4949="Técnico I",23,IF(C4949="JR",20,IF(C4949="Estágio",10,0))))),IF(C4949="Técnico III",SUMIFS($D:$D,$A:$A,$A4949,$B:$B,"&lt;&gt;Patrícia Karla de Sousa Araújo",$B:$B,"&lt;&gt;Lorena Dias de Araujo",$B:$B,"&lt;&gt;Lucas Luiz Romero")*(35/1083),IF(C4949="Técnico II",SUMIFS($D:$D,$A:$A,$A4949,$B:$B,"&lt;&gt;Patrícia Karla de Sousa Araújo",$B:$B,"&lt;&gt;Lorena Dias de Araujo",$B:$B,"&lt;&gt;Lucas Luiz Romero")*(28/1083),IF(C4949="Técnico I",SUMIFS($D:$D,$A:$A,$A4949,$B:$B,"&lt;&gt;Patrícia Karla de Sousa Araújo",$B:$B,"&lt;&gt;Lorena Dias de Araujo",$B:$B,"&lt;&gt;Lucas Luiz Romero")*(23/1083),IF(C4949="JR",SUMIFS($D:$D,$A:$A,$A4949,$B:$B,"&lt;&gt;Patrícia Karla de Sousa Araújo",$B:$B,"&lt;&gt;Lorena Dias de Araujo",$B:$B,"&lt;&gt;Lucas Luiz Romero")*(20/1083),IF(C4949="Estágio",SUMIFS($D:$D,$A:$A,$A4949,$B:$B,"&lt;&gt;Patrícia Karla de Sousa Araújo",$B:$B,"&lt;&gt;Lorena Dias de Araujo",$B:$B,"&lt;&gt;Lucas Luiz Romero")*(10/1083),0)))))),0)</f>
        <v/>
      </c>
      <c r="K4949" s="3">
        <f>I4949-J4949</f>
        <v/>
      </c>
      <c r="L4949" s="3">
        <f>IF(K4949&lt;-5,"CRÍTICO",IF(K4949&lt;0,"ATENÇÃO",IF(K4949&lt;=5,"OPORTUNO","MUITO BOM")))</f>
        <v/>
      </c>
    </row>
    <row r="4950">
      <c r="I4950" s="3">
        <f>E4950+G4950+H4950</f>
        <v/>
      </c>
      <c r="J4950" s="3">
        <f>ROUND(MIN(IF(C4950="Técnico III",35,IF(C4950="Técnico II",28,IF(C4950="Técnico I",23,IF(C4950="JR",20,IF(C4950="Estágio",10,0))))),IF(C4950="Técnico III",SUMIFS($D:$D,$A:$A,$A4950,$B:$B,"&lt;&gt;Patrícia Karla de Sousa Araújo",$B:$B,"&lt;&gt;Lorena Dias de Araujo",$B:$B,"&lt;&gt;Lucas Luiz Romero")*(35/1083),IF(C4950="Técnico II",SUMIFS($D:$D,$A:$A,$A4950,$B:$B,"&lt;&gt;Patrícia Karla de Sousa Araújo",$B:$B,"&lt;&gt;Lorena Dias de Araujo",$B:$B,"&lt;&gt;Lucas Luiz Romero")*(28/1083),IF(C4950="Técnico I",SUMIFS($D:$D,$A:$A,$A4950,$B:$B,"&lt;&gt;Patrícia Karla de Sousa Araújo",$B:$B,"&lt;&gt;Lorena Dias de Araujo",$B:$B,"&lt;&gt;Lucas Luiz Romero")*(23/1083),IF(C4950="JR",SUMIFS($D:$D,$A:$A,$A4950,$B:$B,"&lt;&gt;Patrícia Karla de Sousa Araújo",$B:$B,"&lt;&gt;Lorena Dias de Araujo",$B:$B,"&lt;&gt;Lucas Luiz Romero")*(20/1083),IF(C4950="Estágio",SUMIFS($D:$D,$A:$A,$A4950,$B:$B,"&lt;&gt;Patrícia Karla de Sousa Araújo",$B:$B,"&lt;&gt;Lorena Dias de Araujo",$B:$B,"&lt;&gt;Lucas Luiz Romero")*(10/1083),0)))))),0)</f>
        <v/>
      </c>
      <c r="K4950" s="3">
        <f>I4950-J4950</f>
        <v/>
      </c>
      <c r="L4950" s="3">
        <f>IF(K4950&lt;-5,"CRÍTICO",IF(K4950&lt;0,"ATENÇÃO",IF(K4950&lt;=5,"OPORTUNO","MUITO BOM")))</f>
        <v/>
      </c>
    </row>
    <row r="4951">
      <c r="I4951" s="3">
        <f>E4951+G4951+H4951</f>
        <v/>
      </c>
      <c r="J4951" s="3">
        <f>ROUND(MIN(IF(C4951="Técnico III",35,IF(C4951="Técnico II",28,IF(C4951="Técnico I",23,IF(C4951="JR",20,IF(C4951="Estágio",10,0))))),IF(C4951="Técnico III",SUMIFS($D:$D,$A:$A,$A4951,$B:$B,"&lt;&gt;Patrícia Karla de Sousa Araújo",$B:$B,"&lt;&gt;Lorena Dias de Araujo",$B:$B,"&lt;&gt;Lucas Luiz Romero")*(35/1083),IF(C4951="Técnico II",SUMIFS($D:$D,$A:$A,$A4951,$B:$B,"&lt;&gt;Patrícia Karla de Sousa Araújo",$B:$B,"&lt;&gt;Lorena Dias de Araujo",$B:$B,"&lt;&gt;Lucas Luiz Romero")*(28/1083),IF(C4951="Técnico I",SUMIFS($D:$D,$A:$A,$A4951,$B:$B,"&lt;&gt;Patrícia Karla de Sousa Araújo",$B:$B,"&lt;&gt;Lorena Dias de Araujo",$B:$B,"&lt;&gt;Lucas Luiz Romero")*(23/1083),IF(C4951="JR",SUMIFS($D:$D,$A:$A,$A4951,$B:$B,"&lt;&gt;Patrícia Karla de Sousa Araújo",$B:$B,"&lt;&gt;Lorena Dias de Araujo",$B:$B,"&lt;&gt;Lucas Luiz Romero")*(20/1083),IF(C4951="Estágio",SUMIFS($D:$D,$A:$A,$A4951,$B:$B,"&lt;&gt;Patrícia Karla de Sousa Araújo",$B:$B,"&lt;&gt;Lorena Dias de Araujo",$B:$B,"&lt;&gt;Lucas Luiz Romero")*(10/1083),0)))))),0)</f>
        <v/>
      </c>
      <c r="K4951" s="3">
        <f>I4951-J4951</f>
        <v/>
      </c>
      <c r="L4951" s="3">
        <f>IF(K4951&lt;-5,"CRÍTICO",IF(K4951&lt;0,"ATENÇÃO",IF(K4951&lt;=5,"OPORTUNO","MUITO BOM")))</f>
        <v/>
      </c>
    </row>
    <row r="4952">
      <c r="I4952" s="3">
        <f>E4952+G4952+H4952</f>
        <v/>
      </c>
      <c r="J4952" s="3">
        <f>ROUND(MIN(IF(C4952="Técnico III",35,IF(C4952="Técnico II",28,IF(C4952="Técnico I",23,IF(C4952="JR",20,IF(C4952="Estágio",10,0))))),IF(C4952="Técnico III",SUMIFS($D:$D,$A:$A,$A4952,$B:$B,"&lt;&gt;Patrícia Karla de Sousa Araújo",$B:$B,"&lt;&gt;Lorena Dias de Araujo",$B:$B,"&lt;&gt;Lucas Luiz Romero")*(35/1083),IF(C4952="Técnico II",SUMIFS($D:$D,$A:$A,$A4952,$B:$B,"&lt;&gt;Patrícia Karla de Sousa Araújo",$B:$B,"&lt;&gt;Lorena Dias de Araujo",$B:$B,"&lt;&gt;Lucas Luiz Romero")*(28/1083),IF(C4952="Técnico I",SUMIFS($D:$D,$A:$A,$A4952,$B:$B,"&lt;&gt;Patrícia Karla de Sousa Araújo",$B:$B,"&lt;&gt;Lorena Dias de Araujo",$B:$B,"&lt;&gt;Lucas Luiz Romero")*(23/1083),IF(C4952="JR",SUMIFS($D:$D,$A:$A,$A4952,$B:$B,"&lt;&gt;Patrícia Karla de Sousa Araújo",$B:$B,"&lt;&gt;Lorena Dias de Araujo",$B:$B,"&lt;&gt;Lucas Luiz Romero")*(20/1083),IF(C4952="Estágio",SUMIFS($D:$D,$A:$A,$A4952,$B:$B,"&lt;&gt;Patrícia Karla de Sousa Araújo",$B:$B,"&lt;&gt;Lorena Dias de Araujo",$B:$B,"&lt;&gt;Lucas Luiz Romero")*(10/1083),0)))))),0)</f>
        <v/>
      </c>
      <c r="K4952" s="3">
        <f>I4952-J4952</f>
        <v/>
      </c>
      <c r="L4952" s="3">
        <f>IF(K4952&lt;-5,"CRÍTICO",IF(K4952&lt;0,"ATENÇÃO",IF(K4952&lt;=5,"OPORTUNO","MUITO BOM")))</f>
        <v/>
      </c>
    </row>
    <row r="4953">
      <c r="I4953" s="3">
        <f>E4953+G4953+H4953</f>
        <v/>
      </c>
      <c r="J4953" s="3">
        <f>ROUND(MIN(IF(C4953="Técnico III",35,IF(C4953="Técnico II",28,IF(C4953="Técnico I",23,IF(C4953="JR",20,IF(C4953="Estágio",10,0))))),IF(C4953="Técnico III",SUMIFS($D:$D,$A:$A,$A4953,$B:$B,"&lt;&gt;Patrícia Karla de Sousa Araújo",$B:$B,"&lt;&gt;Lorena Dias de Araujo",$B:$B,"&lt;&gt;Lucas Luiz Romero")*(35/1083),IF(C4953="Técnico II",SUMIFS($D:$D,$A:$A,$A4953,$B:$B,"&lt;&gt;Patrícia Karla de Sousa Araújo",$B:$B,"&lt;&gt;Lorena Dias de Araujo",$B:$B,"&lt;&gt;Lucas Luiz Romero")*(28/1083),IF(C4953="Técnico I",SUMIFS($D:$D,$A:$A,$A4953,$B:$B,"&lt;&gt;Patrícia Karla de Sousa Araújo",$B:$B,"&lt;&gt;Lorena Dias de Araujo",$B:$B,"&lt;&gt;Lucas Luiz Romero")*(23/1083),IF(C4953="JR",SUMIFS($D:$D,$A:$A,$A4953,$B:$B,"&lt;&gt;Patrícia Karla de Sousa Araújo",$B:$B,"&lt;&gt;Lorena Dias de Araujo",$B:$B,"&lt;&gt;Lucas Luiz Romero")*(20/1083),IF(C4953="Estágio",SUMIFS($D:$D,$A:$A,$A4953,$B:$B,"&lt;&gt;Patrícia Karla de Sousa Araújo",$B:$B,"&lt;&gt;Lorena Dias de Araujo",$B:$B,"&lt;&gt;Lucas Luiz Romero")*(10/1083),0)))))),0)</f>
        <v/>
      </c>
      <c r="K4953" s="3">
        <f>I4953-J4953</f>
        <v/>
      </c>
      <c r="L4953" s="3">
        <f>IF(K4953&lt;-5,"CRÍTICO",IF(K4953&lt;0,"ATENÇÃO",IF(K4953&lt;=5,"OPORTUNO","MUITO BOM")))</f>
        <v/>
      </c>
    </row>
    <row r="4954">
      <c r="I4954" s="3">
        <f>E4954+G4954+H4954</f>
        <v/>
      </c>
      <c r="J4954" s="3">
        <f>ROUND(MIN(IF(C4954="Técnico III",35,IF(C4954="Técnico II",28,IF(C4954="Técnico I",23,IF(C4954="JR",20,IF(C4954="Estágio",10,0))))),IF(C4954="Técnico III",SUMIFS($D:$D,$A:$A,$A4954,$B:$B,"&lt;&gt;Patrícia Karla de Sousa Araújo",$B:$B,"&lt;&gt;Lorena Dias de Araujo",$B:$B,"&lt;&gt;Lucas Luiz Romero")*(35/1083),IF(C4954="Técnico II",SUMIFS($D:$D,$A:$A,$A4954,$B:$B,"&lt;&gt;Patrícia Karla de Sousa Araújo",$B:$B,"&lt;&gt;Lorena Dias de Araujo",$B:$B,"&lt;&gt;Lucas Luiz Romero")*(28/1083),IF(C4954="Técnico I",SUMIFS($D:$D,$A:$A,$A4954,$B:$B,"&lt;&gt;Patrícia Karla de Sousa Araújo",$B:$B,"&lt;&gt;Lorena Dias de Araujo",$B:$B,"&lt;&gt;Lucas Luiz Romero")*(23/1083),IF(C4954="JR",SUMIFS($D:$D,$A:$A,$A4954,$B:$B,"&lt;&gt;Patrícia Karla de Sousa Araújo",$B:$B,"&lt;&gt;Lorena Dias de Araujo",$B:$B,"&lt;&gt;Lucas Luiz Romero")*(20/1083),IF(C4954="Estágio",SUMIFS($D:$D,$A:$A,$A4954,$B:$B,"&lt;&gt;Patrícia Karla de Sousa Araújo",$B:$B,"&lt;&gt;Lorena Dias de Araujo",$B:$B,"&lt;&gt;Lucas Luiz Romero")*(10/1083),0)))))),0)</f>
        <v/>
      </c>
      <c r="K4954" s="3">
        <f>I4954-J4954</f>
        <v/>
      </c>
      <c r="L4954" s="3">
        <f>IF(K4954&lt;-5,"CRÍTICO",IF(K4954&lt;0,"ATENÇÃO",IF(K4954&lt;=5,"OPORTUNO","MUITO BOM")))</f>
        <v/>
      </c>
    </row>
    <row r="4955">
      <c r="I4955" s="3">
        <f>E4955+G4955+H4955</f>
        <v/>
      </c>
      <c r="J4955" s="3">
        <f>ROUND(MIN(IF(C4955="Técnico III",35,IF(C4955="Técnico II",28,IF(C4955="Técnico I",23,IF(C4955="JR",20,IF(C4955="Estágio",10,0))))),IF(C4955="Técnico III",SUMIFS($D:$D,$A:$A,$A4955,$B:$B,"&lt;&gt;Patrícia Karla de Sousa Araújo",$B:$B,"&lt;&gt;Lorena Dias de Araujo",$B:$B,"&lt;&gt;Lucas Luiz Romero")*(35/1083),IF(C4955="Técnico II",SUMIFS($D:$D,$A:$A,$A4955,$B:$B,"&lt;&gt;Patrícia Karla de Sousa Araújo",$B:$B,"&lt;&gt;Lorena Dias de Araujo",$B:$B,"&lt;&gt;Lucas Luiz Romero")*(28/1083),IF(C4955="Técnico I",SUMIFS($D:$D,$A:$A,$A4955,$B:$B,"&lt;&gt;Patrícia Karla de Sousa Araújo",$B:$B,"&lt;&gt;Lorena Dias de Araujo",$B:$B,"&lt;&gt;Lucas Luiz Romero")*(23/1083),IF(C4955="JR",SUMIFS($D:$D,$A:$A,$A4955,$B:$B,"&lt;&gt;Patrícia Karla de Sousa Araújo",$B:$B,"&lt;&gt;Lorena Dias de Araujo",$B:$B,"&lt;&gt;Lucas Luiz Romero")*(20/1083),IF(C4955="Estágio",SUMIFS($D:$D,$A:$A,$A4955,$B:$B,"&lt;&gt;Patrícia Karla de Sousa Araújo",$B:$B,"&lt;&gt;Lorena Dias de Araujo",$B:$B,"&lt;&gt;Lucas Luiz Romero")*(10/1083),0)))))),0)</f>
        <v/>
      </c>
      <c r="K4955" s="3">
        <f>I4955-J4955</f>
        <v/>
      </c>
      <c r="L4955" s="3">
        <f>IF(K4955&lt;-5,"CRÍTICO",IF(K4955&lt;0,"ATENÇÃO",IF(K4955&lt;=5,"OPORTUNO","MUITO BOM")))</f>
        <v/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2026-06-08T19:39:53Z</dcterms:modified>
  <cp:lastModifiedBy>Esther Queiroz Supervisora Folha</cp:lastModifiedBy>
</cp:coreProperties>
</file>
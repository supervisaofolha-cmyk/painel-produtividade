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sther.queiroz\Desktop\PainelProdutividade\"/>
    </mc:Choice>
  </mc:AlternateContent>
  <xr:revisionPtr revIDLastSave="0" documentId="13_ncr:1_{CFF65385-2E04-40F5-B96D-3C6674341C7C}" xr6:coauthVersionLast="47" xr6:coauthVersionMax="47" xr10:uidLastSave="{00000000-0000-0000-0000-000000000000}"/>
  <bookViews>
    <workbookView xWindow="-120" yWindow="-120" windowWidth="21840" windowHeight="13140" xr2:uid="{3366F5A6-D48D-4B7C-80E0-46CFBEDC9F48}"/>
  </bookViews>
  <sheets>
    <sheet name="Produtividade" sheetId="1" r:id="rId1"/>
  </sheets>
  <definedNames>
    <definedName name="_xlnm._FilterDatabase" localSheetId="0" hidden="1">Produtividade!$A$1:$O$485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I3" i="1"/>
  <c r="J3" i="1" s="1"/>
  <c r="K3" i="1" s="1"/>
  <c r="H4" i="1"/>
  <c r="I4" i="1"/>
  <c r="J4" i="1" s="1"/>
  <c r="K4" i="1" s="1"/>
  <c r="H5" i="1"/>
  <c r="I5" i="1"/>
  <c r="J5" i="1" s="1"/>
  <c r="K5" i="1" s="1"/>
  <c r="H6" i="1"/>
  <c r="I6" i="1"/>
  <c r="J6" i="1" s="1"/>
  <c r="K6" i="1" s="1"/>
  <c r="H7" i="1"/>
  <c r="I7" i="1"/>
  <c r="J7" i="1" s="1"/>
  <c r="K7" i="1" s="1"/>
  <c r="H8" i="1"/>
  <c r="I8" i="1"/>
  <c r="J8" i="1" s="1"/>
  <c r="K8" i="1" s="1"/>
  <c r="H9" i="1"/>
  <c r="I9" i="1"/>
  <c r="J9" i="1" s="1"/>
  <c r="K9" i="1" s="1"/>
  <c r="H10" i="1"/>
  <c r="I10" i="1"/>
  <c r="J10" i="1" s="1"/>
  <c r="K10" i="1" s="1"/>
  <c r="H11" i="1"/>
  <c r="I11" i="1"/>
  <c r="J11" i="1" s="1"/>
  <c r="K11" i="1" s="1"/>
  <c r="H12" i="1"/>
  <c r="I12" i="1"/>
  <c r="J12" i="1" s="1"/>
  <c r="K12" i="1" s="1"/>
  <c r="H13" i="1"/>
  <c r="I13" i="1"/>
  <c r="J13" i="1" s="1"/>
  <c r="K13" i="1" s="1"/>
  <c r="H14" i="1"/>
  <c r="I14" i="1"/>
  <c r="J14" i="1" s="1"/>
  <c r="K14" i="1" s="1"/>
  <c r="H15" i="1"/>
  <c r="I15" i="1"/>
  <c r="J15" i="1" s="1"/>
  <c r="K15" i="1" s="1"/>
  <c r="H16" i="1"/>
  <c r="I16" i="1"/>
  <c r="J16" i="1" s="1"/>
  <c r="K16" i="1" s="1"/>
  <c r="H17" i="1"/>
  <c r="I17" i="1"/>
  <c r="J17" i="1" s="1"/>
  <c r="K17" i="1" s="1"/>
  <c r="H18" i="1"/>
  <c r="I18" i="1"/>
  <c r="J18" i="1" s="1"/>
  <c r="K18" i="1" s="1"/>
  <c r="H19" i="1"/>
  <c r="I19" i="1"/>
  <c r="J19" i="1" s="1"/>
  <c r="K19" i="1" s="1"/>
  <c r="H20" i="1"/>
  <c r="I20" i="1"/>
  <c r="J20" i="1" s="1"/>
  <c r="K20" i="1" s="1"/>
  <c r="H21" i="1"/>
  <c r="I21" i="1"/>
  <c r="J21" i="1" s="1"/>
  <c r="K21" i="1" s="1"/>
  <c r="H22" i="1"/>
  <c r="I22" i="1"/>
  <c r="J22" i="1" s="1"/>
  <c r="K22" i="1" s="1"/>
  <c r="H23" i="1"/>
  <c r="I23" i="1"/>
  <c r="J23" i="1" s="1"/>
  <c r="K23" i="1" s="1"/>
  <c r="H24" i="1"/>
  <c r="I24" i="1"/>
  <c r="J24" i="1" s="1"/>
  <c r="K24" i="1" s="1"/>
  <c r="H25" i="1"/>
  <c r="I25" i="1"/>
  <c r="J25" i="1" s="1"/>
  <c r="K25" i="1" s="1"/>
  <c r="H26" i="1"/>
  <c r="I26" i="1"/>
  <c r="J26" i="1" s="1"/>
  <c r="K26" i="1" s="1"/>
  <c r="H27" i="1"/>
  <c r="I27" i="1"/>
  <c r="J27" i="1" s="1"/>
  <c r="K27" i="1" s="1"/>
  <c r="H28" i="1"/>
  <c r="I28" i="1"/>
  <c r="J28" i="1" s="1"/>
  <c r="K28" i="1" s="1"/>
  <c r="H29" i="1"/>
  <c r="I29" i="1"/>
  <c r="J29" i="1" s="1"/>
  <c r="K29" i="1" s="1"/>
  <c r="H30" i="1"/>
  <c r="I30" i="1"/>
  <c r="J30" i="1" s="1"/>
  <c r="K30" i="1" s="1"/>
  <c r="H31" i="1"/>
  <c r="I31" i="1"/>
  <c r="J31" i="1" s="1"/>
  <c r="K31" i="1" s="1"/>
  <c r="H32" i="1"/>
  <c r="I32" i="1"/>
  <c r="J32" i="1" s="1"/>
  <c r="K32" i="1" s="1"/>
  <c r="H33" i="1"/>
  <c r="I33" i="1"/>
  <c r="J33" i="1" s="1"/>
  <c r="K33" i="1" s="1"/>
  <c r="H34" i="1"/>
  <c r="I34" i="1"/>
  <c r="J34" i="1" s="1"/>
  <c r="K34" i="1" s="1"/>
  <c r="H35" i="1"/>
  <c r="I35" i="1"/>
  <c r="J35" i="1" s="1"/>
  <c r="K35" i="1" s="1"/>
  <c r="H36" i="1"/>
  <c r="I36" i="1"/>
  <c r="J36" i="1" s="1"/>
  <c r="K36" i="1" s="1"/>
  <c r="H37" i="1"/>
  <c r="I37" i="1"/>
  <c r="J37" i="1" s="1"/>
  <c r="K37" i="1" s="1"/>
  <c r="H38" i="1"/>
  <c r="I38" i="1"/>
  <c r="J38" i="1" s="1"/>
  <c r="K38" i="1" s="1"/>
  <c r="H39" i="1"/>
  <c r="I39" i="1"/>
  <c r="J39" i="1" s="1"/>
  <c r="K39" i="1" s="1"/>
  <c r="H40" i="1"/>
  <c r="I40" i="1"/>
  <c r="J40" i="1" s="1"/>
  <c r="K40" i="1" s="1"/>
  <c r="H41" i="1"/>
  <c r="I41" i="1"/>
  <c r="J41" i="1" s="1"/>
  <c r="K41" i="1" s="1"/>
  <c r="H42" i="1"/>
  <c r="I42" i="1"/>
  <c r="J42" i="1" s="1"/>
  <c r="K42" i="1" s="1"/>
  <c r="H43" i="1"/>
  <c r="I43" i="1"/>
  <c r="J43" i="1" s="1"/>
  <c r="K43" i="1" s="1"/>
  <c r="H44" i="1"/>
  <c r="I44" i="1"/>
  <c r="J44" i="1" s="1"/>
  <c r="K44" i="1" s="1"/>
  <c r="H45" i="1"/>
  <c r="I45" i="1"/>
  <c r="J45" i="1" s="1"/>
  <c r="K45" i="1" s="1"/>
  <c r="H46" i="1"/>
  <c r="I46" i="1"/>
  <c r="J46" i="1" s="1"/>
  <c r="K46" i="1" s="1"/>
  <c r="K2" i="1"/>
  <c r="J2" i="1"/>
  <c r="I2" i="1"/>
  <c r="H2" i="1"/>
</calcChain>
</file>

<file path=xl/sharedStrings.xml><?xml version="1.0" encoding="utf-8"?>
<sst xmlns="http://schemas.openxmlformats.org/spreadsheetml/2006/main" count="105" uniqueCount="65">
  <si>
    <t>Data</t>
  </si>
  <si>
    <t>Nível</t>
  </si>
  <si>
    <t>Atendidas</t>
  </si>
  <si>
    <t xml:space="preserve"> &gt; 2min</t>
  </si>
  <si>
    <t>CHAT</t>
  </si>
  <si>
    <t>RO</t>
  </si>
  <si>
    <t>Realizado</t>
  </si>
  <si>
    <t>Esperado</t>
  </si>
  <si>
    <t>Desvio</t>
  </si>
  <si>
    <t>Classificação</t>
  </si>
  <si>
    <t>Alisson de Freitas Silva</t>
  </si>
  <si>
    <t>Técnico II</t>
  </si>
  <si>
    <t>Técnico III</t>
  </si>
  <si>
    <t>Ana Karollyne Souza Faria</t>
  </si>
  <si>
    <t>Técnico I</t>
  </si>
  <si>
    <t>Ana Paula Da Luz Silva Aleixo</t>
  </si>
  <si>
    <t>Anna Luiza Rezende Tavares</t>
  </si>
  <si>
    <t>Estágio</t>
  </si>
  <si>
    <t>Brenda de Menezes Silva</t>
  </si>
  <si>
    <t>Carlos Mateus Cassimiro Nunes</t>
  </si>
  <si>
    <t>Claudio de Sousa Velasco Filho</t>
  </si>
  <si>
    <t>Clessiane Pereira dos Santos</t>
  </si>
  <si>
    <t>Cristiane Ramos da Silva Rocha</t>
  </si>
  <si>
    <t>Damyllis Lorraine de Oliveira Gonçalves</t>
  </si>
  <si>
    <t>Daniel Gomes da Silva</t>
  </si>
  <si>
    <t>Davylla Rodrigues Freitas Silva</t>
  </si>
  <si>
    <t>Emilly Caylane Costa</t>
  </si>
  <si>
    <t>Emilly Kamilly Medeiros Miranda</t>
  </si>
  <si>
    <t>Francilene Ferreira de Jesus</t>
  </si>
  <si>
    <t>Gabriel Alves</t>
  </si>
  <si>
    <t>Gabriel Gomes de Andrade</t>
  </si>
  <si>
    <t>Isabella Borges de Oliveira</t>
  </si>
  <si>
    <t>Janaina Lima dos Reis Urany</t>
  </si>
  <si>
    <t>Jaqueline Evangelista da Silva Martins</t>
  </si>
  <si>
    <t>Jessica Faria da Silveira</t>
  </si>
  <si>
    <t>Karina Gonçalves Martins</t>
  </si>
  <si>
    <t>JR</t>
  </si>
  <si>
    <t>Leandro de Souza Silva</t>
  </si>
  <si>
    <t>Leandro Oliveira de Sousa</t>
  </si>
  <si>
    <t>Lizandra Gomes Duarte</t>
  </si>
  <si>
    <t>Lorena Dias de Araujo</t>
  </si>
  <si>
    <t>Luiz Fernando de Carvalho Junior</t>
  </si>
  <si>
    <t>Maria Eduarda Sousa Costa</t>
  </si>
  <si>
    <t>Matheus Farias De Souza</t>
  </si>
  <si>
    <t>Maysa Victoria Dias Moura</t>
  </si>
  <si>
    <t>Michelle G Santos</t>
  </si>
  <si>
    <t>Milena Sales</t>
  </si>
  <si>
    <t>Patrícia Karla de Sousa Araújo</t>
  </si>
  <si>
    <t>Paulo Ricardo Santos</t>
  </si>
  <si>
    <t>Pedro Luiz Mota Sousa</t>
  </si>
  <si>
    <t>Quirino Diogo Leite Torres</t>
  </si>
  <si>
    <t>Raane Batista Matos</t>
  </si>
  <si>
    <t>Rafael Gomes de Morais</t>
  </si>
  <si>
    <t>Sara Maria Monteiro Lopes</t>
  </si>
  <si>
    <t>Sarah Steffanie de Lima Borges</t>
  </si>
  <si>
    <t>Técnico</t>
  </si>
  <si>
    <t>SSC</t>
  </si>
  <si>
    <t>Votação</t>
  </si>
  <si>
    <t>Satisfação</t>
  </si>
  <si>
    <t>TMA</t>
  </si>
  <si>
    <t>Kerollen Cristielly de Jesus Siqueira</t>
  </si>
  <si>
    <t>Amanda Moura Ferreira</t>
  </si>
  <si>
    <t>Francielson de Oliveira</t>
  </si>
  <si>
    <t>Jéssica Fé Moura</t>
  </si>
  <si>
    <t>Lucas Luiz Romero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</si>
</sst>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2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6EF58-AF9E-4A91-B7D8-7B3B50610D55}">
  <dimension ref="A1:O442"/>
  <sheetViews>
    <sheetView tabSelected="1" workbookViewId="0">
      <selection activeCell="H2" sqref="H2:K46"/>
    </sheetView>
  </sheetViews>
  <sheetFormatPr defaultRowHeight="15" x14ac:dyDescent="0.25"/>
  <cols>
    <col min="1" max="1" width="10.42578125" style="5" bestFit="1" customWidth="1"/>
    <col min="2" max="2" width="41.7109375" style="6" customWidth="1"/>
    <col min="3" max="3" width="10.28515625" style="3" bestFit="1" customWidth="1"/>
    <col min="4" max="4" width="14.5703125" style="3" bestFit="1" customWidth="1"/>
    <col min="5" max="10" width="9.140625" style="3"/>
    <col min="11" max="11" width="13.140625" style="3" bestFit="1" customWidth="1"/>
    <col min="12" max="15" width="9.140625" style="3"/>
  </cols>
  <sheetData>
    <row r="1" spans="1:15" x14ac:dyDescent="0.25">
      <c r="A1" s="4" t="s">
        <v>0</v>
      </c>
      <c r="B1" s="2" t="s">
        <v>55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56</v>
      </c>
      <c r="M1" s="1" t="s">
        <v>57</v>
      </c>
      <c r="N1" s="1" t="s">
        <v>58</v>
      </c>
      <c r="O1" s="1" t="s">
        <v>59</v>
      </c>
    </row>
    <row r="2" spans="1:15" x14ac:dyDescent="0.25">
      <c r="A2" s="8">
        <v>46161</v>
      </c>
      <c r="B2" s="9" t="s">
        <v>10</v>
      </c>
      <c r="C2" s="10" t="s">
        <v>11</v>
      </c>
      <c r="D2" s="3">
        <v>38</v>
      </c>
      <c r="E2" s="3">
        <v>33</v>
      </c>
      <c r="F2" s="3">
        <v>0</v>
      </c>
      <c r="G2" s="3">
        <v>1</v>
      </c>
      <c r="H2" s="3">
        <f>E2+F2+G2</f>
        <v>34</v>
      </c>
      <c r="I2" s="3" t="str">
        <f>IF(C2="Técnico III","35",IF(C2="Técnico II","28",IF(C2="Técnico I","23",IF(C2="JR","20",IF(C2="Estágio","10",)))))</f>
        <v>28</v>
      </c>
      <c r="J2" s="3">
        <f>H2-I2</f>
        <v>6</v>
      </c>
      <c r="K2" s="3" t="str">
        <f>IF(J2&lt;-5,"CRÍTICO",IF(J2&lt;0,"ATENÇÃO",IF(J2&lt;=5,"OPORTUNO","MUITO BOM")))</f>
        <v>MUITO BOM</v>
      </c>
    </row>
    <row r="3" spans="1:15" x14ac:dyDescent="0.25">
      <c r="A3" s="8">
        <v>46161</v>
      </c>
      <c r="B3" s="9" t="s">
        <v>61</v>
      </c>
      <c r="C3" s="10" t="s">
        <v>12</v>
      </c>
      <c r="D3" s="3">
        <v>0</v>
      </c>
      <c r="E3" s="3">
        <v>0</v>
      </c>
      <c r="F3" s="3">
        <v>0</v>
      </c>
      <c r="G3" s="3">
        <v>0</v>
      </c>
      <c r="H3" s="3">
        <f t="shared" ref="H3:H46" si="0">E3+F3+G3</f>
        <v>0</v>
      </c>
      <c r="I3" s="3" t="str">
        <f t="shared" ref="I3:I46" si="1">IF(C3="Técnico III","35",IF(C3="Técnico II","28",IF(C3="Técnico I","23",IF(C3="JR","20",IF(C3="Estágio","10",)))))</f>
        <v>35</v>
      </c>
      <c r="J3" s="3">
        <f t="shared" ref="J3:J46" si="2">H3-I3</f>
        <v>-35</v>
      </c>
      <c r="K3" s="3" t="str">
        <f t="shared" ref="K3:K46" si="3">IF(J3&lt;-5,"CRÍTICO",IF(J3&lt;0,"ATENÇÃO",IF(J3&lt;=5,"OPORTUNO","MUITO BOM")))</f>
        <v>CRÍTICO</v>
      </c>
    </row>
    <row r="4" spans="1:15" x14ac:dyDescent="0.25">
      <c r="A4" s="8">
        <v>46161</v>
      </c>
      <c r="B4" s="9" t="s">
        <v>13</v>
      </c>
      <c r="C4" s="10" t="s">
        <v>14</v>
      </c>
      <c r="D4" s="3">
        <v>30</v>
      </c>
      <c r="E4" s="3">
        <v>29</v>
      </c>
      <c r="F4" s="3">
        <v>0</v>
      </c>
      <c r="G4" s="3">
        <v>1</v>
      </c>
      <c r="H4" s="3">
        <f t="shared" si="0"/>
        <v>30</v>
      </c>
      <c r="I4" s="3" t="str">
        <f t="shared" si="1"/>
        <v>23</v>
      </c>
      <c r="J4" s="3">
        <f t="shared" si="2"/>
        <v>7</v>
      </c>
      <c r="K4" s="3" t="str">
        <f t="shared" si="3"/>
        <v>MUITO BOM</v>
      </c>
    </row>
    <row r="5" spans="1:15" x14ac:dyDescent="0.25">
      <c r="A5" s="8">
        <v>46161</v>
      </c>
      <c r="B5" s="9" t="s">
        <v>15</v>
      </c>
      <c r="C5" s="10" t="s">
        <v>11</v>
      </c>
      <c r="D5" s="3">
        <v>22</v>
      </c>
      <c r="E5" s="3">
        <v>19</v>
      </c>
      <c r="F5" s="3">
        <v>0</v>
      </c>
      <c r="G5" s="3">
        <v>1</v>
      </c>
      <c r="H5" s="3">
        <f t="shared" si="0"/>
        <v>20</v>
      </c>
      <c r="I5" s="3" t="str">
        <f t="shared" si="1"/>
        <v>28</v>
      </c>
      <c r="J5" s="3">
        <f t="shared" si="2"/>
        <v>-8</v>
      </c>
      <c r="K5" s="3" t="str">
        <f t="shared" si="3"/>
        <v>CRÍTICO</v>
      </c>
    </row>
    <row r="6" spans="1:15" x14ac:dyDescent="0.25">
      <c r="A6" s="8">
        <v>46161</v>
      </c>
      <c r="B6" s="9" t="s">
        <v>16</v>
      </c>
      <c r="C6" s="10" t="s">
        <v>17</v>
      </c>
      <c r="D6" s="3">
        <v>30</v>
      </c>
      <c r="E6" s="3">
        <v>29</v>
      </c>
      <c r="F6" s="3">
        <v>0</v>
      </c>
      <c r="G6" s="3">
        <v>0</v>
      </c>
      <c r="H6" s="3">
        <f t="shared" si="0"/>
        <v>29</v>
      </c>
      <c r="I6" s="3" t="str">
        <f t="shared" si="1"/>
        <v>10</v>
      </c>
      <c r="J6" s="3">
        <f t="shared" si="2"/>
        <v>19</v>
      </c>
      <c r="K6" s="3" t="str">
        <f t="shared" si="3"/>
        <v>MUITO BOM</v>
      </c>
    </row>
    <row r="7" spans="1:15" x14ac:dyDescent="0.25">
      <c r="A7" s="8">
        <v>46161</v>
      </c>
      <c r="B7" s="9" t="s">
        <v>18</v>
      </c>
      <c r="C7" s="10" t="s">
        <v>11</v>
      </c>
      <c r="D7" s="3">
        <v>33</v>
      </c>
      <c r="E7" s="3">
        <v>31</v>
      </c>
      <c r="F7" s="3">
        <v>0</v>
      </c>
      <c r="G7" s="3">
        <v>3</v>
      </c>
      <c r="H7" s="3">
        <f t="shared" si="0"/>
        <v>34</v>
      </c>
      <c r="I7" s="3" t="str">
        <f t="shared" si="1"/>
        <v>28</v>
      </c>
      <c r="J7" s="3">
        <f t="shared" si="2"/>
        <v>6</v>
      </c>
      <c r="K7" s="3" t="str">
        <f t="shared" si="3"/>
        <v>MUITO BOM</v>
      </c>
    </row>
    <row r="8" spans="1:15" x14ac:dyDescent="0.25">
      <c r="A8" s="8">
        <v>46161</v>
      </c>
      <c r="B8" s="9" t="s">
        <v>19</v>
      </c>
      <c r="C8" s="10" t="s">
        <v>14</v>
      </c>
      <c r="D8" s="3">
        <v>33</v>
      </c>
      <c r="E8" s="3">
        <v>32</v>
      </c>
      <c r="F8" s="3">
        <v>0</v>
      </c>
      <c r="G8" s="3">
        <v>2</v>
      </c>
      <c r="H8" s="3">
        <f t="shared" si="0"/>
        <v>34</v>
      </c>
      <c r="I8" s="3" t="str">
        <f t="shared" si="1"/>
        <v>23</v>
      </c>
      <c r="J8" s="3">
        <f t="shared" si="2"/>
        <v>11</v>
      </c>
      <c r="K8" s="3" t="str">
        <f t="shared" si="3"/>
        <v>MUITO BOM</v>
      </c>
    </row>
    <row r="9" spans="1:15" x14ac:dyDescent="0.25">
      <c r="A9" s="8">
        <v>46161</v>
      </c>
      <c r="B9" s="9" t="s">
        <v>20</v>
      </c>
      <c r="C9" s="10" t="s">
        <v>17</v>
      </c>
      <c r="D9" s="3">
        <v>9</v>
      </c>
      <c r="E9" s="3">
        <v>9</v>
      </c>
      <c r="F9" s="3">
        <v>0</v>
      </c>
      <c r="G9" s="3">
        <v>0</v>
      </c>
      <c r="H9" s="3">
        <f t="shared" si="0"/>
        <v>9</v>
      </c>
      <c r="I9" s="3" t="str">
        <f t="shared" si="1"/>
        <v>10</v>
      </c>
      <c r="J9" s="3">
        <f t="shared" si="2"/>
        <v>-1</v>
      </c>
      <c r="K9" s="3" t="str">
        <f t="shared" si="3"/>
        <v>ATENÇÃO</v>
      </c>
    </row>
    <row r="10" spans="1:15" x14ac:dyDescent="0.25">
      <c r="A10" s="8">
        <v>46161</v>
      </c>
      <c r="B10" s="9" t="s">
        <v>21</v>
      </c>
      <c r="C10" s="10" t="s">
        <v>14</v>
      </c>
      <c r="D10" s="3">
        <v>26</v>
      </c>
      <c r="E10" s="3">
        <v>25</v>
      </c>
      <c r="F10" s="3">
        <v>0</v>
      </c>
      <c r="G10" s="3">
        <v>1</v>
      </c>
      <c r="H10" s="3">
        <f t="shared" si="0"/>
        <v>26</v>
      </c>
      <c r="I10" s="3" t="str">
        <f t="shared" si="1"/>
        <v>23</v>
      </c>
      <c r="J10" s="3">
        <f t="shared" si="2"/>
        <v>3</v>
      </c>
      <c r="K10" s="3" t="str">
        <f t="shared" si="3"/>
        <v>OPORTUNO</v>
      </c>
    </row>
    <row r="11" spans="1:15" x14ac:dyDescent="0.25">
      <c r="A11" s="8">
        <v>46161</v>
      </c>
      <c r="B11" s="9" t="s">
        <v>22</v>
      </c>
      <c r="C11" s="10" t="s">
        <v>12</v>
      </c>
      <c r="D11" s="3">
        <v>33</v>
      </c>
      <c r="E11" s="3">
        <v>30</v>
      </c>
      <c r="F11" s="3">
        <v>0</v>
      </c>
      <c r="G11" s="3">
        <v>0</v>
      </c>
      <c r="H11" s="3">
        <f t="shared" si="0"/>
        <v>30</v>
      </c>
      <c r="I11" s="3" t="str">
        <f t="shared" si="1"/>
        <v>35</v>
      </c>
      <c r="J11" s="3">
        <f t="shared" si="2"/>
        <v>-5</v>
      </c>
      <c r="K11" s="3" t="str">
        <f t="shared" si="3"/>
        <v>ATENÇÃO</v>
      </c>
    </row>
    <row r="12" spans="1:15" x14ac:dyDescent="0.25">
      <c r="A12" s="8">
        <v>46161</v>
      </c>
      <c r="B12" s="9" t="s">
        <v>23</v>
      </c>
      <c r="C12" s="10" t="s">
        <v>11</v>
      </c>
      <c r="D12" s="3">
        <v>0</v>
      </c>
      <c r="E12" s="3">
        <v>0</v>
      </c>
      <c r="F12" s="3">
        <v>0</v>
      </c>
      <c r="G12" s="3">
        <v>0</v>
      </c>
      <c r="H12" s="3">
        <f t="shared" si="0"/>
        <v>0</v>
      </c>
      <c r="I12" s="3" t="str">
        <f t="shared" si="1"/>
        <v>28</v>
      </c>
      <c r="J12" s="3">
        <f t="shared" si="2"/>
        <v>-28</v>
      </c>
      <c r="K12" s="3" t="str">
        <f t="shared" si="3"/>
        <v>CRÍTICO</v>
      </c>
    </row>
    <row r="13" spans="1:15" x14ac:dyDescent="0.25">
      <c r="A13" s="8">
        <v>46161</v>
      </c>
      <c r="B13" s="9" t="s">
        <v>24</v>
      </c>
      <c r="C13" s="10" t="s">
        <v>14</v>
      </c>
      <c r="D13" s="3">
        <v>21</v>
      </c>
      <c r="E13" s="3">
        <v>20</v>
      </c>
      <c r="F13" s="3">
        <v>0</v>
      </c>
      <c r="G13" s="3">
        <v>1</v>
      </c>
      <c r="H13" s="3">
        <f t="shared" si="0"/>
        <v>21</v>
      </c>
      <c r="I13" s="3" t="str">
        <f t="shared" si="1"/>
        <v>23</v>
      </c>
      <c r="J13" s="3">
        <f t="shared" si="2"/>
        <v>-2</v>
      </c>
      <c r="K13" s="3" t="str">
        <f t="shared" si="3"/>
        <v>ATENÇÃO</v>
      </c>
    </row>
    <row r="14" spans="1:15" x14ac:dyDescent="0.25">
      <c r="A14" s="8">
        <v>46161</v>
      </c>
      <c r="B14" s="9" t="s">
        <v>25</v>
      </c>
      <c r="C14" s="10" t="s">
        <v>11</v>
      </c>
      <c r="D14" s="3">
        <v>0</v>
      </c>
      <c r="E14" s="3">
        <v>0</v>
      </c>
      <c r="F14" s="3">
        <v>0</v>
      </c>
      <c r="G14" s="3">
        <v>0</v>
      </c>
      <c r="H14" s="3">
        <f t="shared" si="0"/>
        <v>0</v>
      </c>
      <c r="I14" s="3" t="str">
        <f t="shared" si="1"/>
        <v>28</v>
      </c>
      <c r="J14" s="3">
        <f t="shared" si="2"/>
        <v>-28</v>
      </c>
      <c r="K14" s="3" t="str">
        <f t="shared" si="3"/>
        <v>CRÍTICO</v>
      </c>
    </row>
    <row r="15" spans="1:15" x14ac:dyDescent="0.25">
      <c r="A15" s="8">
        <v>46161</v>
      </c>
      <c r="B15" s="9" t="s">
        <v>26</v>
      </c>
      <c r="C15" s="10" t="s">
        <v>17</v>
      </c>
      <c r="D15" s="3">
        <v>17</v>
      </c>
      <c r="E15" s="3">
        <v>5</v>
      </c>
      <c r="F15" s="3">
        <v>0</v>
      </c>
      <c r="G15" s="3">
        <v>0</v>
      </c>
      <c r="H15" s="3">
        <f t="shared" si="0"/>
        <v>5</v>
      </c>
      <c r="I15" s="3" t="str">
        <f t="shared" si="1"/>
        <v>10</v>
      </c>
      <c r="J15" s="3">
        <f t="shared" si="2"/>
        <v>-5</v>
      </c>
      <c r="K15" s="3" t="str">
        <f t="shared" si="3"/>
        <v>ATENÇÃO</v>
      </c>
    </row>
    <row r="16" spans="1:15" x14ac:dyDescent="0.25">
      <c r="A16" s="8">
        <v>46161</v>
      </c>
      <c r="B16" s="9" t="s">
        <v>27</v>
      </c>
      <c r="C16" s="10" t="s">
        <v>11</v>
      </c>
      <c r="D16" s="3">
        <v>23</v>
      </c>
      <c r="E16" s="3">
        <v>22</v>
      </c>
      <c r="F16" s="3">
        <v>0</v>
      </c>
      <c r="G16" s="3">
        <v>2</v>
      </c>
      <c r="H16" s="3">
        <f t="shared" si="0"/>
        <v>24</v>
      </c>
      <c r="I16" s="3" t="str">
        <f t="shared" si="1"/>
        <v>28</v>
      </c>
      <c r="J16" s="3">
        <f t="shared" si="2"/>
        <v>-4</v>
      </c>
      <c r="K16" s="3" t="str">
        <f t="shared" si="3"/>
        <v>ATENÇÃO</v>
      </c>
    </row>
    <row r="17" spans="1:11" x14ac:dyDescent="0.25">
      <c r="A17" s="8">
        <v>46161</v>
      </c>
      <c r="B17" s="9" t="s">
        <v>62</v>
      </c>
      <c r="C17" s="10" t="s">
        <v>11</v>
      </c>
      <c r="D17" s="3">
        <v>12</v>
      </c>
      <c r="E17" s="3">
        <v>12</v>
      </c>
      <c r="F17" s="3">
        <v>0</v>
      </c>
      <c r="G17" s="3">
        <v>0</v>
      </c>
      <c r="H17" s="3">
        <f t="shared" si="0"/>
        <v>12</v>
      </c>
      <c r="I17" s="3" t="str">
        <f t="shared" si="1"/>
        <v>28</v>
      </c>
      <c r="J17" s="3">
        <f t="shared" si="2"/>
        <v>-16</v>
      </c>
      <c r="K17" s="3" t="str">
        <f t="shared" si="3"/>
        <v>CRÍTICO</v>
      </c>
    </row>
    <row r="18" spans="1:11" x14ac:dyDescent="0.25">
      <c r="A18" s="8">
        <v>46161</v>
      </c>
      <c r="B18" s="9" t="s">
        <v>28</v>
      </c>
      <c r="C18" s="10" t="s">
        <v>11</v>
      </c>
      <c r="D18" s="3">
        <v>0</v>
      </c>
      <c r="E18" s="3">
        <v>0</v>
      </c>
      <c r="F18" s="3">
        <v>0</v>
      </c>
      <c r="G18" s="3">
        <v>0</v>
      </c>
      <c r="H18" s="3">
        <f t="shared" si="0"/>
        <v>0</v>
      </c>
      <c r="I18" s="3" t="str">
        <f t="shared" si="1"/>
        <v>28</v>
      </c>
      <c r="J18" s="3">
        <f t="shared" si="2"/>
        <v>-28</v>
      </c>
      <c r="K18" s="3" t="str">
        <f t="shared" si="3"/>
        <v>CRÍTICO</v>
      </c>
    </row>
    <row r="19" spans="1:11" x14ac:dyDescent="0.25">
      <c r="A19" s="8">
        <v>46161</v>
      </c>
      <c r="B19" s="9" t="s">
        <v>29</v>
      </c>
      <c r="C19" s="10" t="s">
        <v>17</v>
      </c>
      <c r="D19" s="3">
        <v>4</v>
      </c>
      <c r="E19" s="3">
        <v>4</v>
      </c>
      <c r="F19" s="3">
        <v>0</v>
      </c>
      <c r="G19" s="3">
        <v>0</v>
      </c>
      <c r="H19" s="3">
        <f t="shared" si="0"/>
        <v>4</v>
      </c>
      <c r="I19" s="3" t="str">
        <f t="shared" si="1"/>
        <v>10</v>
      </c>
      <c r="J19" s="3">
        <f t="shared" si="2"/>
        <v>-6</v>
      </c>
      <c r="K19" s="3" t="str">
        <f t="shared" si="3"/>
        <v>CRÍTICO</v>
      </c>
    </row>
    <row r="20" spans="1:11" x14ac:dyDescent="0.25">
      <c r="A20" s="8">
        <v>46161</v>
      </c>
      <c r="B20" s="9" t="s">
        <v>30</v>
      </c>
      <c r="C20" s="10" t="s">
        <v>14</v>
      </c>
      <c r="D20" s="3">
        <v>19</v>
      </c>
      <c r="E20" s="3">
        <v>18</v>
      </c>
      <c r="F20" s="3">
        <v>3</v>
      </c>
      <c r="G20" s="3">
        <v>3</v>
      </c>
      <c r="H20" s="3">
        <f t="shared" si="0"/>
        <v>24</v>
      </c>
      <c r="I20" s="3" t="str">
        <f t="shared" si="1"/>
        <v>23</v>
      </c>
      <c r="J20" s="3">
        <f t="shared" si="2"/>
        <v>1</v>
      </c>
      <c r="K20" s="3" t="str">
        <f t="shared" si="3"/>
        <v>OPORTUNO</v>
      </c>
    </row>
    <row r="21" spans="1:11" x14ac:dyDescent="0.25">
      <c r="A21" s="8">
        <v>46161</v>
      </c>
      <c r="B21" s="9" t="s">
        <v>31</v>
      </c>
      <c r="C21" s="10" t="s">
        <v>14</v>
      </c>
      <c r="D21" s="3">
        <v>28</v>
      </c>
      <c r="E21" s="3">
        <v>25</v>
      </c>
      <c r="F21" s="3">
        <v>0</v>
      </c>
      <c r="G21" s="3">
        <v>0</v>
      </c>
      <c r="H21" s="3">
        <f t="shared" si="0"/>
        <v>25</v>
      </c>
      <c r="I21" s="3" t="str">
        <f t="shared" si="1"/>
        <v>23</v>
      </c>
      <c r="J21" s="3">
        <f t="shared" si="2"/>
        <v>2</v>
      </c>
      <c r="K21" s="3" t="str">
        <f t="shared" si="3"/>
        <v>OPORTUNO</v>
      </c>
    </row>
    <row r="22" spans="1:11" x14ac:dyDescent="0.25">
      <c r="A22" s="8">
        <v>46161</v>
      </c>
      <c r="B22" s="9" t="s">
        <v>32</v>
      </c>
      <c r="C22" s="10" t="s">
        <v>12</v>
      </c>
      <c r="D22" s="3">
        <v>43</v>
      </c>
      <c r="E22" s="3">
        <v>39</v>
      </c>
      <c r="F22" s="3">
        <v>0</v>
      </c>
      <c r="G22" s="3">
        <v>3</v>
      </c>
      <c r="H22" s="3">
        <f t="shared" si="0"/>
        <v>42</v>
      </c>
      <c r="I22" s="3" t="str">
        <f t="shared" si="1"/>
        <v>35</v>
      </c>
      <c r="J22" s="3">
        <f t="shared" si="2"/>
        <v>7</v>
      </c>
      <c r="K22" s="3" t="str">
        <f t="shared" si="3"/>
        <v>MUITO BOM</v>
      </c>
    </row>
    <row r="23" spans="1:11" x14ac:dyDescent="0.25">
      <c r="A23" s="8">
        <v>46161</v>
      </c>
      <c r="B23" s="9" t="s">
        <v>33</v>
      </c>
      <c r="C23" s="10" t="s">
        <v>12</v>
      </c>
      <c r="D23" s="3">
        <v>11</v>
      </c>
      <c r="E23" s="3">
        <v>10</v>
      </c>
      <c r="F23" s="3">
        <v>0</v>
      </c>
      <c r="G23" s="3">
        <v>4</v>
      </c>
      <c r="H23" s="3">
        <f t="shared" si="0"/>
        <v>14</v>
      </c>
      <c r="I23" s="3" t="str">
        <f t="shared" si="1"/>
        <v>35</v>
      </c>
      <c r="J23" s="3">
        <f t="shared" si="2"/>
        <v>-21</v>
      </c>
      <c r="K23" s="3" t="str">
        <f t="shared" si="3"/>
        <v>CRÍTICO</v>
      </c>
    </row>
    <row r="24" spans="1:11" x14ac:dyDescent="0.25">
      <c r="A24" s="8">
        <v>46161</v>
      </c>
      <c r="B24" s="9" t="s">
        <v>34</v>
      </c>
      <c r="C24" s="10" t="s">
        <v>11</v>
      </c>
      <c r="D24" s="3">
        <v>24</v>
      </c>
      <c r="E24" s="3">
        <v>20</v>
      </c>
      <c r="F24" s="3">
        <v>0</v>
      </c>
      <c r="G24" s="3">
        <v>2</v>
      </c>
      <c r="H24" s="3">
        <f t="shared" si="0"/>
        <v>22</v>
      </c>
      <c r="I24" s="3" t="str">
        <f t="shared" si="1"/>
        <v>28</v>
      </c>
      <c r="J24" s="3">
        <f t="shared" si="2"/>
        <v>-6</v>
      </c>
      <c r="K24" s="3" t="str">
        <f t="shared" si="3"/>
        <v>CRÍTICO</v>
      </c>
    </row>
    <row r="25" spans="1:11" x14ac:dyDescent="0.25">
      <c r="A25" s="8">
        <v>46161</v>
      </c>
      <c r="B25" s="9" t="s">
        <v>63</v>
      </c>
      <c r="C25" s="10" t="s">
        <v>12</v>
      </c>
      <c r="D25" s="3">
        <v>0</v>
      </c>
      <c r="E25" s="3">
        <v>0</v>
      </c>
      <c r="F25" s="3">
        <v>0</v>
      </c>
      <c r="G25" s="3">
        <v>0</v>
      </c>
      <c r="H25" s="3">
        <f t="shared" si="0"/>
        <v>0</v>
      </c>
      <c r="I25" s="3" t="str">
        <f t="shared" si="1"/>
        <v>35</v>
      </c>
      <c r="J25" s="3">
        <f t="shared" si="2"/>
        <v>-35</v>
      </c>
      <c r="K25" s="3" t="str">
        <f t="shared" si="3"/>
        <v>CRÍTICO</v>
      </c>
    </row>
    <row r="26" spans="1:11" x14ac:dyDescent="0.25">
      <c r="A26" s="8">
        <v>46161</v>
      </c>
      <c r="B26" s="9" t="s">
        <v>35</v>
      </c>
      <c r="C26" s="10" t="s">
        <v>36</v>
      </c>
      <c r="D26" s="3">
        <v>20</v>
      </c>
      <c r="E26" s="3">
        <v>19</v>
      </c>
      <c r="F26" s="3">
        <v>0</v>
      </c>
      <c r="G26" s="3">
        <v>2</v>
      </c>
      <c r="H26" s="3">
        <f t="shared" si="0"/>
        <v>21</v>
      </c>
      <c r="I26" s="3" t="str">
        <f t="shared" si="1"/>
        <v>20</v>
      </c>
      <c r="J26" s="3">
        <f t="shared" si="2"/>
        <v>1</v>
      </c>
      <c r="K26" s="3" t="str">
        <f t="shared" si="3"/>
        <v>OPORTUNO</v>
      </c>
    </row>
    <row r="27" spans="1:11" x14ac:dyDescent="0.25">
      <c r="A27" s="8">
        <v>46161</v>
      </c>
      <c r="B27" s="9" t="s">
        <v>60</v>
      </c>
      <c r="C27" s="10" t="s">
        <v>11</v>
      </c>
      <c r="D27" s="3">
        <v>32</v>
      </c>
      <c r="E27" s="3">
        <v>32</v>
      </c>
      <c r="F27" s="3">
        <v>0</v>
      </c>
      <c r="G27" s="3">
        <v>0</v>
      </c>
      <c r="H27" s="3">
        <f t="shared" si="0"/>
        <v>32</v>
      </c>
      <c r="I27" s="3" t="str">
        <f t="shared" si="1"/>
        <v>28</v>
      </c>
      <c r="J27" s="3">
        <f t="shared" si="2"/>
        <v>4</v>
      </c>
      <c r="K27" s="3" t="str">
        <f t="shared" si="3"/>
        <v>OPORTUNO</v>
      </c>
    </row>
    <row r="28" spans="1:11" x14ac:dyDescent="0.25">
      <c r="A28" s="8">
        <v>46161</v>
      </c>
      <c r="B28" s="9" t="s">
        <v>37</v>
      </c>
      <c r="C28" s="10" t="s">
        <v>36</v>
      </c>
      <c r="D28" s="3">
        <v>19</v>
      </c>
      <c r="E28" s="3">
        <v>17</v>
      </c>
      <c r="F28" s="3">
        <v>0</v>
      </c>
      <c r="G28" s="3">
        <v>1</v>
      </c>
      <c r="H28" s="3">
        <f t="shared" si="0"/>
        <v>18</v>
      </c>
      <c r="I28" s="3" t="str">
        <f t="shared" si="1"/>
        <v>20</v>
      </c>
      <c r="J28" s="3">
        <f t="shared" si="2"/>
        <v>-2</v>
      </c>
      <c r="K28" s="3" t="str">
        <f t="shared" si="3"/>
        <v>ATENÇÃO</v>
      </c>
    </row>
    <row r="29" spans="1:11" x14ac:dyDescent="0.25">
      <c r="A29" s="8">
        <v>46161</v>
      </c>
      <c r="B29" s="9" t="s">
        <v>38</v>
      </c>
      <c r="C29" s="10" t="s">
        <v>11</v>
      </c>
      <c r="D29" s="3">
        <v>27</v>
      </c>
      <c r="E29" s="3">
        <v>26</v>
      </c>
      <c r="F29" s="3">
        <v>0</v>
      </c>
      <c r="G29" s="3">
        <v>0</v>
      </c>
      <c r="H29" s="3">
        <f t="shared" si="0"/>
        <v>26</v>
      </c>
      <c r="I29" s="3" t="str">
        <f t="shared" si="1"/>
        <v>28</v>
      </c>
      <c r="J29" s="3">
        <f t="shared" si="2"/>
        <v>-2</v>
      </c>
      <c r="K29" s="3" t="str">
        <f t="shared" si="3"/>
        <v>ATENÇÃO</v>
      </c>
    </row>
    <row r="30" spans="1:11" x14ac:dyDescent="0.25">
      <c r="A30" s="8">
        <v>46161</v>
      </c>
      <c r="B30" s="9" t="s">
        <v>39</v>
      </c>
      <c r="C30" s="10" t="s">
        <v>11</v>
      </c>
      <c r="D30" s="3">
        <v>28</v>
      </c>
      <c r="E30" s="3">
        <v>25</v>
      </c>
      <c r="F30" s="3">
        <v>0</v>
      </c>
      <c r="G30" s="3">
        <v>3</v>
      </c>
      <c r="H30" s="3">
        <f t="shared" si="0"/>
        <v>28</v>
      </c>
      <c r="I30" s="3" t="str">
        <f t="shared" si="1"/>
        <v>28</v>
      </c>
      <c r="J30" s="3">
        <f t="shared" si="2"/>
        <v>0</v>
      </c>
      <c r="K30" s="3" t="str">
        <f t="shared" si="3"/>
        <v>OPORTUNO</v>
      </c>
    </row>
    <row r="31" spans="1:11" x14ac:dyDescent="0.25">
      <c r="A31" s="8">
        <v>46161</v>
      </c>
      <c r="B31" s="9" t="s">
        <v>40</v>
      </c>
      <c r="C31" s="10" t="s">
        <v>11</v>
      </c>
      <c r="D31" s="3">
        <v>22</v>
      </c>
      <c r="E31" s="3">
        <v>21</v>
      </c>
      <c r="F31" s="3">
        <v>0</v>
      </c>
      <c r="G31" s="3">
        <v>1</v>
      </c>
      <c r="H31" s="3">
        <f t="shared" si="0"/>
        <v>22</v>
      </c>
      <c r="I31" s="3" t="str">
        <f t="shared" si="1"/>
        <v>28</v>
      </c>
      <c r="J31" s="3">
        <f t="shared" si="2"/>
        <v>-6</v>
      </c>
      <c r="K31" s="3" t="str">
        <f t="shared" si="3"/>
        <v>CRÍTICO</v>
      </c>
    </row>
    <row r="32" spans="1:11" x14ac:dyDescent="0.25">
      <c r="A32" s="8">
        <v>46161</v>
      </c>
      <c r="B32" s="9" t="s">
        <v>64</v>
      </c>
      <c r="C32" s="10" t="s">
        <v>12</v>
      </c>
      <c r="D32" s="3">
        <v>22</v>
      </c>
      <c r="E32" s="3">
        <v>20</v>
      </c>
      <c r="F32" s="3">
        <v>0</v>
      </c>
      <c r="G32" s="3">
        <v>0</v>
      </c>
      <c r="H32" s="3">
        <f t="shared" si="0"/>
        <v>20</v>
      </c>
      <c r="I32" s="3" t="str">
        <f t="shared" si="1"/>
        <v>35</v>
      </c>
      <c r="J32" s="3">
        <f t="shared" si="2"/>
        <v>-15</v>
      </c>
      <c r="K32" s="3" t="str">
        <f t="shared" si="3"/>
        <v>CRÍTICO</v>
      </c>
    </row>
    <row r="33" spans="1:11" x14ac:dyDescent="0.25">
      <c r="A33" s="8">
        <v>46161</v>
      </c>
      <c r="B33" s="9" t="s">
        <v>41</v>
      </c>
      <c r="C33" s="10" t="s">
        <v>14</v>
      </c>
      <c r="D33" s="3">
        <v>18</v>
      </c>
      <c r="E33" s="3">
        <v>17</v>
      </c>
      <c r="F33" s="3">
        <v>0</v>
      </c>
      <c r="G33" s="3">
        <v>2</v>
      </c>
      <c r="H33" s="3">
        <f t="shared" si="0"/>
        <v>19</v>
      </c>
      <c r="I33" s="3" t="str">
        <f t="shared" si="1"/>
        <v>23</v>
      </c>
      <c r="J33" s="3">
        <f t="shared" si="2"/>
        <v>-4</v>
      </c>
      <c r="K33" s="3" t="str">
        <f t="shared" si="3"/>
        <v>ATENÇÃO</v>
      </c>
    </row>
    <row r="34" spans="1:11" x14ac:dyDescent="0.25">
      <c r="A34" s="8">
        <v>46161</v>
      </c>
      <c r="B34" s="9" t="s">
        <v>42</v>
      </c>
      <c r="C34" s="10" t="s">
        <v>17</v>
      </c>
      <c r="D34" s="3">
        <v>36</v>
      </c>
      <c r="E34" s="3">
        <v>24</v>
      </c>
      <c r="F34" s="3">
        <v>0</v>
      </c>
      <c r="G34" s="3">
        <v>0</v>
      </c>
      <c r="H34" s="3">
        <f t="shared" si="0"/>
        <v>24</v>
      </c>
      <c r="I34" s="3" t="str">
        <f t="shared" si="1"/>
        <v>10</v>
      </c>
      <c r="J34" s="3">
        <f t="shared" si="2"/>
        <v>14</v>
      </c>
      <c r="K34" s="3" t="str">
        <f t="shared" si="3"/>
        <v>MUITO BOM</v>
      </c>
    </row>
    <row r="35" spans="1:11" x14ac:dyDescent="0.25">
      <c r="A35" s="8">
        <v>46161</v>
      </c>
      <c r="B35" s="9" t="s">
        <v>43</v>
      </c>
      <c r="C35" s="10" t="s">
        <v>12</v>
      </c>
      <c r="D35" s="3">
        <v>0</v>
      </c>
      <c r="E35" s="3">
        <v>0</v>
      </c>
      <c r="F35" s="3">
        <v>33</v>
      </c>
      <c r="G35" s="3">
        <v>0</v>
      </c>
      <c r="H35" s="3">
        <f t="shared" si="0"/>
        <v>33</v>
      </c>
      <c r="I35" s="3" t="str">
        <f t="shared" si="1"/>
        <v>35</v>
      </c>
      <c r="J35" s="3">
        <f t="shared" si="2"/>
        <v>-2</v>
      </c>
      <c r="K35" s="3" t="str">
        <f t="shared" si="3"/>
        <v>ATENÇÃO</v>
      </c>
    </row>
    <row r="36" spans="1:11" x14ac:dyDescent="0.25">
      <c r="A36" s="8">
        <v>46161</v>
      </c>
      <c r="B36" s="9" t="s">
        <v>44</v>
      </c>
      <c r="C36" s="10" t="s">
        <v>12</v>
      </c>
      <c r="D36" s="3">
        <v>35</v>
      </c>
      <c r="E36" s="3">
        <v>31</v>
      </c>
      <c r="F36" s="3">
        <v>0</v>
      </c>
      <c r="G36" s="3">
        <v>4</v>
      </c>
      <c r="H36" s="3">
        <f t="shared" si="0"/>
        <v>35</v>
      </c>
      <c r="I36" s="3" t="str">
        <f t="shared" si="1"/>
        <v>35</v>
      </c>
      <c r="J36" s="3">
        <f t="shared" si="2"/>
        <v>0</v>
      </c>
      <c r="K36" s="3" t="str">
        <f t="shared" si="3"/>
        <v>OPORTUNO</v>
      </c>
    </row>
    <row r="37" spans="1:11" x14ac:dyDescent="0.25">
      <c r="A37" s="8">
        <v>46161</v>
      </c>
      <c r="B37" s="9" t="s">
        <v>45</v>
      </c>
      <c r="C37" s="10" t="s">
        <v>17</v>
      </c>
      <c r="D37" s="3">
        <v>15</v>
      </c>
      <c r="E37" s="3">
        <v>13</v>
      </c>
      <c r="F37" s="3">
        <v>0</v>
      </c>
      <c r="G37" s="3">
        <v>0</v>
      </c>
      <c r="H37" s="3">
        <f t="shared" si="0"/>
        <v>13</v>
      </c>
      <c r="I37" s="3" t="str">
        <f t="shared" si="1"/>
        <v>10</v>
      </c>
      <c r="J37" s="3">
        <f t="shared" si="2"/>
        <v>3</v>
      </c>
      <c r="K37" s="3" t="str">
        <f t="shared" si="3"/>
        <v>OPORTUNO</v>
      </c>
    </row>
    <row r="38" spans="1:11" x14ac:dyDescent="0.25">
      <c r="A38" s="8">
        <v>46161</v>
      </c>
      <c r="B38" s="9" t="s">
        <v>46</v>
      </c>
      <c r="C38" s="10" t="s">
        <v>36</v>
      </c>
      <c r="D38" s="3">
        <v>42</v>
      </c>
      <c r="E38" s="3">
        <v>23</v>
      </c>
      <c r="F38" s="3">
        <v>0</v>
      </c>
      <c r="G38" s="3">
        <v>0</v>
      </c>
      <c r="H38" s="3">
        <f t="shared" si="0"/>
        <v>23</v>
      </c>
      <c r="I38" s="3" t="str">
        <f t="shared" si="1"/>
        <v>20</v>
      </c>
      <c r="J38" s="3">
        <f t="shared" si="2"/>
        <v>3</v>
      </c>
      <c r="K38" s="3" t="str">
        <f t="shared" si="3"/>
        <v>OPORTUNO</v>
      </c>
    </row>
    <row r="39" spans="1:11" x14ac:dyDescent="0.25">
      <c r="A39" s="8">
        <v>46161</v>
      </c>
      <c r="B39" s="9" t="s">
        <v>47</v>
      </c>
      <c r="C39" s="10" t="s">
        <v>11</v>
      </c>
      <c r="D39" s="3">
        <v>25</v>
      </c>
      <c r="E39" s="3">
        <v>23</v>
      </c>
      <c r="F39" s="3">
        <v>0</v>
      </c>
      <c r="G39" s="3">
        <v>0</v>
      </c>
      <c r="H39" s="3">
        <f t="shared" si="0"/>
        <v>23</v>
      </c>
      <c r="I39" s="3" t="str">
        <f t="shared" si="1"/>
        <v>28</v>
      </c>
      <c r="J39" s="3">
        <f t="shared" si="2"/>
        <v>-5</v>
      </c>
      <c r="K39" s="3" t="str">
        <f t="shared" si="3"/>
        <v>ATENÇÃO</v>
      </c>
    </row>
    <row r="40" spans="1:11" x14ac:dyDescent="0.25">
      <c r="A40" s="8">
        <v>46161</v>
      </c>
      <c r="B40" s="9" t="s">
        <v>48</v>
      </c>
      <c r="C40" s="10" t="s">
        <v>36</v>
      </c>
      <c r="D40" s="3">
        <v>13</v>
      </c>
      <c r="E40" s="3">
        <v>13</v>
      </c>
      <c r="F40" s="3">
        <v>0</v>
      </c>
      <c r="G40" s="3">
        <v>0</v>
      </c>
      <c r="H40" s="3">
        <f t="shared" si="0"/>
        <v>13</v>
      </c>
      <c r="I40" s="3" t="str">
        <f t="shared" si="1"/>
        <v>20</v>
      </c>
      <c r="J40" s="3">
        <f t="shared" si="2"/>
        <v>-7</v>
      </c>
      <c r="K40" s="3" t="str">
        <f t="shared" si="3"/>
        <v>CRÍTICO</v>
      </c>
    </row>
    <row r="41" spans="1:11" x14ac:dyDescent="0.25">
      <c r="A41" s="8">
        <v>46161</v>
      </c>
      <c r="B41" s="9" t="s">
        <v>49</v>
      </c>
      <c r="C41" s="10" t="s">
        <v>36</v>
      </c>
      <c r="D41" s="3">
        <v>17</v>
      </c>
      <c r="E41" s="3">
        <v>17</v>
      </c>
      <c r="F41" s="3">
        <v>0</v>
      </c>
      <c r="G41" s="3">
        <v>0</v>
      </c>
      <c r="H41" s="3">
        <f t="shared" si="0"/>
        <v>17</v>
      </c>
      <c r="I41" s="3" t="str">
        <f t="shared" si="1"/>
        <v>20</v>
      </c>
      <c r="J41" s="3">
        <f t="shared" si="2"/>
        <v>-3</v>
      </c>
      <c r="K41" s="3" t="str">
        <f t="shared" si="3"/>
        <v>ATENÇÃO</v>
      </c>
    </row>
    <row r="42" spans="1:11" x14ac:dyDescent="0.25">
      <c r="A42" s="8">
        <v>46161</v>
      </c>
      <c r="B42" s="9" t="s">
        <v>50</v>
      </c>
      <c r="C42" s="10" t="s">
        <v>17</v>
      </c>
      <c r="D42" s="3">
        <v>20</v>
      </c>
      <c r="E42" s="3">
        <v>19</v>
      </c>
      <c r="F42" s="3">
        <v>0</v>
      </c>
      <c r="G42" s="3">
        <v>0</v>
      </c>
      <c r="H42" s="3">
        <f t="shared" si="0"/>
        <v>19</v>
      </c>
      <c r="I42" s="3" t="str">
        <f t="shared" si="1"/>
        <v>10</v>
      </c>
      <c r="J42" s="3">
        <f t="shared" si="2"/>
        <v>9</v>
      </c>
      <c r="K42" s="3" t="str">
        <f t="shared" si="3"/>
        <v>MUITO BOM</v>
      </c>
    </row>
    <row r="43" spans="1:11" x14ac:dyDescent="0.25">
      <c r="A43" s="8">
        <v>46161</v>
      </c>
      <c r="B43" s="9" t="s">
        <v>51</v>
      </c>
      <c r="C43" s="10" t="s">
        <v>14</v>
      </c>
      <c r="D43" s="3">
        <v>35</v>
      </c>
      <c r="E43" s="3">
        <v>31</v>
      </c>
      <c r="F43" s="3">
        <v>0</v>
      </c>
      <c r="G43" s="3">
        <v>2</v>
      </c>
      <c r="H43" s="3">
        <f t="shared" si="0"/>
        <v>33</v>
      </c>
      <c r="I43" s="3" t="str">
        <f t="shared" si="1"/>
        <v>23</v>
      </c>
      <c r="J43" s="3">
        <f t="shared" si="2"/>
        <v>10</v>
      </c>
      <c r="K43" s="3" t="str">
        <f t="shared" si="3"/>
        <v>MUITO BOM</v>
      </c>
    </row>
    <row r="44" spans="1:11" x14ac:dyDescent="0.25">
      <c r="A44" s="8">
        <v>46161</v>
      </c>
      <c r="B44" s="9" t="s">
        <v>52</v>
      </c>
      <c r="C44" s="10" t="s">
        <v>12</v>
      </c>
      <c r="D44" s="3">
        <v>39</v>
      </c>
      <c r="E44" s="3">
        <v>35</v>
      </c>
      <c r="F44" s="3">
        <v>0</v>
      </c>
      <c r="G44" s="3">
        <v>3</v>
      </c>
      <c r="H44" s="3">
        <f t="shared" si="0"/>
        <v>38</v>
      </c>
      <c r="I44" s="3" t="str">
        <f t="shared" si="1"/>
        <v>35</v>
      </c>
      <c r="J44" s="3">
        <f t="shared" si="2"/>
        <v>3</v>
      </c>
      <c r="K44" s="3" t="str">
        <f t="shared" si="3"/>
        <v>OPORTUNO</v>
      </c>
    </row>
    <row r="45" spans="1:11" x14ac:dyDescent="0.25">
      <c r="A45" s="8">
        <v>46161</v>
      </c>
      <c r="B45" s="9" t="s">
        <v>53</v>
      </c>
      <c r="C45" s="10" t="s">
        <v>14</v>
      </c>
      <c r="D45" s="3">
        <v>18</v>
      </c>
      <c r="E45" s="3">
        <v>18</v>
      </c>
      <c r="F45" s="3">
        <v>0</v>
      </c>
      <c r="G45" s="3">
        <v>0</v>
      </c>
      <c r="H45" s="3">
        <f t="shared" si="0"/>
        <v>18</v>
      </c>
      <c r="I45" s="3" t="str">
        <f t="shared" si="1"/>
        <v>23</v>
      </c>
      <c r="J45" s="3">
        <f t="shared" si="2"/>
        <v>-5</v>
      </c>
      <c r="K45" s="3" t="str">
        <f t="shared" si="3"/>
        <v>ATENÇÃO</v>
      </c>
    </row>
    <row r="46" spans="1:11" x14ac:dyDescent="0.25">
      <c r="A46" s="8">
        <v>46161</v>
      </c>
      <c r="B46" s="9" t="s">
        <v>54</v>
      </c>
      <c r="C46" s="10" t="s">
        <v>12</v>
      </c>
      <c r="D46" s="3">
        <v>25</v>
      </c>
      <c r="E46" s="3">
        <v>24</v>
      </c>
      <c r="F46" s="3">
        <v>0</v>
      </c>
      <c r="G46" s="3">
        <v>3</v>
      </c>
      <c r="H46" s="3">
        <f t="shared" si="0"/>
        <v>27</v>
      </c>
      <c r="I46" s="3" t="str">
        <f t="shared" si="1"/>
        <v>35</v>
      </c>
      <c r="J46" s="3">
        <f t="shared" si="2"/>
        <v>-8</v>
      </c>
      <c r="K46" s="3" t="str">
        <f t="shared" si="3"/>
        <v>CRÍTICO</v>
      </c>
    </row>
    <row r="91" spans="2:2" x14ac:dyDescent="0.25">
      <c r="B91"/>
    </row>
    <row r="442" spans="15:15" x14ac:dyDescent="0.25">
      <c r="O442" s="7"/>
    </row>
  </sheetData>
  <autoFilter ref="A1:O485" xr:uid="{B156EF58-AF9E-4A91-B7D8-7B3B50610D55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Produtividade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Esther Queiroz Supervisora Folha</dc:creator>
  <cp:lastModifiedBy>Esther Queiroz Supervisora Folha</cp:lastModifiedBy>
  <dcterms:created xsi:type="dcterms:W3CDTF">2026-05-19T17:56:40Z</dcterms:created>
  <dcterms:modified xsi:type="dcterms:W3CDTF">2026-05-20T12:10:27Z</dcterms:modified>
</cp:coreProperties>
</file>
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2182FF26-3330-40E4-B8A1-C57234D46985}" xr6:coauthVersionLast="47" xr6:coauthVersionMax="47" xr10:uidLastSave="{00000000-0000-0000-0000-000000000000}"/>
  <bookViews>
    <workbookView xWindow="-120" yWindow="-120" windowWidth="21840" windowHeight="13140" xr2:uid="{3366F5A6-D48D-4B7C-80E0-46CFBEDC9F48}"/>
  </bookViews>
  <sheets>
    <sheet name="Produtividade" sheetId="1" r:id="rId1"/>
  </sheets>
  <definedNames>
    <definedName name="_xlnm._FilterDatabase" localSheetId="0" hidden="1">Produtividade!$A$1:$O$530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L122" i="1"/>
  <c r="L146" i="1"/>
  <c r="L192" i="1"/>
  <c r="L268" i="1"/>
  <c r="L15" i="1"/>
  <c r="L269" i="1"/>
  <c r="L352" i="1"/>
  <c r="L16" i="1"/>
  <c r="L194" i="1"/>
  <c r="L270" i="1"/>
  <c r="L353" i="1"/>
  <c r="L377" i="1"/>
  <c r="L17" i="1"/>
  <c r="L195" i="1"/>
  <c r="L271" i="1"/>
  <c r="L354" i="1"/>
  <c r="L426" i="1"/>
  <c r="L18" i="1"/>
  <c r="L196" i="1"/>
  <c r="L272" i="1"/>
  <c r="L355" i="1"/>
  <c r="L427" i="1"/>
  <c r="L19" i="1"/>
  <c r="L197" i="1"/>
  <c r="L213" i="1"/>
  <c r="L273" i="1"/>
  <c r="L356" i="1"/>
  <c r="L512" i="1"/>
  <c r="L20" i="1"/>
  <c r="L198" i="1"/>
  <c r="L274" i="1"/>
  <c r="L357" i="1"/>
  <c r="L21" i="1"/>
  <c r="L199" i="1"/>
  <c r="L275" i="1"/>
  <c r="L358" i="1"/>
  <c r="L22" i="1"/>
  <c r="L200" i="1"/>
  <c r="L276" i="1"/>
  <c r="L311" i="1"/>
  <c r="L359" i="1"/>
  <c r="L23" i="1"/>
  <c r="L201" i="1"/>
  <c r="L277" i="1"/>
  <c r="L360" i="1"/>
  <c r="L202" i="1"/>
  <c r="L24" i="1"/>
  <c r="L278" i="1"/>
  <c r="L361" i="1"/>
  <c r="L183" i="1"/>
  <c r="L184" i="1"/>
  <c r="L185" i="1"/>
  <c r="L186" i="1"/>
  <c r="L187" i="1"/>
  <c r="L188" i="1"/>
  <c r="L189" i="1"/>
  <c r="L190" i="1"/>
  <c r="L191" i="1"/>
  <c r="L25" i="1"/>
  <c r="L49" i="1"/>
  <c r="L133" i="1"/>
  <c r="L157" i="1"/>
  <c r="L203" i="1"/>
  <c r="L279" i="1"/>
  <c r="L362" i="1"/>
  <c r="I26" i="1"/>
  <c r="I38" i="1"/>
  <c r="I50" i="1"/>
  <c r="I62" i="1"/>
  <c r="I74" i="1"/>
  <c r="I86" i="1"/>
  <c r="I98" i="1"/>
  <c r="I110" i="1"/>
  <c r="I134" i="1"/>
  <c r="I158" i="1"/>
  <c r="I170" i="1"/>
  <c r="I182" i="1"/>
  <c r="I204" i="1"/>
  <c r="I208" i="1"/>
  <c r="I220" i="1"/>
  <c r="I232" i="1"/>
  <c r="I244" i="1"/>
  <c r="I256" i="1"/>
  <c r="I280" i="1"/>
  <c r="I292" i="1"/>
  <c r="I303" i="1"/>
  <c r="I315" i="1"/>
  <c r="I327" i="1"/>
  <c r="I339" i="1"/>
  <c r="I351" i="1"/>
  <c r="I363" i="1"/>
  <c r="I375" i="1"/>
  <c r="I387" i="1"/>
  <c r="I399" i="1"/>
  <c r="I411" i="1"/>
  <c r="I423" i="1"/>
  <c r="I435" i="1"/>
  <c r="I447" i="1"/>
  <c r="I459" i="1"/>
  <c r="I471" i="1"/>
  <c r="I483" i="1"/>
  <c r="I495" i="1"/>
  <c r="I507" i="1"/>
  <c r="I519" i="1"/>
  <c r="I51" i="1"/>
  <c r="I87" i="1"/>
  <c r="I159" i="1"/>
  <c r="I376" i="1"/>
  <c r="I412" i="1"/>
  <c r="I472" i="1"/>
  <c r="I281" i="1"/>
  <c r="I304" i="1"/>
  <c r="I448" i="1"/>
  <c r="I460" i="1"/>
  <c r="I484" i="1"/>
  <c r="I424" i="1"/>
  <c r="I27" i="1"/>
  <c r="I63" i="1"/>
  <c r="I75" i="1"/>
  <c r="I99" i="1"/>
  <c r="I135" i="1"/>
  <c r="I171" i="1"/>
  <c r="I193" i="1"/>
  <c r="I209" i="1"/>
  <c r="I221" i="1"/>
  <c r="I257" i="1"/>
  <c r="I328" i="1"/>
  <c r="I364" i="1"/>
  <c r="I508" i="1"/>
  <c r="I3" i="1"/>
  <c r="I39" i="1"/>
  <c r="I123" i="1"/>
  <c r="I147" i="1"/>
  <c r="I233" i="1"/>
  <c r="I316" i="1"/>
  <c r="I340" i="1"/>
  <c r="I400" i="1"/>
  <c r="I436" i="1"/>
  <c r="I520" i="1"/>
  <c r="I111" i="1"/>
  <c r="I245" i="1"/>
  <c r="I388" i="1"/>
  <c r="I496" i="1"/>
  <c r="I4" i="1"/>
  <c r="I28" i="1"/>
  <c r="I40" i="1"/>
  <c r="I52" i="1"/>
  <c r="I64" i="1"/>
  <c r="I76" i="1"/>
  <c r="I88" i="1"/>
  <c r="I100" i="1"/>
  <c r="I112" i="1"/>
  <c r="I124" i="1"/>
  <c r="I136" i="1"/>
  <c r="I148" i="1"/>
  <c r="I160" i="1"/>
  <c r="I172" i="1"/>
  <c r="I210" i="1"/>
  <c r="I222" i="1"/>
  <c r="I234" i="1"/>
  <c r="I246" i="1"/>
  <c r="I258" i="1"/>
  <c r="I282" i="1"/>
  <c r="I305" i="1"/>
  <c r="I317" i="1"/>
  <c r="I329" i="1"/>
  <c r="I341" i="1"/>
  <c r="I365" i="1"/>
  <c r="I389" i="1"/>
  <c r="I401" i="1"/>
  <c r="I413" i="1"/>
  <c r="I437" i="1"/>
  <c r="I449" i="1"/>
  <c r="I461" i="1"/>
  <c r="I473" i="1"/>
  <c r="I485" i="1"/>
  <c r="I497" i="1"/>
  <c r="I521" i="1"/>
  <c r="I509" i="1"/>
  <c r="I425" i="1"/>
  <c r="I5" i="1"/>
  <c r="I29" i="1"/>
  <c r="I41" i="1"/>
  <c r="I53" i="1"/>
  <c r="I65" i="1"/>
  <c r="I77" i="1"/>
  <c r="I89" i="1"/>
  <c r="I101" i="1"/>
  <c r="I113" i="1"/>
  <c r="I125" i="1"/>
  <c r="I137" i="1"/>
  <c r="I149" i="1"/>
  <c r="I161" i="1"/>
  <c r="I173" i="1"/>
  <c r="I211" i="1"/>
  <c r="I223" i="1"/>
  <c r="I235" i="1"/>
  <c r="I247" i="1"/>
  <c r="I259" i="1"/>
  <c r="I283" i="1"/>
  <c r="I306" i="1"/>
  <c r="I318" i="1"/>
  <c r="I330" i="1"/>
  <c r="I342" i="1"/>
  <c r="I366" i="1"/>
  <c r="I378" i="1"/>
  <c r="I390" i="1"/>
  <c r="I402" i="1"/>
  <c r="I414" i="1"/>
  <c r="I438" i="1"/>
  <c r="I450" i="1"/>
  <c r="I462" i="1"/>
  <c r="I474" i="1"/>
  <c r="I486" i="1"/>
  <c r="I498" i="1"/>
  <c r="I522" i="1"/>
  <c r="I510" i="1"/>
  <c r="I6" i="1"/>
  <c r="I30" i="1"/>
  <c r="I42" i="1"/>
  <c r="I54" i="1"/>
  <c r="I66" i="1"/>
  <c r="I78" i="1"/>
  <c r="I90" i="1"/>
  <c r="I102" i="1"/>
  <c r="I114" i="1"/>
  <c r="I126" i="1"/>
  <c r="I138" i="1"/>
  <c r="I150" i="1"/>
  <c r="I162" i="1"/>
  <c r="I174" i="1"/>
  <c r="I212" i="1"/>
  <c r="I224" i="1"/>
  <c r="I236" i="1"/>
  <c r="I248" i="1"/>
  <c r="I260" i="1"/>
  <c r="I284" i="1"/>
  <c r="I307" i="1"/>
  <c r="I319" i="1"/>
  <c r="I331" i="1"/>
  <c r="I343" i="1"/>
  <c r="I367" i="1"/>
  <c r="I379" i="1"/>
  <c r="I391" i="1"/>
  <c r="I403" i="1"/>
  <c r="I415" i="1"/>
  <c r="I439" i="1"/>
  <c r="I451" i="1"/>
  <c r="I463" i="1"/>
  <c r="I475" i="1"/>
  <c r="I487" i="1"/>
  <c r="I499" i="1"/>
  <c r="I523" i="1"/>
  <c r="I511" i="1"/>
  <c r="I7" i="1"/>
  <c r="I31" i="1"/>
  <c r="I43" i="1"/>
  <c r="I55" i="1"/>
  <c r="I67" i="1"/>
  <c r="I79" i="1"/>
  <c r="I91" i="1"/>
  <c r="I103" i="1"/>
  <c r="I115" i="1"/>
  <c r="I127" i="1"/>
  <c r="I139" i="1"/>
  <c r="I151" i="1"/>
  <c r="I163" i="1"/>
  <c r="I175" i="1"/>
  <c r="I225" i="1"/>
  <c r="I237" i="1"/>
  <c r="I249" i="1"/>
  <c r="I261" i="1"/>
  <c r="I285" i="1"/>
  <c r="I308" i="1"/>
  <c r="I320" i="1"/>
  <c r="I332" i="1"/>
  <c r="I344" i="1"/>
  <c r="I368" i="1"/>
  <c r="I380" i="1"/>
  <c r="I392" i="1"/>
  <c r="I404" i="1"/>
  <c r="I416" i="1"/>
  <c r="I428" i="1"/>
  <c r="I440" i="1"/>
  <c r="I452" i="1"/>
  <c r="I464" i="1"/>
  <c r="I476" i="1"/>
  <c r="I488" i="1"/>
  <c r="I500" i="1"/>
  <c r="I524" i="1"/>
  <c r="I205" i="1"/>
  <c r="I8" i="1"/>
  <c r="I32" i="1"/>
  <c r="I44" i="1"/>
  <c r="I56" i="1"/>
  <c r="I68" i="1"/>
  <c r="I80" i="1"/>
  <c r="I92" i="1"/>
  <c r="I104" i="1"/>
  <c r="I116" i="1"/>
  <c r="I128" i="1"/>
  <c r="I140" i="1"/>
  <c r="I152" i="1"/>
  <c r="I164" i="1"/>
  <c r="I176" i="1"/>
  <c r="I214" i="1"/>
  <c r="I226" i="1"/>
  <c r="I238" i="1"/>
  <c r="I250" i="1"/>
  <c r="I262" i="1"/>
  <c r="I286" i="1"/>
  <c r="I309" i="1"/>
  <c r="I321" i="1"/>
  <c r="I333" i="1"/>
  <c r="I345" i="1"/>
  <c r="I369" i="1"/>
  <c r="I381" i="1"/>
  <c r="I393" i="1"/>
  <c r="I405" i="1"/>
  <c r="I417" i="1"/>
  <c r="I429" i="1"/>
  <c r="I441" i="1"/>
  <c r="I453" i="1"/>
  <c r="I465" i="1"/>
  <c r="I477" i="1"/>
  <c r="I489" i="1"/>
  <c r="I501" i="1"/>
  <c r="I513" i="1"/>
  <c r="I525" i="1"/>
  <c r="I9" i="1"/>
  <c r="I33" i="1"/>
  <c r="I45" i="1"/>
  <c r="I57" i="1"/>
  <c r="I69" i="1"/>
  <c r="I81" i="1"/>
  <c r="I93" i="1"/>
  <c r="I105" i="1"/>
  <c r="I117" i="1"/>
  <c r="I129" i="1"/>
  <c r="I141" i="1"/>
  <c r="I153" i="1"/>
  <c r="I165" i="1"/>
  <c r="I177" i="1"/>
  <c r="I215" i="1"/>
  <c r="I227" i="1"/>
  <c r="I239" i="1"/>
  <c r="I251" i="1"/>
  <c r="I263" i="1"/>
  <c r="I287" i="1"/>
  <c r="I310" i="1"/>
  <c r="I322" i="1"/>
  <c r="I334" i="1"/>
  <c r="I346" i="1"/>
  <c r="I370" i="1"/>
  <c r="I382" i="1"/>
  <c r="I394" i="1"/>
  <c r="I406" i="1"/>
  <c r="I418" i="1"/>
  <c r="I430" i="1"/>
  <c r="I442" i="1"/>
  <c r="I454" i="1"/>
  <c r="I466" i="1"/>
  <c r="I478" i="1"/>
  <c r="I490" i="1"/>
  <c r="I502" i="1"/>
  <c r="I514" i="1"/>
  <c r="I526" i="1"/>
  <c r="I10" i="1"/>
  <c r="I34" i="1"/>
  <c r="I46" i="1"/>
  <c r="I58" i="1"/>
  <c r="I70" i="1"/>
  <c r="I82" i="1"/>
  <c r="I94" i="1"/>
  <c r="I106" i="1"/>
  <c r="I118" i="1"/>
  <c r="I130" i="1"/>
  <c r="I142" i="1"/>
  <c r="I154" i="1"/>
  <c r="I166" i="1"/>
  <c r="I178" i="1"/>
  <c r="I216" i="1"/>
  <c r="I228" i="1"/>
  <c r="I240" i="1"/>
  <c r="I252" i="1"/>
  <c r="I264" i="1"/>
  <c r="I288" i="1"/>
  <c r="I323" i="1"/>
  <c r="I335" i="1"/>
  <c r="I347" i="1"/>
  <c r="I371" i="1"/>
  <c r="I383" i="1"/>
  <c r="I395" i="1"/>
  <c r="I407" i="1"/>
  <c r="I419" i="1"/>
  <c r="I431" i="1"/>
  <c r="I443" i="1"/>
  <c r="I455" i="1"/>
  <c r="I467" i="1"/>
  <c r="I479" i="1"/>
  <c r="I491" i="1"/>
  <c r="I503" i="1"/>
  <c r="I515" i="1"/>
  <c r="I527" i="1"/>
  <c r="I11" i="1"/>
  <c r="I35" i="1"/>
  <c r="I47" i="1"/>
  <c r="I59" i="1"/>
  <c r="I71" i="1"/>
  <c r="I83" i="1"/>
  <c r="I95" i="1"/>
  <c r="I107" i="1"/>
  <c r="I119" i="1"/>
  <c r="I131" i="1"/>
  <c r="I143" i="1"/>
  <c r="I155" i="1"/>
  <c r="I167" i="1"/>
  <c r="I179" i="1"/>
  <c r="I217" i="1"/>
  <c r="I229" i="1"/>
  <c r="I241" i="1"/>
  <c r="I253" i="1"/>
  <c r="I265" i="1"/>
  <c r="I289" i="1"/>
  <c r="I312" i="1"/>
  <c r="I324" i="1"/>
  <c r="I336" i="1"/>
  <c r="I348" i="1"/>
  <c r="I372" i="1"/>
  <c r="I384" i="1"/>
  <c r="I396" i="1"/>
  <c r="I408" i="1"/>
  <c r="I420" i="1"/>
  <c r="I432" i="1"/>
  <c r="I444" i="1"/>
  <c r="I456" i="1"/>
  <c r="I468" i="1"/>
  <c r="I480" i="1"/>
  <c r="I492" i="1"/>
  <c r="I504" i="1"/>
  <c r="I516" i="1"/>
  <c r="I528" i="1"/>
  <c r="I60" i="1"/>
  <c r="I96" i="1"/>
  <c r="I168" i="1"/>
  <c r="I206" i="1"/>
  <c r="I385" i="1"/>
  <c r="I421" i="1"/>
  <c r="I481" i="1"/>
  <c r="I290" i="1"/>
  <c r="I313" i="1"/>
  <c r="I433" i="1"/>
  <c r="I457" i="1"/>
  <c r="I469" i="1"/>
  <c r="I36" i="1"/>
  <c r="I84" i="1"/>
  <c r="I108" i="1"/>
  <c r="I144" i="1"/>
  <c r="I218" i="1"/>
  <c r="I230" i="1"/>
  <c r="I373" i="1"/>
  <c r="I493" i="1"/>
  <c r="I517" i="1"/>
  <c r="I12" i="1"/>
  <c r="I48" i="1"/>
  <c r="I72" i="1"/>
  <c r="I132" i="1"/>
  <c r="I156" i="1"/>
  <c r="I180" i="1"/>
  <c r="I266" i="1"/>
  <c r="I325" i="1"/>
  <c r="I337" i="1"/>
  <c r="I349" i="1"/>
  <c r="I445" i="1"/>
  <c r="I120" i="1"/>
  <c r="I242" i="1"/>
  <c r="I254" i="1"/>
  <c r="I397" i="1"/>
  <c r="I409" i="1"/>
  <c r="I505" i="1"/>
  <c r="I529" i="1"/>
  <c r="I293" i="1"/>
  <c r="I294" i="1"/>
  <c r="I295" i="1"/>
  <c r="I296" i="1"/>
  <c r="I297" i="1"/>
  <c r="I298" i="1"/>
  <c r="I299" i="1"/>
  <c r="I300" i="1"/>
  <c r="I301" i="1"/>
  <c r="I13" i="1"/>
  <c r="I37" i="1"/>
  <c r="I61" i="1"/>
  <c r="I73" i="1"/>
  <c r="I85" i="1"/>
  <c r="I97" i="1"/>
  <c r="I109" i="1"/>
  <c r="I121" i="1"/>
  <c r="I145" i="1"/>
  <c r="I169" i="1"/>
  <c r="I181" i="1"/>
  <c r="I207" i="1"/>
  <c r="I219" i="1"/>
  <c r="I231" i="1"/>
  <c r="I243" i="1"/>
  <c r="I255" i="1"/>
  <c r="I267" i="1"/>
  <c r="I291" i="1"/>
  <c r="I314" i="1"/>
  <c r="I326" i="1"/>
  <c r="I338" i="1"/>
  <c r="I350" i="1"/>
  <c r="I374" i="1"/>
  <c r="I386" i="1"/>
  <c r="I398" i="1"/>
  <c r="I410" i="1"/>
  <c r="I422" i="1"/>
  <c r="I434" i="1"/>
  <c r="I446" i="1"/>
  <c r="I458" i="1"/>
  <c r="I470" i="1"/>
  <c r="I482" i="1"/>
  <c r="I494" i="1"/>
  <c r="I506" i="1"/>
  <c r="I518" i="1"/>
  <c r="I530" i="1"/>
  <c r="I302" i="1"/>
  <c r="I2" i="1"/>
  <c r="J51" i="1"/>
  <c r="J87" i="1"/>
  <c r="J159" i="1"/>
  <c r="K159" i="1" s="1"/>
  <c r="L159" i="1" s="1"/>
  <c r="J376" i="1"/>
  <c r="K376" i="1" s="1"/>
  <c r="L376" i="1" s="1"/>
  <c r="J412" i="1"/>
  <c r="K412" i="1" s="1"/>
  <c r="L412" i="1" s="1"/>
  <c r="J472" i="1"/>
  <c r="K472" i="1" s="1"/>
  <c r="L472" i="1" s="1"/>
  <c r="J281" i="1"/>
  <c r="K281" i="1" s="1"/>
  <c r="L281" i="1" s="1"/>
  <c r="J304" i="1"/>
  <c r="K304" i="1" s="1"/>
  <c r="L304" i="1" s="1"/>
  <c r="J448" i="1"/>
  <c r="K448" i="1" s="1"/>
  <c r="L448" i="1" s="1"/>
  <c r="J460" i="1"/>
  <c r="K460" i="1" s="1"/>
  <c r="L460" i="1" s="1"/>
  <c r="J484" i="1"/>
  <c r="K484" i="1" s="1"/>
  <c r="L484" i="1" s="1"/>
  <c r="J424" i="1"/>
  <c r="K424" i="1" s="1"/>
  <c r="L424" i="1" s="1"/>
  <c r="J27" i="1"/>
  <c r="K27" i="1" s="1"/>
  <c r="L27" i="1" s="1"/>
  <c r="J63" i="1"/>
  <c r="K63" i="1" s="1"/>
  <c r="L63" i="1" s="1"/>
  <c r="J75" i="1"/>
  <c r="K75" i="1" s="1"/>
  <c r="L75" i="1" s="1"/>
  <c r="J99" i="1"/>
  <c r="K99" i="1" s="1"/>
  <c r="L99" i="1" s="1"/>
  <c r="J135" i="1"/>
  <c r="K135" i="1" s="1"/>
  <c r="L135" i="1" s="1"/>
  <c r="J171" i="1"/>
  <c r="K171" i="1" s="1"/>
  <c r="L171" i="1" s="1"/>
  <c r="J193" i="1"/>
  <c r="K193" i="1" s="1"/>
  <c r="L193" i="1" s="1"/>
  <c r="J209" i="1"/>
  <c r="K209" i="1" s="1"/>
  <c r="L209" i="1" s="1"/>
  <c r="J221" i="1"/>
  <c r="K221" i="1" s="1"/>
  <c r="L221" i="1" s="1"/>
  <c r="J257" i="1"/>
  <c r="K257" i="1" s="1"/>
  <c r="L257" i="1" s="1"/>
  <c r="J328" i="1"/>
  <c r="K328" i="1" s="1"/>
  <c r="L328" i="1" s="1"/>
  <c r="J364" i="1"/>
  <c r="K364" i="1" s="1"/>
  <c r="L364" i="1" s="1"/>
  <c r="J508" i="1"/>
  <c r="K508" i="1" s="1"/>
  <c r="L508" i="1" s="1"/>
  <c r="J3" i="1"/>
  <c r="K3" i="1" s="1"/>
  <c r="L3" i="1" s="1"/>
  <c r="J39" i="1"/>
  <c r="K39" i="1" s="1"/>
  <c r="L39" i="1" s="1"/>
  <c r="J123" i="1"/>
  <c r="K123" i="1" s="1"/>
  <c r="L123" i="1" s="1"/>
  <c r="J147" i="1"/>
  <c r="K147" i="1" s="1"/>
  <c r="L147" i="1" s="1"/>
  <c r="J233" i="1"/>
  <c r="K233" i="1" s="1"/>
  <c r="L233" i="1" s="1"/>
  <c r="J316" i="1"/>
  <c r="K316" i="1" s="1"/>
  <c r="L316" i="1" s="1"/>
  <c r="J340" i="1"/>
  <c r="K340" i="1" s="1"/>
  <c r="L340" i="1" s="1"/>
  <c r="J400" i="1"/>
  <c r="K400" i="1" s="1"/>
  <c r="L400" i="1" s="1"/>
  <c r="J436" i="1"/>
  <c r="K436" i="1" s="1"/>
  <c r="L436" i="1" s="1"/>
  <c r="J520" i="1"/>
  <c r="K520" i="1" s="1"/>
  <c r="L520" i="1" s="1"/>
  <c r="J111" i="1"/>
  <c r="K111" i="1" s="1"/>
  <c r="L111" i="1" s="1"/>
  <c r="J245" i="1"/>
  <c r="K245" i="1" s="1"/>
  <c r="L245" i="1" s="1"/>
  <c r="J388" i="1"/>
  <c r="K388" i="1" s="1"/>
  <c r="L388" i="1" s="1"/>
  <c r="J496" i="1"/>
  <c r="K496" i="1" s="1"/>
  <c r="L496" i="1" s="1"/>
  <c r="J4" i="1"/>
  <c r="K4" i="1" s="1"/>
  <c r="L4" i="1" s="1"/>
  <c r="J28" i="1"/>
  <c r="K28" i="1" s="1"/>
  <c r="L28" i="1" s="1"/>
  <c r="J40" i="1"/>
  <c r="K40" i="1" s="1"/>
  <c r="L40" i="1" s="1"/>
  <c r="J52" i="1"/>
  <c r="J64" i="1"/>
  <c r="J76" i="1"/>
  <c r="J88" i="1"/>
  <c r="J100" i="1"/>
  <c r="J112" i="1"/>
  <c r="J124" i="1"/>
  <c r="J136" i="1"/>
  <c r="J148" i="1"/>
  <c r="J160" i="1"/>
  <c r="J172" i="1"/>
  <c r="J210" i="1"/>
  <c r="J222" i="1"/>
  <c r="J234" i="1"/>
  <c r="J246" i="1"/>
  <c r="J258" i="1"/>
  <c r="J282" i="1"/>
  <c r="J305" i="1"/>
  <c r="J317" i="1"/>
  <c r="J329" i="1"/>
  <c r="J341" i="1"/>
  <c r="J365" i="1"/>
  <c r="K365" i="1" s="1"/>
  <c r="L365" i="1" s="1"/>
  <c r="J389" i="1"/>
  <c r="K389" i="1" s="1"/>
  <c r="L389" i="1" s="1"/>
  <c r="J401" i="1"/>
  <c r="K401" i="1" s="1"/>
  <c r="L401" i="1" s="1"/>
  <c r="J413" i="1"/>
  <c r="K413" i="1" s="1"/>
  <c r="L413" i="1" s="1"/>
  <c r="J437" i="1"/>
  <c r="K437" i="1" s="1"/>
  <c r="L437" i="1" s="1"/>
  <c r="J449" i="1"/>
  <c r="K449" i="1" s="1"/>
  <c r="L449" i="1" s="1"/>
  <c r="J461" i="1"/>
  <c r="K461" i="1" s="1"/>
  <c r="L461" i="1" s="1"/>
  <c r="J473" i="1"/>
  <c r="K473" i="1" s="1"/>
  <c r="L473" i="1" s="1"/>
  <c r="J485" i="1"/>
  <c r="K485" i="1" s="1"/>
  <c r="L485" i="1" s="1"/>
  <c r="J497" i="1"/>
  <c r="K497" i="1" s="1"/>
  <c r="L497" i="1" s="1"/>
  <c r="J521" i="1"/>
  <c r="K521" i="1" s="1"/>
  <c r="L521" i="1" s="1"/>
  <c r="J509" i="1"/>
  <c r="K509" i="1" s="1"/>
  <c r="L509" i="1" s="1"/>
  <c r="J425" i="1"/>
  <c r="K425" i="1" s="1"/>
  <c r="L425" i="1" s="1"/>
  <c r="J5" i="1"/>
  <c r="K5" i="1" s="1"/>
  <c r="L5" i="1" s="1"/>
  <c r="J29" i="1"/>
  <c r="K29" i="1" s="1"/>
  <c r="L29" i="1" s="1"/>
  <c r="J41" i="1"/>
  <c r="K41" i="1" s="1"/>
  <c r="L41" i="1" s="1"/>
  <c r="J53" i="1"/>
  <c r="K53" i="1" s="1"/>
  <c r="L53" i="1" s="1"/>
  <c r="J65" i="1"/>
  <c r="K65" i="1" s="1"/>
  <c r="L65" i="1" s="1"/>
  <c r="J77" i="1"/>
  <c r="K77" i="1" s="1"/>
  <c r="L77" i="1" s="1"/>
  <c r="J89" i="1"/>
  <c r="K89" i="1" s="1"/>
  <c r="L89" i="1" s="1"/>
  <c r="J101" i="1"/>
  <c r="K101" i="1" s="1"/>
  <c r="L101" i="1" s="1"/>
  <c r="J113" i="1"/>
  <c r="K113" i="1" s="1"/>
  <c r="L113" i="1" s="1"/>
  <c r="J125" i="1"/>
  <c r="K125" i="1" s="1"/>
  <c r="L125" i="1" s="1"/>
  <c r="J137" i="1"/>
  <c r="K137" i="1" s="1"/>
  <c r="L137" i="1" s="1"/>
  <c r="J149" i="1"/>
  <c r="K149" i="1" s="1"/>
  <c r="L149" i="1" s="1"/>
  <c r="J161" i="1"/>
  <c r="K161" i="1" s="1"/>
  <c r="L161" i="1" s="1"/>
  <c r="J173" i="1"/>
  <c r="K173" i="1" s="1"/>
  <c r="L173" i="1" s="1"/>
  <c r="J211" i="1"/>
  <c r="K211" i="1" s="1"/>
  <c r="L211" i="1" s="1"/>
  <c r="J223" i="1"/>
  <c r="K223" i="1" s="1"/>
  <c r="L223" i="1" s="1"/>
  <c r="J235" i="1"/>
  <c r="K235" i="1" s="1"/>
  <c r="L235" i="1" s="1"/>
  <c r="J247" i="1"/>
  <c r="K247" i="1" s="1"/>
  <c r="L247" i="1" s="1"/>
  <c r="J259" i="1"/>
  <c r="J283" i="1"/>
  <c r="J306" i="1"/>
  <c r="K306" i="1" s="1"/>
  <c r="L306" i="1" s="1"/>
  <c r="J318" i="1"/>
  <c r="K318" i="1" s="1"/>
  <c r="L318" i="1" s="1"/>
  <c r="J330" i="1"/>
  <c r="K330" i="1" s="1"/>
  <c r="L330" i="1" s="1"/>
  <c r="J342" i="1"/>
  <c r="K342" i="1" s="1"/>
  <c r="L342" i="1" s="1"/>
  <c r="J366" i="1"/>
  <c r="K366" i="1" s="1"/>
  <c r="L366" i="1" s="1"/>
  <c r="J378" i="1"/>
  <c r="K378" i="1" s="1"/>
  <c r="L378" i="1" s="1"/>
  <c r="J390" i="1"/>
  <c r="J402" i="1"/>
  <c r="J414" i="1"/>
  <c r="J438" i="1"/>
  <c r="J450" i="1"/>
  <c r="J462" i="1"/>
  <c r="J474" i="1"/>
  <c r="J486" i="1"/>
  <c r="J498" i="1"/>
  <c r="J522" i="1"/>
  <c r="J510" i="1"/>
  <c r="J6" i="1"/>
  <c r="J30" i="1"/>
  <c r="K30" i="1" s="1"/>
  <c r="L30" i="1" s="1"/>
  <c r="J42" i="1"/>
  <c r="K42" i="1" s="1"/>
  <c r="L42" i="1" s="1"/>
  <c r="J54" i="1"/>
  <c r="K54" i="1" s="1"/>
  <c r="L54" i="1" s="1"/>
  <c r="J66" i="1"/>
  <c r="K66" i="1" s="1"/>
  <c r="L66" i="1" s="1"/>
  <c r="J78" i="1"/>
  <c r="K78" i="1" s="1"/>
  <c r="L78" i="1" s="1"/>
  <c r="J90" i="1"/>
  <c r="K90" i="1" s="1"/>
  <c r="L90" i="1" s="1"/>
  <c r="J102" i="1"/>
  <c r="K102" i="1" s="1"/>
  <c r="L102" i="1" s="1"/>
  <c r="J114" i="1"/>
  <c r="K114" i="1" s="1"/>
  <c r="L114" i="1" s="1"/>
  <c r="J126" i="1"/>
  <c r="K126" i="1" s="1"/>
  <c r="L126" i="1" s="1"/>
  <c r="J138" i="1"/>
  <c r="K138" i="1" s="1"/>
  <c r="L138" i="1" s="1"/>
  <c r="J150" i="1"/>
  <c r="K150" i="1" s="1"/>
  <c r="L150" i="1" s="1"/>
  <c r="J162" i="1"/>
  <c r="J174" i="1"/>
  <c r="J212" i="1"/>
  <c r="J224" i="1"/>
  <c r="J236" i="1"/>
  <c r="K236" i="1" s="1"/>
  <c r="L236" i="1" s="1"/>
  <c r="J248" i="1"/>
  <c r="J260" i="1"/>
  <c r="J284" i="1"/>
  <c r="J307" i="1"/>
  <c r="J319" i="1"/>
  <c r="J331" i="1"/>
  <c r="J343" i="1"/>
  <c r="J367" i="1"/>
  <c r="J379" i="1"/>
  <c r="J391" i="1"/>
  <c r="J403" i="1"/>
  <c r="J415" i="1"/>
  <c r="J439" i="1"/>
  <c r="J451" i="1"/>
  <c r="K451" i="1" s="1"/>
  <c r="L451" i="1" s="1"/>
  <c r="J463" i="1"/>
  <c r="K463" i="1" s="1"/>
  <c r="L463" i="1" s="1"/>
  <c r="J475" i="1"/>
  <c r="K475" i="1" s="1"/>
  <c r="L475" i="1" s="1"/>
  <c r="J487" i="1"/>
  <c r="K487" i="1" s="1"/>
  <c r="L487" i="1" s="1"/>
  <c r="J499" i="1"/>
  <c r="K499" i="1" s="1"/>
  <c r="L499" i="1" s="1"/>
  <c r="J523" i="1"/>
  <c r="K523" i="1" s="1"/>
  <c r="L523" i="1" s="1"/>
  <c r="J511" i="1"/>
  <c r="K511" i="1" s="1"/>
  <c r="L511" i="1" s="1"/>
  <c r="J7" i="1"/>
  <c r="K7" i="1" s="1"/>
  <c r="L7" i="1" s="1"/>
  <c r="J31" i="1"/>
  <c r="J43" i="1"/>
  <c r="J55" i="1"/>
  <c r="J67" i="1"/>
  <c r="J79" i="1"/>
  <c r="J91" i="1"/>
  <c r="K91" i="1" s="1"/>
  <c r="L91" i="1" s="1"/>
  <c r="J103" i="1"/>
  <c r="K103" i="1" s="1"/>
  <c r="L103" i="1" s="1"/>
  <c r="J115" i="1"/>
  <c r="J127" i="1"/>
  <c r="J139" i="1"/>
  <c r="J151" i="1"/>
  <c r="J163" i="1"/>
  <c r="J175" i="1"/>
  <c r="J225" i="1"/>
  <c r="K225" i="1" s="1"/>
  <c r="L225" i="1" s="1"/>
  <c r="J237" i="1"/>
  <c r="K237" i="1" s="1"/>
  <c r="L237" i="1" s="1"/>
  <c r="J249" i="1"/>
  <c r="K249" i="1" s="1"/>
  <c r="L249" i="1" s="1"/>
  <c r="J261" i="1"/>
  <c r="K261" i="1" s="1"/>
  <c r="L261" i="1" s="1"/>
  <c r="J285" i="1"/>
  <c r="K285" i="1" s="1"/>
  <c r="L285" i="1" s="1"/>
  <c r="J308" i="1"/>
  <c r="K308" i="1" s="1"/>
  <c r="L308" i="1" s="1"/>
  <c r="J320" i="1"/>
  <c r="K320" i="1" s="1"/>
  <c r="L320" i="1" s="1"/>
  <c r="J332" i="1"/>
  <c r="K332" i="1" s="1"/>
  <c r="L332" i="1" s="1"/>
  <c r="J344" i="1"/>
  <c r="J368" i="1"/>
  <c r="J380" i="1"/>
  <c r="J392" i="1"/>
  <c r="J404" i="1"/>
  <c r="J416" i="1"/>
  <c r="J428" i="1"/>
  <c r="J440" i="1"/>
  <c r="J452" i="1"/>
  <c r="K452" i="1" s="1"/>
  <c r="L452" i="1" s="1"/>
  <c r="J464" i="1"/>
  <c r="K464" i="1" s="1"/>
  <c r="L464" i="1" s="1"/>
  <c r="J476" i="1"/>
  <c r="K476" i="1" s="1"/>
  <c r="L476" i="1" s="1"/>
  <c r="J488" i="1"/>
  <c r="K488" i="1" s="1"/>
  <c r="L488" i="1" s="1"/>
  <c r="J500" i="1"/>
  <c r="K500" i="1" s="1"/>
  <c r="L500" i="1" s="1"/>
  <c r="J524" i="1"/>
  <c r="K524" i="1" s="1"/>
  <c r="L524" i="1" s="1"/>
  <c r="J205" i="1"/>
  <c r="K205" i="1" s="1"/>
  <c r="L205" i="1" s="1"/>
  <c r="J8" i="1"/>
  <c r="K8" i="1" s="1"/>
  <c r="L8" i="1" s="1"/>
  <c r="J32" i="1"/>
  <c r="K32" i="1" s="1"/>
  <c r="L32" i="1" s="1"/>
  <c r="J44" i="1"/>
  <c r="J56" i="1"/>
  <c r="K56" i="1" s="1"/>
  <c r="L56" i="1" s="1"/>
  <c r="J68" i="1"/>
  <c r="K68" i="1" s="1"/>
  <c r="L68" i="1" s="1"/>
  <c r="J80" i="1"/>
  <c r="K80" i="1" s="1"/>
  <c r="L80" i="1" s="1"/>
  <c r="J92" i="1"/>
  <c r="K92" i="1" s="1"/>
  <c r="L92" i="1" s="1"/>
  <c r="J104" i="1"/>
  <c r="K104" i="1" s="1"/>
  <c r="L104" i="1" s="1"/>
  <c r="J116" i="1"/>
  <c r="K116" i="1" s="1"/>
  <c r="L116" i="1" s="1"/>
  <c r="J128" i="1"/>
  <c r="K128" i="1" s="1"/>
  <c r="L128" i="1" s="1"/>
  <c r="J140" i="1"/>
  <c r="K140" i="1" s="1"/>
  <c r="L140" i="1" s="1"/>
  <c r="J152" i="1"/>
  <c r="K152" i="1" s="1"/>
  <c r="L152" i="1" s="1"/>
  <c r="J164" i="1"/>
  <c r="K164" i="1" s="1"/>
  <c r="L164" i="1" s="1"/>
  <c r="J176" i="1"/>
  <c r="J214" i="1"/>
  <c r="J226" i="1"/>
  <c r="J238" i="1"/>
  <c r="J250" i="1"/>
  <c r="J262" i="1"/>
  <c r="J286" i="1"/>
  <c r="J309" i="1"/>
  <c r="J321" i="1"/>
  <c r="J333" i="1"/>
  <c r="J345" i="1"/>
  <c r="J369" i="1"/>
  <c r="J381" i="1"/>
  <c r="J393" i="1"/>
  <c r="J405" i="1"/>
  <c r="J417" i="1"/>
  <c r="J429" i="1"/>
  <c r="J441" i="1"/>
  <c r="J453" i="1"/>
  <c r="J465" i="1"/>
  <c r="J477" i="1"/>
  <c r="J489" i="1"/>
  <c r="J501" i="1"/>
  <c r="J513" i="1"/>
  <c r="J525" i="1"/>
  <c r="J9" i="1"/>
  <c r="J33" i="1"/>
  <c r="J45" i="1"/>
  <c r="J57" i="1"/>
  <c r="J69" i="1"/>
  <c r="J81" i="1"/>
  <c r="J93" i="1"/>
  <c r="J105" i="1"/>
  <c r="J117" i="1"/>
  <c r="J129" i="1"/>
  <c r="J141" i="1"/>
  <c r="J153" i="1"/>
  <c r="J165" i="1"/>
  <c r="J177" i="1"/>
  <c r="J215" i="1"/>
  <c r="J227" i="1"/>
  <c r="J239" i="1"/>
  <c r="J251" i="1"/>
  <c r="J263" i="1"/>
  <c r="J287" i="1"/>
  <c r="J310" i="1"/>
  <c r="J322" i="1"/>
  <c r="J334" i="1"/>
  <c r="J346" i="1"/>
  <c r="J370" i="1"/>
  <c r="J382" i="1"/>
  <c r="J394" i="1"/>
  <c r="J406" i="1"/>
  <c r="J418" i="1"/>
  <c r="J430" i="1"/>
  <c r="J442" i="1"/>
  <c r="J454" i="1"/>
  <c r="J466" i="1"/>
  <c r="J478" i="1"/>
  <c r="J490" i="1"/>
  <c r="J502" i="1"/>
  <c r="J514" i="1"/>
  <c r="J526" i="1"/>
  <c r="J10" i="1"/>
  <c r="J34" i="1"/>
  <c r="J46" i="1"/>
  <c r="J58" i="1"/>
  <c r="J70" i="1"/>
  <c r="J82" i="1"/>
  <c r="J94" i="1"/>
  <c r="J106" i="1"/>
  <c r="J118" i="1"/>
  <c r="J130" i="1"/>
  <c r="J142" i="1"/>
  <c r="J154" i="1"/>
  <c r="J166" i="1"/>
  <c r="J178" i="1"/>
  <c r="J216" i="1"/>
  <c r="J228" i="1"/>
  <c r="J240" i="1"/>
  <c r="J252" i="1"/>
  <c r="J264" i="1"/>
  <c r="J288" i="1"/>
  <c r="J323" i="1"/>
  <c r="J335" i="1"/>
  <c r="J347" i="1"/>
  <c r="J371" i="1"/>
  <c r="J383" i="1"/>
  <c r="J395" i="1"/>
  <c r="J407" i="1"/>
  <c r="J419" i="1"/>
  <c r="J431" i="1"/>
  <c r="J443" i="1"/>
  <c r="J455" i="1"/>
  <c r="J467" i="1"/>
  <c r="J479" i="1"/>
  <c r="J491" i="1"/>
  <c r="J503" i="1"/>
  <c r="J515" i="1"/>
  <c r="J527" i="1"/>
  <c r="J11" i="1"/>
  <c r="J35" i="1"/>
  <c r="J47" i="1"/>
  <c r="J59" i="1"/>
  <c r="J71" i="1"/>
  <c r="J83" i="1"/>
  <c r="J95" i="1"/>
  <c r="J107" i="1"/>
  <c r="J119" i="1"/>
  <c r="J131" i="1"/>
  <c r="J143" i="1"/>
  <c r="J155" i="1"/>
  <c r="J167" i="1"/>
  <c r="J179" i="1"/>
  <c r="J217" i="1"/>
  <c r="J229" i="1"/>
  <c r="J241" i="1"/>
  <c r="J253" i="1"/>
  <c r="J265" i="1"/>
  <c r="J289" i="1"/>
  <c r="J312" i="1"/>
  <c r="J324" i="1"/>
  <c r="J336" i="1"/>
  <c r="J348" i="1"/>
  <c r="J372" i="1"/>
  <c r="J384" i="1"/>
  <c r="J396" i="1"/>
  <c r="J408" i="1"/>
  <c r="J420" i="1"/>
  <c r="J432" i="1"/>
  <c r="J444" i="1"/>
  <c r="J456" i="1"/>
  <c r="J468" i="1"/>
  <c r="J480" i="1"/>
  <c r="K480" i="1" s="1"/>
  <c r="L480" i="1" s="1"/>
  <c r="J492" i="1"/>
  <c r="K492" i="1" s="1"/>
  <c r="L492" i="1" s="1"/>
  <c r="J504" i="1"/>
  <c r="K504" i="1" s="1"/>
  <c r="L504" i="1" s="1"/>
  <c r="J516" i="1"/>
  <c r="J528" i="1"/>
  <c r="K528" i="1" s="1"/>
  <c r="L528" i="1" s="1"/>
  <c r="J60" i="1"/>
  <c r="J96" i="1"/>
  <c r="J168" i="1"/>
  <c r="J206" i="1"/>
  <c r="J385" i="1"/>
  <c r="J421" i="1"/>
  <c r="J481" i="1"/>
  <c r="K481" i="1" s="1"/>
  <c r="L481" i="1" s="1"/>
  <c r="J290" i="1"/>
  <c r="K290" i="1" s="1"/>
  <c r="L290" i="1" s="1"/>
  <c r="J313" i="1"/>
  <c r="K313" i="1"/>
  <c r="L313" i="1" s="1"/>
  <c r="J433" i="1"/>
  <c r="K433" i="1" s="1"/>
  <c r="L433" i="1" s="1"/>
  <c r="J457" i="1"/>
  <c r="K457" i="1" s="1"/>
  <c r="L457" i="1" s="1"/>
  <c r="J469" i="1"/>
  <c r="K469" i="1"/>
  <c r="L469" i="1" s="1"/>
  <c r="J36" i="1"/>
  <c r="K36" i="1" s="1"/>
  <c r="L36" i="1" s="1"/>
  <c r="J84" i="1"/>
  <c r="K84" i="1" s="1"/>
  <c r="L84" i="1" s="1"/>
  <c r="J108" i="1"/>
  <c r="K108" i="1" s="1"/>
  <c r="L108" i="1" s="1"/>
  <c r="J144" i="1"/>
  <c r="K144" i="1" s="1"/>
  <c r="L144" i="1" s="1"/>
  <c r="J218" i="1"/>
  <c r="K218" i="1" s="1"/>
  <c r="L218" i="1" s="1"/>
  <c r="J230" i="1"/>
  <c r="K230" i="1" s="1"/>
  <c r="L230" i="1" s="1"/>
  <c r="J373" i="1"/>
  <c r="K373" i="1" s="1"/>
  <c r="L373" i="1" s="1"/>
  <c r="J493" i="1"/>
  <c r="K493" i="1" s="1"/>
  <c r="L493" i="1" s="1"/>
  <c r="J517" i="1"/>
  <c r="K517" i="1" s="1"/>
  <c r="L517" i="1" s="1"/>
  <c r="J12" i="1"/>
  <c r="K12" i="1" s="1"/>
  <c r="L12" i="1" s="1"/>
  <c r="J48" i="1"/>
  <c r="K48" i="1" s="1"/>
  <c r="L48" i="1" s="1"/>
  <c r="J72" i="1"/>
  <c r="K72" i="1" s="1"/>
  <c r="L72" i="1" s="1"/>
  <c r="J132" i="1"/>
  <c r="K132" i="1" s="1"/>
  <c r="L132" i="1" s="1"/>
  <c r="J156" i="1"/>
  <c r="K156" i="1" s="1"/>
  <c r="L156" i="1" s="1"/>
  <c r="J180" i="1"/>
  <c r="K180" i="1" s="1"/>
  <c r="L180" i="1" s="1"/>
  <c r="J266" i="1"/>
  <c r="K266" i="1" s="1"/>
  <c r="L266" i="1" s="1"/>
  <c r="J325" i="1"/>
  <c r="K325" i="1" s="1"/>
  <c r="L325" i="1" s="1"/>
  <c r="J337" i="1"/>
  <c r="K337" i="1" s="1"/>
  <c r="L337" i="1" s="1"/>
  <c r="J349" i="1"/>
  <c r="K349" i="1" s="1"/>
  <c r="L349" i="1" s="1"/>
  <c r="J445" i="1"/>
  <c r="K445" i="1" s="1"/>
  <c r="L445" i="1" s="1"/>
  <c r="J120" i="1"/>
  <c r="K120" i="1" s="1"/>
  <c r="L120" i="1" s="1"/>
  <c r="J242" i="1"/>
  <c r="K242" i="1" s="1"/>
  <c r="L242" i="1" s="1"/>
  <c r="J254" i="1"/>
  <c r="K254" i="1" s="1"/>
  <c r="L254" i="1" s="1"/>
  <c r="J397" i="1"/>
  <c r="K397" i="1" s="1"/>
  <c r="L397" i="1" s="1"/>
  <c r="J409" i="1"/>
  <c r="K409" i="1" s="1"/>
  <c r="L409" i="1" s="1"/>
  <c r="J505" i="1"/>
  <c r="K505" i="1" s="1"/>
  <c r="L505" i="1" s="1"/>
  <c r="J529" i="1"/>
  <c r="K529" i="1" s="1"/>
  <c r="L529" i="1" s="1"/>
  <c r="J293" i="1"/>
  <c r="K293" i="1" s="1"/>
  <c r="L293" i="1" s="1"/>
  <c r="J294" i="1"/>
  <c r="K294" i="1" s="1"/>
  <c r="L294" i="1" s="1"/>
  <c r="J295" i="1"/>
  <c r="K295" i="1" s="1"/>
  <c r="L295" i="1" s="1"/>
  <c r="J296" i="1"/>
  <c r="K296" i="1" s="1"/>
  <c r="L296" i="1" s="1"/>
  <c r="J297" i="1"/>
  <c r="K297" i="1" s="1"/>
  <c r="L297" i="1" s="1"/>
  <c r="J298" i="1"/>
  <c r="K298" i="1" s="1"/>
  <c r="L298" i="1" s="1"/>
  <c r="J299" i="1"/>
  <c r="K299" i="1" s="1"/>
  <c r="L299" i="1" s="1"/>
  <c r="J300" i="1"/>
  <c r="K300" i="1" s="1"/>
  <c r="L300" i="1" s="1"/>
  <c r="J301" i="1"/>
  <c r="K301" i="1" s="1"/>
  <c r="L301" i="1" s="1"/>
  <c r="J13" i="1"/>
  <c r="K13" i="1" s="1"/>
  <c r="L13" i="1" s="1"/>
  <c r="J37" i="1"/>
  <c r="K37" i="1" s="1"/>
  <c r="L37" i="1" s="1"/>
  <c r="J61" i="1"/>
  <c r="K61" i="1" s="1"/>
  <c r="L61" i="1" s="1"/>
  <c r="J73" i="1"/>
  <c r="K73" i="1" s="1"/>
  <c r="L73" i="1" s="1"/>
  <c r="J85" i="1"/>
  <c r="K85" i="1" s="1"/>
  <c r="L85" i="1" s="1"/>
  <c r="J97" i="1"/>
  <c r="K97" i="1" s="1"/>
  <c r="L97" i="1" s="1"/>
  <c r="J109" i="1"/>
  <c r="K109" i="1" s="1"/>
  <c r="L109" i="1" s="1"/>
  <c r="J121" i="1"/>
  <c r="K121" i="1" s="1"/>
  <c r="L121" i="1" s="1"/>
  <c r="J145" i="1"/>
  <c r="K145" i="1" s="1"/>
  <c r="L145" i="1" s="1"/>
  <c r="J169" i="1"/>
  <c r="K169" i="1" s="1"/>
  <c r="L169" i="1" s="1"/>
  <c r="J181" i="1"/>
  <c r="K181" i="1" s="1"/>
  <c r="L181" i="1" s="1"/>
  <c r="J207" i="1"/>
  <c r="K207" i="1" s="1"/>
  <c r="L207" i="1" s="1"/>
  <c r="J219" i="1"/>
  <c r="K219" i="1" s="1"/>
  <c r="L219" i="1" s="1"/>
  <c r="J231" i="1"/>
  <c r="K231" i="1" s="1"/>
  <c r="L231" i="1" s="1"/>
  <c r="J243" i="1"/>
  <c r="K243" i="1" s="1"/>
  <c r="L243" i="1" s="1"/>
  <c r="J255" i="1"/>
  <c r="K255" i="1" s="1"/>
  <c r="L255" i="1" s="1"/>
  <c r="J267" i="1"/>
  <c r="J291" i="1"/>
  <c r="K291" i="1" s="1"/>
  <c r="L291" i="1" s="1"/>
  <c r="J314" i="1"/>
  <c r="K314" i="1" s="1"/>
  <c r="L314" i="1" s="1"/>
  <c r="J326" i="1"/>
  <c r="K326" i="1" s="1"/>
  <c r="L326" i="1" s="1"/>
  <c r="J338" i="1"/>
  <c r="K338" i="1" s="1"/>
  <c r="L338" i="1" s="1"/>
  <c r="J350" i="1"/>
  <c r="K350" i="1" s="1"/>
  <c r="L350" i="1" s="1"/>
  <c r="J374" i="1"/>
  <c r="K374" i="1" s="1"/>
  <c r="L374" i="1" s="1"/>
  <c r="J386" i="1"/>
  <c r="K386" i="1" s="1"/>
  <c r="L386" i="1" s="1"/>
  <c r="J398" i="1"/>
  <c r="K398" i="1" s="1"/>
  <c r="L398" i="1" s="1"/>
  <c r="J410" i="1"/>
  <c r="K410" i="1" s="1"/>
  <c r="L410" i="1" s="1"/>
  <c r="J422" i="1"/>
  <c r="K422" i="1" s="1"/>
  <c r="L422" i="1" s="1"/>
  <c r="J434" i="1"/>
  <c r="K434" i="1" s="1"/>
  <c r="L434" i="1" s="1"/>
  <c r="J446" i="1"/>
  <c r="K446" i="1" s="1"/>
  <c r="L446" i="1" s="1"/>
  <c r="J458" i="1"/>
  <c r="K458" i="1" s="1"/>
  <c r="L458" i="1" s="1"/>
  <c r="J470" i="1"/>
  <c r="K470" i="1" s="1"/>
  <c r="L470" i="1" s="1"/>
  <c r="J482" i="1"/>
  <c r="K482" i="1" s="1"/>
  <c r="L482" i="1" s="1"/>
  <c r="J494" i="1"/>
  <c r="K494" i="1" s="1"/>
  <c r="L494" i="1" s="1"/>
  <c r="J506" i="1"/>
  <c r="K506" i="1" s="1"/>
  <c r="L506" i="1" s="1"/>
  <c r="J518" i="1"/>
  <c r="K518" i="1" s="1"/>
  <c r="L518" i="1" s="1"/>
  <c r="J530" i="1"/>
  <c r="K530" i="1" s="1"/>
  <c r="L530" i="1" s="1"/>
  <c r="J302" i="1"/>
  <c r="K302" i="1" s="1"/>
  <c r="L302" i="1" s="1"/>
  <c r="J26" i="1"/>
  <c r="K26" i="1" s="1"/>
  <c r="L26" i="1" s="1"/>
  <c r="J38" i="1"/>
  <c r="K38" i="1" s="1"/>
  <c r="L38" i="1" s="1"/>
  <c r="J50" i="1"/>
  <c r="K50" i="1" s="1"/>
  <c r="L50" i="1" s="1"/>
  <c r="J62" i="1"/>
  <c r="K62" i="1" s="1"/>
  <c r="L62" i="1" s="1"/>
  <c r="J74" i="1"/>
  <c r="K74" i="1" s="1"/>
  <c r="L74" i="1" s="1"/>
  <c r="J86" i="1"/>
  <c r="K86" i="1" s="1"/>
  <c r="L86" i="1" s="1"/>
  <c r="J98" i="1"/>
  <c r="K98" i="1" s="1"/>
  <c r="L98" i="1" s="1"/>
  <c r="J110" i="1"/>
  <c r="K110" i="1" s="1"/>
  <c r="L110" i="1" s="1"/>
  <c r="J134" i="1"/>
  <c r="K134" i="1" s="1"/>
  <c r="L134" i="1" s="1"/>
  <c r="J158" i="1"/>
  <c r="K158" i="1" s="1"/>
  <c r="L158" i="1" s="1"/>
  <c r="J170" i="1"/>
  <c r="K170" i="1" s="1"/>
  <c r="L170" i="1" s="1"/>
  <c r="J182" i="1"/>
  <c r="K182" i="1" s="1"/>
  <c r="L182" i="1" s="1"/>
  <c r="J204" i="1"/>
  <c r="K204" i="1" s="1"/>
  <c r="L204" i="1" s="1"/>
  <c r="J208" i="1"/>
  <c r="K208" i="1" s="1"/>
  <c r="L208" i="1" s="1"/>
  <c r="J220" i="1"/>
  <c r="K220" i="1" s="1"/>
  <c r="L220" i="1" s="1"/>
  <c r="J232" i="1"/>
  <c r="K232" i="1" s="1"/>
  <c r="L232" i="1" s="1"/>
  <c r="J244" i="1"/>
  <c r="K244" i="1" s="1"/>
  <c r="L244" i="1" s="1"/>
  <c r="J256" i="1"/>
  <c r="K256" i="1" s="1"/>
  <c r="L256" i="1" s="1"/>
  <c r="J280" i="1"/>
  <c r="K280" i="1" s="1"/>
  <c r="L280" i="1" s="1"/>
  <c r="J292" i="1"/>
  <c r="K292" i="1" s="1"/>
  <c r="L292" i="1" s="1"/>
  <c r="J303" i="1"/>
  <c r="K303" i="1" s="1"/>
  <c r="L303" i="1" s="1"/>
  <c r="J315" i="1"/>
  <c r="K315" i="1" s="1"/>
  <c r="L315" i="1" s="1"/>
  <c r="J327" i="1"/>
  <c r="K327" i="1" s="1"/>
  <c r="L327" i="1" s="1"/>
  <c r="J339" i="1"/>
  <c r="K339" i="1" s="1"/>
  <c r="L339" i="1" s="1"/>
  <c r="J351" i="1"/>
  <c r="K351" i="1" s="1"/>
  <c r="L351" i="1" s="1"/>
  <c r="J363" i="1"/>
  <c r="K363" i="1" s="1"/>
  <c r="L363" i="1" s="1"/>
  <c r="J375" i="1"/>
  <c r="K375" i="1" s="1"/>
  <c r="L375" i="1" s="1"/>
  <c r="J387" i="1"/>
  <c r="K387" i="1" s="1"/>
  <c r="L387" i="1" s="1"/>
  <c r="J399" i="1"/>
  <c r="K399" i="1" s="1"/>
  <c r="L399" i="1" s="1"/>
  <c r="J411" i="1"/>
  <c r="K411" i="1" s="1"/>
  <c r="L411" i="1" s="1"/>
  <c r="J423" i="1"/>
  <c r="K423" i="1" s="1"/>
  <c r="L423" i="1" s="1"/>
  <c r="J435" i="1"/>
  <c r="K435" i="1" s="1"/>
  <c r="L435" i="1" s="1"/>
  <c r="J447" i="1"/>
  <c r="K447" i="1" s="1"/>
  <c r="L447" i="1" s="1"/>
  <c r="J459" i="1"/>
  <c r="K459" i="1" s="1"/>
  <c r="L459" i="1" s="1"/>
  <c r="J471" i="1"/>
  <c r="K471" i="1" s="1"/>
  <c r="L471" i="1" s="1"/>
  <c r="J483" i="1"/>
  <c r="K483" i="1" s="1"/>
  <c r="L483" i="1" s="1"/>
  <c r="J495" i="1"/>
  <c r="K495" i="1" s="1"/>
  <c r="L495" i="1" s="1"/>
  <c r="J507" i="1"/>
  <c r="K507" i="1" s="1"/>
  <c r="L507" i="1" s="1"/>
  <c r="J519" i="1"/>
  <c r="K519" i="1" s="1"/>
  <c r="L519" i="1" s="1"/>
  <c r="J2" i="1"/>
  <c r="K2" i="1" s="1"/>
  <c r="L2" i="1" s="1"/>
  <c r="K64" i="1" l="1"/>
  <c r="L64" i="1" s="1"/>
  <c r="K76" i="1"/>
  <c r="L76" i="1" s="1"/>
  <c r="K88" i="1"/>
  <c r="L88" i="1" s="1"/>
  <c r="K100" i="1"/>
  <c r="L100" i="1" s="1"/>
  <c r="K112" i="1"/>
  <c r="L112" i="1" s="1"/>
  <c r="K124" i="1"/>
  <c r="L124" i="1" s="1"/>
  <c r="K136" i="1"/>
  <c r="L136" i="1" s="1"/>
  <c r="K148" i="1"/>
  <c r="L148" i="1" s="1"/>
  <c r="K160" i="1"/>
  <c r="L160" i="1" s="1"/>
  <c r="K172" i="1"/>
  <c r="L172" i="1" s="1"/>
  <c r="K210" i="1"/>
  <c r="L210" i="1" s="1"/>
  <c r="K222" i="1"/>
  <c r="L222" i="1" s="1"/>
  <c r="K234" i="1"/>
  <c r="L234" i="1" s="1"/>
  <c r="K246" i="1"/>
  <c r="L246" i="1" s="1"/>
  <c r="K258" i="1"/>
  <c r="L258" i="1" s="1"/>
  <c r="K282" i="1"/>
  <c r="L282" i="1" s="1"/>
  <c r="K305" i="1"/>
  <c r="L305" i="1" s="1"/>
  <c r="K317" i="1"/>
  <c r="L317" i="1" s="1"/>
  <c r="K329" i="1"/>
  <c r="L329" i="1" s="1"/>
  <c r="K341" i="1"/>
  <c r="L341" i="1" s="1"/>
  <c r="K267" i="1"/>
  <c r="L267" i="1" s="1"/>
  <c r="K83" i="1"/>
  <c r="L83" i="1" s="1"/>
  <c r="K95" i="1"/>
  <c r="L95" i="1" s="1"/>
  <c r="K107" i="1"/>
  <c r="L107" i="1" s="1"/>
  <c r="K289" i="1"/>
  <c r="L289" i="1" s="1"/>
  <c r="K384" i="1"/>
  <c r="L384" i="1" s="1"/>
  <c r="K396" i="1"/>
  <c r="L396" i="1" s="1"/>
  <c r="K408" i="1"/>
  <c r="L408" i="1" s="1"/>
  <c r="K420" i="1"/>
  <c r="L420" i="1" s="1"/>
  <c r="K432" i="1"/>
  <c r="L432" i="1" s="1"/>
  <c r="K444" i="1"/>
  <c r="L444" i="1" s="1"/>
  <c r="K456" i="1"/>
  <c r="L456" i="1" s="1"/>
  <c r="K468" i="1"/>
  <c r="L468" i="1" s="1"/>
  <c r="K323" i="1"/>
  <c r="L323" i="1" s="1"/>
  <c r="K335" i="1"/>
  <c r="L335" i="1" s="1"/>
  <c r="K347" i="1"/>
  <c r="L347" i="1" s="1"/>
  <c r="K383" i="1"/>
  <c r="L383" i="1" s="1"/>
  <c r="K395" i="1"/>
  <c r="L395" i="1" s="1"/>
  <c r="K407" i="1"/>
  <c r="L407" i="1" s="1"/>
  <c r="K467" i="1"/>
  <c r="L467" i="1" s="1"/>
  <c r="K503" i="1"/>
  <c r="L503" i="1" s="1"/>
  <c r="K11" i="1"/>
  <c r="L11" i="1" s="1"/>
  <c r="K47" i="1"/>
  <c r="L47" i="1" s="1"/>
  <c r="K239" i="1"/>
  <c r="L239" i="1" s="1"/>
  <c r="K251" i="1"/>
  <c r="L251" i="1" s="1"/>
  <c r="K263" i="1"/>
  <c r="L263" i="1" s="1"/>
  <c r="K287" i="1"/>
  <c r="L287" i="1" s="1"/>
  <c r="K322" i="1"/>
  <c r="L322" i="1" s="1"/>
  <c r="K334" i="1"/>
  <c r="L334" i="1" s="1"/>
  <c r="K346" i="1"/>
  <c r="L346" i="1" s="1"/>
  <c r="K370" i="1"/>
  <c r="L370" i="1" s="1"/>
  <c r="K382" i="1"/>
  <c r="L382" i="1" s="1"/>
  <c r="K466" i="1"/>
  <c r="L466" i="1" s="1"/>
  <c r="K478" i="1"/>
  <c r="L478" i="1" s="1"/>
  <c r="K490" i="1"/>
  <c r="L490" i="1" s="1"/>
  <c r="K502" i="1"/>
  <c r="L502" i="1" s="1"/>
  <c r="K526" i="1"/>
  <c r="L526" i="1" s="1"/>
  <c r="K46" i="1"/>
  <c r="L46" i="1" s="1"/>
  <c r="K58" i="1"/>
  <c r="L58" i="1" s="1"/>
  <c r="K70" i="1"/>
  <c r="L70" i="1" s="1"/>
  <c r="K82" i="1"/>
  <c r="L82" i="1" s="1"/>
  <c r="K118" i="1"/>
  <c r="L118" i="1" s="1"/>
  <c r="K130" i="1"/>
  <c r="L130" i="1" s="1"/>
  <c r="K142" i="1"/>
  <c r="L142" i="1" s="1"/>
  <c r="K154" i="1"/>
  <c r="L154" i="1" s="1"/>
  <c r="K166" i="1"/>
  <c r="L166" i="1" s="1"/>
  <c r="K178" i="1"/>
  <c r="L178" i="1" s="1"/>
  <c r="K240" i="1"/>
  <c r="L240" i="1" s="1"/>
  <c r="K252" i="1"/>
  <c r="L252" i="1" s="1"/>
  <c r="K141" i="1"/>
  <c r="L141" i="1" s="1"/>
  <c r="K369" i="1"/>
  <c r="L369" i="1" s="1"/>
  <c r="K393" i="1"/>
  <c r="L393" i="1" s="1"/>
  <c r="K465" i="1"/>
  <c r="L465" i="1" s="1"/>
  <c r="K501" i="1"/>
  <c r="L501" i="1" s="1"/>
  <c r="K33" i="1"/>
  <c r="L33" i="1" s="1"/>
  <c r="K45" i="1"/>
  <c r="L45" i="1" s="1"/>
  <c r="K57" i="1"/>
  <c r="L57" i="1" s="1"/>
  <c r="K69" i="1"/>
  <c r="L69" i="1" s="1"/>
  <c r="K51" i="1"/>
  <c r="L51" i="1" s="1"/>
  <c r="K87" i="1"/>
  <c r="L87" i="1" s="1"/>
  <c r="K527" i="1"/>
  <c r="L527" i="1" s="1"/>
  <c r="K115" i="1"/>
  <c r="L115" i="1" s="1"/>
  <c r="K515" i="1"/>
  <c r="L515" i="1" s="1"/>
  <c r="K52" i="1"/>
  <c r="L52" i="1" s="1"/>
  <c r="K248" i="1"/>
  <c r="L248" i="1" s="1"/>
  <c r="K440" i="1"/>
  <c r="L440" i="1" s="1"/>
  <c r="K262" i="1"/>
  <c r="L262" i="1" s="1"/>
  <c r="K477" i="1"/>
  <c r="L477" i="1" s="1"/>
  <c r="K489" i="1"/>
  <c r="L489" i="1" s="1"/>
  <c r="K34" i="1"/>
  <c r="L34" i="1" s="1"/>
  <c r="K371" i="1"/>
  <c r="L371" i="1" s="1"/>
  <c r="K455" i="1"/>
  <c r="L455" i="1" s="1"/>
  <c r="K35" i="1"/>
  <c r="L35" i="1" s="1"/>
  <c r="K372" i="1"/>
  <c r="L372" i="1" s="1"/>
  <c r="K516" i="1"/>
  <c r="L516" i="1" s="1"/>
  <c r="K421" i="1"/>
  <c r="L421" i="1" s="1"/>
  <c r="K129" i="1"/>
  <c r="L129" i="1" s="1"/>
  <c r="K310" i="1"/>
  <c r="L310" i="1" s="1"/>
  <c r="K514" i="1"/>
  <c r="L514" i="1" s="1"/>
  <c r="K259" i="1"/>
  <c r="L259" i="1" s="1"/>
  <c r="K438" i="1"/>
  <c r="L438" i="1" s="1"/>
  <c r="K450" i="1"/>
  <c r="L450" i="1" s="1"/>
  <c r="K474" i="1"/>
  <c r="L474" i="1" s="1"/>
  <c r="K486" i="1"/>
  <c r="L486" i="1" s="1"/>
  <c r="K522" i="1"/>
  <c r="L522" i="1" s="1"/>
  <c r="K224" i="1"/>
  <c r="L224" i="1" s="1"/>
  <c r="K284" i="1"/>
  <c r="L284" i="1" s="1"/>
  <c r="K307" i="1"/>
  <c r="L307" i="1" s="1"/>
  <c r="K319" i="1"/>
  <c r="L319" i="1" s="1"/>
  <c r="K331" i="1"/>
  <c r="L331" i="1" s="1"/>
  <c r="K367" i="1"/>
  <c r="L367" i="1" s="1"/>
  <c r="K379" i="1"/>
  <c r="L379" i="1" s="1"/>
  <c r="K403" i="1"/>
  <c r="L403" i="1" s="1"/>
  <c r="K439" i="1"/>
  <c r="L439" i="1" s="1"/>
  <c r="K67" i="1"/>
  <c r="L67" i="1" s="1"/>
  <c r="K79" i="1"/>
  <c r="L79" i="1" s="1"/>
  <c r="K163" i="1"/>
  <c r="L163" i="1" s="1"/>
  <c r="K175" i="1"/>
  <c r="L175" i="1" s="1"/>
  <c r="K368" i="1"/>
  <c r="L368" i="1" s="1"/>
  <c r="K380" i="1"/>
  <c r="L380" i="1" s="1"/>
  <c r="K392" i="1"/>
  <c r="L392" i="1" s="1"/>
  <c r="K404" i="1"/>
  <c r="L404" i="1" s="1"/>
  <c r="K44" i="1"/>
  <c r="L44" i="1" s="1"/>
  <c r="K214" i="1"/>
  <c r="L214" i="1" s="1"/>
  <c r="K250" i="1"/>
  <c r="L250" i="1" s="1"/>
  <c r="K286" i="1"/>
  <c r="L286" i="1" s="1"/>
  <c r="K309" i="1"/>
  <c r="L309" i="1" s="1"/>
  <c r="K321" i="1"/>
  <c r="L321" i="1" s="1"/>
  <c r="K381" i="1"/>
  <c r="L381" i="1" s="1"/>
  <c r="K417" i="1"/>
  <c r="L417" i="1" s="1"/>
  <c r="K441" i="1"/>
  <c r="L441" i="1" s="1"/>
  <c r="K453" i="1"/>
  <c r="L453" i="1" s="1"/>
  <c r="K513" i="1"/>
  <c r="L513" i="1" s="1"/>
  <c r="K9" i="1"/>
  <c r="L9" i="1" s="1"/>
  <c r="K81" i="1"/>
  <c r="L81" i="1" s="1"/>
  <c r="K117" i="1"/>
  <c r="L117" i="1" s="1"/>
  <c r="K153" i="1"/>
  <c r="L153" i="1" s="1"/>
  <c r="K165" i="1"/>
  <c r="L165" i="1" s="1"/>
  <c r="K177" i="1"/>
  <c r="L177" i="1" s="1"/>
  <c r="K227" i="1"/>
  <c r="L227" i="1" s="1"/>
  <c r="K394" i="1"/>
  <c r="L394" i="1" s="1"/>
  <c r="K418" i="1"/>
  <c r="L418" i="1" s="1"/>
  <c r="K430" i="1"/>
  <c r="L430" i="1" s="1"/>
  <c r="K442" i="1"/>
  <c r="L442" i="1" s="1"/>
  <c r="K106" i="1"/>
  <c r="L106" i="1" s="1"/>
  <c r="K228" i="1"/>
  <c r="L228" i="1" s="1"/>
  <c r="K264" i="1"/>
  <c r="L264" i="1" s="1"/>
  <c r="K288" i="1"/>
  <c r="L288" i="1" s="1"/>
  <c r="K59" i="1"/>
  <c r="L59" i="1" s="1"/>
  <c r="K155" i="1"/>
  <c r="L155" i="1" s="1"/>
  <c r="K167" i="1"/>
  <c r="L167" i="1" s="1"/>
  <c r="K217" i="1"/>
  <c r="L217" i="1" s="1"/>
  <c r="K229" i="1"/>
  <c r="L229" i="1" s="1"/>
  <c r="K253" i="1"/>
  <c r="L253" i="1" s="1"/>
  <c r="K312" i="1"/>
  <c r="L312" i="1" s="1"/>
  <c r="K348" i="1"/>
  <c r="L348" i="1" s="1"/>
  <c r="K60" i="1"/>
  <c r="L60" i="1" s="1"/>
  <c r="K96" i="1"/>
  <c r="L96" i="1" s="1"/>
  <c r="K168" i="1"/>
  <c r="L168" i="1" s="1"/>
  <c r="K283" i="1"/>
  <c r="L283" i="1" s="1"/>
  <c r="K390" i="1"/>
  <c r="L390" i="1" s="1"/>
  <c r="K402" i="1"/>
  <c r="L402" i="1" s="1"/>
  <c r="K414" i="1"/>
  <c r="L414" i="1" s="1"/>
  <c r="K462" i="1"/>
  <c r="L462" i="1" s="1"/>
  <c r="K498" i="1"/>
  <c r="L498" i="1" s="1"/>
  <c r="K510" i="1"/>
  <c r="L510" i="1" s="1"/>
  <c r="K6" i="1"/>
  <c r="L6" i="1" s="1"/>
  <c r="K162" i="1"/>
  <c r="L162" i="1" s="1"/>
  <c r="K174" i="1"/>
  <c r="L174" i="1" s="1"/>
  <c r="K212" i="1"/>
  <c r="L212" i="1" s="1"/>
  <c r="K260" i="1"/>
  <c r="L260" i="1" s="1"/>
  <c r="K343" i="1"/>
  <c r="L343" i="1" s="1"/>
  <c r="K391" i="1"/>
  <c r="L391" i="1" s="1"/>
  <c r="K415" i="1"/>
  <c r="L415" i="1" s="1"/>
  <c r="K31" i="1"/>
  <c r="L31" i="1" s="1"/>
  <c r="K43" i="1"/>
  <c r="L43" i="1" s="1"/>
  <c r="K55" i="1"/>
  <c r="L55" i="1" s="1"/>
  <c r="K127" i="1"/>
  <c r="L127" i="1" s="1"/>
  <c r="K139" i="1"/>
  <c r="L139" i="1" s="1"/>
  <c r="K151" i="1"/>
  <c r="L151" i="1" s="1"/>
  <c r="K344" i="1"/>
  <c r="L344" i="1" s="1"/>
  <c r="K416" i="1"/>
  <c r="L416" i="1" s="1"/>
  <c r="K428" i="1"/>
  <c r="L428" i="1" s="1"/>
  <c r="K176" i="1"/>
  <c r="L176" i="1" s="1"/>
  <c r="K226" i="1"/>
  <c r="L226" i="1" s="1"/>
  <c r="K238" i="1"/>
  <c r="L238" i="1" s="1"/>
  <c r="K333" i="1"/>
  <c r="L333" i="1" s="1"/>
  <c r="K345" i="1"/>
  <c r="L345" i="1" s="1"/>
  <c r="K405" i="1"/>
  <c r="L405" i="1" s="1"/>
  <c r="K429" i="1"/>
  <c r="L429" i="1" s="1"/>
  <c r="K525" i="1"/>
  <c r="L525" i="1" s="1"/>
  <c r="K93" i="1"/>
  <c r="L93" i="1" s="1"/>
  <c r="K105" i="1"/>
  <c r="L105" i="1" s="1"/>
  <c r="K215" i="1"/>
  <c r="L215" i="1" s="1"/>
  <c r="K406" i="1"/>
  <c r="L406" i="1" s="1"/>
  <c r="K454" i="1"/>
  <c r="L454" i="1" s="1"/>
  <c r="K10" i="1"/>
  <c r="L10" i="1" s="1"/>
  <c r="K94" i="1"/>
  <c r="L94" i="1" s="1"/>
  <c r="K216" i="1"/>
  <c r="L216" i="1" s="1"/>
  <c r="K419" i="1"/>
  <c r="L419" i="1" s="1"/>
  <c r="K431" i="1"/>
  <c r="L431" i="1" s="1"/>
  <c r="K443" i="1"/>
  <c r="L443" i="1" s="1"/>
  <c r="K479" i="1"/>
  <c r="L479" i="1" s="1"/>
  <c r="K491" i="1"/>
  <c r="L491" i="1" s="1"/>
  <c r="K71" i="1"/>
  <c r="L71" i="1" s="1"/>
  <c r="K119" i="1"/>
  <c r="L119" i="1" s="1"/>
  <c r="K131" i="1"/>
  <c r="L131" i="1" s="1"/>
  <c r="K143" i="1"/>
  <c r="L143" i="1" s="1"/>
  <c r="K179" i="1"/>
  <c r="L179" i="1" s="1"/>
  <c r="K241" i="1"/>
  <c r="L241" i="1" s="1"/>
  <c r="K265" i="1"/>
  <c r="L265" i="1" s="1"/>
  <c r="K324" i="1"/>
  <c r="L324" i="1" s="1"/>
  <c r="K336" i="1"/>
  <c r="L336" i="1" s="1"/>
  <c r="K206" i="1"/>
  <c r="L206" i="1" s="1"/>
  <c r="K385" i="1"/>
  <c r="L385" i="1" s="1"/>
</calcChain>
</file>

<file path=xl/sharedStrings.xml><?xml version="1.0" encoding="utf-8"?>
<sst xmlns="http://schemas.openxmlformats.org/spreadsheetml/2006/main" count="1073" uniqueCount="65">
  <si>
    <t>Data</t>
  </si>
  <si>
    <t>Nível</t>
  </si>
  <si>
    <t>Atendidas</t>
  </si>
  <si>
    <t xml:space="preserve"> &gt; 2min</t>
  </si>
  <si>
    <t>CHAT</t>
  </si>
  <si>
    <t>RO</t>
  </si>
  <si>
    <t>Realizado</t>
  </si>
  <si>
    <t>Esperado</t>
  </si>
  <si>
    <t>Desvio</t>
  </si>
  <si>
    <t>Classificação</t>
  </si>
  <si>
    <t>Alisson de Freitas Silva</t>
  </si>
  <si>
    <t>Técnico II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</si>
  <si>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</si>
  <si>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</si>
  <si>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</si>
  <si>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</si>
  <si>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</si>
  <si>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</si>
  <si>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</si>
  <si>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</si>
  <si>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</si>
  <si>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</si>
  <si>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</si>
  <si>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</si>
  <si>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</si>
  <si>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</si>
  <si>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</si>
  <si>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</si>
  <si>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Francilene Ferreira de Jesus</t>
  </si>
  <si>
    <t>Gabriel Alves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</si>
  <si>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</si>
  <si>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</si>
  <si>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</si>
  <si>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</si>
  <si>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</si>
  <si>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Karina Gonçalves Martins</t>
  </si>
  <si>
    <t>JR</t>
  </si>
  <si>
    <t>Leandro de Souza Silva</t>
  </si>
  <si>
    <t>Leandro Oliveira de Sousa</t>
  </si>
  <si>
    <t>Lizandra Gomes Duarte</t>
  </si>
  <si>
    <t>Lorena Dias de Araujo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</si>
  <si>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</si>
  <si>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</si>
  <si>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</si>
  <si>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</si>
  <si>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</si>
  <si>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</si>
  <si>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</si>
  <si>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</si>
  <si>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</si>
  <si>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</si>
  <si>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</si>
  <si>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</si>
  <si>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</si>
  <si>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</si>
  <si>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Técnico</t>
  </si>
  <si>
    <t>SSC</t>
  </si>
  <si>
    <t>Votação</t>
  </si>
  <si>
    <t>Satisfação</t>
  </si>
  <si>
    <t>TMA</t>
  </si>
  <si>
    <t>Kerollen Cristielly de Jesus Siqueira</t>
  </si>
  <si>
    <t>Amanda Moura Ferreira</t>
  </si>
  <si>
    <t>Francielson de Oliveira</t>
  </si>
  <si>
    <t>Jéssica Fé Moura</t>
  </si>
  <si>
    <t>Lucas Luiz Romero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</si>
</sst>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EF58-AF9E-4A91-B7D8-7B3B50610D55}">
  <dimension ref="A1:P530"/>
  <sheetViews>
    <sheetView tabSelected="1" topLeftCell="A514" workbookViewId="0">
      <selection activeCell="C521" sqref="C521:C524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11" width="9.140625" style="3"/>
    <col min="12" max="12" width="13.140625" style="3" bestFit="1" customWidth="1"/>
    <col min="13" max="13" width="9.140625" style="3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55</v>
      </c>
      <c r="C1" s="1" t="s">
        <v>1</v>
      </c>
      <c r="D1" s="1" t="s">
        <v>2</v>
      </c>
      <c r="E1" s="1" t="s">
        <v>3</v>
      </c>
      <c r="F1" s="1" t="s">
        <v>59</v>
      </c>
      <c r="G1" s="1" t="s">
        <v>5</v>
      </c>
      <c r="H1" s="1" t="s">
        <v>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56</v>
      </c>
      <c r="N1" s="1" t="s">
        <v>58</v>
      </c>
      <c r="O1" s="1" t="s">
        <v>57</v>
      </c>
      <c r="P1" s="1"/>
    </row>
    <row r="2" spans="1:16" x14ac:dyDescent="0.25">
      <c r="A2" s="7">
        <v>46161</v>
      </c>
      <c r="B2" s="8" t="s">
        <v>10</v>
      </c>
      <c r="C2" s="9" t="s">
        <v>11</v>
      </c>
      <c r="D2" s="3">
        <v>38</v>
      </c>
      <c r="E2" s="3">
        <v>33</v>
      </c>
      <c r="G2" s="3">
        <v>1</v>
      </c>
      <c r="H2" s="3">
        <v>0</v>
      </c>
      <c r="I2" s="3">
        <f>E2+G2+H2</f>
        <v>34</v>
      </c>
      <c r="J2" s="3" t="str">
        <f>IF(C2="Técnico III","35",IF(C2="Técnico II","28",IF(C2="Técnico I","23",IF(C2="JR","20",IF(C2="Estágio","10",)))))</f>
        <v>28</v>
      </c>
      <c r="K2" s="3">
        <f>I2-J2</f>
        <v>6</v>
      </c>
      <c r="L2" s="3" t="str">
        <f>IF(K2&lt;-5,"CRÍTICO",IF(K2&lt;0,"ATENÇÃO",IF(K2&lt;=5,"BOM","EXCELENTE")))</f>
        <v>EXCELENTE</v>
      </c>
    </row>
    <row r="3" spans="1:16" x14ac:dyDescent="0.25">
      <c r="A3" s="5">
        <v>46146</v>
      </c>
      <c r="B3" s="6" t="s">
        <v>10</v>
      </c>
      <c r="C3" s="3" t="s">
        <v>11</v>
      </c>
      <c r="D3" s="3">
        <v>40</v>
      </c>
      <c r="E3" s="3">
        <v>38</v>
      </c>
      <c r="G3" s="3">
        <v>4</v>
      </c>
      <c r="I3" s="3">
        <f>E3+G3+H3</f>
        <v>42</v>
      </c>
      <c r="J3" s="3" t="str">
        <f>IF(C3="Técnico III","35",IF(C3="Técnico II","28",IF(C3="Técnico I","23",IF(C3="JR","20",IF(C3="Estágio","10",)))))</f>
        <v>28</v>
      </c>
      <c r="K3" s="3">
        <f>I3-J3</f>
        <v>14</v>
      </c>
      <c r="L3" s="3" t="str">
        <f>IF(K3&lt;-5,"CRÍTICO",IF(K3&lt;0,"ATENÇÃO",IF(K3&lt;=5,"BOM","EXCELENTE")))</f>
        <v>EXCELENTE</v>
      </c>
    </row>
    <row r="4" spans="1:16" x14ac:dyDescent="0.25">
      <c r="A4" s="5">
        <v>46147</v>
      </c>
      <c r="B4" s="6" t="s">
        <v>10</v>
      </c>
      <c r="C4" s="3" t="s">
        <v>11</v>
      </c>
      <c r="D4" s="3">
        <v>42</v>
      </c>
      <c r="E4" s="3">
        <v>37</v>
      </c>
      <c r="G4" s="3">
        <v>4</v>
      </c>
      <c r="I4" s="3">
        <f>E4+G4+H4</f>
        <v>41</v>
      </c>
      <c r="J4" s="3" t="str">
        <f>IF(C4="Técnico III","35",IF(C4="Técnico II","28",IF(C4="Técnico I","23",IF(C4="JR","20",IF(C4="Estágio","10",)))))</f>
        <v>28</v>
      </c>
      <c r="K4" s="3">
        <f>I4-J4</f>
        <v>13</v>
      </c>
      <c r="L4" s="3" t="str">
        <f>IF(K4&lt;-5,"CRÍTICO",IF(K4&lt;0,"ATENÇÃO",IF(K4&lt;=5,"BOM","EXCELENTE")))</f>
        <v>EXCELENTE</v>
      </c>
    </row>
    <row r="5" spans="1:16" x14ac:dyDescent="0.25">
      <c r="A5" s="5">
        <v>46148</v>
      </c>
      <c r="B5" s="6" t="s">
        <v>10</v>
      </c>
      <c r="C5" s="3" t="s">
        <v>11</v>
      </c>
      <c r="D5" s="3">
        <v>35</v>
      </c>
      <c r="E5" s="3">
        <v>29</v>
      </c>
      <c r="G5" s="3">
        <v>11</v>
      </c>
      <c r="I5" s="3">
        <f>E5+G5+H5</f>
        <v>40</v>
      </c>
      <c r="J5" s="3" t="str">
        <f>IF(C5="Técnico III","35",IF(C5="Técnico II","28",IF(C5="Técnico I","23",IF(C5="JR","20",IF(C5="Estágio","10",)))))</f>
        <v>28</v>
      </c>
      <c r="K5" s="3">
        <f>I5-J5</f>
        <v>12</v>
      </c>
      <c r="L5" s="3" t="str">
        <f>IF(K5&lt;-5,"CRÍTICO",IF(K5&lt;0,"ATENÇÃO",IF(K5&lt;=5,"BOM","EXCELENTE")))</f>
        <v>EXCELENTE</v>
      </c>
    </row>
    <row r="6" spans="1:16" x14ac:dyDescent="0.25">
      <c r="A6" s="5">
        <v>46149</v>
      </c>
      <c r="B6" s="6" t="s">
        <v>10</v>
      </c>
      <c r="C6" s="3" t="s">
        <v>11</v>
      </c>
      <c r="D6" s="3">
        <v>39</v>
      </c>
      <c r="E6" s="3">
        <v>34</v>
      </c>
      <c r="G6" s="3">
        <v>0</v>
      </c>
      <c r="I6" s="3">
        <f>E6+G6+H6</f>
        <v>34</v>
      </c>
      <c r="J6" s="3" t="str">
        <f>IF(C6="Técnico III","35",IF(C6="Técnico II","28",IF(C6="Técnico I","23",IF(C6="JR","20",IF(C6="Estágio","10",)))))</f>
        <v>28</v>
      </c>
      <c r="K6" s="3">
        <f>I6-J6</f>
        <v>6</v>
      </c>
      <c r="L6" s="3" t="str">
        <f>IF(K6&lt;-5,"CRÍTICO",IF(K6&lt;0,"ATENÇÃO",IF(K6&lt;=5,"BOM","EXCELENTE")))</f>
        <v>EXCELENTE</v>
      </c>
    </row>
    <row r="7" spans="1:16" x14ac:dyDescent="0.25">
      <c r="A7" s="5">
        <v>46150</v>
      </c>
      <c r="B7" s="6" t="s">
        <v>10</v>
      </c>
      <c r="C7" s="3" t="s">
        <v>11</v>
      </c>
      <c r="D7" s="3">
        <v>34</v>
      </c>
      <c r="E7" s="3">
        <v>30</v>
      </c>
      <c r="G7" s="3">
        <v>4</v>
      </c>
      <c r="H7" s="3">
        <v>0</v>
      </c>
      <c r="I7" s="3">
        <f>E7+G7+H7</f>
        <v>34</v>
      </c>
      <c r="J7" s="3" t="str">
        <f>IF(C7="Técnico III","35",IF(C7="Técnico II","28",IF(C7="Técnico I","23",IF(C7="JR","20",IF(C7="Estágio","10",)))))</f>
        <v>28</v>
      </c>
      <c r="K7" s="3">
        <f>I7-J7</f>
        <v>6</v>
      </c>
      <c r="L7" s="3" t="str">
        <f>IF(K7&lt;-5,"CRÍTICO",IF(K7&lt;0,"ATENÇÃO",IF(K7&lt;=5,"BOM","EXCELENTE")))</f>
        <v>EXCELENTE</v>
      </c>
    </row>
    <row r="8" spans="1:16" x14ac:dyDescent="0.25">
      <c r="A8" s="5">
        <v>46153</v>
      </c>
      <c r="B8" s="6" t="s">
        <v>10</v>
      </c>
      <c r="C8" s="3" t="s">
        <v>11</v>
      </c>
      <c r="D8" s="3">
        <v>36</v>
      </c>
      <c r="E8" s="3">
        <v>29</v>
      </c>
      <c r="G8" s="3">
        <v>5</v>
      </c>
      <c r="I8" s="3">
        <f>E8+G8+H8</f>
        <v>34</v>
      </c>
      <c r="J8" s="3" t="str">
        <f>IF(C8="Técnico III","35",IF(C8="Técnico II","28",IF(C8="Técnico I","23",IF(C8="JR","20",IF(C8="Estágio","10",)))))</f>
        <v>28</v>
      </c>
      <c r="K8" s="3">
        <f>I8-J8</f>
        <v>6</v>
      </c>
      <c r="L8" s="3" t="str">
        <f>IF(K8&lt;-5,"CRÍTICO",IF(K8&lt;0,"ATENÇÃO",IF(K8&lt;=5,"BOM","EXCELENTE")))</f>
        <v>EXCELENTE</v>
      </c>
    </row>
    <row r="9" spans="1:16" x14ac:dyDescent="0.25">
      <c r="A9" s="5">
        <v>46154</v>
      </c>
      <c r="B9" s="6" t="s">
        <v>10</v>
      </c>
      <c r="C9" s="3" t="s">
        <v>11</v>
      </c>
      <c r="D9" s="3">
        <v>25</v>
      </c>
      <c r="E9" s="3">
        <v>18</v>
      </c>
      <c r="G9" s="3">
        <v>8</v>
      </c>
      <c r="I9" s="3">
        <f>E9+G9+H9</f>
        <v>26</v>
      </c>
      <c r="J9" s="3" t="str">
        <f>IF(C9="Técnico III","35",IF(C9="Técnico II","28",IF(C9="Técnico I","23",IF(C9="JR","20",IF(C9="Estágio","10",)))))</f>
        <v>28</v>
      </c>
      <c r="K9" s="3">
        <f>I9-J9</f>
        <v>-2</v>
      </c>
      <c r="L9" s="3" t="str">
        <f>IF(K9&lt;-5,"CRÍTICO",IF(K9&lt;0,"ATENÇÃO",IF(K9&lt;=5,"BOM","EXCELENTE")))</f>
        <v>ATENÇÃO</v>
      </c>
    </row>
    <row r="10" spans="1:16" x14ac:dyDescent="0.25">
      <c r="A10" s="5">
        <v>46155</v>
      </c>
      <c r="B10" s="6" t="s">
        <v>10</v>
      </c>
      <c r="C10" s="3" t="s">
        <v>11</v>
      </c>
      <c r="D10" s="3">
        <v>28</v>
      </c>
      <c r="E10" s="3">
        <v>21</v>
      </c>
      <c r="G10" s="3">
        <v>2</v>
      </c>
      <c r="I10" s="3">
        <f>E10+G10+H10</f>
        <v>23</v>
      </c>
      <c r="J10" s="3" t="str">
        <f>IF(C10="Técnico III","35",IF(C10="Técnico II","28",IF(C10="Técnico I","23",IF(C10="JR","20",IF(C10="Estágio","10",)))))</f>
        <v>28</v>
      </c>
      <c r="K10" s="3">
        <f>I10-J10</f>
        <v>-5</v>
      </c>
      <c r="L10" s="3" t="str">
        <f>IF(K10&lt;-5,"CRÍTICO",IF(K10&lt;0,"ATENÇÃO",IF(K10&lt;=5,"BOM","EXCELENTE")))</f>
        <v>ATENÇÃO</v>
      </c>
    </row>
    <row r="11" spans="1:16" x14ac:dyDescent="0.25">
      <c r="A11" s="5">
        <v>46156</v>
      </c>
      <c r="B11" s="6" t="s">
        <v>10</v>
      </c>
      <c r="C11" s="3" t="s">
        <v>11</v>
      </c>
      <c r="D11" s="3">
        <v>33</v>
      </c>
      <c r="E11" s="3">
        <v>28</v>
      </c>
      <c r="G11" s="3">
        <v>6</v>
      </c>
      <c r="H11" s="3">
        <v>0</v>
      </c>
      <c r="I11" s="3">
        <f>E11+G11+H11</f>
        <v>34</v>
      </c>
      <c r="J11" s="3" t="str">
        <f>IF(C11="Técnico III","35",IF(C11="Técnico II","28",IF(C11="Técnico I","23",IF(C11="JR","20",IF(C11="Estágio","10",)))))</f>
        <v>28</v>
      </c>
      <c r="K11" s="3">
        <f>I11-J11</f>
        <v>6</v>
      </c>
      <c r="L11" s="3" t="str">
        <f>IF(K11&lt;-5,"CRÍTICO",IF(K11&lt;0,"ATENÇÃO",IF(K11&lt;=5,"BOM","EXCELENTE")))</f>
        <v>EXCELENTE</v>
      </c>
    </row>
    <row r="12" spans="1:16" x14ac:dyDescent="0.25">
      <c r="A12" s="5">
        <v>46157</v>
      </c>
      <c r="B12" s="6" t="s">
        <v>10</v>
      </c>
      <c r="C12" s="3" t="s">
        <v>11</v>
      </c>
      <c r="D12" s="3">
        <v>20</v>
      </c>
      <c r="E12" s="3">
        <v>19</v>
      </c>
      <c r="G12" s="3">
        <v>1</v>
      </c>
      <c r="H12" s="3">
        <v>0</v>
      </c>
      <c r="I12" s="3">
        <f>E12+G12+H12</f>
        <v>20</v>
      </c>
      <c r="J12" s="3" t="str">
        <f>IF(C12="Técnico III","35",IF(C12="Técnico II","28",IF(C12="Técnico I","23",IF(C12="JR","20",IF(C12="Estágio","10",)))))</f>
        <v>28</v>
      </c>
      <c r="K12" s="3">
        <f>I12-J12</f>
        <v>-8</v>
      </c>
      <c r="L12" s="3" t="str">
        <f>IF(K12&lt;-5,"CRÍTICO",IF(K12&lt;0,"ATENÇÃO",IF(K12&lt;=5,"BOM","EXCELENTE")))</f>
        <v>CRÍTICO</v>
      </c>
    </row>
    <row r="13" spans="1:16" x14ac:dyDescent="0.25">
      <c r="A13" s="5">
        <v>46160</v>
      </c>
      <c r="B13" s="6" t="s">
        <v>10</v>
      </c>
      <c r="C13" s="3" t="s">
        <v>11</v>
      </c>
      <c r="D13" s="3">
        <v>42</v>
      </c>
      <c r="E13" s="3">
        <v>27</v>
      </c>
      <c r="G13" s="3">
        <v>4</v>
      </c>
      <c r="H13" s="3">
        <v>0</v>
      </c>
      <c r="I13" s="3">
        <f>E13+G13+H13</f>
        <v>31</v>
      </c>
      <c r="J13" s="3" t="str">
        <f>IF(C13="Técnico III","35",IF(C13="Técnico II","28",IF(C13="Técnico I","23",IF(C13="JR","20",IF(C13="Estágio","10",)))))</f>
        <v>28</v>
      </c>
      <c r="K13" s="3">
        <f>I13-J13</f>
        <v>3</v>
      </c>
      <c r="L13" s="3" t="str">
        <f>IF(K13&lt;-5,"CRÍTICO",IF(K13&lt;0,"ATENÇÃO",IF(K13&lt;=5,"BOM","EXCELENTE")))</f>
        <v>BOM</v>
      </c>
    </row>
    <row r="14" spans="1:16" x14ac:dyDescent="0.25">
      <c r="A14" s="7">
        <v>46161</v>
      </c>
      <c r="B14" s="8" t="s">
        <v>61</v>
      </c>
      <c r="C14" s="9" t="s">
        <v>12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 t="str">
        <f>IF(K14&lt;-5,"CRÍTICO",IF(K14&lt;0,"ATENÇÃO",IF(K14&lt;=5,"BOM","EXCELENTE")))</f>
        <v>BOM</v>
      </c>
    </row>
    <row r="15" spans="1:16" x14ac:dyDescent="0.25">
      <c r="A15" s="5">
        <v>46146</v>
      </c>
      <c r="B15" s="6" t="s">
        <v>61</v>
      </c>
      <c r="C15" s="3" t="s">
        <v>12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 t="str">
        <f>IF(K15&lt;-5,"CRÍTICO",IF(K15&lt;0,"ATENÇÃO",IF(K15&lt;=5,"BOM","EXCELENTE")))</f>
        <v>BOM</v>
      </c>
    </row>
    <row r="16" spans="1:16" x14ac:dyDescent="0.25">
      <c r="A16" s="5">
        <v>46147</v>
      </c>
      <c r="B16" s="6" t="s">
        <v>61</v>
      </c>
      <c r="C16" s="3" t="s">
        <v>12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 t="str">
        <f>IF(K16&lt;-5,"CRÍTICO",IF(K16&lt;0,"ATENÇÃO",IF(K16&lt;=5,"BOM","EXCELENTE")))</f>
        <v>BOM</v>
      </c>
    </row>
    <row r="17" spans="1:12" x14ac:dyDescent="0.25">
      <c r="A17" s="5">
        <v>46148</v>
      </c>
      <c r="B17" s="6" t="s">
        <v>61</v>
      </c>
      <c r="C17" s="3" t="s">
        <v>12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>IF(K17&lt;-5,"CRÍTICO",IF(K17&lt;0,"ATENÇÃO",IF(K17&lt;=5,"BOM","EXCELENTE")))</f>
        <v>BOM</v>
      </c>
    </row>
    <row r="18" spans="1:12" x14ac:dyDescent="0.25">
      <c r="A18" s="5">
        <v>46149</v>
      </c>
      <c r="B18" s="6" t="s">
        <v>61</v>
      </c>
      <c r="C18" s="3" t="s">
        <v>12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 t="str">
        <f>IF(K18&lt;-5,"CRÍTICO",IF(K18&lt;0,"ATENÇÃO",IF(K18&lt;=5,"BOM","EXCELENTE")))</f>
        <v>BOM</v>
      </c>
    </row>
    <row r="19" spans="1:12" x14ac:dyDescent="0.25">
      <c r="A19" s="5">
        <v>46150</v>
      </c>
      <c r="B19" s="6" t="s">
        <v>61</v>
      </c>
      <c r="C19" s="3" t="s">
        <v>12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 t="str">
        <f>IF(K19&lt;-5,"CRÍTICO",IF(K19&lt;0,"ATENÇÃO",IF(K19&lt;=5,"BOM","EXCELENTE")))</f>
        <v>BOM</v>
      </c>
    </row>
    <row r="20" spans="1:12" x14ac:dyDescent="0.25">
      <c r="A20" s="5">
        <v>46153</v>
      </c>
      <c r="B20" s="6" t="s">
        <v>61</v>
      </c>
      <c r="C20" s="3" t="s">
        <v>12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 t="str">
        <f>IF(K20&lt;-5,"CRÍTICO",IF(K20&lt;0,"ATENÇÃO",IF(K20&lt;=5,"BOM","EXCELENTE")))</f>
        <v>BOM</v>
      </c>
    </row>
    <row r="21" spans="1:12" x14ac:dyDescent="0.25">
      <c r="A21" s="5">
        <v>46154</v>
      </c>
      <c r="B21" s="6" t="s">
        <v>61</v>
      </c>
      <c r="C21" s="3" t="s">
        <v>12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 t="str">
        <f>IF(K21&lt;-5,"CRÍTICO",IF(K21&lt;0,"ATENÇÃO",IF(K21&lt;=5,"BOM","EXCELENTE")))</f>
        <v>BOM</v>
      </c>
    </row>
    <row r="22" spans="1:12" x14ac:dyDescent="0.25">
      <c r="A22" s="5">
        <v>46155</v>
      </c>
      <c r="B22" s="6" t="s">
        <v>61</v>
      </c>
      <c r="C22" s="3" t="s">
        <v>12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 t="str">
        <f>IF(K22&lt;-5,"CRÍTICO",IF(K22&lt;0,"ATENÇÃO",IF(K22&lt;=5,"BOM","EXCELENTE")))</f>
        <v>BOM</v>
      </c>
    </row>
    <row r="23" spans="1:12" x14ac:dyDescent="0.25">
      <c r="A23" s="5">
        <v>46156</v>
      </c>
      <c r="B23" s="6" t="s">
        <v>61</v>
      </c>
      <c r="C23" s="3" t="s">
        <v>12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 t="str">
        <f>IF(K23&lt;-5,"CRÍTICO",IF(K23&lt;0,"ATENÇÃO",IF(K23&lt;=5,"BOM","EXCELENTE")))</f>
        <v>BOM</v>
      </c>
    </row>
    <row r="24" spans="1:12" x14ac:dyDescent="0.25">
      <c r="A24" s="5">
        <v>46157</v>
      </c>
      <c r="B24" s="6" t="s">
        <v>61</v>
      </c>
      <c r="C24" s="3" t="s">
        <v>12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>IF(K24&lt;-5,"CRÍTICO",IF(K24&lt;0,"ATENÇÃO",IF(K24&lt;=5,"BOM","EXCELENTE")))</f>
        <v>BOM</v>
      </c>
    </row>
    <row r="25" spans="1:12" x14ac:dyDescent="0.25">
      <c r="A25" s="5">
        <v>46160</v>
      </c>
      <c r="B25" s="6" t="s">
        <v>61</v>
      </c>
      <c r="C25" s="3" t="s">
        <v>12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 t="str">
        <f>IF(K25&lt;-5,"CRÍTICO",IF(K25&lt;0,"ATENÇÃO",IF(K25&lt;=5,"BOM","EXCELENTE")))</f>
        <v>BOM</v>
      </c>
    </row>
    <row r="26" spans="1:12" x14ac:dyDescent="0.25">
      <c r="A26" s="7">
        <v>46161</v>
      </c>
      <c r="B26" s="8" t="s">
        <v>13</v>
      </c>
      <c r="C26" s="9" t="s">
        <v>14</v>
      </c>
      <c r="D26" s="3">
        <v>30</v>
      </c>
      <c r="E26" s="3">
        <v>29</v>
      </c>
      <c r="G26" s="3">
        <v>1</v>
      </c>
      <c r="H26" s="3">
        <v>0</v>
      </c>
      <c r="I26" s="3">
        <f>E26+G26+H26</f>
        <v>30</v>
      </c>
      <c r="J26" s="3" t="str">
        <f>IF(C26="Técnico III","35",IF(C26="Técnico II","28",IF(C26="Técnico I","23",IF(C26="JR","20",IF(C26="Estágio","10",)))))</f>
        <v>23</v>
      </c>
      <c r="K26" s="3">
        <f>I26-J26</f>
        <v>7</v>
      </c>
      <c r="L26" s="3" t="str">
        <f>IF(K26&lt;-5,"CRÍTICO",IF(K26&lt;0,"ATENÇÃO",IF(K26&lt;=5,"BOM","EXCELENTE")))</f>
        <v>EXCELENTE</v>
      </c>
    </row>
    <row r="27" spans="1:12" x14ac:dyDescent="0.25">
      <c r="A27" s="5">
        <v>46146</v>
      </c>
      <c r="B27" s="6" t="s">
        <v>13</v>
      </c>
      <c r="C27" s="3" t="s">
        <v>14</v>
      </c>
      <c r="D27" s="3">
        <v>41</v>
      </c>
      <c r="E27" s="3">
        <v>39</v>
      </c>
      <c r="G27" s="3">
        <v>1</v>
      </c>
      <c r="I27" s="3">
        <f>E27+G27+H27</f>
        <v>40</v>
      </c>
      <c r="J27" s="3" t="str">
        <f>IF(C27="Técnico III","35",IF(C27="Técnico II","28",IF(C27="Técnico I","23",IF(C27="JR","20",IF(C27="Estágio","10",)))))</f>
        <v>23</v>
      </c>
      <c r="K27" s="3">
        <f>I27-J27</f>
        <v>17</v>
      </c>
      <c r="L27" s="3" t="str">
        <f>IF(K27&lt;-5,"CRÍTICO",IF(K27&lt;0,"ATENÇÃO",IF(K27&lt;=5,"BOM","EXCELENTE")))</f>
        <v>EXCELENTE</v>
      </c>
    </row>
    <row r="28" spans="1:12" x14ac:dyDescent="0.25">
      <c r="A28" s="5">
        <v>46147</v>
      </c>
      <c r="B28" t="s">
        <v>13</v>
      </c>
      <c r="C28" s="3" t="s">
        <v>14</v>
      </c>
      <c r="D28" s="3">
        <v>30</v>
      </c>
      <c r="E28" s="3">
        <v>30</v>
      </c>
      <c r="G28" s="3">
        <v>7</v>
      </c>
      <c r="I28" s="3">
        <f>E28+G28+H28</f>
        <v>37</v>
      </c>
      <c r="J28" s="3" t="str">
        <f>IF(C28="Técnico III","35",IF(C28="Técnico II","28",IF(C28="Técnico I","23",IF(C28="JR","20",IF(C28="Estágio","10",)))))</f>
        <v>23</v>
      </c>
      <c r="K28" s="3">
        <f>I28-J28</f>
        <v>14</v>
      </c>
      <c r="L28" s="3" t="str">
        <f>IF(K28&lt;-5,"CRÍTICO",IF(K28&lt;0,"ATENÇÃO",IF(K28&lt;=5,"BOM","EXCELENTE")))</f>
        <v>EXCELENTE</v>
      </c>
    </row>
    <row r="29" spans="1:12" x14ac:dyDescent="0.25">
      <c r="A29" s="5">
        <v>46148</v>
      </c>
      <c r="B29" s="6" t="s">
        <v>13</v>
      </c>
      <c r="C29" s="3" t="s">
        <v>14</v>
      </c>
      <c r="D29" s="3">
        <v>50</v>
      </c>
      <c r="E29" s="3">
        <v>43</v>
      </c>
      <c r="G29" s="3">
        <v>6</v>
      </c>
      <c r="I29" s="3">
        <f>E29+G29+H29</f>
        <v>49</v>
      </c>
      <c r="J29" s="3" t="str">
        <f>IF(C29="Técnico III","35",IF(C29="Técnico II","28",IF(C29="Técnico I","23",IF(C29="JR","20",IF(C29="Estágio","10",)))))</f>
        <v>23</v>
      </c>
      <c r="K29" s="3">
        <f>I29-J29</f>
        <v>26</v>
      </c>
      <c r="L29" s="3" t="str">
        <f>IF(K29&lt;-5,"CRÍTICO",IF(K29&lt;0,"ATENÇÃO",IF(K29&lt;=5,"BOM","EXCELENTE")))</f>
        <v>EXCELENTE</v>
      </c>
    </row>
    <row r="30" spans="1:12" x14ac:dyDescent="0.25">
      <c r="A30" s="5">
        <v>46149</v>
      </c>
      <c r="B30" s="6" t="s">
        <v>13</v>
      </c>
      <c r="C30" s="3" t="s">
        <v>14</v>
      </c>
      <c r="D30" s="3">
        <v>31</v>
      </c>
      <c r="E30" s="3">
        <v>28</v>
      </c>
      <c r="G30" s="3">
        <v>10</v>
      </c>
      <c r="I30" s="3">
        <f>E30+G30+H30</f>
        <v>38</v>
      </c>
      <c r="J30" s="3" t="str">
        <f>IF(C30="Técnico III","35",IF(C30="Técnico II","28",IF(C30="Técnico I","23",IF(C30="JR","20",IF(C30="Estágio","10",)))))</f>
        <v>23</v>
      </c>
      <c r="K30" s="3">
        <f>I30-J30</f>
        <v>15</v>
      </c>
      <c r="L30" s="3" t="str">
        <f>IF(K30&lt;-5,"CRÍTICO",IF(K30&lt;0,"ATENÇÃO",IF(K30&lt;=5,"BOM","EXCELENTE")))</f>
        <v>EXCELENTE</v>
      </c>
    </row>
    <row r="31" spans="1:12" x14ac:dyDescent="0.25">
      <c r="A31" s="5">
        <v>46150</v>
      </c>
      <c r="B31" s="6" t="s">
        <v>13</v>
      </c>
      <c r="C31" s="3" t="s">
        <v>14</v>
      </c>
      <c r="D31" s="3">
        <v>26</v>
      </c>
      <c r="E31" s="3">
        <v>25</v>
      </c>
      <c r="G31" s="3">
        <v>0</v>
      </c>
      <c r="H31" s="3">
        <v>0</v>
      </c>
      <c r="I31" s="3">
        <f>E31+G31+H31</f>
        <v>25</v>
      </c>
      <c r="J31" s="3" t="str">
        <f>IF(C31="Técnico III","35",IF(C31="Técnico II","28",IF(C31="Técnico I","23",IF(C31="JR","20",IF(C31="Estágio","10",)))))</f>
        <v>23</v>
      </c>
      <c r="K31" s="3">
        <f>I31-J31</f>
        <v>2</v>
      </c>
      <c r="L31" s="3" t="str">
        <f>IF(K31&lt;-5,"CRÍTICO",IF(K31&lt;0,"ATENÇÃO",IF(K31&lt;=5,"BOM","EXCELENTE")))</f>
        <v>BOM</v>
      </c>
    </row>
    <row r="32" spans="1:12" x14ac:dyDescent="0.25">
      <c r="A32" s="5">
        <v>46153</v>
      </c>
      <c r="B32" s="6" t="s">
        <v>13</v>
      </c>
      <c r="C32" s="3" t="s">
        <v>14</v>
      </c>
      <c r="D32" s="3">
        <v>40</v>
      </c>
      <c r="E32" s="3">
        <v>38</v>
      </c>
      <c r="G32" s="3">
        <v>8</v>
      </c>
      <c r="I32" s="3">
        <f>E32+G32+H32</f>
        <v>46</v>
      </c>
      <c r="J32" s="3" t="str">
        <f>IF(C32="Técnico III","35",IF(C32="Técnico II","28",IF(C32="Técnico I","23",IF(C32="JR","20",IF(C32="Estágio","10",)))))</f>
        <v>23</v>
      </c>
      <c r="K32" s="3">
        <f>I32-J32</f>
        <v>23</v>
      </c>
      <c r="L32" s="3" t="str">
        <f>IF(K32&lt;-5,"CRÍTICO",IF(K32&lt;0,"ATENÇÃO",IF(K32&lt;=5,"BOM","EXCELENTE")))</f>
        <v>EXCELENTE</v>
      </c>
    </row>
    <row r="33" spans="1:12" x14ac:dyDescent="0.25">
      <c r="A33" s="5">
        <v>46154</v>
      </c>
      <c r="B33" s="6" t="s">
        <v>13</v>
      </c>
      <c r="C33" s="3" t="s">
        <v>14</v>
      </c>
      <c r="D33" s="3">
        <v>31</v>
      </c>
      <c r="E33" s="3">
        <v>29</v>
      </c>
      <c r="G33" s="3">
        <v>2</v>
      </c>
      <c r="I33" s="3">
        <f>E33+G33+H33</f>
        <v>31</v>
      </c>
      <c r="J33" s="3" t="str">
        <f>IF(C33="Técnico III","35",IF(C33="Técnico II","28",IF(C33="Técnico I","23",IF(C33="JR","20",IF(C33="Estágio","10",)))))</f>
        <v>23</v>
      </c>
      <c r="K33" s="3">
        <f>I33-J33</f>
        <v>8</v>
      </c>
      <c r="L33" s="3" t="str">
        <f>IF(K33&lt;-5,"CRÍTICO",IF(K33&lt;0,"ATENÇÃO",IF(K33&lt;=5,"BOM","EXCELENTE")))</f>
        <v>EXCELENTE</v>
      </c>
    </row>
    <row r="34" spans="1:12" x14ac:dyDescent="0.25">
      <c r="A34" s="5">
        <v>46155</v>
      </c>
      <c r="B34" s="6" t="s">
        <v>13</v>
      </c>
      <c r="C34" s="3" t="s">
        <v>14</v>
      </c>
      <c r="D34" s="3">
        <v>25</v>
      </c>
      <c r="E34" s="3">
        <v>21</v>
      </c>
      <c r="G34" s="3">
        <v>7</v>
      </c>
      <c r="I34" s="3">
        <f>E34+G34+H34</f>
        <v>28</v>
      </c>
      <c r="J34" s="3" t="str">
        <f>IF(C34="Técnico III","35",IF(C34="Técnico II","28",IF(C34="Técnico I","23",IF(C34="JR","20",IF(C34="Estágio","10",)))))</f>
        <v>23</v>
      </c>
      <c r="K34" s="3">
        <f>I34-J34</f>
        <v>5</v>
      </c>
      <c r="L34" s="3" t="str">
        <f>IF(K34&lt;-5,"CRÍTICO",IF(K34&lt;0,"ATENÇÃO",IF(K34&lt;=5,"BOM","EXCELENTE")))</f>
        <v>BOM</v>
      </c>
    </row>
    <row r="35" spans="1:12" x14ac:dyDescent="0.25">
      <c r="A35" s="5">
        <v>46156</v>
      </c>
      <c r="B35" s="6" t="s">
        <v>13</v>
      </c>
      <c r="C35" s="3" t="s">
        <v>14</v>
      </c>
      <c r="D35" s="3">
        <v>27</v>
      </c>
      <c r="E35" s="3">
        <v>25</v>
      </c>
      <c r="G35" s="3">
        <v>1</v>
      </c>
      <c r="H35" s="3">
        <v>0</v>
      </c>
      <c r="I35" s="3">
        <f>E35+G35+H35</f>
        <v>26</v>
      </c>
      <c r="J35" s="3" t="str">
        <f>IF(C35="Técnico III","35",IF(C35="Técnico II","28",IF(C35="Técnico I","23",IF(C35="JR","20",IF(C35="Estágio","10",)))))</f>
        <v>23</v>
      </c>
      <c r="K35" s="3">
        <f>I35-J35</f>
        <v>3</v>
      </c>
      <c r="L35" s="3" t="str">
        <f>IF(K35&lt;-5,"CRÍTICO",IF(K35&lt;0,"ATENÇÃO",IF(K35&lt;=5,"BOM","EXCELENTE")))</f>
        <v>BOM</v>
      </c>
    </row>
    <row r="36" spans="1:12" x14ac:dyDescent="0.25">
      <c r="A36" s="5">
        <v>46157</v>
      </c>
      <c r="B36" s="6" t="s">
        <v>13</v>
      </c>
      <c r="C36" s="3" t="s">
        <v>14</v>
      </c>
      <c r="D36" s="3">
        <v>40</v>
      </c>
      <c r="E36" s="3">
        <v>38</v>
      </c>
      <c r="G36" s="3">
        <v>5</v>
      </c>
      <c r="H36" s="3">
        <v>0</v>
      </c>
      <c r="I36" s="3">
        <f>E36+G36+H36</f>
        <v>43</v>
      </c>
      <c r="J36" s="3" t="str">
        <f>IF(C36="Técnico III","35",IF(C36="Técnico II","28",IF(C36="Técnico I","23",IF(C36="JR","20",IF(C36="Estágio","10",)))))</f>
        <v>23</v>
      </c>
      <c r="K36" s="3">
        <f>I36-J36</f>
        <v>20</v>
      </c>
      <c r="L36" s="3" t="str">
        <f>IF(K36&lt;-5,"CRÍTICO",IF(K36&lt;0,"ATENÇÃO",IF(K36&lt;=5,"BOM","EXCELENTE")))</f>
        <v>EXCELENTE</v>
      </c>
    </row>
    <row r="37" spans="1:12" x14ac:dyDescent="0.25">
      <c r="A37" s="5">
        <v>46160</v>
      </c>
      <c r="B37" s="6" t="s">
        <v>13</v>
      </c>
      <c r="C37" s="3" t="s">
        <v>14</v>
      </c>
      <c r="D37" s="3">
        <v>18</v>
      </c>
      <c r="E37" s="3">
        <v>17</v>
      </c>
      <c r="G37" s="3">
        <v>2</v>
      </c>
      <c r="H37" s="3">
        <v>0</v>
      </c>
      <c r="I37" s="3">
        <f>E37+G37+H37</f>
        <v>19</v>
      </c>
      <c r="J37" s="3" t="str">
        <f>IF(C37="Técnico III","35",IF(C37="Técnico II","28",IF(C37="Técnico I","23",IF(C37="JR","20",IF(C37="Estágio","10",)))))</f>
        <v>23</v>
      </c>
      <c r="K37" s="3">
        <f>I37-J37</f>
        <v>-4</v>
      </c>
      <c r="L37" s="3" t="str">
        <f>IF(K37&lt;-5,"CRÍTICO",IF(K37&lt;0,"ATENÇÃO",IF(K37&lt;=5,"BOM","EXCELENTE")))</f>
        <v>ATENÇÃO</v>
      </c>
    </row>
    <row r="38" spans="1:12" x14ac:dyDescent="0.25">
      <c r="A38" s="7">
        <v>46161</v>
      </c>
      <c r="B38" s="8" t="s">
        <v>15</v>
      </c>
      <c r="C38" s="9" t="s">
        <v>12</v>
      </c>
      <c r="D38" s="3">
        <v>22</v>
      </c>
      <c r="E38" s="3">
        <v>19</v>
      </c>
      <c r="G38" s="3">
        <v>1</v>
      </c>
      <c r="H38" s="3">
        <v>0</v>
      </c>
      <c r="I38" s="3">
        <f>E38+G38+H38</f>
        <v>20</v>
      </c>
      <c r="J38" s="3" t="str">
        <f>IF(C38="Técnico III","35",IF(C38="Técnico II","28",IF(C38="Técnico I","23",IF(C38="JR","20",IF(C38="Estágio","10",)))))</f>
        <v>35</v>
      </c>
      <c r="K38" s="3">
        <f>I38-J38</f>
        <v>-15</v>
      </c>
      <c r="L38" s="3" t="str">
        <f>IF(K38&lt;-5,"CRÍTICO",IF(K38&lt;0,"ATENÇÃO",IF(K38&lt;=5,"BOM","EXCELENTE")))</f>
        <v>CRÍTICO</v>
      </c>
    </row>
    <row r="39" spans="1:12" x14ac:dyDescent="0.25">
      <c r="A39" s="5">
        <v>46146</v>
      </c>
      <c r="B39" s="6" t="s">
        <v>15</v>
      </c>
      <c r="C39" s="9" t="s">
        <v>12</v>
      </c>
      <c r="D39" s="3">
        <v>30</v>
      </c>
      <c r="E39" s="3">
        <v>27</v>
      </c>
      <c r="G39" s="3">
        <v>0</v>
      </c>
      <c r="I39" s="3">
        <f>E39+G39+H39</f>
        <v>27</v>
      </c>
      <c r="J39" s="3" t="str">
        <f>IF(C39="Técnico III","35",IF(C39="Técnico II","28",IF(C39="Técnico I","23",IF(C39="JR","20",IF(C39="Estágio","10",)))))</f>
        <v>35</v>
      </c>
      <c r="K39" s="3">
        <f>I39-J39</f>
        <v>-8</v>
      </c>
      <c r="L39" s="3" t="str">
        <f>IF(K39&lt;-5,"CRÍTICO",IF(K39&lt;0,"ATENÇÃO",IF(K39&lt;=5,"BOM","EXCELENTE")))</f>
        <v>CRÍTICO</v>
      </c>
    </row>
    <row r="40" spans="1:12" x14ac:dyDescent="0.25">
      <c r="A40" s="5">
        <v>46147</v>
      </c>
      <c r="B40" s="6" t="s">
        <v>15</v>
      </c>
      <c r="C40" s="9" t="s">
        <v>12</v>
      </c>
      <c r="D40" s="3">
        <v>30</v>
      </c>
      <c r="E40" s="3">
        <v>28</v>
      </c>
      <c r="G40" s="3">
        <v>0</v>
      </c>
      <c r="I40" s="3">
        <f>E40+G40+H40</f>
        <v>28</v>
      </c>
      <c r="J40" s="3" t="str">
        <f>IF(C40="Técnico III","35",IF(C40="Técnico II","28",IF(C40="Técnico I","23",IF(C40="JR","20",IF(C40="Estágio","10",)))))</f>
        <v>35</v>
      </c>
      <c r="K40" s="3">
        <f>I40-J40</f>
        <v>-7</v>
      </c>
      <c r="L40" s="3" t="str">
        <f>IF(K40&lt;-5,"CRÍTICO",IF(K40&lt;0,"ATENÇÃO",IF(K40&lt;=5,"BOM","EXCELENTE")))</f>
        <v>CRÍTICO</v>
      </c>
    </row>
    <row r="41" spans="1:12" x14ac:dyDescent="0.25">
      <c r="A41" s="5">
        <v>46148</v>
      </c>
      <c r="B41" s="6" t="s">
        <v>15</v>
      </c>
      <c r="C41" s="9" t="s">
        <v>12</v>
      </c>
      <c r="D41" s="3">
        <v>22</v>
      </c>
      <c r="E41" s="3">
        <v>20</v>
      </c>
      <c r="G41" s="3">
        <v>12</v>
      </c>
      <c r="I41" s="3">
        <f>E41+G41+H41</f>
        <v>32</v>
      </c>
      <c r="J41" s="3" t="str">
        <f>IF(C41="Técnico III","35",IF(C41="Técnico II","28",IF(C41="Técnico I","23",IF(C41="JR","20",IF(C41="Estágio","10",)))))</f>
        <v>35</v>
      </c>
      <c r="K41" s="3">
        <f>I41-J41</f>
        <v>-3</v>
      </c>
      <c r="L41" s="3" t="str">
        <f>IF(K41&lt;-5,"CRÍTICO",IF(K41&lt;0,"ATENÇÃO",IF(K41&lt;=5,"BOM","EXCELENTE")))</f>
        <v>ATENÇÃO</v>
      </c>
    </row>
    <row r="42" spans="1:12" x14ac:dyDescent="0.25">
      <c r="A42" s="5">
        <v>46149</v>
      </c>
      <c r="B42" s="6" t="s">
        <v>15</v>
      </c>
      <c r="C42" s="9" t="s">
        <v>12</v>
      </c>
      <c r="D42" s="3">
        <v>32</v>
      </c>
      <c r="E42" s="3">
        <v>32</v>
      </c>
      <c r="G42" s="3">
        <v>0</v>
      </c>
      <c r="I42" s="3">
        <f>E42+G42+H42</f>
        <v>32</v>
      </c>
      <c r="J42" s="3" t="str">
        <f>IF(C42="Técnico III","35",IF(C42="Técnico II","28",IF(C42="Técnico I","23",IF(C42="JR","20",IF(C42="Estágio","10",)))))</f>
        <v>35</v>
      </c>
      <c r="K42" s="3">
        <f>I42-J42</f>
        <v>-3</v>
      </c>
      <c r="L42" s="3" t="str">
        <f>IF(K42&lt;-5,"CRÍTICO",IF(K42&lt;0,"ATENÇÃO",IF(K42&lt;=5,"BOM","EXCELENTE")))</f>
        <v>ATENÇÃO</v>
      </c>
    </row>
    <row r="43" spans="1:12" x14ac:dyDescent="0.25">
      <c r="A43" s="5">
        <v>46150</v>
      </c>
      <c r="B43" s="6" t="s">
        <v>15</v>
      </c>
      <c r="C43" s="9" t="s">
        <v>12</v>
      </c>
      <c r="D43" s="3">
        <v>22</v>
      </c>
      <c r="E43" s="3">
        <v>21</v>
      </c>
      <c r="G43" s="3">
        <v>3</v>
      </c>
      <c r="H43" s="3">
        <v>0</v>
      </c>
      <c r="I43" s="3">
        <f>E43+G43+H43</f>
        <v>24</v>
      </c>
      <c r="J43" s="3" t="str">
        <f>IF(C43="Técnico III","35",IF(C43="Técnico II","28",IF(C43="Técnico I","23",IF(C43="JR","20",IF(C43="Estágio","10",)))))</f>
        <v>35</v>
      </c>
      <c r="K43" s="3">
        <f>I43-J43</f>
        <v>-11</v>
      </c>
      <c r="L43" s="3" t="str">
        <f>IF(K43&lt;-5,"CRÍTICO",IF(K43&lt;0,"ATENÇÃO",IF(K43&lt;=5,"BOM","EXCELENTE")))</f>
        <v>CRÍTICO</v>
      </c>
    </row>
    <row r="44" spans="1:12" x14ac:dyDescent="0.25">
      <c r="A44" s="5">
        <v>46153</v>
      </c>
      <c r="B44" s="6" t="s">
        <v>15</v>
      </c>
      <c r="C44" s="9" t="s">
        <v>12</v>
      </c>
      <c r="D44" s="3">
        <v>18</v>
      </c>
      <c r="E44" s="3">
        <v>16</v>
      </c>
      <c r="I44" s="3">
        <f>E44+G44+H44</f>
        <v>16</v>
      </c>
      <c r="J44" s="3" t="str">
        <f>IF(C44="Técnico III","35",IF(C44="Técnico II","28",IF(C44="Técnico I","23",IF(C44="JR","20",IF(C44="Estágio","10",)))))</f>
        <v>35</v>
      </c>
      <c r="K44" s="3">
        <f>I44-J44</f>
        <v>-19</v>
      </c>
      <c r="L44" s="3" t="str">
        <f>IF(K44&lt;-5,"CRÍTICO",IF(K44&lt;0,"ATENÇÃO",IF(K44&lt;=5,"BOM","EXCELENTE")))</f>
        <v>CRÍTICO</v>
      </c>
    </row>
    <row r="45" spans="1:12" x14ac:dyDescent="0.25">
      <c r="A45" s="5">
        <v>46154</v>
      </c>
      <c r="B45" s="6" t="s">
        <v>15</v>
      </c>
      <c r="C45" s="9" t="s">
        <v>12</v>
      </c>
      <c r="D45" s="3">
        <v>28</v>
      </c>
      <c r="E45" s="3">
        <v>24</v>
      </c>
      <c r="G45" s="3">
        <v>4</v>
      </c>
      <c r="I45" s="3">
        <f>E45+G45+H45</f>
        <v>28</v>
      </c>
      <c r="J45" s="3" t="str">
        <f>IF(C45="Técnico III","35",IF(C45="Técnico II","28",IF(C45="Técnico I","23",IF(C45="JR","20",IF(C45="Estágio","10",)))))</f>
        <v>35</v>
      </c>
      <c r="K45" s="3">
        <f>I45-J45</f>
        <v>-7</v>
      </c>
      <c r="L45" s="3" t="str">
        <f>IF(K45&lt;-5,"CRÍTICO",IF(K45&lt;0,"ATENÇÃO",IF(K45&lt;=5,"BOM","EXCELENTE")))</f>
        <v>CRÍTICO</v>
      </c>
    </row>
    <row r="46" spans="1:12" x14ac:dyDescent="0.25">
      <c r="A46" s="5">
        <v>46155</v>
      </c>
      <c r="B46" s="6" t="s">
        <v>15</v>
      </c>
      <c r="C46" s="9" t="s">
        <v>12</v>
      </c>
      <c r="D46" s="3">
        <v>26</v>
      </c>
      <c r="E46" s="3">
        <v>23</v>
      </c>
      <c r="I46" s="3">
        <f>E46+G46+H46</f>
        <v>23</v>
      </c>
      <c r="J46" s="3" t="str">
        <f>IF(C46="Técnico III","35",IF(C46="Técnico II","28",IF(C46="Técnico I","23",IF(C46="JR","20",IF(C46="Estágio","10",)))))</f>
        <v>35</v>
      </c>
      <c r="K46" s="3">
        <f>I46-J46</f>
        <v>-12</v>
      </c>
      <c r="L46" s="3" t="str">
        <f>IF(K46&lt;-5,"CRÍTICO",IF(K46&lt;0,"ATENÇÃO",IF(K46&lt;=5,"BOM","EXCELENTE")))</f>
        <v>CRÍTICO</v>
      </c>
    </row>
    <row r="47" spans="1:12" x14ac:dyDescent="0.25">
      <c r="A47" s="5">
        <v>46156</v>
      </c>
      <c r="B47" s="6" t="s">
        <v>15</v>
      </c>
      <c r="C47" s="9" t="s">
        <v>12</v>
      </c>
      <c r="D47" s="3">
        <v>25</v>
      </c>
      <c r="E47" s="3">
        <v>25</v>
      </c>
      <c r="G47" s="3">
        <v>5</v>
      </c>
      <c r="H47" s="3">
        <v>0</v>
      </c>
      <c r="I47" s="3">
        <f>E47+G47+H47</f>
        <v>30</v>
      </c>
      <c r="J47" s="3" t="str">
        <f>IF(C47="Técnico III","35",IF(C47="Técnico II","28",IF(C47="Técnico I","23",IF(C47="JR","20",IF(C47="Estágio","10",)))))</f>
        <v>35</v>
      </c>
      <c r="K47" s="3">
        <f>I47-J47</f>
        <v>-5</v>
      </c>
      <c r="L47" s="3" t="str">
        <f>IF(K47&lt;-5,"CRÍTICO",IF(K47&lt;0,"ATENÇÃO",IF(K47&lt;=5,"BOM","EXCELENTE")))</f>
        <v>ATENÇÃO</v>
      </c>
    </row>
    <row r="48" spans="1:12" x14ac:dyDescent="0.25">
      <c r="A48" s="5">
        <v>46157</v>
      </c>
      <c r="B48" s="6" t="s">
        <v>15</v>
      </c>
      <c r="C48" s="9" t="s">
        <v>12</v>
      </c>
      <c r="D48" s="3">
        <v>29</v>
      </c>
      <c r="E48" s="3">
        <v>28</v>
      </c>
      <c r="G48" s="3">
        <v>3</v>
      </c>
      <c r="H48" s="3">
        <v>0</v>
      </c>
      <c r="I48" s="3">
        <f>E48+G48+H48</f>
        <v>31</v>
      </c>
      <c r="J48" s="3" t="str">
        <f>IF(C48="Técnico III","35",IF(C48="Técnico II","28",IF(C48="Técnico I","23",IF(C48="JR","20",IF(C48="Estágio","10",)))))</f>
        <v>35</v>
      </c>
      <c r="K48" s="3">
        <f>I48-J48</f>
        <v>-4</v>
      </c>
      <c r="L48" s="3" t="str">
        <f>IF(K48&lt;-5,"CRÍTICO",IF(K48&lt;0,"ATENÇÃO",IF(K48&lt;=5,"BOM","EXCELENTE")))</f>
        <v>ATENÇÃO</v>
      </c>
    </row>
    <row r="49" spans="1:12" x14ac:dyDescent="0.25">
      <c r="A49" s="5">
        <v>46160</v>
      </c>
      <c r="B49" s="6" t="s">
        <v>15</v>
      </c>
      <c r="C49" s="9" t="s">
        <v>12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 t="str">
        <f>IF(K49&lt;-5,"CRÍTICO",IF(K49&lt;0,"ATENÇÃO",IF(K49&lt;=5,"BOM","EXCELENTE")))</f>
        <v>BOM</v>
      </c>
    </row>
    <row r="50" spans="1:12" x14ac:dyDescent="0.25">
      <c r="A50" s="7">
        <v>46161</v>
      </c>
      <c r="B50" s="8" t="s">
        <v>16</v>
      </c>
      <c r="C50" s="9" t="s">
        <v>36</v>
      </c>
      <c r="D50" s="3">
        <v>30</v>
      </c>
      <c r="E50" s="3">
        <v>29</v>
      </c>
      <c r="G50" s="3">
        <v>0</v>
      </c>
      <c r="H50" s="3">
        <v>0</v>
      </c>
      <c r="I50" s="3">
        <f>E50+G50+H50</f>
        <v>29</v>
      </c>
      <c r="J50" s="3" t="str">
        <f>IF(C50="Técnico III","35",IF(C50="Técnico II","28",IF(C50="Técnico I","23",IF(C50="JR","20",IF(C50="Estágio","10",)))))</f>
        <v>20</v>
      </c>
      <c r="K50" s="3">
        <f>I50-J50</f>
        <v>9</v>
      </c>
      <c r="L50" s="3" t="str">
        <f>IF(K50&lt;-5,"CRÍTICO",IF(K50&lt;0,"ATENÇÃO",IF(K50&lt;=5,"BOM","EXCELENTE")))</f>
        <v>EXCELENTE</v>
      </c>
    </row>
    <row r="51" spans="1:12" x14ac:dyDescent="0.25">
      <c r="A51" s="5">
        <v>46146</v>
      </c>
      <c r="B51" s="6" t="s">
        <v>16</v>
      </c>
      <c r="C51" s="3" t="s">
        <v>17</v>
      </c>
      <c r="D51" s="3">
        <v>48</v>
      </c>
      <c r="E51" s="3">
        <v>36</v>
      </c>
      <c r="G51" s="3">
        <v>0</v>
      </c>
      <c r="H51" s="3">
        <v>0</v>
      </c>
      <c r="I51" s="3">
        <f>E51+G51+H51</f>
        <v>36</v>
      </c>
      <c r="J51" s="3" t="str">
        <f>IF(C51="Técnico III","35",IF(C51="Técnico II","28",IF(C51="Técnico I","23",IF(C51="JR","20",IF(C51="Estágio","10",)))))</f>
        <v>10</v>
      </c>
      <c r="K51" s="3">
        <f>I51-J51</f>
        <v>26</v>
      </c>
      <c r="L51" s="3" t="str">
        <f>IF(K51&lt;-5,"CRÍTICO",IF(K51&lt;0,"ATENÇÃO",IF(K51&lt;=5,"BOM","EXCELENTE")))</f>
        <v>EXCELENTE</v>
      </c>
    </row>
    <row r="52" spans="1:12" x14ac:dyDescent="0.25">
      <c r="A52" s="5">
        <v>46147</v>
      </c>
      <c r="B52" s="6" t="s">
        <v>16</v>
      </c>
      <c r="C52" s="3" t="s">
        <v>17</v>
      </c>
      <c r="D52" s="3">
        <v>36</v>
      </c>
      <c r="E52" s="3">
        <v>35</v>
      </c>
      <c r="G52" s="3">
        <v>0</v>
      </c>
      <c r="H52" s="3">
        <v>0</v>
      </c>
      <c r="I52" s="3">
        <f>E52+G52+H52</f>
        <v>35</v>
      </c>
      <c r="J52" s="3" t="str">
        <f>IF(C52="Técnico III","35",IF(C52="Técnico II","28",IF(C52="Técnico I","23",IF(C52="JR","20",IF(C52="Estágio","10",)))))</f>
        <v>10</v>
      </c>
      <c r="K52" s="3">
        <f>I52-J52</f>
        <v>25</v>
      </c>
      <c r="L52" s="3" t="str">
        <f>IF(K52&lt;-5,"CRÍTICO",IF(K52&lt;0,"ATENÇÃO",IF(K52&lt;=5,"BOM","EXCELENTE")))</f>
        <v>EXCELENTE</v>
      </c>
    </row>
    <row r="53" spans="1:12" x14ac:dyDescent="0.25">
      <c r="A53" s="5">
        <v>46148</v>
      </c>
      <c r="B53" s="6" t="s">
        <v>16</v>
      </c>
      <c r="C53" s="3" t="s">
        <v>17</v>
      </c>
      <c r="D53" s="3">
        <v>27</v>
      </c>
      <c r="E53" s="3">
        <v>26</v>
      </c>
      <c r="G53" s="3">
        <v>0</v>
      </c>
      <c r="H53" s="3">
        <v>0</v>
      </c>
      <c r="I53" s="3">
        <f>E53+G53+H53</f>
        <v>26</v>
      </c>
      <c r="J53" s="3" t="str">
        <f>IF(C53="Técnico III","35",IF(C53="Técnico II","28",IF(C53="Técnico I","23",IF(C53="JR","20",IF(C53="Estágio","10",)))))</f>
        <v>10</v>
      </c>
      <c r="K53" s="3">
        <f>I53-J53</f>
        <v>16</v>
      </c>
      <c r="L53" s="3" t="str">
        <f>IF(K53&lt;-5,"CRÍTICO",IF(K53&lt;0,"ATENÇÃO",IF(K53&lt;=5,"BOM","EXCELENTE")))</f>
        <v>EXCELENTE</v>
      </c>
    </row>
    <row r="54" spans="1:12" x14ac:dyDescent="0.25">
      <c r="A54" s="5">
        <v>46149</v>
      </c>
      <c r="B54" s="6" t="s">
        <v>16</v>
      </c>
      <c r="C54" s="3" t="s">
        <v>17</v>
      </c>
      <c r="D54" s="3">
        <v>33</v>
      </c>
      <c r="E54" s="3">
        <v>32</v>
      </c>
      <c r="G54" s="3">
        <v>0</v>
      </c>
      <c r="H54" s="3">
        <v>0</v>
      </c>
      <c r="I54" s="3">
        <f>E54+G54+H54</f>
        <v>32</v>
      </c>
      <c r="J54" s="3" t="str">
        <f>IF(C54="Técnico III","35",IF(C54="Técnico II","28",IF(C54="Técnico I","23",IF(C54="JR","20",IF(C54="Estágio","10",)))))</f>
        <v>10</v>
      </c>
      <c r="K54" s="3">
        <f>I54-J54</f>
        <v>22</v>
      </c>
      <c r="L54" s="3" t="str">
        <f>IF(K54&lt;-5,"CRÍTICO",IF(K54&lt;0,"ATENÇÃO",IF(K54&lt;=5,"BOM","EXCELENTE")))</f>
        <v>EXCELENTE</v>
      </c>
    </row>
    <row r="55" spans="1:12" x14ac:dyDescent="0.25">
      <c r="A55" s="5">
        <v>46150</v>
      </c>
      <c r="B55" s="6" t="s">
        <v>16</v>
      </c>
      <c r="C55" s="3" t="s">
        <v>17</v>
      </c>
      <c r="D55" s="3">
        <v>38</v>
      </c>
      <c r="E55" s="3">
        <v>35</v>
      </c>
      <c r="G55" s="3">
        <v>0</v>
      </c>
      <c r="H55" s="3">
        <v>0</v>
      </c>
      <c r="I55" s="3">
        <f>E55+G55+H55</f>
        <v>35</v>
      </c>
      <c r="J55" s="3" t="str">
        <f>IF(C55="Técnico III","35",IF(C55="Técnico II","28",IF(C55="Técnico I","23",IF(C55="JR","20",IF(C55="Estágio","10",)))))</f>
        <v>10</v>
      </c>
      <c r="K55" s="3">
        <f>I55-J55</f>
        <v>25</v>
      </c>
      <c r="L55" s="3" t="str">
        <f>IF(K55&lt;-5,"CRÍTICO",IF(K55&lt;0,"ATENÇÃO",IF(K55&lt;=5,"BOM","EXCELENTE")))</f>
        <v>EXCELENTE</v>
      </c>
    </row>
    <row r="56" spans="1:12" x14ac:dyDescent="0.25">
      <c r="A56" s="5">
        <v>46153</v>
      </c>
      <c r="B56" s="6" t="s">
        <v>16</v>
      </c>
      <c r="C56" s="3" t="s">
        <v>17</v>
      </c>
      <c r="D56" s="3">
        <v>32</v>
      </c>
      <c r="E56" s="3">
        <v>32</v>
      </c>
      <c r="G56" s="3">
        <v>0</v>
      </c>
      <c r="H56" s="3">
        <v>0</v>
      </c>
      <c r="I56" s="3">
        <f>E56+G56+H56</f>
        <v>32</v>
      </c>
      <c r="J56" s="3" t="str">
        <f>IF(C56="Técnico III","35",IF(C56="Técnico II","28",IF(C56="Técnico I","23",IF(C56="JR","20",IF(C56="Estágio","10",)))))</f>
        <v>10</v>
      </c>
      <c r="K56" s="3">
        <f>I56-J56</f>
        <v>22</v>
      </c>
      <c r="L56" s="3" t="str">
        <f>IF(K56&lt;-5,"CRÍTICO",IF(K56&lt;0,"ATENÇÃO",IF(K56&lt;=5,"BOM","EXCELENTE")))</f>
        <v>EXCELENTE</v>
      </c>
    </row>
    <row r="57" spans="1:12" x14ac:dyDescent="0.25">
      <c r="A57" s="5">
        <v>46154</v>
      </c>
      <c r="B57" s="6" t="s">
        <v>16</v>
      </c>
      <c r="C57" s="3" t="s">
        <v>17</v>
      </c>
      <c r="D57" s="3">
        <v>25</v>
      </c>
      <c r="E57" s="3">
        <v>25</v>
      </c>
      <c r="I57" s="3">
        <f>E57+G57+H57</f>
        <v>25</v>
      </c>
      <c r="J57" s="3" t="str">
        <f>IF(C57="Técnico III","35",IF(C57="Técnico II","28",IF(C57="Técnico I","23",IF(C57="JR","20",IF(C57="Estágio","10",)))))</f>
        <v>10</v>
      </c>
      <c r="K57" s="3">
        <f>I57-J57</f>
        <v>15</v>
      </c>
      <c r="L57" s="3" t="str">
        <f>IF(K57&lt;-5,"CRÍTICO",IF(K57&lt;0,"ATENÇÃO",IF(K57&lt;=5,"BOM","EXCELENTE")))</f>
        <v>EXCELENTE</v>
      </c>
    </row>
    <row r="58" spans="1:12" x14ac:dyDescent="0.25">
      <c r="A58" s="5">
        <v>46155</v>
      </c>
      <c r="B58" s="6" t="s">
        <v>16</v>
      </c>
      <c r="C58" s="3" t="s">
        <v>17</v>
      </c>
      <c r="D58" s="3">
        <v>23</v>
      </c>
      <c r="E58" s="3">
        <v>23</v>
      </c>
      <c r="G58" s="3">
        <v>0</v>
      </c>
      <c r="H58" s="3">
        <v>0</v>
      </c>
      <c r="I58" s="3">
        <f>E58+G58+H58</f>
        <v>23</v>
      </c>
      <c r="J58" s="3" t="str">
        <f>IF(C58="Técnico III","35",IF(C58="Técnico II","28",IF(C58="Técnico I","23",IF(C58="JR","20",IF(C58="Estágio","10",)))))</f>
        <v>10</v>
      </c>
      <c r="K58" s="3">
        <f>I58-J58</f>
        <v>13</v>
      </c>
      <c r="L58" s="3" t="str">
        <f>IF(K58&lt;-5,"CRÍTICO",IF(K58&lt;0,"ATENÇÃO",IF(K58&lt;=5,"BOM","EXCELENTE")))</f>
        <v>EXCELENTE</v>
      </c>
    </row>
    <row r="59" spans="1:12" x14ac:dyDescent="0.25">
      <c r="A59" s="5">
        <v>46156</v>
      </c>
      <c r="B59" s="6" t="s">
        <v>16</v>
      </c>
      <c r="C59" s="3" t="s">
        <v>17</v>
      </c>
      <c r="D59" s="3">
        <v>31</v>
      </c>
      <c r="E59" s="3">
        <v>29</v>
      </c>
      <c r="G59" s="3">
        <v>0</v>
      </c>
      <c r="H59" s="3">
        <v>0</v>
      </c>
      <c r="I59" s="3">
        <f>E59+G59+H59</f>
        <v>29</v>
      </c>
      <c r="J59" s="3" t="str">
        <f>IF(C59="Técnico III","35",IF(C59="Técnico II","28",IF(C59="Técnico I","23",IF(C59="JR","20",IF(C59="Estágio","10",)))))</f>
        <v>10</v>
      </c>
      <c r="K59" s="3">
        <f>I59-J59</f>
        <v>19</v>
      </c>
      <c r="L59" s="3" t="str">
        <f>IF(K59&lt;-5,"CRÍTICO",IF(K59&lt;0,"ATENÇÃO",IF(K59&lt;=5,"BOM","EXCELENTE")))</f>
        <v>EXCELENTE</v>
      </c>
    </row>
    <row r="60" spans="1:12" x14ac:dyDescent="0.25">
      <c r="A60" s="5">
        <v>46157</v>
      </c>
      <c r="B60" s="6" t="s">
        <v>16</v>
      </c>
      <c r="C60" s="3" t="s">
        <v>17</v>
      </c>
      <c r="D60" s="3">
        <v>42</v>
      </c>
      <c r="E60" s="3">
        <v>40</v>
      </c>
      <c r="G60" s="3">
        <v>0</v>
      </c>
      <c r="H60" s="3">
        <v>0</v>
      </c>
      <c r="I60" s="3">
        <f>E60+G60+H60</f>
        <v>40</v>
      </c>
      <c r="J60" s="3" t="str">
        <f>IF(C60="Técnico III","35",IF(C60="Técnico II","28",IF(C60="Técnico I","23",IF(C60="JR","20",IF(C60="Estágio","10",)))))</f>
        <v>10</v>
      </c>
      <c r="K60" s="3">
        <f>I60-J60</f>
        <v>30</v>
      </c>
      <c r="L60" s="3" t="str">
        <f>IF(K60&lt;-5,"CRÍTICO",IF(K60&lt;0,"ATENÇÃO",IF(K60&lt;=5,"BOM","EXCELENTE")))</f>
        <v>EXCELENTE</v>
      </c>
    </row>
    <row r="61" spans="1:12" x14ac:dyDescent="0.25">
      <c r="A61" s="5">
        <v>46160</v>
      </c>
      <c r="B61" s="6" t="s">
        <v>16</v>
      </c>
      <c r="C61" s="3" t="s">
        <v>36</v>
      </c>
      <c r="D61" s="3">
        <v>28</v>
      </c>
      <c r="E61" s="3">
        <v>27</v>
      </c>
      <c r="G61" s="3">
        <v>0</v>
      </c>
      <c r="H61" s="3">
        <v>0</v>
      </c>
      <c r="I61" s="3">
        <f>E61+G61+H61</f>
        <v>27</v>
      </c>
      <c r="J61" s="3" t="str">
        <f>IF(C61="Técnico III","35",IF(C61="Técnico II","28",IF(C61="Técnico I","23",IF(C61="JR","20",IF(C61="Estágio","10",)))))</f>
        <v>20</v>
      </c>
      <c r="K61" s="3">
        <f>I61-J61</f>
        <v>7</v>
      </c>
      <c r="L61" s="3" t="str">
        <f>IF(K61&lt;-5,"CRÍTICO",IF(K61&lt;0,"ATENÇÃO",IF(K61&lt;=5,"BOM","EXCELENTE")))</f>
        <v>EXCELENTE</v>
      </c>
    </row>
    <row r="62" spans="1:12" x14ac:dyDescent="0.25">
      <c r="A62" s="7">
        <v>46161</v>
      </c>
      <c r="B62" s="8" t="s">
        <v>18</v>
      </c>
      <c r="C62" s="9" t="s">
        <v>11</v>
      </c>
      <c r="D62" s="3">
        <v>33</v>
      </c>
      <c r="E62" s="3">
        <v>31</v>
      </c>
      <c r="G62" s="3">
        <v>3</v>
      </c>
      <c r="H62" s="3">
        <v>0</v>
      </c>
      <c r="I62" s="3">
        <f>E62+G62+H62</f>
        <v>34</v>
      </c>
      <c r="J62" s="3" t="str">
        <f>IF(C62="Técnico III","35",IF(C62="Técnico II","28",IF(C62="Técnico I","23",IF(C62="JR","20",IF(C62="Estágio","10",)))))</f>
        <v>28</v>
      </c>
      <c r="K62" s="3">
        <f>I62-J62</f>
        <v>6</v>
      </c>
      <c r="L62" s="3" t="str">
        <f>IF(K62&lt;-5,"CRÍTICO",IF(K62&lt;0,"ATENÇÃO",IF(K62&lt;=5,"BOM","EXCELENTE")))</f>
        <v>EXCELENTE</v>
      </c>
    </row>
    <row r="63" spans="1:12" x14ac:dyDescent="0.25">
      <c r="A63" s="5">
        <v>46146</v>
      </c>
      <c r="B63" s="6" t="s">
        <v>18</v>
      </c>
      <c r="C63" s="3" t="s">
        <v>11</v>
      </c>
      <c r="D63" s="3">
        <v>41</v>
      </c>
      <c r="E63" s="3">
        <v>38</v>
      </c>
      <c r="G63" s="3">
        <v>5</v>
      </c>
      <c r="I63" s="3">
        <f>E63+G63+H63</f>
        <v>43</v>
      </c>
      <c r="J63" s="3" t="str">
        <f>IF(C63="Técnico III","35",IF(C63="Técnico II","28",IF(C63="Técnico I","23",IF(C63="JR","20",IF(C63="Estágio","10",)))))</f>
        <v>28</v>
      </c>
      <c r="K63" s="3">
        <f>I63-J63</f>
        <v>15</v>
      </c>
      <c r="L63" s="3" t="str">
        <f>IF(K63&lt;-5,"CRÍTICO",IF(K63&lt;0,"ATENÇÃO",IF(K63&lt;=5,"BOM","EXCELENTE")))</f>
        <v>EXCELENTE</v>
      </c>
    </row>
    <row r="64" spans="1:12" x14ac:dyDescent="0.25">
      <c r="A64" s="5">
        <v>46147</v>
      </c>
      <c r="B64" s="6" t="s">
        <v>18</v>
      </c>
      <c r="C64" s="3" t="s">
        <v>11</v>
      </c>
      <c r="D64" s="3">
        <v>45</v>
      </c>
      <c r="E64" s="3">
        <v>37</v>
      </c>
      <c r="G64" s="3">
        <v>6</v>
      </c>
      <c r="I64" s="3">
        <f>E64+G64+H64</f>
        <v>43</v>
      </c>
      <c r="J64" s="3" t="str">
        <f>IF(C64="Técnico III","35",IF(C64="Técnico II","28",IF(C64="Técnico I","23",IF(C64="JR","20",IF(C64="Estágio","10",)))))</f>
        <v>28</v>
      </c>
      <c r="K64" s="3">
        <f>I64-J64</f>
        <v>15</v>
      </c>
      <c r="L64" s="3" t="str">
        <f>IF(K64&lt;-5,"CRÍTICO",IF(K64&lt;0,"ATENÇÃO",IF(K64&lt;=5,"BOM","EXCELENTE")))</f>
        <v>EXCELENTE</v>
      </c>
    </row>
    <row r="65" spans="1:12" x14ac:dyDescent="0.25">
      <c r="A65" s="5">
        <v>46148</v>
      </c>
      <c r="B65" s="6" t="s">
        <v>18</v>
      </c>
      <c r="C65" s="3" t="s">
        <v>11</v>
      </c>
      <c r="D65" s="3">
        <v>31</v>
      </c>
      <c r="E65" s="3">
        <v>28</v>
      </c>
      <c r="G65" s="3">
        <v>9</v>
      </c>
      <c r="I65" s="3">
        <f>E65+G65+H65</f>
        <v>37</v>
      </c>
      <c r="J65" s="3" t="str">
        <f>IF(C65="Técnico III","35",IF(C65="Técnico II","28",IF(C65="Técnico I","23",IF(C65="JR","20",IF(C65="Estágio","10",)))))</f>
        <v>28</v>
      </c>
      <c r="K65" s="3">
        <f>I65-J65</f>
        <v>9</v>
      </c>
      <c r="L65" s="3" t="str">
        <f>IF(K65&lt;-5,"CRÍTICO",IF(K65&lt;0,"ATENÇÃO",IF(K65&lt;=5,"BOM","EXCELENTE")))</f>
        <v>EXCELENTE</v>
      </c>
    </row>
    <row r="66" spans="1:12" x14ac:dyDescent="0.25">
      <c r="A66" s="5">
        <v>46149</v>
      </c>
      <c r="B66" s="6" t="s">
        <v>18</v>
      </c>
      <c r="C66" s="3" t="s">
        <v>11</v>
      </c>
      <c r="D66" s="3">
        <v>33</v>
      </c>
      <c r="E66" s="3">
        <v>29</v>
      </c>
      <c r="G66" s="3">
        <v>5</v>
      </c>
      <c r="I66" s="3">
        <f>E66+G66+H66</f>
        <v>34</v>
      </c>
      <c r="J66" s="3" t="str">
        <f>IF(C66="Técnico III","35",IF(C66="Técnico II","28",IF(C66="Técnico I","23",IF(C66="JR","20",IF(C66="Estágio","10",)))))</f>
        <v>28</v>
      </c>
      <c r="K66" s="3">
        <f>I66-J66</f>
        <v>6</v>
      </c>
      <c r="L66" s="3" t="str">
        <f>IF(K66&lt;-5,"CRÍTICO",IF(K66&lt;0,"ATENÇÃO",IF(K66&lt;=5,"BOM","EXCELENTE")))</f>
        <v>EXCELENTE</v>
      </c>
    </row>
    <row r="67" spans="1:12" x14ac:dyDescent="0.25">
      <c r="A67" s="5">
        <v>46150</v>
      </c>
      <c r="B67" s="6" t="s">
        <v>18</v>
      </c>
      <c r="C67" s="3" t="s">
        <v>11</v>
      </c>
      <c r="D67" s="3">
        <v>31</v>
      </c>
      <c r="E67" s="3">
        <v>28</v>
      </c>
      <c r="G67" s="3">
        <v>4</v>
      </c>
      <c r="H67" s="3">
        <v>0</v>
      </c>
      <c r="I67" s="3">
        <f>E67+G67+H67</f>
        <v>32</v>
      </c>
      <c r="J67" s="3" t="str">
        <f>IF(C67="Técnico III","35",IF(C67="Técnico II","28",IF(C67="Técnico I","23",IF(C67="JR","20",IF(C67="Estágio","10",)))))</f>
        <v>28</v>
      </c>
      <c r="K67" s="3">
        <f>I67-J67</f>
        <v>4</v>
      </c>
      <c r="L67" s="3" t="str">
        <f>IF(K67&lt;-5,"CRÍTICO",IF(K67&lt;0,"ATENÇÃO",IF(K67&lt;=5,"BOM","EXCELENTE")))</f>
        <v>BOM</v>
      </c>
    </row>
    <row r="68" spans="1:12" x14ac:dyDescent="0.25">
      <c r="A68" s="5">
        <v>46153</v>
      </c>
      <c r="B68" s="6" t="s">
        <v>18</v>
      </c>
      <c r="C68" s="3" t="s">
        <v>11</v>
      </c>
      <c r="D68" s="3">
        <v>31</v>
      </c>
      <c r="E68" s="3">
        <v>29</v>
      </c>
      <c r="G68" s="3">
        <v>1</v>
      </c>
      <c r="I68" s="3">
        <f>E68+G68+H68</f>
        <v>30</v>
      </c>
      <c r="J68" s="3" t="str">
        <f>IF(C68="Técnico III","35",IF(C68="Técnico II","28",IF(C68="Técnico I","23",IF(C68="JR","20",IF(C68="Estágio","10",)))))</f>
        <v>28</v>
      </c>
      <c r="K68" s="3">
        <f>I68-J68</f>
        <v>2</v>
      </c>
      <c r="L68" s="3" t="str">
        <f>IF(K68&lt;-5,"CRÍTICO",IF(K68&lt;0,"ATENÇÃO",IF(K68&lt;=5,"BOM","EXCELENTE")))</f>
        <v>BOM</v>
      </c>
    </row>
    <row r="69" spans="1:12" x14ac:dyDescent="0.25">
      <c r="A69" s="5">
        <v>46154</v>
      </c>
      <c r="B69" s="6" t="s">
        <v>18</v>
      </c>
      <c r="C69" s="3" t="s">
        <v>11</v>
      </c>
      <c r="D69" s="3">
        <v>38</v>
      </c>
      <c r="E69" s="3">
        <v>35</v>
      </c>
      <c r="G69" s="3">
        <v>3</v>
      </c>
      <c r="I69" s="3">
        <f>E69+G69+H69</f>
        <v>38</v>
      </c>
      <c r="J69" s="3" t="str">
        <f>IF(C69="Técnico III","35",IF(C69="Técnico II","28",IF(C69="Técnico I","23",IF(C69="JR","20",IF(C69="Estágio","10",)))))</f>
        <v>28</v>
      </c>
      <c r="K69" s="3">
        <f>I69-J69</f>
        <v>10</v>
      </c>
      <c r="L69" s="3" t="str">
        <f>IF(K69&lt;-5,"CRÍTICO",IF(K69&lt;0,"ATENÇÃO",IF(K69&lt;=5,"BOM","EXCELENTE")))</f>
        <v>EXCELENTE</v>
      </c>
    </row>
    <row r="70" spans="1:12" x14ac:dyDescent="0.25">
      <c r="A70" s="5">
        <v>46155</v>
      </c>
      <c r="B70" s="6" t="s">
        <v>18</v>
      </c>
      <c r="C70" s="3" t="s">
        <v>11</v>
      </c>
      <c r="D70" s="3">
        <v>33</v>
      </c>
      <c r="E70" s="3">
        <v>29</v>
      </c>
      <c r="G70" s="3">
        <v>1</v>
      </c>
      <c r="I70" s="3">
        <f>E70+G70+H70</f>
        <v>30</v>
      </c>
      <c r="J70" s="3" t="str">
        <f>IF(C70="Técnico III","35",IF(C70="Técnico II","28",IF(C70="Técnico I","23",IF(C70="JR","20",IF(C70="Estágio","10",)))))</f>
        <v>28</v>
      </c>
      <c r="K70" s="3">
        <f>I70-J70</f>
        <v>2</v>
      </c>
      <c r="L70" s="3" t="str">
        <f>IF(K70&lt;-5,"CRÍTICO",IF(K70&lt;0,"ATENÇÃO",IF(K70&lt;=5,"BOM","EXCELENTE")))</f>
        <v>BOM</v>
      </c>
    </row>
    <row r="71" spans="1:12" x14ac:dyDescent="0.25">
      <c r="A71" s="5">
        <v>46156</v>
      </c>
      <c r="B71" s="6" t="s">
        <v>18</v>
      </c>
      <c r="C71" s="3" t="s">
        <v>11</v>
      </c>
      <c r="D71" s="3">
        <v>29</v>
      </c>
      <c r="E71" s="3">
        <v>29</v>
      </c>
      <c r="G71" s="3">
        <v>4</v>
      </c>
      <c r="H71" s="3">
        <v>0</v>
      </c>
      <c r="I71" s="3">
        <f>E71+G71+H71</f>
        <v>33</v>
      </c>
      <c r="J71" s="3" t="str">
        <f>IF(C71="Técnico III","35",IF(C71="Técnico II","28",IF(C71="Técnico I","23",IF(C71="JR","20",IF(C71="Estágio","10",)))))</f>
        <v>28</v>
      </c>
      <c r="K71" s="3">
        <f>I71-J71</f>
        <v>5</v>
      </c>
      <c r="L71" s="3" t="str">
        <f>IF(K71&lt;-5,"CRÍTICO",IF(K71&lt;0,"ATENÇÃO",IF(K71&lt;=5,"BOM","EXCELENTE")))</f>
        <v>BOM</v>
      </c>
    </row>
    <row r="72" spans="1:12" x14ac:dyDescent="0.25">
      <c r="A72" s="5">
        <v>46157</v>
      </c>
      <c r="B72" s="6" t="s">
        <v>18</v>
      </c>
      <c r="C72" s="3" t="s">
        <v>11</v>
      </c>
      <c r="D72" s="3">
        <v>20</v>
      </c>
      <c r="E72" s="3">
        <v>19</v>
      </c>
      <c r="G72" s="3">
        <v>2</v>
      </c>
      <c r="H72" s="3">
        <v>0</v>
      </c>
      <c r="I72" s="3">
        <f>E72+G72+H72</f>
        <v>21</v>
      </c>
      <c r="J72" s="3" t="str">
        <f>IF(C72="Técnico III","35",IF(C72="Técnico II","28",IF(C72="Técnico I","23",IF(C72="JR","20",IF(C72="Estágio","10",)))))</f>
        <v>28</v>
      </c>
      <c r="K72" s="3">
        <f>I72-J72</f>
        <v>-7</v>
      </c>
      <c r="L72" s="3" t="str">
        <f>IF(K72&lt;-5,"CRÍTICO",IF(K72&lt;0,"ATENÇÃO",IF(K72&lt;=5,"BOM","EXCELENTE")))</f>
        <v>CRÍTICO</v>
      </c>
    </row>
    <row r="73" spans="1:12" x14ac:dyDescent="0.25">
      <c r="A73" s="5">
        <v>46160</v>
      </c>
      <c r="B73" s="6" t="s">
        <v>18</v>
      </c>
      <c r="C73" s="3" t="s">
        <v>11</v>
      </c>
      <c r="D73" s="3">
        <v>46</v>
      </c>
      <c r="E73" s="3">
        <v>39</v>
      </c>
      <c r="G73" s="3">
        <v>7</v>
      </c>
      <c r="H73" s="3">
        <v>0</v>
      </c>
      <c r="I73" s="3">
        <f>E73+G73+H73</f>
        <v>46</v>
      </c>
      <c r="J73" s="3" t="str">
        <f>IF(C73="Técnico III","35",IF(C73="Técnico II","28",IF(C73="Técnico I","23",IF(C73="JR","20",IF(C73="Estágio","10",)))))</f>
        <v>28</v>
      </c>
      <c r="K73" s="3">
        <f>I73-J73</f>
        <v>18</v>
      </c>
      <c r="L73" s="3" t="str">
        <f>IF(K73&lt;-5,"CRÍTICO",IF(K73&lt;0,"ATENÇÃO",IF(K73&lt;=5,"BOM","EXCELENTE")))</f>
        <v>EXCELENTE</v>
      </c>
    </row>
    <row r="74" spans="1:12" x14ac:dyDescent="0.25">
      <c r="A74" s="7">
        <v>46161</v>
      </c>
      <c r="B74" s="8" t="s">
        <v>19</v>
      </c>
      <c r="C74" s="9" t="s">
        <v>11</v>
      </c>
      <c r="D74" s="3">
        <v>33</v>
      </c>
      <c r="E74" s="3">
        <v>32</v>
      </c>
      <c r="G74" s="3">
        <v>2</v>
      </c>
      <c r="H74" s="3">
        <v>0</v>
      </c>
      <c r="I74" s="3">
        <f>E74+G74+H74</f>
        <v>34</v>
      </c>
      <c r="J74" s="3" t="str">
        <f>IF(C74="Técnico III","35",IF(C74="Técnico II","28",IF(C74="Técnico I","23",IF(C74="JR","20",IF(C74="Estágio","10",)))))</f>
        <v>28</v>
      </c>
      <c r="K74" s="3">
        <f>I74-J74</f>
        <v>6</v>
      </c>
      <c r="L74" s="3" t="str">
        <f>IF(K74&lt;-5,"CRÍTICO",IF(K74&lt;0,"ATENÇÃO",IF(K74&lt;=5,"BOM","EXCELENTE")))</f>
        <v>EXCELENTE</v>
      </c>
    </row>
    <row r="75" spans="1:12" x14ac:dyDescent="0.25">
      <c r="A75" s="5">
        <v>46146</v>
      </c>
      <c r="B75" s="6" t="s">
        <v>19</v>
      </c>
      <c r="C75" s="9" t="s">
        <v>11</v>
      </c>
      <c r="D75" s="3">
        <v>31</v>
      </c>
      <c r="E75" s="3">
        <v>29</v>
      </c>
      <c r="G75" s="3">
        <v>0</v>
      </c>
      <c r="I75" s="3">
        <f>E75+G75+H75</f>
        <v>29</v>
      </c>
      <c r="J75" s="3" t="str">
        <f>IF(C75="Técnico III","35",IF(C75="Técnico II","28",IF(C75="Técnico I","23",IF(C75="JR","20",IF(C75="Estágio","10",)))))</f>
        <v>28</v>
      </c>
      <c r="K75" s="3">
        <f>I75-J75</f>
        <v>1</v>
      </c>
      <c r="L75" s="3" t="str">
        <f>IF(K75&lt;-5,"CRÍTICO",IF(K75&lt;0,"ATENÇÃO",IF(K75&lt;=5,"BOM","EXCELENTE")))</f>
        <v>BOM</v>
      </c>
    </row>
    <row r="76" spans="1:12" x14ac:dyDescent="0.25">
      <c r="A76" s="5">
        <v>46147</v>
      </c>
      <c r="B76" s="6" t="s">
        <v>19</v>
      </c>
      <c r="C76" s="9" t="s">
        <v>11</v>
      </c>
      <c r="D76" s="3">
        <v>19</v>
      </c>
      <c r="E76" s="3">
        <v>18</v>
      </c>
      <c r="G76" s="3">
        <v>9</v>
      </c>
      <c r="I76" s="3">
        <f>E76+G76+H76</f>
        <v>27</v>
      </c>
      <c r="J76" s="3" t="str">
        <f>IF(C76="Técnico III","35",IF(C76="Técnico II","28",IF(C76="Técnico I","23",IF(C76="JR","20",IF(C76="Estágio","10",)))))</f>
        <v>28</v>
      </c>
      <c r="K76" s="3">
        <f>I76-J76</f>
        <v>-1</v>
      </c>
      <c r="L76" s="3" t="str">
        <f>IF(K76&lt;-5,"CRÍTICO",IF(K76&lt;0,"ATENÇÃO",IF(K76&lt;=5,"BOM","EXCELENTE")))</f>
        <v>ATENÇÃO</v>
      </c>
    </row>
    <row r="77" spans="1:12" x14ac:dyDescent="0.25">
      <c r="A77" s="5">
        <v>46148</v>
      </c>
      <c r="B77" s="6" t="s">
        <v>19</v>
      </c>
      <c r="C77" s="9" t="s">
        <v>11</v>
      </c>
      <c r="D77" s="3">
        <v>34</v>
      </c>
      <c r="E77" s="3">
        <v>32</v>
      </c>
      <c r="G77" s="3">
        <v>1</v>
      </c>
      <c r="I77" s="3">
        <f>E77+G77+H77</f>
        <v>33</v>
      </c>
      <c r="J77" s="3" t="str">
        <f>IF(C77="Técnico III","35",IF(C77="Técnico II","28",IF(C77="Técnico I","23",IF(C77="JR","20",IF(C77="Estágio","10",)))))</f>
        <v>28</v>
      </c>
      <c r="K77" s="3">
        <f>I77-J77</f>
        <v>5</v>
      </c>
      <c r="L77" s="3" t="str">
        <f>IF(K77&lt;-5,"CRÍTICO",IF(K77&lt;0,"ATENÇÃO",IF(K77&lt;=5,"BOM","EXCELENTE")))</f>
        <v>BOM</v>
      </c>
    </row>
    <row r="78" spans="1:12" x14ac:dyDescent="0.25">
      <c r="A78" s="5">
        <v>46149</v>
      </c>
      <c r="B78" s="6" t="s">
        <v>19</v>
      </c>
      <c r="C78" s="9" t="s">
        <v>11</v>
      </c>
      <c r="D78" s="3">
        <v>24</v>
      </c>
      <c r="E78" s="3">
        <v>24</v>
      </c>
      <c r="G78" s="3">
        <v>5</v>
      </c>
      <c r="I78" s="3">
        <f>E78+G78+H78</f>
        <v>29</v>
      </c>
      <c r="J78" s="3" t="str">
        <f>IF(C78="Técnico III","35",IF(C78="Técnico II","28",IF(C78="Técnico I","23",IF(C78="JR","20",IF(C78="Estágio","10",)))))</f>
        <v>28</v>
      </c>
      <c r="K78" s="3">
        <f>I78-J78</f>
        <v>1</v>
      </c>
      <c r="L78" s="3" t="str">
        <f>IF(K78&lt;-5,"CRÍTICO",IF(K78&lt;0,"ATENÇÃO",IF(K78&lt;=5,"BOM","EXCELENTE")))</f>
        <v>BOM</v>
      </c>
    </row>
    <row r="79" spans="1:12" x14ac:dyDescent="0.25">
      <c r="A79" s="5">
        <v>46150</v>
      </c>
      <c r="B79" s="6" t="s">
        <v>19</v>
      </c>
      <c r="C79" s="9" t="s">
        <v>11</v>
      </c>
      <c r="D79" s="3">
        <v>12</v>
      </c>
      <c r="E79" s="3">
        <v>12</v>
      </c>
      <c r="G79" s="3">
        <v>0</v>
      </c>
      <c r="H79" s="3">
        <v>0</v>
      </c>
      <c r="I79" s="3">
        <f>E79+G79+H79</f>
        <v>12</v>
      </c>
      <c r="J79" s="3" t="str">
        <f>IF(C79="Técnico III","35",IF(C79="Técnico II","28",IF(C79="Técnico I","23",IF(C79="JR","20",IF(C79="Estágio","10",)))))</f>
        <v>28</v>
      </c>
      <c r="K79" s="3">
        <f>I79-J79</f>
        <v>-16</v>
      </c>
      <c r="L79" s="3" t="str">
        <f>IF(K79&lt;-5,"CRÍTICO",IF(K79&lt;0,"ATENÇÃO",IF(K79&lt;=5,"BOM","EXCELENTE")))</f>
        <v>CRÍTICO</v>
      </c>
    </row>
    <row r="80" spans="1:12" x14ac:dyDescent="0.25">
      <c r="A80" s="5">
        <v>46153</v>
      </c>
      <c r="B80" s="6" t="s">
        <v>19</v>
      </c>
      <c r="C80" s="9" t="s">
        <v>11</v>
      </c>
      <c r="D80" s="3">
        <v>22</v>
      </c>
      <c r="E80" s="3">
        <v>22</v>
      </c>
      <c r="G80" s="3">
        <v>4</v>
      </c>
      <c r="I80" s="3">
        <f>E80+G80+H80</f>
        <v>26</v>
      </c>
      <c r="J80" s="3" t="str">
        <f>IF(C80="Técnico III","35",IF(C80="Técnico II","28",IF(C80="Técnico I","23",IF(C80="JR","20",IF(C80="Estágio","10",)))))</f>
        <v>28</v>
      </c>
      <c r="K80" s="3">
        <f>I80-J80</f>
        <v>-2</v>
      </c>
      <c r="L80" s="3" t="str">
        <f>IF(K80&lt;-5,"CRÍTICO",IF(K80&lt;0,"ATENÇÃO",IF(K80&lt;=5,"BOM","EXCELENTE")))</f>
        <v>ATENÇÃO</v>
      </c>
    </row>
    <row r="81" spans="1:12" x14ac:dyDescent="0.25">
      <c r="A81" s="5">
        <v>46154</v>
      </c>
      <c r="B81" s="6" t="s">
        <v>19</v>
      </c>
      <c r="C81" s="9" t="s">
        <v>11</v>
      </c>
      <c r="D81" s="3">
        <v>26</v>
      </c>
      <c r="E81" s="3">
        <v>26</v>
      </c>
      <c r="I81" s="3">
        <f>E81+G81+H81</f>
        <v>26</v>
      </c>
      <c r="J81" s="3" t="str">
        <f>IF(C81="Técnico III","35",IF(C81="Técnico II","28",IF(C81="Técnico I","23",IF(C81="JR","20",IF(C81="Estágio","10",)))))</f>
        <v>28</v>
      </c>
      <c r="K81" s="3">
        <f>I81-J81</f>
        <v>-2</v>
      </c>
      <c r="L81" s="3" t="str">
        <f>IF(K81&lt;-5,"CRÍTICO",IF(K81&lt;0,"ATENÇÃO",IF(K81&lt;=5,"BOM","EXCELENTE")))</f>
        <v>ATENÇÃO</v>
      </c>
    </row>
    <row r="82" spans="1:12" x14ac:dyDescent="0.25">
      <c r="A82" s="5">
        <v>46155</v>
      </c>
      <c r="B82" s="6" t="s">
        <v>19</v>
      </c>
      <c r="C82" s="9" t="s">
        <v>11</v>
      </c>
      <c r="D82" s="3">
        <v>17</v>
      </c>
      <c r="E82" s="3">
        <v>16</v>
      </c>
      <c r="G82" s="3">
        <v>5</v>
      </c>
      <c r="I82" s="3">
        <f>E82+G82+H82</f>
        <v>21</v>
      </c>
      <c r="J82" s="3" t="str">
        <f>IF(C82="Técnico III","35",IF(C82="Técnico II","28",IF(C82="Técnico I","23",IF(C82="JR","20",IF(C82="Estágio","10",)))))</f>
        <v>28</v>
      </c>
      <c r="K82" s="3">
        <f>I82-J82</f>
        <v>-7</v>
      </c>
      <c r="L82" s="3" t="str">
        <f>IF(K82&lt;-5,"CRÍTICO",IF(K82&lt;0,"ATENÇÃO",IF(K82&lt;=5,"BOM","EXCELENTE")))</f>
        <v>CRÍTICO</v>
      </c>
    </row>
    <row r="83" spans="1:12" x14ac:dyDescent="0.25">
      <c r="A83" s="5">
        <v>46156</v>
      </c>
      <c r="B83" s="6" t="s">
        <v>19</v>
      </c>
      <c r="C83" s="9" t="s">
        <v>11</v>
      </c>
      <c r="D83" s="3">
        <v>25</v>
      </c>
      <c r="E83" s="3">
        <v>23</v>
      </c>
      <c r="G83" s="3">
        <v>4</v>
      </c>
      <c r="H83" s="3">
        <v>0</v>
      </c>
      <c r="I83" s="3">
        <f>E83+G83+H83</f>
        <v>27</v>
      </c>
      <c r="J83" s="3" t="str">
        <f>IF(C83="Técnico III","35",IF(C83="Técnico II","28",IF(C83="Técnico I","23",IF(C83="JR","20",IF(C83="Estágio","10",)))))</f>
        <v>28</v>
      </c>
      <c r="K83" s="3">
        <f>I83-J83</f>
        <v>-1</v>
      </c>
      <c r="L83" s="3" t="str">
        <f>IF(K83&lt;-5,"CRÍTICO",IF(K83&lt;0,"ATENÇÃO",IF(K83&lt;=5,"BOM","EXCELENTE")))</f>
        <v>ATENÇÃO</v>
      </c>
    </row>
    <row r="84" spans="1:12" x14ac:dyDescent="0.25">
      <c r="A84" s="5">
        <v>46157</v>
      </c>
      <c r="B84" s="6" t="s">
        <v>19</v>
      </c>
      <c r="C84" s="9" t="s">
        <v>11</v>
      </c>
      <c r="D84" s="3">
        <v>26</v>
      </c>
      <c r="E84" s="3">
        <v>26</v>
      </c>
      <c r="G84" s="3">
        <v>3</v>
      </c>
      <c r="H84" s="3">
        <v>0</v>
      </c>
      <c r="I84" s="3">
        <f>E84+G84+H84</f>
        <v>29</v>
      </c>
      <c r="J84" s="3" t="str">
        <f>IF(C84="Técnico III","35",IF(C84="Técnico II","28",IF(C84="Técnico I","23",IF(C84="JR","20",IF(C84="Estágio","10",)))))</f>
        <v>28</v>
      </c>
      <c r="K84" s="3">
        <f>I84-J84</f>
        <v>1</v>
      </c>
      <c r="L84" s="3" t="str">
        <f>IF(K84&lt;-5,"CRÍTICO",IF(K84&lt;0,"ATENÇÃO",IF(K84&lt;=5,"BOM","EXCELENTE")))</f>
        <v>BOM</v>
      </c>
    </row>
    <row r="85" spans="1:12" x14ac:dyDescent="0.25">
      <c r="A85" s="5">
        <v>46160</v>
      </c>
      <c r="B85" s="6" t="s">
        <v>19</v>
      </c>
      <c r="C85" s="9" t="s">
        <v>11</v>
      </c>
      <c r="D85" s="3">
        <v>23</v>
      </c>
      <c r="E85" s="3">
        <v>23</v>
      </c>
      <c r="G85" s="3">
        <v>3</v>
      </c>
      <c r="H85" s="3">
        <v>0</v>
      </c>
      <c r="I85" s="3">
        <f>E85+G85+H85</f>
        <v>26</v>
      </c>
      <c r="J85" s="3" t="str">
        <f>IF(C85="Técnico III","35",IF(C85="Técnico II","28",IF(C85="Técnico I","23",IF(C85="JR","20",IF(C85="Estágio","10",)))))</f>
        <v>28</v>
      </c>
      <c r="K85" s="3">
        <f>I85-J85</f>
        <v>-2</v>
      </c>
      <c r="L85" s="3" t="str">
        <f>IF(K85&lt;-5,"CRÍTICO",IF(K85&lt;0,"ATENÇÃO",IF(K85&lt;=5,"BOM","EXCELENTE")))</f>
        <v>ATENÇÃO</v>
      </c>
    </row>
    <row r="86" spans="1:12" x14ac:dyDescent="0.25">
      <c r="A86" s="7">
        <v>46161</v>
      </c>
      <c r="B86" s="8" t="s">
        <v>20</v>
      </c>
      <c r="C86" s="9" t="s">
        <v>17</v>
      </c>
      <c r="D86" s="3">
        <v>9</v>
      </c>
      <c r="E86" s="3">
        <v>9</v>
      </c>
      <c r="G86" s="3">
        <v>0</v>
      </c>
      <c r="H86" s="3">
        <v>0</v>
      </c>
      <c r="I86" s="3">
        <f>E86+G86+H86</f>
        <v>9</v>
      </c>
      <c r="J86" s="3" t="str">
        <f>IF(C86="Técnico III","35",IF(C86="Técnico II","28",IF(C86="Técnico I","23",IF(C86="JR","20",IF(C86="Estágio","10",)))))</f>
        <v>10</v>
      </c>
      <c r="K86" s="3">
        <f>I86-J86</f>
        <v>-1</v>
      </c>
      <c r="L86" s="3" t="str">
        <f>IF(K86&lt;-5,"CRÍTICO",IF(K86&lt;0,"ATENÇÃO",IF(K86&lt;=5,"BOM","EXCELENTE")))</f>
        <v>ATENÇÃO</v>
      </c>
    </row>
    <row r="87" spans="1:12" x14ac:dyDescent="0.25">
      <c r="A87" s="5">
        <v>46146</v>
      </c>
      <c r="B87" s="6" t="s">
        <v>20</v>
      </c>
      <c r="C87" s="3" t="s">
        <v>17</v>
      </c>
      <c r="D87" s="3">
        <v>8</v>
      </c>
      <c r="E87" s="3">
        <v>8</v>
      </c>
      <c r="G87" s="3">
        <v>0</v>
      </c>
      <c r="I87" s="3">
        <f>E87+G87+H87</f>
        <v>8</v>
      </c>
      <c r="J87" s="3" t="str">
        <f>IF(C87="Técnico III","35",IF(C87="Técnico II","28",IF(C87="Técnico I","23",IF(C87="JR","20",IF(C87="Estágio","10",)))))</f>
        <v>10</v>
      </c>
      <c r="K87" s="3">
        <f>I87-J87</f>
        <v>-2</v>
      </c>
      <c r="L87" s="3" t="str">
        <f>IF(K87&lt;-5,"CRÍTICO",IF(K87&lt;0,"ATENÇÃO",IF(K87&lt;=5,"BOM","EXCELENTE")))</f>
        <v>ATENÇÃO</v>
      </c>
    </row>
    <row r="88" spans="1:12" x14ac:dyDescent="0.25">
      <c r="A88" s="5">
        <v>46147</v>
      </c>
      <c r="B88" s="6" t="s">
        <v>20</v>
      </c>
      <c r="C88" s="3" t="s">
        <v>17</v>
      </c>
      <c r="D88" s="3">
        <v>10</v>
      </c>
      <c r="E88" s="3">
        <v>10</v>
      </c>
      <c r="G88" s="3">
        <v>0</v>
      </c>
      <c r="I88" s="3">
        <f>E88+G88+H88</f>
        <v>10</v>
      </c>
      <c r="J88" s="3" t="str">
        <f>IF(C88="Técnico III","35",IF(C88="Técnico II","28",IF(C88="Técnico I","23",IF(C88="JR","20",IF(C88="Estágio","10",)))))</f>
        <v>10</v>
      </c>
      <c r="K88" s="3">
        <f>I88-J88</f>
        <v>0</v>
      </c>
      <c r="L88" s="3" t="str">
        <f>IF(K88&lt;-5,"CRÍTICO",IF(K88&lt;0,"ATENÇÃO",IF(K88&lt;=5,"BOM","EXCELENTE")))</f>
        <v>BOM</v>
      </c>
    </row>
    <row r="89" spans="1:12" x14ac:dyDescent="0.25">
      <c r="A89" s="5">
        <v>46148</v>
      </c>
      <c r="B89" s="6" t="s">
        <v>20</v>
      </c>
      <c r="C89" s="3" t="s">
        <v>17</v>
      </c>
      <c r="D89" s="3">
        <v>13</v>
      </c>
      <c r="E89" s="3">
        <v>12</v>
      </c>
      <c r="G89" s="3">
        <v>0</v>
      </c>
      <c r="I89" s="3">
        <f>E89+G89+H89</f>
        <v>12</v>
      </c>
      <c r="J89" s="3" t="str">
        <f>IF(C89="Técnico III","35",IF(C89="Técnico II","28",IF(C89="Técnico I","23",IF(C89="JR","20",IF(C89="Estágio","10",)))))</f>
        <v>10</v>
      </c>
      <c r="K89" s="3">
        <f>I89-J89</f>
        <v>2</v>
      </c>
      <c r="L89" s="3" t="str">
        <f>IF(K89&lt;-5,"CRÍTICO",IF(K89&lt;0,"ATENÇÃO",IF(K89&lt;=5,"BOM","EXCELENTE")))</f>
        <v>BOM</v>
      </c>
    </row>
    <row r="90" spans="1:12" x14ac:dyDescent="0.25">
      <c r="A90" s="5">
        <v>46149</v>
      </c>
      <c r="B90" s="6" t="s">
        <v>20</v>
      </c>
      <c r="C90" s="3" t="s">
        <v>17</v>
      </c>
      <c r="D90" s="3">
        <v>12</v>
      </c>
      <c r="E90" s="3">
        <v>12</v>
      </c>
      <c r="G90" s="3">
        <v>0</v>
      </c>
      <c r="I90" s="3">
        <f>E90+G90+H90</f>
        <v>12</v>
      </c>
      <c r="J90" s="3" t="str">
        <f>IF(C90="Técnico III","35",IF(C90="Técnico II","28",IF(C90="Técnico I","23",IF(C90="JR","20",IF(C90="Estágio","10",)))))</f>
        <v>10</v>
      </c>
      <c r="K90" s="3">
        <f>I90-J90</f>
        <v>2</v>
      </c>
      <c r="L90" s="3" t="str">
        <f>IF(K90&lt;-5,"CRÍTICO",IF(K90&lt;0,"ATENÇÃO",IF(K90&lt;=5,"BOM","EXCELENTE")))</f>
        <v>BOM</v>
      </c>
    </row>
    <row r="91" spans="1:12" x14ac:dyDescent="0.25">
      <c r="A91" s="5">
        <v>46150</v>
      </c>
      <c r="B91" s="6" t="s">
        <v>20</v>
      </c>
      <c r="C91" s="3" t="s">
        <v>17</v>
      </c>
      <c r="D91" s="3">
        <v>10</v>
      </c>
      <c r="E91" s="3">
        <v>9</v>
      </c>
      <c r="G91" s="3">
        <v>0</v>
      </c>
      <c r="H91" s="3">
        <v>0</v>
      </c>
      <c r="I91" s="3">
        <f>E91+G91+H91</f>
        <v>9</v>
      </c>
      <c r="J91" s="3" t="str">
        <f>IF(C91="Técnico III","35",IF(C91="Técnico II","28",IF(C91="Técnico I","23",IF(C91="JR","20",IF(C91="Estágio","10",)))))</f>
        <v>10</v>
      </c>
      <c r="K91" s="3">
        <f>I91-J91</f>
        <v>-1</v>
      </c>
      <c r="L91" s="3" t="str">
        <f>IF(K91&lt;-5,"CRÍTICO",IF(K91&lt;0,"ATENÇÃO",IF(K91&lt;=5,"BOM","EXCELENTE")))</f>
        <v>ATENÇÃO</v>
      </c>
    </row>
    <row r="92" spans="1:12" x14ac:dyDescent="0.25">
      <c r="A92" s="5">
        <v>46153</v>
      </c>
      <c r="B92" s="6" t="s">
        <v>20</v>
      </c>
      <c r="C92" s="3" t="s">
        <v>17</v>
      </c>
      <c r="D92" s="3">
        <v>1</v>
      </c>
      <c r="E92" s="3">
        <v>1</v>
      </c>
      <c r="I92" s="3">
        <f>E92+G92+H92</f>
        <v>1</v>
      </c>
      <c r="J92" s="3" t="str">
        <f>IF(C92="Técnico III","35",IF(C92="Técnico II","28",IF(C92="Técnico I","23",IF(C92="JR","20",IF(C92="Estágio","10",)))))</f>
        <v>10</v>
      </c>
      <c r="K92" s="3">
        <f>I92-J92</f>
        <v>-9</v>
      </c>
      <c r="L92" s="3" t="str">
        <f>IF(K92&lt;-5,"CRÍTICO",IF(K92&lt;0,"ATENÇÃO",IF(K92&lt;=5,"BOM","EXCELENTE")))</f>
        <v>CRÍTICO</v>
      </c>
    </row>
    <row r="93" spans="1:12" x14ac:dyDescent="0.25">
      <c r="A93" s="5">
        <v>46154</v>
      </c>
      <c r="B93" s="6" t="s">
        <v>20</v>
      </c>
      <c r="C93" s="3" t="s">
        <v>17</v>
      </c>
      <c r="D93" s="3">
        <v>8</v>
      </c>
      <c r="E93" s="3">
        <v>7</v>
      </c>
      <c r="I93" s="3">
        <f>E93+G93+H93</f>
        <v>7</v>
      </c>
      <c r="J93" s="3" t="str">
        <f>IF(C93="Técnico III","35",IF(C93="Técnico II","28",IF(C93="Técnico I","23",IF(C93="JR","20",IF(C93="Estágio","10",)))))</f>
        <v>10</v>
      </c>
      <c r="K93" s="3">
        <f>I93-J93</f>
        <v>-3</v>
      </c>
      <c r="L93" s="3" t="str">
        <f>IF(K93&lt;-5,"CRÍTICO",IF(K93&lt;0,"ATENÇÃO",IF(K93&lt;=5,"BOM","EXCELENTE")))</f>
        <v>ATENÇÃO</v>
      </c>
    </row>
    <row r="94" spans="1:12" x14ac:dyDescent="0.25">
      <c r="A94" s="5">
        <v>46155</v>
      </c>
      <c r="B94" s="6" t="s">
        <v>20</v>
      </c>
      <c r="C94" s="3" t="s">
        <v>17</v>
      </c>
      <c r="D94" s="3">
        <v>5</v>
      </c>
      <c r="E94" s="3">
        <v>5</v>
      </c>
      <c r="I94" s="3">
        <f>E94+G94+H94</f>
        <v>5</v>
      </c>
      <c r="J94" s="3" t="str">
        <f>IF(C94="Técnico III","35",IF(C94="Técnico II","28",IF(C94="Técnico I","23",IF(C94="JR","20",IF(C94="Estágio","10",)))))</f>
        <v>10</v>
      </c>
      <c r="K94" s="3">
        <f>I94-J94</f>
        <v>-5</v>
      </c>
      <c r="L94" s="3" t="str">
        <f>IF(K94&lt;-5,"CRÍTICO",IF(K94&lt;0,"ATENÇÃO",IF(K94&lt;=5,"BOM","EXCELENTE")))</f>
        <v>ATENÇÃO</v>
      </c>
    </row>
    <row r="95" spans="1:12" x14ac:dyDescent="0.25">
      <c r="A95" s="5">
        <v>46156</v>
      </c>
      <c r="B95" s="6" t="s">
        <v>20</v>
      </c>
      <c r="C95" s="3" t="s">
        <v>17</v>
      </c>
      <c r="D95" s="3">
        <v>9</v>
      </c>
      <c r="E95" s="3">
        <v>9</v>
      </c>
      <c r="G95" s="3">
        <v>0</v>
      </c>
      <c r="H95" s="3">
        <v>0</v>
      </c>
      <c r="I95" s="3">
        <f>E95+G95+H95</f>
        <v>9</v>
      </c>
      <c r="J95" s="3" t="str">
        <f>IF(C95="Técnico III","35",IF(C95="Técnico II","28",IF(C95="Técnico I","23",IF(C95="JR","20",IF(C95="Estágio","10",)))))</f>
        <v>10</v>
      </c>
      <c r="K95" s="3">
        <f>I95-J95</f>
        <v>-1</v>
      </c>
      <c r="L95" s="3" t="str">
        <f>IF(K95&lt;-5,"CRÍTICO",IF(K95&lt;0,"ATENÇÃO",IF(K95&lt;=5,"BOM","EXCELENTE")))</f>
        <v>ATENÇÃO</v>
      </c>
    </row>
    <row r="96" spans="1:12" x14ac:dyDescent="0.25">
      <c r="A96" s="5">
        <v>46157</v>
      </c>
      <c r="B96" s="6" t="s">
        <v>20</v>
      </c>
      <c r="C96" s="3" t="s">
        <v>17</v>
      </c>
      <c r="D96" s="3">
        <v>11</v>
      </c>
      <c r="E96" s="3">
        <v>10</v>
      </c>
      <c r="G96" s="3">
        <v>0</v>
      </c>
      <c r="H96" s="3">
        <v>0</v>
      </c>
      <c r="I96" s="3">
        <f>E96+G96+H96</f>
        <v>10</v>
      </c>
      <c r="J96" s="3" t="str">
        <f>IF(C96="Técnico III","35",IF(C96="Técnico II","28",IF(C96="Técnico I","23",IF(C96="JR","20",IF(C96="Estágio","10",)))))</f>
        <v>10</v>
      </c>
      <c r="K96" s="3">
        <f>I96-J96</f>
        <v>0</v>
      </c>
      <c r="L96" s="3" t="str">
        <f>IF(K96&lt;-5,"CRÍTICO",IF(K96&lt;0,"ATENÇÃO",IF(K96&lt;=5,"BOM","EXCELENTE")))</f>
        <v>BOM</v>
      </c>
    </row>
    <row r="97" spans="1:12" x14ac:dyDescent="0.25">
      <c r="A97" s="5">
        <v>46160</v>
      </c>
      <c r="B97" s="6" t="s">
        <v>20</v>
      </c>
      <c r="C97" s="3" t="s">
        <v>17</v>
      </c>
      <c r="D97" s="3">
        <v>6</v>
      </c>
      <c r="E97" s="3">
        <v>6</v>
      </c>
      <c r="G97" s="3">
        <v>0</v>
      </c>
      <c r="H97" s="3">
        <v>0</v>
      </c>
      <c r="I97" s="3">
        <f>E97+G97+H97</f>
        <v>6</v>
      </c>
      <c r="J97" s="3" t="str">
        <f>IF(C97="Técnico III","35",IF(C97="Técnico II","28",IF(C97="Técnico I","23",IF(C97="JR","20",IF(C97="Estágio","10",)))))</f>
        <v>10</v>
      </c>
      <c r="K97" s="3">
        <f>I97-J97</f>
        <v>-4</v>
      </c>
      <c r="L97" s="3" t="str">
        <f>IF(K97&lt;-5,"CRÍTICO",IF(K97&lt;0,"ATENÇÃO",IF(K97&lt;=5,"BOM","EXCELENTE")))</f>
        <v>ATENÇÃO</v>
      </c>
    </row>
    <row r="98" spans="1:12" x14ac:dyDescent="0.25">
      <c r="A98" s="7">
        <v>46161</v>
      </c>
      <c r="B98" s="8" t="s">
        <v>21</v>
      </c>
      <c r="C98" s="9" t="s">
        <v>14</v>
      </c>
      <c r="D98" s="3">
        <v>26</v>
      </c>
      <c r="E98" s="3">
        <v>25</v>
      </c>
      <c r="G98" s="3">
        <v>1</v>
      </c>
      <c r="H98" s="3">
        <v>0</v>
      </c>
      <c r="I98" s="3">
        <f>E98+G98+H98</f>
        <v>26</v>
      </c>
      <c r="J98" s="3" t="str">
        <f>IF(C98="Técnico III","35",IF(C98="Técnico II","28",IF(C98="Técnico I","23",IF(C98="JR","20",IF(C98="Estágio","10",)))))</f>
        <v>23</v>
      </c>
      <c r="K98" s="3">
        <f>I98-J98</f>
        <v>3</v>
      </c>
      <c r="L98" s="3" t="str">
        <f>IF(K98&lt;-5,"CRÍTICO",IF(K98&lt;0,"ATENÇÃO",IF(K98&lt;=5,"BOM","EXCELENTE")))</f>
        <v>BOM</v>
      </c>
    </row>
    <row r="99" spans="1:12" x14ac:dyDescent="0.25">
      <c r="A99" s="5">
        <v>46146</v>
      </c>
      <c r="B99" s="6" t="s">
        <v>21</v>
      </c>
      <c r="C99" s="3" t="s">
        <v>14</v>
      </c>
      <c r="D99" s="3">
        <v>32</v>
      </c>
      <c r="E99" s="3">
        <v>26</v>
      </c>
      <c r="G99" s="3">
        <v>6</v>
      </c>
      <c r="I99" s="3">
        <f>E99+G99+H99</f>
        <v>32</v>
      </c>
      <c r="J99" s="3" t="str">
        <f>IF(C99="Técnico III","35",IF(C99="Técnico II","28",IF(C99="Técnico I","23",IF(C99="JR","20",IF(C99="Estágio","10",)))))</f>
        <v>23</v>
      </c>
      <c r="K99" s="3">
        <f>I99-J99</f>
        <v>9</v>
      </c>
      <c r="L99" s="3" t="str">
        <f>IF(K99&lt;-5,"CRÍTICO",IF(K99&lt;0,"ATENÇÃO",IF(K99&lt;=5,"BOM","EXCELENTE")))</f>
        <v>EXCELENTE</v>
      </c>
    </row>
    <row r="100" spans="1:12" x14ac:dyDescent="0.25">
      <c r="A100" s="5">
        <v>46147</v>
      </c>
      <c r="B100" s="6" t="s">
        <v>21</v>
      </c>
      <c r="C100" s="3" t="s">
        <v>14</v>
      </c>
      <c r="D100" s="3">
        <v>122</v>
      </c>
      <c r="E100" s="3">
        <v>28</v>
      </c>
      <c r="G100" s="3">
        <v>1</v>
      </c>
      <c r="I100" s="3">
        <f>E100+G100+H100</f>
        <v>29</v>
      </c>
      <c r="J100" s="3" t="str">
        <f>IF(C100="Técnico III","35",IF(C100="Técnico II","28",IF(C100="Técnico I","23",IF(C100="JR","20",IF(C100="Estágio","10",)))))</f>
        <v>23</v>
      </c>
      <c r="K100" s="3">
        <f>I100-J100</f>
        <v>6</v>
      </c>
      <c r="L100" s="3" t="str">
        <f>IF(K100&lt;-5,"CRÍTICO",IF(K100&lt;0,"ATENÇÃO",IF(K100&lt;=5,"BOM","EXCELENTE")))</f>
        <v>EXCELENTE</v>
      </c>
    </row>
    <row r="101" spans="1:12" x14ac:dyDescent="0.25">
      <c r="A101" s="5">
        <v>46148</v>
      </c>
      <c r="B101" s="6" t="s">
        <v>21</v>
      </c>
      <c r="C101" s="3" t="s">
        <v>14</v>
      </c>
      <c r="D101" s="3">
        <v>24</v>
      </c>
      <c r="E101" s="3">
        <v>23</v>
      </c>
      <c r="G101" s="3">
        <v>9</v>
      </c>
      <c r="I101" s="3">
        <f>E101+G101+H101</f>
        <v>32</v>
      </c>
      <c r="J101" s="3" t="str">
        <f>IF(C101="Técnico III","35",IF(C101="Técnico II","28",IF(C101="Técnico I","23",IF(C101="JR","20",IF(C101="Estágio","10",)))))</f>
        <v>23</v>
      </c>
      <c r="K101" s="3">
        <f>I101-J101</f>
        <v>9</v>
      </c>
      <c r="L101" s="3" t="str">
        <f>IF(K101&lt;-5,"CRÍTICO",IF(K101&lt;0,"ATENÇÃO",IF(K101&lt;=5,"BOM","EXCELENTE")))</f>
        <v>EXCELENTE</v>
      </c>
    </row>
    <row r="102" spans="1:12" x14ac:dyDescent="0.25">
      <c r="A102" s="5">
        <v>46149</v>
      </c>
      <c r="B102" s="6" t="s">
        <v>21</v>
      </c>
      <c r="C102" s="3" t="s">
        <v>14</v>
      </c>
      <c r="D102" s="3">
        <v>25</v>
      </c>
      <c r="E102" s="3">
        <v>23</v>
      </c>
      <c r="G102" s="3">
        <v>1</v>
      </c>
      <c r="I102" s="3">
        <f>E102+G102+H102</f>
        <v>24</v>
      </c>
      <c r="J102" s="3" t="str">
        <f>IF(C102="Técnico III","35",IF(C102="Técnico II","28",IF(C102="Técnico I","23",IF(C102="JR","20",IF(C102="Estágio","10",)))))</f>
        <v>23</v>
      </c>
      <c r="K102" s="3">
        <f>I102-J102</f>
        <v>1</v>
      </c>
      <c r="L102" s="3" t="str">
        <f>IF(K102&lt;-5,"CRÍTICO",IF(K102&lt;0,"ATENÇÃO",IF(K102&lt;=5,"BOM","EXCELENTE")))</f>
        <v>BOM</v>
      </c>
    </row>
    <row r="103" spans="1:12" x14ac:dyDescent="0.25">
      <c r="A103" s="5">
        <v>46150</v>
      </c>
      <c r="B103" s="6" t="s">
        <v>21</v>
      </c>
      <c r="C103" s="3" t="s">
        <v>14</v>
      </c>
      <c r="D103" s="3">
        <v>25</v>
      </c>
      <c r="E103" s="3">
        <v>24</v>
      </c>
      <c r="G103" s="3">
        <v>6</v>
      </c>
      <c r="H103" s="3">
        <v>0</v>
      </c>
      <c r="I103" s="3">
        <f>E103+G103+H103</f>
        <v>30</v>
      </c>
      <c r="J103" s="3" t="str">
        <f>IF(C103="Técnico III","35",IF(C103="Técnico II","28",IF(C103="Técnico I","23",IF(C103="JR","20",IF(C103="Estágio","10",)))))</f>
        <v>23</v>
      </c>
      <c r="K103" s="3">
        <f>I103-J103</f>
        <v>7</v>
      </c>
      <c r="L103" s="3" t="str">
        <f>IF(K103&lt;-5,"CRÍTICO",IF(K103&lt;0,"ATENÇÃO",IF(K103&lt;=5,"BOM","EXCELENTE")))</f>
        <v>EXCELENTE</v>
      </c>
    </row>
    <row r="104" spans="1:12" x14ac:dyDescent="0.25">
      <c r="A104" s="5">
        <v>46153</v>
      </c>
      <c r="B104" s="6" t="s">
        <v>21</v>
      </c>
      <c r="C104" s="3" t="s">
        <v>14</v>
      </c>
      <c r="D104" s="3">
        <v>24</v>
      </c>
      <c r="E104" s="3">
        <v>23</v>
      </c>
      <c r="G104" s="3">
        <v>2</v>
      </c>
      <c r="I104" s="3">
        <f>E104+G104+H104</f>
        <v>25</v>
      </c>
      <c r="J104" s="3" t="str">
        <f>IF(C104="Técnico III","35",IF(C104="Técnico II","28",IF(C104="Técnico I","23",IF(C104="JR","20",IF(C104="Estágio","10",)))))</f>
        <v>23</v>
      </c>
      <c r="K104" s="3">
        <f>I104-J104</f>
        <v>2</v>
      </c>
      <c r="L104" s="3" t="str">
        <f>IF(K104&lt;-5,"CRÍTICO",IF(K104&lt;0,"ATENÇÃO",IF(K104&lt;=5,"BOM","EXCELENTE")))</f>
        <v>BOM</v>
      </c>
    </row>
    <row r="105" spans="1:12" x14ac:dyDescent="0.25">
      <c r="A105" s="5">
        <v>46154</v>
      </c>
      <c r="B105" s="6" t="s">
        <v>21</v>
      </c>
      <c r="C105" s="3" t="s">
        <v>14</v>
      </c>
      <c r="D105" s="3">
        <v>24</v>
      </c>
      <c r="E105" s="3">
        <v>23</v>
      </c>
      <c r="G105" s="3">
        <v>5</v>
      </c>
      <c r="I105" s="3">
        <f>E105+G105+H105</f>
        <v>28</v>
      </c>
      <c r="J105" s="3" t="str">
        <f>IF(C105="Técnico III","35",IF(C105="Técnico II","28",IF(C105="Técnico I","23",IF(C105="JR","20",IF(C105="Estágio","10",)))))</f>
        <v>23</v>
      </c>
      <c r="K105" s="3">
        <f>I105-J105</f>
        <v>5</v>
      </c>
      <c r="L105" s="3" t="str">
        <f>IF(K105&lt;-5,"CRÍTICO",IF(K105&lt;0,"ATENÇÃO",IF(K105&lt;=5,"BOM","EXCELENTE")))</f>
        <v>BOM</v>
      </c>
    </row>
    <row r="106" spans="1:12" x14ac:dyDescent="0.25">
      <c r="A106" s="5">
        <v>46155</v>
      </c>
      <c r="B106" s="6" t="s">
        <v>21</v>
      </c>
      <c r="C106" s="3" t="s">
        <v>14</v>
      </c>
      <c r="D106" s="3">
        <v>37</v>
      </c>
      <c r="E106" s="3">
        <v>32</v>
      </c>
      <c r="G106" s="3">
        <v>3</v>
      </c>
      <c r="I106" s="3">
        <f>E106+G106+H106</f>
        <v>35</v>
      </c>
      <c r="J106" s="3" t="str">
        <f>IF(C106="Técnico III","35",IF(C106="Técnico II","28",IF(C106="Técnico I","23",IF(C106="JR","20",IF(C106="Estágio","10",)))))</f>
        <v>23</v>
      </c>
      <c r="K106" s="3">
        <f>I106-J106</f>
        <v>12</v>
      </c>
      <c r="L106" s="3" t="str">
        <f>IF(K106&lt;-5,"CRÍTICO",IF(K106&lt;0,"ATENÇÃO",IF(K106&lt;=5,"BOM","EXCELENTE")))</f>
        <v>EXCELENTE</v>
      </c>
    </row>
    <row r="107" spans="1:12" x14ac:dyDescent="0.25">
      <c r="A107" s="5">
        <v>46156</v>
      </c>
      <c r="B107" s="6" t="s">
        <v>21</v>
      </c>
      <c r="C107" s="3" t="s">
        <v>14</v>
      </c>
      <c r="D107" s="3">
        <v>33</v>
      </c>
      <c r="E107" s="3">
        <v>29</v>
      </c>
      <c r="G107" s="3">
        <v>7</v>
      </c>
      <c r="H107" s="3">
        <v>0</v>
      </c>
      <c r="I107" s="3">
        <f>E107+G107+H107</f>
        <v>36</v>
      </c>
      <c r="J107" s="3" t="str">
        <f>IF(C107="Técnico III","35",IF(C107="Técnico II","28",IF(C107="Técnico I","23",IF(C107="JR","20",IF(C107="Estágio","10",)))))</f>
        <v>23</v>
      </c>
      <c r="K107" s="3">
        <f>I107-J107</f>
        <v>13</v>
      </c>
      <c r="L107" s="3" t="str">
        <f>IF(K107&lt;-5,"CRÍTICO",IF(K107&lt;0,"ATENÇÃO",IF(K107&lt;=5,"BOM","EXCELENTE")))</f>
        <v>EXCELENTE</v>
      </c>
    </row>
    <row r="108" spans="1:12" x14ac:dyDescent="0.25">
      <c r="A108" s="5">
        <v>46157</v>
      </c>
      <c r="B108" s="6" t="s">
        <v>21</v>
      </c>
      <c r="C108" s="3" t="s">
        <v>14</v>
      </c>
      <c r="D108" s="3">
        <v>24</v>
      </c>
      <c r="E108" s="3">
        <v>20</v>
      </c>
      <c r="G108" s="3">
        <v>3</v>
      </c>
      <c r="H108" s="3">
        <v>0</v>
      </c>
      <c r="I108" s="3">
        <f>E108+G108+H108</f>
        <v>23</v>
      </c>
      <c r="J108" s="3" t="str">
        <f>IF(C108="Técnico III","35",IF(C108="Técnico II","28",IF(C108="Técnico I","23",IF(C108="JR","20",IF(C108="Estágio","10",)))))</f>
        <v>23</v>
      </c>
      <c r="K108" s="3">
        <f>I108-J108</f>
        <v>0</v>
      </c>
      <c r="L108" s="3" t="str">
        <f>IF(K108&lt;-5,"CRÍTICO",IF(K108&lt;0,"ATENÇÃO",IF(K108&lt;=5,"BOM","EXCELENTE")))</f>
        <v>BOM</v>
      </c>
    </row>
    <row r="109" spans="1:12" x14ac:dyDescent="0.25">
      <c r="A109" s="5">
        <v>46160</v>
      </c>
      <c r="B109" s="6" t="s">
        <v>21</v>
      </c>
      <c r="C109" s="3" t="s">
        <v>14</v>
      </c>
      <c r="D109" s="3">
        <v>22</v>
      </c>
      <c r="E109" s="3">
        <v>21</v>
      </c>
      <c r="G109" s="3">
        <v>3</v>
      </c>
      <c r="H109" s="3">
        <v>0</v>
      </c>
      <c r="I109" s="3">
        <f>E109+G109+H109</f>
        <v>24</v>
      </c>
      <c r="J109" s="3" t="str">
        <f>IF(C109="Técnico III","35",IF(C109="Técnico II","28",IF(C109="Técnico I","23",IF(C109="JR","20",IF(C109="Estágio","10",)))))</f>
        <v>23</v>
      </c>
      <c r="K109" s="3">
        <f>I109-J109</f>
        <v>1</v>
      </c>
      <c r="L109" s="3" t="str">
        <f>IF(K109&lt;-5,"CRÍTICO",IF(K109&lt;0,"ATENÇÃO",IF(K109&lt;=5,"BOM","EXCELENTE")))</f>
        <v>BOM</v>
      </c>
    </row>
    <row r="110" spans="1:12" x14ac:dyDescent="0.25">
      <c r="A110" s="7">
        <v>46161</v>
      </c>
      <c r="B110" s="8" t="s">
        <v>22</v>
      </c>
      <c r="C110" s="9" t="s">
        <v>12</v>
      </c>
      <c r="D110" s="3">
        <v>33</v>
      </c>
      <c r="E110" s="3">
        <v>30</v>
      </c>
      <c r="G110" s="3">
        <v>0</v>
      </c>
      <c r="H110" s="3">
        <v>0</v>
      </c>
      <c r="I110" s="3">
        <f>E110+G110+H110</f>
        <v>30</v>
      </c>
      <c r="J110" s="3" t="str">
        <f>IF(C110="Técnico III","35",IF(C110="Técnico II","28",IF(C110="Técnico I","23",IF(C110="JR","20",IF(C110="Estágio","10",)))))</f>
        <v>35</v>
      </c>
      <c r="K110" s="3">
        <f>I110-J110</f>
        <v>-5</v>
      </c>
      <c r="L110" s="3" t="str">
        <f>IF(K110&lt;-5,"CRÍTICO",IF(K110&lt;0,"ATENÇÃO",IF(K110&lt;=5,"BOM","EXCELENTE")))</f>
        <v>ATENÇÃO</v>
      </c>
    </row>
    <row r="111" spans="1:12" x14ac:dyDescent="0.25">
      <c r="A111" s="5">
        <v>46146</v>
      </c>
      <c r="B111" s="6" t="s">
        <v>22</v>
      </c>
      <c r="C111" s="3" t="s">
        <v>12</v>
      </c>
      <c r="D111" s="3">
        <v>38</v>
      </c>
      <c r="E111" s="3">
        <v>37</v>
      </c>
      <c r="G111" s="3">
        <v>1</v>
      </c>
      <c r="I111" s="3">
        <f>E111+G111+H111</f>
        <v>38</v>
      </c>
      <c r="J111" s="3" t="str">
        <f>IF(C111="Técnico III","35",IF(C111="Técnico II","28",IF(C111="Técnico I","23",IF(C111="JR","20",IF(C111="Estágio","10",)))))</f>
        <v>35</v>
      </c>
      <c r="K111" s="3">
        <f>I111-J111</f>
        <v>3</v>
      </c>
      <c r="L111" s="3" t="str">
        <f>IF(K111&lt;-5,"CRÍTICO",IF(K111&lt;0,"ATENÇÃO",IF(K111&lt;=5,"BOM","EXCELENTE")))</f>
        <v>BOM</v>
      </c>
    </row>
    <row r="112" spans="1:12" x14ac:dyDescent="0.25">
      <c r="A112" s="5">
        <v>46147</v>
      </c>
      <c r="B112" s="6" t="s">
        <v>22</v>
      </c>
      <c r="C112" s="3" t="s">
        <v>12</v>
      </c>
      <c r="D112" s="3">
        <v>46</v>
      </c>
      <c r="E112" s="3">
        <v>39</v>
      </c>
      <c r="G112" s="3">
        <v>8</v>
      </c>
      <c r="I112" s="3">
        <f>E112+G112+H112</f>
        <v>47</v>
      </c>
      <c r="J112" s="3" t="str">
        <f>IF(C112="Técnico III","35",IF(C112="Técnico II","28",IF(C112="Técnico I","23",IF(C112="JR","20",IF(C112="Estágio","10",)))))</f>
        <v>35</v>
      </c>
      <c r="K112" s="3">
        <f>I112-J112</f>
        <v>12</v>
      </c>
      <c r="L112" s="3" t="str">
        <f>IF(K112&lt;-5,"CRÍTICO",IF(K112&lt;0,"ATENÇÃO",IF(K112&lt;=5,"BOM","EXCELENTE")))</f>
        <v>EXCELENTE</v>
      </c>
    </row>
    <row r="113" spans="1:12" x14ac:dyDescent="0.25">
      <c r="A113" s="5">
        <v>46148</v>
      </c>
      <c r="B113" s="6" t="s">
        <v>22</v>
      </c>
      <c r="C113" s="3" t="s">
        <v>12</v>
      </c>
      <c r="D113" s="3">
        <v>48</v>
      </c>
      <c r="E113" s="3">
        <v>44</v>
      </c>
      <c r="G113" s="3">
        <v>0</v>
      </c>
      <c r="I113" s="3">
        <f>E113+G113+H113</f>
        <v>44</v>
      </c>
      <c r="J113" s="3" t="str">
        <f>IF(C113="Técnico III","35",IF(C113="Técnico II","28",IF(C113="Técnico I","23",IF(C113="JR","20",IF(C113="Estágio","10",)))))</f>
        <v>35</v>
      </c>
      <c r="K113" s="3">
        <f>I113-J113</f>
        <v>9</v>
      </c>
      <c r="L113" s="3" t="str">
        <f>IF(K113&lt;-5,"CRÍTICO",IF(K113&lt;0,"ATENÇÃO",IF(K113&lt;=5,"BOM","EXCELENTE")))</f>
        <v>EXCELENTE</v>
      </c>
    </row>
    <row r="114" spans="1:12" x14ac:dyDescent="0.25">
      <c r="A114" s="5">
        <v>46149</v>
      </c>
      <c r="B114" s="6" t="s">
        <v>22</v>
      </c>
      <c r="C114" s="3" t="s">
        <v>12</v>
      </c>
      <c r="D114" s="3">
        <v>47</v>
      </c>
      <c r="E114" s="3">
        <v>44</v>
      </c>
      <c r="G114" s="3">
        <v>0</v>
      </c>
      <c r="I114" s="3">
        <f>E114+G114+H114</f>
        <v>44</v>
      </c>
      <c r="J114" s="3" t="str">
        <f>IF(C114="Técnico III","35",IF(C114="Técnico II","28",IF(C114="Técnico I","23",IF(C114="JR","20",IF(C114="Estágio","10",)))))</f>
        <v>35</v>
      </c>
      <c r="K114" s="3">
        <f>I114-J114</f>
        <v>9</v>
      </c>
      <c r="L114" s="3" t="str">
        <f>IF(K114&lt;-5,"CRÍTICO",IF(K114&lt;0,"ATENÇÃO",IF(K114&lt;=5,"BOM","EXCELENTE")))</f>
        <v>EXCELENTE</v>
      </c>
    </row>
    <row r="115" spans="1:12" x14ac:dyDescent="0.25">
      <c r="A115" s="5">
        <v>46150</v>
      </c>
      <c r="B115" s="6" t="s">
        <v>22</v>
      </c>
      <c r="C115" s="3" t="s">
        <v>12</v>
      </c>
      <c r="D115" s="3">
        <v>27</v>
      </c>
      <c r="E115" s="3">
        <v>26</v>
      </c>
      <c r="G115" s="3">
        <v>0</v>
      </c>
      <c r="H115" s="3">
        <v>0</v>
      </c>
      <c r="I115" s="3">
        <f>E115+G115+H115</f>
        <v>26</v>
      </c>
      <c r="J115" s="3" t="str">
        <f>IF(C115="Técnico III","35",IF(C115="Técnico II","28",IF(C115="Técnico I","23",IF(C115="JR","20",IF(C115="Estágio","10",)))))</f>
        <v>35</v>
      </c>
      <c r="K115" s="3">
        <f>I115-J115</f>
        <v>-9</v>
      </c>
      <c r="L115" s="3" t="str">
        <f>IF(K115&lt;-5,"CRÍTICO",IF(K115&lt;0,"ATENÇÃO",IF(K115&lt;=5,"BOM","EXCELENTE")))</f>
        <v>CRÍTICO</v>
      </c>
    </row>
    <row r="116" spans="1:12" x14ac:dyDescent="0.25">
      <c r="A116" s="5">
        <v>46153</v>
      </c>
      <c r="B116" s="6" t="s">
        <v>22</v>
      </c>
      <c r="C116" s="3" t="s">
        <v>12</v>
      </c>
      <c r="D116" s="3">
        <v>35</v>
      </c>
      <c r="E116" s="3">
        <v>35</v>
      </c>
      <c r="I116" s="3">
        <f>E116+G116+H116</f>
        <v>35</v>
      </c>
      <c r="J116" s="3" t="str">
        <f>IF(C116="Técnico III","35",IF(C116="Técnico II","28",IF(C116="Técnico I","23",IF(C116="JR","20",IF(C116="Estágio","10",)))))</f>
        <v>35</v>
      </c>
      <c r="K116" s="3">
        <f>I116-J116</f>
        <v>0</v>
      </c>
      <c r="L116" s="3" t="str">
        <f>IF(K116&lt;-5,"CRÍTICO",IF(K116&lt;0,"ATENÇÃO",IF(K116&lt;=5,"BOM","EXCELENTE")))</f>
        <v>BOM</v>
      </c>
    </row>
    <row r="117" spans="1:12" x14ac:dyDescent="0.25">
      <c r="A117" s="5">
        <v>46154</v>
      </c>
      <c r="B117" s="6" t="s">
        <v>22</v>
      </c>
      <c r="C117" s="3" t="s">
        <v>12</v>
      </c>
      <c r="D117" s="3">
        <v>41</v>
      </c>
      <c r="E117" s="3">
        <v>39</v>
      </c>
      <c r="I117" s="3">
        <f>E117+G117+H117</f>
        <v>39</v>
      </c>
      <c r="J117" s="3" t="str">
        <f>IF(C117="Técnico III","35",IF(C117="Técnico II","28",IF(C117="Técnico I","23",IF(C117="JR","20",IF(C117="Estágio","10",)))))</f>
        <v>35</v>
      </c>
      <c r="K117" s="3">
        <f>I117-J117</f>
        <v>4</v>
      </c>
      <c r="L117" s="3" t="str">
        <f>IF(K117&lt;-5,"CRÍTICO",IF(K117&lt;0,"ATENÇÃO",IF(K117&lt;=5,"BOM","EXCELENTE")))</f>
        <v>BOM</v>
      </c>
    </row>
    <row r="118" spans="1:12" x14ac:dyDescent="0.25">
      <c r="A118" s="5">
        <v>46155</v>
      </c>
      <c r="B118" s="6" t="s">
        <v>22</v>
      </c>
      <c r="C118" s="3" t="s">
        <v>12</v>
      </c>
      <c r="D118" s="3">
        <v>34</v>
      </c>
      <c r="E118" s="3">
        <v>30</v>
      </c>
      <c r="I118" s="3">
        <f>E118+G118+H118</f>
        <v>30</v>
      </c>
      <c r="J118" s="3" t="str">
        <f>IF(C118="Técnico III","35",IF(C118="Técnico II","28",IF(C118="Técnico I","23",IF(C118="JR","20",IF(C118="Estágio","10",)))))</f>
        <v>35</v>
      </c>
      <c r="K118" s="3">
        <f>I118-J118</f>
        <v>-5</v>
      </c>
      <c r="L118" s="3" t="str">
        <f>IF(K118&lt;-5,"CRÍTICO",IF(K118&lt;0,"ATENÇÃO",IF(K118&lt;=5,"BOM","EXCELENTE")))</f>
        <v>ATENÇÃO</v>
      </c>
    </row>
    <row r="119" spans="1:12" x14ac:dyDescent="0.25">
      <c r="A119" s="5">
        <v>46156</v>
      </c>
      <c r="B119" s="6" t="s">
        <v>22</v>
      </c>
      <c r="C119" s="3" t="s">
        <v>12</v>
      </c>
      <c r="D119" s="3">
        <v>22</v>
      </c>
      <c r="E119" s="3">
        <v>18</v>
      </c>
      <c r="G119" s="3">
        <v>0</v>
      </c>
      <c r="H119" s="3">
        <v>0</v>
      </c>
      <c r="I119" s="3">
        <f>E119+G119+H119</f>
        <v>18</v>
      </c>
      <c r="J119" s="3" t="str">
        <f>IF(C119="Técnico III","35",IF(C119="Técnico II","28",IF(C119="Técnico I","23",IF(C119="JR","20",IF(C119="Estágio","10",)))))</f>
        <v>35</v>
      </c>
      <c r="K119" s="3">
        <f>I119-J119</f>
        <v>-17</v>
      </c>
      <c r="L119" s="3" t="str">
        <f>IF(K119&lt;-5,"CRÍTICO",IF(K119&lt;0,"ATENÇÃO",IF(K119&lt;=5,"BOM","EXCELENTE")))</f>
        <v>CRÍTICO</v>
      </c>
    </row>
    <row r="120" spans="1:12" x14ac:dyDescent="0.25">
      <c r="A120" s="5">
        <v>46157</v>
      </c>
      <c r="B120" s="6" t="s">
        <v>22</v>
      </c>
      <c r="C120" s="3" t="s">
        <v>12</v>
      </c>
      <c r="D120" s="3">
        <v>37</v>
      </c>
      <c r="E120" s="3">
        <v>31</v>
      </c>
      <c r="G120" s="3">
        <v>0</v>
      </c>
      <c r="H120" s="3">
        <v>0</v>
      </c>
      <c r="I120" s="3">
        <f>E120+G120+H120</f>
        <v>31</v>
      </c>
      <c r="J120" s="3" t="str">
        <f>IF(C120="Técnico III","35",IF(C120="Técnico II","28",IF(C120="Técnico I","23",IF(C120="JR","20",IF(C120="Estágio","10",)))))</f>
        <v>35</v>
      </c>
      <c r="K120" s="3">
        <f>I120-J120</f>
        <v>-4</v>
      </c>
      <c r="L120" s="3" t="str">
        <f>IF(K120&lt;-5,"CRÍTICO",IF(K120&lt;0,"ATENÇÃO",IF(K120&lt;=5,"BOM","EXCELENTE")))</f>
        <v>ATENÇÃO</v>
      </c>
    </row>
    <row r="121" spans="1:12" x14ac:dyDescent="0.25">
      <c r="A121" s="5">
        <v>46160</v>
      </c>
      <c r="B121" s="6" t="s">
        <v>22</v>
      </c>
      <c r="C121" s="3" t="s">
        <v>12</v>
      </c>
      <c r="D121" s="3">
        <v>30</v>
      </c>
      <c r="E121" s="3">
        <v>27</v>
      </c>
      <c r="G121" s="3">
        <v>0</v>
      </c>
      <c r="H121" s="3">
        <v>0</v>
      </c>
      <c r="I121" s="3">
        <f>E121+G121+H121</f>
        <v>27</v>
      </c>
      <c r="J121" s="3" t="str">
        <f>IF(C121="Técnico III","35",IF(C121="Técnico II","28",IF(C121="Técnico I","23",IF(C121="JR","20",IF(C121="Estágio","10",)))))</f>
        <v>35</v>
      </c>
      <c r="K121" s="3">
        <f>I121-J121</f>
        <v>-8</v>
      </c>
      <c r="L121" s="3" t="str">
        <f>IF(K121&lt;-5,"CRÍTICO",IF(K121&lt;0,"ATENÇÃO",IF(K121&lt;=5,"BOM","EXCELENTE")))</f>
        <v>CRÍTICO</v>
      </c>
    </row>
    <row r="122" spans="1:12" x14ac:dyDescent="0.25">
      <c r="A122" s="7">
        <v>46161</v>
      </c>
      <c r="B122" s="8" t="s">
        <v>23</v>
      </c>
      <c r="C122" s="9" t="s">
        <v>11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>IF(K122&lt;-5,"CRÍTICO",IF(K122&lt;0,"ATENÇÃO",IF(K122&lt;=5,"BOM","EXCELENTE")))</f>
        <v>BOM</v>
      </c>
    </row>
    <row r="123" spans="1:12" x14ac:dyDescent="0.25">
      <c r="A123" s="5">
        <v>46146</v>
      </c>
      <c r="B123" s="6" t="s">
        <v>23</v>
      </c>
      <c r="C123" s="3" t="s">
        <v>11</v>
      </c>
      <c r="D123" s="3">
        <v>37</v>
      </c>
      <c r="E123" s="3">
        <v>30</v>
      </c>
      <c r="G123" s="3">
        <v>1</v>
      </c>
      <c r="I123" s="3">
        <f>E123+G123+H123</f>
        <v>31</v>
      </c>
      <c r="J123" s="3" t="str">
        <f>IF(C123="Técnico III","35",IF(C123="Técnico II","28",IF(C123="Técnico I","23",IF(C123="JR","20",IF(C123="Estágio","10",)))))</f>
        <v>28</v>
      </c>
      <c r="K123" s="3">
        <f>I123-J123</f>
        <v>3</v>
      </c>
      <c r="L123" s="3" t="str">
        <f>IF(K123&lt;-5,"CRÍTICO",IF(K123&lt;0,"ATENÇÃO",IF(K123&lt;=5,"BOM","EXCELENTE")))</f>
        <v>BOM</v>
      </c>
    </row>
    <row r="124" spans="1:12" x14ac:dyDescent="0.25">
      <c r="A124" s="5">
        <v>46147</v>
      </c>
      <c r="B124" s="6" t="s">
        <v>23</v>
      </c>
      <c r="C124" s="3" t="s">
        <v>11</v>
      </c>
      <c r="D124" s="3">
        <v>23</v>
      </c>
      <c r="E124" s="3">
        <v>21</v>
      </c>
      <c r="G124" s="3">
        <v>9</v>
      </c>
      <c r="I124" s="3">
        <f>E124+G124+H124</f>
        <v>30</v>
      </c>
      <c r="J124" s="3" t="str">
        <f>IF(C124="Técnico III","35",IF(C124="Técnico II","28",IF(C124="Técnico I","23",IF(C124="JR","20",IF(C124="Estágio","10",)))))</f>
        <v>28</v>
      </c>
      <c r="K124" s="3">
        <f>I124-J124</f>
        <v>2</v>
      </c>
      <c r="L124" s="3" t="str">
        <f>IF(K124&lt;-5,"CRÍTICO",IF(K124&lt;0,"ATENÇÃO",IF(K124&lt;=5,"BOM","EXCELENTE")))</f>
        <v>BOM</v>
      </c>
    </row>
    <row r="125" spans="1:12" x14ac:dyDescent="0.25">
      <c r="A125" s="5">
        <v>46148</v>
      </c>
      <c r="B125" s="6" t="s">
        <v>23</v>
      </c>
      <c r="C125" s="3" t="s">
        <v>11</v>
      </c>
      <c r="D125" s="3">
        <v>40</v>
      </c>
      <c r="E125" s="3">
        <v>35</v>
      </c>
      <c r="G125" s="3">
        <v>1</v>
      </c>
      <c r="I125" s="3">
        <f>E125+G125+H125</f>
        <v>36</v>
      </c>
      <c r="J125" s="3" t="str">
        <f>IF(C125="Técnico III","35",IF(C125="Técnico II","28",IF(C125="Técnico I","23",IF(C125="JR","20",IF(C125="Estágio","10",)))))</f>
        <v>28</v>
      </c>
      <c r="K125" s="3">
        <f>I125-J125</f>
        <v>8</v>
      </c>
      <c r="L125" s="3" t="str">
        <f>IF(K125&lt;-5,"CRÍTICO",IF(K125&lt;0,"ATENÇÃO",IF(K125&lt;=5,"BOM","EXCELENTE")))</f>
        <v>EXCELENTE</v>
      </c>
    </row>
    <row r="126" spans="1:12" x14ac:dyDescent="0.25">
      <c r="A126" s="5">
        <v>46149</v>
      </c>
      <c r="B126" s="6" t="s">
        <v>23</v>
      </c>
      <c r="C126" s="3" t="s">
        <v>11</v>
      </c>
      <c r="D126" s="3">
        <v>17</v>
      </c>
      <c r="E126" s="3">
        <v>16</v>
      </c>
      <c r="G126" s="3">
        <v>4</v>
      </c>
      <c r="I126" s="3">
        <f>E126+G126+H126</f>
        <v>20</v>
      </c>
      <c r="J126" s="3" t="str">
        <f>IF(C126="Técnico III","35",IF(C126="Técnico II","28",IF(C126="Técnico I","23",IF(C126="JR","20",IF(C126="Estágio","10",)))))</f>
        <v>28</v>
      </c>
      <c r="K126" s="3">
        <f>I126-J126</f>
        <v>-8</v>
      </c>
      <c r="L126" s="3" t="str">
        <f>IF(K126&lt;-5,"CRÍTICO",IF(K126&lt;0,"ATENÇÃO",IF(K126&lt;=5,"BOM","EXCELENTE")))</f>
        <v>CRÍTICO</v>
      </c>
    </row>
    <row r="127" spans="1:12" x14ac:dyDescent="0.25">
      <c r="A127" s="5">
        <v>46150</v>
      </c>
      <c r="B127" s="6" t="s">
        <v>23</v>
      </c>
      <c r="C127" s="3" t="s">
        <v>11</v>
      </c>
      <c r="D127" s="3">
        <v>19</v>
      </c>
      <c r="E127" s="3">
        <v>17</v>
      </c>
      <c r="G127" s="3">
        <v>0</v>
      </c>
      <c r="H127" s="3">
        <v>0</v>
      </c>
      <c r="I127" s="3">
        <f>E127+G127+H127</f>
        <v>17</v>
      </c>
      <c r="J127" s="3" t="str">
        <f>IF(C127="Técnico III","35",IF(C127="Técnico II","28",IF(C127="Técnico I","23",IF(C127="JR","20",IF(C127="Estágio","10",)))))</f>
        <v>28</v>
      </c>
      <c r="K127" s="3">
        <f>I127-J127</f>
        <v>-11</v>
      </c>
      <c r="L127" s="3" t="str">
        <f>IF(K127&lt;-5,"CRÍTICO",IF(K127&lt;0,"ATENÇÃO",IF(K127&lt;=5,"BOM","EXCELENTE")))</f>
        <v>CRÍTICO</v>
      </c>
    </row>
    <row r="128" spans="1:12" x14ac:dyDescent="0.25">
      <c r="A128" s="5">
        <v>46153</v>
      </c>
      <c r="B128" s="6" t="s">
        <v>23</v>
      </c>
      <c r="C128" s="3" t="s">
        <v>11</v>
      </c>
      <c r="D128" s="3">
        <v>30</v>
      </c>
      <c r="E128" s="3">
        <v>27</v>
      </c>
      <c r="G128" s="3">
        <v>4</v>
      </c>
      <c r="I128" s="3">
        <f>E128+G128+H128</f>
        <v>31</v>
      </c>
      <c r="J128" s="3" t="str">
        <f>IF(C128="Técnico III","35",IF(C128="Técnico II","28",IF(C128="Técnico I","23",IF(C128="JR","20",IF(C128="Estágio","10",)))))</f>
        <v>28</v>
      </c>
      <c r="K128" s="3">
        <f>I128-J128</f>
        <v>3</v>
      </c>
      <c r="L128" s="3" t="str">
        <f>IF(K128&lt;-5,"CRÍTICO",IF(K128&lt;0,"ATENÇÃO",IF(K128&lt;=5,"BOM","EXCELENTE")))</f>
        <v>BOM</v>
      </c>
    </row>
    <row r="129" spans="1:12" x14ac:dyDescent="0.25">
      <c r="A129" s="5">
        <v>46154</v>
      </c>
      <c r="B129" s="6" t="s">
        <v>23</v>
      </c>
      <c r="C129" s="3" t="s">
        <v>11</v>
      </c>
      <c r="D129" s="3">
        <v>37</v>
      </c>
      <c r="E129" s="3">
        <v>30</v>
      </c>
      <c r="I129" s="3">
        <f>E129+G129+H129</f>
        <v>30</v>
      </c>
      <c r="J129" s="3" t="str">
        <f>IF(C129="Técnico III","35",IF(C129="Técnico II","28",IF(C129="Técnico I","23",IF(C129="JR","20",IF(C129="Estágio","10",)))))</f>
        <v>28</v>
      </c>
      <c r="K129" s="3">
        <f>I129-J129</f>
        <v>2</v>
      </c>
      <c r="L129" s="3" t="str">
        <f>IF(K129&lt;-5,"CRÍTICO",IF(K129&lt;0,"ATENÇÃO",IF(K129&lt;=5,"BOM","EXCELENTE")))</f>
        <v>BOM</v>
      </c>
    </row>
    <row r="130" spans="1:12" x14ac:dyDescent="0.25">
      <c r="A130" s="5">
        <v>46155</v>
      </c>
      <c r="B130" s="6" t="s">
        <v>23</v>
      </c>
      <c r="C130" s="3" t="s">
        <v>11</v>
      </c>
      <c r="D130" s="3">
        <v>12</v>
      </c>
      <c r="E130" s="3">
        <v>9</v>
      </c>
      <c r="G130" s="3">
        <v>4</v>
      </c>
      <c r="I130" s="3">
        <f>E130+G130+H130</f>
        <v>13</v>
      </c>
      <c r="J130" s="3" t="str">
        <f>IF(C130="Técnico III","35",IF(C130="Técnico II","28",IF(C130="Técnico I","23",IF(C130="JR","20",IF(C130="Estágio","10",)))))</f>
        <v>28</v>
      </c>
      <c r="K130" s="3">
        <f>I130-J130</f>
        <v>-15</v>
      </c>
      <c r="L130" s="3" t="str">
        <f>IF(K130&lt;-5,"CRÍTICO",IF(K130&lt;0,"ATENÇÃO",IF(K130&lt;=5,"BOM","EXCELENTE")))</f>
        <v>CRÍTICO</v>
      </c>
    </row>
    <row r="131" spans="1:12" x14ac:dyDescent="0.25">
      <c r="A131" s="5">
        <v>46156</v>
      </c>
      <c r="B131" s="6" t="s">
        <v>23</v>
      </c>
      <c r="C131" s="3" t="s">
        <v>11</v>
      </c>
      <c r="D131" s="3">
        <v>22</v>
      </c>
      <c r="E131" s="3">
        <v>18</v>
      </c>
      <c r="G131" s="3">
        <v>0</v>
      </c>
      <c r="H131" s="3">
        <v>0</v>
      </c>
      <c r="I131" s="3">
        <f>E131+G131+H131</f>
        <v>18</v>
      </c>
      <c r="J131" s="3" t="str">
        <f>IF(C131="Técnico III","35",IF(C131="Técnico II","28",IF(C131="Técnico I","23",IF(C131="JR","20",IF(C131="Estágio","10",)))))</f>
        <v>28</v>
      </c>
      <c r="K131" s="3">
        <f>I131-J131</f>
        <v>-10</v>
      </c>
      <c r="L131" s="3" t="str">
        <f>IF(K131&lt;-5,"CRÍTICO",IF(K131&lt;0,"ATENÇÃO",IF(K131&lt;=5,"BOM","EXCELENTE")))</f>
        <v>CRÍTICO</v>
      </c>
    </row>
    <row r="132" spans="1:12" x14ac:dyDescent="0.25">
      <c r="A132" s="5">
        <v>46157</v>
      </c>
      <c r="B132" s="6" t="s">
        <v>23</v>
      </c>
      <c r="C132" s="3" t="s">
        <v>11</v>
      </c>
      <c r="D132" s="3">
        <v>35</v>
      </c>
      <c r="E132" s="3">
        <v>31</v>
      </c>
      <c r="G132" s="3">
        <v>3</v>
      </c>
      <c r="H132" s="3">
        <v>0</v>
      </c>
      <c r="I132" s="3">
        <f>E132+G132+H132</f>
        <v>34</v>
      </c>
      <c r="J132" s="3" t="str">
        <f>IF(C132="Técnico III","35",IF(C132="Técnico II","28",IF(C132="Técnico I","23",IF(C132="JR","20",IF(C132="Estágio","10",)))))</f>
        <v>28</v>
      </c>
      <c r="K132" s="3">
        <f>I132-J132</f>
        <v>6</v>
      </c>
      <c r="L132" s="3" t="str">
        <f>IF(K132&lt;-5,"CRÍTICO",IF(K132&lt;0,"ATENÇÃO",IF(K132&lt;=5,"BOM","EXCELENTE")))</f>
        <v>EXCELENTE</v>
      </c>
    </row>
    <row r="133" spans="1:12" x14ac:dyDescent="0.25">
      <c r="A133" s="5">
        <v>46160</v>
      </c>
      <c r="B133" s="6" t="s">
        <v>23</v>
      </c>
      <c r="C133" s="3" t="s">
        <v>11</v>
      </c>
      <c r="D133" s="3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 t="str">
        <f>IF(K133&lt;-5,"CRÍTICO",IF(K133&lt;0,"ATENÇÃO",IF(K133&lt;=5,"BOM","EXCELENTE")))</f>
        <v>BOM</v>
      </c>
    </row>
    <row r="134" spans="1:12" x14ac:dyDescent="0.25">
      <c r="A134" s="7">
        <v>46161</v>
      </c>
      <c r="B134" s="8" t="s">
        <v>24</v>
      </c>
      <c r="C134" s="9" t="s">
        <v>14</v>
      </c>
      <c r="D134" s="3">
        <v>21</v>
      </c>
      <c r="E134" s="3">
        <v>20</v>
      </c>
      <c r="G134" s="3">
        <v>1</v>
      </c>
      <c r="H134" s="3">
        <v>0</v>
      </c>
      <c r="I134" s="3">
        <f>E134+G134+H134</f>
        <v>21</v>
      </c>
      <c r="J134" s="3" t="str">
        <f>IF(C134="Técnico III","35",IF(C134="Técnico II","28",IF(C134="Técnico I","23",IF(C134="JR","20",IF(C134="Estágio","10",)))))</f>
        <v>23</v>
      </c>
      <c r="K134" s="3">
        <f>I134-J134</f>
        <v>-2</v>
      </c>
      <c r="L134" s="3" t="str">
        <f>IF(K134&lt;-5,"CRÍTICO",IF(K134&lt;0,"ATENÇÃO",IF(K134&lt;=5,"BOM","EXCELENTE")))</f>
        <v>ATENÇÃO</v>
      </c>
    </row>
    <row r="135" spans="1:12" x14ac:dyDescent="0.25">
      <c r="A135" s="5">
        <v>46146</v>
      </c>
      <c r="B135" s="6" t="s">
        <v>24</v>
      </c>
      <c r="C135" s="3" t="s">
        <v>14</v>
      </c>
      <c r="D135" s="3">
        <v>28</v>
      </c>
      <c r="E135" s="3">
        <v>27</v>
      </c>
      <c r="G135" s="3">
        <v>0</v>
      </c>
      <c r="I135" s="3">
        <f>E135+G135+H135</f>
        <v>27</v>
      </c>
      <c r="J135" s="3" t="str">
        <f>IF(C135="Técnico III","35",IF(C135="Técnico II","28",IF(C135="Técnico I","23",IF(C135="JR","20",IF(C135="Estágio","10",)))))</f>
        <v>23</v>
      </c>
      <c r="K135" s="3">
        <f>I135-J135</f>
        <v>4</v>
      </c>
      <c r="L135" s="3" t="str">
        <f>IF(K135&lt;-5,"CRÍTICO",IF(K135&lt;0,"ATENÇÃO",IF(K135&lt;=5,"BOM","EXCELENTE")))</f>
        <v>BOM</v>
      </c>
    </row>
    <row r="136" spans="1:12" x14ac:dyDescent="0.25">
      <c r="A136" s="5">
        <v>46147</v>
      </c>
      <c r="B136" s="6" t="s">
        <v>24</v>
      </c>
      <c r="C136" s="3" t="s">
        <v>14</v>
      </c>
      <c r="D136" s="3">
        <v>12</v>
      </c>
      <c r="E136" s="3">
        <v>12</v>
      </c>
      <c r="G136" s="3">
        <v>10</v>
      </c>
      <c r="I136" s="3">
        <f>E136+G136+H136</f>
        <v>22</v>
      </c>
      <c r="J136" s="3" t="str">
        <f>IF(C136="Técnico III","35",IF(C136="Técnico II","28",IF(C136="Técnico I","23",IF(C136="JR","20",IF(C136="Estágio","10",)))))</f>
        <v>23</v>
      </c>
      <c r="K136" s="3">
        <f>I136-J136</f>
        <v>-1</v>
      </c>
      <c r="L136" s="3" t="str">
        <f>IF(K136&lt;-5,"CRÍTICO",IF(K136&lt;0,"ATENÇÃO",IF(K136&lt;=5,"BOM","EXCELENTE")))</f>
        <v>ATENÇÃO</v>
      </c>
    </row>
    <row r="137" spans="1:12" x14ac:dyDescent="0.25">
      <c r="A137" s="5">
        <v>46148</v>
      </c>
      <c r="B137" s="6" t="s">
        <v>24</v>
      </c>
      <c r="C137" s="3" t="s">
        <v>14</v>
      </c>
      <c r="D137" s="3">
        <v>19</v>
      </c>
      <c r="E137" s="3">
        <v>16</v>
      </c>
      <c r="G137" s="3">
        <v>0</v>
      </c>
      <c r="I137" s="3">
        <f>E137+G137+H137</f>
        <v>16</v>
      </c>
      <c r="J137" s="3" t="str">
        <f>IF(C137="Técnico III","35",IF(C137="Técnico II","28",IF(C137="Técnico I","23",IF(C137="JR","20",IF(C137="Estágio","10",)))))</f>
        <v>23</v>
      </c>
      <c r="K137" s="3">
        <f>I137-J137</f>
        <v>-7</v>
      </c>
      <c r="L137" s="3" t="str">
        <f>IF(K137&lt;-5,"CRÍTICO",IF(K137&lt;0,"ATENÇÃO",IF(K137&lt;=5,"BOM","EXCELENTE")))</f>
        <v>CRÍTICO</v>
      </c>
    </row>
    <row r="138" spans="1:12" x14ac:dyDescent="0.25">
      <c r="A138" s="5">
        <v>46149</v>
      </c>
      <c r="B138" s="6" t="s">
        <v>24</v>
      </c>
      <c r="C138" s="3" t="s">
        <v>14</v>
      </c>
      <c r="D138" s="3">
        <v>17</v>
      </c>
      <c r="E138" s="3">
        <v>17</v>
      </c>
      <c r="G138" s="3">
        <v>7</v>
      </c>
      <c r="I138" s="3">
        <f>E138+G138+H138</f>
        <v>24</v>
      </c>
      <c r="J138" s="3" t="str">
        <f>IF(C138="Técnico III","35",IF(C138="Técnico II","28",IF(C138="Técnico I","23",IF(C138="JR","20",IF(C138="Estágio","10",)))))</f>
        <v>23</v>
      </c>
      <c r="K138" s="3">
        <f>I138-J138</f>
        <v>1</v>
      </c>
      <c r="L138" s="3" t="str">
        <f>IF(K138&lt;-5,"CRÍTICO",IF(K138&lt;0,"ATENÇÃO",IF(K138&lt;=5,"BOM","EXCELENTE")))</f>
        <v>BOM</v>
      </c>
    </row>
    <row r="139" spans="1:12" x14ac:dyDescent="0.25">
      <c r="A139" s="5">
        <v>46150</v>
      </c>
      <c r="B139" s="6" t="s">
        <v>24</v>
      </c>
      <c r="C139" s="3" t="s">
        <v>14</v>
      </c>
      <c r="D139" s="3">
        <v>16</v>
      </c>
      <c r="E139" s="3">
        <v>16</v>
      </c>
      <c r="G139" s="3">
        <v>0</v>
      </c>
      <c r="H139" s="3">
        <v>0</v>
      </c>
      <c r="I139" s="3">
        <f>E139+G139+H139</f>
        <v>16</v>
      </c>
      <c r="J139" s="3" t="str">
        <f>IF(C139="Técnico III","35",IF(C139="Técnico II","28",IF(C139="Técnico I","23",IF(C139="JR","20",IF(C139="Estágio","10",)))))</f>
        <v>23</v>
      </c>
      <c r="K139" s="3">
        <f>I139-J139</f>
        <v>-7</v>
      </c>
      <c r="L139" s="3" t="str">
        <f>IF(K139&lt;-5,"CRÍTICO",IF(K139&lt;0,"ATENÇÃO",IF(K139&lt;=5,"BOM","EXCELENTE")))</f>
        <v>CRÍTICO</v>
      </c>
    </row>
    <row r="140" spans="1:12" x14ac:dyDescent="0.25">
      <c r="A140" s="5">
        <v>46153</v>
      </c>
      <c r="B140" s="6" t="s">
        <v>24</v>
      </c>
      <c r="C140" s="3" t="s">
        <v>14</v>
      </c>
      <c r="D140" s="3">
        <v>24</v>
      </c>
      <c r="E140" s="3">
        <v>20</v>
      </c>
      <c r="G140" s="3">
        <v>2</v>
      </c>
      <c r="I140" s="3">
        <f>E140+G140+H140</f>
        <v>22</v>
      </c>
      <c r="J140" s="3" t="str">
        <f>IF(C140="Técnico III","35",IF(C140="Técnico II","28",IF(C140="Técnico I","23",IF(C140="JR","20",IF(C140="Estágio","10",)))))</f>
        <v>23</v>
      </c>
      <c r="K140" s="3">
        <f>I140-J140</f>
        <v>-1</v>
      </c>
      <c r="L140" s="3" t="str">
        <f>IF(K140&lt;-5,"CRÍTICO",IF(K140&lt;0,"ATENÇÃO",IF(K140&lt;=5,"BOM","EXCELENTE")))</f>
        <v>ATENÇÃO</v>
      </c>
    </row>
    <row r="141" spans="1:12" x14ac:dyDescent="0.25">
      <c r="A141" s="5">
        <v>46154</v>
      </c>
      <c r="B141" s="6" t="s">
        <v>24</v>
      </c>
      <c r="C141" s="3" t="s">
        <v>14</v>
      </c>
      <c r="D141" s="3">
        <v>28</v>
      </c>
      <c r="E141" s="3">
        <v>26</v>
      </c>
      <c r="I141" s="3">
        <f>E141+G141+H141</f>
        <v>26</v>
      </c>
      <c r="J141" s="3" t="str">
        <f>IF(C141="Técnico III","35",IF(C141="Técnico II","28",IF(C141="Técnico I","23",IF(C141="JR","20",IF(C141="Estágio","10",)))))</f>
        <v>23</v>
      </c>
      <c r="K141" s="3">
        <f>I141-J141</f>
        <v>3</v>
      </c>
      <c r="L141" s="3" t="str">
        <f>IF(K141&lt;-5,"CRÍTICO",IF(K141&lt;0,"ATENÇÃO",IF(K141&lt;=5,"BOM","EXCELENTE")))</f>
        <v>BOM</v>
      </c>
    </row>
    <row r="142" spans="1:12" x14ac:dyDescent="0.25">
      <c r="A142" s="5">
        <v>46155</v>
      </c>
      <c r="B142" s="6" t="s">
        <v>24</v>
      </c>
      <c r="C142" s="3" t="s">
        <v>14</v>
      </c>
      <c r="D142" s="3">
        <v>17</v>
      </c>
      <c r="E142" s="3">
        <v>16</v>
      </c>
      <c r="G142" s="3">
        <v>5</v>
      </c>
      <c r="I142" s="3">
        <f>E142+G142+H142</f>
        <v>21</v>
      </c>
      <c r="J142" s="3" t="str">
        <f>IF(C142="Técnico III","35",IF(C142="Técnico II","28",IF(C142="Técnico I","23",IF(C142="JR","20",IF(C142="Estágio","10",)))))</f>
        <v>23</v>
      </c>
      <c r="K142" s="3">
        <f>I142-J142</f>
        <v>-2</v>
      </c>
      <c r="L142" s="3" t="str">
        <f>IF(K142&lt;-5,"CRÍTICO",IF(K142&lt;0,"ATENÇÃO",IF(K142&lt;=5,"BOM","EXCELENTE")))</f>
        <v>ATENÇÃO</v>
      </c>
    </row>
    <row r="143" spans="1:12" x14ac:dyDescent="0.25">
      <c r="A143" s="5">
        <v>46156</v>
      </c>
      <c r="B143" s="6" t="s">
        <v>24</v>
      </c>
      <c r="C143" s="3" t="s">
        <v>14</v>
      </c>
      <c r="D143" s="3">
        <v>30</v>
      </c>
      <c r="E143" s="3">
        <v>28</v>
      </c>
      <c r="G143" s="3">
        <v>1</v>
      </c>
      <c r="H143" s="3">
        <v>0</v>
      </c>
      <c r="I143" s="3">
        <f>E143+G143+H143</f>
        <v>29</v>
      </c>
      <c r="J143" s="3" t="str">
        <f>IF(C143="Técnico III","35",IF(C143="Técnico II","28",IF(C143="Técnico I","23",IF(C143="JR","20",IF(C143="Estágio","10",)))))</f>
        <v>23</v>
      </c>
      <c r="K143" s="3">
        <f>I143-J143</f>
        <v>6</v>
      </c>
      <c r="L143" s="3" t="str">
        <f>IF(K143&lt;-5,"CRÍTICO",IF(K143&lt;0,"ATENÇÃO",IF(K143&lt;=5,"BOM","EXCELENTE")))</f>
        <v>EXCELENTE</v>
      </c>
    </row>
    <row r="144" spans="1:12" x14ac:dyDescent="0.25">
      <c r="A144" s="5">
        <v>46157</v>
      </c>
      <c r="B144" s="6" t="s">
        <v>24</v>
      </c>
      <c r="C144" s="3" t="s">
        <v>14</v>
      </c>
      <c r="D144" s="3">
        <v>18</v>
      </c>
      <c r="E144" s="3">
        <v>18</v>
      </c>
      <c r="G144" s="3">
        <v>3</v>
      </c>
      <c r="H144" s="3">
        <v>0</v>
      </c>
      <c r="I144" s="3">
        <f>E144+G144+H144</f>
        <v>21</v>
      </c>
      <c r="J144" s="3" t="str">
        <f>IF(C144="Técnico III","35",IF(C144="Técnico II","28",IF(C144="Técnico I","23",IF(C144="JR","20",IF(C144="Estágio","10",)))))</f>
        <v>23</v>
      </c>
      <c r="K144" s="3">
        <f>I144-J144</f>
        <v>-2</v>
      </c>
      <c r="L144" s="3" t="str">
        <f>IF(K144&lt;-5,"CRÍTICO",IF(K144&lt;0,"ATENÇÃO",IF(K144&lt;=5,"BOM","EXCELENTE")))</f>
        <v>ATENÇÃO</v>
      </c>
    </row>
    <row r="145" spans="1:12" x14ac:dyDescent="0.25">
      <c r="A145" s="5">
        <v>46160</v>
      </c>
      <c r="B145" s="6" t="s">
        <v>24</v>
      </c>
      <c r="C145" s="3" t="s">
        <v>14</v>
      </c>
      <c r="D145" s="3">
        <v>20</v>
      </c>
      <c r="E145" s="3">
        <v>19</v>
      </c>
      <c r="G145" s="3">
        <v>3</v>
      </c>
      <c r="H145" s="3">
        <v>0</v>
      </c>
      <c r="I145" s="3">
        <f>E145+G145+H145</f>
        <v>22</v>
      </c>
      <c r="J145" s="3" t="str">
        <f>IF(C145="Técnico III","35",IF(C145="Técnico II","28",IF(C145="Técnico I","23",IF(C145="JR","20",IF(C145="Estágio","10",)))))</f>
        <v>23</v>
      </c>
      <c r="K145" s="3">
        <f>I145-J145</f>
        <v>-1</v>
      </c>
      <c r="L145" s="3" t="str">
        <f>IF(K145&lt;-5,"CRÍTICO",IF(K145&lt;0,"ATENÇÃO",IF(K145&lt;=5,"BOM","EXCELENTE")))</f>
        <v>ATENÇÃO</v>
      </c>
    </row>
    <row r="146" spans="1:12" x14ac:dyDescent="0.25">
      <c r="A146" s="7">
        <v>46161</v>
      </c>
      <c r="B146" s="8" t="s">
        <v>25</v>
      </c>
      <c r="C146" s="9" t="s">
        <v>12</v>
      </c>
      <c r="D146" s="3">
        <v>0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 t="str">
        <f>IF(K146&lt;-5,"CRÍTICO",IF(K146&lt;0,"ATENÇÃO",IF(K146&lt;=5,"BOM","EXCELENTE")))</f>
        <v>BOM</v>
      </c>
    </row>
    <row r="147" spans="1:12" x14ac:dyDescent="0.25">
      <c r="A147" s="5">
        <v>46146</v>
      </c>
      <c r="B147" s="6" t="s">
        <v>25</v>
      </c>
      <c r="C147" s="9" t="s">
        <v>12</v>
      </c>
      <c r="D147" s="3">
        <v>21</v>
      </c>
      <c r="E147" s="3">
        <v>20</v>
      </c>
      <c r="G147" s="3">
        <v>4</v>
      </c>
      <c r="I147" s="3">
        <f>E147+G147+H147</f>
        <v>24</v>
      </c>
      <c r="J147" s="3" t="str">
        <f>IF(C147="Técnico III","35",IF(C147="Técnico II","28",IF(C147="Técnico I","23",IF(C147="JR","20",IF(C147="Estágio","10",)))))</f>
        <v>35</v>
      </c>
      <c r="K147" s="3">
        <f>I147-J147</f>
        <v>-11</v>
      </c>
      <c r="L147" s="3" t="str">
        <f>IF(K147&lt;-5,"CRÍTICO",IF(K147&lt;0,"ATENÇÃO",IF(K147&lt;=5,"BOM","EXCELENTE")))</f>
        <v>CRÍTICO</v>
      </c>
    </row>
    <row r="148" spans="1:12" x14ac:dyDescent="0.25">
      <c r="A148" s="5">
        <v>46147</v>
      </c>
      <c r="B148" s="6" t="s">
        <v>25</v>
      </c>
      <c r="C148" s="9" t="s">
        <v>12</v>
      </c>
      <c r="D148" s="3">
        <v>27</v>
      </c>
      <c r="E148" s="3">
        <v>27</v>
      </c>
      <c r="G148" s="3">
        <v>0</v>
      </c>
      <c r="I148" s="3">
        <f>E148+G148+H148</f>
        <v>27</v>
      </c>
      <c r="J148" s="3" t="str">
        <f>IF(C148="Técnico III","35",IF(C148="Técnico II","28",IF(C148="Técnico I","23",IF(C148="JR","20",IF(C148="Estágio","10",)))))</f>
        <v>35</v>
      </c>
      <c r="K148" s="3">
        <f>I148-J148</f>
        <v>-8</v>
      </c>
      <c r="L148" s="3" t="str">
        <f>IF(K148&lt;-5,"CRÍTICO",IF(K148&lt;0,"ATENÇÃO",IF(K148&lt;=5,"BOM","EXCELENTE")))</f>
        <v>CRÍTICO</v>
      </c>
    </row>
    <row r="149" spans="1:12" x14ac:dyDescent="0.25">
      <c r="A149" s="5">
        <v>46148</v>
      </c>
      <c r="B149" s="6" t="s">
        <v>25</v>
      </c>
      <c r="C149" s="9" t="s">
        <v>12</v>
      </c>
      <c r="D149" s="3">
        <v>24</v>
      </c>
      <c r="E149" s="3">
        <v>22</v>
      </c>
      <c r="G149" s="3">
        <v>9</v>
      </c>
      <c r="I149" s="3">
        <f>E149+G149+H149</f>
        <v>31</v>
      </c>
      <c r="J149" s="3" t="str">
        <f>IF(C149="Técnico III","35",IF(C149="Técnico II","28",IF(C149="Técnico I","23",IF(C149="JR","20",IF(C149="Estágio","10",)))))</f>
        <v>35</v>
      </c>
      <c r="K149" s="3">
        <f>I149-J149</f>
        <v>-4</v>
      </c>
      <c r="L149" s="3" t="str">
        <f>IF(K149&lt;-5,"CRÍTICO",IF(K149&lt;0,"ATENÇÃO",IF(K149&lt;=5,"BOM","EXCELENTE")))</f>
        <v>ATENÇÃO</v>
      </c>
    </row>
    <row r="150" spans="1:12" x14ac:dyDescent="0.25">
      <c r="A150" s="5">
        <v>46149</v>
      </c>
      <c r="B150" s="6" t="s">
        <v>25</v>
      </c>
      <c r="C150" s="9" t="s">
        <v>12</v>
      </c>
      <c r="D150" s="3">
        <v>31</v>
      </c>
      <c r="E150" s="3">
        <v>30</v>
      </c>
      <c r="G150" s="3">
        <v>0</v>
      </c>
      <c r="I150" s="3">
        <f>E150+G150+H150</f>
        <v>30</v>
      </c>
      <c r="J150" s="3" t="str">
        <f>IF(C150="Técnico III","35",IF(C150="Técnico II","28",IF(C150="Técnico I","23",IF(C150="JR","20",IF(C150="Estágio","10",)))))</f>
        <v>35</v>
      </c>
      <c r="K150" s="3">
        <f>I150-J150</f>
        <v>-5</v>
      </c>
      <c r="L150" s="3" t="str">
        <f>IF(K150&lt;-5,"CRÍTICO",IF(K150&lt;0,"ATENÇÃO",IF(K150&lt;=5,"BOM","EXCELENTE")))</f>
        <v>ATENÇÃO</v>
      </c>
    </row>
    <row r="151" spans="1:12" x14ac:dyDescent="0.25">
      <c r="A151" s="5">
        <v>46150</v>
      </c>
      <c r="B151" s="6" t="s">
        <v>25</v>
      </c>
      <c r="C151" s="9" t="s">
        <v>12</v>
      </c>
      <c r="D151" s="3">
        <v>17</v>
      </c>
      <c r="E151" s="3">
        <v>17</v>
      </c>
      <c r="G151" s="3">
        <v>5</v>
      </c>
      <c r="H151" s="3">
        <v>0</v>
      </c>
      <c r="I151" s="3">
        <f>E151+G151+H151</f>
        <v>22</v>
      </c>
      <c r="J151" s="3" t="str">
        <f>IF(C151="Técnico III","35",IF(C151="Técnico II","28",IF(C151="Técnico I","23",IF(C151="JR","20",IF(C151="Estágio","10",)))))</f>
        <v>35</v>
      </c>
      <c r="K151" s="3">
        <f>I151-J151</f>
        <v>-13</v>
      </c>
      <c r="L151" s="3" t="str">
        <f>IF(K151&lt;-5,"CRÍTICO",IF(K151&lt;0,"ATENÇÃO",IF(K151&lt;=5,"BOM","EXCELENTE")))</f>
        <v>CRÍTICO</v>
      </c>
    </row>
    <row r="152" spans="1:12" x14ac:dyDescent="0.25">
      <c r="A152" s="5">
        <v>46153</v>
      </c>
      <c r="B152" s="6" t="s">
        <v>25</v>
      </c>
      <c r="C152" s="9" t="s">
        <v>12</v>
      </c>
      <c r="D152" s="3">
        <v>25</v>
      </c>
      <c r="E152" s="3">
        <v>25</v>
      </c>
      <c r="I152" s="3">
        <f>E152+G152+H152</f>
        <v>25</v>
      </c>
      <c r="J152" s="3" t="str">
        <f>IF(C152="Técnico III","35",IF(C152="Técnico II","28",IF(C152="Técnico I","23",IF(C152="JR","20",IF(C152="Estágio","10",)))))</f>
        <v>35</v>
      </c>
      <c r="K152" s="3">
        <f>I152-J152</f>
        <v>-10</v>
      </c>
      <c r="L152" s="3" t="str">
        <f>IF(K152&lt;-5,"CRÍTICO",IF(K152&lt;0,"ATENÇÃO",IF(K152&lt;=5,"BOM","EXCELENTE")))</f>
        <v>CRÍTICO</v>
      </c>
    </row>
    <row r="153" spans="1:12" x14ac:dyDescent="0.25">
      <c r="A153" s="5">
        <v>46154</v>
      </c>
      <c r="B153" s="6" t="s">
        <v>25</v>
      </c>
      <c r="C153" s="9" t="s">
        <v>12</v>
      </c>
      <c r="D153" s="3">
        <v>23</v>
      </c>
      <c r="E153" s="3">
        <v>23</v>
      </c>
      <c r="G153" s="3">
        <v>2</v>
      </c>
      <c r="I153" s="3">
        <f>E153+G153+H153</f>
        <v>25</v>
      </c>
      <c r="J153" s="3" t="str">
        <f>IF(C153="Técnico III","35",IF(C153="Técnico II","28",IF(C153="Técnico I","23",IF(C153="JR","20",IF(C153="Estágio","10",)))))</f>
        <v>35</v>
      </c>
      <c r="K153" s="3">
        <f>I153-J153</f>
        <v>-10</v>
      </c>
      <c r="L153" s="3" t="str">
        <f>IF(K153&lt;-5,"CRÍTICO",IF(K153&lt;0,"ATENÇÃO",IF(K153&lt;=5,"BOM","EXCELENTE")))</f>
        <v>CRÍTICO</v>
      </c>
    </row>
    <row r="154" spans="1:12" x14ac:dyDescent="0.25">
      <c r="A154" s="5">
        <v>46155</v>
      </c>
      <c r="B154" s="6" t="s">
        <v>25</v>
      </c>
      <c r="C154" s="9" t="s">
        <v>12</v>
      </c>
      <c r="D154" s="3">
        <v>23</v>
      </c>
      <c r="E154" s="3">
        <v>23</v>
      </c>
      <c r="I154" s="3">
        <f>E154+G154+H154</f>
        <v>23</v>
      </c>
      <c r="J154" s="3" t="str">
        <f>IF(C154="Técnico III","35",IF(C154="Técnico II","28",IF(C154="Técnico I","23",IF(C154="JR","20",IF(C154="Estágio","10",)))))</f>
        <v>35</v>
      </c>
      <c r="K154" s="3">
        <f>I154-J154</f>
        <v>-12</v>
      </c>
      <c r="L154" s="3" t="str">
        <f>IF(K154&lt;-5,"CRÍTICO",IF(K154&lt;0,"ATENÇÃO",IF(K154&lt;=5,"BOM","EXCELENTE")))</f>
        <v>CRÍTICO</v>
      </c>
    </row>
    <row r="155" spans="1:12" x14ac:dyDescent="0.25">
      <c r="A155" s="5">
        <v>46156</v>
      </c>
      <c r="B155" s="6" t="s">
        <v>25</v>
      </c>
      <c r="C155" s="9" t="s">
        <v>12</v>
      </c>
      <c r="D155" s="3">
        <v>22</v>
      </c>
      <c r="E155" s="3">
        <v>21</v>
      </c>
      <c r="G155" s="3">
        <v>5</v>
      </c>
      <c r="H155" s="3">
        <v>0</v>
      </c>
      <c r="I155" s="3">
        <f>E155+G155+H155</f>
        <v>26</v>
      </c>
      <c r="J155" s="3" t="str">
        <f>IF(C155="Técnico III","35",IF(C155="Técnico II","28",IF(C155="Técnico I","23",IF(C155="JR","20",IF(C155="Estágio","10",)))))</f>
        <v>35</v>
      </c>
      <c r="K155" s="3">
        <f>I155-J155</f>
        <v>-9</v>
      </c>
      <c r="L155" s="3" t="str">
        <f>IF(K155&lt;-5,"CRÍTICO",IF(K155&lt;0,"ATENÇÃO",IF(K155&lt;=5,"BOM","EXCELENTE")))</f>
        <v>CRÍTICO</v>
      </c>
    </row>
    <row r="156" spans="1:12" x14ac:dyDescent="0.25">
      <c r="A156" s="5">
        <v>46157</v>
      </c>
      <c r="B156" s="6" t="s">
        <v>25</v>
      </c>
      <c r="C156" s="9" t="s">
        <v>12</v>
      </c>
      <c r="D156" s="3">
        <v>20</v>
      </c>
      <c r="E156" s="3">
        <v>20</v>
      </c>
      <c r="G156" s="3">
        <v>3</v>
      </c>
      <c r="H156" s="3">
        <v>0</v>
      </c>
      <c r="I156" s="3">
        <f>E156+G156+H156</f>
        <v>23</v>
      </c>
      <c r="J156" s="3" t="str">
        <f>IF(C156="Técnico III","35",IF(C156="Técnico II","28",IF(C156="Técnico I","23",IF(C156="JR","20",IF(C156="Estágio","10",)))))</f>
        <v>35</v>
      </c>
      <c r="K156" s="3">
        <f>I156-J156</f>
        <v>-12</v>
      </c>
      <c r="L156" s="3" t="str">
        <f>IF(K156&lt;-5,"CRÍTICO",IF(K156&lt;0,"ATENÇÃO",IF(K156&lt;=5,"BOM","EXCELENTE")))</f>
        <v>CRÍTICO</v>
      </c>
    </row>
    <row r="157" spans="1:12" x14ac:dyDescent="0.25">
      <c r="A157" s="5">
        <v>46160</v>
      </c>
      <c r="B157" s="6" t="s">
        <v>25</v>
      </c>
      <c r="C157" s="9" t="s">
        <v>12</v>
      </c>
      <c r="D157" s="3">
        <v>0</v>
      </c>
      <c r="E157" s="3">
        <v>0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 t="str">
        <f>IF(K157&lt;-5,"CRÍTICO",IF(K157&lt;0,"ATENÇÃO",IF(K157&lt;=5,"BOM","EXCELENTE")))</f>
        <v>BOM</v>
      </c>
    </row>
    <row r="158" spans="1:12" x14ac:dyDescent="0.25">
      <c r="A158" s="7">
        <v>46161</v>
      </c>
      <c r="B158" s="8" t="s">
        <v>26</v>
      </c>
      <c r="C158" s="9" t="s">
        <v>17</v>
      </c>
      <c r="D158" s="3">
        <v>17</v>
      </c>
      <c r="E158" s="3">
        <v>5</v>
      </c>
      <c r="G158" s="3">
        <v>0</v>
      </c>
      <c r="H158" s="3">
        <v>0</v>
      </c>
      <c r="I158" s="3">
        <f>E158+G158+H158</f>
        <v>5</v>
      </c>
      <c r="J158" s="3" t="str">
        <f>IF(C158="Técnico III","35",IF(C158="Técnico II","28",IF(C158="Técnico I","23",IF(C158="JR","20",IF(C158="Estágio","10",)))))</f>
        <v>10</v>
      </c>
      <c r="K158" s="3">
        <f>I158-J158</f>
        <v>-5</v>
      </c>
      <c r="L158" s="3" t="str">
        <f>IF(K158&lt;-5,"CRÍTICO",IF(K158&lt;0,"ATENÇÃO",IF(K158&lt;=5,"BOM","EXCELENTE")))</f>
        <v>ATENÇÃO</v>
      </c>
    </row>
    <row r="159" spans="1:12" x14ac:dyDescent="0.25">
      <c r="A159" s="5">
        <v>46146</v>
      </c>
      <c r="B159" s="6" t="s">
        <v>26</v>
      </c>
      <c r="C159" s="3" t="s">
        <v>17</v>
      </c>
      <c r="D159" s="3">
        <v>8</v>
      </c>
      <c r="E159" s="3">
        <v>8</v>
      </c>
      <c r="G159" s="3">
        <v>0</v>
      </c>
      <c r="I159" s="3">
        <f>E159+G159+H159</f>
        <v>8</v>
      </c>
      <c r="J159" s="3" t="str">
        <f>IF(C159="Técnico III","35",IF(C159="Técnico II","28",IF(C159="Técnico I","23",IF(C159="JR","20",IF(C159="Estágio","10",)))))</f>
        <v>10</v>
      </c>
      <c r="K159" s="3">
        <f>I159-J159</f>
        <v>-2</v>
      </c>
      <c r="L159" s="3" t="str">
        <f>IF(K159&lt;-5,"CRÍTICO",IF(K159&lt;0,"ATENÇÃO",IF(K159&lt;=5,"BOM","EXCELENTE")))</f>
        <v>ATENÇÃO</v>
      </c>
    </row>
    <row r="160" spans="1:12" x14ac:dyDescent="0.25">
      <c r="A160" s="5">
        <v>46147</v>
      </c>
      <c r="B160" s="6" t="s">
        <v>26</v>
      </c>
      <c r="C160" s="3" t="s">
        <v>17</v>
      </c>
      <c r="D160" s="3">
        <v>48</v>
      </c>
      <c r="E160" s="3">
        <v>32</v>
      </c>
      <c r="G160" s="3">
        <v>0</v>
      </c>
      <c r="H160" s="3">
        <v>0</v>
      </c>
      <c r="I160" s="3">
        <f>E160+G160+H160</f>
        <v>32</v>
      </c>
      <c r="J160" s="3" t="str">
        <f>IF(C160="Técnico III","35",IF(C160="Técnico II","28",IF(C160="Técnico I","23",IF(C160="JR","20",IF(C160="Estágio","10",)))))</f>
        <v>10</v>
      </c>
      <c r="K160" s="3">
        <f>I160-J160</f>
        <v>22</v>
      </c>
      <c r="L160" s="3" t="str">
        <f>IF(K160&lt;-5,"CRÍTICO",IF(K160&lt;0,"ATENÇÃO",IF(K160&lt;=5,"BOM","EXCELENTE")))</f>
        <v>EXCELENTE</v>
      </c>
    </row>
    <row r="161" spans="1:12" x14ac:dyDescent="0.25">
      <c r="A161" s="5">
        <v>46148</v>
      </c>
      <c r="B161" s="6" t="s">
        <v>26</v>
      </c>
      <c r="C161" s="3" t="s">
        <v>17</v>
      </c>
      <c r="D161" s="3">
        <v>56</v>
      </c>
      <c r="E161" s="3">
        <v>43</v>
      </c>
      <c r="G161" s="3">
        <v>0</v>
      </c>
      <c r="H161" s="3">
        <v>0</v>
      </c>
      <c r="I161" s="3">
        <f>E161+G161+H161</f>
        <v>43</v>
      </c>
      <c r="J161" s="3" t="str">
        <f>IF(C161="Técnico III","35",IF(C161="Técnico II","28",IF(C161="Técnico I","23",IF(C161="JR","20",IF(C161="Estágio","10",)))))</f>
        <v>10</v>
      </c>
      <c r="K161" s="3">
        <f>I161-J161</f>
        <v>33</v>
      </c>
      <c r="L161" s="3" t="str">
        <f>IF(K161&lt;-5,"CRÍTICO",IF(K161&lt;0,"ATENÇÃO",IF(K161&lt;=5,"BOM","EXCELENTE")))</f>
        <v>EXCELENTE</v>
      </c>
    </row>
    <row r="162" spans="1:12" x14ac:dyDescent="0.25">
      <c r="A162" s="5">
        <v>46149</v>
      </c>
      <c r="B162" s="6" t="s">
        <v>26</v>
      </c>
      <c r="C162" s="3" t="s">
        <v>17</v>
      </c>
      <c r="D162" s="3">
        <v>51</v>
      </c>
      <c r="E162" s="3">
        <v>32</v>
      </c>
      <c r="G162" s="3">
        <v>0</v>
      </c>
      <c r="I162" s="3">
        <f>E162+G162+H162</f>
        <v>32</v>
      </c>
      <c r="J162" s="3" t="str">
        <f>IF(C162="Técnico III","35",IF(C162="Técnico II","28",IF(C162="Técnico I","23",IF(C162="JR","20",IF(C162="Estágio","10",)))))</f>
        <v>10</v>
      </c>
      <c r="K162" s="3">
        <f>I162-J162</f>
        <v>22</v>
      </c>
      <c r="L162" s="3" t="str">
        <f>IF(K162&lt;-5,"CRÍTICO",IF(K162&lt;0,"ATENÇÃO",IF(K162&lt;=5,"BOM","EXCELENTE")))</f>
        <v>EXCELENTE</v>
      </c>
    </row>
    <row r="163" spans="1:12" x14ac:dyDescent="0.25">
      <c r="A163" s="5">
        <v>46150</v>
      </c>
      <c r="B163" s="6" t="s">
        <v>26</v>
      </c>
      <c r="C163" s="3" t="s">
        <v>17</v>
      </c>
      <c r="D163" s="3">
        <v>9</v>
      </c>
      <c r="E163" s="3">
        <v>8</v>
      </c>
      <c r="G163" s="3">
        <v>0</v>
      </c>
      <c r="H163" s="3">
        <v>0</v>
      </c>
      <c r="I163" s="3">
        <f>E163+G163+H163</f>
        <v>8</v>
      </c>
      <c r="J163" s="3" t="str">
        <f>IF(C163="Técnico III","35",IF(C163="Técnico II","28",IF(C163="Técnico I","23",IF(C163="JR","20",IF(C163="Estágio","10",)))))</f>
        <v>10</v>
      </c>
      <c r="K163" s="3">
        <f>I163-J163</f>
        <v>-2</v>
      </c>
      <c r="L163" s="3" t="str">
        <f>IF(K163&lt;-5,"CRÍTICO",IF(K163&lt;0,"ATENÇÃO",IF(K163&lt;=5,"BOM","EXCELENTE")))</f>
        <v>ATENÇÃO</v>
      </c>
    </row>
    <row r="164" spans="1:12" x14ac:dyDescent="0.25">
      <c r="A164" s="5">
        <v>46153</v>
      </c>
      <c r="B164" s="6" t="s">
        <v>26</v>
      </c>
      <c r="C164" s="3" t="s">
        <v>17</v>
      </c>
      <c r="D164" s="3">
        <v>8</v>
      </c>
      <c r="E164" s="3">
        <v>5</v>
      </c>
      <c r="I164" s="3">
        <f>E164+G164+H164</f>
        <v>5</v>
      </c>
      <c r="J164" s="3" t="str">
        <f>IF(C164="Técnico III","35",IF(C164="Técnico II","28",IF(C164="Técnico I","23",IF(C164="JR","20",IF(C164="Estágio","10",)))))</f>
        <v>10</v>
      </c>
      <c r="K164" s="3">
        <f>I164-J164</f>
        <v>-5</v>
      </c>
      <c r="L164" s="3" t="str">
        <f>IF(K164&lt;-5,"CRÍTICO",IF(K164&lt;0,"ATENÇÃO",IF(K164&lt;=5,"BOM","EXCELENTE")))</f>
        <v>ATENÇÃO</v>
      </c>
    </row>
    <row r="165" spans="1:12" x14ac:dyDescent="0.25">
      <c r="A165" s="5">
        <v>46154</v>
      </c>
      <c r="B165" s="6" t="s">
        <v>26</v>
      </c>
      <c r="C165" s="3" t="s">
        <v>17</v>
      </c>
      <c r="D165" s="3">
        <v>28</v>
      </c>
      <c r="E165" s="3">
        <v>16</v>
      </c>
      <c r="I165" s="3">
        <f>E165+G165+H165</f>
        <v>16</v>
      </c>
      <c r="J165" s="3" t="str">
        <f>IF(C165="Técnico III","35",IF(C165="Técnico II","28",IF(C165="Técnico I","23",IF(C165="JR","20",IF(C165="Estágio","10",)))))</f>
        <v>10</v>
      </c>
      <c r="K165" s="3">
        <f>I165-J165</f>
        <v>6</v>
      </c>
      <c r="L165" s="3" t="str">
        <f>IF(K165&lt;-5,"CRÍTICO",IF(K165&lt;0,"ATENÇÃO",IF(K165&lt;=5,"BOM","EXCELENTE")))</f>
        <v>EXCELENTE</v>
      </c>
    </row>
    <row r="166" spans="1:12" x14ac:dyDescent="0.25">
      <c r="A166" s="5">
        <v>46155</v>
      </c>
      <c r="B166" s="6" t="s">
        <v>26</v>
      </c>
      <c r="C166" s="3" t="s">
        <v>17</v>
      </c>
      <c r="D166" s="3">
        <v>60</v>
      </c>
      <c r="E166" s="3">
        <v>19</v>
      </c>
      <c r="I166" s="3">
        <f>E166+G166+H166</f>
        <v>19</v>
      </c>
      <c r="J166" s="3" t="str">
        <f>IF(C166="Técnico III","35",IF(C166="Técnico II","28",IF(C166="Técnico I","23",IF(C166="JR","20",IF(C166="Estágio","10",)))))</f>
        <v>10</v>
      </c>
      <c r="K166" s="3">
        <f>I166-J166</f>
        <v>9</v>
      </c>
      <c r="L166" s="3" t="str">
        <f>IF(K166&lt;-5,"CRÍTICO",IF(K166&lt;0,"ATENÇÃO",IF(K166&lt;=5,"BOM","EXCELENTE")))</f>
        <v>EXCELENTE</v>
      </c>
    </row>
    <row r="167" spans="1:12" x14ac:dyDescent="0.25">
      <c r="A167" s="5">
        <v>46156</v>
      </c>
      <c r="B167" s="6" t="s">
        <v>26</v>
      </c>
      <c r="C167" s="3" t="s">
        <v>17</v>
      </c>
      <c r="D167" s="3">
        <v>21</v>
      </c>
      <c r="E167" s="3">
        <v>10</v>
      </c>
      <c r="G167" s="3">
        <v>5</v>
      </c>
      <c r="H167" s="3">
        <v>0</v>
      </c>
      <c r="I167" s="3">
        <f>E167+G167+H167</f>
        <v>15</v>
      </c>
      <c r="J167" s="3" t="str">
        <f>IF(C167="Técnico III","35",IF(C167="Técnico II","28",IF(C167="Técnico I","23",IF(C167="JR","20",IF(C167="Estágio","10",)))))</f>
        <v>10</v>
      </c>
      <c r="K167" s="3">
        <f>I167-J167</f>
        <v>5</v>
      </c>
      <c r="L167" s="3" t="str">
        <f>IF(K167&lt;-5,"CRÍTICO",IF(K167&lt;0,"ATENÇÃO",IF(K167&lt;=5,"BOM","EXCELENTE")))</f>
        <v>BOM</v>
      </c>
    </row>
    <row r="168" spans="1:12" x14ac:dyDescent="0.25">
      <c r="A168" s="5">
        <v>46157</v>
      </c>
      <c r="B168" s="6" t="s">
        <v>26</v>
      </c>
      <c r="C168" s="3" t="s">
        <v>17</v>
      </c>
      <c r="D168" s="3">
        <v>39</v>
      </c>
      <c r="E168" s="3">
        <v>24</v>
      </c>
      <c r="G168" s="3">
        <v>0</v>
      </c>
      <c r="H168" s="3">
        <v>0</v>
      </c>
      <c r="I168" s="3">
        <f>E168+G168+H168</f>
        <v>24</v>
      </c>
      <c r="J168" s="3" t="str">
        <f>IF(C168="Técnico III","35",IF(C168="Técnico II","28",IF(C168="Técnico I","23",IF(C168="JR","20",IF(C168="Estágio","10",)))))</f>
        <v>10</v>
      </c>
      <c r="K168" s="3">
        <f>I168-J168</f>
        <v>14</v>
      </c>
      <c r="L168" s="3" t="str">
        <f>IF(K168&lt;-5,"CRÍTICO",IF(K168&lt;0,"ATENÇÃO",IF(K168&lt;=5,"BOM","EXCELENTE")))</f>
        <v>EXCELENTE</v>
      </c>
    </row>
    <row r="169" spans="1:12" x14ac:dyDescent="0.25">
      <c r="A169" s="5">
        <v>46160</v>
      </c>
      <c r="B169" s="6" t="s">
        <v>26</v>
      </c>
      <c r="C169" s="3" t="s">
        <v>17</v>
      </c>
      <c r="D169" s="3">
        <v>32</v>
      </c>
      <c r="E169" s="3">
        <v>13</v>
      </c>
      <c r="G169" s="3">
        <v>0</v>
      </c>
      <c r="H169" s="3">
        <v>0</v>
      </c>
      <c r="I169" s="3">
        <f>E169+G169+H169</f>
        <v>13</v>
      </c>
      <c r="J169" s="3" t="str">
        <f>IF(C169="Técnico III","35",IF(C169="Técnico II","28",IF(C169="Técnico I","23",IF(C169="JR","20",IF(C169="Estágio","10",)))))</f>
        <v>10</v>
      </c>
      <c r="K169" s="3">
        <f>I169-J169</f>
        <v>3</v>
      </c>
      <c r="L169" s="3" t="str">
        <f>IF(K169&lt;-5,"CRÍTICO",IF(K169&lt;0,"ATENÇÃO",IF(K169&lt;=5,"BOM","EXCELENTE")))</f>
        <v>BOM</v>
      </c>
    </row>
    <row r="170" spans="1:12" x14ac:dyDescent="0.25">
      <c r="A170" s="7">
        <v>46161</v>
      </c>
      <c r="B170" s="8" t="s">
        <v>27</v>
      </c>
      <c r="C170" s="9" t="s">
        <v>11</v>
      </c>
      <c r="D170" s="3">
        <v>23</v>
      </c>
      <c r="E170" s="3">
        <v>22</v>
      </c>
      <c r="G170" s="3">
        <v>2</v>
      </c>
      <c r="H170" s="3">
        <v>0</v>
      </c>
      <c r="I170" s="3">
        <f>E170+G170+H170</f>
        <v>24</v>
      </c>
      <c r="J170" s="3" t="str">
        <f>IF(C170="Técnico III","35",IF(C170="Técnico II","28",IF(C170="Técnico I","23",IF(C170="JR","20",IF(C170="Estágio","10",)))))</f>
        <v>28</v>
      </c>
      <c r="K170" s="3">
        <f>I170-J170</f>
        <v>-4</v>
      </c>
      <c r="L170" s="3" t="str">
        <f>IF(K170&lt;-5,"CRÍTICO",IF(K170&lt;0,"ATENÇÃO",IF(K170&lt;=5,"BOM","EXCELENTE")))</f>
        <v>ATENÇÃO</v>
      </c>
    </row>
    <row r="171" spans="1:12" x14ac:dyDescent="0.25">
      <c r="A171" s="5">
        <v>46146</v>
      </c>
      <c r="B171" s="6" t="s">
        <v>27</v>
      </c>
      <c r="C171" s="3" t="s">
        <v>11</v>
      </c>
      <c r="D171" s="3">
        <v>31</v>
      </c>
      <c r="E171" s="3">
        <v>28</v>
      </c>
      <c r="G171" s="3">
        <v>7</v>
      </c>
      <c r="I171" s="3">
        <f>E171+G171+H171</f>
        <v>35</v>
      </c>
      <c r="J171" s="3" t="str">
        <f>IF(C171="Técnico III","35",IF(C171="Técnico II","28",IF(C171="Técnico I","23",IF(C171="JR","20",IF(C171="Estágio","10",)))))</f>
        <v>28</v>
      </c>
      <c r="K171" s="3">
        <f>I171-J171</f>
        <v>7</v>
      </c>
      <c r="L171" s="3" t="str">
        <f>IF(K171&lt;-5,"CRÍTICO",IF(K171&lt;0,"ATENÇÃO",IF(K171&lt;=5,"BOM","EXCELENTE")))</f>
        <v>EXCELENTE</v>
      </c>
    </row>
    <row r="172" spans="1:12" x14ac:dyDescent="0.25">
      <c r="A172" s="5">
        <v>46147</v>
      </c>
      <c r="B172" s="6" t="s">
        <v>27</v>
      </c>
      <c r="C172" s="3" t="s">
        <v>11</v>
      </c>
      <c r="D172" s="3">
        <v>34</v>
      </c>
      <c r="E172" s="3">
        <v>31</v>
      </c>
      <c r="G172" s="3">
        <v>3</v>
      </c>
      <c r="I172" s="3">
        <f>E172+G172+H172</f>
        <v>34</v>
      </c>
      <c r="J172" s="3" t="str">
        <f>IF(C172="Técnico III","35",IF(C172="Técnico II","28",IF(C172="Técnico I","23",IF(C172="JR","20",IF(C172="Estágio","10",)))))</f>
        <v>28</v>
      </c>
      <c r="K172" s="3">
        <f>I172-J172</f>
        <v>6</v>
      </c>
      <c r="L172" s="3" t="str">
        <f>IF(K172&lt;-5,"CRÍTICO",IF(K172&lt;0,"ATENÇÃO",IF(K172&lt;=5,"BOM","EXCELENTE")))</f>
        <v>EXCELENTE</v>
      </c>
    </row>
    <row r="173" spans="1:12" x14ac:dyDescent="0.25">
      <c r="A173" s="5">
        <v>46148</v>
      </c>
      <c r="B173" s="6" t="s">
        <v>27</v>
      </c>
      <c r="C173" s="3" t="s">
        <v>11</v>
      </c>
      <c r="D173" s="3">
        <v>15</v>
      </c>
      <c r="E173" s="3">
        <v>14</v>
      </c>
      <c r="G173" s="3">
        <v>9</v>
      </c>
      <c r="I173" s="3">
        <f>E173+G173+H173</f>
        <v>23</v>
      </c>
      <c r="J173" s="3" t="str">
        <f>IF(C173="Técnico III","35",IF(C173="Técnico II","28",IF(C173="Técnico I","23",IF(C173="JR","20",IF(C173="Estágio","10",)))))</f>
        <v>28</v>
      </c>
      <c r="K173" s="3">
        <f>I173-J173</f>
        <v>-5</v>
      </c>
      <c r="L173" s="3" t="str">
        <f>IF(K173&lt;-5,"CRÍTICO",IF(K173&lt;0,"ATENÇÃO",IF(K173&lt;=5,"BOM","EXCELENTE")))</f>
        <v>ATENÇÃO</v>
      </c>
    </row>
    <row r="174" spans="1:12" x14ac:dyDescent="0.25">
      <c r="A174" s="5">
        <v>46149</v>
      </c>
      <c r="B174" s="6" t="s">
        <v>27</v>
      </c>
      <c r="C174" s="3" t="s">
        <v>11</v>
      </c>
      <c r="D174" s="3">
        <v>30</v>
      </c>
      <c r="E174" s="3">
        <v>29</v>
      </c>
      <c r="G174" s="3">
        <v>2</v>
      </c>
      <c r="I174" s="3">
        <f>E174+G174+H174</f>
        <v>31</v>
      </c>
      <c r="J174" s="3" t="str">
        <f>IF(C174="Técnico III","35",IF(C174="Técnico II","28",IF(C174="Técnico I","23",IF(C174="JR","20",IF(C174="Estágio","10",)))))</f>
        <v>28</v>
      </c>
      <c r="K174" s="3">
        <f>I174-J174</f>
        <v>3</v>
      </c>
      <c r="L174" s="3" t="str">
        <f>IF(K174&lt;-5,"CRÍTICO",IF(K174&lt;0,"ATENÇÃO",IF(K174&lt;=5,"BOM","EXCELENTE")))</f>
        <v>BOM</v>
      </c>
    </row>
    <row r="175" spans="1:12" x14ac:dyDescent="0.25">
      <c r="A175" s="5">
        <v>46150</v>
      </c>
      <c r="B175" s="6" t="s">
        <v>27</v>
      </c>
      <c r="C175" s="3" t="s">
        <v>11</v>
      </c>
      <c r="D175" s="3">
        <v>25</v>
      </c>
      <c r="E175" s="3">
        <v>23</v>
      </c>
      <c r="G175" s="3">
        <v>6</v>
      </c>
      <c r="H175" s="3">
        <v>0</v>
      </c>
      <c r="I175" s="3">
        <f>E175+G175+H175</f>
        <v>29</v>
      </c>
      <c r="J175" s="3" t="str">
        <f>IF(C175="Técnico III","35",IF(C175="Técnico II","28",IF(C175="Técnico I","23",IF(C175="JR","20",IF(C175="Estágio","10",)))))</f>
        <v>28</v>
      </c>
      <c r="K175" s="3">
        <f>I175-J175</f>
        <v>1</v>
      </c>
      <c r="L175" s="3" t="str">
        <f>IF(K175&lt;-5,"CRÍTICO",IF(K175&lt;0,"ATENÇÃO",IF(K175&lt;=5,"BOM","EXCELENTE")))</f>
        <v>BOM</v>
      </c>
    </row>
    <row r="176" spans="1:12" x14ac:dyDescent="0.25">
      <c r="A176" s="5">
        <v>46153</v>
      </c>
      <c r="B176" s="6" t="s">
        <v>27</v>
      </c>
      <c r="C176" s="3" t="s">
        <v>11</v>
      </c>
      <c r="D176" s="3">
        <v>28</v>
      </c>
      <c r="E176" s="3">
        <v>27</v>
      </c>
      <c r="G176" s="3">
        <v>4</v>
      </c>
      <c r="I176" s="3">
        <f>E176+G176+H176</f>
        <v>31</v>
      </c>
      <c r="J176" s="3" t="str">
        <f>IF(C176="Técnico III","35",IF(C176="Técnico II","28",IF(C176="Técnico I","23",IF(C176="JR","20",IF(C176="Estágio","10",)))))</f>
        <v>28</v>
      </c>
      <c r="K176" s="3">
        <f>I176-J176</f>
        <v>3</v>
      </c>
      <c r="L176" s="3" t="str">
        <f>IF(K176&lt;-5,"CRÍTICO",IF(K176&lt;0,"ATENÇÃO",IF(K176&lt;=5,"BOM","EXCELENTE")))</f>
        <v>BOM</v>
      </c>
    </row>
    <row r="177" spans="1:12" x14ac:dyDescent="0.25">
      <c r="A177" s="5">
        <v>46154</v>
      </c>
      <c r="B177" s="6" t="s">
        <v>27</v>
      </c>
      <c r="C177" s="3" t="s">
        <v>11</v>
      </c>
      <c r="D177" s="3">
        <v>25</v>
      </c>
      <c r="E177" s="3">
        <v>24</v>
      </c>
      <c r="G177" s="3">
        <v>5</v>
      </c>
      <c r="I177" s="3">
        <f>E177+G177+H177</f>
        <v>29</v>
      </c>
      <c r="J177" s="3" t="str">
        <f>IF(C177="Técnico III","35",IF(C177="Técnico II","28",IF(C177="Técnico I","23",IF(C177="JR","20",IF(C177="Estágio","10",)))))</f>
        <v>28</v>
      </c>
      <c r="K177" s="3">
        <f>I177-J177</f>
        <v>1</v>
      </c>
      <c r="L177" s="3" t="str">
        <f>IF(K177&lt;-5,"CRÍTICO",IF(K177&lt;0,"ATENÇÃO",IF(K177&lt;=5,"BOM","EXCELENTE")))</f>
        <v>BOM</v>
      </c>
    </row>
    <row r="178" spans="1:12" x14ac:dyDescent="0.25">
      <c r="A178" s="5">
        <v>46155</v>
      </c>
      <c r="B178" s="6" t="s">
        <v>27</v>
      </c>
      <c r="C178" s="3" t="s">
        <v>11</v>
      </c>
      <c r="D178" s="3">
        <v>28</v>
      </c>
      <c r="E178" s="3">
        <v>25</v>
      </c>
      <c r="G178" s="3">
        <v>2</v>
      </c>
      <c r="I178" s="3">
        <f>E178+G178+H178</f>
        <v>27</v>
      </c>
      <c r="J178" s="3" t="str">
        <f>IF(C178="Técnico III","35",IF(C178="Técnico II","28",IF(C178="Técnico I","23",IF(C178="JR","20",IF(C178="Estágio","10",)))))</f>
        <v>28</v>
      </c>
      <c r="K178" s="3">
        <f>I178-J178</f>
        <v>-1</v>
      </c>
      <c r="L178" s="3" t="str">
        <f>IF(K178&lt;-5,"CRÍTICO",IF(K178&lt;0,"ATENÇÃO",IF(K178&lt;=5,"BOM","EXCELENTE")))</f>
        <v>ATENÇÃO</v>
      </c>
    </row>
    <row r="179" spans="1:12" x14ac:dyDescent="0.25">
      <c r="A179" s="5">
        <v>46156</v>
      </c>
      <c r="B179" s="6" t="s">
        <v>27</v>
      </c>
      <c r="C179" s="3" t="s">
        <v>11</v>
      </c>
      <c r="D179" s="3">
        <v>14</v>
      </c>
      <c r="E179" s="3">
        <v>13</v>
      </c>
      <c r="G179" s="3">
        <v>0</v>
      </c>
      <c r="H179" s="3">
        <v>0</v>
      </c>
      <c r="I179" s="3">
        <f>E179+G179+H179</f>
        <v>13</v>
      </c>
      <c r="J179" s="3" t="str">
        <f>IF(C179="Técnico III","35",IF(C179="Técnico II","28",IF(C179="Técnico I","23",IF(C179="JR","20",IF(C179="Estágio","10",)))))</f>
        <v>28</v>
      </c>
      <c r="K179" s="3">
        <f>I179-J179</f>
        <v>-15</v>
      </c>
      <c r="L179" s="3" t="str">
        <f>IF(K179&lt;-5,"CRÍTICO",IF(K179&lt;0,"ATENÇÃO",IF(K179&lt;=5,"BOM","EXCELENTE")))</f>
        <v>CRÍTICO</v>
      </c>
    </row>
    <row r="180" spans="1:12" x14ac:dyDescent="0.25">
      <c r="A180" s="5">
        <v>46157</v>
      </c>
      <c r="B180" s="6" t="s">
        <v>27</v>
      </c>
      <c r="C180" s="3" t="s">
        <v>11</v>
      </c>
      <c r="D180" s="3">
        <v>27</v>
      </c>
      <c r="E180" s="3">
        <v>25</v>
      </c>
      <c r="G180" s="3">
        <v>2</v>
      </c>
      <c r="H180" s="3">
        <v>0</v>
      </c>
      <c r="I180" s="3">
        <f>E180+G180+H180</f>
        <v>27</v>
      </c>
      <c r="J180" s="3" t="str">
        <f>IF(C180="Técnico III","35",IF(C180="Técnico II","28",IF(C180="Técnico I","23",IF(C180="JR","20",IF(C180="Estágio","10",)))))</f>
        <v>28</v>
      </c>
      <c r="K180" s="3">
        <f>I180-J180</f>
        <v>-1</v>
      </c>
      <c r="L180" s="3" t="str">
        <f>IF(K180&lt;-5,"CRÍTICO",IF(K180&lt;0,"ATENÇÃO",IF(K180&lt;=5,"BOM","EXCELENTE")))</f>
        <v>ATENÇÃO</v>
      </c>
    </row>
    <row r="181" spans="1:12" x14ac:dyDescent="0.25">
      <c r="A181" s="5">
        <v>46160</v>
      </c>
      <c r="B181" s="6" t="s">
        <v>27</v>
      </c>
      <c r="C181" s="3" t="s">
        <v>11</v>
      </c>
      <c r="D181" s="3">
        <v>29</v>
      </c>
      <c r="E181" s="3">
        <v>27</v>
      </c>
      <c r="G181" s="3">
        <v>3</v>
      </c>
      <c r="H181" s="3">
        <v>0</v>
      </c>
      <c r="I181" s="3">
        <f>E181+G181+H181</f>
        <v>30</v>
      </c>
      <c r="J181" s="3" t="str">
        <f>IF(C181="Técnico III","35",IF(C181="Técnico II","28",IF(C181="Técnico I","23",IF(C181="JR","20",IF(C181="Estágio","10",)))))</f>
        <v>28</v>
      </c>
      <c r="K181" s="3">
        <f>I181-J181</f>
        <v>2</v>
      </c>
      <c r="L181" s="3" t="str">
        <f>IF(K181&lt;-5,"CRÍTICO",IF(K181&lt;0,"ATENÇÃO",IF(K181&lt;=5,"BOM","EXCELENTE")))</f>
        <v>BOM</v>
      </c>
    </row>
    <row r="182" spans="1:12" x14ac:dyDescent="0.25">
      <c r="A182" s="7">
        <v>46161</v>
      </c>
      <c r="B182" s="8" t="s">
        <v>62</v>
      </c>
      <c r="C182" s="9" t="s">
        <v>12</v>
      </c>
      <c r="D182" s="3">
        <v>12</v>
      </c>
      <c r="E182" s="3">
        <v>12</v>
      </c>
      <c r="G182" s="3">
        <v>0</v>
      </c>
      <c r="H182" s="3">
        <v>0</v>
      </c>
      <c r="I182" s="3">
        <f>E182+G182+H182</f>
        <v>12</v>
      </c>
      <c r="J182" s="3" t="str">
        <f>IF(C182="Técnico III","35",IF(C182="Técnico II","28",IF(C182="Técnico I","23",IF(C182="JR","20",IF(C182="Estágio","10",)))))</f>
        <v>35</v>
      </c>
      <c r="K182" s="3">
        <f>I182-J182</f>
        <v>-23</v>
      </c>
      <c r="L182" s="3" t="str">
        <f>IF(K182&lt;-5,"CRÍTICO",IF(K182&lt;0,"ATENÇÃO",IF(K182&lt;=5,"BOM","EXCELENTE")))</f>
        <v>CRÍTICO</v>
      </c>
    </row>
    <row r="183" spans="1:12" x14ac:dyDescent="0.25">
      <c r="A183" s="5">
        <v>46146</v>
      </c>
      <c r="B183" s="6" t="s">
        <v>62</v>
      </c>
      <c r="C183" s="9" t="s">
        <v>12</v>
      </c>
      <c r="D183" s="3">
        <v>0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 t="str">
        <f>IF(K183&lt;-5,"CRÍTICO",IF(K183&lt;0,"ATENÇÃO",IF(K183&lt;=5,"BOM","EXCELENTE")))</f>
        <v>BOM</v>
      </c>
    </row>
    <row r="184" spans="1:12" x14ac:dyDescent="0.25">
      <c r="A184" s="5">
        <v>46147</v>
      </c>
      <c r="B184" s="6" t="s">
        <v>62</v>
      </c>
      <c r="C184" s="9" t="s">
        <v>12</v>
      </c>
      <c r="D184" s="3">
        <v>0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 t="str">
        <f>IF(K184&lt;-5,"CRÍTICO",IF(K184&lt;0,"ATENÇÃO",IF(K184&lt;=5,"BOM","EXCELENTE")))</f>
        <v>BOM</v>
      </c>
    </row>
    <row r="185" spans="1:12" x14ac:dyDescent="0.25">
      <c r="A185" s="5">
        <v>46148</v>
      </c>
      <c r="B185" s="6" t="s">
        <v>62</v>
      </c>
      <c r="C185" s="9" t="s">
        <v>12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 t="str">
        <f>IF(K185&lt;-5,"CRÍTICO",IF(K185&lt;0,"ATENÇÃO",IF(K185&lt;=5,"BOM","EXCELENTE")))</f>
        <v>BOM</v>
      </c>
    </row>
    <row r="186" spans="1:12" x14ac:dyDescent="0.25">
      <c r="A186" s="5">
        <v>46149</v>
      </c>
      <c r="B186" s="6" t="s">
        <v>62</v>
      </c>
      <c r="C186" s="9" t="s">
        <v>12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 t="str">
        <f>IF(K186&lt;-5,"CRÍTICO",IF(K186&lt;0,"ATENÇÃO",IF(K186&lt;=5,"BOM","EXCELENTE")))</f>
        <v>BOM</v>
      </c>
    </row>
    <row r="187" spans="1:12" x14ac:dyDescent="0.25">
      <c r="A187" s="5">
        <v>46150</v>
      </c>
      <c r="B187" s="6" t="s">
        <v>62</v>
      </c>
      <c r="C187" s="9" t="s">
        <v>12</v>
      </c>
      <c r="D187" s="3">
        <v>0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 t="str">
        <f>IF(K187&lt;-5,"CRÍTICO",IF(K187&lt;0,"ATENÇÃO",IF(K187&lt;=5,"BOM","EXCELENTE")))</f>
        <v>BOM</v>
      </c>
    </row>
    <row r="188" spans="1:12" x14ac:dyDescent="0.25">
      <c r="A188" s="5">
        <v>46153</v>
      </c>
      <c r="B188" s="6" t="s">
        <v>62</v>
      </c>
      <c r="C188" s="9" t="s">
        <v>12</v>
      </c>
      <c r="D188" s="3">
        <v>0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 t="str">
        <f>IF(K188&lt;-5,"CRÍTICO",IF(K188&lt;0,"ATENÇÃO",IF(K188&lt;=5,"BOM","EXCELENTE")))</f>
        <v>BOM</v>
      </c>
    </row>
    <row r="189" spans="1:12" x14ac:dyDescent="0.25">
      <c r="A189" s="5">
        <v>46154</v>
      </c>
      <c r="B189" s="6" t="s">
        <v>62</v>
      </c>
      <c r="C189" s="9" t="s">
        <v>12</v>
      </c>
      <c r="D189" s="3">
        <v>0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 t="str">
        <f>IF(K189&lt;-5,"CRÍTICO",IF(K189&lt;0,"ATENÇÃO",IF(K189&lt;=5,"BOM","EXCELENTE")))</f>
        <v>BOM</v>
      </c>
    </row>
    <row r="190" spans="1:12" x14ac:dyDescent="0.25">
      <c r="A190" s="5">
        <v>46155</v>
      </c>
      <c r="B190" s="6" t="s">
        <v>62</v>
      </c>
      <c r="C190" s="9" t="s">
        <v>12</v>
      </c>
      <c r="D190" s="3">
        <v>0</v>
      </c>
      <c r="E190" s="3">
        <v>0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 t="str">
        <f>IF(K190&lt;-5,"CRÍTICO",IF(K190&lt;0,"ATENÇÃO",IF(K190&lt;=5,"BOM","EXCELENTE")))</f>
        <v>BOM</v>
      </c>
    </row>
    <row r="191" spans="1:12" x14ac:dyDescent="0.25">
      <c r="A191" s="5">
        <v>46156</v>
      </c>
      <c r="B191" s="6" t="s">
        <v>62</v>
      </c>
      <c r="C191" s="9" t="s">
        <v>12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 t="str">
        <f>IF(K191&lt;-5,"CRÍTICO",IF(K191&lt;0,"ATENÇÃO",IF(K191&lt;=5,"BOM","EXCELENTE")))</f>
        <v>BOM</v>
      </c>
    </row>
    <row r="192" spans="1:12" x14ac:dyDescent="0.25">
      <c r="A192" s="7">
        <v>46161</v>
      </c>
      <c r="B192" s="8" t="s">
        <v>28</v>
      </c>
      <c r="C192" s="9" t="s">
        <v>11</v>
      </c>
      <c r="D192" s="3">
        <v>0</v>
      </c>
      <c r="E192" s="3">
        <v>0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 t="str">
        <f>IF(K192&lt;-5,"CRÍTICO",IF(K192&lt;0,"ATENÇÃO",IF(K192&lt;=5,"BOM","EXCELENTE")))</f>
        <v>BOM</v>
      </c>
    </row>
    <row r="193" spans="1:12" x14ac:dyDescent="0.25">
      <c r="A193" s="5">
        <v>46146</v>
      </c>
      <c r="B193" s="6" t="s">
        <v>28</v>
      </c>
      <c r="C193" s="3" t="s">
        <v>11</v>
      </c>
      <c r="D193" s="3">
        <v>36</v>
      </c>
      <c r="E193" s="3">
        <v>33</v>
      </c>
      <c r="G193" s="3">
        <v>0</v>
      </c>
      <c r="I193" s="3">
        <f>E193+G193+H193</f>
        <v>33</v>
      </c>
      <c r="J193" s="3" t="str">
        <f>IF(C193="Técnico III","35",IF(C193="Técnico II","28",IF(C193="Técnico I","23",IF(C193="JR","20",IF(C193="Estágio","10",)))))</f>
        <v>28</v>
      </c>
      <c r="K193" s="3">
        <f>I193-J193</f>
        <v>5</v>
      </c>
      <c r="L193" s="3" t="str">
        <f>IF(K193&lt;-5,"CRÍTICO",IF(K193&lt;0,"ATENÇÃO",IF(K193&lt;=5,"BOM","EXCELENTE")))</f>
        <v>BOM</v>
      </c>
    </row>
    <row r="194" spans="1:12" x14ac:dyDescent="0.25">
      <c r="A194" s="5">
        <v>46147</v>
      </c>
      <c r="B194" s="6" t="s">
        <v>28</v>
      </c>
      <c r="C194" s="3" t="s">
        <v>11</v>
      </c>
      <c r="D194" s="3">
        <v>0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 t="str">
        <f>IF(K194&lt;-5,"CRÍTICO",IF(K194&lt;0,"ATENÇÃO",IF(K194&lt;=5,"BOM","EXCELENTE")))</f>
        <v>BOM</v>
      </c>
    </row>
    <row r="195" spans="1:12" x14ac:dyDescent="0.25">
      <c r="A195" s="5">
        <v>46148</v>
      </c>
      <c r="B195" s="6" t="s">
        <v>28</v>
      </c>
      <c r="C195" s="3" t="s">
        <v>11</v>
      </c>
      <c r="D195" s="3">
        <v>0</v>
      </c>
      <c r="E195" s="3">
        <v>0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 t="str">
        <f>IF(K195&lt;-5,"CRÍTICO",IF(K195&lt;0,"ATENÇÃO",IF(K195&lt;=5,"BOM","EXCELENTE")))</f>
        <v>BOM</v>
      </c>
    </row>
    <row r="196" spans="1:12" x14ac:dyDescent="0.25">
      <c r="A196" s="5">
        <v>46149</v>
      </c>
      <c r="B196" s="6" t="s">
        <v>28</v>
      </c>
      <c r="C196" s="3" t="s">
        <v>11</v>
      </c>
      <c r="D196" s="3">
        <v>0</v>
      </c>
      <c r="E196" s="3">
        <v>0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 t="str">
        <f>IF(K196&lt;-5,"CRÍTICO",IF(K196&lt;0,"ATENÇÃO",IF(K196&lt;=5,"BOM","EXCELENTE")))</f>
        <v>BOM</v>
      </c>
    </row>
    <row r="197" spans="1:12" x14ac:dyDescent="0.25">
      <c r="A197" s="5">
        <v>46150</v>
      </c>
      <c r="B197" s="6" t="s">
        <v>28</v>
      </c>
      <c r="C197" s="3" t="s">
        <v>11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>IF(K197&lt;-5,"CRÍTICO",IF(K197&lt;0,"ATENÇÃO",IF(K197&lt;=5,"BOM","EXCELENTE")))</f>
        <v>BOM</v>
      </c>
    </row>
    <row r="198" spans="1:12" x14ac:dyDescent="0.25">
      <c r="A198" s="5">
        <v>46153</v>
      </c>
      <c r="B198" s="6" t="s">
        <v>28</v>
      </c>
      <c r="C198" s="3" t="s">
        <v>11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>IF(K198&lt;-5,"CRÍTICO",IF(K198&lt;0,"ATENÇÃO",IF(K198&lt;=5,"BOM","EXCELENTE")))</f>
        <v>BOM</v>
      </c>
    </row>
    <row r="199" spans="1:12" x14ac:dyDescent="0.25">
      <c r="A199" s="5">
        <v>46154</v>
      </c>
      <c r="B199" s="6" t="s">
        <v>28</v>
      </c>
      <c r="C199" s="3" t="s">
        <v>11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 t="str">
        <f>IF(K199&lt;-5,"CRÍTICO",IF(K199&lt;0,"ATENÇÃO",IF(K199&lt;=5,"BOM","EXCELENTE")))</f>
        <v>BOM</v>
      </c>
    </row>
    <row r="200" spans="1:12" x14ac:dyDescent="0.25">
      <c r="A200" s="5">
        <v>46155</v>
      </c>
      <c r="B200" s="6" t="s">
        <v>28</v>
      </c>
      <c r="C200" s="3" t="s">
        <v>11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 t="str">
        <f>IF(K200&lt;-5,"CRÍTICO",IF(K200&lt;0,"ATENÇÃO",IF(K200&lt;=5,"BOM","EXCELENTE")))</f>
        <v>BOM</v>
      </c>
    </row>
    <row r="201" spans="1:12" x14ac:dyDescent="0.25">
      <c r="A201" s="5">
        <v>46156</v>
      </c>
      <c r="B201" s="6" t="s">
        <v>28</v>
      </c>
      <c r="C201" s="3" t="s">
        <v>11</v>
      </c>
      <c r="D201" s="3">
        <v>0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 t="str">
        <f>IF(K201&lt;-5,"CRÍTICO",IF(K201&lt;0,"ATENÇÃO",IF(K201&lt;=5,"BOM","EXCELENTE")))</f>
        <v>BOM</v>
      </c>
    </row>
    <row r="202" spans="1:12" x14ac:dyDescent="0.25">
      <c r="A202" s="5">
        <v>46157</v>
      </c>
      <c r="B202" s="6" t="s">
        <v>28</v>
      </c>
      <c r="C202" s="3" t="s">
        <v>11</v>
      </c>
      <c r="D202" s="3">
        <v>0</v>
      </c>
      <c r="E202" s="3">
        <v>0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 t="str">
        <f>IF(K202&lt;-5,"CRÍTICO",IF(K202&lt;0,"ATENÇÃO",IF(K202&lt;=5,"BOM","EXCELENTE")))</f>
        <v>BOM</v>
      </c>
    </row>
    <row r="203" spans="1:12" x14ac:dyDescent="0.25">
      <c r="A203" s="5">
        <v>46160</v>
      </c>
      <c r="B203" s="6" t="s">
        <v>28</v>
      </c>
      <c r="C203" s="3" t="s">
        <v>11</v>
      </c>
      <c r="D203" s="3">
        <v>0</v>
      </c>
      <c r="E203" s="3">
        <v>0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 t="str">
        <f>IF(K203&lt;-5,"CRÍTICO",IF(K203&lt;0,"ATENÇÃO",IF(K203&lt;=5,"BOM","EXCELENTE")))</f>
        <v>BOM</v>
      </c>
    </row>
    <row r="204" spans="1:12" x14ac:dyDescent="0.25">
      <c r="A204" s="7">
        <v>46161</v>
      </c>
      <c r="B204" s="8" t="s">
        <v>29</v>
      </c>
      <c r="C204" s="9" t="s">
        <v>17</v>
      </c>
      <c r="D204" s="3">
        <v>4</v>
      </c>
      <c r="E204" s="3">
        <v>4</v>
      </c>
      <c r="G204" s="3">
        <v>0</v>
      </c>
      <c r="H204" s="3">
        <v>0</v>
      </c>
      <c r="I204" s="3">
        <f>E204+G204+H204</f>
        <v>4</v>
      </c>
      <c r="J204" s="3" t="str">
        <f>IF(C204="Técnico III","35",IF(C204="Técnico II","28",IF(C204="Técnico I","23",IF(C204="JR","20",IF(C204="Estágio","10",)))))</f>
        <v>10</v>
      </c>
      <c r="K204" s="3">
        <f>I204-J204</f>
        <v>-6</v>
      </c>
      <c r="L204" s="3" t="str">
        <f>IF(K204&lt;-5,"CRÍTICO",IF(K204&lt;0,"ATENÇÃO",IF(K204&lt;=5,"BOM","EXCELENTE")))</f>
        <v>CRÍTICO</v>
      </c>
    </row>
    <row r="205" spans="1:12" x14ac:dyDescent="0.25">
      <c r="A205" s="5">
        <v>46150</v>
      </c>
      <c r="B205" s="6" t="s">
        <v>29</v>
      </c>
      <c r="C205" s="3" t="s">
        <v>17</v>
      </c>
      <c r="D205" s="3">
        <v>46</v>
      </c>
      <c r="E205" s="3">
        <v>42</v>
      </c>
      <c r="G205" s="3">
        <v>0</v>
      </c>
      <c r="H205" s="3">
        <v>0</v>
      </c>
      <c r="I205" s="3">
        <f>E205+G205+H205</f>
        <v>42</v>
      </c>
      <c r="J205" s="3" t="str">
        <f>IF(C205="Técnico III","35",IF(C205="Técnico II","28",IF(C205="Técnico I","23",IF(C205="JR","20",IF(C205="Estágio","10",)))))</f>
        <v>10</v>
      </c>
      <c r="K205" s="3">
        <f>I205-J205</f>
        <v>32</v>
      </c>
      <c r="L205" s="3" t="str">
        <f>IF(K205&lt;-5,"CRÍTICO",IF(K205&lt;0,"ATENÇÃO",IF(K205&lt;=5,"BOM","EXCELENTE")))</f>
        <v>EXCELENTE</v>
      </c>
    </row>
    <row r="206" spans="1:12" x14ac:dyDescent="0.25">
      <c r="A206" s="5">
        <v>46157</v>
      </c>
      <c r="B206" s="6" t="s">
        <v>29</v>
      </c>
      <c r="C206" s="3" t="s">
        <v>17</v>
      </c>
      <c r="D206" s="3">
        <v>4</v>
      </c>
      <c r="E206" s="3">
        <v>4</v>
      </c>
      <c r="G206" s="3">
        <v>0</v>
      </c>
      <c r="H206" s="3">
        <v>0</v>
      </c>
      <c r="I206" s="3">
        <f>E206+G206+H206</f>
        <v>4</v>
      </c>
      <c r="J206" s="3" t="str">
        <f>IF(C206="Técnico III","35",IF(C206="Técnico II","28",IF(C206="Técnico I","23",IF(C206="JR","20",IF(C206="Estágio","10",)))))</f>
        <v>10</v>
      </c>
      <c r="K206" s="3">
        <f>I206-J206</f>
        <v>-6</v>
      </c>
      <c r="L206" s="3" t="str">
        <f>IF(K206&lt;-5,"CRÍTICO",IF(K206&lt;0,"ATENÇÃO",IF(K206&lt;=5,"BOM","EXCELENTE")))</f>
        <v>CRÍTICO</v>
      </c>
    </row>
    <row r="207" spans="1:12" x14ac:dyDescent="0.25">
      <c r="A207" s="5">
        <v>46160</v>
      </c>
      <c r="B207" s="6" t="s">
        <v>29</v>
      </c>
      <c r="C207" s="3" t="s">
        <v>17</v>
      </c>
      <c r="D207" s="3">
        <v>2</v>
      </c>
      <c r="E207" s="3">
        <v>2</v>
      </c>
      <c r="G207" s="3">
        <v>0</v>
      </c>
      <c r="H207" s="3">
        <v>0</v>
      </c>
      <c r="I207" s="3">
        <f>E207+G207+H207</f>
        <v>2</v>
      </c>
      <c r="J207" s="3" t="str">
        <f>IF(C207="Técnico III","35",IF(C207="Técnico II","28",IF(C207="Técnico I","23",IF(C207="JR","20",IF(C207="Estágio","10",)))))</f>
        <v>10</v>
      </c>
      <c r="K207" s="3">
        <f>I207-J207</f>
        <v>-8</v>
      </c>
      <c r="L207" s="3" t="str">
        <f>IF(K207&lt;-5,"CRÍTICO",IF(K207&lt;0,"ATENÇÃO",IF(K207&lt;=5,"BOM","EXCELENTE")))</f>
        <v>CRÍTICO</v>
      </c>
    </row>
    <row r="208" spans="1:12" x14ac:dyDescent="0.25">
      <c r="A208" s="7">
        <v>46161</v>
      </c>
      <c r="B208" s="8" t="s">
        <v>30</v>
      </c>
      <c r="C208" s="9" t="s">
        <v>14</v>
      </c>
      <c r="D208" s="3">
        <v>19</v>
      </c>
      <c r="E208" s="3">
        <v>18</v>
      </c>
      <c r="G208" s="3">
        <v>3</v>
      </c>
      <c r="H208" s="3">
        <v>3</v>
      </c>
      <c r="I208" s="3">
        <f>E208+G208+H208</f>
        <v>24</v>
      </c>
      <c r="J208" s="3" t="str">
        <f>IF(C208="Técnico III","35",IF(C208="Técnico II","28",IF(C208="Técnico I","23",IF(C208="JR","20",IF(C208="Estágio","10",)))))</f>
        <v>23</v>
      </c>
      <c r="K208" s="3">
        <f>I208-J208</f>
        <v>1</v>
      </c>
      <c r="L208" s="3" t="str">
        <f>IF(K208&lt;-5,"CRÍTICO",IF(K208&lt;0,"ATENÇÃO",IF(K208&lt;=5,"BOM","EXCELENTE")))</f>
        <v>BOM</v>
      </c>
    </row>
    <row r="209" spans="1:12" x14ac:dyDescent="0.25">
      <c r="A209" s="5">
        <v>46146</v>
      </c>
      <c r="B209" s="6" t="s">
        <v>30</v>
      </c>
      <c r="C209" s="3" t="s">
        <v>14</v>
      </c>
      <c r="D209" s="3">
        <v>24</v>
      </c>
      <c r="E209" s="3">
        <v>20</v>
      </c>
      <c r="G209" s="3">
        <v>7</v>
      </c>
      <c r="I209" s="3">
        <f>E209+G209+H209</f>
        <v>27</v>
      </c>
      <c r="J209" s="3" t="str">
        <f>IF(C209="Técnico III","35",IF(C209="Técnico II","28",IF(C209="Técnico I","23",IF(C209="JR","20",IF(C209="Estágio","10",)))))</f>
        <v>23</v>
      </c>
      <c r="K209" s="3">
        <f>I209-J209</f>
        <v>4</v>
      </c>
      <c r="L209" s="3" t="str">
        <f>IF(K209&lt;-5,"CRÍTICO",IF(K209&lt;0,"ATENÇÃO",IF(K209&lt;=5,"BOM","EXCELENTE")))</f>
        <v>BOM</v>
      </c>
    </row>
    <row r="210" spans="1:12" x14ac:dyDescent="0.25">
      <c r="A210" s="5">
        <v>46147</v>
      </c>
      <c r="B210" s="6" t="s">
        <v>30</v>
      </c>
      <c r="C210" s="3" t="s">
        <v>14</v>
      </c>
      <c r="D210" s="3">
        <v>13</v>
      </c>
      <c r="E210" s="3">
        <v>12</v>
      </c>
      <c r="G210" s="3">
        <v>9</v>
      </c>
      <c r="I210" s="3">
        <f>E210+G210+H210</f>
        <v>21</v>
      </c>
      <c r="J210" s="3" t="str">
        <f>IF(C210="Técnico III","35",IF(C210="Técnico II","28",IF(C210="Técnico I","23",IF(C210="JR","20",IF(C210="Estágio","10",)))))</f>
        <v>23</v>
      </c>
      <c r="K210" s="3">
        <f>I210-J210</f>
        <v>-2</v>
      </c>
      <c r="L210" s="3" t="str">
        <f>IF(K210&lt;-5,"CRÍTICO",IF(K210&lt;0,"ATENÇÃO",IF(K210&lt;=5,"BOM","EXCELENTE")))</f>
        <v>ATENÇÃO</v>
      </c>
    </row>
    <row r="211" spans="1:12" x14ac:dyDescent="0.25">
      <c r="A211" s="5">
        <v>46148</v>
      </c>
      <c r="B211" s="6" t="s">
        <v>30</v>
      </c>
      <c r="C211" s="3" t="s">
        <v>14</v>
      </c>
      <c r="D211" s="3">
        <v>23</v>
      </c>
      <c r="E211" s="3">
        <v>22</v>
      </c>
      <c r="G211" s="3">
        <v>9</v>
      </c>
      <c r="I211" s="3">
        <f>E211+G211+H211</f>
        <v>31</v>
      </c>
      <c r="J211" s="3" t="str">
        <f>IF(C211="Técnico III","35",IF(C211="Técnico II","28",IF(C211="Técnico I","23",IF(C211="JR","20",IF(C211="Estágio","10",)))))</f>
        <v>23</v>
      </c>
      <c r="K211" s="3">
        <f>I211-J211</f>
        <v>8</v>
      </c>
      <c r="L211" s="3" t="str">
        <f>IF(K211&lt;-5,"CRÍTICO",IF(K211&lt;0,"ATENÇÃO",IF(K211&lt;=5,"BOM","EXCELENTE")))</f>
        <v>EXCELENTE</v>
      </c>
    </row>
    <row r="212" spans="1:12" x14ac:dyDescent="0.25">
      <c r="A212" s="5">
        <v>46149</v>
      </c>
      <c r="B212" s="6" t="s">
        <v>30</v>
      </c>
      <c r="C212" s="3" t="s">
        <v>14</v>
      </c>
      <c r="D212" s="3">
        <v>26</v>
      </c>
      <c r="E212" s="3">
        <v>26</v>
      </c>
      <c r="G212" s="3">
        <v>2</v>
      </c>
      <c r="I212" s="3">
        <f>E212+G212+H212</f>
        <v>28</v>
      </c>
      <c r="J212" s="3" t="str">
        <f>IF(C212="Técnico III","35",IF(C212="Técnico II","28",IF(C212="Técnico I","23",IF(C212="JR","20",IF(C212="Estágio","10",)))))</f>
        <v>23</v>
      </c>
      <c r="K212" s="3">
        <f>I212-J212</f>
        <v>5</v>
      </c>
      <c r="L212" s="3" t="str">
        <f>IF(K212&lt;-5,"CRÍTICO",IF(K212&lt;0,"ATENÇÃO",IF(K212&lt;=5,"BOM","EXCELENTE")))</f>
        <v>BOM</v>
      </c>
    </row>
    <row r="213" spans="1:12" x14ac:dyDescent="0.25">
      <c r="A213" s="5">
        <v>46150</v>
      </c>
      <c r="B213" s="6" t="s">
        <v>30</v>
      </c>
      <c r="C213" s="3" t="s">
        <v>14</v>
      </c>
      <c r="D213" s="3">
        <v>0</v>
      </c>
      <c r="E213" s="3">
        <v>0</v>
      </c>
      <c r="F213" s="3">
        <v>0</v>
      </c>
      <c r="G213" s="3">
        <v>0</v>
      </c>
      <c r="H213" s="3">
        <v>0</v>
      </c>
      <c r="I213" s="3">
        <v>0</v>
      </c>
      <c r="J213" s="3">
        <v>0</v>
      </c>
      <c r="K213" s="3">
        <v>0</v>
      </c>
      <c r="L213" s="3" t="str">
        <f>IF(K213&lt;-5,"CRÍTICO",IF(K213&lt;0,"ATENÇÃO",IF(K213&lt;=5,"BOM","EXCELENTE")))</f>
        <v>BOM</v>
      </c>
    </row>
    <row r="214" spans="1:12" x14ac:dyDescent="0.25">
      <c r="A214" s="5">
        <v>46153</v>
      </c>
      <c r="B214" s="6" t="s">
        <v>30</v>
      </c>
      <c r="C214" s="3" t="s">
        <v>14</v>
      </c>
      <c r="D214" s="3">
        <v>25</v>
      </c>
      <c r="E214" s="3">
        <v>22</v>
      </c>
      <c r="G214" s="3">
        <v>5</v>
      </c>
      <c r="I214" s="3">
        <f>E214+G214+H214</f>
        <v>27</v>
      </c>
      <c r="J214" s="3" t="str">
        <f>IF(C214="Técnico III","35",IF(C214="Técnico II","28",IF(C214="Técnico I","23",IF(C214="JR","20",IF(C214="Estágio","10",)))))</f>
        <v>23</v>
      </c>
      <c r="K214" s="3">
        <f>I214-J214</f>
        <v>4</v>
      </c>
      <c r="L214" s="3" t="str">
        <f>IF(K214&lt;-5,"CRÍTICO",IF(K214&lt;0,"ATENÇÃO",IF(K214&lt;=5,"BOM","EXCELENTE")))</f>
        <v>BOM</v>
      </c>
    </row>
    <row r="215" spans="1:12" x14ac:dyDescent="0.25">
      <c r="A215" s="5">
        <v>46154</v>
      </c>
      <c r="B215" s="6" t="s">
        <v>30</v>
      </c>
      <c r="C215" s="3" t="s">
        <v>14</v>
      </c>
      <c r="D215" s="3">
        <v>17</v>
      </c>
      <c r="E215" s="3">
        <v>17</v>
      </c>
      <c r="H215" s="3">
        <v>7</v>
      </c>
      <c r="I215" s="3">
        <f>E215+G215+H215</f>
        <v>24</v>
      </c>
      <c r="J215" s="3" t="str">
        <f>IF(C215="Técnico III","35",IF(C215="Técnico II","28",IF(C215="Técnico I","23",IF(C215="JR","20",IF(C215="Estágio","10",)))))</f>
        <v>23</v>
      </c>
      <c r="K215" s="3">
        <f>I215-J215</f>
        <v>1</v>
      </c>
      <c r="L215" s="3" t="str">
        <f>IF(K215&lt;-5,"CRÍTICO",IF(K215&lt;0,"ATENÇÃO",IF(K215&lt;=5,"BOM","EXCELENTE")))</f>
        <v>BOM</v>
      </c>
    </row>
    <row r="216" spans="1:12" x14ac:dyDescent="0.25">
      <c r="A216" s="5">
        <v>46155</v>
      </c>
      <c r="B216" s="6" t="s">
        <v>30</v>
      </c>
      <c r="C216" s="3" t="s">
        <v>14</v>
      </c>
      <c r="D216" s="3">
        <v>20</v>
      </c>
      <c r="E216" s="3">
        <v>16</v>
      </c>
      <c r="G216" s="3">
        <v>11</v>
      </c>
      <c r="H216" s="3">
        <v>7</v>
      </c>
      <c r="I216" s="3">
        <f>E216+G216+H216</f>
        <v>34</v>
      </c>
      <c r="J216" s="3" t="str">
        <f>IF(C216="Técnico III","35",IF(C216="Técnico II","28",IF(C216="Técnico I","23",IF(C216="JR","20",IF(C216="Estágio","10",)))))</f>
        <v>23</v>
      </c>
      <c r="K216" s="3">
        <f>I216-J216</f>
        <v>11</v>
      </c>
      <c r="L216" s="3" t="str">
        <f>IF(K216&lt;-5,"CRÍTICO",IF(K216&lt;0,"ATENÇÃO",IF(K216&lt;=5,"BOM","EXCELENTE")))</f>
        <v>EXCELENTE</v>
      </c>
    </row>
    <row r="217" spans="1:12" x14ac:dyDescent="0.25">
      <c r="A217" s="5">
        <v>46156</v>
      </c>
      <c r="B217" s="6" t="s">
        <v>30</v>
      </c>
      <c r="C217" s="3" t="s">
        <v>14</v>
      </c>
      <c r="D217" s="3">
        <v>19</v>
      </c>
      <c r="E217" s="3">
        <v>18</v>
      </c>
      <c r="G217" s="3">
        <v>0</v>
      </c>
      <c r="H217" s="3">
        <v>5</v>
      </c>
      <c r="I217" s="3">
        <f>E217+G217+H217</f>
        <v>23</v>
      </c>
      <c r="J217" s="3" t="str">
        <f>IF(C217="Técnico III","35",IF(C217="Técnico II","28",IF(C217="Técnico I","23",IF(C217="JR","20",IF(C217="Estágio","10",)))))</f>
        <v>23</v>
      </c>
      <c r="K217" s="3">
        <f>I217-J217</f>
        <v>0</v>
      </c>
      <c r="L217" s="3" t="str">
        <f>IF(K217&lt;-5,"CRÍTICO",IF(K217&lt;0,"ATENÇÃO",IF(K217&lt;=5,"BOM","EXCELENTE")))</f>
        <v>BOM</v>
      </c>
    </row>
    <row r="218" spans="1:12" x14ac:dyDescent="0.25">
      <c r="A218" s="5">
        <v>46157</v>
      </c>
      <c r="B218" s="6" t="s">
        <v>30</v>
      </c>
      <c r="C218" s="3" t="s">
        <v>14</v>
      </c>
      <c r="D218" s="3">
        <v>19</v>
      </c>
      <c r="E218" s="3">
        <v>16</v>
      </c>
      <c r="G218" s="3">
        <v>6</v>
      </c>
      <c r="H218" s="3">
        <v>1</v>
      </c>
      <c r="I218" s="3">
        <f>E218+G218+H218</f>
        <v>23</v>
      </c>
      <c r="J218" s="3" t="str">
        <f>IF(C218="Técnico III","35",IF(C218="Técnico II","28",IF(C218="Técnico I","23",IF(C218="JR","20",IF(C218="Estágio","10",)))))</f>
        <v>23</v>
      </c>
      <c r="K218" s="3">
        <f>I218-J218</f>
        <v>0</v>
      </c>
      <c r="L218" s="3" t="str">
        <f>IF(K218&lt;-5,"CRÍTICO",IF(K218&lt;0,"ATENÇÃO",IF(K218&lt;=5,"BOM","EXCELENTE")))</f>
        <v>BOM</v>
      </c>
    </row>
    <row r="219" spans="1:12" x14ac:dyDescent="0.25">
      <c r="A219" s="5">
        <v>46160</v>
      </c>
      <c r="B219" s="6" t="s">
        <v>30</v>
      </c>
      <c r="C219" s="3" t="s">
        <v>14</v>
      </c>
      <c r="D219" s="3">
        <v>21</v>
      </c>
      <c r="E219" s="3">
        <v>18</v>
      </c>
      <c r="G219" s="3">
        <v>6</v>
      </c>
      <c r="H219" s="3">
        <v>1</v>
      </c>
      <c r="I219" s="3">
        <f>E219+G219+H219</f>
        <v>25</v>
      </c>
      <c r="J219" s="3" t="str">
        <f>IF(C219="Técnico III","35",IF(C219="Técnico II","28",IF(C219="Técnico I","23",IF(C219="JR","20",IF(C219="Estágio","10",)))))</f>
        <v>23</v>
      </c>
      <c r="K219" s="3">
        <f>I219-J219</f>
        <v>2</v>
      </c>
      <c r="L219" s="3" t="str">
        <f>IF(K219&lt;-5,"CRÍTICO",IF(K219&lt;0,"ATENÇÃO",IF(K219&lt;=5,"BOM","EXCELENTE")))</f>
        <v>BOM</v>
      </c>
    </row>
    <row r="220" spans="1:12" x14ac:dyDescent="0.25">
      <c r="A220" s="7">
        <v>46161</v>
      </c>
      <c r="B220" s="8" t="s">
        <v>31</v>
      </c>
      <c r="C220" s="9" t="s">
        <v>11</v>
      </c>
      <c r="D220" s="3">
        <v>28</v>
      </c>
      <c r="E220" s="3">
        <v>25</v>
      </c>
      <c r="G220" s="3">
        <v>0</v>
      </c>
      <c r="H220" s="3">
        <v>0</v>
      </c>
      <c r="I220" s="3">
        <f>E220+G220+H220</f>
        <v>25</v>
      </c>
      <c r="J220" s="3" t="str">
        <f>IF(C220="Técnico III","35",IF(C220="Técnico II","28",IF(C220="Técnico I","23",IF(C220="JR","20",IF(C220="Estágio","10",)))))</f>
        <v>28</v>
      </c>
      <c r="K220" s="3">
        <f>I220-J220</f>
        <v>-3</v>
      </c>
      <c r="L220" s="3" t="str">
        <f>IF(K220&lt;-5,"CRÍTICO",IF(K220&lt;0,"ATENÇÃO",IF(K220&lt;=5,"BOM","EXCELENTE")))</f>
        <v>ATENÇÃO</v>
      </c>
    </row>
    <row r="221" spans="1:12" x14ac:dyDescent="0.25">
      <c r="A221" s="5">
        <v>46146</v>
      </c>
      <c r="B221" s="6" t="s">
        <v>31</v>
      </c>
      <c r="C221" s="9" t="s">
        <v>11</v>
      </c>
      <c r="D221" s="3">
        <v>36</v>
      </c>
      <c r="E221" s="3">
        <v>34</v>
      </c>
      <c r="G221" s="3">
        <v>0</v>
      </c>
      <c r="I221" s="3">
        <f>E221+G221+H221</f>
        <v>34</v>
      </c>
      <c r="J221" s="3" t="str">
        <f>IF(C221="Técnico III","35",IF(C221="Técnico II","28",IF(C221="Técnico I","23",IF(C221="JR","20",IF(C221="Estágio","10",)))))</f>
        <v>28</v>
      </c>
      <c r="K221" s="3">
        <f>I221-J221</f>
        <v>6</v>
      </c>
      <c r="L221" s="3" t="str">
        <f>IF(K221&lt;-5,"CRÍTICO",IF(K221&lt;0,"ATENÇÃO",IF(K221&lt;=5,"BOM","EXCELENTE")))</f>
        <v>EXCELENTE</v>
      </c>
    </row>
    <row r="222" spans="1:12" x14ac:dyDescent="0.25">
      <c r="A222" s="5">
        <v>46147</v>
      </c>
      <c r="B222" s="6" t="s">
        <v>31</v>
      </c>
      <c r="C222" s="9" t="s">
        <v>11</v>
      </c>
      <c r="D222" s="3">
        <v>26</v>
      </c>
      <c r="E222" s="3">
        <v>26</v>
      </c>
      <c r="G222" s="3">
        <v>1</v>
      </c>
      <c r="I222" s="3">
        <f>E222+G222+H222</f>
        <v>27</v>
      </c>
      <c r="J222" s="3" t="str">
        <f>IF(C222="Técnico III","35",IF(C222="Técnico II","28",IF(C222="Técnico I","23",IF(C222="JR","20",IF(C222="Estágio","10",)))))</f>
        <v>28</v>
      </c>
      <c r="K222" s="3">
        <f>I222-J222</f>
        <v>-1</v>
      </c>
      <c r="L222" s="3" t="str">
        <f>IF(K222&lt;-5,"CRÍTICO",IF(K222&lt;0,"ATENÇÃO",IF(K222&lt;=5,"BOM","EXCELENTE")))</f>
        <v>ATENÇÃO</v>
      </c>
    </row>
    <row r="223" spans="1:12" x14ac:dyDescent="0.25">
      <c r="A223" s="5">
        <v>46148</v>
      </c>
      <c r="B223" s="6" t="s">
        <v>31</v>
      </c>
      <c r="C223" s="9" t="s">
        <v>11</v>
      </c>
      <c r="D223" s="3">
        <v>33</v>
      </c>
      <c r="E223" s="3">
        <v>32</v>
      </c>
      <c r="G223" s="3">
        <v>9</v>
      </c>
      <c r="I223" s="3">
        <f>E223+G223+H223</f>
        <v>41</v>
      </c>
      <c r="J223" s="3" t="str">
        <f>IF(C223="Técnico III","35",IF(C223="Técnico II","28",IF(C223="Técnico I","23",IF(C223="JR","20",IF(C223="Estágio","10",)))))</f>
        <v>28</v>
      </c>
      <c r="K223" s="3">
        <f>I223-J223</f>
        <v>13</v>
      </c>
      <c r="L223" s="3" t="str">
        <f>IF(K223&lt;-5,"CRÍTICO",IF(K223&lt;0,"ATENÇÃO",IF(K223&lt;=5,"BOM","EXCELENTE")))</f>
        <v>EXCELENTE</v>
      </c>
    </row>
    <row r="224" spans="1:12" x14ac:dyDescent="0.25">
      <c r="A224" s="5">
        <v>46149</v>
      </c>
      <c r="B224" s="6" t="s">
        <v>31</v>
      </c>
      <c r="C224" s="9" t="s">
        <v>11</v>
      </c>
      <c r="D224" s="3">
        <v>25</v>
      </c>
      <c r="E224" s="3">
        <v>24</v>
      </c>
      <c r="G224" s="3">
        <v>0</v>
      </c>
      <c r="I224" s="3">
        <f>E224+G224+H224</f>
        <v>24</v>
      </c>
      <c r="J224" s="3" t="str">
        <f>IF(C224="Técnico III","35",IF(C224="Técnico II","28",IF(C224="Técnico I","23",IF(C224="JR","20",IF(C224="Estágio","10",)))))</f>
        <v>28</v>
      </c>
      <c r="K224" s="3">
        <f>I224-J224</f>
        <v>-4</v>
      </c>
      <c r="L224" s="3" t="str">
        <f>IF(K224&lt;-5,"CRÍTICO",IF(K224&lt;0,"ATENÇÃO",IF(K224&lt;=5,"BOM","EXCELENTE")))</f>
        <v>ATENÇÃO</v>
      </c>
    </row>
    <row r="225" spans="1:12" x14ac:dyDescent="0.25">
      <c r="A225" s="5">
        <v>46150</v>
      </c>
      <c r="B225" s="6" t="s">
        <v>31</v>
      </c>
      <c r="C225" s="9" t="s">
        <v>11</v>
      </c>
      <c r="D225" s="3">
        <v>30</v>
      </c>
      <c r="E225" s="3">
        <v>27</v>
      </c>
      <c r="G225" s="3">
        <v>0</v>
      </c>
      <c r="H225" s="3">
        <v>0</v>
      </c>
      <c r="I225" s="3">
        <f>E225+G225+H225</f>
        <v>27</v>
      </c>
      <c r="J225" s="3" t="str">
        <f>IF(C225="Técnico III","35",IF(C225="Técnico II","28",IF(C225="Técnico I","23",IF(C225="JR","20",IF(C225="Estágio","10",)))))</f>
        <v>28</v>
      </c>
      <c r="K225" s="3">
        <f>I225-J225</f>
        <v>-1</v>
      </c>
      <c r="L225" s="3" t="str">
        <f>IF(K225&lt;-5,"CRÍTICO",IF(K225&lt;0,"ATENÇÃO",IF(K225&lt;=5,"BOM","EXCELENTE")))</f>
        <v>ATENÇÃO</v>
      </c>
    </row>
    <row r="226" spans="1:12" x14ac:dyDescent="0.25">
      <c r="A226" s="5">
        <v>46153</v>
      </c>
      <c r="B226" s="6" t="s">
        <v>31</v>
      </c>
      <c r="C226" s="9" t="s">
        <v>11</v>
      </c>
      <c r="D226" s="3">
        <v>26</v>
      </c>
      <c r="E226" s="3">
        <v>24</v>
      </c>
      <c r="I226" s="3">
        <f>E226+G226+H226</f>
        <v>24</v>
      </c>
      <c r="J226" s="3" t="str">
        <f>IF(C226="Técnico III","35",IF(C226="Técnico II","28",IF(C226="Técnico I","23",IF(C226="JR","20",IF(C226="Estágio","10",)))))</f>
        <v>28</v>
      </c>
      <c r="K226" s="3">
        <f>I226-J226</f>
        <v>-4</v>
      </c>
      <c r="L226" s="3" t="str">
        <f>IF(K226&lt;-5,"CRÍTICO",IF(K226&lt;0,"ATENÇÃO",IF(K226&lt;=5,"BOM","EXCELENTE")))</f>
        <v>ATENÇÃO</v>
      </c>
    </row>
    <row r="227" spans="1:12" x14ac:dyDescent="0.25">
      <c r="A227" s="5">
        <v>46154</v>
      </c>
      <c r="B227" s="6" t="s">
        <v>31</v>
      </c>
      <c r="C227" s="9" t="s">
        <v>11</v>
      </c>
      <c r="D227" s="3">
        <v>26</v>
      </c>
      <c r="E227" s="3">
        <v>24</v>
      </c>
      <c r="I227" s="3">
        <f>E227+G227+H227</f>
        <v>24</v>
      </c>
      <c r="J227" s="3" t="str">
        <f>IF(C227="Técnico III","35",IF(C227="Técnico II","28",IF(C227="Técnico I","23",IF(C227="JR","20",IF(C227="Estágio","10",)))))</f>
        <v>28</v>
      </c>
      <c r="K227" s="3">
        <f>I227-J227</f>
        <v>-4</v>
      </c>
      <c r="L227" s="3" t="str">
        <f>IF(K227&lt;-5,"CRÍTICO",IF(K227&lt;0,"ATENÇÃO",IF(K227&lt;=5,"BOM","EXCELENTE")))</f>
        <v>ATENÇÃO</v>
      </c>
    </row>
    <row r="228" spans="1:12" x14ac:dyDescent="0.25">
      <c r="A228" s="5">
        <v>46155</v>
      </c>
      <c r="B228" s="6" t="s">
        <v>31</v>
      </c>
      <c r="C228" s="9" t="s">
        <v>11</v>
      </c>
      <c r="D228" s="3">
        <v>21</v>
      </c>
      <c r="E228" s="3">
        <v>21</v>
      </c>
      <c r="G228" s="3">
        <v>1</v>
      </c>
      <c r="I228" s="3">
        <f>E228+G228+H228</f>
        <v>22</v>
      </c>
      <c r="J228" s="3" t="str">
        <f>IF(C228="Técnico III","35",IF(C228="Técnico II","28",IF(C228="Técnico I","23",IF(C228="JR","20",IF(C228="Estágio","10",)))))</f>
        <v>28</v>
      </c>
      <c r="K228" s="3">
        <f>I228-J228</f>
        <v>-6</v>
      </c>
      <c r="L228" s="3" t="str">
        <f>IF(K228&lt;-5,"CRÍTICO",IF(K228&lt;0,"ATENÇÃO",IF(K228&lt;=5,"BOM","EXCELENTE")))</f>
        <v>CRÍTICO</v>
      </c>
    </row>
    <row r="229" spans="1:12" x14ac:dyDescent="0.25">
      <c r="A229" s="5">
        <v>46156</v>
      </c>
      <c r="B229" s="6" t="s">
        <v>31</v>
      </c>
      <c r="C229" s="9" t="s">
        <v>11</v>
      </c>
      <c r="D229" s="3">
        <v>17</v>
      </c>
      <c r="E229" s="3">
        <v>17</v>
      </c>
      <c r="G229" s="3">
        <v>0</v>
      </c>
      <c r="H229" s="3">
        <v>0</v>
      </c>
      <c r="I229" s="3">
        <f>E229+G229+H229</f>
        <v>17</v>
      </c>
      <c r="J229" s="3" t="str">
        <f>IF(C229="Técnico III","35",IF(C229="Técnico II","28",IF(C229="Técnico I","23",IF(C229="JR","20",IF(C229="Estágio","10",)))))</f>
        <v>28</v>
      </c>
      <c r="K229" s="3">
        <f>I229-J229</f>
        <v>-11</v>
      </c>
      <c r="L229" s="3" t="str">
        <f>IF(K229&lt;-5,"CRÍTICO",IF(K229&lt;0,"ATENÇÃO",IF(K229&lt;=5,"BOM","EXCELENTE")))</f>
        <v>CRÍTICO</v>
      </c>
    </row>
    <row r="230" spans="1:12" x14ac:dyDescent="0.25">
      <c r="A230" s="5">
        <v>46157</v>
      </c>
      <c r="B230" s="6" t="s">
        <v>31</v>
      </c>
      <c r="C230" s="9" t="s">
        <v>11</v>
      </c>
      <c r="D230" s="3">
        <v>28</v>
      </c>
      <c r="E230" s="3">
        <v>25</v>
      </c>
      <c r="G230" s="3">
        <v>0</v>
      </c>
      <c r="H230" s="3">
        <v>0</v>
      </c>
      <c r="I230" s="3">
        <f>E230+G230+H230</f>
        <v>25</v>
      </c>
      <c r="J230" s="3" t="str">
        <f>IF(C230="Técnico III","35",IF(C230="Técnico II","28",IF(C230="Técnico I","23",IF(C230="JR","20",IF(C230="Estágio","10",)))))</f>
        <v>28</v>
      </c>
      <c r="K230" s="3">
        <f>I230-J230</f>
        <v>-3</v>
      </c>
      <c r="L230" s="3" t="str">
        <f>IF(K230&lt;-5,"CRÍTICO",IF(K230&lt;0,"ATENÇÃO",IF(K230&lt;=5,"BOM","EXCELENTE")))</f>
        <v>ATENÇÃO</v>
      </c>
    </row>
    <row r="231" spans="1:12" x14ac:dyDescent="0.25">
      <c r="A231" s="5">
        <v>46160</v>
      </c>
      <c r="B231" s="6" t="s">
        <v>31</v>
      </c>
      <c r="C231" s="9" t="s">
        <v>11</v>
      </c>
      <c r="D231" s="3">
        <v>20</v>
      </c>
      <c r="E231" s="3">
        <v>20</v>
      </c>
      <c r="G231" s="3">
        <v>3</v>
      </c>
      <c r="H231" s="3">
        <v>0</v>
      </c>
      <c r="I231" s="3">
        <f>E231+G231+H231</f>
        <v>23</v>
      </c>
      <c r="J231" s="3" t="str">
        <f>IF(C231="Técnico III","35",IF(C231="Técnico II","28",IF(C231="Técnico I","23",IF(C231="JR","20",IF(C231="Estágio","10",)))))</f>
        <v>28</v>
      </c>
      <c r="K231" s="3">
        <f>I231-J231</f>
        <v>-5</v>
      </c>
      <c r="L231" s="3" t="str">
        <f>IF(K231&lt;-5,"CRÍTICO",IF(K231&lt;0,"ATENÇÃO",IF(K231&lt;=5,"BOM","EXCELENTE")))</f>
        <v>ATENÇÃO</v>
      </c>
    </row>
    <row r="232" spans="1:12" x14ac:dyDescent="0.25">
      <c r="A232" s="7">
        <v>46161</v>
      </c>
      <c r="B232" s="8" t="s">
        <v>32</v>
      </c>
      <c r="C232" s="9" t="s">
        <v>12</v>
      </c>
      <c r="D232" s="3">
        <v>43</v>
      </c>
      <c r="E232" s="3">
        <v>39</v>
      </c>
      <c r="G232" s="3">
        <v>3</v>
      </c>
      <c r="H232" s="3">
        <v>0</v>
      </c>
      <c r="I232" s="3">
        <f>E232+G232+H232</f>
        <v>42</v>
      </c>
      <c r="J232" s="3" t="str">
        <f>IF(C232="Técnico III","35",IF(C232="Técnico II","28",IF(C232="Técnico I","23",IF(C232="JR","20",IF(C232="Estágio","10",)))))</f>
        <v>35</v>
      </c>
      <c r="K232" s="3">
        <f>I232-J232</f>
        <v>7</v>
      </c>
      <c r="L232" s="3" t="str">
        <f>IF(K232&lt;-5,"CRÍTICO",IF(K232&lt;0,"ATENÇÃO",IF(K232&lt;=5,"BOM","EXCELENTE")))</f>
        <v>EXCELENTE</v>
      </c>
    </row>
    <row r="233" spans="1:12" x14ac:dyDescent="0.25">
      <c r="A233" s="5">
        <v>46146</v>
      </c>
      <c r="B233" s="6" t="s">
        <v>32</v>
      </c>
      <c r="C233" s="3" t="s">
        <v>12</v>
      </c>
      <c r="D233" s="3">
        <v>47</v>
      </c>
      <c r="E233" s="3">
        <v>44</v>
      </c>
      <c r="G233" s="3">
        <v>5</v>
      </c>
      <c r="I233" s="3">
        <f>E233+G233+H233</f>
        <v>49</v>
      </c>
      <c r="J233" s="3" t="str">
        <f>IF(C233="Técnico III","35",IF(C233="Técnico II","28",IF(C233="Técnico I","23",IF(C233="JR","20",IF(C233="Estágio","10",)))))</f>
        <v>35</v>
      </c>
      <c r="K233" s="3">
        <f>I233-J233</f>
        <v>14</v>
      </c>
      <c r="L233" s="3" t="str">
        <f>IF(K233&lt;-5,"CRÍTICO",IF(K233&lt;0,"ATENÇÃO",IF(K233&lt;=5,"BOM","EXCELENTE")))</f>
        <v>EXCELENTE</v>
      </c>
    </row>
    <row r="234" spans="1:12" x14ac:dyDescent="0.25">
      <c r="A234" s="5">
        <v>46147</v>
      </c>
      <c r="B234" s="6" t="s">
        <v>32</v>
      </c>
      <c r="C234" s="3" t="s">
        <v>12</v>
      </c>
      <c r="D234" s="3">
        <v>40</v>
      </c>
      <c r="E234" s="3">
        <v>40</v>
      </c>
      <c r="G234" s="3">
        <v>2</v>
      </c>
      <c r="I234" s="3">
        <f>E234+G234+H234</f>
        <v>42</v>
      </c>
      <c r="J234" s="3" t="str">
        <f>IF(C234="Técnico III","35",IF(C234="Técnico II","28",IF(C234="Técnico I","23",IF(C234="JR","20",IF(C234="Estágio","10",)))))</f>
        <v>35</v>
      </c>
      <c r="K234" s="3">
        <f>I234-J234</f>
        <v>7</v>
      </c>
      <c r="L234" s="3" t="str">
        <f>IF(K234&lt;-5,"CRÍTICO",IF(K234&lt;0,"ATENÇÃO",IF(K234&lt;=5,"BOM","EXCELENTE")))</f>
        <v>EXCELENTE</v>
      </c>
    </row>
    <row r="235" spans="1:12" x14ac:dyDescent="0.25">
      <c r="A235" s="5">
        <v>46148</v>
      </c>
      <c r="B235" s="6" t="s">
        <v>32</v>
      </c>
      <c r="C235" s="3" t="s">
        <v>12</v>
      </c>
      <c r="D235" s="3">
        <v>52</v>
      </c>
      <c r="E235" s="3">
        <v>45</v>
      </c>
      <c r="G235" s="3">
        <v>23</v>
      </c>
      <c r="I235" s="3">
        <f>E235+G235+H235</f>
        <v>68</v>
      </c>
      <c r="J235" s="3" t="str">
        <f>IF(C235="Técnico III","35",IF(C235="Técnico II","28",IF(C235="Técnico I","23",IF(C235="JR","20",IF(C235="Estágio","10",)))))</f>
        <v>35</v>
      </c>
      <c r="K235" s="3">
        <f>I235-J235</f>
        <v>33</v>
      </c>
      <c r="L235" s="3" t="str">
        <f>IF(K235&lt;-5,"CRÍTICO",IF(K235&lt;0,"ATENÇÃO",IF(K235&lt;=5,"BOM","EXCELENTE")))</f>
        <v>EXCELENTE</v>
      </c>
    </row>
    <row r="236" spans="1:12" x14ac:dyDescent="0.25">
      <c r="A236" s="5">
        <v>46149</v>
      </c>
      <c r="B236" s="6" t="s">
        <v>32</v>
      </c>
      <c r="C236" s="3" t="s">
        <v>12</v>
      </c>
      <c r="D236" s="3">
        <v>56</v>
      </c>
      <c r="E236" s="3">
        <v>51</v>
      </c>
      <c r="G236" s="3">
        <v>9</v>
      </c>
      <c r="I236" s="3">
        <f>E236+G236+H236</f>
        <v>60</v>
      </c>
      <c r="J236" s="3" t="str">
        <f>IF(C236="Técnico III","35",IF(C236="Técnico II","28",IF(C236="Técnico I","23",IF(C236="JR","20",IF(C236="Estágio","10",)))))</f>
        <v>35</v>
      </c>
      <c r="K236" s="3">
        <f>I236-J236</f>
        <v>25</v>
      </c>
      <c r="L236" s="3" t="str">
        <f>IF(K236&lt;-5,"CRÍTICO",IF(K236&lt;0,"ATENÇÃO",IF(K236&lt;=5,"BOM","EXCELENTE")))</f>
        <v>EXCELENTE</v>
      </c>
    </row>
    <row r="237" spans="1:12" x14ac:dyDescent="0.25">
      <c r="A237" s="5">
        <v>46150</v>
      </c>
      <c r="B237" s="6" t="s">
        <v>32</v>
      </c>
      <c r="C237" s="3" t="s">
        <v>12</v>
      </c>
      <c r="D237" s="3">
        <v>41</v>
      </c>
      <c r="E237" s="3">
        <v>37</v>
      </c>
      <c r="G237" s="3">
        <v>8</v>
      </c>
      <c r="H237" s="3">
        <v>0</v>
      </c>
      <c r="I237" s="3">
        <f>E237+G237+H237</f>
        <v>45</v>
      </c>
      <c r="J237" s="3" t="str">
        <f>IF(C237="Técnico III","35",IF(C237="Técnico II","28",IF(C237="Técnico I","23",IF(C237="JR","20",IF(C237="Estágio","10",)))))</f>
        <v>35</v>
      </c>
      <c r="K237" s="3">
        <f>I237-J237</f>
        <v>10</v>
      </c>
      <c r="L237" s="3" t="str">
        <f>IF(K237&lt;-5,"CRÍTICO",IF(K237&lt;0,"ATENÇÃO",IF(K237&lt;=5,"BOM","EXCELENTE")))</f>
        <v>EXCELENTE</v>
      </c>
    </row>
    <row r="238" spans="1:12" x14ac:dyDescent="0.25">
      <c r="A238" s="5">
        <v>46153</v>
      </c>
      <c r="B238" s="6" t="s">
        <v>32</v>
      </c>
      <c r="C238" s="3" t="s">
        <v>12</v>
      </c>
      <c r="D238" s="3">
        <v>53</v>
      </c>
      <c r="E238" s="3">
        <v>46</v>
      </c>
      <c r="G238" s="3">
        <v>3</v>
      </c>
      <c r="I238" s="3">
        <f>E238+G238+H238</f>
        <v>49</v>
      </c>
      <c r="J238" s="3" t="str">
        <f>IF(C238="Técnico III","35",IF(C238="Técnico II","28",IF(C238="Técnico I","23",IF(C238="JR","20",IF(C238="Estágio","10",)))))</f>
        <v>35</v>
      </c>
      <c r="K238" s="3">
        <f>I238-J238</f>
        <v>14</v>
      </c>
      <c r="L238" s="3" t="str">
        <f>IF(K238&lt;-5,"CRÍTICO",IF(K238&lt;0,"ATENÇÃO",IF(K238&lt;=5,"BOM","EXCELENTE")))</f>
        <v>EXCELENTE</v>
      </c>
    </row>
    <row r="239" spans="1:12" x14ac:dyDescent="0.25">
      <c r="A239" s="5">
        <v>46154</v>
      </c>
      <c r="B239" s="6" t="s">
        <v>32</v>
      </c>
      <c r="C239" s="3" t="s">
        <v>12</v>
      </c>
      <c r="D239" s="3">
        <v>47</v>
      </c>
      <c r="E239" s="3">
        <v>43</v>
      </c>
      <c r="G239" s="3">
        <v>8</v>
      </c>
      <c r="I239" s="3">
        <f>E239+G239+H239</f>
        <v>51</v>
      </c>
      <c r="J239" s="3" t="str">
        <f>IF(C239="Técnico III","35",IF(C239="Técnico II","28",IF(C239="Técnico I","23",IF(C239="JR","20",IF(C239="Estágio","10",)))))</f>
        <v>35</v>
      </c>
      <c r="K239" s="3">
        <f>I239-J239</f>
        <v>16</v>
      </c>
      <c r="L239" s="3" t="str">
        <f>IF(K239&lt;-5,"CRÍTICO",IF(K239&lt;0,"ATENÇÃO",IF(K239&lt;=5,"BOM","EXCELENTE")))</f>
        <v>EXCELENTE</v>
      </c>
    </row>
    <row r="240" spans="1:12" x14ac:dyDescent="0.25">
      <c r="A240" s="5">
        <v>46155</v>
      </c>
      <c r="B240" s="6" t="s">
        <v>32</v>
      </c>
      <c r="C240" s="3" t="s">
        <v>12</v>
      </c>
      <c r="D240" s="3">
        <v>46</v>
      </c>
      <c r="E240" s="3">
        <v>40</v>
      </c>
      <c r="G240" s="3">
        <v>3</v>
      </c>
      <c r="I240" s="3">
        <f>E240+G240+H240</f>
        <v>43</v>
      </c>
      <c r="J240" s="3" t="str">
        <f>IF(C240="Técnico III","35",IF(C240="Técnico II","28",IF(C240="Técnico I","23",IF(C240="JR","20",IF(C240="Estágio","10",)))))</f>
        <v>35</v>
      </c>
      <c r="K240" s="3">
        <f>I240-J240</f>
        <v>8</v>
      </c>
      <c r="L240" s="3" t="str">
        <f>IF(K240&lt;-5,"CRÍTICO",IF(K240&lt;0,"ATENÇÃO",IF(K240&lt;=5,"BOM","EXCELENTE")))</f>
        <v>EXCELENTE</v>
      </c>
    </row>
    <row r="241" spans="1:12" x14ac:dyDescent="0.25">
      <c r="A241" s="5">
        <v>46156</v>
      </c>
      <c r="B241" s="6" t="s">
        <v>32</v>
      </c>
      <c r="C241" s="3" t="s">
        <v>12</v>
      </c>
      <c r="D241" s="3">
        <v>35</v>
      </c>
      <c r="E241" s="3">
        <v>34</v>
      </c>
      <c r="G241" s="3">
        <v>6</v>
      </c>
      <c r="H241" s="3">
        <v>0</v>
      </c>
      <c r="I241" s="3">
        <f>E241+G241+H241</f>
        <v>40</v>
      </c>
      <c r="J241" s="3" t="str">
        <f>IF(C241="Técnico III","35",IF(C241="Técnico II","28",IF(C241="Técnico I","23",IF(C241="JR","20",IF(C241="Estágio","10",)))))</f>
        <v>35</v>
      </c>
      <c r="K241" s="3">
        <f>I241-J241</f>
        <v>5</v>
      </c>
      <c r="L241" s="3" t="str">
        <f>IF(K241&lt;-5,"CRÍTICO",IF(K241&lt;0,"ATENÇÃO",IF(K241&lt;=5,"BOM","EXCELENTE")))</f>
        <v>BOM</v>
      </c>
    </row>
    <row r="242" spans="1:12" x14ac:dyDescent="0.25">
      <c r="A242" s="5">
        <v>46157</v>
      </c>
      <c r="B242" s="6" t="s">
        <v>32</v>
      </c>
      <c r="C242" s="3" t="s">
        <v>12</v>
      </c>
      <c r="D242" s="3">
        <v>44</v>
      </c>
      <c r="E242" s="3">
        <v>38</v>
      </c>
      <c r="G242" s="3">
        <v>6</v>
      </c>
      <c r="H242" s="3">
        <v>0</v>
      </c>
      <c r="I242" s="3">
        <f>E242+G242+H242</f>
        <v>44</v>
      </c>
      <c r="J242" s="3" t="str">
        <f>IF(C242="Técnico III","35",IF(C242="Técnico II","28",IF(C242="Técnico I","23",IF(C242="JR","20",IF(C242="Estágio","10",)))))</f>
        <v>35</v>
      </c>
      <c r="K242" s="3">
        <f>I242-J242</f>
        <v>9</v>
      </c>
      <c r="L242" s="3" t="str">
        <f>IF(K242&lt;-5,"CRÍTICO",IF(K242&lt;0,"ATENÇÃO",IF(K242&lt;=5,"BOM","EXCELENTE")))</f>
        <v>EXCELENTE</v>
      </c>
    </row>
    <row r="243" spans="1:12" x14ac:dyDescent="0.25">
      <c r="A243" s="5">
        <v>46160</v>
      </c>
      <c r="B243" s="6" t="s">
        <v>32</v>
      </c>
      <c r="C243" s="3" t="s">
        <v>12</v>
      </c>
      <c r="D243" s="3">
        <v>37</v>
      </c>
      <c r="E243" s="3">
        <v>32</v>
      </c>
      <c r="G243" s="3">
        <v>5</v>
      </c>
      <c r="H243" s="3">
        <v>0</v>
      </c>
      <c r="I243" s="3">
        <f>E243+G243+H243</f>
        <v>37</v>
      </c>
      <c r="J243" s="3" t="str">
        <f>IF(C243="Técnico III","35",IF(C243="Técnico II","28",IF(C243="Técnico I","23",IF(C243="JR","20",IF(C243="Estágio","10",)))))</f>
        <v>35</v>
      </c>
      <c r="K243" s="3">
        <f>I243-J243</f>
        <v>2</v>
      </c>
      <c r="L243" s="3" t="str">
        <f>IF(K243&lt;-5,"CRÍTICO",IF(K243&lt;0,"ATENÇÃO",IF(K243&lt;=5,"BOM","EXCELENTE")))</f>
        <v>BOM</v>
      </c>
    </row>
    <row r="244" spans="1:12" x14ac:dyDescent="0.25">
      <c r="A244" s="7">
        <v>46161</v>
      </c>
      <c r="B244" s="8" t="s">
        <v>33</v>
      </c>
      <c r="C244" s="9" t="s">
        <v>12</v>
      </c>
      <c r="D244" s="3">
        <v>11</v>
      </c>
      <c r="E244" s="3">
        <v>10</v>
      </c>
      <c r="G244" s="3">
        <v>4</v>
      </c>
      <c r="H244" s="3">
        <v>0</v>
      </c>
      <c r="I244" s="3">
        <f>E244+G244+H244</f>
        <v>14</v>
      </c>
      <c r="J244" s="3" t="str">
        <f>IF(C244="Técnico III","35",IF(C244="Técnico II","28",IF(C244="Técnico I","23",IF(C244="JR","20",IF(C244="Estágio","10",)))))</f>
        <v>35</v>
      </c>
      <c r="K244" s="3">
        <f>I244-J244</f>
        <v>-21</v>
      </c>
      <c r="L244" s="3" t="str">
        <f>IF(K244&lt;-5,"CRÍTICO",IF(K244&lt;0,"ATENÇÃO",IF(K244&lt;=5,"BOM","EXCELENTE")))</f>
        <v>CRÍTICO</v>
      </c>
    </row>
    <row r="245" spans="1:12" x14ac:dyDescent="0.25">
      <c r="A245" s="5">
        <v>46146</v>
      </c>
      <c r="B245" s="6" t="s">
        <v>33</v>
      </c>
      <c r="C245" s="3" t="s">
        <v>12</v>
      </c>
      <c r="D245" s="3">
        <v>11</v>
      </c>
      <c r="E245" s="3">
        <v>11</v>
      </c>
      <c r="G245" s="3">
        <v>5</v>
      </c>
      <c r="I245" s="3">
        <f>E245+G245+H245</f>
        <v>16</v>
      </c>
      <c r="J245" s="3" t="str">
        <f>IF(C245="Técnico III","35",IF(C245="Técnico II","28",IF(C245="Técnico I","23",IF(C245="JR","20",IF(C245="Estágio","10",)))))</f>
        <v>35</v>
      </c>
      <c r="K245" s="3">
        <f>I245-J245</f>
        <v>-19</v>
      </c>
      <c r="L245" s="3" t="str">
        <f>IF(K245&lt;-5,"CRÍTICO",IF(K245&lt;0,"ATENÇÃO",IF(K245&lt;=5,"BOM","EXCELENTE")))</f>
        <v>CRÍTICO</v>
      </c>
    </row>
    <row r="246" spans="1:12" x14ac:dyDescent="0.25">
      <c r="A246" s="5">
        <v>46147</v>
      </c>
      <c r="B246" s="6" t="s">
        <v>33</v>
      </c>
      <c r="C246" s="3" t="s">
        <v>12</v>
      </c>
      <c r="D246" s="3">
        <v>42</v>
      </c>
      <c r="E246" s="3">
        <v>41</v>
      </c>
      <c r="G246" s="3">
        <v>2</v>
      </c>
      <c r="I246" s="3">
        <f>E246+G246+H246</f>
        <v>43</v>
      </c>
      <c r="J246" s="3" t="str">
        <f>IF(C246="Técnico III","35",IF(C246="Técnico II","28",IF(C246="Técnico I","23",IF(C246="JR","20",IF(C246="Estágio","10",)))))</f>
        <v>35</v>
      </c>
      <c r="K246" s="3">
        <f>I246-J246</f>
        <v>8</v>
      </c>
      <c r="L246" s="3" t="str">
        <f>IF(K246&lt;-5,"CRÍTICO",IF(K246&lt;0,"ATENÇÃO",IF(K246&lt;=5,"BOM","EXCELENTE")))</f>
        <v>EXCELENTE</v>
      </c>
    </row>
    <row r="247" spans="1:12" x14ac:dyDescent="0.25">
      <c r="A247" s="5">
        <v>46148</v>
      </c>
      <c r="B247" s="6" t="s">
        <v>33</v>
      </c>
      <c r="C247" s="3" t="s">
        <v>12</v>
      </c>
      <c r="D247" s="3">
        <v>27</v>
      </c>
      <c r="E247" s="3">
        <v>26</v>
      </c>
      <c r="G247" s="3">
        <v>7</v>
      </c>
      <c r="I247" s="3">
        <f>E247+G247+H247</f>
        <v>33</v>
      </c>
      <c r="J247" s="3" t="str">
        <f>IF(C247="Técnico III","35",IF(C247="Técnico II","28",IF(C247="Técnico I","23",IF(C247="JR","20",IF(C247="Estágio","10",)))))</f>
        <v>35</v>
      </c>
      <c r="K247" s="3">
        <f>I247-J247</f>
        <v>-2</v>
      </c>
      <c r="L247" s="3" t="str">
        <f>IF(K247&lt;-5,"CRÍTICO",IF(K247&lt;0,"ATENÇÃO",IF(K247&lt;=5,"BOM","EXCELENTE")))</f>
        <v>ATENÇÃO</v>
      </c>
    </row>
    <row r="248" spans="1:12" x14ac:dyDescent="0.25">
      <c r="A248" s="5">
        <v>46149</v>
      </c>
      <c r="B248" s="6" t="s">
        <v>33</v>
      </c>
      <c r="C248" s="3" t="s">
        <v>12</v>
      </c>
      <c r="D248" s="3">
        <v>48</v>
      </c>
      <c r="E248" s="3">
        <v>39</v>
      </c>
      <c r="G248" s="3">
        <v>6</v>
      </c>
      <c r="I248" s="3">
        <f>E248+G248+H248</f>
        <v>45</v>
      </c>
      <c r="J248" s="3" t="str">
        <f>IF(C248="Técnico III","35",IF(C248="Técnico II","28",IF(C248="Técnico I","23",IF(C248="JR","20",IF(C248="Estágio","10",)))))</f>
        <v>35</v>
      </c>
      <c r="K248" s="3">
        <f>I248-J248</f>
        <v>10</v>
      </c>
      <c r="L248" s="3" t="str">
        <f>IF(K248&lt;-5,"CRÍTICO",IF(K248&lt;0,"ATENÇÃO",IF(K248&lt;=5,"BOM","EXCELENTE")))</f>
        <v>EXCELENTE</v>
      </c>
    </row>
    <row r="249" spans="1:12" x14ac:dyDescent="0.25">
      <c r="A249" s="5">
        <v>46150</v>
      </c>
      <c r="B249" s="6" t="s">
        <v>33</v>
      </c>
      <c r="C249" s="3" t="s">
        <v>12</v>
      </c>
      <c r="D249" s="3">
        <v>20</v>
      </c>
      <c r="E249" s="3">
        <v>19</v>
      </c>
      <c r="G249" s="3">
        <v>5</v>
      </c>
      <c r="H249" s="3">
        <v>0</v>
      </c>
      <c r="I249" s="3">
        <f>E249+G249+H249</f>
        <v>24</v>
      </c>
      <c r="J249" s="3" t="str">
        <f>IF(C249="Técnico III","35",IF(C249="Técnico II","28",IF(C249="Técnico I","23",IF(C249="JR","20",IF(C249="Estágio","10",)))))</f>
        <v>35</v>
      </c>
      <c r="K249" s="3">
        <f>I249-J249</f>
        <v>-11</v>
      </c>
      <c r="L249" s="3" t="str">
        <f>IF(K249&lt;-5,"CRÍTICO",IF(K249&lt;0,"ATENÇÃO",IF(K249&lt;=5,"BOM","EXCELENTE")))</f>
        <v>CRÍTICO</v>
      </c>
    </row>
    <row r="250" spans="1:12" x14ac:dyDescent="0.25">
      <c r="A250" s="5">
        <v>46153</v>
      </c>
      <c r="B250" s="6" t="s">
        <v>33</v>
      </c>
      <c r="C250" s="3" t="s">
        <v>12</v>
      </c>
      <c r="D250" s="3">
        <v>22</v>
      </c>
      <c r="E250" s="3">
        <v>20</v>
      </c>
      <c r="G250" s="3">
        <v>4</v>
      </c>
      <c r="I250" s="3">
        <f>E250+G250+H250</f>
        <v>24</v>
      </c>
      <c r="J250" s="3" t="str">
        <f>IF(C250="Técnico III","35",IF(C250="Técnico II","28",IF(C250="Técnico I","23",IF(C250="JR","20",IF(C250="Estágio","10",)))))</f>
        <v>35</v>
      </c>
      <c r="K250" s="3">
        <f>I250-J250</f>
        <v>-11</v>
      </c>
      <c r="L250" s="3" t="str">
        <f>IF(K250&lt;-5,"CRÍTICO",IF(K250&lt;0,"ATENÇÃO",IF(K250&lt;=5,"BOM","EXCELENTE")))</f>
        <v>CRÍTICO</v>
      </c>
    </row>
    <row r="251" spans="1:12" x14ac:dyDescent="0.25">
      <c r="A251" s="5">
        <v>46154</v>
      </c>
      <c r="B251" s="6" t="s">
        <v>33</v>
      </c>
      <c r="C251" s="3" t="s">
        <v>12</v>
      </c>
      <c r="D251" s="3">
        <v>42</v>
      </c>
      <c r="E251" s="3">
        <v>37</v>
      </c>
      <c r="G251" s="3">
        <v>9</v>
      </c>
      <c r="I251" s="3">
        <f>E251+G251+H251</f>
        <v>46</v>
      </c>
      <c r="J251" s="3" t="str">
        <f>IF(C251="Técnico III","35",IF(C251="Técnico II","28",IF(C251="Técnico I","23",IF(C251="JR","20",IF(C251="Estágio","10",)))))</f>
        <v>35</v>
      </c>
      <c r="K251" s="3">
        <f>I251-J251</f>
        <v>11</v>
      </c>
      <c r="L251" s="3" t="str">
        <f>IF(K251&lt;-5,"CRÍTICO",IF(K251&lt;0,"ATENÇÃO",IF(K251&lt;=5,"BOM","EXCELENTE")))</f>
        <v>EXCELENTE</v>
      </c>
    </row>
    <row r="252" spans="1:12" x14ac:dyDescent="0.25">
      <c r="A252" s="5">
        <v>46155</v>
      </c>
      <c r="B252" s="6" t="s">
        <v>33</v>
      </c>
      <c r="C252" s="3" t="s">
        <v>12</v>
      </c>
      <c r="D252" s="3">
        <v>30</v>
      </c>
      <c r="E252" s="3">
        <v>29</v>
      </c>
      <c r="G252" s="3">
        <v>5</v>
      </c>
      <c r="I252" s="3">
        <f>E252+G252+H252</f>
        <v>34</v>
      </c>
      <c r="J252" s="3" t="str">
        <f>IF(C252="Técnico III","35",IF(C252="Técnico II","28",IF(C252="Técnico I","23",IF(C252="JR","20",IF(C252="Estágio","10",)))))</f>
        <v>35</v>
      </c>
      <c r="K252" s="3">
        <f>I252-J252</f>
        <v>-1</v>
      </c>
      <c r="L252" s="3" t="str">
        <f>IF(K252&lt;-5,"CRÍTICO",IF(K252&lt;0,"ATENÇÃO",IF(K252&lt;=5,"BOM","EXCELENTE")))</f>
        <v>ATENÇÃO</v>
      </c>
    </row>
    <row r="253" spans="1:12" x14ac:dyDescent="0.25">
      <c r="A253" s="5">
        <v>46156</v>
      </c>
      <c r="B253" s="6" t="s">
        <v>33</v>
      </c>
      <c r="C253" s="3" t="s">
        <v>12</v>
      </c>
      <c r="D253" s="3">
        <v>42</v>
      </c>
      <c r="E253" s="3">
        <v>40</v>
      </c>
      <c r="G253" s="3">
        <v>8</v>
      </c>
      <c r="H253" s="3">
        <v>0</v>
      </c>
      <c r="I253" s="3">
        <f>E253+G253+H253</f>
        <v>48</v>
      </c>
      <c r="J253" s="3" t="str">
        <f>IF(C253="Técnico III","35",IF(C253="Técnico II","28",IF(C253="Técnico I","23",IF(C253="JR","20",IF(C253="Estágio","10",)))))</f>
        <v>35</v>
      </c>
      <c r="K253" s="3">
        <f>I253-J253</f>
        <v>13</v>
      </c>
      <c r="L253" s="3" t="str">
        <f>IF(K253&lt;-5,"CRÍTICO",IF(K253&lt;0,"ATENÇÃO",IF(K253&lt;=5,"BOM","EXCELENTE")))</f>
        <v>EXCELENTE</v>
      </c>
    </row>
    <row r="254" spans="1:12" x14ac:dyDescent="0.25">
      <c r="A254" s="5">
        <v>46157</v>
      </c>
      <c r="B254" s="6" t="s">
        <v>33</v>
      </c>
      <c r="C254" s="3" t="s">
        <v>12</v>
      </c>
      <c r="D254" s="3">
        <v>30</v>
      </c>
      <c r="E254" s="3">
        <v>29</v>
      </c>
      <c r="G254" s="3">
        <v>5</v>
      </c>
      <c r="H254" s="3">
        <v>0</v>
      </c>
      <c r="I254" s="3">
        <f>E254+G254+H254</f>
        <v>34</v>
      </c>
      <c r="J254" s="3" t="str">
        <f>IF(C254="Técnico III","35",IF(C254="Técnico II","28",IF(C254="Técnico I","23",IF(C254="JR","20",IF(C254="Estágio","10",)))))</f>
        <v>35</v>
      </c>
      <c r="K254" s="3">
        <f>I254-J254</f>
        <v>-1</v>
      </c>
      <c r="L254" s="3" t="str">
        <f>IF(K254&lt;-5,"CRÍTICO",IF(K254&lt;0,"ATENÇÃO",IF(K254&lt;=5,"BOM","EXCELENTE")))</f>
        <v>ATENÇÃO</v>
      </c>
    </row>
    <row r="255" spans="1:12" x14ac:dyDescent="0.25">
      <c r="A255" s="5">
        <v>46160</v>
      </c>
      <c r="B255" s="6" t="s">
        <v>33</v>
      </c>
      <c r="C255" s="3" t="s">
        <v>12</v>
      </c>
      <c r="D255" s="3">
        <v>26</v>
      </c>
      <c r="E255" s="3">
        <v>25</v>
      </c>
      <c r="G255" s="3">
        <v>6</v>
      </c>
      <c r="H255" s="3">
        <v>0</v>
      </c>
      <c r="I255" s="3">
        <f>E255+G255+H255</f>
        <v>31</v>
      </c>
      <c r="J255" s="3" t="str">
        <f>IF(C255="Técnico III","35",IF(C255="Técnico II","28",IF(C255="Técnico I","23",IF(C255="JR","20",IF(C255="Estágio","10",)))))</f>
        <v>35</v>
      </c>
      <c r="K255" s="3">
        <f>I255-J255</f>
        <v>-4</v>
      </c>
      <c r="L255" s="3" t="str">
        <f>IF(K255&lt;-5,"CRÍTICO",IF(K255&lt;0,"ATENÇÃO",IF(K255&lt;=5,"BOM","EXCELENTE")))</f>
        <v>ATENÇÃO</v>
      </c>
    </row>
    <row r="256" spans="1:12" x14ac:dyDescent="0.25">
      <c r="A256" s="7">
        <v>46161</v>
      </c>
      <c r="B256" s="8" t="s">
        <v>34</v>
      </c>
      <c r="C256" s="9" t="s">
        <v>11</v>
      </c>
      <c r="D256" s="3">
        <v>24</v>
      </c>
      <c r="E256" s="3">
        <v>20</v>
      </c>
      <c r="G256" s="3">
        <v>2</v>
      </c>
      <c r="H256" s="3">
        <v>0</v>
      </c>
      <c r="I256" s="3">
        <f>E256+G256+H256</f>
        <v>22</v>
      </c>
      <c r="J256" s="3" t="str">
        <f>IF(C256="Técnico III","35",IF(C256="Técnico II","28",IF(C256="Técnico I","23",IF(C256="JR","20",IF(C256="Estágio","10",)))))</f>
        <v>28</v>
      </c>
      <c r="K256" s="3">
        <f>I256-J256</f>
        <v>-6</v>
      </c>
      <c r="L256" s="3" t="str">
        <f>IF(K256&lt;-5,"CRÍTICO",IF(K256&lt;0,"ATENÇÃO",IF(K256&lt;=5,"BOM","EXCELENTE")))</f>
        <v>CRÍTICO</v>
      </c>
    </row>
    <row r="257" spans="1:12" x14ac:dyDescent="0.25">
      <c r="A257" s="5">
        <v>46146</v>
      </c>
      <c r="B257" s="6" t="s">
        <v>34</v>
      </c>
      <c r="C257" s="3" t="s">
        <v>11</v>
      </c>
      <c r="D257" s="3">
        <v>32</v>
      </c>
      <c r="E257" s="3">
        <v>28</v>
      </c>
      <c r="G257" s="3">
        <v>4</v>
      </c>
      <c r="I257" s="3">
        <f>E257+G257+H257</f>
        <v>32</v>
      </c>
      <c r="J257" s="3" t="str">
        <f>IF(C257="Técnico III","35",IF(C257="Técnico II","28",IF(C257="Técnico I","23",IF(C257="JR","20",IF(C257="Estágio","10",)))))</f>
        <v>28</v>
      </c>
      <c r="K257" s="3">
        <f>I257-J257</f>
        <v>4</v>
      </c>
      <c r="L257" s="3" t="str">
        <f>IF(K257&lt;-5,"CRÍTICO",IF(K257&lt;0,"ATENÇÃO",IF(K257&lt;=5,"BOM","EXCELENTE")))</f>
        <v>BOM</v>
      </c>
    </row>
    <row r="258" spans="1:12" x14ac:dyDescent="0.25">
      <c r="A258" s="5">
        <v>46147</v>
      </c>
      <c r="B258" s="6" t="s">
        <v>34</v>
      </c>
      <c r="C258" s="3" t="s">
        <v>11</v>
      </c>
      <c r="D258" s="3">
        <v>39</v>
      </c>
      <c r="E258" s="3">
        <v>30</v>
      </c>
      <c r="G258" s="3">
        <v>0</v>
      </c>
      <c r="I258" s="3">
        <f>E258+G258+H258</f>
        <v>30</v>
      </c>
      <c r="J258" s="3" t="str">
        <f>IF(C258="Técnico III","35",IF(C258="Técnico II","28",IF(C258="Técnico I","23",IF(C258="JR","20",IF(C258="Estágio","10",)))))</f>
        <v>28</v>
      </c>
      <c r="K258" s="3">
        <f>I258-J258</f>
        <v>2</v>
      </c>
      <c r="L258" s="3" t="str">
        <f>IF(K258&lt;-5,"CRÍTICO",IF(K258&lt;0,"ATENÇÃO",IF(K258&lt;=5,"BOM","EXCELENTE")))</f>
        <v>BOM</v>
      </c>
    </row>
    <row r="259" spans="1:12" x14ac:dyDescent="0.25">
      <c r="A259" s="5">
        <v>46148</v>
      </c>
      <c r="B259" s="6" t="s">
        <v>34</v>
      </c>
      <c r="C259" s="3" t="s">
        <v>11</v>
      </c>
      <c r="D259" s="3">
        <v>29</v>
      </c>
      <c r="E259" s="3">
        <v>28</v>
      </c>
      <c r="G259" s="3">
        <v>7</v>
      </c>
      <c r="I259" s="3">
        <f>E259+G259+H259</f>
        <v>35</v>
      </c>
      <c r="J259" s="3" t="str">
        <f>IF(C259="Técnico III","35",IF(C259="Técnico II","28",IF(C259="Técnico I","23",IF(C259="JR","20",IF(C259="Estágio","10",)))))</f>
        <v>28</v>
      </c>
      <c r="K259" s="3">
        <f>I259-J259</f>
        <v>7</v>
      </c>
      <c r="L259" s="3" t="str">
        <f>IF(K259&lt;-5,"CRÍTICO",IF(K259&lt;0,"ATENÇÃO",IF(K259&lt;=5,"BOM","EXCELENTE")))</f>
        <v>EXCELENTE</v>
      </c>
    </row>
    <row r="260" spans="1:12" x14ac:dyDescent="0.25">
      <c r="A260" s="5">
        <v>46149</v>
      </c>
      <c r="B260" s="6" t="s">
        <v>34</v>
      </c>
      <c r="C260" s="3" t="s">
        <v>11</v>
      </c>
      <c r="D260" s="3">
        <v>34</v>
      </c>
      <c r="E260" s="3">
        <v>28</v>
      </c>
      <c r="G260" s="3">
        <v>0</v>
      </c>
      <c r="I260" s="3">
        <f>E260+G260+H260</f>
        <v>28</v>
      </c>
      <c r="J260" s="3" t="str">
        <f>IF(C260="Técnico III","35",IF(C260="Técnico II","28",IF(C260="Técnico I","23",IF(C260="JR","20",IF(C260="Estágio","10",)))))</f>
        <v>28</v>
      </c>
      <c r="K260" s="3">
        <f>I260-J260</f>
        <v>0</v>
      </c>
      <c r="L260" s="3" t="str">
        <f>IF(K260&lt;-5,"CRÍTICO",IF(K260&lt;0,"ATENÇÃO",IF(K260&lt;=5,"BOM","EXCELENTE")))</f>
        <v>BOM</v>
      </c>
    </row>
    <row r="261" spans="1:12" x14ac:dyDescent="0.25">
      <c r="A261" s="5">
        <v>46150</v>
      </c>
      <c r="B261" s="6" t="s">
        <v>34</v>
      </c>
      <c r="C261" s="3" t="s">
        <v>11</v>
      </c>
      <c r="D261" s="3">
        <v>25</v>
      </c>
      <c r="E261" s="3">
        <v>20</v>
      </c>
      <c r="G261" s="3">
        <v>3</v>
      </c>
      <c r="H261" s="3">
        <v>0</v>
      </c>
      <c r="I261" s="3">
        <f>E261+G261+H261</f>
        <v>23</v>
      </c>
      <c r="J261" s="3" t="str">
        <f>IF(C261="Técnico III","35",IF(C261="Técnico II","28",IF(C261="Técnico I","23",IF(C261="JR","20",IF(C261="Estágio","10",)))))</f>
        <v>28</v>
      </c>
      <c r="K261" s="3">
        <f>I261-J261</f>
        <v>-5</v>
      </c>
      <c r="L261" s="3" t="str">
        <f>IF(K261&lt;-5,"CRÍTICO",IF(K261&lt;0,"ATENÇÃO",IF(K261&lt;=5,"BOM","EXCELENTE")))</f>
        <v>ATENÇÃO</v>
      </c>
    </row>
    <row r="262" spans="1:12" x14ac:dyDescent="0.25">
      <c r="A262" s="5">
        <v>46153</v>
      </c>
      <c r="B262" s="6" t="s">
        <v>34</v>
      </c>
      <c r="C262" s="3" t="s">
        <v>11</v>
      </c>
      <c r="D262" s="3">
        <v>39</v>
      </c>
      <c r="E262" s="3">
        <v>31</v>
      </c>
      <c r="G262" s="3">
        <v>1</v>
      </c>
      <c r="I262" s="3">
        <f>E262+G262+H262</f>
        <v>32</v>
      </c>
      <c r="J262" s="3" t="str">
        <f>IF(C262="Técnico III","35",IF(C262="Técnico II","28",IF(C262="Técnico I","23",IF(C262="JR","20",IF(C262="Estágio","10",)))))</f>
        <v>28</v>
      </c>
      <c r="K262" s="3">
        <f>I262-J262</f>
        <v>4</v>
      </c>
      <c r="L262" s="3" t="str">
        <f>IF(K262&lt;-5,"CRÍTICO",IF(K262&lt;0,"ATENÇÃO",IF(K262&lt;=5,"BOM","EXCELENTE")))</f>
        <v>BOM</v>
      </c>
    </row>
    <row r="263" spans="1:12" x14ac:dyDescent="0.25">
      <c r="A263" s="5">
        <v>46154</v>
      </c>
      <c r="B263" s="6" t="s">
        <v>34</v>
      </c>
      <c r="C263" s="3" t="s">
        <v>11</v>
      </c>
      <c r="D263" s="3">
        <v>29</v>
      </c>
      <c r="E263" s="3">
        <v>26</v>
      </c>
      <c r="G263" s="3">
        <v>5</v>
      </c>
      <c r="I263" s="3">
        <f>E263+G263+H263</f>
        <v>31</v>
      </c>
      <c r="J263" s="3" t="str">
        <f>IF(C263="Técnico III","35",IF(C263="Técnico II","28",IF(C263="Técnico I","23",IF(C263="JR","20",IF(C263="Estágio","10",)))))</f>
        <v>28</v>
      </c>
      <c r="K263" s="3">
        <f>I263-J263</f>
        <v>3</v>
      </c>
      <c r="L263" s="3" t="str">
        <f>IF(K263&lt;-5,"CRÍTICO",IF(K263&lt;0,"ATENÇÃO",IF(K263&lt;=5,"BOM","EXCELENTE")))</f>
        <v>BOM</v>
      </c>
    </row>
    <row r="264" spans="1:12" x14ac:dyDescent="0.25">
      <c r="A264" s="5">
        <v>46155</v>
      </c>
      <c r="B264" s="6" t="s">
        <v>34</v>
      </c>
      <c r="C264" s="3" t="s">
        <v>11</v>
      </c>
      <c r="D264" s="3">
        <v>33</v>
      </c>
      <c r="E264" s="3">
        <v>27</v>
      </c>
      <c r="I264" s="3">
        <f>E264+G264+H264</f>
        <v>27</v>
      </c>
      <c r="J264" s="3" t="str">
        <f>IF(C264="Técnico III","35",IF(C264="Técnico II","28",IF(C264="Técnico I","23",IF(C264="JR","20",IF(C264="Estágio","10",)))))</f>
        <v>28</v>
      </c>
      <c r="K264" s="3">
        <f>I264-J264</f>
        <v>-1</v>
      </c>
      <c r="L264" s="3" t="str">
        <f>IF(K264&lt;-5,"CRÍTICO",IF(K264&lt;0,"ATENÇÃO",IF(K264&lt;=5,"BOM","EXCELENTE")))</f>
        <v>ATENÇÃO</v>
      </c>
    </row>
    <row r="265" spans="1:12" x14ac:dyDescent="0.25">
      <c r="A265" s="5">
        <v>46156</v>
      </c>
      <c r="B265" s="6" t="s">
        <v>34</v>
      </c>
      <c r="C265" s="3" t="s">
        <v>11</v>
      </c>
      <c r="D265" s="3">
        <v>9</v>
      </c>
      <c r="E265" s="3">
        <v>9</v>
      </c>
      <c r="G265" s="3">
        <v>1</v>
      </c>
      <c r="H265" s="3">
        <v>0</v>
      </c>
      <c r="I265" s="3">
        <f>E265+G265+H265</f>
        <v>10</v>
      </c>
      <c r="J265" s="3" t="str">
        <f>IF(C265="Técnico III","35",IF(C265="Técnico II","28",IF(C265="Técnico I","23",IF(C265="JR","20",IF(C265="Estágio","10",)))))</f>
        <v>28</v>
      </c>
      <c r="K265" s="3">
        <f>I265-J265</f>
        <v>-18</v>
      </c>
      <c r="L265" s="3" t="str">
        <f>IF(K265&lt;-5,"CRÍTICO",IF(K265&lt;0,"ATENÇÃO",IF(K265&lt;=5,"BOM","EXCELENTE")))</f>
        <v>CRÍTICO</v>
      </c>
    </row>
    <row r="266" spans="1:12" x14ac:dyDescent="0.25">
      <c r="A266" s="5">
        <v>46157</v>
      </c>
      <c r="B266" s="6" t="s">
        <v>34</v>
      </c>
      <c r="C266" s="3" t="s">
        <v>11</v>
      </c>
      <c r="D266" s="3">
        <v>17</v>
      </c>
      <c r="E266" s="3">
        <v>14</v>
      </c>
      <c r="G266" s="3">
        <v>1</v>
      </c>
      <c r="H266" s="3">
        <v>0</v>
      </c>
      <c r="I266" s="3">
        <f>E266+G266+H266</f>
        <v>15</v>
      </c>
      <c r="J266" s="3" t="str">
        <f>IF(C266="Técnico III","35",IF(C266="Técnico II","28",IF(C266="Técnico I","23",IF(C266="JR","20",IF(C266="Estágio","10",)))))</f>
        <v>28</v>
      </c>
      <c r="K266" s="3">
        <f>I266-J266</f>
        <v>-13</v>
      </c>
      <c r="L266" s="3" t="str">
        <f>IF(K266&lt;-5,"CRÍTICO",IF(K266&lt;0,"ATENÇÃO",IF(K266&lt;=5,"BOM","EXCELENTE")))</f>
        <v>CRÍTICO</v>
      </c>
    </row>
    <row r="267" spans="1:12" x14ac:dyDescent="0.25">
      <c r="A267" s="5">
        <v>46160</v>
      </c>
      <c r="B267" s="6" t="s">
        <v>34</v>
      </c>
      <c r="C267" s="3" t="s">
        <v>11</v>
      </c>
      <c r="D267" s="3">
        <v>28</v>
      </c>
      <c r="E267" s="3">
        <v>22</v>
      </c>
      <c r="G267" s="3">
        <v>0</v>
      </c>
      <c r="H267" s="3">
        <v>0</v>
      </c>
      <c r="I267" s="3">
        <f>E267+G267+H267</f>
        <v>22</v>
      </c>
      <c r="J267" s="3" t="str">
        <f>IF(C267="Técnico III","35",IF(C267="Técnico II","28",IF(C267="Técnico I","23",IF(C267="JR","20",IF(C267="Estágio","10",)))))</f>
        <v>28</v>
      </c>
      <c r="K267" s="3">
        <f>I267-J267</f>
        <v>-6</v>
      </c>
      <c r="L267" s="3" t="str">
        <f>IF(K267&lt;-5,"CRÍTICO",IF(K267&lt;0,"ATENÇÃO",IF(K267&lt;=5,"BOM","EXCELENTE")))</f>
        <v>CRÍTICO</v>
      </c>
    </row>
    <row r="268" spans="1:12" x14ac:dyDescent="0.25">
      <c r="A268" s="7">
        <v>46161</v>
      </c>
      <c r="B268" s="8" t="s">
        <v>63</v>
      </c>
      <c r="C268" s="9" t="s">
        <v>12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>IF(K268&lt;-5,"CRÍTICO",IF(K268&lt;0,"ATENÇÃO",IF(K268&lt;=5,"BOM","EXCELENTE")))</f>
        <v>BOM</v>
      </c>
    </row>
    <row r="269" spans="1:12" x14ac:dyDescent="0.25">
      <c r="A269" s="5">
        <v>46146</v>
      </c>
      <c r="B269" s="6" t="s">
        <v>63</v>
      </c>
      <c r="C269" s="3" t="s">
        <v>12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 t="str">
        <f>IF(K269&lt;-5,"CRÍTICO",IF(K269&lt;0,"ATENÇÃO",IF(K269&lt;=5,"BOM","EXCELENTE")))</f>
        <v>BOM</v>
      </c>
    </row>
    <row r="270" spans="1:12" x14ac:dyDescent="0.25">
      <c r="A270" s="5">
        <v>46147</v>
      </c>
      <c r="B270" s="6" t="s">
        <v>63</v>
      </c>
      <c r="C270" s="3" t="s">
        <v>12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 t="str">
        <f>IF(K270&lt;-5,"CRÍTICO",IF(K270&lt;0,"ATENÇÃO",IF(K270&lt;=5,"BOM","EXCELENTE")))</f>
        <v>BOM</v>
      </c>
    </row>
    <row r="271" spans="1:12" x14ac:dyDescent="0.25">
      <c r="A271" s="5">
        <v>46148</v>
      </c>
      <c r="B271" s="6" t="s">
        <v>63</v>
      </c>
      <c r="C271" s="3" t="s">
        <v>12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IF(K271&lt;-5,"CRÍTICO",IF(K271&lt;0,"ATENÇÃO",IF(K271&lt;=5,"BOM","EXCELENTE")))</f>
        <v>BOM</v>
      </c>
    </row>
    <row r="272" spans="1:12" x14ac:dyDescent="0.25">
      <c r="A272" s="5">
        <v>46149</v>
      </c>
      <c r="B272" s="6" t="s">
        <v>63</v>
      </c>
      <c r="C272" s="3" t="s">
        <v>12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>IF(K272&lt;-5,"CRÍTICO",IF(K272&lt;0,"ATENÇÃO",IF(K272&lt;=5,"BOM","EXCELENTE")))</f>
        <v>BOM</v>
      </c>
    </row>
    <row r="273" spans="1:12" x14ac:dyDescent="0.25">
      <c r="A273" s="5">
        <v>46150</v>
      </c>
      <c r="B273" s="6" t="s">
        <v>63</v>
      </c>
      <c r="C273" s="3" t="s">
        <v>12</v>
      </c>
      <c r="D273" s="3">
        <v>0</v>
      </c>
      <c r="E273" s="3">
        <v>0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 t="str">
        <f>IF(K273&lt;-5,"CRÍTICO",IF(K273&lt;0,"ATENÇÃO",IF(K273&lt;=5,"BOM","EXCELENTE")))</f>
        <v>BOM</v>
      </c>
    </row>
    <row r="274" spans="1:12" x14ac:dyDescent="0.25">
      <c r="A274" s="5">
        <v>46153</v>
      </c>
      <c r="B274" s="6" t="s">
        <v>63</v>
      </c>
      <c r="C274" s="3" t="s">
        <v>12</v>
      </c>
      <c r="D274" s="3">
        <v>0</v>
      </c>
      <c r="E274" s="3">
        <v>0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 t="str">
        <f>IF(K274&lt;-5,"CRÍTICO",IF(K274&lt;0,"ATENÇÃO",IF(K274&lt;=5,"BOM","EXCELENTE")))</f>
        <v>BOM</v>
      </c>
    </row>
    <row r="275" spans="1:12" x14ac:dyDescent="0.25">
      <c r="A275" s="5">
        <v>46154</v>
      </c>
      <c r="B275" s="6" t="s">
        <v>63</v>
      </c>
      <c r="C275" s="3" t="s">
        <v>12</v>
      </c>
      <c r="D275" s="3">
        <v>0</v>
      </c>
      <c r="E275" s="3">
        <v>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 t="str">
        <f>IF(K275&lt;-5,"CRÍTICO",IF(K275&lt;0,"ATENÇÃO",IF(K275&lt;=5,"BOM","EXCELENTE")))</f>
        <v>BOM</v>
      </c>
    </row>
    <row r="276" spans="1:12" x14ac:dyDescent="0.25">
      <c r="A276" s="5">
        <v>46155</v>
      </c>
      <c r="B276" s="6" t="s">
        <v>63</v>
      </c>
      <c r="C276" s="3" t="s">
        <v>12</v>
      </c>
      <c r="D276" s="3">
        <v>0</v>
      </c>
      <c r="E276" s="3">
        <v>0</v>
      </c>
      <c r="F276" s="3">
        <v>0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 t="str">
        <f>IF(K276&lt;-5,"CRÍTICO",IF(K276&lt;0,"ATENÇÃO",IF(K276&lt;=5,"BOM","EXCELENTE")))</f>
        <v>BOM</v>
      </c>
    </row>
    <row r="277" spans="1:12" x14ac:dyDescent="0.25">
      <c r="A277" s="5">
        <v>46156</v>
      </c>
      <c r="B277" s="6" t="s">
        <v>63</v>
      </c>
      <c r="C277" s="3" t="s">
        <v>12</v>
      </c>
      <c r="D277" s="3">
        <v>0</v>
      </c>
      <c r="E277" s="3">
        <v>0</v>
      </c>
      <c r="F277" s="3">
        <v>0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 t="str">
        <f>IF(K277&lt;-5,"CRÍTICO",IF(K277&lt;0,"ATENÇÃO",IF(K277&lt;=5,"BOM","EXCELENTE")))</f>
        <v>BOM</v>
      </c>
    </row>
    <row r="278" spans="1:12" x14ac:dyDescent="0.25">
      <c r="A278" s="5">
        <v>46157</v>
      </c>
      <c r="B278" s="6" t="s">
        <v>63</v>
      </c>
      <c r="C278" s="3" t="s">
        <v>12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 t="str">
        <f>IF(K278&lt;-5,"CRÍTICO",IF(K278&lt;0,"ATENÇÃO",IF(K278&lt;=5,"BOM","EXCELENTE")))</f>
        <v>BOM</v>
      </c>
    </row>
    <row r="279" spans="1:12" x14ac:dyDescent="0.25">
      <c r="A279" s="5">
        <v>46160</v>
      </c>
      <c r="B279" s="6" t="s">
        <v>63</v>
      </c>
      <c r="C279" s="3" t="s">
        <v>12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>IF(K279&lt;-5,"CRÍTICO",IF(K279&lt;0,"ATENÇÃO",IF(K279&lt;=5,"BOM","EXCELENTE")))</f>
        <v>BOM</v>
      </c>
    </row>
    <row r="280" spans="1:12" x14ac:dyDescent="0.25">
      <c r="A280" s="7">
        <v>46161</v>
      </c>
      <c r="B280" s="8" t="s">
        <v>35</v>
      </c>
      <c r="C280" s="9" t="s">
        <v>36</v>
      </c>
      <c r="D280" s="3">
        <v>20</v>
      </c>
      <c r="E280" s="3">
        <v>19</v>
      </c>
      <c r="G280" s="3">
        <v>2</v>
      </c>
      <c r="H280" s="3">
        <v>0</v>
      </c>
      <c r="I280" s="3">
        <f>E280+G280+H280</f>
        <v>21</v>
      </c>
      <c r="J280" s="3" t="str">
        <f>IF(C280="Técnico III","35",IF(C280="Técnico II","28",IF(C280="Técnico I","23",IF(C280="JR","20",IF(C280="Estágio","10",)))))</f>
        <v>20</v>
      </c>
      <c r="K280" s="3">
        <f>I280-J280</f>
        <v>1</v>
      </c>
      <c r="L280" s="3" t="str">
        <f>IF(K280&lt;-5,"CRÍTICO",IF(K280&lt;0,"ATENÇÃO",IF(K280&lt;=5,"BOM","EXCELENTE")))</f>
        <v>BOM</v>
      </c>
    </row>
    <row r="281" spans="1:12" x14ac:dyDescent="0.25">
      <c r="A281" s="5">
        <v>46146</v>
      </c>
      <c r="B281" s="6" t="s">
        <v>35</v>
      </c>
      <c r="C281" s="3" t="s">
        <v>36</v>
      </c>
      <c r="D281" s="3">
        <v>24</v>
      </c>
      <c r="E281" s="3">
        <v>24</v>
      </c>
      <c r="G281" s="3">
        <v>0</v>
      </c>
      <c r="I281" s="3">
        <f>E281+G281+H281</f>
        <v>24</v>
      </c>
      <c r="J281" s="3" t="str">
        <f>IF(C281="Técnico III","35",IF(C281="Técnico II","28",IF(C281="Técnico I","23",IF(C281="JR","20",IF(C281="Estágio","10",)))))</f>
        <v>20</v>
      </c>
      <c r="K281" s="3">
        <f>I281-J281</f>
        <v>4</v>
      </c>
      <c r="L281" s="3" t="str">
        <f>IF(K281&lt;-5,"CRÍTICO",IF(K281&lt;0,"ATENÇÃO",IF(K281&lt;=5,"BOM","EXCELENTE")))</f>
        <v>BOM</v>
      </c>
    </row>
    <row r="282" spans="1:12" x14ac:dyDescent="0.25">
      <c r="A282" s="5">
        <v>46147</v>
      </c>
      <c r="B282" s="6" t="s">
        <v>35</v>
      </c>
      <c r="C282" s="3" t="s">
        <v>36</v>
      </c>
      <c r="D282" s="3">
        <v>25</v>
      </c>
      <c r="E282" s="3">
        <v>14</v>
      </c>
      <c r="G282" s="3">
        <v>10</v>
      </c>
      <c r="I282" s="3">
        <f>E282+G282+H282</f>
        <v>24</v>
      </c>
      <c r="J282" s="3" t="str">
        <f>IF(C282="Técnico III","35",IF(C282="Técnico II","28",IF(C282="Técnico I","23",IF(C282="JR","20",IF(C282="Estágio","10",)))))</f>
        <v>20</v>
      </c>
      <c r="K282" s="3">
        <f>I282-J282</f>
        <v>4</v>
      </c>
      <c r="L282" s="3" t="str">
        <f>IF(K282&lt;-5,"CRÍTICO",IF(K282&lt;0,"ATENÇÃO",IF(K282&lt;=5,"BOM","EXCELENTE")))</f>
        <v>BOM</v>
      </c>
    </row>
    <row r="283" spans="1:12" x14ac:dyDescent="0.25">
      <c r="A283" s="5">
        <v>46148</v>
      </c>
      <c r="B283" s="6" t="s">
        <v>35</v>
      </c>
      <c r="C283" s="3" t="s">
        <v>36</v>
      </c>
      <c r="D283" s="3">
        <v>22</v>
      </c>
      <c r="E283" s="3">
        <v>22</v>
      </c>
      <c r="G283" s="3">
        <v>1</v>
      </c>
      <c r="I283" s="3">
        <f>E283+G283+H283</f>
        <v>23</v>
      </c>
      <c r="J283" s="3" t="str">
        <f>IF(C283="Técnico III","35",IF(C283="Técnico II","28",IF(C283="Técnico I","23",IF(C283="JR","20",IF(C283="Estágio","10",)))))</f>
        <v>20</v>
      </c>
      <c r="K283" s="3">
        <f>I283-J283</f>
        <v>3</v>
      </c>
      <c r="L283" s="3" t="str">
        <f>IF(K283&lt;-5,"CRÍTICO",IF(K283&lt;0,"ATENÇÃO",IF(K283&lt;=5,"BOM","EXCELENTE")))</f>
        <v>BOM</v>
      </c>
    </row>
    <row r="284" spans="1:12" x14ac:dyDescent="0.25">
      <c r="A284" s="5">
        <v>46149</v>
      </c>
      <c r="B284" s="6" t="s">
        <v>35</v>
      </c>
      <c r="C284" s="3" t="s">
        <v>36</v>
      </c>
      <c r="D284" s="3">
        <v>18</v>
      </c>
      <c r="E284" s="3">
        <v>17</v>
      </c>
      <c r="G284" s="3">
        <v>9</v>
      </c>
      <c r="I284" s="3">
        <f>E284+G284+H284</f>
        <v>26</v>
      </c>
      <c r="J284" s="3" t="str">
        <f>IF(C284="Técnico III","35",IF(C284="Técnico II","28",IF(C284="Técnico I","23",IF(C284="JR","20",IF(C284="Estágio","10",)))))</f>
        <v>20</v>
      </c>
      <c r="K284" s="3">
        <f>I284-J284</f>
        <v>6</v>
      </c>
      <c r="L284" s="3" t="str">
        <f>IF(K284&lt;-5,"CRÍTICO",IF(K284&lt;0,"ATENÇÃO",IF(K284&lt;=5,"BOM","EXCELENTE")))</f>
        <v>EXCELENTE</v>
      </c>
    </row>
    <row r="285" spans="1:12" x14ac:dyDescent="0.25">
      <c r="A285" s="5">
        <v>46150</v>
      </c>
      <c r="B285" s="6" t="s">
        <v>35</v>
      </c>
      <c r="C285" s="3" t="s">
        <v>36</v>
      </c>
      <c r="D285" s="3">
        <v>21</v>
      </c>
      <c r="E285" s="3">
        <v>20</v>
      </c>
      <c r="G285" s="3">
        <v>1</v>
      </c>
      <c r="H285" s="3">
        <v>0</v>
      </c>
      <c r="I285" s="3">
        <f>E285+G285+H285</f>
        <v>21</v>
      </c>
      <c r="J285" s="3" t="str">
        <f>IF(C285="Técnico III","35",IF(C285="Técnico II","28",IF(C285="Técnico I","23",IF(C285="JR","20",IF(C285="Estágio","10",)))))</f>
        <v>20</v>
      </c>
      <c r="K285" s="3">
        <f>I285-J285</f>
        <v>1</v>
      </c>
      <c r="L285" s="3" t="str">
        <f>IF(K285&lt;-5,"CRÍTICO",IF(K285&lt;0,"ATENÇÃO",IF(K285&lt;=5,"BOM","EXCELENTE")))</f>
        <v>BOM</v>
      </c>
    </row>
    <row r="286" spans="1:12" x14ac:dyDescent="0.25">
      <c r="A286" s="5">
        <v>46153</v>
      </c>
      <c r="B286" s="6" t="s">
        <v>35</v>
      </c>
      <c r="C286" s="3" t="s">
        <v>36</v>
      </c>
      <c r="D286" s="3">
        <v>17</v>
      </c>
      <c r="E286" s="3">
        <v>17</v>
      </c>
      <c r="G286" s="3">
        <v>2</v>
      </c>
      <c r="I286" s="3">
        <f>E286+G286+H286</f>
        <v>19</v>
      </c>
      <c r="J286" s="3" t="str">
        <f>IF(C286="Técnico III","35",IF(C286="Técnico II","28",IF(C286="Técnico I","23",IF(C286="JR","20",IF(C286="Estágio","10",)))))</f>
        <v>20</v>
      </c>
      <c r="K286" s="3">
        <f>I286-J286</f>
        <v>-1</v>
      </c>
      <c r="L286" s="3" t="str">
        <f>IF(K286&lt;-5,"CRÍTICO",IF(K286&lt;0,"ATENÇÃO",IF(K286&lt;=5,"BOM","EXCELENTE")))</f>
        <v>ATENÇÃO</v>
      </c>
    </row>
    <row r="287" spans="1:12" x14ac:dyDescent="0.25">
      <c r="A287" s="5">
        <v>46154</v>
      </c>
      <c r="B287" s="6" t="s">
        <v>35</v>
      </c>
      <c r="C287" s="3" t="s">
        <v>36</v>
      </c>
      <c r="D287" s="3">
        <v>26</v>
      </c>
      <c r="E287" s="3">
        <v>22</v>
      </c>
      <c r="I287" s="3">
        <f>E287+G287+H287</f>
        <v>22</v>
      </c>
      <c r="J287" s="3" t="str">
        <f>IF(C287="Técnico III","35",IF(C287="Técnico II","28",IF(C287="Técnico I","23",IF(C287="JR","20",IF(C287="Estágio","10",)))))</f>
        <v>20</v>
      </c>
      <c r="K287" s="3">
        <f>I287-J287</f>
        <v>2</v>
      </c>
      <c r="L287" s="3" t="str">
        <f>IF(K287&lt;-5,"CRÍTICO",IF(K287&lt;0,"ATENÇÃO",IF(K287&lt;=5,"BOM","EXCELENTE")))</f>
        <v>BOM</v>
      </c>
    </row>
    <row r="288" spans="1:12" x14ac:dyDescent="0.25">
      <c r="A288" s="5">
        <v>46155</v>
      </c>
      <c r="B288" s="6" t="s">
        <v>35</v>
      </c>
      <c r="C288" s="3" t="s">
        <v>36</v>
      </c>
      <c r="D288" s="3">
        <v>17</v>
      </c>
      <c r="E288" s="3">
        <v>14</v>
      </c>
      <c r="G288" s="3">
        <v>6</v>
      </c>
      <c r="I288" s="3">
        <f>E288+G288+H288</f>
        <v>20</v>
      </c>
      <c r="J288" s="3" t="str">
        <f>IF(C288="Técnico III","35",IF(C288="Técnico II","28",IF(C288="Técnico I","23",IF(C288="JR","20",IF(C288="Estágio","10",)))))</f>
        <v>20</v>
      </c>
      <c r="K288" s="3">
        <f>I288-J288</f>
        <v>0</v>
      </c>
      <c r="L288" s="3" t="str">
        <f>IF(K288&lt;-5,"CRÍTICO",IF(K288&lt;0,"ATENÇÃO",IF(K288&lt;=5,"BOM","EXCELENTE")))</f>
        <v>BOM</v>
      </c>
    </row>
    <row r="289" spans="1:12" x14ac:dyDescent="0.25">
      <c r="A289" s="5">
        <v>46156</v>
      </c>
      <c r="B289" s="6" t="s">
        <v>35</v>
      </c>
      <c r="C289" s="3" t="s">
        <v>36</v>
      </c>
      <c r="D289" s="3">
        <v>23</v>
      </c>
      <c r="E289" s="3">
        <v>23</v>
      </c>
      <c r="G289" s="3">
        <v>0</v>
      </c>
      <c r="H289" s="3">
        <v>0</v>
      </c>
      <c r="I289" s="3">
        <f>E289+G289+H289</f>
        <v>23</v>
      </c>
      <c r="J289" s="3" t="str">
        <f>IF(C289="Técnico III","35",IF(C289="Técnico II","28",IF(C289="Técnico I","23",IF(C289="JR","20",IF(C289="Estágio","10",)))))</f>
        <v>20</v>
      </c>
      <c r="K289" s="3">
        <f>I289-J289</f>
        <v>3</v>
      </c>
      <c r="L289" s="3" t="str">
        <f>IF(K289&lt;-5,"CRÍTICO",IF(K289&lt;0,"ATENÇÃO",IF(K289&lt;=5,"BOM","EXCELENTE")))</f>
        <v>BOM</v>
      </c>
    </row>
    <row r="290" spans="1:12" x14ac:dyDescent="0.25">
      <c r="A290" s="5">
        <v>46157</v>
      </c>
      <c r="B290" s="6" t="s">
        <v>35</v>
      </c>
      <c r="C290" s="3" t="s">
        <v>36</v>
      </c>
      <c r="D290" s="3">
        <v>23</v>
      </c>
      <c r="E290" s="3">
        <v>20</v>
      </c>
      <c r="G290" s="3">
        <v>5</v>
      </c>
      <c r="H290" s="3">
        <v>0</v>
      </c>
      <c r="I290" s="3">
        <f>E290+G290+H290</f>
        <v>25</v>
      </c>
      <c r="J290" s="3" t="str">
        <f>IF(C290="Técnico III","35",IF(C290="Técnico II","28",IF(C290="Técnico I","23",IF(C290="JR","20",IF(C290="Estágio","10",)))))</f>
        <v>20</v>
      </c>
      <c r="K290" s="3">
        <f>I290-J290</f>
        <v>5</v>
      </c>
      <c r="L290" s="3" t="str">
        <f>IF(K290&lt;-5,"CRÍTICO",IF(K290&lt;0,"ATENÇÃO",IF(K290&lt;=5,"BOM","EXCELENTE")))</f>
        <v>BOM</v>
      </c>
    </row>
    <row r="291" spans="1:12" x14ac:dyDescent="0.25">
      <c r="A291" s="5">
        <v>46160</v>
      </c>
      <c r="B291" s="6" t="s">
        <v>35</v>
      </c>
      <c r="C291" s="3" t="s">
        <v>36</v>
      </c>
      <c r="D291" s="3">
        <v>18</v>
      </c>
      <c r="E291" s="3">
        <v>17</v>
      </c>
      <c r="G291" s="3">
        <v>2</v>
      </c>
      <c r="H291" s="3">
        <v>0</v>
      </c>
      <c r="I291" s="3">
        <f>E291+G291+H291</f>
        <v>19</v>
      </c>
      <c r="J291" s="3" t="str">
        <f>IF(C291="Técnico III","35",IF(C291="Técnico II","28",IF(C291="Técnico I","23",IF(C291="JR","20",IF(C291="Estágio","10",)))))</f>
        <v>20</v>
      </c>
      <c r="K291" s="3">
        <f>I291-J291</f>
        <v>-1</v>
      </c>
      <c r="L291" s="3" t="str">
        <f>IF(K291&lt;-5,"CRÍTICO",IF(K291&lt;0,"ATENÇÃO",IF(K291&lt;=5,"BOM","EXCELENTE")))</f>
        <v>ATENÇÃO</v>
      </c>
    </row>
    <row r="292" spans="1:12" x14ac:dyDescent="0.25">
      <c r="A292" s="7">
        <v>46161</v>
      </c>
      <c r="B292" s="8" t="s">
        <v>60</v>
      </c>
      <c r="C292" s="9" t="s">
        <v>12</v>
      </c>
      <c r="D292" s="3">
        <v>32</v>
      </c>
      <c r="E292" s="3">
        <v>32</v>
      </c>
      <c r="G292" s="3">
        <v>0</v>
      </c>
      <c r="H292" s="3">
        <v>0</v>
      </c>
      <c r="I292" s="3">
        <f>E292+G292+H292</f>
        <v>32</v>
      </c>
      <c r="J292" s="3" t="str">
        <f>IF(C292="Técnico III","35",IF(C292="Técnico II","28",IF(C292="Técnico I","23",IF(C292="JR","20",IF(C292="Estágio","10",)))))</f>
        <v>35</v>
      </c>
      <c r="K292" s="3">
        <f>I292-J292</f>
        <v>-3</v>
      </c>
      <c r="L292" s="3" t="str">
        <f>IF(K292&lt;-5,"CRÍTICO",IF(K292&lt;0,"ATENÇÃO",IF(K292&lt;=5,"BOM","EXCELENTE")))</f>
        <v>ATENÇÃO</v>
      </c>
    </row>
    <row r="293" spans="1:12" x14ac:dyDescent="0.25">
      <c r="A293" s="5">
        <v>46146</v>
      </c>
      <c r="B293" s="6" t="s">
        <v>60</v>
      </c>
      <c r="C293" s="9" t="s">
        <v>12</v>
      </c>
      <c r="D293" s="3">
        <v>20</v>
      </c>
      <c r="E293" s="3">
        <v>20</v>
      </c>
      <c r="G293" s="3">
        <v>0</v>
      </c>
      <c r="I293" s="3">
        <f>E293+G293+H293</f>
        <v>20</v>
      </c>
      <c r="J293" s="3" t="str">
        <f>IF(C293="Técnico III","35",IF(C293="Técnico II","28",IF(C293="Técnico I","23",IF(C293="JR","20",IF(C293="Estágio","10",)))))</f>
        <v>35</v>
      </c>
      <c r="K293" s="3">
        <f>I293-J293</f>
        <v>-15</v>
      </c>
      <c r="L293" s="3" t="str">
        <f>IF(K293&lt;-5,"CRÍTICO",IF(K293&lt;0,"ATENÇÃO",IF(K293&lt;=5,"BOM","EXCELENTE")))</f>
        <v>CRÍTICO</v>
      </c>
    </row>
    <row r="294" spans="1:12" x14ac:dyDescent="0.25">
      <c r="A294" s="5">
        <v>46147</v>
      </c>
      <c r="B294" s="6" t="s">
        <v>60</v>
      </c>
      <c r="C294" s="9" t="s">
        <v>12</v>
      </c>
      <c r="D294" s="3">
        <v>26</v>
      </c>
      <c r="E294" s="3">
        <v>26</v>
      </c>
      <c r="G294" s="3">
        <v>1</v>
      </c>
      <c r="I294" s="3">
        <f>E294+G294+H294</f>
        <v>27</v>
      </c>
      <c r="J294" s="3" t="str">
        <f>IF(C294="Técnico III","35",IF(C294="Técnico II","28",IF(C294="Técnico I","23",IF(C294="JR","20",IF(C294="Estágio","10",)))))</f>
        <v>35</v>
      </c>
      <c r="K294" s="3">
        <f>I294-J294</f>
        <v>-8</v>
      </c>
      <c r="L294" s="3" t="str">
        <f>IF(K294&lt;-5,"CRÍTICO",IF(K294&lt;0,"ATENÇÃO",IF(K294&lt;=5,"BOM","EXCELENTE")))</f>
        <v>CRÍTICO</v>
      </c>
    </row>
    <row r="295" spans="1:12" x14ac:dyDescent="0.25">
      <c r="A295" s="5">
        <v>46148</v>
      </c>
      <c r="B295" s="6" t="s">
        <v>60</v>
      </c>
      <c r="C295" s="9" t="s">
        <v>12</v>
      </c>
      <c r="D295" s="3">
        <v>27</v>
      </c>
      <c r="E295" s="3">
        <v>25</v>
      </c>
      <c r="G295" s="3">
        <v>1</v>
      </c>
      <c r="I295" s="3">
        <f>E295+G295+H295</f>
        <v>26</v>
      </c>
      <c r="J295" s="3" t="str">
        <f>IF(C295="Técnico III","35",IF(C295="Técnico II","28",IF(C295="Técnico I","23",IF(C295="JR","20",IF(C295="Estágio","10",)))))</f>
        <v>35</v>
      </c>
      <c r="K295" s="3">
        <f>I295-J295</f>
        <v>-9</v>
      </c>
      <c r="L295" s="3" t="str">
        <f>IF(K295&lt;-5,"CRÍTICO",IF(K295&lt;0,"ATENÇÃO",IF(K295&lt;=5,"BOM","EXCELENTE")))</f>
        <v>CRÍTICO</v>
      </c>
    </row>
    <row r="296" spans="1:12" x14ac:dyDescent="0.25">
      <c r="A296" s="5">
        <v>46149</v>
      </c>
      <c r="B296" s="6" t="s">
        <v>60</v>
      </c>
      <c r="C296" s="9" t="s">
        <v>12</v>
      </c>
      <c r="D296" s="3">
        <v>20</v>
      </c>
      <c r="E296" s="3">
        <v>19</v>
      </c>
      <c r="G296" s="3">
        <v>4</v>
      </c>
      <c r="I296" s="3">
        <f>E296+G296+H296</f>
        <v>23</v>
      </c>
      <c r="J296" s="3" t="str">
        <f>IF(C296="Técnico III","35",IF(C296="Técnico II","28",IF(C296="Técnico I","23",IF(C296="JR","20",IF(C296="Estágio","10",)))))</f>
        <v>35</v>
      </c>
      <c r="K296" s="3">
        <f>I296-J296</f>
        <v>-12</v>
      </c>
      <c r="L296" s="3" t="str">
        <f>IF(K296&lt;-5,"CRÍTICO",IF(K296&lt;0,"ATENÇÃO",IF(K296&lt;=5,"BOM","EXCELENTE")))</f>
        <v>CRÍTICO</v>
      </c>
    </row>
    <row r="297" spans="1:12" x14ac:dyDescent="0.25">
      <c r="A297" s="5">
        <v>46150</v>
      </c>
      <c r="B297" s="6" t="s">
        <v>60</v>
      </c>
      <c r="C297" s="9" t="s">
        <v>12</v>
      </c>
      <c r="D297" s="3">
        <v>4</v>
      </c>
      <c r="E297" s="3">
        <v>4</v>
      </c>
      <c r="G297" s="3">
        <v>0</v>
      </c>
      <c r="H297" s="3">
        <v>0</v>
      </c>
      <c r="I297" s="3">
        <f>E297+G297+H297</f>
        <v>4</v>
      </c>
      <c r="J297" s="3" t="str">
        <f>IF(C297="Técnico III","35",IF(C297="Técnico II","28",IF(C297="Técnico I","23",IF(C297="JR","20",IF(C297="Estágio","10",)))))</f>
        <v>35</v>
      </c>
      <c r="K297" s="3">
        <f>I297-J297</f>
        <v>-31</v>
      </c>
      <c r="L297" s="3" t="str">
        <f>IF(K297&lt;-5,"CRÍTICO",IF(K297&lt;0,"ATENÇÃO",IF(K297&lt;=5,"BOM","EXCELENTE")))</f>
        <v>CRÍTICO</v>
      </c>
    </row>
    <row r="298" spans="1:12" x14ac:dyDescent="0.25">
      <c r="A298" s="5">
        <v>46153</v>
      </c>
      <c r="B298" s="6" t="s">
        <v>60</v>
      </c>
      <c r="C298" s="9" t="s">
        <v>12</v>
      </c>
      <c r="D298" s="3">
        <v>24</v>
      </c>
      <c r="E298" s="3">
        <v>23</v>
      </c>
      <c r="G298" s="3">
        <v>1</v>
      </c>
      <c r="I298" s="3">
        <f>E298+G298+H298</f>
        <v>24</v>
      </c>
      <c r="J298" s="3" t="str">
        <f>IF(C298="Técnico III","35",IF(C298="Técnico II","28",IF(C298="Técnico I","23",IF(C298="JR","20",IF(C298="Estágio","10",)))))</f>
        <v>35</v>
      </c>
      <c r="K298" s="3">
        <f>I298-J298</f>
        <v>-11</v>
      </c>
      <c r="L298" s="3" t="str">
        <f>IF(K298&lt;-5,"CRÍTICO",IF(K298&lt;0,"ATENÇÃO",IF(K298&lt;=5,"BOM","EXCELENTE")))</f>
        <v>CRÍTICO</v>
      </c>
    </row>
    <row r="299" spans="1:12" x14ac:dyDescent="0.25">
      <c r="A299" s="5">
        <v>46154</v>
      </c>
      <c r="B299" s="6" t="s">
        <v>60</v>
      </c>
      <c r="C299" s="9" t="s">
        <v>12</v>
      </c>
      <c r="D299" s="3">
        <v>19</v>
      </c>
      <c r="E299" s="3">
        <v>17</v>
      </c>
      <c r="G299" s="3">
        <v>1</v>
      </c>
      <c r="I299" s="3">
        <f>E299+G299+H299</f>
        <v>18</v>
      </c>
      <c r="J299" s="3" t="str">
        <f>IF(C299="Técnico III","35",IF(C299="Técnico II","28",IF(C299="Técnico I","23",IF(C299="JR","20",IF(C299="Estágio","10",)))))</f>
        <v>35</v>
      </c>
      <c r="K299" s="3">
        <f>I299-J299</f>
        <v>-17</v>
      </c>
      <c r="L299" s="3" t="str">
        <f>IF(K299&lt;-5,"CRÍTICO",IF(K299&lt;0,"ATENÇÃO",IF(K299&lt;=5,"BOM","EXCELENTE")))</f>
        <v>CRÍTICO</v>
      </c>
    </row>
    <row r="300" spans="1:12" x14ac:dyDescent="0.25">
      <c r="A300" s="5">
        <v>46155</v>
      </c>
      <c r="B300" s="6" t="s">
        <v>60</v>
      </c>
      <c r="C300" s="9" t="s">
        <v>12</v>
      </c>
      <c r="D300" s="3">
        <v>27</v>
      </c>
      <c r="E300" s="3">
        <v>26</v>
      </c>
      <c r="I300" s="3">
        <f>E300+G300+H300</f>
        <v>26</v>
      </c>
      <c r="J300" s="3" t="str">
        <f>IF(C300="Técnico III","35",IF(C300="Técnico II","28",IF(C300="Técnico I","23",IF(C300="JR","20",IF(C300="Estágio","10",)))))</f>
        <v>35</v>
      </c>
      <c r="K300" s="3">
        <f>I300-J300</f>
        <v>-9</v>
      </c>
      <c r="L300" s="3" t="str">
        <f>IF(K300&lt;-5,"CRÍTICO",IF(K300&lt;0,"ATENÇÃO",IF(K300&lt;=5,"BOM","EXCELENTE")))</f>
        <v>CRÍTICO</v>
      </c>
    </row>
    <row r="301" spans="1:12" x14ac:dyDescent="0.25">
      <c r="A301" s="5">
        <v>46156</v>
      </c>
      <c r="B301" s="6" t="s">
        <v>60</v>
      </c>
      <c r="C301" s="9" t="s">
        <v>12</v>
      </c>
      <c r="D301" s="3">
        <v>30</v>
      </c>
      <c r="E301" s="3">
        <v>29</v>
      </c>
      <c r="G301" s="3">
        <v>0</v>
      </c>
      <c r="H301" s="3">
        <v>0</v>
      </c>
      <c r="I301" s="3">
        <f>E301+G301+H301</f>
        <v>29</v>
      </c>
      <c r="J301" s="3" t="str">
        <f>IF(C301="Técnico III","35",IF(C301="Técnico II","28",IF(C301="Técnico I","23",IF(C301="JR","20",IF(C301="Estágio","10",)))))</f>
        <v>35</v>
      </c>
      <c r="K301" s="3">
        <f>I301-J301</f>
        <v>-6</v>
      </c>
      <c r="L301" s="3" t="str">
        <f>IF(K301&lt;-5,"CRÍTICO",IF(K301&lt;0,"ATENÇÃO",IF(K301&lt;=5,"BOM","EXCELENTE")))</f>
        <v>CRÍTICO</v>
      </c>
    </row>
    <row r="302" spans="1:12" x14ac:dyDescent="0.25">
      <c r="A302" s="5">
        <v>46160</v>
      </c>
      <c r="B302" s="6" t="s">
        <v>60</v>
      </c>
      <c r="C302" s="9" t="s">
        <v>12</v>
      </c>
      <c r="D302" s="3">
        <v>25</v>
      </c>
      <c r="E302" s="3">
        <v>24</v>
      </c>
      <c r="G302" s="3">
        <v>0</v>
      </c>
      <c r="H302" s="3">
        <v>0</v>
      </c>
      <c r="I302" s="3">
        <f>E302+G302+H302</f>
        <v>24</v>
      </c>
      <c r="J302" s="3" t="str">
        <f>IF(C302="Técnico III","35",IF(C302="Técnico II","28",IF(C302="Técnico I","23",IF(C302="JR","20",IF(C302="Estágio","10",)))))</f>
        <v>35</v>
      </c>
      <c r="K302" s="3">
        <f>I302-J302</f>
        <v>-11</v>
      </c>
      <c r="L302" s="3" t="str">
        <f>IF(K302&lt;-5,"CRÍTICO",IF(K302&lt;0,"ATENÇÃO",IF(K302&lt;=5,"BOM","EXCELENTE")))</f>
        <v>CRÍTICO</v>
      </c>
    </row>
    <row r="303" spans="1:12" x14ac:dyDescent="0.25">
      <c r="A303" s="7">
        <v>46161</v>
      </c>
      <c r="B303" s="8" t="s">
        <v>37</v>
      </c>
      <c r="C303" s="9" t="s">
        <v>36</v>
      </c>
      <c r="D303" s="3">
        <v>19</v>
      </c>
      <c r="E303" s="3">
        <v>17</v>
      </c>
      <c r="G303" s="3">
        <v>1</v>
      </c>
      <c r="H303" s="3">
        <v>0</v>
      </c>
      <c r="I303" s="3">
        <f>E303+G303+H303</f>
        <v>18</v>
      </c>
      <c r="J303" s="3" t="str">
        <f>IF(C303="Técnico III","35",IF(C303="Técnico II","28",IF(C303="Técnico I","23",IF(C303="JR","20",IF(C303="Estágio","10",)))))</f>
        <v>20</v>
      </c>
      <c r="K303" s="3">
        <f>I303-J303</f>
        <v>-2</v>
      </c>
      <c r="L303" s="3" t="str">
        <f>IF(K303&lt;-5,"CRÍTICO",IF(K303&lt;0,"ATENÇÃO",IF(K303&lt;=5,"BOM","EXCELENTE")))</f>
        <v>ATENÇÃO</v>
      </c>
    </row>
    <row r="304" spans="1:12" x14ac:dyDescent="0.25">
      <c r="A304" s="5">
        <v>46146</v>
      </c>
      <c r="B304" s="6" t="s">
        <v>37</v>
      </c>
      <c r="C304" s="3" t="s">
        <v>36</v>
      </c>
      <c r="D304" s="3">
        <v>12</v>
      </c>
      <c r="E304" s="3">
        <v>11</v>
      </c>
      <c r="G304" s="3">
        <v>4</v>
      </c>
      <c r="I304" s="3">
        <f>E304+G304+H304</f>
        <v>15</v>
      </c>
      <c r="J304" s="3" t="str">
        <f>IF(C304="Técnico III","35",IF(C304="Técnico II","28",IF(C304="Técnico I","23",IF(C304="JR","20",IF(C304="Estágio","10",)))))</f>
        <v>20</v>
      </c>
      <c r="K304" s="3">
        <f>I304-J304</f>
        <v>-5</v>
      </c>
      <c r="L304" s="3" t="str">
        <f>IF(K304&lt;-5,"CRÍTICO",IF(K304&lt;0,"ATENÇÃO",IF(K304&lt;=5,"BOM","EXCELENTE")))</f>
        <v>ATENÇÃO</v>
      </c>
    </row>
    <row r="305" spans="1:12" x14ac:dyDescent="0.25">
      <c r="A305" s="5">
        <v>46147</v>
      </c>
      <c r="B305" s="6" t="s">
        <v>37</v>
      </c>
      <c r="C305" s="3" t="s">
        <v>36</v>
      </c>
      <c r="D305" s="3">
        <v>17</v>
      </c>
      <c r="E305" s="3">
        <v>17</v>
      </c>
      <c r="G305" s="3">
        <v>5</v>
      </c>
      <c r="I305" s="3">
        <f>E305+G305+H305</f>
        <v>22</v>
      </c>
      <c r="J305" s="3" t="str">
        <f>IF(C305="Técnico III","35",IF(C305="Técnico II","28",IF(C305="Técnico I","23",IF(C305="JR","20",IF(C305="Estágio","10",)))))</f>
        <v>20</v>
      </c>
      <c r="K305" s="3">
        <f>I305-J305</f>
        <v>2</v>
      </c>
      <c r="L305" s="3" t="str">
        <f>IF(K305&lt;-5,"CRÍTICO",IF(K305&lt;0,"ATENÇÃO",IF(K305&lt;=5,"BOM","EXCELENTE")))</f>
        <v>BOM</v>
      </c>
    </row>
    <row r="306" spans="1:12" x14ac:dyDescent="0.25">
      <c r="A306" s="5">
        <v>46148</v>
      </c>
      <c r="B306" s="6" t="s">
        <v>37</v>
      </c>
      <c r="C306" s="3" t="s">
        <v>36</v>
      </c>
      <c r="D306" s="3">
        <v>13</v>
      </c>
      <c r="E306" s="3">
        <v>12</v>
      </c>
      <c r="G306" s="3">
        <v>12</v>
      </c>
      <c r="I306" s="3">
        <f>E306+G306+H306</f>
        <v>24</v>
      </c>
      <c r="J306" s="3" t="str">
        <f>IF(C306="Técnico III","35",IF(C306="Técnico II","28",IF(C306="Técnico I","23",IF(C306="JR","20",IF(C306="Estágio","10",)))))</f>
        <v>20</v>
      </c>
      <c r="K306" s="3">
        <f>I306-J306</f>
        <v>4</v>
      </c>
      <c r="L306" s="3" t="str">
        <f>IF(K306&lt;-5,"CRÍTICO",IF(K306&lt;0,"ATENÇÃO",IF(K306&lt;=5,"BOM","EXCELENTE")))</f>
        <v>BOM</v>
      </c>
    </row>
    <row r="307" spans="1:12" x14ac:dyDescent="0.25">
      <c r="A307" s="5">
        <v>46149</v>
      </c>
      <c r="B307" s="6" t="s">
        <v>37</v>
      </c>
      <c r="C307" s="3" t="s">
        <v>36</v>
      </c>
      <c r="D307" s="3">
        <v>12</v>
      </c>
      <c r="E307" s="3">
        <v>12</v>
      </c>
      <c r="G307" s="3">
        <v>4</v>
      </c>
      <c r="I307" s="3">
        <f>E307+G307+H307</f>
        <v>16</v>
      </c>
      <c r="J307" s="3" t="str">
        <f>IF(C307="Técnico III","35",IF(C307="Técnico II","28",IF(C307="Técnico I","23",IF(C307="JR","20",IF(C307="Estágio","10",)))))</f>
        <v>20</v>
      </c>
      <c r="K307" s="3">
        <f>I307-J307</f>
        <v>-4</v>
      </c>
      <c r="L307" s="3" t="str">
        <f>IF(K307&lt;-5,"CRÍTICO",IF(K307&lt;0,"ATENÇÃO",IF(K307&lt;=5,"BOM","EXCELENTE")))</f>
        <v>ATENÇÃO</v>
      </c>
    </row>
    <row r="308" spans="1:12" x14ac:dyDescent="0.25">
      <c r="A308" s="5">
        <v>46150</v>
      </c>
      <c r="B308" s="6" t="s">
        <v>37</v>
      </c>
      <c r="C308" s="3" t="s">
        <v>36</v>
      </c>
      <c r="D308" s="3">
        <v>11</v>
      </c>
      <c r="E308" s="3">
        <v>11</v>
      </c>
      <c r="G308" s="3">
        <v>4</v>
      </c>
      <c r="H308" s="3">
        <v>0</v>
      </c>
      <c r="I308" s="3">
        <f>E308+G308+H308</f>
        <v>15</v>
      </c>
      <c r="J308" s="3" t="str">
        <f>IF(C308="Técnico III","35",IF(C308="Técnico II","28",IF(C308="Técnico I","23",IF(C308="JR","20",IF(C308="Estágio","10",)))))</f>
        <v>20</v>
      </c>
      <c r="K308" s="3">
        <f>I308-J308</f>
        <v>-5</v>
      </c>
      <c r="L308" s="3" t="str">
        <f>IF(K308&lt;-5,"CRÍTICO",IF(K308&lt;0,"ATENÇÃO",IF(K308&lt;=5,"BOM","EXCELENTE")))</f>
        <v>ATENÇÃO</v>
      </c>
    </row>
    <row r="309" spans="1:12" x14ac:dyDescent="0.25">
      <c r="A309" s="5">
        <v>46153</v>
      </c>
      <c r="B309" s="6" t="s">
        <v>37</v>
      </c>
      <c r="C309" s="3" t="s">
        <v>36</v>
      </c>
      <c r="D309" s="3">
        <v>12</v>
      </c>
      <c r="E309" s="3">
        <v>11</v>
      </c>
      <c r="G309" s="3">
        <v>1</v>
      </c>
      <c r="I309" s="3">
        <f>E309+G309+H309</f>
        <v>12</v>
      </c>
      <c r="J309" s="3" t="str">
        <f>IF(C309="Técnico III","35",IF(C309="Técnico II","28",IF(C309="Técnico I","23",IF(C309="JR","20",IF(C309="Estágio","10",)))))</f>
        <v>20</v>
      </c>
      <c r="K309" s="3">
        <f>I309-J309</f>
        <v>-8</v>
      </c>
      <c r="L309" s="3" t="str">
        <f>IF(K309&lt;-5,"CRÍTICO",IF(K309&lt;0,"ATENÇÃO",IF(K309&lt;=5,"BOM","EXCELENTE")))</f>
        <v>CRÍTICO</v>
      </c>
    </row>
    <row r="310" spans="1:12" x14ac:dyDescent="0.25">
      <c r="A310" s="5">
        <v>46154</v>
      </c>
      <c r="B310" s="6" t="s">
        <v>37</v>
      </c>
      <c r="C310" s="3" t="s">
        <v>36</v>
      </c>
      <c r="D310" s="3">
        <v>10</v>
      </c>
      <c r="E310" s="3">
        <v>6</v>
      </c>
      <c r="G310" s="3">
        <v>7</v>
      </c>
      <c r="I310" s="3">
        <f>E310+G310+H310</f>
        <v>13</v>
      </c>
      <c r="J310" s="3" t="str">
        <f>IF(C310="Técnico III","35",IF(C310="Técnico II","28",IF(C310="Técnico I","23",IF(C310="JR","20",IF(C310="Estágio","10",)))))</f>
        <v>20</v>
      </c>
      <c r="K310" s="3">
        <f>I310-J310</f>
        <v>-7</v>
      </c>
      <c r="L310" s="3" t="str">
        <f>IF(K310&lt;-5,"CRÍTICO",IF(K310&lt;0,"ATENÇÃO",IF(K310&lt;=5,"BOM","EXCELENTE")))</f>
        <v>CRÍTICO</v>
      </c>
    </row>
    <row r="311" spans="1:12" x14ac:dyDescent="0.25">
      <c r="A311" s="5">
        <v>46155</v>
      </c>
      <c r="B311" s="6" t="s">
        <v>37</v>
      </c>
      <c r="C311" s="3" t="s">
        <v>36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 t="str">
        <f>IF(K311&lt;-5,"CRÍTICO",IF(K311&lt;0,"ATENÇÃO",IF(K311&lt;=5,"BOM","EXCELENTE")))</f>
        <v>BOM</v>
      </c>
    </row>
    <row r="312" spans="1:12" x14ac:dyDescent="0.25">
      <c r="A312" s="5">
        <v>46156</v>
      </c>
      <c r="B312" s="6" t="s">
        <v>37</v>
      </c>
      <c r="C312" s="3" t="s">
        <v>36</v>
      </c>
      <c r="D312" s="3">
        <v>9</v>
      </c>
      <c r="E312" s="3">
        <v>7</v>
      </c>
      <c r="G312" s="3">
        <v>8</v>
      </c>
      <c r="H312" s="3">
        <v>0</v>
      </c>
      <c r="I312" s="3">
        <f>E312+G312+H312</f>
        <v>15</v>
      </c>
      <c r="J312" s="3" t="str">
        <f>IF(C312="Técnico III","35",IF(C312="Técnico II","28",IF(C312="Técnico I","23",IF(C312="JR","20",IF(C312="Estágio","10",)))))</f>
        <v>20</v>
      </c>
      <c r="K312" s="3">
        <f>I312-J312</f>
        <v>-5</v>
      </c>
      <c r="L312" s="3" t="str">
        <f>IF(K312&lt;-5,"CRÍTICO",IF(K312&lt;0,"ATENÇÃO",IF(K312&lt;=5,"BOM","EXCELENTE")))</f>
        <v>ATENÇÃO</v>
      </c>
    </row>
    <row r="313" spans="1:12" x14ac:dyDescent="0.25">
      <c r="A313" s="5">
        <v>46157</v>
      </c>
      <c r="B313" s="6" t="s">
        <v>37</v>
      </c>
      <c r="C313" s="3" t="s">
        <v>36</v>
      </c>
      <c r="D313" s="3">
        <v>15</v>
      </c>
      <c r="E313" s="3">
        <v>14</v>
      </c>
      <c r="G313" s="3">
        <v>2</v>
      </c>
      <c r="H313" s="3">
        <v>0</v>
      </c>
      <c r="I313" s="3">
        <f>E313+G313+H313</f>
        <v>16</v>
      </c>
      <c r="J313" s="3" t="str">
        <f>IF(C313="Técnico III","35",IF(C313="Técnico II","28",IF(C313="Técnico I","23",IF(C313="JR","20",IF(C313="Estágio","10",)))))</f>
        <v>20</v>
      </c>
      <c r="K313" s="3">
        <f>I313-J313</f>
        <v>-4</v>
      </c>
      <c r="L313" s="3" t="str">
        <f>IF(K313&lt;-5,"CRÍTICO",IF(K313&lt;0,"ATENÇÃO",IF(K313&lt;=5,"BOM","EXCELENTE")))</f>
        <v>ATENÇÃO</v>
      </c>
    </row>
    <row r="314" spans="1:12" x14ac:dyDescent="0.25">
      <c r="A314" s="5">
        <v>46160</v>
      </c>
      <c r="B314" s="6" t="s">
        <v>37</v>
      </c>
      <c r="C314" s="3" t="s">
        <v>36</v>
      </c>
      <c r="D314" s="3">
        <v>16</v>
      </c>
      <c r="E314" s="3">
        <v>13</v>
      </c>
      <c r="G314" s="3">
        <v>4</v>
      </c>
      <c r="H314" s="3">
        <v>0</v>
      </c>
      <c r="I314" s="3">
        <f>E314+G314+H314</f>
        <v>17</v>
      </c>
      <c r="J314" s="3" t="str">
        <f>IF(C314="Técnico III","35",IF(C314="Técnico II","28",IF(C314="Técnico I","23",IF(C314="JR","20",IF(C314="Estágio","10",)))))</f>
        <v>20</v>
      </c>
      <c r="K314" s="3">
        <f>I314-J314</f>
        <v>-3</v>
      </c>
      <c r="L314" s="3" t="str">
        <f>IF(K314&lt;-5,"CRÍTICO",IF(K314&lt;0,"ATENÇÃO",IF(K314&lt;=5,"BOM","EXCELENTE")))</f>
        <v>ATENÇÃO</v>
      </c>
    </row>
    <row r="315" spans="1:12" x14ac:dyDescent="0.25">
      <c r="A315" s="7">
        <v>46161</v>
      </c>
      <c r="B315" s="8" t="s">
        <v>38</v>
      </c>
      <c r="C315" s="9" t="s">
        <v>12</v>
      </c>
      <c r="D315" s="3">
        <v>27</v>
      </c>
      <c r="E315" s="3">
        <v>26</v>
      </c>
      <c r="G315" s="3">
        <v>0</v>
      </c>
      <c r="H315" s="3">
        <v>0</v>
      </c>
      <c r="I315" s="3">
        <f>E315+G315+H315</f>
        <v>26</v>
      </c>
      <c r="J315" s="3" t="str">
        <f>IF(C315="Técnico III","35",IF(C315="Técnico II","28",IF(C315="Técnico I","23",IF(C315="JR","20",IF(C315="Estágio","10",)))))</f>
        <v>35</v>
      </c>
      <c r="K315" s="3">
        <f>I315-J315</f>
        <v>-9</v>
      </c>
      <c r="L315" s="3" t="str">
        <f>IF(K315&lt;-5,"CRÍTICO",IF(K315&lt;0,"ATENÇÃO",IF(K315&lt;=5,"BOM","EXCELENTE")))</f>
        <v>CRÍTICO</v>
      </c>
    </row>
    <row r="316" spans="1:12" x14ac:dyDescent="0.25">
      <c r="A316" s="5">
        <v>46146</v>
      </c>
      <c r="B316" s="6" t="s">
        <v>38</v>
      </c>
      <c r="C316" s="9" t="s">
        <v>12</v>
      </c>
      <c r="D316" s="3">
        <v>32</v>
      </c>
      <c r="E316" s="3">
        <v>29</v>
      </c>
      <c r="G316" s="3">
        <v>0</v>
      </c>
      <c r="I316" s="3">
        <f>E316+G316+H316</f>
        <v>29</v>
      </c>
      <c r="J316" s="3" t="str">
        <f>IF(C316="Técnico III","35",IF(C316="Técnico II","28",IF(C316="Técnico I","23",IF(C316="JR","20",IF(C316="Estágio","10",)))))</f>
        <v>35</v>
      </c>
      <c r="K316" s="3">
        <f>I316-J316</f>
        <v>-6</v>
      </c>
      <c r="L316" s="3" t="str">
        <f>IF(K316&lt;-5,"CRÍTICO",IF(K316&lt;0,"ATENÇÃO",IF(K316&lt;=5,"BOM","EXCELENTE")))</f>
        <v>CRÍTICO</v>
      </c>
    </row>
    <row r="317" spans="1:12" x14ac:dyDescent="0.25">
      <c r="A317" s="5">
        <v>46147</v>
      </c>
      <c r="B317" s="6" t="s">
        <v>38</v>
      </c>
      <c r="C317" s="9" t="s">
        <v>12</v>
      </c>
      <c r="D317" s="3">
        <v>29</v>
      </c>
      <c r="E317" s="3">
        <v>25</v>
      </c>
      <c r="G317" s="3">
        <v>0</v>
      </c>
      <c r="I317" s="3">
        <f>E317+G317+H317</f>
        <v>25</v>
      </c>
      <c r="J317" s="3" t="str">
        <f>IF(C317="Técnico III","35",IF(C317="Técnico II","28",IF(C317="Técnico I","23",IF(C317="JR","20",IF(C317="Estágio","10",)))))</f>
        <v>35</v>
      </c>
      <c r="K317" s="3">
        <f>I317-J317</f>
        <v>-10</v>
      </c>
      <c r="L317" s="3" t="str">
        <f>IF(K317&lt;-5,"CRÍTICO",IF(K317&lt;0,"ATENÇÃO",IF(K317&lt;=5,"BOM","EXCELENTE")))</f>
        <v>CRÍTICO</v>
      </c>
    </row>
    <row r="318" spans="1:12" x14ac:dyDescent="0.25">
      <c r="A318" s="5">
        <v>46148</v>
      </c>
      <c r="B318" s="6" t="s">
        <v>38</v>
      </c>
      <c r="C318" s="9" t="s">
        <v>12</v>
      </c>
      <c r="D318" s="3">
        <v>38</v>
      </c>
      <c r="E318" s="3">
        <v>38</v>
      </c>
      <c r="G318" s="3">
        <v>0</v>
      </c>
      <c r="I318" s="3">
        <f>E318+G318+H318</f>
        <v>38</v>
      </c>
      <c r="J318" s="3" t="str">
        <f>IF(C318="Técnico III","35",IF(C318="Técnico II","28",IF(C318="Técnico I","23",IF(C318="JR","20",IF(C318="Estágio","10",)))))</f>
        <v>35</v>
      </c>
      <c r="K318" s="3">
        <f>I318-J318</f>
        <v>3</v>
      </c>
      <c r="L318" s="3" t="str">
        <f>IF(K318&lt;-5,"CRÍTICO",IF(K318&lt;0,"ATENÇÃO",IF(K318&lt;=5,"BOM","EXCELENTE")))</f>
        <v>BOM</v>
      </c>
    </row>
    <row r="319" spans="1:12" x14ac:dyDescent="0.25">
      <c r="A319" s="5">
        <v>46149</v>
      </c>
      <c r="B319" s="6" t="s">
        <v>38</v>
      </c>
      <c r="C319" s="9" t="s">
        <v>12</v>
      </c>
      <c r="D319" s="3">
        <v>25</v>
      </c>
      <c r="E319" s="3">
        <v>23</v>
      </c>
      <c r="G319" s="3">
        <v>0</v>
      </c>
      <c r="I319" s="3">
        <f>E319+G319+H319</f>
        <v>23</v>
      </c>
      <c r="J319" s="3" t="str">
        <f>IF(C319="Técnico III","35",IF(C319="Técnico II","28",IF(C319="Técnico I","23",IF(C319="JR","20",IF(C319="Estágio","10",)))))</f>
        <v>35</v>
      </c>
      <c r="K319" s="3">
        <f>I319-J319</f>
        <v>-12</v>
      </c>
      <c r="L319" s="3" t="str">
        <f>IF(K319&lt;-5,"CRÍTICO",IF(K319&lt;0,"ATENÇÃO",IF(K319&lt;=5,"BOM","EXCELENTE")))</f>
        <v>CRÍTICO</v>
      </c>
    </row>
    <row r="320" spans="1:12" x14ac:dyDescent="0.25">
      <c r="A320" s="5">
        <v>46150</v>
      </c>
      <c r="B320" s="6" t="s">
        <v>38</v>
      </c>
      <c r="C320" s="9" t="s">
        <v>12</v>
      </c>
      <c r="D320" s="3">
        <v>29</v>
      </c>
      <c r="E320" s="3">
        <v>28</v>
      </c>
      <c r="G320" s="3">
        <v>0</v>
      </c>
      <c r="H320" s="3">
        <v>0</v>
      </c>
      <c r="I320" s="3">
        <f>E320+G320+H320</f>
        <v>28</v>
      </c>
      <c r="J320" s="3" t="str">
        <f>IF(C320="Técnico III","35",IF(C320="Técnico II","28",IF(C320="Técnico I","23",IF(C320="JR","20",IF(C320="Estágio","10",)))))</f>
        <v>35</v>
      </c>
      <c r="K320" s="3">
        <f>I320-J320</f>
        <v>-7</v>
      </c>
      <c r="L320" s="3" t="str">
        <f>IF(K320&lt;-5,"CRÍTICO",IF(K320&lt;0,"ATENÇÃO",IF(K320&lt;=5,"BOM","EXCELENTE")))</f>
        <v>CRÍTICO</v>
      </c>
    </row>
    <row r="321" spans="1:12" x14ac:dyDescent="0.25">
      <c r="A321" s="5">
        <v>46153</v>
      </c>
      <c r="B321" s="6" t="s">
        <v>38</v>
      </c>
      <c r="C321" s="9" t="s">
        <v>12</v>
      </c>
      <c r="D321" s="3">
        <v>31</v>
      </c>
      <c r="E321" s="3">
        <v>29</v>
      </c>
      <c r="G321" s="3">
        <v>0</v>
      </c>
      <c r="I321" s="3">
        <f>E321+G321+H321</f>
        <v>29</v>
      </c>
      <c r="J321" s="3" t="str">
        <f>IF(C321="Técnico III","35",IF(C321="Técnico II","28",IF(C321="Técnico I","23",IF(C321="JR","20",IF(C321="Estágio","10",)))))</f>
        <v>35</v>
      </c>
      <c r="K321" s="3">
        <f>I321-J321</f>
        <v>-6</v>
      </c>
      <c r="L321" s="3" t="str">
        <f>IF(K321&lt;-5,"CRÍTICO",IF(K321&lt;0,"ATENÇÃO",IF(K321&lt;=5,"BOM","EXCELENTE")))</f>
        <v>CRÍTICO</v>
      </c>
    </row>
    <row r="322" spans="1:12" x14ac:dyDescent="0.25">
      <c r="A322" s="5">
        <v>46154</v>
      </c>
      <c r="B322" s="6" t="s">
        <v>38</v>
      </c>
      <c r="C322" s="9" t="s">
        <v>12</v>
      </c>
      <c r="D322" s="3">
        <v>31</v>
      </c>
      <c r="E322" s="3">
        <v>25</v>
      </c>
      <c r="G322" s="3">
        <v>0</v>
      </c>
      <c r="I322" s="3">
        <f>E322+G322+H322</f>
        <v>25</v>
      </c>
      <c r="J322" s="3" t="str">
        <f>IF(C322="Técnico III","35",IF(C322="Técnico II","28",IF(C322="Técnico I","23",IF(C322="JR","20",IF(C322="Estágio","10",)))))</f>
        <v>35</v>
      </c>
      <c r="K322" s="3">
        <f>I322-J322</f>
        <v>-10</v>
      </c>
      <c r="L322" s="3" t="str">
        <f>IF(K322&lt;-5,"CRÍTICO",IF(K322&lt;0,"ATENÇÃO",IF(K322&lt;=5,"BOM","EXCELENTE")))</f>
        <v>CRÍTICO</v>
      </c>
    </row>
    <row r="323" spans="1:12" x14ac:dyDescent="0.25">
      <c r="A323" s="5">
        <v>46155</v>
      </c>
      <c r="B323" s="6" t="s">
        <v>38</v>
      </c>
      <c r="C323" s="9" t="s">
        <v>12</v>
      </c>
      <c r="D323" s="3">
        <v>25</v>
      </c>
      <c r="E323" s="3">
        <v>24</v>
      </c>
      <c r="G323" s="3">
        <v>1</v>
      </c>
      <c r="I323" s="3">
        <f>E323+G323+H323</f>
        <v>25</v>
      </c>
      <c r="J323" s="3" t="str">
        <f>IF(C323="Técnico III","35",IF(C323="Técnico II","28",IF(C323="Técnico I","23",IF(C323="JR","20",IF(C323="Estágio","10",)))))</f>
        <v>35</v>
      </c>
      <c r="K323" s="3">
        <f>I323-J323</f>
        <v>-10</v>
      </c>
      <c r="L323" s="3" t="str">
        <f>IF(K323&lt;-5,"CRÍTICO",IF(K323&lt;0,"ATENÇÃO",IF(K323&lt;=5,"BOM","EXCELENTE")))</f>
        <v>CRÍTICO</v>
      </c>
    </row>
    <row r="324" spans="1:12" x14ac:dyDescent="0.25">
      <c r="A324" s="5">
        <v>46156</v>
      </c>
      <c r="B324" s="6" t="s">
        <v>38</v>
      </c>
      <c r="C324" s="9" t="s">
        <v>12</v>
      </c>
      <c r="D324" s="3">
        <v>30</v>
      </c>
      <c r="E324" s="3">
        <v>27</v>
      </c>
      <c r="G324" s="3">
        <v>0</v>
      </c>
      <c r="H324" s="3">
        <v>0</v>
      </c>
      <c r="I324" s="3">
        <f>E324+G324+H324</f>
        <v>27</v>
      </c>
      <c r="J324" s="3" t="str">
        <f>IF(C324="Técnico III","35",IF(C324="Técnico II","28",IF(C324="Técnico I","23",IF(C324="JR","20",IF(C324="Estágio","10",)))))</f>
        <v>35</v>
      </c>
      <c r="K324" s="3">
        <f>I324-J324</f>
        <v>-8</v>
      </c>
      <c r="L324" s="3" t="str">
        <f>IF(K324&lt;-5,"CRÍTICO",IF(K324&lt;0,"ATENÇÃO",IF(K324&lt;=5,"BOM","EXCELENTE")))</f>
        <v>CRÍTICO</v>
      </c>
    </row>
    <row r="325" spans="1:12" x14ac:dyDescent="0.25">
      <c r="A325" s="5">
        <v>46157</v>
      </c>
      <c r="B325" s="6" t="s">
        <v>38</v>
      </c>
      <c r="C325" s="9" t="s">
        <v>12</v>
      </c>
      <c r="D325" s="3">
        <v>23</v>
      </c>
      <c r="E325" s="3">
        <v>22</v>
      </c>
      <c r="G325" s="3">
        <v>1</v>
      </c>
      <c r="H325" s="3">
        <v>0</v>
      </c>
      <c r="I325" s="3">
        <f>E325+G325+H325</f>
        <v>23</v>
      </c>
      <c r="J325" s="3" t="str">
        <f>IF(C325="Técnico III","35",IF(C325="Técnico II","28",IF(C325="Técnico I","23",IF(C325="JR","20",IF(C325="Estágio","10",)))))</f>
        <v>35</v>
      </c>
      <c r="K325" s="3">
        <f>I325-J325</f>
        <v>-12</v>
      </c>
      <c r="L325" s="3" t="str">
        <f>IF(K325&lt;-5,"CRÍTICO",IF(K325&lt;0,"ATENÇÃO",IF(K325&lt;=5,"BOM","EXCELENTE")))</f>
        <v>CRÍTICO</v>
      </c>
    </row>
    <row r="326" spans="1:12" x14ac:dyDescent="0.25">
      <c r="A326" s="5">
        <v>46160</v>
      </c>
      <c r="B326" s="6" t="s">
        <v>38</v>
      </c>
      <c r="C326" s="9" t="s">
        <v>12</v>
      </c>
      <c r="D326" s="3">
        <v>28</v>
      </c>
      <c r="E326" s="3">
        <v>25</v>
      </c>
      <c r="G326" s="3">
        <v>0</v>
      </c>
      <c r="H326" s="3">
        <v>0</v>
      </c>
      <c r="I326" s="3">
        <f>E326+G326+H326</f>
        <v>25</v>
      </c>
      <c r="J326" s="3" t="str">
        <f>IF(C326="Técnico III","35",IF(C326="Técnico II","28",IF(C326="Técnico I","23",IF(C326="JR","20",IF(C326="Estágio","10",)))))</f>
        <v>35</v>
      </c>
      <c r="K326" s="3">
        <f>I326-J326</f>
        <v>-10</v>
      </c>
      <c r="L326" s="3" t="str">
        <f>IF(K326&lt;-5,"CRÍTICO",IF(K326&lt;0,"ATENÇÃO",IF(K326&lt;=5,"BOM","EXCELENTE")))</f>
        <v>CRÍTICO</v>
      </c>
    </row>
    <row r="327" spans="1:12" x14ac:dyDescent="0.25">
      <c r="A327" s="7">
        <v>46161</v>
      </c>
      <c r="B327" s="8" t="s">
        <v>39</v>
      </c>
      <c r="C327" s="9" t="s">
        <v>11</v>
      </c>
      <c r="D327" s="3">
        <v>28</v>
      </c>
      <c r="E327" s="3">
        <v>25</v>
      </c>
      <c r="G327" s="3">
        <v>3</v>
      </c>
      <c r="H327" s="3">
        <v>0</v>
      </c>
      <c r="I327" s="3">
        <f>E327+G327+H327</f>
        <v>28</v>
      </c>
      <c r="J327" s="3" t="str">
        <f>IF(C327="Técnico III","35",IF(C327="Técnico II","28",IF(C327="Técnico I","23",IF(C327="JR","20",IF(C327="Estágio","10",)))))</f>
        <v>28</v>
      </c>
      <c r="K327" s="3">
        <f>I327-J327</f>
        <v>0</v>
      </c>
      <c r="L327" s="3" t="str">
        <f>IF(K327&lt;-5,"CRÍTICO",IF(K327&lt;0,"ATENÇÃO",IF(K327&lt;=5,"BOM","EXCELENTE")))</f>
        <v>BOM</v>
      </c>
    </row>
    <row r="328" spans="1:12" x14ac:dyDescent="0.25">
      <c r="A328" s="5">
        <v>46146</v>
      </c>
      <c r="B328" s="6" t="s">
        <v>39</v>
      </c>
      <c r="C328" s="3" t="s">
        <v>11</v>
      </c>
      <c r="D328" s="3">
        <v>29</v>
      </c>
      <c r="E328" s="3">
        <v>26</v>
      </c>
      <c r="G328" s="3">
        <v>0</v>
      </c>
      <c r="I328" s="3">
        <f>E328+G328+H328</f>
        <v>26</v>
      </c>
      <c r="J328" s="3" t="str">
        <f>IF(C328="Técnico III","35",IF(C328="Técnico II","28",IF(C328="Técnico I","23",IF(C328="JR","20",IF(C328="Estágio","10",)))))</f>
        <v>28</v>
      </c>
      <c r="K328" s="3">
        <f>I328-J328</f>
        <v>-2</v>
      </c>
      <c r="L328" s="3" t="str">
        <f>IF(K328&lt;-5,"CRÍTICO",IF(K328&lt;0,"ATENÇÃO",IF(K328&lt;=5,"BOM","EXCELENTE")))</f>
        <v>ATENÇÃO</v>
      </c>
    </row>
    <row r="329" spans="1:12" x14ac:dyDescent="0.25">
      <c r="A329" s="5">
        <v>46147</v>
      </c>
      <c r="B329" s="6" t="s">
        <v>39</v>
      </c>
      <c r="C329" s="3" t="s">
        <v>11</v>
      </c>
      <c r="D329" s="3">
        <v>18</v>
      </c>
      <c r="E329" s="3">
        <v>18</v>
      </c>
      <c r="G329" s="3">
        <v>4</v>
      </c>
      <c r="I329" s="3">
        <f>E329+G329+H329</f>
        <v>22</v>
      </c>
      <c r="J329" s="3" t="str">
        <f>IF(C329="Técnico III","35",IF(C329="Técnico II","28",IF(C329="Técnico I","23",IF(C329="JR","20",IF(C329="Estágio","10",)))))</f>
        <v>28</v>
      </c>
      <c r="K329" s="3">
        <f>I329-J329</f>
        <v>-6</v>
      </c>
      <c r="L329" s="3" t="str">
        <f>IF(K329&lt;-5,"CRÍTICO",IF(K329&lt;0,"ATENÇÃO",IF(K329&lt;=5,"BOM","EXCELENTE")))</f>
        <v>CRÍTICO</v>
      </c>
    </row>
    <row r="330" spans="1:12" x14ac:dyDescent="0.25">
      <c r="A330" s="5">
        <v>46148</v>
      </c>
      <c r="B330" s="6" t="s">
        <v>39</v>
      </c>
      <c r="C330" s="3" t="s">
        <v>11</v>
      </c>
      <c r="D330" s="3">
        <v>38</v>
      </c>
      <c r="E330" s="3">
        <v>36</v>
      </c>
      <c r="G330" s="3">
        <v>2</v>
      </c>
      <c r="I330" s="3">
        <f>E330+G330+H330</f>
        <v>38</v>
      </c>
      <c r="J330" s="3" t="str">
        <f>IF(C330="Técnico III","35",IF(C330="Técnico II","28",IF(C330="Técnico I","23",IF(C330="JR","20",IF(C330="Estágio","10",)))))</f>
        <v>28</v>
      </c>
      <c r="K330" s="3">
        <f>I330-J330</f>
        <v>10</v>
      </c>
      <c r="L330" s="3" t="str">
        <f>IF(K330&lt;-5,"CRÍTICO",IF(K330&lt;0,"ATENÇÃO",IF(K330&lt;=5,"BOM","EXCELENTE")))</f>
        <v>EXCELENTE</v>
      </c>
    </row>
    <row r="331" spans="1:12" x14ac:dyDescent="0.25">
      <c r="A331" s="5">
        <v>46149</v>
      </c>
      <c r="B331" s="6" t="s">
        <v>39</v>
      </c>
      <c r="C331" s="3" t="s">
        <v>11</v>
      </c>
      <c r="D331" s="3">
        <v>40</v>
      </c>
      <c r="E331" s="3">
        <v>37</v>
      </c>
      <c r="G331" s="3">
        <v>6</v>
      </c>
      <c r="I331" s="3">
        <f>E331+G331+H331</f>
        <v>43</v>
      </c>
      <c r="J331" s="3" t="str">
        <f>IF(C331="Técnico III","35",IF(C331="Técnico II","28",IF(C331="Técnico I","23",IF(C331="JR","20",IF(C331="Estágio","10",)))))</f>
        <v>28</v>
      </c>
      <c r="K331" s="3">
        <f>I331-J331</f>
        <v>15</v>
      </c>
      <c r="L331" s="3" t="str">
        <f>IF(K331&lt;-5,"CRÍTICO",IF(K331&lt;0,"ATENÇÃO",IF(K331&lt;=5,"BOM","EXCELENTE")))</f>
        <v>EXCELENTE</v>
      </c>
    </row>
    <row r="332" spans="1:12" x14ac:dyDescent="0.25">
      <c r="A332" s="5">
        <v>46150</v>
      </c>
      <c r="B332" s="6" t="s">
        <v>39</v>
      </c>
      <c r="C332" s="3" t="s">
        <v>11</v>
      </c>
      <c r="D332" s="3">
        <v>22</v>
      </c>
      <c r="E332" s="3">
        <v>18</v>
      </c>
      <c r="G332" s="3">
        <v>3</v>
      </c>
      <c r="H332" s="3">
        <v>0</v>
      </c>
      <c r="I332" s="3">
        <f>E332+G332+H332</f>
        <v>21</v>
      </c>
      <c r="J332" s="3" t="str">
        <f>IF(C332="Técnico III","35",IF(C332="Técnico II","28",IF(C332="Técnico I","23",IF(C332="JR","20",IF(C332="Estágio","10",)))))</f>
        <v>28</v>
      </c>
      <c r="K332" s="3">
        <f>I332-J332</f>
        <v>-7</v>
      </c>
      <c r="L332" s="3" t="str">
        <f>IF(K332&lt;-5,"CRÍTICO",IF(K332&lt;0,"ATENÇÃO",IF(K332&lt;=5,"BOM","EXCELENTE")))</f>
        <v>CRÍTICO</v>
      </c>
    </row>
    <row r="333" spans="1:12" x14ac:dyDescent="0.25">
      <c r="A333" s="5">
        <v>46153</v>
      </c>
      <c r="B333" s="6" t="s">
        <v>39</v>
      </c>
      <c r="C333" s="3" t="s">
        <v>11</v>
      </c>
      <c r="D333" s="3">
        <v>25</v>
      </c>
      <c r="E333" s="3">
        <v>22</v>
      </c>
      <c r="G333" s="3">
        <v>2</v>
      </c>
      <c r="I333" s="3">
        <f>E333+G333+H333</f>
        <v>24</v>
      </c>
      <c r="J333" s="3" t="str">
        <f>IF(C333="Técnico III","35",IF(C333="Técnico II","28",IF(C333="Técnico I","23",IF(C333="JR","20",IF(C333="Estágio","10",)))))</f>
        <v>28</v>
      </c>
      <c r="K333" s="3">
        <f>I333-J333</f>
        <v>-4</v>
      </c>
      <c r="L333" s="3" t="str">
        <f>IF(K333&lt;-5,"CRÍTICO",IF(K333&lt;0,"ATENÇÃO",IF(K333&lt;=5,"BOM","EXCELENTE")))</f>
        <v>ATENÇÃO</v>
      </c>
    </row>
    <row r="334" spans="1:12" x14ac:dyDescent="0.25">
      <c r="A334" s="5">
        <v>46154</v>
      </c>
      <c r="B334" s="6" t="s">
        <v>39</v>
      </c>
      <c r="C334" s="3" t="s">
        <v>11</v>
      </c>
      <c r="D334" s="3">
        <v>28</v>
      </c>
      <c r="E334" s="3">
        <v>26</v>
      </c>
      <c r="G334" s="3">
        <v>2</v>
      </c>
      <c r="I334" s="3">
        <f>E334+G334+H334</f>
        <v>28</v>
      </c>
      <c r="J334" s="3" t="str">
        <f>IF(C334="Técnico III","35",IF(C334="Técnico II","28",IF(C334="Técnico I","23",IF(C334="JR","20",IF(C334="Estágio","10",)))))</f>
        <v>28</v>
      </c>
      <c r="K334" s="3">
        <f>I334-J334</f>
        <v>0</v>
      </c>
      <c r="L334" s="3" t="str">
        <f>IF(K334&lt;-5,"CRÍTICO",IF(K334&lt;0,"ATENÇÃO",IF(K334&lt;=5,"BOM","EXCELENTE")))</f>
        <v>BOM</v>
      </c>
    </row>
    <row r="335" spans="1:12" x14ac:dyDescent="0.25">
      <c r="A335" s="5">
        <v>46155</v>
      </c>
      <c r="B335" s="6" t="s">
        <v>39</v>
      </c>
      <c r="C335" s="3" t="s">
        <v>11</v>
      </c>
      <c r="D335" s="3">
        <v>21</v>
      </c>
      <c r="E335" s="3">
        <v>20</v>
      </c>
      <c r="G335" s="3">
        <v>5</v>
      </c>
      <c r="I335" s="3">
        <f>E335+G335+H335</f>
        <v>25</v>
      </c>
      <c r="J335" s="3" t="str">
        <f>IF(C335="Técnico III","35",IF(C335="Técnico II","28",IF(C335="Técnico I","23",IF(C335="JR","20",IF(C335="Estágio","10",)))))</f>
        <v>28</v>
      </c>
      <c r="K335" s="3">
        <f>I335-J335</f>
        <v>-3</v>
      </c>
      <c r="L335" s="3" t="str">
        <f>IF(K335&lt;-5,"CRÍTICO",IF(K335&lt;0,"ATENÇÃO",IF(K335&lt;=5,"BOM","EXCELENTE")))</f>
        <v>ATENÇÃO</v>
      </c>
    </row>
    <row r="336" spans="1:12" x14ac:dyDescent="0.25">
      <c r="A336" s="5">
        <v>46156</v>
      </c>
      <c r="B336" s="6" t="s">
        <v>39</v>
      </c>
      <c r="C336" s="3" t="s">
        <v>11</v>
      </c>
      <c r="D336" s="3">
        <v>26</v>
      </c>
      <c r="E336" s="3">
        <v>24</v>
      </c>
      <c r="G336" s="3">
        <v>0</v>
      </c>
      <c r="H336" s="3">
        <v>0</v>
      </c>
      <c r="I336" s="3">
        <f>E336+G336+H336</f>
        <v>24</v>
      </c>
      <c r="J336" s="3" t="str">
        <f>IF(C336="Técnico III","35",IF(C336="Técnico II","28",IF(C336="Técnico I","23",IF(C336="JR","20",IF(C336="Estágio","10",)))))</f>
        <v>28</v>
      </c>
      <c r="K336" s="3">
        <f>I336-J336</f>
        <v>-4</v>
      </c>
      <c r="L336" s="3" t="str">
        <f>IF(K336&lt;-5,"CRÍTICO",IF(K336&lt;0,"ATENÇÃO",IF(K336&lt;=5,"BOM","EXCELENTE")))</f>
        <v>ATENÇÃO</v>
      </c>
    </row>
    <row r="337" spans="1:12" x14ac:dyDescent="0.25">
      <c r="A337" s="5">
        <v>46157</v>
      </c>
      <c r="B337" s="6" t="s">
        <v>39</v>
      </c>
      <c r="C337" s="3" t="s">
        <v>11</v>
      </c>
      <c r="D337" s="3">
        <v>34</v>
      </c>
      <c r="E337" s="3">
        <v>32</v>
      </c>
      <c r="G337" s="3">
        <v>0</v>
      </c>
      <c r="H337" s="3">
        <v>0</v>
      </c>
      <c r="I337" s="3">
        <f>E337+G337+H337</f>
        <v>32</v>
      </c>
      <c r="J337" s="3" t="str">
        <f>IF(C337="Técnico III","35",IF(C337="Técnico II","28",IF(C337="Técnico I","23",IF(C337="JR","20",IF(C337="Estágio","10",)))))</f>
        <v>28</v>
      </c>
      <c r="K337" s="3">
        <f>I337-J337</f>
        <v>4</v>
      </c>
      <c r="L337" s="3" t="str">
        <f>IF(K337&lt;-5,"CRÍTICO",IF(K337&lt;0,"ATENÇÃO",IF(K337&lt;=5,"BOM","EXCELENTE")))</f>
        <v>BOM</v>
      </c>
    </row>
    <row r="338" spans="1:12" x14ac:dyDescent="0.25">
      <c r="A338" s="5">
        <v>46160</v>
      </c>
      <c r="B338" s="6" t="s">
        <v>39</v>
      </c>
      <c r="C338" s="3" t="s">
        <v>11</v>
      </c>
      <c r="D338" s="3">
        <v>25</v>
      </c>
      <c r="E338" s="3">
        <v>23</v>
      </c>
      <c r="G338" s="3">
        <v>2</v>
      </c>
      <c r="H338" s="3">
        <v>0</v>
      </c>
      <c r="I338" s="3">
        <f>E338+G338+H338</f>
        <v>25</v>
      </c>
      <c r="J338" s="3" t="str">
        <f>IF(C338="Técnico III","35",IF(C338="Técnico II","28",IF(C338="Técnico I","23",IF(C338="JR","20",IF(C338="Estágio","10",)))))</f>
        <v>28</v>
      </c>
      <c r="K338" s="3">
        <f>I338-J338</f>
        <v>-3</v>
      </c>
      <c r="L338" s="3" t="str">
        <f>IF(K338&lt;-5,"CRÍTICO",IF(K338&lt;0,"ATENÇÃO",IF(K338&lt;=5,"BOM","EXCELENTE")))</f>
        <v>ATENÇÃO</v>
      </c>
    </row>
    <row r="339" spans="1:12" x14ac:dyDescent="0.25">
      <c r="A339" s="7">
        <v>46161</v>
      </c>
      <c r="B339" s="8" t="s">
        <v>40</v>
      </c>
      <c r="C339" s="9" t="s">
        <v>11</v>
      </c>
      <c r="D339" s="3">
        <v>22</v>
      </c>
      <c r="E339" s="3">
        <v>21</v>
      </c>
      <c r="G339" s="3">
        <v>1</v>
      </c>
      <c r="H339" s="3">
        <v>0</v>
      </c>
      <c r="I339" s="3">
        <f>E339+G339+H339</f>
        <v>22</v>
      </c>
      <c r="J339" s="3" t="str">
        <f>IF(C339="Técnico III","35",IF(C339="Técnico II","28",IF(C339="Técnico I","23",IF(C339="JR","20",IF(C339="Estágio","10",)))))</f>
        <v>28</v>
      </c>
      <c r="K339" s="3">
        <f>I339-J339</f>
        <v>-6</v>
      </c>
      <c r="L339" s="3" t="str">
        <f>IF(K339&lt;-5,"CRÍTICO",IF(K339&lt;0,"ATENÇÃO",IF(K339&lt;=5,"BOM","EXCELENTE")))</f>
        <v>CRÍTICO</v>
      </c>
    </row>
    <row r="340" spans="1:12" x14ac:dyDescent="0.25">
      <c r="A340" s="5">
        <v>46146</v>
      </c>
      <c r="B340" s="6" t="s">
        <v>40</v>
      </c>
      <c r="C340" s="3" t="s">
        <v>11</v>
      </c>
      <c r="D340" s="3">
        <v>41</v>
      </c>
      <c r="E340" s="3">
        <v>40</v>
      </c>
      <c r="G340" s="3">
        <v>0</v>
      </c>
      <c r="I340" s="3">
        <f>E340+G340+H340</f>
        <v>40</v>
      </c>
      <c r="J340" s="3" t="str">
        <f>IF(C340="Técnico III","35",IF(C340="Técnico II","28",IF(C340="Técnico I","23",IF(C340="JR","20",IF(C340="Estágio","10",)))))</f>
        <v>28</v>
      </c>
      <c r="K340" s="3">
        <f>I340-J340</f>
        <v>12</v>
      </c>
      <c r="L340" s="3" t="str">
        <f>IF(K340&lt;-5,"CRÍTICO",IF(K340&lt;0,"ATENÇÃO",IF(K340&lt;=5,"BOM","EXCELENTE")))</f>
        <v>EXCELENTE</v>
      </c>
    </row>
    <row r="341" spans="1:12" x14ac:dyDescent="0.25">
      <c r="A341" s="5">
        <v>46147</v>
      </c>
      <c r="B341" s="6" t="s">
        <v>40</v>
      </c>
      <c r="C341" s="3" t="s">
        <v>11</v>
      </c>
      <c r="D341" s="3">
        <v>37</v>
      </c>
      <c r="E341" s="3">
        <v>35</v>
      </c>
      <c r="G341" s="3">
        <v>0</v>
      </c>
      <c r="I341" s="3">
        <f>E341+G341+H341</f>
        <v>35</v>
      </c>
      <c r="J341" s="3" t="str">
        <f>IF(C341="Técnico III","35",IF(C341="Técnico II","28",IF(C341="Técnico I","23",IF(C341="JR","20",IF(C341="Estágio","10",)))))</f>
        <v>28</v>
      </c>
      <c r="K341" s="3">
        <f>I341-J341</f>
        <v>7</v>
      </c>
      <c r="L341" s="3" t="str">
        <f>IF(K341&lt;-5,"CRÍTICO",IF(K341&lt;0,"ATENÇÃO",IF(K341&lt;=5,"BOM","EXCELENTE")))</f>
        <v>EXCELENTE</v>
      </c>
    </row>
    <row r="342" spans="1:12" x14ac:dyDescent="0.25">
      <c r="A342" s="5">
        <v>46148</v>
      </c>
      <c r="B342" s="6" t="s">
        <v>40</v>
      </c>
      <c r="C342" s="3" t="s">
        <v>11</v>
      </c>
      <c r="D342" s="3">
        <v>34</v>
      </c>
      <c r="E342" s="3">
        <v>31</v>
      </c>
      <c r="G342" s="3">
        <v>0</v>
      </c>
      <c r="I342" s="3">
        <f>E342+G342+H342</f>
        <v>31</v>
      </c>
      <c r="J342" s="3" t="str">
        <f>IF(C342="Técnico III","35",IF(C342="Técnico II","28",IF(C342="Técnico I","23",IF(C342="JR","20",IF(C342="Estágio","10",)))))</f>
        <v>28</v>
      </c>
      <c r="K342" s="3">
        <f>I342-J342</f>
        <v>3</v>
      </c>
      <c r="L342" s="3" t="str">
        <f>IF(K342&lt;-5,"CRÍTICO",IF(K342&lt;0,"ATENÇÃO",IF(K342&lt;=5,"BOM","EXCELENTE")))</f>
        <v>BOM</v>
      </c>
    </row>
    <row r="343" spans="1:12" x14ac:dyDescent="0.25">
      <c r="A343" s="5">
        <v>46149</v>
      </c>
      <c r="B343" s="6" t="s">
        <v>40</v>
      </c>
      <c r="C343" s="3" t="s">
        <v>11</v>
      </c>
      <c r="D343" s="3">
        <v>26</v>
      </c>
      <c r="E343" s="3">
        <v>24</v>
      </c>
      <c r="G343" s="3">
        <v>3</v>
      </c>
      <c r="I343" s="3">
        <f>E343+G343+H343</f>
        <v>27</v>
      </c>
      <c r="J343" s="3" t="str">
        <f>IF(C343="Técnico III","35",IF(C343="Técnico II","28",IF(C343="Técnico I","23",IF(C343="JR","20",IF(C343="Estágio","10",)))))</f>
        <v>28</v>
      </c>
      <c r="K343" s="3">
        <f>I343-J343</f>
        <v>-1</v>
      </c>
      <c r="L343" s="3" t="str">
        <f>IF(K343&lt;-5,"CRÍTICO",IF(K343&lt;0,"ATENÇÃO",IF(K343&lt;=5,"BOM","EXCELENTE")))</f>
        <v>ATENÇÃO</v>
      </c>
    </row>
    <row r="344" spans="1:12" x14ac:dyDescent="0.25">
      <c r="A344" s="5">
        <v>46150</v>
      </c>
      <c r="B344" s="6" t="s">
        <v>40</v>
      </c>
      <c r="C344" s="3" t="s">
        <v>11</v>
      </c>
      <c r="D344" s="3">
        <v>26</v>
      </c>
      <c r="E344" s="3">
        <v>26</v>
      </c>
      <c r="G344" s="3">
        <v>0</v>
      </c>
      <c r="H344" s="3">
        <v>0</v>
      </c>
      <c r="I344" s="3">
        <f>E344+G344+H344</f>
        <v>26</v>
      </c>
      <c r="J344" s="3" t="str">
        <f>IF(C344="Técnico III","35",IF(C344="Técnico II","28",IF(C344="Técnico I","23",IF(C344="JR","20",IF(C344="Estágio","10",)))))</f>
        <v>28</v>
      </c>
      <c r="K344" s="3">
        <f>I344-J344</f>
        <v>-2</v>
      </c>
      <c r="L344" s="3" t="str">
        <f>IF(K344&lt;-5,"CRÍTICO",IF(K344&lt;0,"ATENÇÃO",IF(K344&lt;=5,"BOM","EXCELENTE")))</f>
        <v>ATENÇÃO</v>
      </c>
    </row>
    <row r="345" spans="1:12" x14ac:dyDescent="0.25">
      <c r="A345" s="5">
        <v>46153</v>
      </c>
      <c r="B345" s="6" t="s">
        <v>40</v>
      </c>
      <c r="C345" s="3" t="s">
        <v>11</v>
      </c>
      <c r="D345" s="3">
        <v>31</v>
      </c>
      <c r="E345" s="3">
        <v>30</v>
      </c>
      <c r="I345" s="3">
        <f>E345+G345+H345</f>
        <v>30</v>
      </c>
      <c r="J345" s="3" t="str">
        <f>IF(C345="Técnico III","35",IF(C345="Técnico II","28",IF(C345="Técnico I","23",IF(C345="JR","20",IF(C345="Estágio","10",)))))</f>
        <v>28</v>
      </c>
      <c r="K345" s="3">
        <f>I345-J345</f>
        <v>2</v>
      </c>
      <c r="L345" s="3" t="str">
        <f>IF(K345&lt;-5,"CRÍTICO",IF(K345&lt;0,"ATENÇÃO",IF(K345&lt;=5,"BOM","EXCELENTE")))</f>
        <v>BOM</v>
      </c>
    </row>
    <row r="346" spans="1:12" x14ac:dyDescent="0.25">
      <c r="A346" s="5">
        <v>46154</v>
      </c>
      <c r="B346" s="6" t="s">
        <v>40</v>
      </c>
      <c r="C346" s="3" t="s">
        <v>11</v>
      </c>
      <c r="D346" s="3">
        <v>25</v>
      </c>
      <c r="E346" s="3">
        <v>24</v>
      </c>
      <c r="I346" s="3">
        <f>E346+G346+H346</f>
        <v>24</v>
      </c>
      <c r="J346" s="3" t="str">
        <f>IF(C346="Técnico III","35",IF(C346="Técnico II","28",IF(C346="Técnico I","23",IF(C346="JR","20",IF(C346="Estágio","10",)))))</f>
        <v>28</v>
      </c>
      <c r="K346" s="3">
        <f>I346-J346</f>
        <v>-4</v>
      </c>
      <c r="L346" s="3" t="str">
        <f>IF(K346&lt;-5,"CRÍTICO",IF(K346&lt;0,"ATENÇÃO",IF(K346&lt;=5,"BOM","EXCELENTE")))</f>
        <v>ATENÇÃO</v>
      </c>
    </row>
    <row r="347" spans="1:12" x14ac:dyDescent="0.25">
      <c r="A347" s="5">
        <v>46155</v>
      </c>
      <c r="B347" s="6" t="s">
        <v>40</v>
      </c>
      <c r="C347" s="3" t="s">
        <v>11</v>
      </c>
      <c r="D347" s="3">
        <v>30</v>
      </c>
      <c r="E347" s="3">
        <v>29</v>
      </c>
      <c r="G347" s="3">
        <v>1</v>
      </c>
      <c r="I347" s="3">
        <f>E347+G347+H347</f>
        <v>30</v>
      </c>
      <c r="J347" s="3" t="str">
        <f>IF(C347="Técnico III","35",IF(C347="Técnico II","28",IF(C347="Técnico I","23",IF(C347="JR","20",IF(C347="Estágio","10",)))))</f>
        <v>28</v>
      </c>
      <c r="K347" s="3">
        <f>I347-J347</f>
        <v>2</v>
      </c>
      <c r="L347" s="3" t="str">
        <f>IF(K347&lt;-5,"CRÍTICO",IF(K347&lt;0,"ATENÇÃO",IF(K347&lt;=5,"BOM","EXCELENTE")))</f>
        <v>BOM</v>
      </c>
    </row>
    <row r="348" spans="1:12" x14ac:dyDescent="0.25">
      <c r="A348" s="5">
        <v>46156</v>
      </c>
      <c r="B348" s="6" t="s">
        <v>40</v>
      </c>
      <c r="C348" s="3" t="s">
        <v>11</v>
      </c>
      <c r="D348" s="3">
        <v>22</v>
      </c>
      <c r="E348" s="3">
        <v>18</v>
      </c>
      <c r="G348" s="3">
        <v>0</v>
      </c>
      <c r="H348" s="3">
        <v>0</v>
      </c>
      <c r="I348" s="3">
        <f>E348+G348+H348</f>
        <v>18</v>
      </c>
      <c r="J348" s="3" t="str">
        <f>IF(C348="Técnico III","35",IF(C348="Técnico II","28",IF(C348="Técnico I","23",IF(C348="JR","20",IF(C348="Estágio","10",)))))</f>
        <v>28</v>
      </c>
      <c r="K348" s="3">
        <f>I348-J348</f>
        <v>-10</v>
      </c>
      <c r="L348" s="3" t="str">
        <f>IF(K348&lt;-5,"CRÍTICO",IF(K348&lt;0,"ATENÇÃO",IF(K348&lt;=5,"BOM","EXCELENTE")))</f>
        <v>CRÍTICO</v>
      </c>
    </row>
    <row r="349" spans="1:12" x14ac:dyDescent="0.25">
      <c r="A349" s="5">
        <v>46157</v>
      </c>
      <c r="B349" s="6" t="s">
        <v>40</v>
      </c>
      <c r="C349" s="3" t="s">
        <v>11</v>
      </c>
      <c r="D349" s="3">
        <v>28</v>
      </c>
      <c r="E349" s="3">
        <v>25</v>
      </c>
      <c r="G349" s="3">
        <v>0</v>
      </c>
      <c r="H349" s="3">
        <v>0</v>
      </c>
      <c r="I349" s="3">
        <f>E349+G349+H349</f>
        <v>25</v>
      </c>
      <c r="J349" s="3" t="str">
        <f>IF(C349="Técnico III","35",IF(C349="Técnico II","28",IF(C349="Técnico I","23",IF(C349="JR","20",IF(C349="Estágio","10",)))))</f>
        <v>28</v>
      </c>
      <c r="K349" s="3">
        <f>I349-J349</f>
        <v>-3</v>
      </c>
      <c r="L349" s="3" t="str">
        <f>IF(K349&lt;-5,"CRÍTICO",IF(K349&lt;0,"ATENÇÃO",IF(K349&lt;=5,"BOM","EXCELENTE")))</f>
        <v>ATENÇÃO</v>
      </c>
    </row>
    <row r="350" spans="1:12" x14ac:dyDescent="0.25">
      <c r="A350" s="5">
        <v>46160</v>
      </c>
      <c r="B350" s="6" t="s">
        <v>40</v>
      </c>
      <c r="C350" s="3" t="s">
        <v>11</v>
      </c>
      <c r="D350" s="3">
        <v>28</v>
      </c>
      <c r="E350" s="3">
        <v>26</v>
      </c>
      <c r="G350" s="3">
        <v>0</v>
      </c>
      <c r="H350" s="3">
        <v>0</v>
      </c>
      <c r="I350" s="3">
        <f>E350+G350+H350</f>
        <v>26</v>
      </c>
      <c r="J350" s="3" t="str">
        <f>IF(C350="Técnico III","35",IF(C350="Técnico II","28",IF(C350="Técnico I","23",IF(C350="JR","20",IF(C350="Estágio","10",)))))</f>
        <v>28</v>
      </c>
      <c r="K350" s="3">
        <f>I350-J350</f>
        <v>-2</v>
      </c>
      <c r="L350" s="3" t="str">
        <f>IF(K350&lt;-5,"CRÍTICO",IF(K350&lt;0,"ATENÇÃO",IF(K350&lt;=5,"BOM","EXCELENTE")))</f>
        <v>ATENÇÃO</v>
      </c>
    </row>
    <row r="351" spans="1:12" x14ac:dyDescent="0.25">
      <c r="A351" s="7">
        <v>46161</v>
      </c>
      <c r="B351" s="8" t="s">
        <v>64</v>
      </c>
      <c r="C351" s="9" t="s">
        <v>12</v>
      </c>
      <c r="D351" s="3">
        <v>22</v>
      </c>
      <c r="E351" s="3">
        <v>20</v>
      </c>
      <c r="G351" s="3">
        <v>0</v>
      </c>
      <c r="H351" s="3">
        <v>0</v>
      </c>
      <c r="I351" s="3">
        <f>E351+G351+H351</f>
        <v>20</v>
      </c>
      <c r="J351" s="3" t="str">
        <f>IF(C351="Técnico III","35",IF(C351="Técnico II","28",IF(C351="Técnico I","23",IF(C351="JR","20",IF(C351="Estágio","10",)))))</f>
        <v>35</v>
      </c>
      <c r="K351" s="3">
        <f>I351-J351</f>
        <v>-15</v>
      </c>
      <c r="L351" s="3" t="str">
        <f>IF(K351&lt;-5,"CRÍTICO",IF(K351&lt;0,"ATENÇÃO",IF(K351&lt;=5,"BOM","EXCELENTE")))</f>
        <v>CRÍTICO</v>
      </c>
    </row>
    <row r="352" spans="1:12" x14ac:dyDescent="0.25">
      <c r="A352" s="5">
        <v>46146</v>
      </c>
      <c r="B352" s="6" t="s">
        <v>64</v>
      </c>
      <c r="C352" s="3" t="s">
        <v>12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 t="str">
        <f>IF(K352&lt;-5,"CRÍTICO",IF(K352&lt;0,"ATENÇÃO",IF(K352&lt;=5,"BOM","EXCELENTE")))</f>
        <v>BOM</v>
      </c>
    </row>
    <row r="353" spans="1:12" x14ac:dyDescent="0.25">
      <c r="A353" s="5">
        <v>46147</v>
      </c>
      <c r="B353" s="6" t="s">
        <v>64</v>
      </c>
      <c r="C353" s="3" t="s">
        <v>12</v>
      </c>
      <c r="D353" s="3">
        <v>0</v>
      </c>
      <c r="E353" s="3">
        <v>0</v>
      </c>
      <c r="F353" s="3">
        <v>0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3" t="str">
        <f>IF(K353&lt;-5,"CRÍTICO",IF(K353&lt;0,"ATENÇÃO",IF(K353&lt;=5,"BOM","EXCELENTE")))</f>
        <v>BOM</v>
      </c>
    </row>
    <row r="354" spans="1:12" x14ac:dyDescent="0.25">
      <c r="A354" s="5">
        <v>46148</v>
      </c>
      <c r="B354" s="6" t="s">
        <v>64</v>
      </c>
      <c r="C354" s="3" t="s">
        <v>12</v>
      </c>
      <c r="D354" s="3">
        <v>0</v>
      </c>
      <c r="E354" s="3">
        <v>0</v>
      </c>
      <c r="F354" s="3">
        <v>0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3" t="str">
        <f>IF(K354&lt;-5,"CRÍTICO",IF(K354&lt;0,"ATENÇÃO",IF(K354&lt;=5,"BOM","EXCELENTE")))</f>
        <v>BOM</v>
      </c>
    </row>
    <row r="355" spans="1:12" x14ac:dyDescent="0.25">
      <c r="A355" s="5">
        <v>46149</v>
      </c>
      <c r="B355" s="6" t="s">
        <v>64</v>
      </c>
      <c r="C355" s="3" t="s">
        <v>12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 t="str">
        <f>IF(K355&lt;-5,"CRÍTICO",IF(K355&lt;0,"ATENÇÃO",IF(K355&lt;=5,"BOM","EXCELENTE")))</f>
        <v>BOM</v>
      </c>
    </row>
    <row r="356" spans="1:12" x14ac:dyDescent="0.25">
      <c r="A356" s="5">
        <v>46150</v>
      </c>
      <c r="B356" s="6" t="s">
        <v>64</v>
      </c>
      <c r="C356" s="3" t="s">
        <v>12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>IF(K356&lt;-5,"CRÍTICO",IF(K356&lt;0,"ATENÇÃO",IF(K356&lt;=5,"BOM","EXCELENTE")))</f>
        <v>BOM</v>
      </c>
    </row>
    <row r="357" spans="1:12" x14ac:dyDescent="0.25">
      <c r="A357" s="5">
        <v>46153</v>
      </c>
      <c r="B357" s="6" t="s">
        <v>64</v>
      </c>
      <c r="C357" s="3" t="s">
        <v>12</v>
      </c>
      <c r="D357" s="3">
        <v>0</v>
      </c>
      <c r="E357" s="3">
        <v>0</v>
      </c>
      <c r="F357" s="3">
        <v>0</v>
      </c>
      <c r="G357" s="3">
        <v>0</v>
      </c>
      <c r="H357" s="3">
        <v>0</v>
      </c>
      <c r="I357" s="3">
        <v>0</v>
      </c>
      <c r="J357" s="3">
        <v>0</v>
      </c>
      <c r="K357" s="3">
        <v>0</v>
      </c>
      <c r="L357" s="3" t="str">
        <f>IF(K357&lt;-5,"CRÍTICO",IF(K357&lt;0,"ATENÇÃO",IF(K357&lt;=5,"BOM","EXCELENTE")))</f>
        <v>BOM</v>
      </c>
    </row>
    <row r="358" spans="1:12" x14ac:dyDescent="0.25">
      <c r="A358" s="5">
        <v>46154</v>
      </c>
      <c r="B358" s="6" t="s">
        <v>64</v>
      </c>
      <c r="C358" s="3" t="s">
        <v>12</v>
      </c>
      <c r="D358" s="3">
        <v>0</v>
      </c>
      <c r="E358" s="3">
        <v>0</v>
      </c>
      <c r="F358" s="3">
        <v>0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3" t="str">
        <f>IF(K358&lt;-5,"CRÍTICO",IF(K358&lt;0,"ATENÇÃO",IF(K358&lt;=5,"BOM","EXCELENTE")))</f>
        <v>BOM</v>
      </c>
    </row>
    <row r="359" spans="1:12" x14ac:dyDescent="0.25">
      <c r="A359" s="5">
        <v>46155</v>
      </c>
      <c r="B359" s="6" t="s">
        <v>64</v>
      </c>
      <c r="C359" s="3" t="s">
        <v>12</v>
      </c>
      <c r="D359" s="3">
        <v>0</v>
      </c>
      <c r="E359" s="3">
        <v>0</v>
      </c>
      <c r="F359" s="3">
        <v>0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3" t="str">
        <f>IF(K359&lt;-5,"CRÍTICO",IF(K359&lt;0,"ATENÇÃO",IF(K359&lt;=5,"BOM","EXCELENTE")))</f>
        <v>BOM</v>
      </c>
    </row>
    <row r="360" spans="1:12" x14ac:dyDescent="0.25">
      <c r="A360" s="5">
        <v>46156</v>
      </c>
      <c r="B360" s="6" t="s">
        <v>64</v>
      </c>
      <c r="C360" s="3" t="s">
        <v>12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 t="str">
        <f>IF(K360&lt;-5,"CRÍTICO",IF(K360&lt;0,"ATENÇÃO",IF(K360&lt;=5,"BOM","EXCELENTE")))</f>
        <v>BOM</v>
      </c>
    </row>
    <row r="361" spans="1:12" x14ac:dyDescent="0.25">
      <c r="A361" s="5">
        <v>46157</v>
      </c>
      <c r="B361" s="6" t="s">
        <v>64</v>
      </c>
      <c r="C361" s="3" t="s">
        <v>12</v>
      </c>
      <c r="D361" s="3">
        <v>0</v>
      </c>
      <c r="E361" s="3">
        <v>0</v>
      </c>
      <c r="F361" s="3">
        <v>0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3" t="str">
        <f>IF(K361&lt;-5,"CRÍTICO",IF(K361&lt;0,"ATENÇÃO",IF(K361&lt;=5,"BOM","EXCELENTE")))</f>
        <v>BOM</v>
      </c>
    </row>
    <row r="362" spans="1:12" x14ac:dyDescent="0.25">
      <c r="A362" s="5">
        <v>46160</v>
      </c>
      <c r="B362" s="6" t="s">
        <v>64</v>
      </c>
      <c r="C362" s="3" t="s">
        <v>12</v>
      </c>
      <c r="D362" s="3">
        <v>0</v>
      </c>
      <c r="E362" s="3">
        <v>0</v>
      </c>
      <c r="F362" s="3">
        <v>0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3" t="str">
        <f>IF(K362&lt;-5,"CRÍTICO",IF(K362&lt;0,"ATENÇÃO",IF(K362&lt;=5,"BOM","EXCELENTE")))</f>
        <v>BOM</v>
      </c>
    </row>
    <row r="363" spans="1:12" x14ac:dyDescent="0.25">
      <c r="A363" s="7">
        <v>46161</v>
      </c>
      <c r="B363" s="8" t="s">
        <v>41</v>
      </c>
      <c r="C363" s="9" t="s">
        <v>14</v>
      </c>
      <c r="D363" s="3">
        <v>18</v>
      </c>
      <c r="E363" s="3">
        <v>17</v>
      </c>
      <c r="G363" s="3">
        <v>2</v>
      </c>
      <c r="H363" s="3">
        <v>0</v>
      </c>
      <c r="I363" s="3">
        <f>E363+G363+H363</f>
        <v>19</v>
      </c>
      <c r="J363" s="3" t="str">
        <f>IF(C363="Técnico III","35",IF(C363="Técnico II","28",IF(C363="Técnico I","23",IF(C363="JR","20",IF(C363="Estágio","10",)))))</f>
        <v>23</v>
      </c>
      <c r="K363" s="3">
        <f>I363-J363</f>
        <v>-4</v>
      </c>
      <c r="L363" s="3" t="str">
        <f>IF(K363&lt;-5,"CRÍTICO",IF(K363&lt;0,"ATENÇÃO",IF(K363&lt;=5,"BOM","EXCELENTE")))</f>
        <v>ATENÇÃO</v>
      </c>
    </row>
    <row r="364" spans="1:12" x14ac:dyDescent="0.25">
      <c r="A364" s="5">
        <v>46146</v>
      </c>
      <c r="B364" s="6" t="s">
        <v>41</v>
      </c>
      <c r="C364" s="3" t="s">
        <v>14</v>
      </c>
      <c r="D364" s="3">
        <v>25</v>
      </c>
      <c r="E364" s="3">
        <v>21</v>
      </c>
      <c r="G364" s="3">
        <v>4</v>
      </c>
      <c r="I364" s="3">
        <f>E364+G364+H364</f>
        <v>25</v>
      </c>
      <c r="J364" s="3" t="str">
        <f>IF(C364="Técnico III","35",IF(C364="Técnico II","28",IF(C364="Técnico I","23",IF(C364="JR","20",IF(C364="Estágio","10",)))))</f>
        <v>23</v>
      </c>
      <c r="K364" s="3">
        <f>I364-J364</f>
        <v>2</v>
      </c>
      <c r="L364" s="3" t="str">
        <f>IF(K364&lt;-5,"CRÍTICO",IF(K364&lt;0,"ATENÇÃO",IF(K364&lt;=5,"BOM","EXCELENTE")))</f>
        <v>BOM</v>
      </c>
    </row>
    <row r="365" spans="1:12" x14ac:dyDescent="0.25">
      <c r="A365" s="5">
        <v>46147</v>
      </c>
      <c r="B365" s="6" t="s">
        <v>41</v>
      </c>
      <c r="C365" s="3" t="s">
        <v>14</v>
      </c>
      <c r="D365" s="3">
        <v>31</v>
      </c>
      <c r="E365" s="3">
        <v>28</v>
      </c>
      <c r="G365" s="3">
        <v>1</v>
      </c>
      <c r="I365" s="3">
        <f>E365+G365+H365</f>
        <v>29</v>
      </c>
      <c r="J365" s="3" t="str">
        <f>IF(C365="Técnico III","35",IF(C365="Técnico II","28",IF(C365="Técnico I","23",IF(C365="JR","20",IF(C365="Estágio","10",)))))</f>
        <v>23</v>
      </c>
      <c r="K365" s="3">
        <f>I365-J365</f>
        <v>6</v>
      </c>
      <c r="L365" s="3" t="str">
        <f>IF(K365&lt;-5,"CRÍTICO",IF(K365&lt;0,"ATENÇÃO",IF(K365&lt;=5,"BOM","EXCELENTE")))</f>
        <v>EXCELENTE</v>
      </c>
    </row>
    <row r="366" spans="1:12" x14ac:dyDescent="0.25">
      <c r="A366" s="5">
        <v>46148</v>
      </c>
      <c r="B366" s="6" t="s">
        <v>41</v>
      </c>
      <c r="C366" s="3" t="s">
        <v>14</v>
      </c>
      <c r="D366" s="3">
        <v>31</v>
      </c>
      <c r="E366" s="3">
        <v>30</v>
      </c>
      <c r="G366" s="3">
        <v>8</v>
      </c>
      <c r="I366" s="3">
        <f>E366+G366+H366</f>
        <v>38</v>
      </c>
      <c r="J366" s="3" t="str">
        <f>IF(C366="Técnico III","35",IF(C366="Técnico II","28",IF(C366="Técnico I","23",IF(C366="JR","20",IF(C366="Estágio","10",)))))</f>
        <v>23</v>
      </c>
      <c r="K366" s="3">
        <f>I366-J366</f>
        <v>15</v>
      </c>
      <c r="L366" s="3" t="str">
        <f>IF(K366&lt;-5,"CRÍTICO",IF(K366&lt;0,"ATENÇÃO",IF(K366&lt;=5,"BOM","EXCELENTE")))</f>
        <v>EXCELENTE</v>
      </c>
    </row>
    <row r="367" spans="1:12" x14ac:dyDescent="0.25">
      <c r="A367" s="5">
        <v>46149</v>
      </c>
      <c r="B367" s="6" t="s">
        <v>41</v>
      </c>
      <c r="C367" s="3" t="s">
        <v>14</v>
      </c>
      <c r="D367" s="3">
        <v>25</v>
      </c>
      <c r="E367" s="3">
        <v>25</v>
      </c>
      <c r="G367" s="3">
        <v>1</v>
      </c>
      <c r="I367" s="3">
        <f>E367+G367+H367</f>
        <v>26</v>
      </c>
      <c r="J367" s="3" t="str">
        <f>IF(C367="Técnico III","35",IF(C367="Técnico II","28",IF(C367="Técnico I","23",IF(C367="JR","20",IF(C367="Estágio","10",)))))</f>
        <v>23</v>
      </c>
      <c r="K367" s="3">
        <f>I367-J367</f>
        <v>3</v>
      </c>
      <c r="L367" s="3" t="str">
        <f>IF(K367&lt;-5,"CRÍTICO",IF(K367&lt;0,"ATENÇÃO",IF(K367&lt;=5,"BOM","EXCELENTE")))</f>
        <v>BOM</v>
      </c>
    </row>
    <row r="368" spans="1:12" x14ac:dyDescent="0.25">
      <c r="A368" s="5">
        <v>46150</v>
      </c>
      <c r="B368" s="6" t="s">
        <v>41</v>
      </c>
      <c r="C368" s="3" t="s">
        <v>14</v>
      </c>
      <c r="D368" s="3">
        <v>18</v>
      </c>
      <c r="E368" s="3">
        <v>17</v>
      </c>
      <c r="G368" s="3">
        <v>6</v>
      </c>
      <c r="H368" s="3">
        <v>0</v>
      </c>
      <c r="I368" s="3">
        <f>E368+G368+H368</f>
        <v>23</v>
      </c>
      <c r="J368" s="3" t="str">
        <f>IF(C368="Técnico III","35",IF(C368="Técnico II","28",IF(C368="Técnico I","23",IF(C368="JR","20",IF(C368="Estágio","10",)))))</f>
        <v>23</v>
      </c>
      <c r="K368" s="3">
        <f>I368-J368</f>
        <v>0</v>
      </c>
      <c r="L368" s="3" t="str">
        <f>IF(K368&lt;-5,"CRÍTICO",IF(K368&lt;0,"ATENÇÃO",IF(K368&lt;=5,"BOM","EXCELENTE")))</f>
        <v>BOM</v>
      </c>
    </row>
    <row r="369" spans="1:12" x14ac:dyDescent="0.25">
      <c r="A369" s="5">
        <v>46153</v>
      </c>
      <c r="B369" s="6" t="s">
        <v>41</v>
      </c>
      <c r="C369" s="3" t="s">
        <v>14</v>
      </c>
      <c r="D369" s="3">
        <v>24</v>
      </c>
      <c r="E369" s="3">
        <v>23</v>
      </c>
      <c r="G369" s="3">
        <v>1</v>
      </c>
      <c r="I369" s="3">
        <f>E369+G369+H369</f>
        <v>24</v>
      </c>
      <c r="J369" s="3" t="str">
        <f>IF(C369="Técnico III","35",IF(C369="Técnico II","28",IF(C369="Técnico I","23",IF(C369="JR","20",IF(C369="Estágio","10",)))))</f>
        <v>23</v>
      </c>
      <c r="K369" s="3">
        <f>I369-J369</f>
        <v>1</v>
      </c>
      <c r="L369" s="3" t="str">
        <f>IF(K369&lt;-5,"CRÍTICO",IF(K369&lt;0,"ATENÇÃO",IF(K369&lt;=5,"BOM","EXCELENTE")))</f>
        <v>BOM</v>
      </c>
    </row>
    <row r="370" spans="1:12" x14ac:dyDescent="0.25">
      <c r="A370" s="5">
        <v>46154</v>
      </c>
      <c r="B370" s="6" t="s">
        <v>41</v>
      </c>
      <c r="C370" s="3" t="s">
        <v>14</v>
      </c>
      <c r="D370" s="3">
        <v>24</v>
      </c>
      <c r="E370" s="3">
        <v>20</v>
      </c>
      <c r="G370" s="3">
        <v>4</v>
      </c>
      <c r="I370" s="3">
        <f>E370+G370+H370</f>
        <v>24</v>
      </c>
      <c r="J370" s="3" t="str">
        <f>IF(C370="Técnico III","35",IF(C370="Técnico II","28",IF(C370="Técnico I","23",IF(C370="JR","20",IF(C370="Estágio","10",)))))</f>
        <v>23</v>
      </c>
      <c r="K370" s="3">
        <f>I370-J370</f>
        <v>1</v>
      </c>
      <c r="L370" s="3" t="str">
        <f>IF(K370&lt;-5,"CRÍTICO",IF(K370&lt;0,"ATENÇÃO",IF(K370&lt;=5,"BOM","EXCELENTE")))</f>
        <v>BOM</v>
      </c>
    </row>
    <row r="371" spans="1:12" x14ac:dyDescent="0.25">
      <c r="A371" s="5">
        <v>46155</v>
      </c>
      <c r="B371" s="6" t="s">
        <v>41</v>
      </c>
      <c r="C371" s="3" t="s">
        <v>14</v>
      </c>
      <c r="D371" s="3">
        <v>24</v>
      </c>
      <c r="E371" s="3">
        <v>22</v>
      </c>
      <c r="G371" s="3">
        <v>1</v>
      </c>
      <c r="I371" s="3">
        <f>E371+G371+H371</f>
        <v>23</v>
      </c>
      <c r="J371" s="3" t="str">
        <f>IF(C371="Técnico III","35",IF(C371="Técnico II","28",IF(C371="Técnico I","23",IF(C371="JR","20",IF(C371="Estágio","10",)))))</f>
        <v>23</v>
      </c>
      <c r="K371" s="3">
        <f>I371-J371</f>
        <v>0</v>
      </c>
      <c r="L371" s="3" t="str">
        <f>IF(K371&lt;-5,"CRÍTICO",IF(K371&lt;0,"ATENÇÃO",IF(K371&lt;=5,"BOM","EXCELENTE")))</f>
        <v>BOM</v>
      </c>
    </row>
    <row r="372" spans="1:12" x14ac:dyDescent="0.25">
      <c r="A372" s="5">
        <v>46156</v>
      </c>
      <c r="B372" s="6" t="s">
        <v>41</v>
      </c>
      <c r="C372" s="3" t="s">
        <v>14</v>
      </c>
      <c r="D372" s="3">
        <v>11</v>
      </c>
      <c r="E372" s="3">
        <v>11</v>
      </c>
      <c r="G372" s="3">
        <v>4</v>
      </c>
      <c r="H372" s="3">
        <v>0</v>
      </c>
      <c r="I372" s="3">
        <f>E372+G372+H372</f>
        <v>15</v>
      </c>
      <c r="J372" s="3" t="str">
        <f>IF(C372="Técnico III","35",IF(C372="Técnico II","28",IF(C372="Técnico I","23",IF(C372="JR","20",IF(C372="Estágio","10",)))))</f>
        <v>23</v>
      </c>
      <c r="K372" s="3">
        <f>I372-J372</f>
        <v>-8</v>
      </c>
      <c r="L372" s="3" t="str">
        <f>IF(K372&lt;-5,"CRÍTICO",IF(K372&lt;0,"ATENÇÃO",IF(K372&lt;=5,"BOM","EXCELENTE")))</f>
        <v>CRÍTICO</v>
      </c>
    </row>
    <row r="373" spans="1:12" x14ac:dyDescent="0.25">
      <c r="A373" s="5">
        <v>46157</v>
      </c>
      <c r="B373" s="6" t="s">
        <v>41</v>
      </c>
      <c r="C373" s="3" t="s">
        <v>14</v>
      </c>
      <c r="D373" s="3">
        <v>24</v>
      </c>
      <c r="E373" s="3">
        <v>21</v>
      </c>
      <c r="G373" s="3">
        <v>2</v>
      </c>
      <c r="H373" s="3">
        <v>0</v>
      </c>
      <c r="I373" s="3">
        <f>E373+G373+H373</f>
        <v>23</v>
      </c>
      <c r="J373" s="3" t="str">
        <f>IF(C373="Técnico III","35",IF(C373="Técnico II","28",IF(C373="Técnico I","23",IF(C373="JR","20",IF(C373="Estágio","10",)))))</f>
        <v>23</v>
      </c>
      <c r="K373" s="3">
        <f>I373-J373</f>
        <v>0</v>
      </c>
      <c r="L373" s="3" t="str">
        <f>IF(K373&lt;-5,"CRÍTICO",IF(K373&lt;0,"ATENÇÃO",IF(K373&lt;=5,"BOM","EXCELENTE")))</f>
        <v>BOM</v>
      </c>
    </row>
    <row r="374" spans="1:12" x14ac:dyDescent="0.25">
      <c r="A374" s="5">
        <v>46160</v>
      </c>
      <c r="B374" s="6" t="s">
        <v>41</v>
      </c>
      <c r="C374" s="3" t="s">
        <v>14</v>
      </c>
      <c r="D374" s="3">
        <v>21</v>
      </c>
      <c r="E374" s="3">
        <v>20</v>
      </c>
      <c r="G374" s="3">
        <v>2</v>
      </c>
      <c r="H374" s="3">
        <v>0</v>
      </c>
      <c r="I374" s="3">
        <f>E374+G374+H374</f>
        <v>22</v>
      </c>
      <c r="J374" s="3" t="str">
        <f>IF(C374="Técnico III","35",IF(C374="Técnico II","28",IF(C374="Técnico I","23",IF(C374="JR","20",IF(C374="Estágio","10",)))))</f>
        <v>23</v>
      </c>
      <c r="K374" s="3">
        <f>I374-J374</f>
        <v>-1</v>
      </c>
      <c r="L374" s="3" t="str">
        <f>IF(K374&lt;-5,"CRÍTICO",IF(K374&lt;0,"ATENÇÃO",IF(K374&lt;=5,"BOM","EXCELENTE")))</f>
        <v>ATENÇÃO</v>
      </c>
    </row>
    <row r="375" spans="1:12" x14ac:dyDescent="0.25">
      <c r="A375" s="7">
        <v>46161</v>
      </c>
      <c r="B375" s="8" t="s">
        <v>42</v>
      </c>
      <c r="C375" s="9" t="s">
        <v>17</v>
      </c>
      <c r="D375" s="3">
        <v>36</v>
      </c>
      <c r="E375" s="3">
        <v>24</v>
      </c>
      <c r="G375" s="3">
        <v>0</v>
      </c>
      <c r="H375" s="3">
        <v>0</v>
      </c>
      <c r="I375" s="3">
        <f>E375+G375+H375</f>
        <v>24</v>
      </c>
      <c r="J375" s="3" t="str">
        <f>IF(C375="Técnico III","35",IF(C375="Técnico II","28",IF(C375="Técnico I","23",IF(C375="JR","20",IF(C375="Estágio","10",)))))</f>
        <v>10</v>
      </c>
      <c r="K375" s="3">
        <f>I375-J375</f>
        <v>14</v>
      </c>
      <c r="L375" s="3" t="str">
        <f>IF(K375&lt;-5,"CRÍTICO",IF(K375&lt;0,"ATENÇÃO",IF(K375&lt;=5,"BOM","EXCELENTE")))</f>
        <v>EXCELENTE</v>
      </c>
    </row>
    <row r="376" spans="1:12" x14ac:dyDescent="0.25">
      <c r="A376" s="5">
        <v>46146</v>
      </c>
      <c r="B376" s="6" t="s">
        <v>42</v>
      </c>
      <c r="C376" s="3" t="s">
        <v>17</v>
      </c>
      <c r="D376" s="3">
        <v>47</v>
      </c>
      <c r="E376" s="3">
        <v>25</v>
      </c>
      <c r="G376" s="3">
        <v>0</v>
      </c>
      <c r="H376" s="3">
        <v>0</v>
      </c>
      <c r="I376" s="3">
        <f>E376+G376+H376</f>
        <v>25</v>
      </c>
      <c r="J376" s="3" t="str">
        <f>IF(C376="Técnico III","35",IF(C376="Técnico II","28",IF(C376="Técnico I","23",IF(C376="JR","20",IF(C376="Estágio","10",)))))</f>
        <v>10</v>
      </c>
      <c r="K376" s="3">
        <f>I376-J376</f>
        <v>15</v>
      </c>
      <c r="L376" s="3" t="str">
        <f>IF(K376&lt;-5,"CRÍTICO",IF(K376&lt;0,"ATENÇÃO",IF(K376&lt;=5,"BOM","EXCELENTE")))</f>
        <v>EXCELENTE</v>
      </c>
    </row>
    <row r="377" spans="1:12" x14ac:dyDescent="0.25">
      <c r="A377" s="5">
        <v>46147</v>
      </c>
      <c r="B377" s="6" t="s">
        <v>42</v>
      </c>
      <c r="C377" s="3" t="s">
        <v>17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 t="str">
        <f>IF(K377&lt;-5,"CRÍTICO",IF(K377&lt;0,"ATENÇÃO",IF(K377&lt;=5,"BOM","EXCELENTE")))</f>
        <v>BOM</v>
      </c>
    </row>
    <row r="378" spans="1:12" x14ac:dyDescent="0.25">
      <c r="A378" s="5">
        <v>46148</v>
      </c>
      <c r="B378" s="6" t="s">
        <v>42</v>
      </c>
      <c r="C378" s="3" t="s">
        <v>17</v>
      </c>
      <c r="D378" s="3">
        <v>66</v>
      </c>
      <c r="E378" s="3">
        <v>38</v>
      </c>
      <c r="G378" s="3">
        <v>0</v>
      </c>
      <c r="I378" s="3">
        <f>E378+G378+H378</f>
        <v>38</v>
      </c>
      <c r="J378" s="3" t="str">
        <f>IF(C378="Técnico III","35",IF(C378="Técnico II","28",IF(C378="Técnico I","23",IF(C378="JR","20",IF(C378="Estágio","10",)))))</f>
        <v>10</v>
      </c>
      <c r="K378" s="3">
        <f>I378-J378</f>
        <v>28</v>
      </c>
      <c r="L378" s="3" t="str">
        <f>IF(K378&lt;-5,"CRÍTICO",IF(K378&lt;0,"ATENÇÃO",IF(K378&lt;=5,"BOM","EXCELENTE")))</f>
        <v>EXCELENTE</v>
      </c>
    </row>
    <row r="379" spans="1:12" x14ac:dyDescent="0.25">
      <c r="A379" s="5">
        <v>46149</v>
      </c>
      <c r="B379" s="6" t="s">
        <v>42</v>
      </c>
      <c r="C379" s="3" t="s">
        <v>17</v>
      </c>
      <c r="D379" s="3">
        <v>52</v>
      </c>
      <c r="E379" s="3">
        <v>37</v>
      </c>
      <c r="G379" s="3">
        <v>0</v>
      </c>
      <c r="H379" s="3">
        <v>0</v>
      </c>
      <c r="I379" s="3">
        <f>E379+G379+H379</f>
        <v>37</v>
      </c>
      <c r="J379" s="3" t="str">
        <f>IF(C379="Técnico III","35",IF(C379="Técnico II","28",IF(C379="Técnico I","23",IF(C379="JR","20",IF(C379="Estágio","10",)))))</f>
        <v>10</v>
      </c>
      <c r="K379" s="3">
        <f>I379-J379</f>
        <v>27</v>
      </c>
      <c r="L379" s="3" t="str">
        <f>IF(K379&lt;-5,"CRÍTICO",IF(K379&lt;0,"ATENÇÃO",IF(K379&lt;=5,"BOM","EXCELENTE")))</f>
        <v>EXCELENTE</v>
      </c>
    </row>
    <row r="380" spans="1:12" x14ac:dyDescent="0.25">
      <c r="A380" s="5">
        <v>46150</v>
      </c>
      <c r="B380" s="6" t="s">
        <v>42</v>
      </c>
      <c r="C380" s="3" t="s">
        <v>17</v>
      </c>
      <c r="D380" s="3">
        <v>55</v>
      </c>
      <c r="E380" s="3">
        <v>34</v>
      </c>
      <c r="G380" s="3">
        <v>0</v>
      </c>
      <c r="H380" s="3">
        <v>0</v>
      </c>
      <c r="I380" s="3">
        <f>E380+G380+H380</f>
        <v>34</v>
      </c>
      <c r="J380" s="3" t="str">
        <f>IF(C380="Técnico III","35",IF(C380="Técnico II","28",IF(C380="Técnico I","23",IF(C380="JR","20",IF(C380="Estágio","10",)))))</f>
        <v>10</v>
      </c>
      <c r="K380" s="3">
        <f>I380-J380</f>
        <v>24</v>
      </c>
      <c r="L380" s="3" t="str">
        <f>IF(K380&lt;-5,"CRÍTICO",IF(K380&lt;0,"ATENÇÃO",IF(K380&lt;=5,"BOM","EXCELENTE")))</f>
        <v>EXCELENTE</v>
      </c>
    </row>
    <row r="381" spans="1:12" x14ac:dyDescent="0.25">
      <c r="A381" s="5">
        <v>46153</v>
      </c>
      <c r="B381" s="6" t="s">
        <v>42</v>
      </c>
      <c r="C381" s="3" t="s">
        <v>17</v>
      </c>
      <c r="D381" s="3">
        <v>52</v>
      </c>
      <c r="E381" s="3">
        <v>32</v>
      </c>
      <c r="G381" s="3">
        <v>0</v>
      </c>
      <c r="H381" s="3">
        <v>0</v>
      </c>
      <c r="I381" s="3">
        <f>E381+G381+H381</f>
        <v>32</v>
      </c>
      <c r="J381" s="3" t="str">
        <f>IF(C381="Técnico III","35",IF(C381="Técnico II","28",IF(C381="Técnico I","23",IF(C381="JR","20",IF(C381="Estágio","10",)))))</f>
        <v>10</v>
      </c>
      <c r="K381" s="3">
        <f>I381-J381</f>
        <v>22</v>
      </c>
      <c r="L381" s="3" t="str">
        <f>IF(K381&lt;-5,"CRÍTICO",IF(K381&lt;0,"ATENÇÃO",IF(K381&lt;=5,"BOM","EXCELENTE")))</f>
        <v>EXCELENTE</v>
      </c>
    </row>
    <row r="382" spans="1:12" x14ac:dyDescent="0.25">
      <c r="A382" s="5">
        <v>46154</v>
      </c>
      <c r="B382" s="6" t="s">
        <v>42</v>
      </c>
      <c r="C382" s="3" t="s">
        <v>17</v>
      </c>
      <c r="D382" s="3">
        <v>45</v>
      </c>
      <c r="E382" s="3">
        <v>27</v>
      </c>
      <c r="I382" s="3">
        <f>E382+G382+H382</f>
        <v>27</v>
      </c>
      <c r="J382" s="3" t="str">
        <f>IF(C382="Técnico III","35",IF(C382="Técnico II","28",IF(C382="Técnico I","23",IF(C382="JR","20",IF(C382="Estágio","10",)))))</f>
        <v>10</v>
      </c>
      <c r="K382" s="3">
        <f>I382-J382</f>
        <v>17</v>
      </c>
      <c r="L382" s="3" t="str">
        <f>IF(K382&lt;-5,"CRÍTICO",IF(K382&lt;0,"ATENÇÃO",IF(K382&lt;=5,"BOM","EXCELENTE")))</f>
        <v>EXCELENTE</v>
      </c>
    </row>
    <row r="383" spans="1:12" x14ac:dyDescent="0.25">
      <c r="A383" s="5">
        <v>46155</v>
      </c>
      <c r="B383" s="6" t="s">
        <v>42</v>
      </c>
      <c r="C383" s="3" t="s">
        <v>17</v>
      </c>
      <c r="D383" s="3">
        <v>37</v>
      </c>
      <c r="E383" s="3">
        <v>23</v>
      </c>
      <c r="G383" s="3">
        <v>0</v>
      </c>
      <c r="H383" s="3">
        <v>0</v>
      </c>
      <c r="I383" s="3">
        <f>E383+G383+H383</f>
        <v>23</v>
      </c>
      <c r="J383" s="3" t="str">
        <f>IF(C383="Técnico III","35",IF(C383="Técnico II","28",IF(C383="Técnico I","23",IF(C383="JR","20",IF(C383="Estágio","10",)))))</f>
        <v>10</v>
      </c>
      <c r="K383" s="3">
        <f>I383-J383</f>
        <v>13</v>
      </c>
      <c r="L383" s="3" t="str">
        <f>IF(K383&lt;-5,"CRÍTICO",IF(K383&lt;0,"ATENÇÃO",IF(K383&lt;=5,"BOM","EXCELENTE")))</f>
        <v>EXCELENTE</v>
      </c>
    </row>
    <row r="384" spans="1:12" x14ac:dyDescent="0.25">
      <c r="A384" s="5">
        <v>46156</v>
      </c>
      <c r="B384" s="6" t="s">
        <v>42</v>
      </c>
      <c r="C384" s="3" t="s">
        <v>17</v>
      </c>
      <c r="D384" s="3">
        <v>63</v>
      </c>
      <c r="E384" s="3">
        <v>43</v>
      </c>
      <c r="G384" s="3">
        <v>0</v>
      </c>
      <c r="H384" s="3">
        <v>0</v>
      </c>
      <c r="I384" s="3">
        <f>E384+G384+H384</f>
        <v>43</v>
      </c>
      <c r="J384" s="3" t="str">
        <f>IF(C384="Técnico III","35",IF(C384="Técnico II","28",IF(C384="Técnico I","23",IF(C384="JR","20",IF(C384="Estágio","10",)))))</f>
        <v>10</v>
      </c>
      <c r="K384" s="3">
        <f>I384-J384</f>
        <v>33</v>
      </c>
      <c r="L384" s="3" t="str">
        <f>IF(K384&lt;-5,"CRÍTICO",IF(K384&lt;0,"ATENÇÃO",IF(K384&lt;=5,"BOM","EXCELENTE")))</f>
        <v>EXCELENTE</v>
      </c>
    </row>
    <row r="385" spans="1:12" x14ac:dyDescent="0.25">
      <c r="A385" s="5">
        <v>46157</v>
      </c>
      <c r="B385" s="6" t="s">
        <v>42</v>
      </c>
      <c r="C385" s="3" t="s">
        <v>17</v>
      </c>
      <c r="D385" s="3">
        <v>54</v>
      </c>
      <c r="E385" s="3">
        <v>32</v>
      </c>
      <c r="G385" s="3">
        <v>0</v>
      </c>
      <c r="H385" s="3">
        <v>0</v>
      </c>
      <c r="I385" s="3">
        <f>E385+G385+H385</f>
        <v>32</v>
      </c>
      <c r="J385" s="3" t="str">
        <f>IF(C385="Técnico III","35",IF(C385="Técnico II","28",IF(C385="Técnico I","23",IF(C385="JR","20",IF(C385="Estágio","10",)))))</f>
        <v>10</v>
      </c>
      <c r="K385" s="3">
        <f>I385-J385</f>
        <v>22</v>
      </c>
      <c r="L385" s="3" t="str">
        <f>IF(K385&lt;-5,"CRÍTICO",IF(K385&lt;0,"ATENÇÃO",IF(K385&lt;=5,"BOM","EXCELENTE")))</f>
        <v>EXCELENTE</v>
      </c>
    </row>
    <row r="386" spans="1:12" x14ac:dyDescent="0.25">
      <c r="A386" s="5">
        <v>46160</v>
      </c>
      <c r="B386" s="6" t="s">
        <v>42</v>
      </c>
      <c r="C386" s="3" t="s">
        <v>17</v>
      </c>
      <c r="D386" s="3">
        <v>72</v>
      </c>
      <c r="E386" s="3">
        <v>45</v>
      </c>
      <c r="G386" s="3">
        <v>0</v>
      </c>
      <c r="H386" s="3">
        <v>0</v>
      </c>
      <c r="I386" s="3">
        <f>E386+G386+H386</f>
        <v>45</v>
      </c>
      <c r="J386" s="3" t="str">
        <f>IF(C386="Técnico III","35",IF(C386="Técnico II","28",IF(C386="Técnico I","23",IF(C386="JR","20",IF(C386="Estágio","10",)))))</f>
        <v>10</v>
      </c>
      <c r="K386" s="3">
        <f>I386-J386</f>
        <v>35</v>
      </c>
      <c r="L386" s="3" t="str">
        <f>IF(K386&lt;-5,"CRÍTICO",IF(K386&lt;0,"ATENÇÃO",IF(K386&lt;=5,"BOM","EXCELENTE")))</f>
        <v>EXCELENTE</v>
      </c>
    </row>
    <row r="387" spans="1:12" x14ac:dyDescent="0.25">
      <c r="A387" s="7">
        <v>46161</v>
      </c>
      <c r="B387" s="8" t="s">
        <v>43</v>
      </c>
      <c r="C387" s="9" t="s">
        <v>12</v>
      </c>
      <c r="D387" s="3">
        <v>0</v>
      </c>
      <c r="E387" s="3">
        <v>0</v>
      </c>
      <c r="G387" s="3">
        <v>0</v>
      </c>
      <c r="H387" s="3">
        <v>33</v>
      </c>
      <c r="I387" s="3">
        <f>E387+G387+H387</f>
        <v>33</v>
      </c>
      <c r="J387" s="3" t="str">
        <f>IF(C387="Técnico III","35",IF(C387="Técnico II","28",IF(C387="Técnico I","23",IF(C387="JR","20",IF(C387="Estágio","10",)))))</f>
        <v>35</v>
      </c>
      <c r="K387" s="3">
        <f>I387-J387</f>
        <v>-2</v>
      </c>
      <c r="L387" s="3" t="str">
        <f>IF(K387&lt;-5,"CRÍTICO",IF(K387&lt;0,"ATENÇÃO",IF(K387&lt;=5,"BOM","EXCELENTE")))</f>
        <v>ATENÇÃO</v>
      </c>
    </row>
    <row r="388" spans="1:12" x14ac:dyDescent="0.25">
      <c r="A388" s="5">
        <v>46146</v>
      </c>
      <c r="B388" s="6" t="s">
        <v>43</v>
      </c>
      <c r="C388" s="3" t="s">
        <v>12</v>
      </c>
      <c r="D388" s="3">
        <v>32</v>
      </c>
      <c r="E388" s="3">
        <v>31</v>
      </c>
      <c r="G388" s="3">
        <v>1</v>
      </c>
      <c r="H388" s="3">
        <v>25</v>
      </c>
      <c r="I388" s="3">
        <f>E388+G388+H388</f>
        <v>57</v>
      </c>
      <c r="J388" s="3" t="str">
        <f>IF(C388="Técnico III","35",IF(C388="Técnico II","28",IF(C388="Técnico I","23",IF(C388="JR","20",IF(C388="Estágio","10",)))))</f>
        <v>35</v>
      </c>
      <c r="K388" s="3">
        <f>I388-J388</f>
        <v>22</v>
      </c>
      <c r="L388" s="3" t="str">
        <f>IF(K388&lt;-5,"CRÍTICO",IF(K388&lt;0,"ATENÇÃO",IF(K388&lt;=5,"BOM","EXCELENTE")))</f>
        <v>EXCELENTE</v>
      </c>
    </row>
    <row r="389" spans="1:12" x14ac:dyDescent="0.25">
      <c r="A389" s="5">
        <v>46147</v>
      </c>
      <c r="B389" s="6" t="s">
        <v>43</v>
      </c>
      <c r="C389" s="3" t="s">
        <v>12</v>
      </c>
      <c r="D389" s="3">
        <v>14</v>
      </c>
      <c r="E389" s="3">
        <v>14</v>
      </c>
      <c r="G389" s="3">
        <v>0</v>
      </c>
      <c r="H389" s="3">
        <v>21</v>
      </c>
      <c r="I389" s="3">
        <f>E389+G389+H389</f>
        <v>35</v>
      </c>
      <c r="J389" s="3" t="str">
        <f>IF(C389="Técnico III","35",IF(C389="Técnico II","28",IF(C389="Técnico I","23",IF(C389="JR","20",IF(C389="Estágio","10",)))))</f>
        <v>35</v>
      </c>
      <c r="K389" s="3">
        <f>I389-J389</f>
        <v>0</v>
      </c>
      <c r="L389" s="3" t="str">
        <f>IF(K389&lt;-5,"CRÍTICO",IF(K389&lt;0,"ATENÇÃO",IF(K389&lt;=5,"BOM","EXCELENTE")))</f>
        <v>BOM</v>
      </c>
    </row>
    <row r="390" spans="1:12" x14ac:dyDescent="0.25">
      <c r="A390" s="5">
        <v>46148</v>
      </c>
      <c r="B390" s="6" t="s">
        <v>43</v>
      </c>
      <c r="C390" s="3" t="s">
        <v>12</v>
      </c>
      <c r="D390" s="3">
        <v>24</v>
      </c>
      <c r="E390" s="3">
        <v>24</v>
      </c>
      <c r="G390" s="3">
        <v>0</v>
      </c>
      <c r="H390" s="3">
        <v>17</v>
      </c>
      <c r="I390" s="3">
        <f>E390+G390+H390</f>
        <v>41</v>
      </c>
      <c r="J390" s="3" t="str">
        <f>IF(C390="Técnico III","35",IF(C390="Técnico II","28",IF(C390="Técnico I","23",IF(C390="JR","20",IF(C390="Estágio","10",)))))</f>
        <v>35</v>
      </c>
      <c r="K390" s="3">
        <f>I390-J390</f>
        <v>6</v>
      </c>
      <c r="L390" s="3" t="str">
        <f>IF(K390&lt;-5,"CRÍTICO",IF(K390&lt;0,"ATENÇÃO",IF(K390&lt;=5,"BOM","EXCELENTE")))</f>
        <v>EXCELENTE</v>
      </c>
    </row>
    <row r="391" spans="1:12" x14ac:dyDescent="0.25">
      <c r="A391" s="5">
        <v>46149</v>
      </c>
      <c r="B391" s="6" t="s">
        <v>43</v>
      </c>
      <c r="C391" s="3" t="s">
        <v>12</v>
      </c>
      <c r="D391" s="3">
        <v>15</v>
      </c>
      <c r="E391" s="3">
        <v>14</v>
      </c>
      <c r="G391" s="3">
        <v>0</v>
      </c>
      <c r="H391" s="3">
        <v>32</v>
      </c>
      <c r="I391" s="3">
        <f>E391+G391+H391</f>
        <v>46</v>
      </c>
      <c r="J391" s="3" t="str">
        <f>IF(C391="Técnico III","35",IF(C391="Técnico II","28",IF(C391="Técnico I","23",IF(C391="JR","20",IF(C391="Estágio","10",)))))</f>
        <v>35</v>
      </c>
      <c r="K391" s="3">
        <f>I391-J391</f>
        <v>11</v>
      </c>
      <c r="L391" s="3" t="str">
        <f>IF(K391&lt;-5,"CRÍTICO",IF(K391&lt;0,"ATENÇÃO",IF(K391&lt;=5,"BOM","EXCELENTE")))</f>
        <v>EXCELENTE</v>
      </c>
    </row>
    <row r="392" spans="1:12" x14ac:dyDescent="0.25">
      <c r="A392" s="5">
        <v>46150</v>
      </c>
      <c r="B392" s="6" t="s">
        <v>43</v>
      </c>
      <c r="C392" s="3" t="s">
        <v>12</v>
      </c>
      <c r="D392" s="3">
        <v>0</v>
      </c>
      <c r="E392" s="3">
        <v>0</v>
      </c>
      <c r="G392" s="3">
        <v>0</v>
      </c>
      <c r="H392" s="3">
        <v>31</v>
      </c>
      <c r="I392" s="3">
        <f>E392+G392+H392</f>
        <v>31</v>
      </c>
      <c r="J392" s="3" t="str">
        <f>IF(C392="Técnico III","35",IF(C392="Técnico II","28",IF(C392="Técnico I","23",IF(C392="JR","20",IF(C392="Estágio","10",)))))</f>
        <v>35</v>
      </c>
      <c r="K392" s="3">
        <f>I392-J392</f>
        <v>-4</v>
      </c>
      <c r="L392" s="3" t="str">
        <f>IF(K392&lt;-5,"CRÍTICO",IF(K392&lt;0,"ATENÇÃO",IF(K392&lt;=5,"BOM","EXCELENTE")))</f>
        <v>ATENÇÃO</v>
      </c>
    </row>
    <row r="393" spans="1:12" x14ac:dyDescent="0.25">
      <c r="A393" s="5">
        <v>46153</v>
      </c>
      <c r="B393" s="6" t="s">
        <v>43</v>
      </c>
      <c r="C393" s="3" t="s">
        <v>12</v>
      </c>
      <c r="D393" s="3">
        <v>0</v>
      </c>
      <c r="E393" s="3">
        <v>0</v>
      </c>
      <c r="H393" s="3">
        <v>46</v>
      </c>
      <c r="I393" s="3">
        <f>E393+G393+H393</f>
        <v>46</v>
      </c>
      <c r="J393" s="3" t="str">
        <f>IF(C393="Técnico III","35",IF(C393="Técnico II","28",IF(C393="Técnico I","23",IF(C393="JR","20",IF(C393="Estágio","10",)))))</f>
        <v>35</v>
      </c>
      <c r="K393" s="3">
        <f>I393-J393</f>
        <v>11</v>
      </c>
      <c r="L393" s="3" t="str">
        <f>IF(K393&lt;-5,"CRÍTICO",IF(K393&lt;0,"ATENÇÃO",IF(K393&lt;=5,"BOM","EXCELENTE")))</f>
        <v>EXCELENTE</v>
      </c>
    </row>
    <row r="394" spans="1:12" x14ac:dyDescent="0.25">
      <c r="A394" s="5">
        <v>46154</v>
      </c>
      <c r="B394" s="6" t="s">
        <v>43</v>
      </c>
      <c r="C394" s="3" t="s">
        <v>12</v>
      </c>
      <c r="D394" s="3">
        <v>0</v>
      </c>
      <c r="E394" s="3">
        <v>0</v>
      </c>
      <c r="H394" s="3">
        <v>51</v>
      </c>
      <c r="I394" s="3">
        <f>E394+G394+H394</f>
        <v>51</v>
      </c>
      <c r="J394" s="3" t="str">
        <f>IF(C394="Técnico III","35",IF(C394="Técnico II","28",IF(C394="Técnico I","23",IF(C394="JR","20",IF(C394="Estágio","10",)))))</f>
        <v>35</v>
      </c>
      <c r="K394" s="3">
        <f>I394-J394</f>
        <v>16</v>
      </c>
      <c r="L394" s="3" t="str">
        <f>IF(K394&lt;-5,"CRÍTICO",IF(K394&lt;0,"ATENÇÃO",IF(K394&lt;=5,"BOM","EXCELENTE")))</f>
        <v>EXCELENTE</v>
      </c>
    </row>
    <row r="395" spans="1:12" x14ac:dyDescent="0.25">
      <c r="A395" s="5">
        <v>46155</v>
      </c>
      <c r="B395" s="6" t="s">
        <v>43</v>
      </c>
      <c r="C395" s="3" t="s">
        <v>12</v>
      </c>
      <c r="D395" s="3">
        <v>0</v>
      </c>
      <c r="E395" s="3">
        <v>0</v>
      </c>
      <c r="G395" s="3">
        <v>0</v>
      </c>
      <c r="H395" s="3">
        <v>41</v>
      </c>
      <c r="I395" s="3">
        <f>E395+G395+H395</f>
        <v>41</v>
      </c>
      <c r="J395" s="3" t="str">
        <f>IF(C395="Técnico III","35",IF(C395="Técnico II","28",IF(C395="Técnico I","23",IF(C395="JR","20",IF(C395="Estágio","10",)))))</f>
        <v>35</v>
      </c>
      <c r="K395" s="3">
        <f>I395-J395</f>
        <v>6</v>
      </c>
      <c r="L395" s="3" t="str">
        <f>IF(K395&lt;-5,"CRÍTICO",IF(K395&lt;0,"ATENÇÃO",IF(K395&lt;=5,"BOM","EXCELENTE")))</f>
        <v>EXCELENTE</v>
      </c>
    </row>
    <row r="396" spans="1:12" x14ac:dyDescent="0.25">
      <c r="A396" s="5">
        <v>46156</v>
      </c>
      <c r="B396" s="6" t="s">
        <v>43</v>
      </c>
      <c r="C396" s="3" t="s">
        <v>12</v>
      </c>
      <c r="D396" s="3">
        <v>0</v>
      </c>
      <c r="E396" s="3">
        <v>0</v>
      </c>
      <c r="G396" s="3">
        <v>0</v>
      </c>
      <c r="H396" s="3">
        <v>52</v>
      </c>
      <c r="I396" s="3">
        <f>E396+G396+H396</f>
        <v>52</v>
      </c>
      <c r="J396" s="3" t="str">
        <f>IF(C396="Técnico III","35",IF(C396="Técnico II","28",IF(C396="Técnico I","23",IF(C396="JR","20",IF(C396="Estágio","10",)))))</f>
        <v>35</v>
      </c>
      <c r="K396" s="3">
        <f>I396-J396</f>
        <v>17</v>
      </c>
      <c r="L396" s="3" t="str">
        <f>IF(K396&lt;-5,"CRÍTICO",IF(K396&lt;0,"ATENÇÃO",IF(K396&lt;=5,"BOM","EXCELENTE")))</f>
        <v>EXCELENTE</v>
      </c>
    </row>
    <row r="397" spans="1:12" x14ac:dyDescent="0.25">
      <c r="A397" s="5">
        <v>46157</v>
      </c>
      <c r="B397" s="6" t="s">
        <v>43</v>
      </c>
      <c r="C397" s="3" t="s">
        <v>12</v>
      </c>
      <c r="D397" s="3">
        <v>0</v>
      </c>
      <c r="E397" s="3">
        <v>0</v>
      </c>
      <c r="G397" s="3">
        <v>0</v>
      </c>
      <c r="H397" s="3">
        <v>31</v>
      </c>
      <c r="I397" s="3">
        <f>E397+G397+H397</f>
        <v>31</v>
      </c>
      <c r="J397" s="3" t="str">
        <f>IF(C397="Técnico III","35",IF(C397="Técnico II","28",IF(C397="Técnico I","23",IF(C397="JR","20",IF(C397="Estágio","10",)))))</f>
        <v>35</v>
      </c>
      <c r="K397" s="3">
        <f>I397-J397</f>
        <v>-4</v>
      </c>
      <c r="L397" s="3" t="str">
        <f>IF(K397&lt;-5,"CRÍTICO",IF(K397&lt;0,"ATENÇÃO",IF(K397&lt;=5,"BOM","EXCELENTE")))</f>
        <v>ATENÇÃO</v>
      </c>
    </row>
    <row r="398" spans="1:12" x14ac:dyDescent="0.25">
      <c r="A398" s="5">
        <v>46160</v>
      </c>
      <c r="B398" s="6" t="s">
        <v>43</v>
      </c>
      <c r="C398" s="3" t="s">
        <v>12</v>
      </c>
      <c r="D398" s="3">
        <v>0</v>
      </c>
      <c r="E398" s="3">
        <v>0</v>
      </c>
      <c r="G398" s="3">
        <v>0</v>
      </c>
      <c r="H398" s="3">
        <v>32</v>
      </c>
      <c r="I398" s="3">
        <f>E398+G398+H398</f>
        <v>32</v>
      </c>
      <c r="J398" s="3" t="str">
        <f>IF(C398="Técnico III","35",IF(C398="Técnico II","28",IF(C398="Técnico I","23",IF(C398="JR","20",IF(C398="Estágio","10",)))))</f>
        <v>35</v>
      </c>
      <c r="K398" s="3">
        <f>I398-J398</f>
        <v>-3</v>
      </c>
      <c r="L398" s="3" t="str">
        <f>IF(K398&lt;-5,"CRÍTICO",IF(K398&lt;0,"ATENÇÃO",IF(K398&lt;=5,"BOM","EXCELENTE")))</f>
        <v>ATENÇÃO</v>
      </c>
    </row>
    <row r="399" spans="1:12" x14ac:dyDescent="0.25">
      <c r="A399" s="7">
        <v>46161</v>
      </c>
      <c r="B399" s="8" t="s">
        <v>44</v>
      </c>
      <c r="C399" s="9" t="s">
        <v>12</v>
      </c>
      <c r="D399" s="3">
        <v>35</v>
      </c>
      <c r="E399" s="3">
        <v>31</v>
      </c>
      <c r="G399" s="3">
        <v>4</v>
      </c>
      <c r="H399" s="3">
        <v>0</v>
      </c>
      <c r="I399" s="3">
        <f>E399+G399+H399</f>
        <v>35</v>
      </c>
      <c r="J399" s="3" t="str">
        <f>IF(C399="Técnico III","35",IF(C399="Técnico II","28",IF(C399="Técnico I","23",IF(C399="JR","20",IF(C399="Estágio","10",)))))</f>
        <v>35</v>
      </c>
      <c r="K399" s="3">
        <f>I399-J399</f>
        <v>0</v>
      </c>
      <c r="L399" s="3" t="str">
        <f>IF(K399&lt;-5,"CRÍTICO",IF(K399&lt;0,"ATENÇÃO",IF(K399&lt;=5,"BOM","EXCELENTE")))</f>
        <v>BOM</v>
      </c>
    </row>
    <row r="400" spans="1:12" x14ac:dyDescent="0.25">
      <c r="A400" s="5">
        <v>46146</v>
      </c>
      <c r="B400" s="6" t="s">
        <v>44</v>
      </c>
      <c r="C400" s="3" t="s">
        <v>12</v>
      </c>
      <c r="D400" s="3">
        <v>40</v>
      </c>
      <c r="E400" s="3">
        <v>37</v>
      </c>
      <c r="G400" s="3">
        <v>1</v>
      </c>
      <c r="I400" s="3">
        <f>E400+G400+H400</f>
        <v>38</v>
      </c>
      <c r="J400" s="3" t="str">
        <f>IF(C400="Técnico III","35",IF(C400="Técnico II","28",IF(C400="Técnico I","23",IF(C400="JR","20",IF(C400="Estágio","10",)))))</f>
        <v>35</v>
      </c>
      <c r="K400" s="3">
        <f>I400-J400</f>
        <v>3</v>
      </c>
      <c r="L400" s="3" t="str">
        <f>IF(K400&lt;-5,"CRÍTICO",IF(K400&lt;0,"ATENÇÃO",IF(K400&lt;=5,"BOM","EXCELENTE")))</f>
        <v>BOM</v>
      </c>
    </row>
    <row r="401" spans="1:12" x14ac:dyDescent="0.25">
      <c r="A401" s="5">
        <v>46147</v>
      </c>
      <c r="B401" s="6" t="s">
        <v>44</v>
      </c>
      <c r="C401" s="3" t="s">
        <v>12</v>
      </c>
      <c r="D401" s="3">
        <v>32</v>
      </c>
      <c r="E401" s="3">
        <v>30</v>
      </c>
      <c r="G401" s="3">
        <v>10</v>
      </c>
      <c r="I401" s="3">
        <f>E401+G401+H401</f>
        <v>40</v>
      </c>
      <c r="J401" s="3" t="str">
        <f>IF(C401="Técnico III","35",IF(C401="Técnico II","28",IF(C401="Técnico I","23",IF(C401="JR","20",IF(C401="Estágio","10",)))))</f>
        <v>35</v>
      </c>
      <c r="K401" s="3">
        <f>I401-J401</f>
        <v>5</v>
      </c>
      <c r="L401" s="3" t="str">
        <f>IF(K401&lt;-5,"CRÍTICO",IF(K401&lt;0,"ATENÇÃO",IF(K401&lt;=5,"BOM","EXCELENTE")))</f>
        <v>BOM</v>
      </c>
    </row>
    <row r="402" spans="1:12" x14ac:dyDescent="0.25">
      <c r="A402" s="5">
        <v>46148</v>
      </c>
      <c r="B402" s="6" t="s">
        <v>44</v>
      </c>
      <c r="C402" s="3" t="s">
        <v>12</v>
      </c>
      <c r="D402" s="3">
        <v>32</v>
      </c>
      <c r="E402" s="3">
        <v>30</v>
      </c>
      <c r="G402" s="3">
        <v>1</v>
      </c>
      <c r="I402" s="3">
        <f>E402+G402+H402</f>
        <v>31</v>
      </c>
      <c r="J402" s="3" t="str">
        <f>IF(C402="Técnico III","35",IF(C402="Técnico II","28",IF(C402="Técnico I","23",IF(C402="JR","20",IF(C402="Estágio","10",)))))</f>
        <v>35</v>
      </c>
      <c r="K402" s="3">
        <f>I402-J402</f>
        <v>-4</v>
      </c>
      <c r="L402" s="3" t="str">
        <f>IF(K402&lt;-5,"CRÍTICO",IF(K402&lt;0,"ATENÇÃO",IF(K402&lt;=5,"BOM","EXCELENTE")))</f>
        <v>ATENÇÃO</v>
      </c>
    </row>
    <row r="403" spans="1:12" x14ac:dyDescent="0.25">
      <c r="A403" s="5">
        <v>46149</v>
      </c>
      <c r="B403" s="6" t="s">
        <v>44</v>
      </c>
      <c r="C403" s="3" t="s">
        <v>12</v>
      </c>
      <c r="D403" s="3">
        <v>26</v>
      </c>
      <c r="E403" s="3">
        <v>23</v>
      </c>
      <c r="G403" s="3">
        <v>6</v>
      </c>
      <c r="I403" s="3">
        <f>E403+G403+H403</f>
        <v>29</v>
      </c>
      <c r="J403" s="3" t="str">
        <f>IF(C403="Técnico III","35",IF(C403="Técnico II","28",IF(C403="Técnico I","23",IF(C403="JR","20",IF(C403="Estágio","10",)))))</f>
        <v>35</v>
      </c>
      <c r="K403" s="3">
        <f>I403-J403</f>
        <v>-6</v>
      </c>
      <c r="L403" s="3" t="str">
        <f>IF(K403&lt;-5,"CRÍTICO",IF(K403&lt;0,"ATENÇÃO",IF(K403&lt;=5,"BOM","EXCELENTE")))</f>
        <v>CRÍTICO</v>
      </c>
    </row>
    <row r="404" spans="1:12" x14ac:dyDescent="0.25">
      <c r="A404" s="5">
        <v>46150</v>
      </c>
      <c r="B404" s="6" t="s">
        <v>44</v>
      </c>
      <c r="C404" s="3" t="s">
        <v>12</v>
      </c>
      <c r="D404" s="3">
        <v>30</v>
      </c>
      <c r="E404" s="3">
        <v>28</v>
      </c>
      <c r="G404" s="3">
        <v>1</v>
      </c>
      <c r="H404" s="3">
        <v>0</v>
      </c>
      <c r="I404" s="3">
        <f>E404+G404+H404</f>
        <v>29</v>
      </c>
      <c r="J404" s="3" t="str">
        <f>IF(C404="Técnico III","35",IF(C404="Técnico II","28",IF(C404="Técnico I","23",IF(C404="JR","20",IF(C404="Estágio","10",)))))</f>
        <v>35</v>
      </c>
      <c r="K404" s="3">
        <f>I404-J404</f>
        <v>-6</v>
      </c>
      <c r="L404" s="3" t="str">
        <f>IF(K404&lt;-5,"CRÍTICO",IF(K404&lt;0,"ATENÇÃO",IF(K404&lt;=5,"BOM","EXCELENTE")))</f>
        <v>CRÍTICO</v>
      </c>
    </row>
    <row r="405" spans="1:12" x14ac:dyDescent="0.25">
      <c r="A405" s="5">
        <v>46153</v>
      </c>
      <c r="B405" s="6" t="s">
        <v>44</v>
      </c>
      <c r="C405" s="3" t="s">
        <v>12</v>
      </c>
      <c r="D405" s="3">
        <v>33</v>
      </c>
      <c r="E405" s="3">
        <v>24</v>
      </c>
      <c r="G405" s="3">
        <v>5</v>
      </c>
      <c r="I405" s="3">
        <f>E405+G405+H405</f>
        <v>29</v>
      </c>
      <c r="J405" s="3" t="str">
        <f>IF(C405="Técnico III","35",IF(C405="Técnico II","28",IF(C405="Técnico I","23",IF(C405="JR","20",IF(C405="Estágio","10",)))))</f>
        <v>35</v>
      </c>
      <c r="K405" s="3">
        <f>I405-J405</f>
        <v>-6</v>
      </c>
      <c r="L405" s="3" t="str">
        <f>IF(K405&lt;-5,"CRÍTICO",IF(K405&lt;0,"ATENÇÃO",IF(K405&lt;=5,"BOM","EXCELENTE")))</f>
        <v>CRÍTICO</v>
      </c>
    </row>
    <row r="406" spans="1:12" x14ac:dyDescent="0.25">
      <c r="A406" s="5">
        <v>46154</v>
      </c>
      <c r="B406" s="6" t="s">
        <v>44</v>
      </c>
      <c r="C406" s="3" t="s">
        <v>12</v>
      </c>
      <c r="D406" s="3">
        <v>36</v>
      </c>
      <c r="E406" s="3">
        <v>31</v>
      </c>
      <c r="G406" s="3">
        <v>2</v>
      </c>
      <c r="I406" s="3">
        <f>E406+G406+H406</f>
        <v>33</v>
      </c>
      <c r="J406" s="3" t="str">
        <f>IF(C406="Técnico III","35",IF(C406="Técnico II","28",IF(C406="Técnico I","23",IF(C406="JR","20",IF(C406="Estágio","10",)))))</f>
        <v>35</v>
      </c>
      <c r="K406" s="3">
        <f>I406-J406</f>
        <v>-2</v>
      </c>
      <c r="L406" s="3" t="str">
        <f>IF(K406&lt;-5,"CRÍTICO",IF(K406&lt;0,"ATENÇÃO",IF(K406&lt;=5,"BOM","EXCELENTE")))</f>
        <v>ATENÇÃO</v>
      </c>
    </row>
    <row r="407" spans="1:12" x14ac:dyDescent="0.25">
      <c r="A407" s="5">
        <v>46155</v>
      </c>
      <c r="B407" s="6" t="s">
        <v>44</v>
      </c>
      <c r="C407" s="3" t="s">
        <v>12</v>
      </c>
      <c r="D407" s="3">
        <v>36</v>
      </c>
      <c r="E407" s="3">
        <v>30</v>
      </c>
      <c r="G407" s="3">
        <v>4</v>
      </c>
      <c r="I407" s="3">
        <f>E407+G407+H407</f>
        <v>34</v>
      </c>
      <c r="J407" s="3" t="str">
        <f>IF(C407="Técnico III","35",IF(C407="Técnico II","28",IF(C407="Técnico I","23",IF(C407="JR","20",IF(C407="Estágio","10",)))))</f>
        <v>35</v>
      </c>
      <c r="K407" s="3">
        <f>I407-J407</f>
        <v>-1</v>
      </c>
      <c r="L407" s="3" t="str">
        <f>IF(K407&lt;-5,"CRÍTICO",IF(K407&lt;0,"ATENÇÃO",IF(K407&lt;=5,"BOM","EXCELENTE")))</f>
        <v>ATENÇÃO</v>
      </c>
    </row>
    <row r="408" spans="1:12" x14ac:dyDescent="0.25">
      <c r="A408" s="5">
        <v>46156</v>
      </c>
      <c r="B408" s="6" t="s">
        <v>44</v>
      </c>
      <c r="C408" s="3" t="s">
        <v>12</v>
      </c>
      <c r="D408" s="3">
        <v>39</v>
      </c>
      <c r="E408" s="3">
        <v>32</v>
      </c>
      <c r="G408" s="3">
        <v>3</v>
      </c>
      <c r="H408" s="3">
        <v>0</v>
      </c>
      <c r="I408" s="3">
        <f>E408+G408+H408</f>
        <v>35</v>
      </c>
      <c r="J408" s="3" t="str">
        <f>IF(C408="Técnico III","35",IF(C408="Técnico II","28",IF(C408="Técnico I","23",IF(C408="JR","20",IF(C408="Estágio","10",)))))</f>
        <v>35</v>
      </c>
      <c r="K408" s="3">
        <f>I408-J408</f>
        <v>0</v>
      </c>
      <c r="L408" s="3" t="str">
        <f>IF(K408&lt;-5,"CRÍTICO",IF(K408&lt;0,"ATENÇÃO",IF(K408&lt;=5,"BOM","EXCELENTE")))</f>
        <v>BOM</v>
      </c>
    </row>
    <row r="409" spans="1:12" x14ac:dyDescent="0.25">
      <c r="A409" s="5">
        <v>46157</v>
      </c>
      <c r="B409" s="6" t="s">
        <v>44</v>
      </c>
      <c r="C409" s="3" t="s">
        <v>12</v>
      </c>
      <c r="D409" s="3">
        <v>26</v>
      </c>
      <c r="E409" s="3">
        <v>24</v>
      </c>
      <c r="G409" s="3">
        <v>2</v>
      </c>
      <c r="H409" s="3">
        <v>0</v>
      </c>
      <c r="I409" s="3">
        <f>E409+G409+H409</f>
        <v>26</v>
      </c>
      <c r="J409" s="3" t="str">
        <f>IF(C409="Técnico III","35",IF(C409="Técnico II","28",IF(C409="Técnico I","23",IF(C409="JR","20",IF(C409="Estágio","10",)))))</f>
        <v>35</v>
      </c>
      <c r="K409" s="3">
        <f>I409-J409</f>
        <v>-9</v>
      </c>
      <c r="L409" s="3" t="str">
        <f>IF(K409&lt;-5,"CRÍTICO",IF(K409&lt;0,"ATENÇÃO",IF(K409&lt;=5,"BOM","EXCELENTE")))</f>
        <v>CRÍTICO</v>
      </c>
    </row>
    <row r="410" spans="1:12" x14ac:dyDescent="0.25">
      <c r="A410" s="5">
        <v>46160</v>
      </c>
      <c r="B410" s="6" t="s">
        <v>44</v>
      </c>
      <c r="C410" s="3" t="s">
        <v>12</v>
      </c>
      <c r="D410" s="3">
        <v>30</v>
      </c>
      <c r="E410" s="3">
        <v>27</v>
      </c>
      <c r="G410" s="3">
        <v>2</v>
      </c>
      <c r="H410" s="3">
        <v>0</v>
      </c>
      <c r="I410" s="3">
        <f>E410+G410+H410</f>
        <v>29</v>
      </c>
      <c r="J410" s="3" t="str">
        <f>IF(C410="Técnico III","35",IF(C410="Técnico II","28",IF(C410="Técnico I","23",IF(C410="JR","20",IF(C410="Estágio","10",)))))</f>
        <v>35</v>
      </c>
      <c r="K410" s="3">
        <f>I410-J410</f>
        <v>-6</v>
      </c>
      <c r="L410" s="3" t="str">
        <f>IF(K410&lt;-5,"CRÍTICO",IF(K410&lt;0,"ATENÇÃO",IF(K410&lt;=5,"BOM","EXCELENTE")))</f>
        <v>CRÍTICO</v>
      </c>
    </row>
    <row r="411" spans="1:12" x14ac:dyDescent="0.25">
      <c r="A411" s="7">
        <v>46161</v>
      </c>
      <c r="B411" s="8" t="s">
        <v>45</v>
      </c>
      <c r="C411" s="9" t="s">
        <v>17</v>
      </c>
      <c r="D411" s="3">
        <v>15</v>
      </c>
      <c r="E411" s="3">
        <v>13</v>
      </c>
      <c r="G411" s="3">
        <v>0</v>
      </c>
      <c r="H411" s="3">
        <v>0</v>
      </c>
      <c r="I411" s="3">
        <f>E411+G411+H411</f>
        <v>13</v>
      </c>
      <c r="J411" s="3" t="str">
        <f>IF(C411="Técnico III","35",IF(C411="Técnico II","28",IF(C411="Técnico I","23",IF(C411="JR","20",IF(C411="Estágio","10",)))))</f>
        <v>10</v>
      </c>
      <c r="K411" s="3">
        <f>I411-J411</f>
        <v>3</v>
      </c>
      <c r="L411" s="3" t="str">
        <f>IF(K411&lt;-5,"CRÍTICO",IF(K411&lt;0,"ATENÇÃO",IF(K411&lt;=5,"BOM","EXCELENTE")))</f>
        <v>BOM</v>
      </c>
    </row>
    <row r="412" spans="1:12" x14ac:dyDescent="0.25">
      <c r="A412" s="5">
        <v>46146</v>
      </c>
      <c r="B412" s="6" t="s">
        <v>45</v>
      </c>
      <c r="C412" s="3" t="s">
        <v>17</v>
      </c>
      <c r="D412" s="3">
        <v>8</v>
      </c>
      <c r="E412" s="3">
        <v>7</v>
      </c>
      <c r="G412" s="3">
        <v>0</v>
      </c>
      <c r="I412" s="3">
        <f>E412+G412+H412</f>
        <v>7</v>
      </c>
      <c r="J412" s="3" t="str">
        <f>IF(C412="Técnico III","35",IF(C412="Técnico II","28",IF(C412="Técnico I","23",IF(C412="JR","20",IF(C412="Estágio","10",)))))</f>
        <v>10</v>
      </c>
      <c r="K412" s="3">
        <f>I412-J412</f>
        <v>-3</v>
      </c>
      <c r="L412" s="3" t="str">
        <f>IF(K412&lt;-5,"CRÍTICO",IF(K412&lt;0,"ATENÇÃO",IF(K412&lt;=5,"BOM","EXCELENTE")))</f>
        <v>ATENÇÃO</v>
      </c>
    </row>
    <row r="413" spans="1:12" x14ac:dyDescent="0.25">
      <c r="A413" s="5">
        <v>46147</v>
      </c>
      <c r="B413" s="6" t="s">
        <v>45</v>
      </c>
      <c r="C413" s="3" t="s">
        <v>17</v>
      </c>
      <c r="D413" s="3">
        <v>11</v>
      </c>
      <c r="E413" s="3">
        <v>11</v>
      </c>
      <c r="G413" s="3">
        <v>0</v>
      </c>
      <c r="H413" s="3">
        <v>0</v>
      </c>
      <c r="I413" s="3">
        <f>E413+G413+H413</f>
        <v>11</v>
      </c>
      <c r="J413" s="3" t="str">
        <f>IF(C413="Técnico III","35",IF(C413="Técnico II","28",IF(C413="Técnico I","23",IF(C413="JR","20",IF(C413="Estágio","10",)))))</f>
        <v>10</v>
      </c>
      <c r="K413" s="3">
        <f>I413-J413</f>
        <v>1</v>
      </c>
      <c r="L413" s="3" t="str">
        <f>IF(K413&lt;-5,"CRÍTICO",IF(K413&lt;0,"ATENÇÃO",IF(K413&lt;=5,"BOM","EXCELENTE")))</f>
        <v>BOM</v>
      </c>
    </row>
    <row r="414" spans="1:12" x14ac:dyDescent="0.25">
      <c r="A414" s="5">
        <v>46148</v>
      </c>
      <c r="B414" s="6" t="s">
        <v>45</v>
      </c>
      <c r="C414" s="3" t="s">
        <v>17</v>
      </c>
      <c r="D414" s="3">
        <v>9</v>
      </c>
      <c r="E414" s="3">
        <v>8</v>
      </c>
      <c r="G414" s="3">
        <v>0</v>
      </c>
      <c r="I414" s="3">
        <f>E414+G414+H414</f>
        <v>8</v>
      </c>
      <c r="J414" s="3" t="str">
        <f>IF(C414="Técnico III","35",IF(C414="Técnico II","28",IF(C414="Técnico I","23",IF(C414="JR","20",IF(C414="Estágio","10",)))))</f>
        <v>10</v>
      </c>
      <c r="K414" s="3">
        <f>I414-J414</f>
        <v>-2</v>
      </c>
      <c r="L414" s="3" t="str">
        <f>IF(K414&lt;-5,"CRÍTICO",IF(K414&lt;0,"ATENÇÃO",IF(K414&lt;=5,"BOM","EXCELENTE")))</f>
        <v>ATENÇÃO</v>
      </c>
    </row>
    <row r="415" spans="1:12" x14ac:dyDescent="0.25">
      <c r="A415" s="5">
        <v>46149</v>
      </c>
      <c r="B415" s="6" t="s">
        <v>45</v>
      </c>
      <c r="C415" s="3" t="s">
        <v>17</v>
      </c>
      <c r="D415" s="3">
        <v>16</v>
      </c>
      <c r="E415" s="3">
        <v>15</v>
      </c>
      <c r="G415" s="3">
        <v>0</v>
      </c>
      <c r="I415" s="3">
        <f>E415+G415+H415</f>
        <v>15</v>
      </c>
      <c r="J415" s="3" t="str">
        <f>IF(C415="Técnico III","35",IF(C415="Técnico II","28",IF(C415="Técnico I","23",IF(C415="JR","20",IF(C415="Estágio","10",)))))</f>
        <v>10</v>
      </c>
      <c r="K415" s="3">
        <f>I415-J415</f>
        <v>5</v>
      </c>
      <c r="L415" s="3" t="str">
        <f>IF(K415&lt;-5,"CRÍTICO",IF(K415&lt;0,"ATENÇÃO",IF(K415&lt;=5,"BOM","EXCELENTE")))</f>
        <v>BOM</v>
      </c>
    </row>
    <row r="416" spans="1:12" x14ac:dyDescent="0.25">
      <c r="A416" s="5">
        <v>46150</v>
      </c>
      <c r="B416" s="6" t="s">
        <v>45</v>
      </c>
      <c r="C416" s="3" t="s">
        <v>17</v>
      </c>
      <c r="D416" s="3">
        <v>14</v>
      </c>
      <c r="E416" s="3">
        <v>13</v>
      </c>
      <c r="G416" s="3">
        <v>0</v>
      </c>
      <c r="H416" s="3">
        <v>0</v>
      </c>
      <c r="I416" s="3">
        <f>E416+G416+H416</f>
        <v>13</v>
      </c>
      <c r="J416" s="3" t="str">
        <f>IF(C416="Técnico III","35",IF(C416="Técnico II","28",IF(C416="Técnico I","23",IF(C416="JR","20",IF(C416="Estágio","10",)))))</f>
        <v>10</v>
      </c>
      <c r="K416" s="3">
        <f>I416-J416</f>
        <v>3</v>
      </c>
      <c r="L416" s="3" t="str">
        <f>IF(K416&lt;-5,"CRÍTICO",IF(K416&lt;0,"ATENÇÃO",IF(K416&lt;=5,"BOM","EXCELENTE")))</f>
        <v>BOM</v>
      </c>
    </row>
    <row r="417" spans="1:12" x14ac:dyDescent="0.25">
      <c r="A417" s="5">
        <v>46153</v>
      </c>
      <c r="B417" s="6" t="s">
        <v>45</v>
      </c>
      <c r="C417" s="3" t="s">
        <v>17</v>
      </c>
      <c r="D417" s="3">
        <v>7</v>
      </c>
      <c r="E417" s="3">
        <v>7</v>
      </c>
      <c r="I417" s="3">
        <f>E417+G417+H417</f>
        <v>7</v>
      </c>
      <c r="J417" s="3" t="str">
        <f>IF(C417="Técnico III","35",IF(C417="Técnico II","28",IF(C417="Técnico I","23",IF(C417="JR","20",IF(C417="Estágio","10",)))))</f>
        <v>10</v>
      </c>
      <c r="K417" s="3">
        <f>I417-J417</f>
        <v>-3</v>
      </c>
      <c r="L417" s="3" t="str">
        <f>IF(K417&lt;-5,"CRÍTICO",IF(K417&lt;0,"ATENÇÃO",IF(K417&lt;=5,"BOM","EXCELENTE")))</f>
        <v>ATENÇÃO</v>
      </c>
    </row>
    <row r="418" spans="1:12" x14ac:dyDescent="0.25">
      <c r="A418" s="5">
        <v>46154</v>
      </c>
      <c r="B418" s="6" t="s">
        <v>45</v>
      </c>
      <c r="C418" s="3" t="s">
        <v>17</v>
      </c>
      <c r="D418" s="3">
        <v>9</v>
      </c>
      <c r="E418" s="3">
        <v>7</v>
      </c>
      <c r="I418" s="3">
        <f>E418+G418+H418</f>
        <v>7</v>
      </c>
      <c r="J418" s="3" t="str">
        <f>IF(C418="Técnico III","35",IF(C418="Técnico II","28",IF(C418="Técnico I","23",IF(C418="JR","20",IF(C418="Estágio","10",)))))</f>
        <v>10</v>
      </c>
      <c r="K418" s="3">
        <f>I418-J418</f>
        <v>-3</v>
      </c>
      <c r="L418" s="3" t="str">
        <f>IF(K418&lt;-5,"CRÍTICO",IF(K418&lt;0,"ATENÇÃO",IF(K418&lt;=5,"BOM","EXCELENTE")))</f>
        <v>ATENÇÃO</v>
      </c>
    </row>
    <row r="419" spans="1:12" x14ac:dyDescent="0.25">
      <c r="A419" s="5">
        <v>46155</v>
      </c>
      <c r="B419" s="6" t="s">
        <v>45</v>
      </c>
      <c r="C419" s="3" t="s">
        <v>17</v>
      </c>
      <c r="D419" s="3">
        <v>6</v>
      </c>
      <c r="E419" s="3">
        <v>6</v>
      </c>
      <c r="I419" s="3">
        <f>E419+G419+H419</f>
        <v>6</v>
      </c>
      <c r="J419" s="3" t="str">
        <f>IF(C419="Técnico III","35",IF(C419="Técnico II","28",IF(C419="Técnico I","23",IF(C419="JR","20",IF(C419="Estágio","10",)))))</f>
        <v>10</v>
      </c>
      <c r="K419" s="3">
        <f>I419-J419</f>
        <v>-4</v>
      </c>
      <c r="L419" s="3" t="str">
        <f>IF(K419&lt;-5,"CRÍTICO",IF(K419&lt;0,"ATENÇÃO",IF(K419&lt;=5,"BOM","EXCELENTE")))</f>
        <v>ATENÇÃO</v>
      </c>
    </row>
    <row r="420" spans="1:12" x14ac:dyDescent="0.25">
      <c r="A420" s="5">
        <v>46156</v>
      </c>
      <c r="B420" s="6" t="s">
        <v>45</v>
      </c>
      <c r="C420" s="3" t="s">
        <v>17</v>
      </c>
      <c r="D420" s="3">
        <v>4</v>
      </c>
      <c r="E420" s="3">
        <v>4</v>
      </c>
      <c r="G420" s="3">
        <v>0</v>
      </c>
      <c r="H420" s="3">
        <v>0</v>
      </c>
      <c r="I420" s="3">
        <f>E420+G420+H420</f>
        <v>4</v>
      </c>
      <c r="J420" s="3" t="str">
        <f>IF(C420="Técnico III","35",IF(C420="Técnico II","28",IF(C420="Técnico I","23",IF(C420="JR","20",IF(C420="Estágio","10",)))))</f>
        <v>10</v>
      </c>
      <c r="K420" s="3">
        <f>I420-J420</f>
        <v>-6</v>
      </c>
      <c r="L420" s="3" t="str">
        <f>IF(K420&lt;-5,"CRÍTICO",IF(K420&lt;0,"ATENÇÃO",IF(K420&lt;=5,"BOM","EXCELENTE")))</f>
        <v>CRÍTICO</v>
      </c>
    </row>
    <row r="421" spans="1:12" x14ac:dyDescent="0.25">
      <c r="A421" s="5">
        <v>46157</v>
      </c>
      <c r="B421" s="6" t="s">
        <v>45</v>
      </c>
      <c r="C421" s="3" t="s">
        <v>17</v>
      </c>
      <c r="D421" s="3">
        <v>9</v>
      </c>
      <c r="E421" s="3">
        <v>8</v>
      </c>
      <c r="G421" s="3">
        <v>0</v>
      </c>
      <c r="H421" s="3">
        <v>0</v>
      </c>
      <c r="I421" s="3">
        <f>E421+G421+H421</f>
        <v>8</v>
      </c>
      <c r="J421" s="3" t="str">
        <f>IF(C421="Técnico III","35",IF(C421="Técnico II","28",IF(C421="Técnico I","23",IF(C421="JR","20",IF(C421="Estágio","10",)))))</f>
        <v>10</v>
      </c>
      <c r="K421" s="3">
        <f>I421-J421</f>
        <v>-2</v>
      </c>
      <c r="L421" s="3" t="str">
        <f>IF(K421&lt;-5,"CRÍTICO",IF(K421&lt;0,"ATENÇÃO",IF(K421&lt;=5,"BOM","EXCELENTE")))</f>
        <v>ATENÇÃO</v>
      </c>
    </row>
    <row r="422" spans="1:12" x14ac:dyDescent="0.25">
      <c r="A422" s="5">
        <v>46160</v>
      </c>
      <c r="B422" s="6" t="s">
        <v>45</v>
      </c>
      <c r="C422" s="3" t="s">
        <v>17</v>
      </c>
      <c r="D422" s="3">
        <v>7</v>
      </c>
      <c r="E422" s="3">
        <v>7</v>
      </c>
      <c r="G422" s="3">
        <v>0</v>
      </c>
      <c r="H422" s="3">
        <v>0</v>
      </c>
      <c r="I422" s="3">
        <f>E422+G422+H422</f>
        <v>7</v>
      </c>
      <c r="J422" s="3" t="str">
        <f>IF(C422="Técnico III","35",IF(C422="Técnico II","28",IF(C422="Técnico I","23",IF(C422="JR","20",IF(C422="Estágio","10",)))))</f>
        <v>10</v>
      </c>
      <c r="K422" s="3">
        <f>I422-J422</f>
        <v>-3</v>
      </c>
      <c r="L422" s="3" t="str">
        <f>IF(K422&lt;-5,"CRÍTICO",IF(K422&lt;0,"ATENÇÃO",IF(K422&lt;=5,"BOM","EXCELENTE")))</f>
        <v>ATENÇÃO</v>
      </c>
    </row>
    <row r="423" spans="1:12" x14ac:dyDescent="0.25">
      <c r="A423" s="7">
        <v>46161</v>
      </c>
      <c r="B423" s="8" t="s">
        <v>46</v>
      </c>
      <c r="C423" s="9" t="s">
        <v>36</v>
      </c>
      <c r="D423" s="3">
        <v>42</v>
      </c>
      <c r="E423" s="3">
        <v>23</v>
      </c>
      <c r="G423" s="3">
        <v>0</v>
      </c>
      <c r="H423" s="3">
        <v>0</v>
      </c>
      <c r="I423" s="3">
        <f>E423+G423+H423</f>
        <v>23</v>
      </c>
      <c r="J423" s="3" t="str">
        <f>IF(C423="Técnico III","35",IF(C423="Técnico II","28",IF(C423="Técnico I","23",IF(C423="JR","20",IF(C423="Estágio","10",)))))</f>
        <v>20</v>
      </c>
      <c r="K423" s="3">
        <f>I423-J423</f>
        <v>3</v>
      </c>
      <c r="L423" s="3" t="str">
        <f>IF(K423&lt;-5,"CRÍTICO",IF(K423&lt;0,"ATENÇÃO",IF(K423&lt;=5,"BOM","EXCELENTE")))</f>
        <v>BOM</v>
      </c>
    </row>
    <row r="424" spans="1:12" x14ac:dyDescent="0.25">
      <c r="A424" s="5">
        <v>46146</v>
      </c>
      <c r="B424" s="6" t="s">
        <v>46</v>
      </c>
      <c r="C424" s="3" t="s">
        <v>36</v>
      </c>
      <c r="D424" s="3">
        <v>42</v>
      </c>
      <c r="E424" s="3">
        <v>23</v>
      </c>
      <c r="G424" s="3">
        <v>0</v>
      </c>
      <c r="I424" s="3">
        <f>E424+G424+H424</f>
        <v>23</v>
      </c>
      <c r="J424" s="3" t="str">
        <f>IF(C424="Técnico III","35",IF(C424="Técnico II","28",IF(C424="Técnico I","23",IF(C424="JR","20",IF(C424="Estágio","10",)))))</f>
        <v>20</v>
      </c>
      <c r="K424" s="3">
        <f>I424-J424</f>
        <v>3</v>
      </c>
      <c r="L424" s="3" t="str">
        <f>IF(K424&lt;-5,"CRÍTICO",IF(K424&lt;0,"ATENÇÃO",IF(K424&lt;=5,"BOM","EXCELENTE")))</f>
        <v>BOM</v>
      </c>
    </row>
    <row r="425" spans="1:12" x14ac:dyDescent="0.25">
      <c r="A425" s="5">
        <v>46147</v>
      </c>
      <c r="B425" s="6" t="s">
        <v>46</v>
      </c>
      <c r="C425" s="3" t="s">
        <v>36</v>
      </c>
      <c r="D425" s="3">
        <v>56</v>
      </c>
      <c r="E425" s="3">
        <v>34</v>
      </c>
      <c r="G425" s="3">
        <v>0</v>
      </c>
      <c r="I425" s="3">
        <f>E425+G425+H425</f>
        <v>34</v>
      </c>
      <c r="J425" s="3" t="str">
        <f>IF(C425="Técnico III","35",IF(C425="Técnico II","28",IF(C425="Técnico I","23",IF(C425="JR","20",IF(C425="Estágio","10",)))))</f>
        <v>20</v>
      </c>
      <c r="K425" s="3">
        <f>I425-J425</f>
        <v>14</v>
      </c>
      <c r="L425" s="3" t="str">
        <f>IF(K425&lt;-5,"CRÍTICO",IF(K425&lt;0,"ATENÇÃO",IF(K425&lt;=5,"BOM","EXCELENTE")))</f>
        <v>EXCELENTE</v>
      </c>
    </row>
    <row r="426" spans="1:12" x14ac:dyDescent="0.25">
      <c r="A426" s="5">
        <v>46148</v>
      </c>
      <c r="B426" s="6" t="s">
        <v>46</v>
      </c>
      <c r="C426" s="3" t="s">
        <v>36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>IF(K426&lt;-5,"CRÍTICO",IF(K426&lt;0,"ATENÇÃO",IF(K426&lt;=5,"BOM","EXCELENTE")))</f>
        <v>BOM</v>
      </c>
    </row>
    <row r="427" spans="1:12" x14ac:dyDescent="0.25">
      <c r="A427" s="5">
        <v>46149</v>
      </c>
      <c r="B427" s="6" t="s">
        <v>46</v>
      </c>
      <c r="C427" s="3" t="s">
        <v>36</v>
      </c>
      <c r="D427" s="3">
        <v>0</v>
      </c>
      <c r="E427" s="3">
        <v>0</v>
      </c>
      <c r="F427" s="3">
        <v>0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3" t="str">
        <f>IF(K427&lt;-5,"CRÍTICO",IF(K427&lt;0,"ATENÇÃO",IF(K427&lt;=5,"BOM","EXCELENTE")))</f>
        <v>BOM</v>
      </c>
    </row>
    <row r="428" spans="1:12" x14ac:dyDescent="0.25">
      <c r="A428" s="5">
        <v>46150</v>
      </c>
      <c r="B428" s="6" t="s">
        <v>46</v>
      </c>
      <c r="C428" s="3" t="s">
        <v>36</v>
      </c>
      <c r="D428" s="3">
        <v>53</v>
      </c>
      <c r="E428" s="3">
        <v>26</v>
      </c>
      <c r="G428" s="3">
        <v>0</v>
      </c>
      <c r="H428" s="3">
        <v>0</v>
      </c>
      <c r="I428" s="3">
        <f>E428+G428+H428</f>
        <v>26</v>
      </c>
      <c r="J428" s="3" t="str">
        <f>IF(C428="Técnico III","35",IF(C428="Técnico II","28",IF(C428="Técnico I","23",IF(C428="JR","20",IF(C428="Estágio","10",)))))</f>
        <v>20</v>
      </c>
      <c r="K428" s="3">
        <f>I428-J428</f>
        <v>6</v>
      </c>
      <c r="L428" s="3" t="str">
        <f>IF(K428&lt;-5,"CRÍTICO",IF(K428&lt;0,"ATENÇÃO",IF(K428&lt;=5,"BOM","EXCELENTE")))</f>
        <v>EXCELENTE</v>
      </c>
    </row>
    <row r="429" spans="1:12" x14ac:dyDescent="0.25">
      <c r="A429" s="5">
        <v>46153</v>
      </c>
      <c r="B429" s="6" t="s">
        <v>46</v>
      </c>
      <c r="C429" s="3" t="s">
        <v>36</v>
      </c>
      <c r="D429" s="3">
        <v>44</v>
      </c>
      <c r="E429" s="3">
        <v>23</v>
      </c>
      <c r="I429" s="3">
        <f>E429+G429+H429</f>
        <v>23</v>
      </c>
      <c r="J429" s="3" t="str">
        <f>IF(C429="Técnico III","35",IF(C429="Técnico II","28",IF(C429="Técnico I","23",IF(C429="JR","20",IF(C429="Estágio","10",)))))</f>
        <v>20</v>
      </c>
      <c r="K429" s="3">
        <f>I429-J429</f>
        <v>3</v>
      </c>
      <c r="L429" s="3" t="str">
        <f>IF(K429&lt;-5,"CRÍTICO",IF(K429&lt;0,"ATENÇÃO",IF(K429&lt;=5,"BOM","EXCELENTE")))</f>
        <v>BOM</v>
      </c>
    </row>
    <row r="430" spans="1:12" x14ac:dyDescent="0.25">
      <c r="A430" s="5">
        <v>46154</v>
      </c>
      <c r="B430" s="6" t="s">
        <v>46</v>
      </c>
      <c r="C430" s="3" t="s">
        <v>36</v>
      </c>
      <c r="D430" s="3">
        <v>47</v>
      </c>
      <c r="E430" s="3">
        <v>23</v>
      </c>
      <c r="I430" s="3">
        <f>E430+G430+H430</f>
        <v>23</v>
      </c>
      <c r="J430" s="3" t="str">
        <f>IF(C430="Técnico III","35",IF(C430="Técnico II","28",IF(C430="Técnico I","23",IF(C430="JR","20",IF(C430="Estágio","10",)))))</f>
        <v>20</v>
      </c>
      <c r="K430" s="3">
        <f>I430-J430</f>
        <v>3</v>
      </c>
      <c r="L430" s="3" t="str">
        <f>IF(K430&lt;-5,"CRÍTICO",IF(K430&lt;0,"ATENÇÃO",IF(K430&lt;=5,"BOM","EXCELENTE")))</f>
        <v>BOM</v>
      </c>
    </row>
    <row r="431" spans="1:12" x14ac:dyDescent="0.25">
      <c r="A431" s="5">
        <v>46155</v>
      </c>
      <c r="B431" s="6" t="s">
        <v>46</v>
      </c>
      <c r="C431" s="3" t="s">
        <v>36</v>
      </c>
      <c r="D431" s="3">
        <v>27</v>
      </c>
      <c r="E431" s="3">
        <v>24</v>
      </c>
      <c r="G431" s="3">
        <v>1</v>
      </c>
      <c r="I431" s="3">
        <f>E431+G431+H431</f>
        <v>25</v>
      </c>
      <c r="J431" s="3" t="str">
        <f>IF(C431="Técnico III","35",IF(C431="Técnico II","28",IF(C431="Técnico I","23",IF(C431="JR","20",IF(C431="Estágio","10",)))))</f>
        <v>20</v>
      </c>
      <c r="K431" s="3">
        <f>I431-J431</f>
        <v>5</v>
      </c>
      <c r="L431" s="3" t="str">
        <f>IF(K431&lt;-5,"CRÍTICO",IF(K431&lt;0,"ATENÇÃO",IF(K431&lt;=5,"BOM","EXCELENTE")))</f>
        <v>BOM</v>
      </c>
    </row>
    <row r="432" spans="1:12" x14ac:dyDescent="0.25">
      <c r="A432" s="5">
        <v>46156</v>
      </c>
      <c r="B432" s="6" t="s">
        <v>46</v>
      </c>
      <c r="C432" s="3" t="s">
        <v>36</v>
      </c>
      <c r="D432" s="3">
        <v>26</v>
      </c>
      <c r="E432" s="3">
        <v>19</v>
      </c>
      <c r="G432" s="3">
        <v>4</v>
      </c>
      <c r="H432" s="3">
        <v>0</v>
      </c>
      <c r="I432" s="3">
        <f>E432+G432+H432</f>
        <v>23</v>
      </c>
      <c r="J432" s="3" t="str">
        <f>IF(C432="Técnico III","35",IF(C432="Técnico II","28",IF(C432="Técnico I","23",IF(C432="JR","20",IF(C432="Estágio","10",)))))</f>
        <v>20</v>
      </c>
      <c r="K432" s="3">
        <f>I432-J432</f>
        <v>3</v>
      </c>
      <c r="L432" s="3" t="str">
        <f>IF(K432&lt;-5,"CRÍTICO",IF(K432&lt;0,"ATENÇÃO",IF(K432&lt;=5,"BOM","EXCELENTE")))</f>
        <v>BOM</v>
      </c>
    </row>
    <row r="433" spans="1:12" x14ac:dyDescent="0.25">
      <c r="A433" s="5">
        <v>46157</v>
      </c>
      <c r="B433" s="6" t="s">
        <v>46</v>
      </c>
      <c r="C433" s="3" t="s">
        <v>36</v>
      </c>
      <c r="D433" s="3">
        <v>29</v>
      </c>
      <c r="E433" s="3">
        <v>21</v>
      </c>
      <c r="G433" s="3">
        <v>2</v>
      </c>
      <c r="H433" s="3">
        <v>0</v>
      </c>
      <c r="I433" s="3">
        <f>E433+G433+H433</f>
        <v>23</v>
      </c>
      <c r="J433" s="3" t="str">
        <f>IF(C433="Técnico III","35",IF(C433="Técnico II","28",IF(C433="Técnico I","23",IF(C433="JR","20",IF(C433="Estágio","10",)))))</f>
        <v>20</v>
      </c>
      <c r="K433" s="3">
        <f>I433-J433</f>
        <v>3</v>
      </c>
      <c r="L433" s="3" t="str">
        <f>IF(K433&lt;-5,"CRÍTICO",IF(K433&lt;0,"ATENÇÃO",IF(K433&lt;=5,"BOM","EXCELENTE")))</f>
        <v>BOM</v>
      </c>
    </row>
    <row r="434" spans="1:12" x14ac:dyDescent="0.25">
      <c r="A434" s="5">
        <v>46160</v>
      </c>
      <c r="B434" s="6" t="s">
        <v>46</v>
      </c>
      <c r="C434" s="3" t="s">
        <v>36</v>
      </c>
      <c r="D434" s="3">
        <v>11</v>
      </c>
      <c r="E434" s="3">
        <v>9</v>
      </c>
      <c r="G434" s="3">
        <v>1</v>
      </c>
      <c r="H434" s="3">
        <v>0</v>
      </c>
      <c r="I434" s="3">
        <f>E434+G434+H434</f>
        <v>10</v>
      </c>
      <c r="J434" s="3" t="str">
        <f>IF(C434="Técnico III","35",IF(C434="Técnico II","28",IF(C434="Técnico I","23",IF(C434="JR","20",IF(C434="Estágio","10",)))))</f>
        <v>20</v>
      </c>
      <c r="K434" s="3">
        <f>I434-J434</f>
        <v>-10</v>
      </c>
      <c r="L434" s="3" t="str">
        <f>IF(K434&lt;-5,"CRÍTICO",IF(K434&lt;0,"ATENÇÃO",IF(K434&lt;=5,"BOM","EXCELENTE")))</f>
        <v>CRÍTICO</v>
      </c>
    </row>
    <row r="435" spans="1:12" x14ac:dyDescent="0.25">
      <c r="A435" s="7">
        <v>46161</v>
      </c>
      <c r="B435" s="8" t="s">
        <v>47</v>
      </c>
      <c r="C435" s="9" t="s">
        <v>11</v>
      </c>
      <c r="D435" s="3">
        <v>25</v>
      </c>
      <c r="E435" s="3">
        <v>23</v>
      </c>
      <c r="G435" s="3">
        <v>0</v>
      </c>
      <c r="H435" s="3">
        <v>0</v>
      </c>
      <c r="I435" s="3">
        <f>E435+G435+H435</f>
        <v>23</v>
      </c>
      <c r="J435" s="3" t="str">
        <f>IF(C435="Técnico III","35",IF(C435="Técnico II","28",IF(C435="Técnico I","23",IF(C435="JR","20",IF(C435="Estágio","10",)))))</f>
        <v>28</v>
      </c>
      <c r="K435" s="3">
        <f>I435-J435</f>
        <v>-5</v>
      </c>
      <c r="L435" s="3" t="str">
        <f>IF(K435&lt;-5,"CRÍTICO",IF(K435&lt;0,"ATENÇÃO",IF(K435&lt;=5,"BOM","EXCELENTE")))</f>
        <v>ATENÇÃO</v>
      </c>
    </row>
    <row r="436" spans="1:12" x14ac:dyDescent="0.25">
      <c r="A436" s="5">
        <v>46146</v>
      </c>
      <c r="B436" s="6" t="s">
        <v>47</v>
      </c>
      <c r="C436" s="3" t="s">
        <v>11</v>
      </c>
      <c r="D436" s="3">
        <v>20</v>
      </c>
      <c r="E436" s="3">
        <v>16</v>
      </c>
      <c r="G436" s="3">
        <v>0</v>
      </c>
      <c r="I436" s="3">
        <f>E436+G436+H436</f>
        <v>16</v>
      </c>
      <c r="J436" s="3" t="str">
        <f>IF(C436="Técnico III","35",IF(C436="Técnico II","28",IF(C436="Técnico I","23",IF(C436="JR","20",IF(C436="Estágio","10",)))))</f>
        <v>28</v>
      </c>
      <c r="K436" s="3">
        <f>I436-J436</f>
        <v>-12</v>
      </c>
      <c r="L436" s="3" t="str">
        <f>IF(K436&lt;-5,"CRÍTICO",IF(K436&lt;0,"ATENÇÃO",IF(K436&lt;=5,"BOM","EXCELENTE")))</f>
        <v>CRÍTICO</v>
      </c>
    </row>
    <row r="437" spans="1:12" x14ac:dyDescent="0.25">
      <c r="A437" s="5">
        <v>46147</v>
      </c>
      <c r="B437" s="6" t="s">
        <v>47</v>
      </c>
      <c r="C437" s="3" t="s">
        <v>11</v>
      </c>
      <c r="D437" s="3">
        <v>27</v>
      </c>
      <c r="E437" s="3">
        <v>25</v>
      </c>
      <c r="G437" s="3">
        <v>0</v>
      </c>
      <c r="I437" s="3">
        <f>E437+G437+H437</f>
        <v>25</v>
      </c>
      <c r="J437" s="3" t="str">
        <f>IF(C437="Técnico III","35",IF(C437="Técnico II","28",IF(C437="Técnico I","23",IF(C437="JR","20",IF(C437="Estágio","10",)))))</f>
        <v>28</v>
      </c>
      <c r="K437" s="3">
        <f>I437-J437</f>
        <v>-3</v>
      </c>
      <c r="L437" s="3" t="str">
        <f>IF(K437&lt;-5,"CRÍTICO",IF(K437&lt;0,"ATENÇÃO",IF(K437&lt;=5,"BOM","EXCELENTE")))</f>
        <v>ATENÇÃO</v>
      </c>
    </row>
    <row r="438" spans="1:12" x14ac:dyDescent="0.25">
      <c r="A438" s="5">
        <v>46148</v>
      </c>
      <c r="B438" s="6" t="s">
        <v>47</v>
      </c>
      <c r="C438" s="3" t="s">
        <v>11</v>
      </c>
      <c r="D438" s="3">
        <v>35</v>
      </c>
      <c r="E438" s="3">
        <v>33</v>
      </c>
      <c r="G438" s="3">
        <v>0</v>
      </c>
      <c r="I438" s="3">
        <f>E438+G438+H438</f>
        <v>33</v>
      </c>
      <c r="J438" s="3" t="str">
        <f>IF(C438="Técnico III","35",IF(C438="Técnico II","28",IF(C438="Técnico I","23",IF(C438="JR","20",IF(C438="Estágio","10",)))))</f>
        <v>28</v>
      </c>
      <c r="K438" s="3">
        <f>I438-J438</f>
        <v>5</v>
      </c>
      <c r="L438" s="3" t="str">
        <f>IF(K438&lt;-5,"CRÍTICO",IF(K438&lt;0,"ATENÇÃO",IF(K438&lt;=5,"BOM","EXCELENTE")))</f>
        <v>BOM</v>
      </c>
    </row>
    <row r="439" spans="1:12" x14ac:dyDescent="0.25">
      <c r="A439" s="5">
        <v>46149</v>
      </c>
      <c r="B439" s="6" t="s">
        <v>47</v>
      </c>
      <c r="C439" s="3" t="s">
        <v>11</v>
      </c>
      <c r="D439" s="3">
        <v>10</v>
      </c>
      <c r="E439" s="3">
        <v>10</v>
      </c>
      <c r="G439" s="3">
        <v>0</v>
      </c>
      <c r="I439" s="3">
        <f>E439+G439+H439</f>
        <v>10</v>
      </c>
      <c r="J439" s="3" t="str">
        <f>IF(C439="Técnico III","35",IF(C439="Técnico II","28",IF(C439="Técnico I","23",IF(C439="JR","20",IF(C439="Estágio","10",)))))</f>
        <v>28</v>
      </c>
      <c r="K439" s="3">
        <f>I439-J439</f>
        <v>-18</v>
      </c>
      <c r="L439" s="3" t="str">
        <f>IF(K439&lt;-5,"CRÍTICO",IF(K439&lt;0,"ATENÇÃO",IF(K439&lt;=5,"BOM","EXCELENTE")))</f>
        <v>CRÍTICO</v>
      </c>
    </row>
    <row r="440" spans="1:12" x14ac:dyDescent="0.25">
      <c r="A440" s="5">
        <v>46150</v>
      </c>
      <c r="B440" s="6" t="s">
        <v>47</v>
      </c>
      <c r="C440" s="3" t="s">
        <v>11</v>
      </c>
      <c r="D440" s="3">
        <v>19</v>
      </c>
      <c r="E440" s="3">
        <v>19</v>
      </c>
      <c r="G440" s="3">
        <v>0</v>
      </c>
      <c r="H440" s="3">
        <v>0</v>
      </c>
      <c r="I440" s="3">
        <f>E440+G440+H440</f>
        <v>19</v>
      </c>
      <c r="J440" s="3" t="str">
        <f>IF(C440="Técnico III","35",IF(C440="Técnico II","28",IF(C440="Técnico I","23",IF(C440="JR","20",IF(C440="Estágio","10",)))))</f>
        <v>28</v>
      </c>
      <c r="K440" s="3">
        <f>I440-J440</f>
        <v>-9</v>
      </c>
      <c r="L440" s="3" t="str">
        <f>IF(K440&lt;-5,"CRÍTICO",IF(K440&lt;0,"ATENÇÃO",IF(K440&lt;=5,"BOM","EXCELENTE")))</f>
        <v>CRÍTICO</v>
      </c>
    </row>
    <row r="441" spans="1:12" x14ac:dyDescent="0.25">
      <c r="A441" s="5">
        <v>46153</v>
      </c>
      <c r="B441" s="6" t="s">
        <v>47</v>
      </c>
      <c r="C441" s="3" t="s">
        <v>11</v>
      </c>
      <c r="D441" s="3">
        <v>9</v>
      </c>
      <c r="E441" s="3">
        <v>8</v>
      </c>
      <c r="I441" s="3">
        <f>E441+G441+H441</f>
        <v>8</v>
      </c>
      <c r="J441" s="3" t="str">
        <f>IF(C441="Técnico III","35",IF(C441="Técnico II","28",IF(C441="Técnico I","23",IF(C441="JR","20",IF(C441="Estágio","10",)))))</f>
        <v>28</v>
      </c>
      <c r="K441" s="3">
        <f>I441-J441</f>
        <v>-20</v>
      </c>
      <c r="L441" s="3" t="str">
        <f>IF(K441&lt;-5,"CRÍTICO",IF(K441&lt;0,"ATENÇÃO",IF(K441&lt;=5,"BOM","EXCELENTE")))</f>
        <v>CRÍTICO</v>
      </c>
    </row>
    <row r="442" spans="1:12" x14ac:dyDescent="0.25">
      <c r="A442" s="5">
        <v>46154</v>
      </c>
      <c r="B442" s="6" t="s">
        <v>47</v>
      </c>
      <c r="C442" s="3" t="s">
        <v>11</v>
      </c>
      <c r="D442" s="3">
        <v>30</v>
      </c>
      <c r="E442" s="3">
        <v>26</v>
      </c>
      <c r="I442" s="3">
        <f>E442+G442+H442</f>
        <v>26</v>
      </c>
      <c r="J442" s="3" t="str">
        <f>IF(C442="Técnico III","35",IF(C442="Técnico II","28",IF(C442="Técnico I","23",IF(C442="JR","20",IF(C442="Estágio","10",)))))</f>
        <v>28</v>
      </c>
      <c r="K442" s="3">
        <f>I442-J442</f>
        <v>-2</v>
      </c>
      <c r="L442" s="3" t="str">
        <f>IF(K442&lt;-5,"CRÍTICO",IF(K442&lt;0,"ATENÇÃO",IF(K442&lt;=5,"BOM","EXCELENTE")))</f>
        <v>ATENÇÃO</v>
      </c>
    </row>
    <row r="443" spans="1:12" x14ac:dyDescent="0.25">
      <c r="A443" s="5">
        <v>46155</v>
      </c>
      <c r="B443" s="6" t="s">
        <v>47</v>
      </c>
      <c r="C443" s="3" t="s">
        <v>11</v>
      </c>
      <c r="D443" s="3">
        <v>24</v>
      </c>
      <c r="E443" s="3">
        <v>22</v>
      </c>
      <c r="I443" s="3">
        <f>E443+G443+H443</f>
        <v>22</v>
      </c>
      <c r="J443" s="3" t="str">
        <f>IF(C443="Técnico III","35",IF(C443="Técnico II","28",IF(C443="Técnico I","23",IF(C443="JR","20",IF(C443="Estágio","10",)))))</f>
        <v>28</v>
      </c>
      <c r="K443" s="3">
        <f>I443-J443</f>
        <v>-6</v>
      </c>
      <c r="L443" s="3" t="str">
        <f>IF(K443&lt;-5,"CRÍTICO",IF(K443&lt;0,"ATENÇÃO",IF(K443&lt;=5,"BOM","EXCELENTE")))</f>
        <v>CRÍTICO</v>
      </c>
    </row>
    <row r="444" spans="1:12" x14ac:dyDescent="0.25">
      <c r="A444" s="5">
        <v>46156</v>
      </c>
      <c r="B444" s="6" t="s">
        <v>47</v>
      </c>
      <c r="C444" s="3" t="s">
        <v>11</v>
      </c>
      <c r="D444" s="3">
        <v>29</v>
      </c>
      <c r="E444" s="3">
        <v>26</v>
      </c>
      <c r="G444" s="3">
        <v>0</v>
      </c>
      <c r="H444" s="3">
        <v>0</v>
      </c>
      <c r="I444" s="3">
        <f>E444+G444+H444</f>
        <v>26</v>
      </c>
      <c r="J444" s="3" t="str">
        <f>IF(C444="Técnico III","35",IF(C444="Técnico II","28",IF(C444="Técnico I","23",IF(C444="JR","20",IF(C444="Estágio","10",)))))</f>
        <v>28</v>
      </c>
      <c r="K444" s="3">
        <f>I444-J444</f>
        <v>-2</v>
      </c>
      <c r="L444" s="3" t="str">
        <f>IF(K444&lt;-5,"CRÍTICO",IF(K444&lt;0,"ATENÇÃO",IF(K444&lt;=5,"BOM","EXCELENTE")))</f>
        <v>ATENÇÃO</v>
      </c>
    </row>
    <row r="445" spans="1:12" x14ac:dyDescent="0.25">
      <c r="A445" s="5">
        <v>46157</v>
      </c>
      <c r="B445" s="6" t="s">
        <v>47</v>
      </c>
      <c r="C445" s="3" t="s">
        <v>11</v>
      </c>
      <c r="D445" s="3">
        <v>13</v>
      </c>
      <c r="E445" s="3">
        <v>13</v>
      </c>
      <c r="G445" s="3">
        <v>0</v>
      </c>
      <c r="H445" s="3">
        <v>0</v>
      </c>
      <c r="I445" s="3">
        <f>E445+G445+H445</f>
        <v>13</v>
      </c>
      <c r="J445" s="3" t="str">
        <f>IF(C445="Técnico III","35",IF(C445="Técnico II","28",IF(C445="Técnico I","23",IF(C445="JR","20",IF(C445="Estágio","10",)))))</f>
        <v>28</v>
      </c>
      <c r="K445" s="3">
        <f>I445-J445</f>
        <v>-15</v>
      </c>
      <c r="L445" s="3" t="str">
        <f>IF(K445&lt;-5,"CRÍTICO",IF(K445&lt;0,"ATENÇÃO",IF(K445&lt;=5,"BOM","EXCELENTE")))</f>
        <v>CRÍTICO</v>
      </c>
    </row>
    <row r="446" spans="1:12" x14ac:dyDescent="0.25">
      <c r="A446" s="5">
        <v>46160</v>
      </c>
      <c r="B446" s="6" t="s">
        <v>47</v>
      </c>
      <c r="C446" s="3" t="s">
        <v>11</v>
      </c>
      <c r="D446" s="3">
        <v>16</v>
      </c>
      <c r="E446" s="3">
        <v>15</v>
      </c>
      <c r="G446" s="3">
        <v>0</v>
      </c>
      <c r="H446" s="3">
        <v>0</v>
      </c>
      <c r="I446" s="3">
        <f>E446+G446+H446</f>
        <v>15</v>
      </c>
      <c r="J446" s="3" t="str">
        <f>IF(C446="Técnico III","35",IF(C446="Técnico II","28",IF(C446="Técnico I","23",IF(C446="JR","20",IF(C446="Estágio","10",)))))</f>
        <v>28</v>
      </c>
      <c r="K446" s="3">
        <f>I446-J446</f>
        <v>-13</v>
      </c>
      <c r="L446" s="3" t="str">
        <f>IF(K446&lt;-5,"CRÍTICO",IF(K446&lt;0,"ATENÇÃO",IF(K446&lt;=5,"BOM","EXCELENTE")))</f>
        <v>CRÍTICO</v>
      </c>
    </row>
    <row r="447" spans="1:12" x14ac:dyDescent="0.25">
      <c r="A447" s="7">
        <v>46161</v>
      </c>
      <c r="B447" s="8" t="s">
        <v>48</v>
      </c>
      <c r="C447" s="9" t="s">
        <v>36</v>
      </c>
      <c r="D447" s="3">
        <v>13</v>
      </c>
      <c r="E447" s="3">
        <v>13</v>
      </c>
      <c r="G447" s="3">
        <v>0</v>
      </c>
      <c r="H447" s="3">
        <v>0</v>
      </c>
      <c r="I447" s="3">
        <f>E447+G447+H447</f>
        <v>13</v>
      </c>
      <c r="J447" s="3" t="str">
        <f>IF(C447="Técnico III","35",IF(C447="Técnico II","28",IF(C447="Técnico I","23",IF(C447="JR","20",IF(C447="Estágio","10",)))))</f>
        <v>20</v>
      </c>
      <c r="K447" s="3">
        <f>I447-J447</f>
        <v>-7</v>
      </c>
      <c r="L447" s="3" t="str">
        <f>IF(K447&lt;-5,"CRÍTICO",IF(K447&lt;0,"ATENÇÃO",IF(K447&lt;=5,"BOM","EXCELENTE")))</f>
        <v>CRÍTICO</v>
      </c>
    </row>
    <row r="448" spans="1:12" x14ac:dyDescent="0.25">
      <c r="A448" s="5">
        <v>46146</v>
      </c>
      <c r="B448" s="6" t="s">
        <v>48</v>
      </c>
      <c r="C448" s="3" t="s">
        <v>36</v>
      </c>
      <c r="D448" s="3">
        <v>23</v>
      </c>
      <c r="E448" s="3">
        <v>23</v>
      </c>
      <c r="G448" s="3">
        <v>0</v>
      </c>
      <c r="I448" s="3">
        <f>E448+G448+H448</f>
        <v>23</v>
      </c>
      <c r="J448" s="3" t="str">
        <f>IF(C448="Técnico III","35",IF(C448="Técnico II","28",IF(C448="Técnico I","23",IF(C448="JR","20",IF(C448="Estágio","10",)))))</f>
        <v>20</v>
      </c>
      <c r="K448" s="3">
        <f>I448-J448</f>
        <v>3</v>
      </c>
      <c r="L448" s="3" t="str">
        <f>IF(K448&lt;-5,"CRÍTICO",IF(K448&lt;0,"ATENÇÃO",IF(K448&lt;=5,"BOM","EXCELENTE")))</f>
        <v>BOM</v>
      </c>
    </row>
    <row r="449" spans="1:12" x14ac:dyDescent="0.25">
      <c r="A449" s="5">
        <v>46147</v>
      </c>
      <c r="B449" s="6" t="s">
        <v>48</v>
      </c>
      <c r="C449" s="3" t="s">
        <v>36</v>
      </c>
      <c r="D449" s="3">
        <v>18</v>
      </c>
      <c r="E449" s="3">
        <v>17</v>
      </c>
      <c r="G449" s="3">
        <v>0</v>
      </c>
      <c r="I449" s="3">
        <f>E449+G449+H449</f>
        <v>17</v>
      </c>
      <c r="J449" s="3" t="str">
        <f>IF(C449="Técnico III","35",IF(C449="Técnico II","28",IF(C449="Técnico I","23",IF(C449="JR","20",IF(C449="Estágio","10",)))))</f>
        <v>20</v>
      </c>
      <c r="K449" s="3">
        <f>I449-J449</f>
        <v>-3</v>
      </c>
      <c r="L449" s="3" t="str">
        <f>IF(K449&lt;-5,"CRÍTICO",IF(K449&lt;0,"ATENÇÃO",IF(K449&lt;=5,"BOM","EXCELENTE")))</f>
        <v>ATENÇÃO</v>
      </c>
    </row>
    <row r="450" spans="1:12" x14ac:dyDescent="0.25">
      <c r="A450" s="5">
        <v>46148</v>
      </c>
      <c r="B450" s="6" t="s">
        <v>48</v>
      </c>
      <c r="C450" s="3" t="s">
        <v>36</v>
      </c>
      <c r="D450" s="3">
        <v>17</v>
      </c>
      <c r="E450" s="3">
        <v>17</v>
      </c>
      <c r="G450" s="3">
        <v>0</v>
      </c>
      <c r="I450" s="3">
        <f>E450+G450+H450</f>
        <v>17</v>
      </c>
      <c r="J450" s="3" t="str">
        <f>IF(C450="Técnico III","35",IF(C450="Técnico II","28",IF(C450="Técnico I","23",IF(C450="JR","20",IF(C450="Estágio","10",)))))</f>
        <v>20</v>
      </c>
      <c r="K450" s="3">
        <f>I450-J450</f>
        <v>-3</v>
      </c>
      <c r="L450" s="3" t="str">
        <f>IF(K450&lt;-5,"CRÍTICO",IF(K450&lt;0,"ATENÇÃO",IF(K450&lt;=5,"BOM","EXCELENTE")))</f>
        <v>ATENÇÃO</v>
      </c>
    </row>
    <row r="451" spans="1:12" x14ac:dyDescent="0.25">
      <c r="A451" s="5">
        <v>46149</v>
      </c>
      <c r="B451" s="6" t="s">
        <v>48</v>
      </c>
      <c r="C451" s="3" t="s">
        <v>36</v>
      </c>
      <c r="D451" s="3">
        <v>16</v>
      </c>
      <c r="E451" s="3">
        <v>16</v>
      </c>
      <c r="G451" s="3">
        <v>8</v>
      </c>
      <c r="I451" s="3">
        <f>E451+G451+H451</f>
        <v>24</v>
      </c>
      <c r="J451" s="3" t="str">
        <f>IF(C451="Técnico III","35",IF(C451="Técnico II","28",IF(C451="Técnico I","23",IF(C451="JR","20",IF(C451="Estágio","10",)))))</f>
        <v>20</v>
      </c>
      <c r="K451" s="3">
        <f>I451-J451</f>
        <v>4</v>
      </c>
      <c r="L451" s="3" t="str">
        <f>IF(K451&lt;-5,"CRÍTICO",IF(K451&lt;0,"ATENÇÃO",IF(K451&lt;=5,"BOM","EXCELENTE")))</f>
        <v>BOM</v>
      </c>
    </row>
    <row r="452" spans="1:12" x14ac:dyDescent="0.25">
      <c r="A452" s="5">
        <v>46150</v>
      </c>
      <c r="B452" s="6" t="s">
        <v>48</v>
      </c>
      <c r="C452" s="3" t="s">
        <v>36</v>
      </c>
      <c r="D452" s="3">
        <v>14</v>
      </c>
      <c r="E452" s="3">
        <v>14</v>
      </c>
      <c r="G452" s="3">
        <v>0</v>
      </c>
      <c r="H452" s="3">
        <v>0</v>
      </c>
      <c r="I452" s="3">
        <f>E452+G452+H452</f>
        <v>14</v>
      </c>
      <c r="J452" s="3" t="str">
        <f>IF(C452="Técnico III","35",IF(C452="Técnico II","28",IF(C452="Técnico I","23",IF(C452="JR","20",IF(C452="Estágio","10",)))))</f>
        <v>20</v>
      </c>
      <c r="K452" s="3">
        <f>I452-J452</f>
        <v>-6</v>
      </c>
      <c r="L452" s="3" t="str">
        <f>IF(K452&lt;-5,"CRÍTICO",IF(K452&lt;0,"ATENÇÃO",IF(K452&lt;=5,"BOM","EXCELENTE")))</f>
        <v>CRÍTICO</v>
      </c>
    </row>
    <row r="453" spans="1:12" x14ac:dyDescent="0.25">
      <c r="A453" s="5">
        <v>46153</v>
      </c>
      <c r="B453" s="6" t="s">
        <v>48</v>
      </c>
      <c r="C453" s="3" t="s">
        <v>36</v>
      </c>
      <c r="D453" s="3">
        <v>11</v>
      </c>
      <c r="E453" s="3">
        <v>11</v>
      </c>
      <c r="I453" s="3">
        <f>E453+G453+H453</f>
        <v>11</v>
      </c>
      <c r="J453" s="3" t="str">
        <f>IF(C453="Técnico III","35",IF(C453="Técnico II","28",IF(C453="Técnico I","23",IF(C453="JR","20",IF(C453="Estágio","10",)))))</f>
        <v>20</v>
      </c>
      <c r="K453" s="3">
        <f>I453-J453</f>
        <v>-9</v>
      </c>
      <c r="L453" s="3" t="str">
        <f>IF(K453&lt;-5,"CRÍTICO",IF(K453&lt;0,"ATENÇÃO",IF(K453&lt;=5,"BOM","EXCELENTE")))</f>
        <v>CRÍTICO</v>
      </c>
    </row>
    <row r="454" spans="1:12" x14ac:dyDescent="0.25">
      <c r="A454" s="5">
        <v>46154</v>
      </c>
      <c r="B454" s="6" t="s">
        <v>48</v>
      </c>
      <c r="C454" s="3" t="s">
        <v>36</v>
      </c>
      <c r="D454" s="3">
        <v>21</v>
      </c>
      <c r="E454" s="3">
        <v>21</v>
      </c>
      <c r="I454" s="3">
        <f>E454+G454+H454</f>
        <v>21</v>
      </c>
      <c r="J454" s="3" t="str">
        <f>IF(C454="Técnico III","35",IF(C454="Técnico II","28",IF(C454="Técnico I","23",IF(C454="JR","20",IF(C454="Estágio","10",)))))</f>
        <v>20</v>
      </c>
      <c r="K454" s="3">
        <f>I454-J454</f>
        <v>1</v>
      </c>
      <c r="L454" s="3" t="str">
        <f>IF(K454&lt;-5,"CRÍTICO",IF(K454&lt;0,"ATENÇÃO",IF(K454&lt;=5,"BOM","EXCELENTE")))</f>
        <v>BOM</v>
      </c>
    </row>
    <row r="455" spans="1:12" x14ac:dyDescent="0.25">
      <c r="A455" s="5">
        <v>46155</v>
      </c>
      <c r="B455" s="6" t="s">
        <v>48</v>
      </c>
      <c r="C455" s="3" t="s">
        <v>36</v>
      </c>
      <c r="D455" s="3">
        <v>12</v>
      </c>
      <c r="E455" s="3">
        <v>11</v>
      </c>
      <c r="I455" s="3">
        <f>E455+G455+H455</f>
        <v>11</v>
      </c>
      <c r="J455" s="3" t="str">
        <f>IF(C455="Técnico III","35",IF(C455="Técnico II","28",IF(C455="Técnico I","23",IF(C455="JR","20",IF(C455="Estágio","10",)))))</f>
        <v>20</v>
      </c>
      <c r="K455" s="3">
        <f>I455-J455</f>
        <v>-9</v>
      </c>
      <c r="L455" s="3" t="str">
        <f>IF(K455&lt;-5,"CRÍTICO",IF(K455&lt;0,"ATENÇÃO",IF(K455&lt;=5,"BOM","EXCELENTE")))</f>
        <v>CRÍTICO</v>
      </c>
    </row>
    <row r="456" spans="1:12" x14ac:dyDescent="0.25">
      <c r="A456" s="5">
        <v>46156</v>
      </c>
      <c r="B456" s="6" t="s">
        <v>48</v>
      </c>
      <c r="C456" s="3" t="s">
        <v>36</v>
      </c>
      <c r="D456" s="3">
        <v>15</v>
      </c>
      <c r="E456" s="3">
        <v>15</v>
      </c>
      <c r="G456" s="3">
        <v>0</v>
      </c>
      <c r="H456" s="3">
        <v>0</v>
      </c>
      <c r="I456" s="3">
        <f>E456+G456+H456</f>
        <v>15</v>
      </c>
      <c r="J456" s="3" t="str">
        <f>IF(C456="Técnico III","35",IF(C456="Técnico II","28",IF(C456="Técnico I","23",IF(C456="JR","20",IF(C456="Estágio","10",)))))</f>
        <v>20</v>
      </c>
      <c r="K456" s="3">
        <f>I456-J456</f>
        <v>-5</v>
      </c>
      <c r="L456" s="3" t="str">
        <f>IF(K456&lt;-5,"CRÍTICO",IF(K456&lt;0,"ATENÇÃO",IF(K456&lt;=5,"BOM","EXCELENTE")))</f>
        <v>ATENÇÃO</v>
      </c>
    </row>
    <row r="457" spans="1:12" x14ac:dyDescent="0.25">
      <c r="A457" s="5">
        <v>46157</v>
      </c>
      <c r="B457" s="6" t="s">
        <v>48</v>
      </c>
      <c r="C457" s="3" t="s">
        <v>36</v>
      </c>
      <c r="D457" s="3">
        <v>13</v>
      </c>
      <c r="E457" s="3">
        <v>13</v>
      </c>
      <c r="G457" s="3">
        <v>0</v>
      </c>
      <c r="H457" s="3">
        <v>0</v>
      </c>
      <c r="I457" s="3">
        <f>E457+G457+H457</f>
        <v>13</v>
      </c>
      <c r="J457" s="3" t="str">
        <f>IF(C457="Técnico III","35",IF(C457="Técnico II","28",IF(C457="Técnico I","23",IF(C457="JR","20",IF(C457="Estágio","10",)))))</f>
        <v>20</v>
      </c>
      <c r="K457" s="3">
        <f>I457-J457</f>
        <v>-7</v>
      </c>
      <c r="L457" s="3" t="str">
        <f>IF(K457&lt;-5,"CRÍTICO",IF(K457&lt;0,"ATENÇÃO",IF(K457&lt;=5,"BOM","EXCELENTE")))</f>
        <v>CRÍTICO</v>
      </c>
    </row>
    <row r="458" spans="1:12" x14ac:dyDescent="0.25">
      <c r="A458" s="5">
        <v>46160</v>
      </c>
      <c r="B458" s="6" t="s">
        <v>48</v>
      </c>
      <c r="C458" s="3" t="s">
        <v>36</v>
      </c>
      <c r="D458" s="3">
        <v>11</v>
      </c>
      <c r="E458" s="3">
        <v>10</v>
      </c>
      <c r="G458" s="3">
        <v>0</v>
      </c>
      <c r="H458" s="3">
        <v>0</v>
      </c>
      <c r="I458" s="3">
        <f>E458+G458+H458</f>
        <v>10</v>
      </c>
      <c r="J458" s="3" t="str">
        <f>IF(C458="Técnico III","35",IF(C458="Técnico II","28",IF(C458="Técnico I","23",IF(C458="JR","20",IF(C458="Estágio","10",)))))</f>
        <v>20</v>
      </c>
      <c r="K458" s="3">
        <f>I458-J458</f>
        <v>-10</v>
      </c>
      <c r="L458" s="3" t="str">
        <f>IF(K458&lt;-5,"CRÍTICO",IF(K458&lt;0,"ATENÇÃO",IF(K458&lt;=5,"BOM","EXCELENTE")))</f>
        <v>CRÍTICO</v>
      </c>
    </row>
    <row r="459" spans="1:12" x14ac:dyDescent="0.25">
      <c r="A459" s="7">
        <v>46161</v>
      </c>
      <c r="B459" s="8" t="s">
        <v>49</v>
      </c>
      <c r="C459" s="9" t="s">
        <v>36</v>
      </c>
      <c r="D459" s="3">
        <v>17</v>
      </c>
      <c r="E459" s="3">
        <v>17</v>
      </c>
      <c r="G459" s="3">
        <v>0</v>
      </c>
      <c r="H459" s="3">
        <v>0</v>
      </c>
      <c r="I459" s="3">
        <f>E459+G459+H459</f>
        <v>17</v>
      </c>
      <c r="J459" s="3" t="str">
        <f>IF(C459="Técnico III","35",IF(C459="Técnico II","28",IF(C459="Técnico I","23",IF(C459="JR","20",IF(C459="Estágio","10",)))))</f>
        <v>20</v>
      </c>
      <c r="K459" s="3">
        <f>I459-J459</f>
        <v>-3</v>
      </c>
      <c r="L459" s="3" t="str">
        <f>IF(K459&lt;-5,"CRÍTICO",IF(K459&lt;0,"ATENÇÃO",IF(K459&lt;=5,"BOM","EXCELENTE")))</f>
        <v>ATENÇÃO</v>
      </c>
    </row>
    <row r="460" spans="1:12" x14ac:dyDescent="0.25">
      <c r="A460" s="5">
        <v>46146</v>
      </c>
      <c r="B460" s="6" t="s">
        <v>49</v>
      </c>
      <c r="C460" s="3" t="s">
        <v>36</v>
      </c>
      <c r="D460" s="3">
        <v>23</v>
      </c>
      <c r="E460" s="3">
        <v>21</v>
      </c>
      <c r="G460" s="3">
        <v>0</v>
      </c>
      <c r="I460" s="3">
        <f>E460+G460+H460</f>
        <v>21</v>
      </c>
      <c r="J460" s="3" t="str">
        <f>IF(C460="Técnico III","35",IF(C460="Técnico II","28",IF(C460="Técnico I","23",IF(C460="JR","20",IF(C460="Estágio","10",)))))</f>
        <v>20</v>
      </c>
      <c r="K460" s="3">
        <f>I460-J460</f>
        <v>1</v>
      </c>
      <c r="L460" s="3" t="str">
        <f>IF(K460&lt;-5,"CRÍTICO",IF(K460&lt;0,"ATENÇÃO",IF(K460&lt;=5,"BOM","EXCELENTE")))</f>
        <v>BOM</v>
      </c>
    </row>
    <row r="461" spans="1:12" x14ac:dyDescent="0.25">
      <c r="A461" s="5">
        <v>46147</v>
      </c>
      <c r="B461" s="6" t="s">
        <v>49</v>
      </c>
      <c r="C461" s="3" t="s">
        <v>36</v>
      </c>
      <c r="D461" s="3">
        <v>11</v>
      </c>
      <c r="E461" s="3">
        <v>11</v>
      </c>
      <c r="G461" s="3">
        <v>9</v>
      </c>
      <c r="I461" s="3">
        <f>E461+G461+H461</f>
        <v>20</v>
      </c>
      <c r="J461" s="3" t="str">
        <f>IF(C461="Técnico III","35",IF(C461="Técnico II","28",IF(C461="Técnico I","23",IF(C461="JR","20",IF(C461="Estágio","10",)))))</f>
        <v>20</v>
      </c>
      <c r="K461" s="3">
        <f>I461-J461</f>
        <v>0</v>
      </c>
      <c r="L461" s="3" t="str">
        <f>IF(K461&lt;-5,"CRÍTICO",IF(K461&lt;0,"ATENÇÃO",IF(K461&lt;=5,"BOM","EXCELENTE")))</f>
        <v>BOM</v>
      </c>
    </row>
    <row r="462" spans="1:12" x14ac:dyDescent="0.25">
      <c r="A462" s="5">
        <v>46148</v>
      </c>
      <c r="B462" s="6" t="s">
        <v>49</v>
      </c>
      <c r="C462" s="3" t="s">
        <v>36</v>
      </c>
      <c r="D462" s="3">
        <v>22</v>
      </c>
      <c r="E462" s="3">
        <v>21</v>
      </c>
      <c r="G462" s="3">
        <v>3</v>
      </c>
      <c r="I462" s="3">
        <f>E462+G462+H462</f>
        <v>24</v>
      </c>
      <c r="J462" s="3" t="str">
        <f>IF(C462="Técnico III","35",IF(C462="Técnico II","28",IF(C462="Técnico I","23",IF(C462="JR","20",IF(C462="Estágio","10",)))))</f>
        <v>20</v>
      </c>
      <c r="K462" s="3">
        <f>I462-J462</f>
        <v>4</v>
      </c>
      <c r="L462" s="3" t="str">
        <f>IF(K462&lt;-5,"CRÍTICO",IF(K462&lt;0,"ATENÇÃO",IF(K462&lt;=5,"BOM","EXCELENTE")))</f>
        <v>BOM</v>
      </c>
    </row>
    <row r="463" spans="1:12" x14ac:dyDescent="0.25">
      <c r="A463" s="5">
        <v>46149</v>
      </c>
      <c r="B463" s="6" t="s">
        <v>49</v>
      </c>
      <c r="C463" s="3" t="s">
        <v>36</v>
      </c>
      <c r="D463" s="3">
        <v>19</v>
      </c>
      <c r="E463" s="3">
        <v>19</v>
      </c>
      <c r="G463" s="3">
        <v>5</v>
      </c>
      <c r="I463" s="3">
        <f>E463+G463+H463</f>
        <v>24</v>
      </c>
      <c r="J463" s="3" t="str">
        <f>IF(C463="Técnico III","35",IF(C463="Técnico II","28",IF(C463="Técnico I","23",IF(C463="JR","20",IF(C463="Estágio","10",)))))</f>
        <v>20</v>
      </c>
      <c r="K463" s="3">
        <f>I463-J463</f>
        <v>4</v>
      </c>
      <c r="L463" s="3" t="str">
        <f>IF(K463&lt;-5,"CRÍTICO",IF(K463&lt;0,"ATENÇÃO",IF(K463&lt;=5,"BOM","EXCELENTE")))</f>
        <v>BOM</v>
      </c>
    </row>
    <row r="464" spans="1:12" x14ac:dyDescent="0.25">
      <c r="A464" s="5">
        <v>46150</v>
      </c>
      <c r="B464" s="6" t="s">
        <v>49</v>
      </c>
      <c r="C464" s="3" t="s">
        <v>36</v>
      </c>
      <c r="D464" s="3">
        <v>18</v>
      </c>
      <c r="E464" s="3">
        <v>17</v>
      </c>
      <c r="G464" s="3">
        <v>0</v>
      </c>
      <c r="H464" s="3">
        <v>0</v>
      </c>
      <c r="I464" s="3">
        <f>E464+G464+H464</f>
        <v>17</v>
      </c>
      <c r="J464" s="3" t="str">
        <f>IF(C464="Técnico III","35",IF(C464="Técnico II","28",IF(C464="Técnico I","23",IF(C464="JR","20",IF(C464="Estágio","10",)))))</f>
        <v>20</v>
      </c>
      <c r="K464" s="3">
        <f>I464-J464</f>
        <v>-3</v>
      </c>
      <c r="L464" s="3" t="str">
        <f>IF(K464&lt;-5,"CRÍTICO",IF(K464&lt;0,"ATENÇÃO",IF(K464&lt;=5,"BOM","EXCELENTE")))</f>
        <v>ATENÇÃO</v>
      </c>
    </row>
    <row r="465" spans="1:12" x14ac:dyDescent="0.25">
      <c r="A465" s="5">
        <v>46153</v>
      </c>
      <c r="B465" s="6" t="s">
        <v>49</v>
      </c>
      <c r="C465" s="3" t="s">
        <v>36</v>
      </c>
      <c r="D465" s="3">
        <v>17</v>
      </c>
      <c r="E465" s="3">
        <v>17</v>
      </c>
      <c r="G465" s="3">
        <v>3</v>
      </c>
      <c r="I465" s="3">
        <f>E465+G465+H465</f>
        <v>20</v>
      </c>
      <c r="J465" s="3" t="str">
        <f>IF(C465="Técnico III","35",IF(C465="Técnico II","28",IF(C465="Técnico I","23",IF(C465="JR","20",IF(C465="Estágio","10",)))))</f>
        <v>20</v>
      </c>
      <c r="K465" s="3">
        <f>I465-J465</f>
        <v>0</v>
      </c>
      <c r="L465" s="3" t="str">
        <f>IF(K465&lt;-5,"CRÍTICO",IF(K465&lt;0,"ATENÇÃO",IF(K465&lt;=5,"BOM","EXCELENTE")))</f>
        <v>BOM</v>
      </c>
    </row>
    <row r="466" spans="1:12" x14ac:dyDescent="0.25">
      <c r="A466" s="5">
        <v>46154</v>
      </c>
      <c r="B466" s="6" t="s">
        <v>49</v>
      </c>
      <c r="C466" s="3" t="s">
        <v>36</v>
      </c>
      <c r="D466" s="3">
        <v>12</v>
      </c>
      <c r="E466" s="3">
        <v>12</v>
      </c>
      <c r="I466" s="3">
        <f>E466+G466+H466</f>
        <v>12</v>
      </c>
      <c r="J466" s="3" t="str">
        <f>IF(C466="Técnico III","35",IF(C466="Técnico II","28",IF(C466="Técnico I","23",IF(C466="JR","20",IF(C466="Estágio","10",)))))</f>
        <v>20</v>
      </c>
      <c r="K466" s="3">
        <f>I466-J466</f>
        <v>-8</v>
      </c>
      <c r="L466" s="3" t="str">
        <f>IF(K466&lt;-5,"CRÍTICO",IF(K466&lt;0,"ATENÇÃO",IF(K466&lt;=5,"BOM","EXCELENTE")))</f>
        <v>CRÍTICO</v>
      </c>
    </row>
    <row r="467" spans="1:12" x14ac:dyDescent="0.25">
      <c r="A467" s="5">
        <v>46155</v>
      </c>
      <c r="B467" s="6" t="s">
        <v>49</v>
      </c>
      <c r="C467" s="3" t="s">
        <v>36</v>
      </c>
      <c r="D467" s="3">
        <v>15</v>
      </c>
      <c r="E467" s="3">
        <v>14</v>
      </c>
      <c r="G467" s="3">
        <v>4</v>
      </c>
      <c r="I467" s="3">
        <f>E467+G467+H467</f>
        <v>18</v>
      </c>
      <c r="J467" s="3" t="str">
        <f>IF(C467="Técnico III","35",IF(C467="Técnico II","28",IF(C467="Técnico I","23",IF(C467="JR","20",IF(C467="Estágio","10",)))))</f>
        <v>20</v>
      </c>
      <c r="K467" s="3">
        <f>I467-J467</f>
        <v>-2</v>
      </c>
      <c r="L467" s="3" t="str">
        <f>IF(K467&lt;-5,"CRÍTICO",IF(K467&lt;0,"ATENÇÃO",IF(K467&lt;=5,"BOM","EXCELENTE")))</f>
        <v>ATENÇÃO</v>
      </c>
    </row>
    <row r="468" spans="1:12" x14ac:dyDescent="0.25">
      <c r="A468" s="5">
        <v>46156</v>
      </c>
      <c r="B468" s="6" t="s">
        <v>49</v>
      </c>
      <c r="C468" s="3" t="s">
        <v>36</v>
      </c>
      <c r="D468" s="3">
        <v>6</v>
      </c>
      <c r="E468" s="3">
        <v>6</v>
      </c>
      <c r="G468" s="3">
        <v>0</v>
      </c>
      <c r="H468" s="3">
        <v>0</v>
      </c>
      <c r="I468" s="3">
        <f>E468+G468+H468</f>
        <v>6</v>
      </c>
      <c r="J468" s="3" t="str">
        <f>IF(C468="Técnico III","35",IF(C468="Técnico II","28",IF(C468="Técnico I","23",IF(C468="JR","20",IF(C468="Estágio","10",)))))</f>
        <v>20</v>
      </c>
      <c r="K468" s="3">
        <f>I468-J468</f>
        <v>-14</v>
      </c>
      <c r="L468" s="3" t="str">
        <f>IF(K468&lt;-5,"CRÍTICO",IF(K468&lt;0,"ATENÇÃO",IF(K468&lt;=5,"BOM","EXCELENTE")))</f>
        <v>CRÍTICO</v>
      </c>
    </row>
    <row r="469" spans="1:12" x14ac:dyDescent="0.25">
      <c r="A469" s="5">
        <v>46157</v>
      </c>
      <c r="B469" s="6" t="s">
        <v>49</v>
      </c>
      <c r="C469" s="3" t="s">
        <v>36</v>
      </c>
      <c r="D469" s="3">
        <v>14</v>
      </c>
      <c r="E469" s="3">
        <v>12</v>
      </c>
      <c r="G469" s="3">
        <v>2</v>
      </c>
      <c r="H469" s="3">
        <v>0</v>
      </c>
      <c r="I469" s="3">
        <f>E469+G469+H469</f>
        <v>14</v>
      </c>
      <c r="J469" s="3" t="str">
        <f>IF(C469="Técnico III","35",IF(C469="Técnico II","28",IF(C469="Técnico I","23",IF(C469="JR","20",IF(C469="Estágio","10",)))))</f>
        <v>20</v>
      </c>
      <c r="K469" s="3">
        <f>I469-J469</f>
        <v>-6</v>
      </c>
      <c r="L469" s="3" t="str">
        <f>IF(K469&lt;-5,"CRÍTICO",IF(K469&lt;0,"ATENÇÃO",IF(K469&lt;=5,"BOM","EXCELENTE")))</f>
        <v>CRÍTICO</v>
      </c>
    </row>
    <row r="470" spans="1:12" x14ac:dyDescent="0.25">
      <c r="A470" s="5">
        <v>46160</v>
      </c>
      <c r="B470" s="6" t="s">
        <v>49</v>
      </c>
      <c r="C470" s="3" t="s">
        <v>36</v>
      </c>
      <c r="D470" s="3">
        <v>14</v>
      </c>
      <c r="E470" s="3">
        <v>13</v>
      </c>
      <c r="G470" s="3">
        <v>2</v>
      </c>
      <c r="H470" s="3">
        <v>0</v>
      </c>
      <c r="I470" s="3">
        <f>E470+G470+H470</f>
        <v>15</v>
      </c>
      <c r="J470" s="3" t="str">
        <f>IF(C470="Técnico III","35",IF(C470="Técnico II","28",IF(C470="Técnico I","23",IF(C470="JR","20",IF(C470="Estágio","10",)))))</f>
        <v>20</v>
      </c>
      <c r="K470" s="3">
        <f>I470-J470</f>
        <v>-5</v>
      </c>
      <c r="L470" s="3" t="str">
        <f>IF(K470&lt;-5,"CRÍTICO",IF(K470&lt;0,"ATENÇÃO",IF(K470&lt;=5,"BOM","EXCELENTE")))</f>
        <v>ATENÇÃO</v>
      </c>
    </row>
    <row r="471" spans="1:12" x14ac:dyDescent="0.25">
      <c r="A471" s="7">
        <v>46161</v>
      </c>
      <c r="B471" s="8" t="s">
        <v>50</v>
      </c>
      <c r="C471" s="9" t="s">
        <v>17</v>
      </c>
      <c r="D471" s="3">
        <v>20</v>
      </c>
      <c r="E471" s="3">
        <v>19</v>
      </c>
      <c r="G471" s="3">
        <v>0</v>
      </c>
      <c r="H471" s="3">
        <v>0</v>
      </c>
      <c r="I471" s="3">
        <f>E471+G471+H471</f>
        <v>19</v>
      </c>
      <c r="J471" s="3" t="str">
        <f>IF(C471="Técnico III","35",IF(C471="Técnico II","28",IF(C471="Técnico I","23",IF(C471="JR","20",IF(C471="Estágio","10",)))))</f>
        <v>10</v>
      </c>
      <c r="K471" s="3">
        <f>I471-J471</f>
        <v>9</v>
      </c>
      <c r="L471" s="3" t="str">
        <f>IF(K471&lt;-5,"CRÍTICO",IF(K471&lt;0,"ATENÇÃO",IF(K471&lt;=5,"BOM","EXCELENTE")))</f>
        <v>EXCELENTE</v>
      </c>
    </row>
    <row r="472" spans="1:12" x14ac:dyDescent="0.25">
      <c r="A472" s="5">
        <v>46146</v>
      </c>
      <c r="B472" s="6" t="s">
        <v>50</v>
      </c>
      <c r="C472" s="3" t="s">
        <v>17</v>
      </c>
      <c r="D472" s="3">
        <v>14</v>
      </c>
      <c r="E472" s="3">
        <v>14</v>
      </c>
      <c r="G472" s="3">
        <v>1</v>
      </c>
      <c r="H472" s="3">
        <v>0</v>
      </c>
      <c r="I472" s="3">
        <f>E472+G472+H472</f>
        <v>15</v>
      </c>
      <c r="J472" s="3" t="str">
        <f>IF(C472="Técnico III","35",IF(C472="Técnico II","28",IF(C472="Técnico I","23",IF(C472="JR","20",IF(C472="Estágio","10",)))))</f>
        <v>10</v>
      </c>
      <c r="K472" s="3">
        <f>I472-J472</f>
        <v>5</v>
      </c>
      <c r="L472" s="3" t="str">
        <f>IF(K472&lt;-5,"CRÍTICO",IF(K472&lt;0,"ATENÇÃO",IF(K472&lt;=5,"BOM","EXCELENTE")))</f>
        <v>BOM</v>
      </c>
    </row>
    <row r="473" spans="1:12" x14ac:dyDescent="0.25">
      <c r="A473" s="5">
        <v>46147</v>
      </c>
      <c r="B473" s="6" t="s">
        <v>50</v>
      </c>
      <c r="C473" s="3" t="s">
        <v>17</v>
      </c>
      <c r="D473" s="3">
        <v>22</v>
      </c>
      <c r="E473" s="3">
        <v>18</v>
      </c>
      <c r="G473" s="3">
        <v>1</v>
      </c>
      <c r="H473" s="3">
        <v>0</v>
      </c>
      <c r="I473" s="3">
        <f>E473+G473+H473</f>
        <v>19</v>
      </c>
      <c r="J473" s="3" t="str">
        <f>IF(C473="Técnico III","35",IF(C473="Técnico II","28",IF(C473="Técnico I","23",IF(C473="JR","20",IF(C473="Estágio","10",)))))</f>
        <v>10</v>
      </c>
      <c r="K473" s="3">
        <f>I473-J473</f>
        <v>9</v>
      </c>
      <c r="L473" s="3" t="str">
        <f>IF(K473&lt;-5,"CRÍTICO",IF(K473&lt;0,"ATENÇÃO",IF(K473&lt;=5,"BOM","EXCELENTE")))</f>
        <v>EXCELENTE</v>
      </c>
    </row>
    <row r="474" spans="1:12" x14ac:dyDescent="0.25">
      <c r="A474" s="5">
        <v>46148</v>
      </c>
      <c r="B474" s="6" t="s">
        <v>50</v>
      </c>
      <c r="C474" s="3" t="s">
        <v>17</v>
      </c>
      <c r="D474" s="3">
        <v>17</v>
      </c>
      <c r="E474" s="3">
        <v>15</v>
      </c>
      <c r="G474" s="3">
        <v>0</v>
      </c>
      <c r="I474" s="3">
        <f>E474+G474+H474</f>
        <v>15</v>
      </c>
      <c r="J474" s="3" t="str">
        <f>IF(C474="Técnico III","35",IF(C474="Técnico II","28",IF(C474="Técnico I","23",IF(C474="JR","20",IF(C474="Estágio","10",)))))</f>
        <v>10</v>
      </c>
      <c r="K474" s="3">
        <f>I474-J474</f>
        <v>5</v>
      </c>
      <c r="L474" s="3" t="str">
        <f>IF(K474&lt;-5,"CRÍTICO",IF(K474&lt;0,"ATENÇÃO",IF(K474&lt;=5,"BOM","EXCELENTE")))</f>
        <v>BOM</v>
      </c>
    </row>
    <row r="475" spans="1:12" x14ac:dyDescent="0.25">
      <c r="A475" s="5">
        <v>46149</v>
      </c>
      <c r="B475" s="6" t="s">
        <v>50</v>
      </c>
      <c r="C475" s="3" t="s">
        <v>17</v>
      </c>
      <c r="D475" s="3">
        <v>15</v>
      </c>
      <c r="E475" s="3">
        <v>15</v>
      </c>
      <c r="G475" s="3">
        <v>0</v>
      </c>
      <c r="H475" s="3">
        <v>0</v>
      </c>
      <c r="I475" s="3">
        <f>E475+G475+H475</f>
        <v>15</v>
      </c>
      <c r="J475" s="3" t="str">
        <f>IF(C475="Técnico III","35",IF(C475="Técnico II","28",IF(C475="Técnico I","23",IF(C475="JR","20",IF(C475="Estágio","10",)))))</f>
        <v>10</v>
      </c>
      <c r="K475" s="3">
        <f>I475-J475</f>
        <v>5</v>
      </c>
      <c r="L475" s="3" t="str">
        <f>IF(K475&lt;-5,"CRÍTICO",IF(K475&lt;0,"ATENÇÃO",IF(K475&lt;=5,"BOM","EXCELENTE")))</f>
        <v>BOM</v>
      </c>
    </row>
    <row r="476" spans="1:12" x14ac:dyDescent="0.25">
      <c r="A476" s="5">
        <v>46150</v>
      </c>
      <c r="B476" s="6" t="s">
        <v>50</v>
      </c>
      <c r="C476" s="3" t="s">
        <v>17</v>
      </c>
      <c r="D476" s="3">
        <v>17</v>
      </c>
      <c r="E476" s="3">
        <v>17</v>
      </c>
      <c r="G476" s="3">
        <v>0</v>
      </c>
      <c r="H476" s="3">
        <v>0</v>
      </c>
      <c r="I476" s="3">
        <f>E476+G476+H476</f>
        <v>17</v>
      </c>
      <c r="J476" s="3" t="str">
        <f>IF(C476="Técnico III","35",IF(C476="Técnico II","28",IF(C476="Técnico I","23",IF(C476="JR","20",IF(C476="Estágio","10",)))))</f>
        <v>10</v>
      </c>
      <c r="K476" s="3">
        <f>I476-J476</f>
        <v>7</v>
      </c>
      <c r="L476" s="3" t="str">
        <f>IF(K476&lt;-5,"CRÍTICO",IF(K476&lt;0,"ATENÇÃO",IF(K476&lt;=5,"BOM","EXCELENTE")))</f>
        <v>EXCELENTE</v>
      </c>
    </row>
    <row r="477" spans="1:12" x14ac:dyDescent="0.25">
      <c r="A477" s="5">
        <v>46153</v>
      </c>
      <c r="B477" s="6" t="s">
        <v>50</v>
      </c>
      <c r="C477" s="3" t="s">
        <v>17</v>
      </c>
      <c r="D477" s="3">
        <v>16</v>
      </c>
      <c r="E477" s="3">
        <v>16</v>
      </c>
      <c r="I477" s="3">
        <f>E477+G477+H477</f>
        <v>16</v>
      </c>
      <c r="J477" s="3" t="str">
        <f>IF(C477="Técnico III","35",IF(C477="Técnico II","28",IF(C477="Técnico I","23",IF(C477="JR","20",IF(C477="Estágio","10",)))))</f>
        <v>10</v>
      </c>
      <c r="K477" s="3">
        <f>I477-J477</f>
        <v>6</v>
      </c>
      <c r="L477" s="3" t="str">
        <f>IF(K477&lt;-5,"CRÍTICO",IF(K477&lt;0,"ATENÇÃO",IF(K477&lt;=5,"BOM","EXCELENTE")))</f>
        <v>EXCELENTE</v>
      </c>
    </row>
    <row r="478" spans="1:12" x14ac:dyDescent="0.25">
      <c r="A478" s="5">
        <v>46154</v>
      </c>
      <c r="B478" s="6" t="s">
        <v>50</v>
      </c>
      <c r="C478" s="3" t="s">
        <v>17</v>
      </c>
      <c r="D478" s="3">
        <v>20</v>
      </c>
      <c r="E478" s="3">
        <v>17</v>
      </c>
      <c r="G478" s="3">
        <v>0</v>
      </c>
      <c r="H478" s="3">
        <v>0</v>
      </c>
      <c r="I478" s="3">
        <f>E478+G478+H478</f>
        <v>17</v>
      </c>
      <c r="J478" s="3" t="str">
        <f>IF(C478="Técnico III","35",IF(C478="Técnico II","28",IF(C478="Técnico I","23",IF(C478="JR","20",IF(C478="Estágio","10",)))))</f>
        <v>10</v>
      </c>
      <c r="K478" s="3">
        <f>I478-J478</f>
        <v>7</v>
      </c>
      <c r="L478" s="3" t="str">
        <f>IF(K478&lt;-5,"CRÍTICO",IF(K478&lt;0,"ATENÇÃO",IF(K478&lt;=5,"BOM","EXCELENTE")))</f>
        <v>EXCELENTE</v>
      </c>
    </row>
    <row r="479" spans="1:12" x14ac:dyDescent="0.25">
      <c r="A479" s="5">
        <v>46155</v>
      </c>
      <c r="B479" s="6" t="s">
        <v>50</v>
      </c>
      <c r="C479" s="3" t="s">
        <v>17</v>
      </c>
      <c r="D479" s="3">
        <v>19</v>
      </c>
      <c r="E479" s="3">
        <v>18</v>
      </c>
      <c r="I479" s="3">
        <f>E479+G479+H479</f>
        <v>18</v>
      </c>
      <c r="J479" s="3" t="str">
        <f>IF(C479="Técnico III","35",IF(C479="Técnico II","28",IF(C479="Técnico I","23",IF(C479="JR","20",IF(C479="Estágio","10",)))))</f>
        <v>10</v>
      </c>
      <c r="K479" s="3">
        <f>I479-J479</f>
        <v>8</v>
      </c>
      <c r="L479" s="3" t="str">
        <f>IF(K479&lt;-5,"CRÍTICO",IF(K479&lt;0,"ATENÇÃO",IF(K479&lt;=5,"BOM","EXCELENTE")))</f>
        <v>EXCELENTE</v>
      </c>
    </row>
    <row r="480" spans="1:12" x14ac:dyDescent="0.25">
      <c r="A480" s="5">
        <v>46156</v>
      </c>
      <c r="B480" s="6" t="s">
        <v>50</v>
      </c>
      <c r="C480" s="3" t="s">
        <v>17</v>
      </c>
      <c r="D480" s="3">
        <v>19</v>
      </c>
      <c r="E480" s="3">
        <v>18</v>
      </c>
      <c r="G480" s="3">
        <v>0</v>
      </c>
      <c r="H480" s="3">
        <v>0</v>
      </c>
      <c r="I480" s="3">
        <f>E480+G480+H480</f>
        <v>18</v>
      </c>
      <c r="J480" s="3" t="str">
        <f>IF(C480="Técnico III","35",IF(C480="Técnico II","28",IF(C480="Técnico I","23",IF(C480="JR","20",IF(C480="Estágio","10",)))))</f>
        <v>10</v>
      </c>
      <c r="K480" s="3">
        <f>I480-J480</f>
        <v>8</v>
      </c>
      <c r="L480" s="3" t="str">
        <f>IF(K480&lt;-5,"CRÍTICO",IF(K480&lt;0,"ATENÇÃO",IF(K480&lt;=5,"BOM","EXCELENTE")))</f>
        <v>EXCELENTE</v>
      </c>
    </row>
    <row r="481" spans="1:12" x14ac:dyDescent="0.25">
      <c r="A481" s="5">
        <v>46157</v>
      </c>
      <c r="B481" s="6" t="s">
        <v>50</v>
      </c>
      <c r="C481" s="3" t="s">
        <v>17</v>
      </c>
      <c r="D481" s="3">
        <v>17</v>
      </c>
      <c r="E481" s="3">
        <v>15</v>
      </c>
      <c r="G481" s="3">
        <v>0</v>
      </c>
      <c r="H481" s="3">
        <v>0</v>
      </c>
      <c r="I481" s="3">
        <f>E481+G481+H481</f>
        <v>15</v>
      </c>
      <c r="J481" s="3" t="str">
        <f>IF(C481="Técnico III","35",IF(C481="Técnico II","28",IF(C481="Técnico I","23",IF(C481="JR","20",IF(C481="Estágio","10",)))))</f>
        <v>10</v>
      </c>
      <c r="K481" s="3">
        <f>I481-J481</f>
        <v>5</v>
      </c>
      <c r="L481" s="3" t="str">
        <f>IF(K481&lt;-5,"CRÍTICO",IF(K481&lt;0,"ATENÇÃO",IF(K481&lt;=5,"BOM","EXCELENTE")))</f>
        <v>BOM</v>
      </c>
    </row>
    <row r="482" spans="1:12" x14ac:dyDescent="0.25">
      <c r="A482" s="5">
        <v>46160</v>
      </c>
      <c r="B482" s="6" t="s">
        <v>50</v>
      </c>
      <c r="C482" s="3" t="s">
        <v>17</v>
      </c>
      <c r="D482" s="3">
        <v>14</v>
      </c>
      <c r="E482" s="3">
        <v>13</v>
      </c>
      <c r="G482" s="3">
        <v>0</v>
      </c>
      <c r="H482" s="3">
        <v>0</v>
      </c>
      <c r="I482" s="3">
        <f>E482+G482+H482</f>
        <v>13</v>
      </c>
      <c r="J482" s="3" t="str">
        <f>IF(C482="Técnico III","35",IF(C482="Técnico II","28",IF(C482="Técnico I","23",IF(C482="JR","20",IF(C482="Estágio","10",)))))</f>
        <v>10</v>
      </c>
      <c r="K482" s="3">
        <f>I482-J482</f>
        <v>3</v>
      </c>
      <c r="L482" s="3" t="str">
        <f>IF(K482&lt;-5,"CRÍTICO",IF(K482&lt;0,"ATENÇÃO",IF(K482&lt;=5,"BOM","EXCELENTE")))</f>
        <v>BOM</v>
      </c>
    </row>
    <row r="483" spans="1:12" x14ac:dyDescent="0.25">
      <c r="A483" s="7">
        <v>46161</v>
      </c>
      <c r="B483" s="8" t="s">
        <v>51</v>
      </c>
      <c r="C483" s="9" t="s">
        <v>14</v>
      </c>
      <c r="D483" s="3">
        <v>35</v>
      </c>
      <c r="E483" s="3">
        <v>31</v>
      </c>
      <c r="G483" s="3">
        <v>2</v>
      </c>
      <c r="H483" s="3">
        <v>0</v>
      </c>
      <c r="I483" s="3">
        <f>E483+G483+H483</f>
        <v>33</v>
      </c>
      <c r="J483" s="3" t="str">
        <f>IF(C483="Técnico III","35",IF(C483="Técnico II","28",IF(C483="Técnico I","23",IF(C483="JR","20",IF(C483="Estágio","10",)))))</f>
        <v>23</v>
      </c>
      <c r="K483" s="3">
        <f>I483-J483</f>
        <v>10</v>
      </c>
      <c r="L483" s="3" t="str">
        <f>IF(K483&lt;-5,"CRÍTICO",IF(K483&lt;0,"ATENÇÃO",IF(K483&lt;=5,"BOM","EXCELENTE")))</f>
        <v>EXCELENTE</v>
      </c>
    </row>
    <row r="484" spans="1:12" x14ac:dyDescent="0.25">
      <c r="A484" s="5">
        <v>46146</v>
      </c>
      <c r="B484" s="6" t="s">
        <v>51</v>
      </c>
      <c r="C484" s="3" t="s">
        <v>14</v>
      </c>
      <c r="D484" s="3">
        <v>27</v>
      </c>
      <c r="E484" s="3">
        <v>23</v>
      </c>
      <c r="G484" s="3">
        <v>4</v>
      </c>
      <c r="I484" s="3">
        <f>E484+G484+H484</f>
        <v>27</v>
      </c>
      <c r="J484" s="3" t="str">
        <f>IF(C484="Técnico III","35",IF(C484="Técnico II","28",IF(C484="Técnico I","23",IF(C484="JR","20",IF(C484="Estágio","10",)))))</f>
        <v>23</v>
      </c>
      <c r="K484" s="3">
        <f>I484-J484</f>
        <v>4</v>
      </c>
      <c r="L484" s="3" t="str">
        <f>IF(K484&lt;-5,"CRÍTICO",IF(K484&lt;0,"ATENÇÃO",IF(K484&lt;=5,"BOM","EXCELENTE")))</f>
        <v>BOM</v>
      </c>
    </row>
    <row r="485" spans="1:12" x14ac:dyDescent="0.25">
      <c r="A485" s="5">
        <v>46147</v>
      </c>
      <c r="B485" s="6" t="s">
        <v>51</v>
      </c>
      <c r="C485" s="3" t="s">
        <v>14</v>
      </c>
      <c r="D485" s="3">
        <v>31</v>
      </c>
      <c r="E485" s="3">
        <v>26</v>
      </c>
      <c r="G485" s="3">
        <v>10</v>
      </c>
      <c r="I485" s="3">
        <f>E485+G485+H485</f>
        <v>36</v>
      </c>
      <c r="J485" s="3" t="str">
        <f>IF(C485="Técnico III","35",IF(C485="Técnico II","28",IF(C485="Técnico I","23",IF(C485="JR","20",IF(C485="Estágio","10",)))))</f>
        <v>23</v>
      </c>
      <c r="K485" s="3">
        <f>I485-J485</f>
        <v>13</v>
      </c>
      <c r="L485" s="3" t="str">
        <f>IF(K485&lt;-5,"CRÍTICO",IF(K485&lt;0,"ATENÇÃO",IF(K485&lt;=5,"BOM","EXCELENTE")))</f>
        <v>EXCELENTE</v>
      </c>
    </row>
    <row r="486" spans="1:12" x14ac:dyDescent="0.25">
      <c r="A486" s="5">
        <v>46148</v>
      </c>
      <c r="B486" s="6" t="s">
        <v>51</v>
      </c>
      <c r="C486" s="3" t="s">
        <v>14</v>
      </c>
      <c r="D486" s="3">
        <v>34</v>
      </c>
      <c r="E486" s="3">
        <v>30</v>
      </c>
      <c r="G486" s="3">
        <v>5</v>
      </c>
      <c r="I486" s="3">
        <f>E486+G486+H486</f>
        <v>35</v>
      </c>
      <c r="J486" s="3" t="str">
        <f>IF(C486="Técnico III","35",IF(C486="Técnico II","28",IF(C486="Técnico I","23",IF(C486="JR","20",IF(C486="Estágio","10",)))))</f>
        <v>23</v>
      </c>
      <c r="K486" s="3">
        <f>I486-J486</f>
        <v>12</v>
      </c>
      <c r="L486" s="3" t="str">
        <f>IF(K486&lt;-5,"CRÍTICO",IF(K486&lt;0,"ATENÇÃO",IF(K486&lt;=5,"BOM","EXCELENTE")))</f>
        <v>EXCELENTE</v>
      </c>
    </row>
    <row r="487" spans="1:12" x14ac:dyDescent="0.25">
      <c r="A487" s="5">
        <v>46149</v>
      </c>
      <c r="B487" s="6" t="s">
        <v>51</v>
      </c>
      <c r="C487" s="3" t="s">
        <v>14</v>
      </c>
      <c r="D487" s="3">
        <v>31</v>
      </c>
      <c r="E487" s="3">
        <v>26</v>
      </c>
      <c r="G487" s="3">
        <v>14</v>
      </c>
      <c r="I487" s="3">
        <f>E487+G487+H487</f>
        <v>40</v>
      </c>
      <c r="J487" s="3" t="str">
        <f>IF(C487="Técnico III","35",IF(C487="Técnico II","28",IF(C487="Técnico I","23",IF(C487="JR","20",IF(C487="Estágio","10",)))))</f>
        <v>23</v>
      </c>
      <c r="K487" s="3">
        <f>I487-J487</f>
        <v>17</v>
      </c>
      <c r="L487" s="3" t="str">
        <f>IF(K487&lt;-5,"CRÍTICO",IF(K487&lt;0,"ATENÇÃO",IF(K487&lt;=5,"BOM","EXCELENTE")))</f>
        <v>EXCELENTE</v>
      </c>
    </row>
    <row r="488" spans="1:12" x14ac:dyDescent="0.25">
      <c r="A488" s="5">
        <v>46150</v>
      </c>
      <c r="B488" s="6" t="s">
        <v>51</v>
      </c>
      <c r="C488" s="3" t="s">
        <v>14</v>
      </c>
      <c r="D488" s="3">
        <v>39</v>
      </c>
      <c r="E488" s="3">
        <v>34</v>
      </c>
      <c r="G488" s="3">
        <v>2</v>
      </c>
      <c r="H488" s="3">
        <v>0</v>
      </c>
      <c r="I488" s="3">
        <f>E488+G488+H488</f>
        <v>36</v>
      </c>
      <c r="J488" s="3" t="str">
        <f>IF(C488="Técnico III","35",IF(C488="Técnico II","28",IF(C488="Técnico I","23",IF(C488="JR","20",IF(C488="Estágio","10",)))))</f>
        <v>23</v>
      </c>
      <c r="K488" s="3">
        <f>I488-J488</f>
        <v>13</v>
      </c>
      <c r="L488" s="3" t="str">
        <f>IF(K488&lt;-5,"CRÍTICO",IF(K488&lt;0,"ATENÇÃO",IF(K488&lt;=5,"BOM","EXCELENTE")))</f>
        <v>EXCELENTE</v>
      </c>
    </row>
    <row r="489" spans="1:12" x14ac:dyDescent="0.25">
      <c r="A489" s="5">
        <v>46153</v>
      </c>
      <c r="B489" s="6" t="s">
        <v>51</v>
      </c>
      <c r="C489" s="3" t="s">
        <v>14</v>
      </c>
      <c r="D489" s="3">
        <v>29</v>
      </c>
      <c r="E489" s="3">
        <v>25</v>
      </c>
      <c r="G489" s="3">
        <v>6</v>
      </c>
      <c r="I489" s="3">
        <f>E489+G489+H489</f>
        <v>31</v>
      </c>
      <c r="J489" s="3" t="str">
        <f>IF(C489="Técnico III","35",IF(C489="Técnico II","28",IF(C489="Técnico I","23",IF(C489="JR","20",IF(C489="Estágio","10",)))))</f>
        <v>23</v>
      </c>
      <c r="K489" s="3">
        <f>I489-J489</f>
        <v>8</v>
      </c>
      <c r="L489" s="3" t="str">
        <f>IF(K489&lt;-5,"CRÍTICO",IF(K489&lt;0,"ATENÇÃO",IF(K489&lt;=5,"BOM","EXCELENTE")))</f>
        <v>EXCELENTE</v>
      </c>
    </row>
    <row r="490" spans="1:12" x14ac:dyDescent="0.25">
      <c r="A490" s="5">
        <v>46154</v>
      </c>
      <c r="B490" s="6" t="s">
        <v>51</v>
      </c>
      <c r="C490" s="3" t="s">
        <v>14</v>
      </c>
      <c r="D490" s="3">
        <v>27</v>
      </c>
      <c r="E490" s="3">
        <v>26</v>
      </c>
      <c r="G490" s="3">
        <v>1</v>
      </c>
      <c r="I490" s="3">
        <f>E490+G490+H490</f>
        <v>27</v>
      </c>
      <c r="J490" s="3" t="str">
        <f>IF(C490="Técnico III","35",IF(C490="Técnico II","28",IF(C490="Técnico I","23",IF(C490="JR","20",IF(C490="Estágio","10",)))))</f>
        <v>23</v>
      </c>
      <c r="K490" s="3">
        <f>I490-J490</f>
        <v>4</v>
      </c>
      <c r="L490" s="3" t="str">
        <f>IF(K490&lt;-5,"CRÍTICO",IF(K490&lt;0,"ATENÇÃO",IF(K490&lt;=5,"BOM","EXCELENTE")))</f>
        <v>BOM</v>
      </c>
    </row>
    <row r="491" spans="1:12" x14ac:dyDescent="0.25">
      <c r="A491" s="5">
        <v>46155</v>
      </c>
      <c r="B491" s="6" t="s">
        <v>51</v>
      </c>
      <c r="C491" s="3" t="s">
        <v>14</v>
      </c>
      <c r="D491" s="3">
        <v>33</v>
      </c>
      <c r="E491" s="3">
        <v>31</v>
      </c>
      <c r="G491" s="3">
        <v>7</v>
      </c>
      <c r="I491" s="3">
        <f>E491+G491+H491</f>
        <v>38</v>
      </c>
      <c r="J491" s="3" t="str">
        <f>IF(C491="Técnico III","35",IF(C491="Técnico II","28",IF(C491="Técnico I","23",IF(C491="JR","20",IF(C491="Estágio","10",)))))</f>
        <v>23</v>
      </c>
      <c r="K491" s="3">
        <f>I491-J491</f>
        <v>15</v>
      </c>
      <c r="L491" s="3" t="str">
        <f>IF(K491&lt;-5,"CRÍTICO",IF(K491&lt;0,"ATENÇÃO",IF(K491&lt;=5,"BOM","EXCELENTE")))</f>
        <v>EXCELENTE</v>
      </c>
    </row>
    <row r="492" spans="1:12" x14ac:dyDescent="0.25">
      <c r="A492" s="5">
        <v>46156</v>
      </c>
      <c r="B492" s="6" t="s">
        <v>51</v>
      </c>
      <c r="C492" s="3" t="s">
        <v>14</v>
      </c>
      <c r="D492" s="3">
        <v>26</v>
      </c>
      <c r="E492" s="3">
        <v>25</v>
      </c>
      <c r="G492" s="3">
        <v>1</v>
      </c>
      <c r="H492" s="3">
        <v>0</v>
      </c>
      <c r="I492" s="3">
        <f>E492+G492+H492</f>
        <v>26</v>
      </c>
      <c r="J492" s="3" t="str">
        <f>IF(C492="Técnico III","35",IF(C492="Técnico II","28",IF(C492="Técnico I","23",IF(C492="JR","20",IF(C492="Estágio","10",)))))</f>
        <v>23</v>
      </c>
      <c r="K492" s="3">
        <f>I492-J492</f>
        <v>3</v>
      </c>
      <c r="L492" s="3" t="str">
        <f>IF(K492&lt;-5,"CRÍTICO",IF(K492&lt;0,"ATENÇÃO",IF(K492&lt;=5,"BOM","EXCELENTE")))</f>
        <v>BOM</v>
      </c>
    </row>
    <row r="493" spans="1:12" x14ac:dyDescent="0.25">
      <c r="A493" s="5">
        <v>46157</v>
      </c>
      <c r="B493" s="6" t="s">
        <v>51</v>
      </c>
      <c r="C493" s="3" t="s">
        <v>14</v>
      </c>
      <c r="D493" s="3">
        <v>28</v>
      </c>
      <c r="E493" s="3">
        <v>25</v>
      </c>
      <c r="G493" s="3">
        <v>5</v>
      </c>
      <c r="H493" s="3">
        <v>0</v>
      </c>
      <c r="I493" s="3">
        <f>E493+G493+H493</f>
        <v>30</v>
      </c>
      <c r="J493" s="3" t="str">
        <f>IF(C493="Técnico III","35",IF(C493="Técnico II","28",IF(C493="Técnico I","23",IF(C493="JR","20",IF(C493="Estágio","10",)))))</f>
        <v>23</v>
      </c>
      <c r="K493" s="3">
        <f>I493-J493</f>
        <v>7</v>
      </c>
      <c r="L493" s="3" t="str">
        <f>IF(K493&lt;-5,"CRÍTICO",IF(K493&lt;0,"ATENÇÃO",IF(K493&lt;=5,"BOM","EXCELENTE")))</f>
        <v>EXCELENTE</v>
      </c>
    </row>
    <row r="494" spans="1:12" x14ac:dyDescent="0.25">
      <c r="A494" s="5">
        <v>46160</v>
      </c>
      <c r="B494" s="6" t="s">
        <v>51</v>
      </c>
      <c r="C494" s="3" t="s">
        <v>14</v>
      </c>
      <c r="D494" s="3">
        <v>28</v>
      </c>
      <c r="E494" s="3">
        <v>25</v>
      </c>
      <c r="G494" s="3">
        <v>1</v>
      </c>
      <c r="H494" s="3">
        <v>0</v>
      </c>
      <c r="I494" s="3">
        <f>E494+G494+H494</f>
        <v>26</v>
      </c>
      <c r="J494" s="3" t="str">
        <f>IF(C494="Técnico III","35",IF(C494="Técnico II","28",IF(C494="Técnico I","23",IF(C494="JR","20",IF(C494="Estágio","10",)))))</f>
        <v>23</v>
      </c>
      <c r="K494" s="3">
        <f>I494-J494</f>
        <v>3</v>
      </c>
      <c r="L494" s="3" t="str">
        <f>IF(K494&lt;-5,"CRÍTICO",IF(K494&lt;0,"ATENÇÃO",IF(K494&lt;=5,"BOM","EXCELENTE")))</f>
        <v>BOM</v>
      </c>
    </row>
    <row r="495" spans="1:12" x14ac:dyDescent="0.25">
      <c r="A495" s="7">
        <v>46161</v>
      </c>
      <c r="B495" s="8" t="s">
        <v>52</v>
      </c>
      <c r="C495" s="9" t="s">
        <v>12</v>
      </c>
      <c r="D495" s="3">
        <v>39</v>
      </c>
      <c r="E495" s="3">
        <v>35</v>
      </c>
      <c r="G495" s="3">
        <v>3</v>
      </c>
      <c r="H495" s="3">
        <v>0</v>
      </c>
      <c r="I495" s="3">
        <f>E495+G495+H495</f>
        <v>38</v>
      </c>
      <c r="J495" s="3" t="str">
        <f>IF(C495="Técnico III","35",IF(C495="Técnico II","28",IF(C495="Técnico I","23",IF(C495="JR","20",IF(C495="Estágio","10",)))))</f>
        <v>35</v>
      </c>
      <c r="K495" s="3">
        <f>I495-J495</f>
        <v>3</v>
      </c>
      <c r="L495" s="3" t="str">
        <f>IF(K495&lt;-5,"CRÍTICO",IF(K495&lt;0,"ATENÇÃO",IF(K495&lt;=5,"BOM","EXCELENTE")))</f>
        <v>BOM</v>
      </c>
    </row>
    <row r="496" spans="1:12" x14ac:dyDescent="0.25">
      <c r="A496" s="5">
        <v>46146</v>
      </c>
      <c r="B496" s="6" t="s">
        <v>52</v>
      </c>
      <c r="C496" s="3" t="s">
        <v>12</v>
      </c>
      <c r="D496" s="3">
        <v>50</v>
      </c>
      <c r="E496" s="3">
        <v>46</v>
      </c>
      <c r="G496" s="3">
        <v>1</v>
      </c>
      <c r="I496" s="3">
        <f>E496+G496+H496</f>
        <v>47</v>
      </c>
      <c r="J496" s="3" t="str">
        <f>IF(C496="Técnico III","35",IF(C496="Técnico II","28",IF(C496="Técnico I","23",IF(C496="JR","20",IF(C496="Estágio","10",)))))</f>
        <v>35</v>
      </c>
      <c r="K496" s="3">
        <f>I496-J496</f>
        <v>12</v>
      </c>
      <c r="L496" s="3" t="str">
        <f>IF(K496&lt;-5,"CRÍTICO",IF(K496&lt;0,"ATENÇÃO",IF(K496&lt;=5,"BOM","EXCELENTE")))</f>
        <v>EXCELENTE</v>
      </c>
    </row>
    <row r="497" spans="1:12" x14ac:dyDescent="0.25">
      <c r="A497" s="5">
        <v>46147</v>
      </c>
      <c r="B497" s="6" t="s">
        <v>52</v>
      </c>
      <c r="C497" s="3" t="s">
        <v>12</v>
      </c>
      <c r="D497" s="3">
        <v>49</v>
      </c>
      <c r="E497" s="3">
        <v>45</v>
      </c>
      <c r="G497" s="3">
        <v>9</v>
      </c>
      <c r="I497" s="3">
        <f>E497+G497+H497</f>
        <v>54</v>
      </c>
      <c r="J497" s="3" t="str">
        <f>IF(C497="Técnico III","35",IF(C497="Técnico II","28",IF(C497="Técnico I","23",IF(C497="JR","20",IF(C497="Estágio","10",)))))</f>
        <v>35</v>
      </c>
      <c r="K497" s="3">
        <f>I497-J497</f>
        <v>19</v>
      </c>
      <c r="L497" s="3" t="str">
        <f>IF(K497&lt;-5,"CRÍTICO",IF(K497&lt;0,"ATENÇÃO",IF(K497&lt;=5,"BOM","EXCELENTE")))</f>
        <v>EXCELENTE</v>
      </c>
    </row>
    <row r="498" spans="1:12" x14ac:dyDescent="0.25">
      <c r="A498" s="5">
        <v>46148</v>
      </c>
      <c r="B498" s="6" t="s">
        <v>52</v>
      </c>
      <c r="C498" s="3" t="s">
        <v>12</v>
      </c>
      <c r="D498" s="3">
        <v>57</v>
      </c>
      <c r="E498" s="3">
        <v>51</v>
      </c>
      <c r="G498" s="3">
        <v>1</v>
      </c>
      <c r="I498" s="3">
        <f>E498+G498+H498</f>
        <v>52</v>
      </c>
      <c r="J498" s="3" t="str">
        <f>IF(C498="Técnico III","35",IF(C498="Técnico II","28",IF(C498="Técnico I","23",IF(C498="JR","20",IF(C498="Estágio","10",)))))</f>
        <v>35</v>
      </c>
      <c r="K498" s="3">
        <f>I498-J498</f>
        <v>17</v>
      </c>
      <c r="L498" s="3" t="str">
        <f>IF(K498&lt;-5,"CRÍTICO",IF(K498&lt;0,"ATENÇÃO",IF(K498&lt;=5,"BOM","EXCELENTE")))</f>
        <v>EXCELENTE</v>
      </c>
    </row>
    <row r="499" spans="1:12" x14ac:dyDescent="0.25">
      <c r="A499" s="5">
        <v>46149</v>
      </c>
      <c r="B499" s="6" t="s">
        <v>52</v>
      </c>
      <c r="C499" s="3" t="s">
        <v>12</v>
      </c>
      <c r="D499" s="3">
        <v>35</v>
      </c>
      <c r="E499" s="3">
        <v>30</v>
      </c>
      <c r="G499" s="3">
        <v>8</v>
      </c>
      <c r="I499" s="3">
        <f>E499+G499+H499</f>
        <v>38</v>
      </c>
      <c r="J499" s="3" t="str">
        <f>IF(C499="Técnico III","35",IF(C499="Técnico II","28",IF(C499="Técnico I","23",IF(C499="JR","20",IF(C499="Estágio","10",)))))</f>
        <v>35</v>
      </c>
      <c r="K499" s="3">
        <f>I499-J499</f>
        <v>3</v>
      </c>
      <c r="L499" s="3" t="str">
        <f>IF(K499&lt;-5,"CRÍTICO",IF(K499&lt;0,"ATENÇÃO",IF(K499&lt;=5,"BOM","EXCELENTE")))</f>
        <v>BOM</v>
      </c>
    </row>
    <row r="500" spans="1:12" x14ac:dyDescent="0.25">
      <c r="A500" s="5">
        <v>46150</v>
      </c>
      <c r="B500" s="6" t="s">
        <v>52</v>
      </c>
      <c r="C500" s="3" t="s">
        <v>12</v>
      </c>
      <c r="D500" s="3">
        <v>44</v>
      </c>
      <c r="E500" s="3">
        <v>38</v>
      </c>
      <c r="G500" s="3">
        <v>0</v>
      </c>
      <c r="H500" s="3">
        <v>0</v>
      </c>
      <c r="I500" s="3">
        <f>E500+G500+H500</f>
        <v>38</v>
      </c>
      <c r="J500" s="3" t="str">
        <f>IF(C500="Técnico III","35",IF(C500="Técnico II","28",IF(C500="Técnico I","23",IF(C500="JR","20",IF(C500="Estágio","10",)))))</f>
        <v>35</v>
      </c>
      <c r="K500" s="3">
        <f>I500-J500</f>
        <v>3</v>
      </c>
      <c r="L500" s="3" t="str">
        <f>IF(K500&lt;-5,"CRÍTICO",IF(K500&lt;0,"ATENÇÃO",IF(K500&lt;=5,"BOM","EXCELENTE")))</f>
        <v>BOM</v>
      </c>
    </row>
    <row r="501" spans="1:12" x14ac:dyDescent="0.25">
      <c r="A501" s="5">
        <v>46153</v>
      </c>
      <c r="B501" s="6" t="s">
        <v>52</v>
      </c>
      <c r="C501" s="3" t="s">
        <v>12</v>
      </c>
      <c r="D501" s="3">
        <v>23</v>
      </c>
      <c r="E501" s="3">
        <v>21</v>
      </c>
      <c r="G501" s="3">
        <v>2</v>
      </c>
      <c r="I501" s="3">
        <f>E501+G501+H501</f>
        <v>23</v>
      </c>
      <c r="J501" s="3" t="str">
        <f>IF(C501="Técnico III","35",IF(C501="Técnico II","28",IF(C501="Técnico I","23",IF(C501="JR","20",IF(C501="Estágio","10",)))))</f>
        <v>35</v>
      </c>
      <c r="K501" s="3">
        <f>I501-J501</f>
        <v>-12</v>
      </c>
      <c r="L501" s="3" t="str">
        <f>IF(K501&lt;-5,"CRÍTICO",IF(K501&lt;0,"ATENÇÃO",IF(K501&lt;=5,"BOM","EXCELENTE")))</f>
        <v>CRÍTICO</v>
      </c>
    </row>
    <row r="502" spans="1:12" x14ac:dyDescent="0.25">
      <c r="A502" s="5">
        <v>46154</v>
      </c>
      <c r="B502" s="6" t="s">
        <v>52</v>
      </c>
      <c r="C502" s="3" t="s">
        <v>12</v>
      </c>
      <c r="D502" s="3">
        <v>33</v>
      </c>
      <c r="E502" s="3">
        <v>28</v>
      </c>
      <c r="G502" s="3">
        <v>1</v>
      </c>
      <c r="I502" s="3">
        <f>E502+G502+H502</f>
        <v>29</v>
      </c>
      <c r="J502" s="3" t="str">
        <f>IF(C502="Técnico III","35",IF(C502="Técnico II","28",IF(C502="Técnico I","23",IF(C502="JR","20",IF(C502="Estágio","10",)))))</f>
        <v>35</v>
      </c>
      <c r="K502" s="3">
        <f>I502-J502</f>
        <v>-6</v>
      </c>
      <c r="L502" s="3" t="str">
        <f>IF(K502&lt;-5,"CRÍTICO",IF(K502&lt;0,"ATENÇÃO",IF(K502&lt;=5,"BOM","EXCELENTE")))</f>
        <v>CRÍTICO</v>
      </c>
    </row>
    <row r="503" spans="1:12" x14ac:dyDescent="0.25">
      <c r="A503" s="5">
        <v>46155</v>
      </c>
      <c r="B503" s="6" t="s">
        <v>52</v>
      </c>
      <c r="C503" s="3" t="s">
        <v>12</v>
      </c>
      <c r="D503" s="3">
        <v>36</v>
      </c>
      <c r="E503" s="3">
        <v>32</v>
      </c>
      <c r="G503" s="3">
        <v>5</v>
      </c>
      <c r="I503" s="3">
        <f>E503+G503+H503</f>
        <v>37</v>
      </c>
      <c r="J503" s="3" t="str">
        <f>IF(C503="Técnico III","35",IF(C503="Técnico II","28",IF(C503="Técnico I","23",IF(C503="JR","20",IF(C503="Estágio","10",)))))</f>
        <v>35</v>
      </c>
      <c r="K503" s="3">
        <f>I503-J503</f>
        <v>2</v>
      </c>
      <c r="L503" s="3" t="str">
        <f>IF(K503&lt;-5,"CRÍTICO",IF(K503&lt;0,"ATENÇÃO",IF(K503&lt;=5,"BOM","EXCELENTE")))</f>
        <v>BOM</v>
      </c>
    </row>
    <row r="504" spans="1:12" x14ac:dyDescent="0.25">
      <c r="A504" s="5">
        <v>46156</v>
      </c>
      <c r="B504" s="6" t="s">
        <v>52</v>
      </c>
      <c r="C504" s="3" t="s">
        <v>12</v>
      </c>
      <c r="D504" s="3">
        <v>38</v>
      </c>
      <c r="E504" s="3">
        <v>37</v>
      </c>
      <c r="G504" s="3">
        <v>0</v>
      </c>
      <c r="H504" s="3">
        <v>0</v>
      </c>
      <c r="I504" s="3">
        <f>E504+G504+H504</f>
        <v>37</v>
      </c>
      <c r="J504" s="3" t="str">
        <f>IF(C504="Técnico III","35",IF(C504="Técnico II","28",IF(C504="Técnico I","23",IF(C504="JR","20",IF(C504="Estágio","10",)))))</f>
        <v>35</v>
      </c>
      <c r="K504" s="3">
        <f>I504-J504</f>
        <v>2</v>
      </c>
      <c r="L504" s="3" t="str">
        <f>IF(K504&lt;-5,"CRÍTICO",IF(K504&lt;0,"ATENÇÃO",IF(K504&lt;=5,"BOM","EXCELENTE")))</f>
        <v>BOM</v>
      </c>
    </row>
    <row r="505" spans="1:12" x14ac:dyDescent="0.25">
      <c r="A505" s="5">
        <v>46157</v>
      </c>
      <c r="B505" s="6" t="s">
        <v>52</v>
      </c>
      <c r="C505" s="3" t="s">
        <v>12</v>
      </c>
      <c r="D505" s="3">
        <v>31</v>
      </c>
      <c r="E505" s="3">
        <v>29</v>
      </c>
      <c r="G505" s="3">
        <v>2</v>
      </c>
      <c r="H505" s="3">
        <v>0</v>
      </c>
      <c r="I505" s="3">
        <f>E505+G505+H505</f>
        <v>31</v>
      </c>
      <c r="J505" s="3" t="str">
        <f>IF(C505="Técnico III","35",IF(C505="Técnico II","28",IF(C505="Técnico I","23",IF(C505="JR","20",IF(C505="Estágio","10",)))))</f>
        <v>35</v>
      </c>
      <c r="K505" s="3">
        <f>I505-J505</f>
        <v>-4</v>
      </c>
      <c r="L505" s="3" t="str">
        <f>IF(K505&lt;-5,"CRÍTICO",IF(K505&lt;0,"ATENÇÃO",IF(K505&lt;=5,"BOM","EXCELENTE")))</f>
        <v>ATENÇÃO</v>
      </c>
    </row>
    <row r="506" spans="1:12" x14ac:dyDescent="0.25">
      <c r="A506" s="5">
        <v>46160</v>
      </c>
      <c r="B506" s="6" t="s">
        <v>52</v>
      </c>
      <c r="C506" s="3" t="s">
        <v>12</v>
      </c>
      <c r="D506" s="3">
        <v>34</v>
      </c>
      <c r="E506" s="3">
        <v>28</v>
      </c>
      <c r="G506" s="3">
        <v>3</v>
      </c>
      <c r="H506" s="3">
        <v>0</v>
      </c>
      <c r="I506" s="3">
        <f>E506+G506+H506</f>
        <v>31</v>
      </c>
      <c r="J506" s="3" t="str">
        <f>IF(C506="Técnico III","35",IF(C506="Técnico II","28",IF(C506="Técnico I","23",IF(C506="JR","20",IF(C506="Estágio","10",)))))</f>
        <v>35</v>
      </c>
      <c r="K506" s="3">
        <f>I506-J506</f>
        <v>-4</v>
      </c>
      <c r="L506" s="3" t="str">
        <f>IF(K506&lt;-5,"CRÍTICO",IF(K506&lt;0,"ATENÇÃO",IF(K506&lt;=5,"BOM","EXCELENTE")))</f>
        <v>ATENÇÃO</v>
      </c>
    </row>
    <row r="507" spans="1:12" x14ac:dyDescent="0.25">
      <c r="A507" s="7">
        <v>46161</v>
      </c>
      <c r="B507" s="8" t="s">
        <v>53</v>
      </c>
      <c r="C507" s="9" t="s">
        <v>14</v>
      </c>
      <c r="D507" s="3">
        <v>18</v>
      </c>
      <c r="E507" s="3">
        <v>18</v>
      </c>
      <c r="G507" s="3">
        <v>0</v>
      </c>
      <c r="H507" s="3">
        <v>0</v>
      </c>
      <c r="I507" s="3">
        <f>E507+G507+H507</f>
        <v>18</v>
      </c>
      <c r="J507" s="3" t="str">
        <f>IF(C507="Técnico III","35",IF(C507="Técnico II","28",IF(C507="Técnico I","23",IF(C507="JR","20",IF(C507="Estágio","10",)))))</f>
        <v>23</v>
      </c>
      <c r="K507" s="3">
        <f>I507-J507</f>
        <v>-5</v>
      </c>
      <c r="L507" s="3" t="str">
        <f>IF(K507&lt;-5,"CRÍTICO",IF(K507&lt;0,"ATENÇÃO",IF(K507&lt;=5,"BOM","EXCELENTE")))</f>
        <v>ATENÇÃO</v>
      </c>
    </row>
    <row r="508" spans="1:12" x14ac:dyDescent="0.25">
      <c r="A508" s="5">
        <v>46146</v>
      </c>
      <c r="B508" s="6" t="s">
        <v>53</v>
      </c>
      <c r="C508" s="3" t="s">
        <v>14</v>
      </c>
      <c r="D508" s="3">
        <v>20</v>
      </c>
      <c r="E508" s="3">
        <v>20</v>
      </c>
      <c r="G508" s="3">
        <v>0</v>
      </c>
      <c r="I508" s="3">
        <f>E508+G508+H508</f>
        <v>20</v>
      </c>
      <c r="J508" s="3" t="str">
        <f>IF(C508="Técnico III","35",IF(C508="Técnico II","28",IF(C508="Técnico I","23",IF(C508="JR","20",IF(C508="Estágio","10",)))))</f>
        <v>23</v>
      </c>
      <c r="K508" s="3">
        <f>I508-J508</f>
        <v>-3</v>
      </c>
      <c r="L508" s="3" t="str">
        <f>IF(K508&lt;-5,"CRÍTICO",IF(K508&lt;0,"ATENÇÃO",IF(K508&lt;=5,"BOM","EXCELENTE")))</f>
        <v>ATENÇÃO</v>
      </c>
    </row>
    <row r="509" spans="1:12" x14ac:dyDescent="0.25">
      <c r="A509" s="5">
        <v>46147</v>
      </c>
      <c r="B509" s="6" t="s">
        <v>53</v>
      </c>
      <c r="C509" s="3" t="s">
        <v>14</v>
      </c>
      <c r="D509" s="3">
        <v>14</v>
      </c>
      <c r="E509" s="3">
        <v>14</v>
      </c>
      <c r="G509" s="3">
        <v>3</v>
      </c>
      <c r="I509" s="3">
        <f>E509+G509+H509</f>
        <v>17</v>
      </c>
      <c r="J509" s="3" t="str">
        <f>IF(C509="Técnico III","35",IF(C509="Técnico II","28",IF(C509="Técnico I","23",IF(C509="JR","20",IF(C509="Estágio","10",)))))</f>
        <v>23</v>
      </c>
      <c r="K509" s="3">
        <f>I509-J509</f>
        <v>-6</v>
      </c>
      <c r="L509" s="3" t="str">
        <f>IF(K509&lt;-5,"CRÍTICO",IF(K509&lt;0,"ATENÇÃO",IF(K509&lt;=5,"BOM","EXCELENTE")))</f>
        <v>CRÍTICO</v>
      </c>
    </row>
    <row r="510" spans="1:12" x14ac:dyDescent="0.25">
      <c r="A510" s="5">
        <v>46148</v>
      </c>
      <c r="B510" s="6" t="s">
        <v>53</v>
      </c>
      <c r="C510" s="3" t="s">
        <v>14</v>
      </c>
      <c r="D510" s="3">
        <v>19</v>
      </c>
      <c r="E510" s="3">
        <v>18</v>
      </c>
      <c r="G510" s="3">
        <v>1</v>
      </c>
      <c r="I510" s="3">
        <f>E510+G510+H510</f>
        <v>19</v>
      </c>
      <c r="J510" s="3" t="str">
        <f>IF(C510="Técnico III","35",IF(C510="Técnico II","28",IF(C510="Técnico I","23",IF(C510="JR","20",IF(C510="Estágio","10",)))))</f>
        <v>23</v>
      </c>
      <c r="K510" s="3">
        <f>I510-J510</f>
        <v>-4</v>
      </c>
      <c r="L510" s="3" t="str">
        <f>IF(K510&lt;-5,"CRÍTICO",IF(K510&lt;0,"ATENÇÃO",IF(K510&lt;=5,"BOM","EXCELENTE")))</f>
        <v>ATENÇÃO</v>
      </c>
    </row>
    <row r="511" spans="1:12" x14ac:dyDescent="0.25">
      <c r="A511" s="5">
        <v>46149</v>
      </c>
      <c r="B511" s="6" t="s">
        <v>53</v>
      </c>
      <c r="C511" s="3" t="s">
        <v>14</v>
      </c>
      <c r="D511" s="3">
        <v>14</v>
      </c>
      <c r="E511" s="3">
        <v>14</v>
      </c>
      <c r="G511" s="3">
        <v>6</v>
      </c>
      <c r="I511" s="3">
        <f>E511+G511+H511</f>
        <v>20</v>
      </c>
      <c r="J511" s="3" t="str">
        <f>IF(C511="Técnico III","35",IF(C511="Técnico II","28",IF(C511="Técnico I","23",IF(C511="JR","20",IF(C511="Estágio","10",)))))</f>
        <v>23</v>
      </c>
      <c r="K511" s="3">
        <f>I511-J511</f>
        <v>-3</v>
      </c>
      <c r="L511" s="3" t="str">
        <f>IF(K511&lt;-5,"CRÍTICO",IF(K511&lt;0,"ATENÇÃO",IF(K511&lt;=5,"BOM","EXCELENTE")))</f>
        <v>ATENÇÃO</v>
      </c>
    </row>
    <row r="512" spans="1:12" x14ac:dyDescent="0.25">
      <c r="A512" s="5">
        <v>46150</v>
      </c>
      <c r="B512" s="6" t="s">
        <v>53</v>
      </c>
      <c r="C512" s="3" t="s">
        <v>14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 t="str">
        <f>IF(K512&lt;-5,"CRÍTICO",IF(K512&lt;0,"ATENÇÃO",IF(K512&lt;=5,"BOM","EXCELENTE")))</f>
        <v>BOM</v>
      </c>
    </row>
    <row r="513" spans="1:12" x14ac:dyDescent="0.25">
      <c r="A513" s="5">
        <v>46153</v>
      </c>
      <c r="B513" s="6" t="s">
        <v>53</v>
      </c>
      <c r="C513" s="3" t="s">
        <v>14</v>
      </c>
      <c r="D513" s="3">
        <v>16</v>
      </c>
      <c r="E513" s="3">
        <v>16</v>
      </c>
      <c r="G513" s="3">
        <v>1</v>
      </c>
      <c r="I513" s="3">
        <f>E513+G513+H513</f>
        <v>17</v>
      </c>
      <c r="J513" s="3" t="str">
        <f>IF(C513="Técnico III","35",IF(C513="Técnico II","28",IF(C513="Técnico I","23",IF(C513="JR","20",IF(C513="Estágio","10",)))))</f>
        <v>23</v>
      </c>
      <c r="K513" s="3">
        <f>I513-J513</f>
        <v>-6</v>
      </c>
      <c r="L513" s="3" t="str">
        <f>IF(K513&lt;-5,"CRÍTICO",IF(K513&lt;0,"ATENÇÃO",IF(K513&lt;=5,"BOM","EXCELENTE")))</f>
        <v>CRÍTICO</v>
      </c>
    </row>
    <row r="514" spans="1:12" x14ac:dyDescent="0.25">
      <c r="A514" s="5">
        <v>46154</v>
      </c>
      <c r="B514" s="6" t="s">
        <v>53</v>
      </c>
      <c r="C514" s="3" t="s">
        <v>14</v>
      </c>
      <c r="D514" s="3">
        <v>19</v>
      </c>
      <c r="E514" s="3">
        <v>19</v>
      </c>
      <c r="I514" s="3">
        <f>E514+G514+H514</f>
        <v>19</v>
      </c>
      <c r="J514" s="3" t="str">
        <f>IF(C514="Técnico III","35",IF(C514="Técnico II","28",IF(C514="Técnico I","23",IF(C514="JR","20",IF(C514="Estágio","10",)))))</f>
        <v>23</v>
      </c>
      <c r="K514" s="3">
        <f>I514-J514</f>
        <v>-4</v>
      </c>
      <c r="L514" s="3" t="str">
        <f>IF(K514&lt;-5,"CRÍTICO",IF(K514&lt;0,"ATENÇÃO",IF(K514&lt;=5,"BOM","EXCELENTE")))</f>
        <v>ATENÇÃO</v>
      </c>
    </row>
    <row r="515" spans="1:12" x14ac:dyDescent="0.25">
      <c r="A515" s="5">
        <v>46155</v>
      </c>
      <c r="B515" s="6" t="s">
        <v>53</v>
      </c>
      <c r="C515" s="3" t="s">
        <v>14</v>
      </c>
      <c r="D515" s="3">
        <v>11</v>
      </c>
      <c r="E515" s="3">
        <v>10</v>
      </c>
      <c r="G515" s="3">
        <v>5</v>
      </c>
      <c r="I515" s="3">
        <f>E515+G515+H515</f>
        <v>15</v>
      </c>
      <c r="J515" s="3" t="str">
        <f>IF(C515="Técnico III","35",IF(C515="Técnico II","28",IF(C515="Técnico I","23",IF(C515="JR","20",IF(C515="Estágio","10",)))))</f>
        <v>23</v>
      </c>
      <c r="K515" s="3">
        <f>I515-J515</f>
        <v>-8</v>
      </c>
      <c r="L515" s="3" t="str">
        <f>IF(K515&lt;-5,"CRÍTICO",IF(K515&lt;0,"ATENÇÃO",IF(K515&lt;=5,"BOM","EXCELENTE")))</f>
        <v>CRÍTICO</v>
      </c>
    </row>
    <row r="516" spans="1:12" x14ac:dyDescent="0.25">
      <c r="A516" s="5">
        <v>46156</v>
      </c>
      <c r="B516" s="6" t="s">
        <v>53</v>
      </c>
      <c r="C516" s="3" t="s">
        <v>14</v>
      </c>
      <c r="D516" s="3">
        <v>20</v>
      </c>
      <c r="E516" s="3">
        <v>19</v>
      </c>
      <c r="G516" s="3">
        <v>0</v>
      </c>
      <c r="H516" s="3">
        <v>0</v>
      </c>
      <c r="I516" s="3">
        <f>E516+G516+H516</f>
        <v>19</v>
      </c>
      <c r="J516" s="3" t="str">
        <f>IF(C516="Técnico III","35",IF(C516="Técnico II","28",IF(C516="Técnico I","23",IF(C516="JR","20",IF(C516="Estágio","10",)))))</f>
        <v>23</v>
      </c>
      <c r="K516" s="3">
        <f>I516-J516</f>
        <v>-4</v>
      </c>
      <c r="L516" s="3" t="str">
        <f>IF(K516&lt;-5,"CRÍTICO",IF(K516&lt;0,"ATENÇÃO",IF(K516&lt;=5,"BOM","EXCELENTE")))</f>
        <v>ATENÇÃO</v>
      </c>
    </row>
    <row r="517" spans="1:12" x14ac:dyDescent="0.25">
      <c r="A517" s="5">
        <v>46157</v>
      </c>
      <c r="B517" s="6" t="s">
        <v>53</v>
      </c>
      <c r="C517" s="3" t="s">
        <v>14</v>
      </c>
      <c r="D517" s="3">
        <v>18</v>
      </c>
      <c r="E517" s="3">
        <v>17</v>
      </c>
      <c r="G517" s="3">
        <v>3</v>
      </c>
      <c r="H517" s="3">
        <v>0</v>
      </c>
      <c r="I517" s="3">
        <f>E517+G517+H517</f>
        <v>20</v>
      </c>
      <c r="J517" s="3" t="str">
        <f>IF(C517="Técnico III","35",IF(C517="Técnico II","28",IF(C517="Técnico I","23",IF(C517="JR","20",IF(C517="Estágio","10",)))))</f>
        <v>23</v>
      </c>
      <c r="K517" s="3">
        <f>I517-J517</f>
        <v>-3</v>
      </c>
      <c r="L517" s="3" t="str">
        <f>IF(K517&lt;-5,"CRÍTICO",IF(K517&lt;0,"ATENÇÃO",IF(K517&lt;=5,"BOM","EXCELENTE")))</f>
        <v>ATENÇÃO</v>
      </c>
    </row>
    <row r="518" spans="1:12" x14ac:dyDescent="0.25">
      <c r="A518" s="5">
        <v>46160</v>
      </c>
      <c r="B518" s="6" t="s">
        <v>53</v>
      </c>
      <c r="C518" s="3" t="s">
        <v>14</v>
      </c>
      <c r="D518" s="3">
        <v>23</v>
      </c>
      <c r="E518" s="3">
        <v>19</v>
      </c>
      <c r="G518" s="3">
        <v>3</v>
      </c>
      <c r="H518" s="3">
        <v>0</v>
      </c>
      <c r="I518" s="3">
        <f>E518+G518+H518</f>
        <v>22</v>
      </c>
      <c r="J518" s="3" t="str">
        <f>IF(C518="Técnico III","35",IF(C518="Técnico II","28",IF(C518="Técnico I","23",IF(C518="JR","20",IF(C518="Estágio","10",)))))</f>
        <v>23</v>
      </c>
      <c r="K518" s="3">
        <f>I518-J518</f>
        <v>-1</v>
      </c>
      <c r="L518" s="3" t="str">
        <f>IF(K518&lt;-5,"CRÍTICO",IF(K518&lt;0,"ATENÇÃO",IF(K518&lt;=5,"BOM","EXCELENTE")))</f>
        <v>ATENÇÃO</v>
      </c>
    </row>
    <row r="519" spans="1:12" x14ac:dyDescent="0.25">
      <c r="A519" s="7">
        <v>46161</v>
      </c>
      <c r="B519" s="8" t="s">
        <v>54</v>
      </c>
      <c r="C519" s="9" t="s">
        <v>12</v>
      </c>
      <c r="D519" s="3">
        <v>25</v>
      </c>
      <c r="E519" s="3">
        <v>24</v>
      </c>
      <c r="G519" s="3">
        <v>3</v>
      </c>
      <c r="H519" s="3">
        <v>0</v>
      </c>
      <c r="I519" s="3">
        <f>E519+G519+H519</f>
        <v>27</v>
      </c>
      <c r="J519" s="3" t="str">
        <f>IF(C519="Técnico III","35",IF(C519="Técnico II","28",IF(C519="Técnico I","23",IF(C519="JR","20",IF(C519="Estágio","10",)))))</f>
        <v>35</v>
      </c>
      <c r="K519" s="3">
        <f>I519-J519</f>
        <v>-8</v>
      </c>
      <c r="L519" s="3" t="str">
        <f>IF(K519&lt;-5,"CRÍTICO",IF(K519&lt;0,"ATENÇÃO",IF(K519&lt;=5,"BOM","EXCELENTE")))</f>
        <v>CRÍTICO</v>
      </c>
    </row>
    <row r="520" spans="1:12" x14ac:dyDescent="0.25">
      <c r="A520" s="5">
        <v>46146</v>
      </c>
      <c r="B520" s="6" t="s">
        <v>54</v>
      </c>
      <c r="C520" s="3" t="s">
        <v>12</v>
      </c>
      <c r="D520" s="3">
        <v>26</v>
      </c>
      <c r="E520" s="3">
        <v>25</v>
      </c>
      <c r="G520" s="3">
        <v>4</v>
      </c>
      <c r="H520" s="3">
        <v>0</v>
      </c>
      <c r="I520" s="3">
        <f>E520+G520+H520</f>
        <v>29</v>
      </c>
      <c r="J520" s="3" t="str">
        <f>IF(C520="Técnico III","35",IF(C520="Técnico II","28",IF(C520="Técnico I","23",IF(C520="JR","20",IF(C520="Estágio","10",)))))</f>
        <v>35</v>
      </c>
      <c r="K520" s="3">
        <f>I520-J520</f>
        <v>-6</v>
      </c>
      <c r="L520" s="3" t="str">
        <f>IF(K520&lt;-5,"CRÍTICO",IF(K520&lt;0,"ATENÇÃO",IF(K520&lt;=5,"BOM","EXCELENTE")))</f>
        <v>CRÍTICO</v>
      </c>
    </row>
    <row r="521" spans="1:12" x14ac:dyDescent="0.25">
      <c r="A521" s="5">
        <v>46147</v>
      </c>
      <c r="B521" s="6" t="s">
        <v>54</v>
      </c>
      <c r="C521" s="3" t="s">
        <v>12</v>
      </c>
      <c r="D521" s="3">
        <v>33</v>
      </c>
      <c r="E521" s="3">
        <v>32</v>
      </c>
      <c r="G521" s="3">
        <v>0</v>
      </c>
      <c r="H521" s="3">
        <v>0</v>
      </c>
      <c r="I521" s="3">
        <f>E521+G521+H521</f>
        <v>32</v>
      </c>
      <c r="J521" s="3" t="str">
        <f>IF(C521="Técnico III","35",IF(C521="Técnico II","28",IF(C521="Técnico I","23",IF(C521="JR","20",IF(C521="Estágio","10",)))))</f>
        <v>35</v>
      </c>
      <c r="K521" s="3">
        <f>I521-J521</f>
        <v>-3</v>
      </c>
      <c r="L521" s="3" t="str">
        <f>IF(K521&lt;-5,"CRÍTICO",IF(K521&lt;0,"ATENÇÃO",IF(K521&lt;=5,"BOM","EXCELENTE")))</f>
        <v>ATENÇÃO</v>
      </c>
    </row>
    <row r="522" spans="1:12" x14ac:dyDescent="0.25">
      <c r="A522" s="5">
        <v>46148</v>
      </c>
      <c r="B522" s="6" t="s">
        <v>54</v>
      </c>
      <c r="C522" s="3" t="s">
        <v>12</v>
      </c>
      <c r="D522" s="3">
        <v>21</v>
      </c>
      <c r="E522" s="3">
        <v>20</v>
      </c>
      <c r="G522" s="3">
        <v>8</v>
      </c>
      <c r="I522" s="3">
        <f>E522+G522+H522</f>
        <v>28</v>
      </c>
      <c r="J522" s="3" t="str">
        <f>IF(C522="Técnico III","35",IF(C522="Técnico II","28",IF(C522="Técnico I","23",IF(C522="JR","20",IF(C522="Estágio","10",)))))</f>
        <v>35</v>
      </c>
      <c r="K522" s="3">
        <f>I522-J522</f>
        <v>-7</v>
      </c>
      <c r="L522" s="3" t="str">
        <f>IF(K522&lt;-5,"CRÍTICO",IF(K522&lt;0,"ATENÇÃO",IF(K522&lt;=5,"BOM","EXCELENTE")))</f>
        <v>CRÍTICO</v>
      </c>
    </row>
    <row r="523" spans="1:12" x14ac:dyDescent="0.25">
      <c r="A523" s="5">
        <v>46149</v>
      </c>
      <c r="B523" s="6" t="s">
        <v>54</v>
      </c>
      <c r="C523" s="3" t="s">
        <v>12</v>
      </c>
      <c r="D523" s="3">
        <v>34</v>
      </c>
      <c r="E523" s="3">
        <v>31</v>
      </c>
      <c r="G523" s="3">
        <v>1</v>
      </c>
      <c r="H523" s="3">
        <v>0</v>
      </c>
      <c r="I523" s="3">
        <f>E523+G523+H523</f>
        <v>32</v>
      </c>
      <c r="J523" s="3" t="str">
        <f>IF(C523="Técnico III","35",IF(C523="Técnico II","28",IF(C523="Técnico I","23",IF(C523="JR","20",IF(C523="Estágio","10",)))))</f>
        <v>35</v>
      </c>
      <c r="K523" s="3">
        <f>I523-J523</f>
        <v>-3</v>
      </c>
      <c r="L523" s="3" t="str">
        <f>IF(K523&lt;-5,"CRÍTICO",IF(K523&lt;0,"ATENÇÃO",IF(K523&lt;=5,"BOM","EXCELENTE")))</f>
        <v>ATENÇÃO</v>
      </c>
    </row>
    <row r="524" spans="1:12" x14ac:dyDescent="0.25">
      <c r="A524" s="5">
        <v>46150</v>
      </c>
      <c r="B524" s="6" t="s">
        <v>54</v>
      </c>
      <c r="C524" s="3" t="s">
        <v>12</v>
      </c>
      <c r="D524" s="3">
        <v>22</v>
      </c>
      <c r="E524" s="3">
        <v>21</v>
      </c>
      <c r="G524" s="3">
        <v>5</v>
      </c>
      <c r="H524" s="3">
        <v>0</v>
      </c>
      <c r="I524" s="3">
        <f>E524+G524+H524</f>
        <v>26</v>
      </c>
      <c r="J524" s="3" t="str">
        <f>IF(C524="Técnico III","35",IF(C524="Técnico II","28",IF(C524="Técnico I","23",IF(C524="JR","20",IF(C524="Estágio","10",)))))</f>
        <v>35</v>
      </c>
      <c r="K524" s="3">
        <f>I524-J524</f>
        <v>-9</v>
      </c>
      <c r="L524" s="3" t="str">
        <f>IF(K524&lt;-5,"CRÍTICO",IF(K524&lt;0,"ATENÇÃO",IF(K524&lt;=5,"BOM","EXCELENTE")))</f>
        <v>CRÍTICO</v>
      </c>
    </row>
    <row r="525" spans="1:12" x14ac:dyDescent="0.25">
      <c r="A525" s="5">
        <v>46153</v>
      </c>
      <c r="B525" s="6" t="s">
        <v>54</v>
      </c>
      <c r="C525" s="3" t="s">
        <v>12</v>
      </c>
      <c r="D525" s="3">
        <v>25</v>
      </c>
      <c r="E525" s="3">
        <v>21</v>
      </c>
      <c r="I525" s="3">
        <f>E525+G525+H525</f>
        <v>21</v>
      </c>
      <c r="J525" s="3" t="str">
        <f>IF(C525="Técnico III","35",IF(C525="Técnico II","28",IF(C525="Técnico I","23",IF(C525="JR","20",IF(C525="Estágio","10",)))))</f>
        <v>35</v>
      </c>
      <c r="K525" s="3">
        <f>I525-J525</f>
        <v>-14</v>
      </c>
      <c r="L525" s="3" t="str">
        <f>IF(K525&lt;-5,"CRÍTICO",IF(K525&lt;0,"ATENÇÃO",IF(K525&lt;=5,"BOM","EXCELENTE")))</f>
        <v>CRÍTICO</v>
      </c>
    </row>
    <row r="526" spans="1:12" x14ac:dyDescent="0.25">
      <c r="A526" s="5">
        <v>46154</v>
      </c>
      <c r="B526" s="6" t="s">
        <v>54</v>
      </c>
      <c r="C526" s="3" t="s">
        <v>12</v>
      </c>
      <c r="D526" s="3">
        <v>29</v>
      </c>
      <c r="E526" s="3">
        <v>28</v>
      </c>
      <c r="G526" s="3">
        <v>4</v>
      </c>
      <c r="I526" s="3">
        <f>E526+G526+H526</f>
        <v>32</v>
      </c>
      <c r="J526" s="3" t="str">
        <f>IF(C526="Técnico III","35",IF(C526="Técnico II","28",IF(C526="Técnico I","23",IF(C526="JR","20",IF(C526="Estágio","10",)))))</f>
        <v>35</v>
      </c>
      <c r="K526" s="3">
        <f>I526-J526</f>
        <v>-3</v>
      </c>
      <c r="L526" s="3" t="str">
        <f>IF(K526&lt;-5,"CRÍTICO",IF(K526&lt;0,"ATENÇÃO",IF(K526&lt;=5,"BOM","EXCELENTE")))</f>
        <v>ATENÇÃO</v>
      </c>
    </row>
    <row r="527" spans="1:12" x14ac:dyDescent="0.25">
      <c r="A527" s="5">
        <v>46155</v>
      </c>
      <c r="B527" s="6" t="s">
        <v>54</v>
      </c>
      <c r="C527" s="3" t="s">
        <v>12</v>
      </c>
      <c r="D527" s="3">
        <v>25</v>
      </c>
      <c r="E527" s="3">
        <v>23</v>
      </c>
      <c r="I527" s="3">
        <f>E527+G527+H527</f>
        <v>23</v>
      </c>
      <c r="J527" s="3" t="str">
        <f>IF(C527="Técnico III","35",IF(C527="Técnico II","28",IF(C527="Técnico I","23",IF(C527="JR","20",IF(C527="Estágio","10",)))))</f>
        <v>35</v>
      </c>
      <c r="K527" s="3">
        <f>I527-J527</f>
        <v>-12</v>
      </c>
      <c r="L527" s="3" t="str">
        <f>IF(K527&lt;-5,"CRÍTICO",IF(K527&lt;0,"ATENÇÃO",IF(K527&lt;=5,"BOM","EXCELENTE")))</f>
        <v>CRÍTICO</v>
      </c>
    </row>
    <row r="528" spans="1:12" x14ac:dyDescent="0.25">
      <c r="A528" s="5">
        <v>46156</v>
      </c>
      <c r="B528" s="6" t="s">
        <v>54</v>
      </c>
      <c r="C528" s="3" t="s">
        <v>12</v>
      </c>
      <c r="D528" s="3">
        <v>22</v>
      </c>
      <c r="E528" s="3">
        <v>22</v>
      </c>
      <c r="G528" s="3">
        <v>5</v>
      </c>
      <c r="H528" s="3">
        <v>0</v>
      </c>
      <c r="I528" s="3">
        <f>E528+G528+H528</f>
        <v>27</v>
      </c>
      <c r="J528" s="3" t="str">
        <f>IF(C528="Técnico III","35",IF(C528="Técnico II","28",IF(C528="Técnico I","23",IF(C528="JR","20",IF(C528="Estágio","10",)))))</f>
        <v>35</v>
      </c>
      <c r="K528" s="3">
        <f>I528-J528</f>
        <v>-8</v>
      </c>
      <c r="L528" s="3" t="str">
        <f>IF(K528&lt;-5,"CRÍTICO",IF(K528&lt;0,"ATENÇÃO",IF(K528&lt;=5,"BOM","EXCELENTE")))</f>
        <v>CRÍTICO</v>
      </c>
    </row>
    <row r="529" spans="1:12" x14ac:dyDescent="0.25">
      <c r="A529" s="5">
        <v>46157</v>
      </c>
      <c r="B529" s="6" t="s">
        <v>54</v>
      </c>
      <c r="C529" s="3" t="s">
        <v>12</v>
      </c>
      <c r="D529" s="3">
        <v>20</v>
      </c>
      <c r="E529" s="3">
        <v>20</v>
      </c>
      <c r="G529" s="3">
        <v>1</v>
      </c>
      <c r="H529" s="3">
        <v>0</v>
      </c>
      <c r="I529" s="3">
        <f>E529+G529+H529</f>
        <v>21</v>
      </c>
      <c r="J529" s="3" t="str">
        <f>IF(C529="Técnico III","35",IF(C529="Técnico II","28",IF(C529="Técnico I","23",IF(C529="JR","20",IF(C529="Estágio","10",)))))</f>
        <v>35</v>
      </c>
      <c r="K529" s="3">
        <f>I529-J529</f>
        <v>-14</v>
      </c>
      <c r="L529" s="3" t="str">
        <f>IF(K529&lt;-5,"CRÍTICO",IF(K529&lt;0,"ATENÇÃO",IF(K529&lt;=5,"BOM","EXCELENTE")))</f>
        <v>CRÍTICO</v>
      </c>
    </row>
    <row r="530" spans="1:12" x14ac:dyDescent="0.25">
      <c r="A530" s="5">
        <v>46160</v>
      </c>
      <c r="B530" s="6" t="s">
        <v>54</v>
      </c>
      <c r="C530" s="3" t="s">
        <v>12</v>
      </c>
      <c r="D530" s="3">
        <v>25</v>
      </c>
      <c r="E530" s="3">
        <v>22</v>
      </c>
      <c r="G530" s="3">
        <v>4</v>
      </c>
      <c r="H530" s="3">
        <v>0</v>
      </c>
      <c r="I530" s="3">
        <f>E530+G530+H530</f>
        <v>26</v>
      </c>
      <c r="J530" s="3" t="str">
        <f>IF(C530="Técnico III","35",IF(C530="Técnico II","28",IF(C530="Técnico I","23",IF(C530="JR","20",IF(C530="Estágio","10",)))))</f>
        <v>35</v>
      </c>
      <c r="K530" s="3">
        <f>I530-J530</f>
        <v>-9</v>
      </c>
      <c r="L530" s="3" t="str">
        <f>IF(K530&lt;-5,"CRÍTICO",IF(K530&lt;0,"ATENÇÃO",IF(K530&lt;=5,"BOM","EXCELENTE")))</f>
        <v>CRÍTICO</v>
      </c>
    </row>
  </sheetData>
  <autoFilter ref="A1:O530" xr:uid="{B156EF58-AF9E-4A91-B7D8-7B3B50610D55}">
    <sortState xmlns:xlrd2="http://schemas.microsoft.com/office/spreadsheetml/2017/richdata2" ref="A2:O530">
      <sortCondition ref="B1:B530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Produtividade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2026-05-20T19:37:04Z</dcterms:modified>
</cp:coreProperties>
</file>
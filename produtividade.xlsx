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0178FE06-86C9-47AD-9226-B5B7B78559DF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Produtividade!$A$1:$O$4470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70" i="1" l="1"/>
  <c r="I4470" i="1"/>
  <c r="K4470" i="1" s="1"/>
  <c r="L4470" i="1" s="1"/>
  <c r="J4469" i="1"/>
  <c r="I4469" i="1"/>
  <c r="K4469" i="1" s="1"/>
  <c r="L4469" i="1" s="1"/>
  <c r="J4468" i="1"/>
  <c r="I4468" i="1"/>
  <c r="K4468" i="1" s="1"/>
  <c r="L4468" i="1" s="1"/>
  <c r="J4467" i="1"/>
  <c r="I4467" i="1"/>
  <c r="K4467" i="1" s="1"/>
  <c r="L4467" i="1" s="1"/>
  <c r="J4466" i="1"/>
  <c r="I4466" i="1"/>
  <c r="K4466" i="1" s="1"/>
  <c r="L4466" i="1" s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J4330" i="1"/>
  <c r="I4330" i="1"/>
  <c r="K4330" i="1" s="1"/>
  <c r="L4330" i="1" s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J4326" i="1"/>
  <c r="I4326" i="1"/>
  <c r="K4326" i="1" s="1"/>
  <c r="L4326" i="1" s="1"/>
  <c r="J4325" i="1"/>
  <c r="I4325" i="1"/>
  <c r="K4325" i="1" s="1"/>
  <c r="L4325" i="1" s="1"/>
  <c r="J4324" i="1"/>
  <c r="I4324" i="1"/>
  <c r="K4324" i="1" s="1"/>
  <c r="L4324" i="1" s="1"/>
  <c r="J4323" i="1"/>
  <c r="I4323" i="1"/>
  <c r="K4323" i="1" s="1"/>
  <c r="L4323" i="1" s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J4319" i="1"/>
  <c r="I4319" i="1"/>
  <c r="K4319" i="1" s="1"/>
  <c r="L4319" i="1" s="1"/>
  <c r="J4318" i="1"/>
  <c r="I4318" i="1"/>
  <c r="K4318" i="1" s="1"/>
  <c r="L4318" i="1" s="1"/>
  <c r="J4317" i="1"/>
  <c r="I4317" i="1"/>
  <c r="K4317" i="1" s="1"/>
  <c r="L4317" i="1" s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J4307" i="1"/>
  <c r="I4307" i="1"/>
  <c r="K4307" i="1" s="1"/>
  <c r="L4307" i="1" s="1"/>
  <c r="J4306" i="1"/>
  <c r="I4306" i="1"/>
  <c r="K4306" i="1" s="1"/>
  <c r="L4306" i="1" s="1"/>
  <c r="J4305" i="1"/>
  <c r="I4305" i="1"/>
  <c r="K4305" i="1" s="1"/>
  <c r="L4305" i="1" s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J4296" i="1"/>
  <c r="I4296" i="1"/>
  <c r="K4296" i="1" s="1"/>
  <c r="L4296" i="1" s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J4280" i="1"/>
  <c r="I4280" i="1"/>
  <c r="K4280" i="1" s="1"/>
  <c r="L4280" i="1" s="1"/>
  <c r="J4279" i="1"/>
  <c r="I4279" i="1"/>
  <c r="K4279" i="1" s="1"/>
  <c r="L4279" i="1" s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J4275" i="1"/>
  <c r="I4275" i="1"/>
  <c r="K4275" i="1" s="1"/>
  <c r="L4275" i="1" s="1"/>
  <c r="J4274" i="1"/>
  <c r="I4274" i="1"/>
  <c r="K4274" i="1" s="1"/>
  <c r="L4274" i="1" s="1"/>
  <c r="J4273" i="1"/>
  <c r="I4273" i="1"/>
  <c r="K4273" i="1" s="1"/>
  <c r="L4273" i="1" s="1"/>
  <c r="J4272" i="1"/>
  <c r="I4272" i="1"/>
  <c r="K4272" i="1" s="1"/>
  <c r="L4272" i="1" s="1"/>
  <c r="J4271" i="1"/>
  <c r="I4271" i="1"/>
  <c r="K4271" i="1" s="1"/>
  <c r="L4271" i="1" s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J4263" i="1"/>
  <c r="I4263" i="1"/>
  <c r="K4263" i="1" s="1"/>
  <c r="L4263" i="1" s="1"/>
  <c r="J4262" i="1"/>
  <c r="I4262" i="1"/>
  <c r="K4262" i="1" s="1"/>
  <c r="L4262" i="1" s="1"/>
  <c r="J4261" i="1"/>
  <c r="I4261" i="1"/>
  <c r="K4261" i="1" s="1"/>
  <c r="L4261" i="1" s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J4257" i="1"/>
  <c r="I4257" i="1"/>
  <c r="K4257" i="1" s="1"/>
  <c r="L4257" i="1" s="1"/>
  <c r="J4256" i="1"/>
  <c r="I4256" i="1"/>
  <c r="K4256" i="1" s="1"/>
  <c r="L4256" i="1" s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J4252" i="1"/>
  <c r="I4252" i="1"/>
  <c r="K4252" i="1" s="1"/>
  <c r="L4252" i="1" s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J4244" i="1"/>
  <c r="I4244" i="1"/>
  <c r="K4244" i="1" s="1"/>
  <c r="L4244" i="1" s="1"/>
  <c r="J4243" i="1"/>
  <c r="I4243" i="1"/>
  <c r="K4243" i="1" s="1"/>
  <c r="L4243" i="1" s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J4236" i="1"/>
  <c r="I4236" i="1"/>
  <c r="K4236" i="1" s="1"/>
  <c r="L4236" i="1" s="1"/>
  <c r="J4235" i="1"/>
  <c r="I4235" i="1"/>
  <c r="K4235" i="1" s="1"/>
  <c r="L4235" i="1" s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J4231" i="1"/>
  <c r="I4231" i="1"/>
  <c r="K4231" i="1" s="1"/>
  <c r="L4231" i="1" s="1"/>
  <c r="J4230" i="1"/>
  <c r="I4230" i="1"/>
  <c r="K4230" i="1" s="1"/>
  <c r="L4230" i="1" s="1"/>
  <c r="J4229" i="1"/>
  <c r="I4229" i="1"/>
  <c r="K4229" i="1" s="1"/>
  <c r="L4229" i="1" s="1"/>
  <c r="J4228" i="1"/>
  <c r="I4228" i="1"/>
  <c r="K4228" i="1" s="1"/>
  <c r="L4228" i="1" s="1"/>
  <c r="J4227" i="1"/>
  <c r="I4227" i="1"/>
  <c r="K4227" i="1" s="1"/>
  <c r="L4227" i="1" s="1"/>
  <c r="J4226" i="1"/>
  <c r="I4226" i="1"/>
  <c r="K4226" i="1" s="1"/>
  <c r="L4226" i="1" s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J4219" i="1"/>
  <c r="I4219" i="1"/>
  <c r="K4219" i="1" s="1"/>
  <c r="L4219" i="1" s="1"/>
  <c r="J4218" i="1"/>
  <c r="I4218" i="1"/>
  <c r="K4218" i="1" s="1"/>
  <c r="L4218" i="1" s="1"/>
  <c r="J4217" i="1"/>
  <c r="I4217" i="1"/>
  <c r="K4217" i="1" s="1"/>
  <c r="L4217" i="1" s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J4213" i="1"/>
  <c r="I4213" i="1"/>
  <c r="K4213" i="1" s="1"/>
  <c r="L4213" i="1" s="1"/>
  <c r="J4212" i="1"/>
  <c r="I4212" i="1"/>
  <c r="K4212" i="1" s="1"/>
  <c r="L4212" i="1" s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J4208" i="1"/>
  <c r="I4208" i="1"/>
  <c r="K4208" i="1" s="1"/>
  <c r="L4208" i="1" s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J4192" i="1"/>
  <c r="I4192" i="1"/>
  <c r="K4192" i="1" s="1"/>
  <c r="L4192" i="1" s="1"/>
  <c r="J4191" i="1"/>
  <c r="I4191" i="1"/>
  <c r="K4191" i="1" s="1"/>
  <c r="L4191" i="1" s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J4187" i="1"/>
  <c r="I4187" i="1"/>
  <c r="K4187" i="1" s="1"/>
  <c r="L4187" i="1" s="1"/>
  <c r="J4186" i="1"/>
  <c r="I4186" i="1"/>
  <c r="K4186" i="1" s="1"/>
  <c r="L4186" i="1" s="1"/>
  <c r="J4185" i="1"/>
  <c r="I4185" i="1"/>
  <c r="K4185" i="1" s="1"/>
  <c r="L4185" i="1" s="1"/>
  <c r="J4184" i="1"/>
  <c r="I4184" i="1"/>
  <c r="K4184" i="1" s="1"/>
  <c r="L4184" i="1" s="1"/>
  <c r="J4183" i="1"/>
  <c r="I4183" i="1"/>
  <c r="K4183" i="1" s="1"/>
  <c r="L4183" i="1" s="1"/>
  <c r="J4182" i="1"/>
  <c r="I4182" i="1"/>
  <c r="K4182" i="1" s="1"/>
  <c r="L4182" i="1" s="1"/>
  <c r="J4181" i="1"/>
  <c r="I4181" i="1"/>
  <c r="K4181" i="1" s="1"/>
  <c r="L4181" i="1" s="1"/>
  <c r="J4180" i="1"/>
  <c r="I4180" i="1"/>
  <c r="K4180" i="1" s="1"/>
  <c r="L4180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J4175" i="1"/>
  <c r="I4175" i="1"/>
  <c r="K4175" i="1" s="1"/>
  <c r="L4175" i="1" s="1"/>
  <c r="J4174" i="1"/>
  <c r="I4174" i="1"/>
  <c r="K4174" i="1" s="1"/>
  <c r="L4174" i="1" s="1"/>
  <c r="J4173" i="1"/>
  <c r="I4173" i="1"/>
  <c r="K4173" i="1" s="1"/>
  <c r="L4173" i="1" s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J4169" i="1"/>
  <c r="I4169" i="1"/>
  <c r="K4169" i="1" s="1"/>
  <c r="L4169" i="1" s="1"/>
  <c r="J4168" i="1"/>
  <c r="I4168" i="1"/>
  <c r="K4168" i="1" s="1"/>
  <c r="L4168" i="1" s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J4164" i="1"/>
  <c r="I4164" i="1"/>
  <c r="K4164" i="1" s="1"/>
  <c r="L4164" i="1" s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J4153" i="1"/>
  <c r="I4153" i="1"/>
  <c r="K4153" i="1" s="1"/>
  <c r="L4153" i="1" s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J4148" i="1"/>
  <c r="I4148" i="1"/>
  <c r="K4148" i="1" s="1"/>
  <c r="L4148" i="1" s="1"/>
  <c r="J4147" i="1"/>
  <c r="I4147" i="1"/>
  <c r="K4147" i="1" s="1"/>
  <c r="L4147" i="1" s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J4143" i="1"/>
  <c r="I4143" i="1"/>
  <c r="K4143" i="1" s="1"/>
  <c r="L4143" i="1" s="1"/>
  <c r="J4142" i="1"/>
  <c r="I4142" i="1"/>
  <c r="K4142" i="1" s="1"/>
  <c r="L4142" i="1" s="1"/>
  <c r="J4141" i="1"/>
  <c r="I4141" i="1"/>
  <c r="K4141" i="1" s="1"/>
  <c r="L4141" i="1" s="1"/>
  <c r="J4140" i="1"/>
  <c r="I4140" i="1"/>
  <c r="K4140" i="1" s="1"/>
  <c r="L4140" i="1" s="1"/>
  <c r="J4139" i="1"/>
  <c r="I4139" i="1"/>
  <c r="K4139" i="1" s="1"/>
  <c r="L4139" i="1" s="1"/>
  <c r="J4138" i="1"/>
  <c r="I4138" i="1"/>
  <c r="K4138" i="1" s="1"/>
  <c r="L4138" i="1" s="1"/>
  <c r="J4137" i="1"/>
  <c r="I4137" i="1"/>
  <c r="K4137" i="1" s="1"/>
  <c r="L4137" i="1" s="1"/>
  <c r="J4136" i="1"/>
  <c r="I4136" i="1"/>
  <c r="K4136" i="1" s="1"/>
  <c r="L4136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J4131" i="1"/>
  <c r="I4131" i="1"/>
  <c r="K4131" i="1" s="1"/>
  <c r="L4131" i="1" s="1"/>
  <c r="J4130" i="1"/>
  <c r="I4130" i="1"/>
  <c r="K4130" i="1" s="1"/>
  <c r="L4130" i="1" s="1"/>
  <c r="J4129" i="1"/>
  <c r="I4129" i="1"/>
  <c r="K4129" i="1" s="1"/>
  <c r="L4129" i="1" s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J4120" i="1"/>
  <c r="I4120" i="1"/>
  <c r="K4120" i="1" s="1"/>
  <c r="L4120" i="1" s="1"/>
  <c r="J4119" i="1"/>
  <c r="I4119" i="1"/>
  <c r="K4119" i="1" s="1"/>
  <c r="L4119" i="1" s="1"/>
  <c r="J4118" i="1"/>
  <c r="I4118" i="1"/>
  <c r="K4118" i="1" s="1"/>
  <c r="L4118" i="1" s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J4104" i="1"/>
  <c r="I4104" i="1"/>
  <c r="K4104" i="1" s="1"/>
  <c r="L4104" i="1" s="1"/>
  <c r="J4103" i="1"/>
  <c r="I4103" i="1"/>
  <c r="K4103" i="1" s="1"/>
  <c r="L4103" i="1" s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J4099" i="1"/>
  <c r="I4099" i="1"/>
  <c r="K4099" i="1" s="1"/>
  <c r="L4099" i="1" s="1"/>
  <c r="J4098" i="1"/>
  <c r="I4098" i="1"/>
  <c r="K4098" i="1" s="1"/>
  <c r="L4098" i="1" s="1"/>
  <c r="J4097" i="1"/>
  <c r="I4097" i="1"/>
  <c r="K4097" i="1" s="1"/>
  <c r="L4097" i="1" s="1"/>
  <c r="J4096" i="1"/>
  <c r="I4096" i="1"/>
  <c r="K4096" i="1" s="1"/>
  <c r="L4096" i="1" s="1"/>
  <c r="J4095" i="1"/>
  <c r="I4095" i="1"/>
  <c r="K4095" i="1" s="1"/>
  <c r="L4095" i="1" s="1"/>
  <c r="J4094" i="1"/>
  <c r="I4094" i="1"/>
  <c r="K4094" i="1" s="1"/>
  <c r="L4094" i="1" s="1"/>
  <c r="J4093" i="1"/>
  <c r="I4093" i="1"/>
  <c r="K4093" i="1" s="1"/>
  <c r="L4093" i="1" s="1"/>
  <c r="J4092" i="1"/>
  <c r="I4092" i="1"/>
  <c r="K4092" i="1" s="1"/>
  <c r="L4092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J4087" i="1"/>
  <c r="I4087" i="1"/>
  <c r="K4087" i="1" s="1"/>
  <c r="L4087" i="1" s="1"/>
  <c r="J4086" i="1"/>
  <c r="I4086" i="1"/>
  <c r="K4086" i="1" s="1"/>
  <c r="L4086" i="1" s="1"/>
  <c r="J4085" i="1"/>
  <c r="I4085" i="1"/>
  <c r="K4085" i="1" s="1"/>
  <c r="L4085" i="1" s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J4078" i="1"/>
  <c r="I4078" i="1"/>
  <c r="K4078" i="1" s="1"/>
  <c r="L4078" i="1" s="1"/>
  <c r="J4077" i="1"/>
  <c r="I4077" i="1"/>
  <c r="K4077" i="1" s="1"/>
  <c r="L4077" i="1" s="1"/>
  <c r="J4076" i="1"/>
  <c r="I4076" i="1"/>
  <c r="K4076" i="1" s="1"/>
  <c r="L4076" i="1" s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J4054" i="1"/>
  <c r="I4054" i="1"/>
  <c r="K4054" i="1" s="1"/>
  <c r="L4054" i="1" s="1"/>
  <c r="J4053" i="1"/>
  <c r="I4053" i="1"/>
  <c r="K4053" i="1" s="1"/>
  <c r="L4053" i="1" s="1"/>
  <c r="J4052" i="1"/>
  <c r="I4052" i="1"/>
  <c r="K4052" i="1" s="1"/>
  <c r="L4052" i="1" s="1"/>
  <c r="J4051" i="1"/>
  <c r="I4051" i="1"/>
  <c r="K4051" i="1" s="1"/>
  <c r="L4051" i="1" s="1"/>
  <c r="J4050" i="1"/>
  <c r="I4050" i="1"/>
  <c r="K4050" i="1" s="1"/>
  <c r="L4050" i="1" s="1"/>
  <c r="J4049" i="1"/>
  <c r="I4049" i="1"/>
  <c r="K4049" i="1" s="1"/>
  <c r="L4049" i="1" s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J4042" i="1"/>
  <c r="I4042" i="1"/>
  <c r="K4042" i="1" s="1"/>
  <c r="L4042" i="1" s="1"/>
  <c r="J4041" i="1"/>
  <c r="I4041" i="1"/>
  <c r="K4041" i="1" s="1"/>
  <c r="L4041" i="1" s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J4010" i="1"/>
  <c r="I4010" i="1"/>
  <c r="K4010" i="1" s="1"/>
  <c r="L4010" i="1" s="1"/>
  <c r="J4009" i="1"/>
  <c r="I4009" i="1"/>
  <c r="K4009" i="1" s="1"/>
  <c r="L4009" i="1" s="1"/>
  <c r="J4008" i="1"/>
  <c r="I4008" i="1"/>
  <c r="K4008" i="1" s="1"/>
  <c r="L4008" i="1" s="1"/>
  <c r="J4007" i="1"/>
  <c r="I4007" i="1"/>
  <c r="K4007" i="1" s="1"/>
  <c r="L4007" i="1" s="1"/>
  <c r="J4006" i="1"/>
  <c r="I4006" i="1"/>
  <c r="K4006" i="1" s="1"/>
  <c r="L4006" i="1" s="1"/>
  <c r="J4005" i="1"/>
  <c r="I4005" i="1"/>
  <c r="K4005" i="1" s="1"/>
  <c r="L4005" i="1" s="1"/>
  <c r="J4004" i="1"/>
  <c r="I4004" i="1"/>
  <c r="K4004" i="1" s="1"/>
  <c r="L4004" i="1" s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J3998" i="1"/>
  <c r="I3998" i="1"/>
  <c r="K3998" i="1" s="1"/>
  <c r="L3998" i="1" s="1"/>
  <c r="J3997" i="1"/>
  <c r="I3997" i="1"/>
  <c r="K3997" i="1" s="1"/>
  <c r="L3997" i="1" s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J3964" i="1"/>
  <c r="I3964" i="1"/>
  <c r="K3964" i="1" s="1"/>
  <c r="L3964" i="1" s="1"/>
  <c r="J3963" i="1"/>
  <c r="I3963" i="1"/>
  <c r="K3963" i="1" s="1"/>
  <c r="L3963" i="1" s="1"/>
  <c r="J3962" i="1"/>
  <c r="I3962" i="1"/>
  <c r="K3962" i="1" s="1"/>
  <c r="L3962" i="1" s="1"/>
  <c r="J3961" i="1"/>
  <c r="I3961" i="1"/>
  <c r="K3961" i="1" s="1"/>
  <c r="L3961" i="1" s="1"/>
  <c r="J3960" i="1"/>
  <c r="I3960" i="1"/>
  <c r="K3960" i="1" s="1"/>
  <c r="L3960" i="1" s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J3954" i="1"/>
  <c r="I3954" i="1"/>
  <c r="K3954" i="1" s="1"/>
  <c r="L3954" i="1" s="1"/>
  <c r="J3953" i="1"/>
  <c r="I3953" i="1"/>
  <c r="K3953" i="1" s="1"/>
  <c r="L3953" i="1" s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J3929" i="1"/>
  <c r="I3929" i="1"/>
  <c r="K3929" i="1" s="1"/>
  <c r="L3929" i="1" s="1"/>
  <c r="J3928" i="1"/>
  <c r="I3928" i="1"/>
  <c r="K3928" i="1" s="1"/>
  <c r="L3928" i="1" s="1"/>
  <c r="J3927" i="1"/>
  <c r="I3927" i="1"/>
  <c r="K3927" i="1" s="1"/>
  <c r="L3927" i="1" s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J3920" i="1"/>
  <c r="I3920" i="1"/>
  <c r="K3920" i="1" s="1"/>
  <c r="L3920" i="1" s="1"/>
  <c r="J3919" i="1"/>
  <c r="I3919" i="1"/>
  <c r="K3919" i="1" s="1"/>
  <c r="L3919" i="1" s="1"/>
  <c r="J3918" i="1"/>
  <c r="I3918" i="1"/>
  <c r="K3918" i="1" s="1"/>
  <c r="L3918" i="1" s="1"/>
  <c r="J3917" i="1"/>
  <c r="I3917" i="1"/>
  <c r="K3917" i="1" s="1"/>
  <c r="L3917" i="1" s="1"/>
  <c r="J3916" i="1"/>
  <c r="I3916" i="1"/>
  <c r="K3916" i="1" s="1"/>
  <c r="L3916" i="1" s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J3910" i="1"/>
  <c r="I3910" i="1"/>
  <c r="K3910" i="1" s="1"/>
  <c r="L3910" i="1" s="1"/>
  <c r="J3909" i="1"/>
  <c r="I3909" i="1"/>
  <c r="K3909" i="1" s="1"/>
  <c r="L3909" i="1" s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J3876" i="1"/>
  <c r="I3876" i="1"/>
  <c r="K3876" i="1" s="1"/>
  <c r="L3876" i="1" s="1"/>
  <c r="J3875" i="1"/>
  <c r="I3875" i="1"/>
  <c r="K3875" i="1" s="1"/>
  <c r="L3875" i="1" s="1"/>
  <c r="J3874" i="1"/>
  <c r="I3874" i="1"/>
  <c r="K3874" i="1" s="1"/>
  <c r="L3874" i="1" s="1"/>
  <c r="J3873" i="1"/>
  <c r="I3873" i="1"/>
  <c r="K3873" i="1" s="1"/>
  <c r="L3873" i="1" s="1"/>
  <c r="J3872" i="1"/>
  <c r="I3872" i="1"/>
  <c r="K3872" i="1" s="1"/>
  <c r="L3872" i="1" s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J3866" i="1"/>
  <c r="I3866" i="1"/>
  <c r="K3866" i="1" s="1"/>
  <c r="L3866" i="1" s="1"/>
  <c r="J3865" i="1"/>
  <c r="I3865" i="1"/>
  <c r="K3865" i="1" s="1"/>
  <c r="L3865" i="1" s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J3832" i="1"/>
  <c r="I3832" i="1"/>
  <c r="K3832" i="1" s="1"/>
  <c r="L3832" i="1" s="1"/>
  <c r="J3831" i="1"/>
  <c r="I3831" i="1"/>
  <c r="K3831" i="1" s="1"/>
  <c r="L3831" i="1" s="1"/>
  <c r="J3830" i="1"/>
  <c r="I3830" i="1"/>
  <c r="K3830" i="1" s="1"/>
  <c r="L3830" i="1" s="1"/>
  <c r="J3829" i="1"/>
  <c r="I3829" i="1"/>
  <c r="K3829" i="1" s="1"/>
  <c r="L3829" i="1" s="1"/>
  <c r="J3828" i="1"/>
  <c r="I3828" i="1"/>
  <c r="K3828" i="1" s="1"/>
  <c r="L3828" i="1" s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J3822" i="1"/>
  <c r="I3822" i="1"/>
  <c r="K3822" i="1" s="1"/>
  <c r="L3822" i="1" s="1"/>
  <c r="J3821" i="1"/>
  <c r="I3821" i="1"/>
  <c r="K3821" i="1" s="1"/>
  <c r="L3821" i="1" s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J3797" i="1"/>
  <c r="I3797" i="1"/>
  <c r="K3797" i="1" s="1"/>
  <c r="L3797" i="1" s="1"/>
  <c r="J3796" i="1"/>
  <c r="I3796" i="1"/>
  <c r="K3796" i="1" s="1"/>
  <c r="L3796" i="1" s="1"/>
  <c r="J3795" i="1"/>
  <c r="I3795" i="1"/>
  <c r="K3795" i="1" s="1"/>
  <c r="L3795" i="1" s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J3788" i="1"/>
  <c r="I3788" i="1"/>
  <c r="K3788" i="1" s="1"/>
  <c r="L3788" i="1" s="1"/>
  <c r="J3787" i="1"/>
  <c r="I3787" i="1"/>
  <c r="K3787" i="1" s="1"/>
  <c r="L3787" i="1" s="1"/>
  <c r="J3786" i="1"/>
  <c r="I3786" i="1"/>
  <c r="K3786" i="1" s="1"/>
  <c r="L3786" i="1" s="1"/>
  <c r="J3785" i="1"/>
  <c r="I3785" i="1"/>
  <c r="K3785" i="1" s="1"/>
  <c r="L3785" i="1" s="1"/>
  <c r="J3784" i="1"/>
  <c r="I3784" i="1"/>
  <c r="K3784" i="1" s="1"/>
  <c r="L3784" i="1" s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J3778" i="1"/>
  <c r="I3778" i="1"/>
  <c r="K3778" i="1" s="1"/>
  <c r="L3778" i="1" s="1"/>
  <c r="J3777" i="1"/>
  <c r="I3777" i="1"/>
  <c r="K3777" i="1" s="1"/>
  <c r="L3777" i="1" s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J3744" i="1"/>
  <c r="I3744" i="1"/>
  <c r="K3744" i="1" s="1"/>
  <c r="L3744" i="1" s="1"/>
  <c r="J3743" i="1"/>
  <c r="I3743" i="1"/>
  <c r="K3743" i="1" s="1"/>
  <c r="L3743" i="1" s="1"/>
  <c r="J3742" i="1"/>
  <c r="I3742" i="1"/>
  <c r="K3742" i="1" s="1"/>
  <c r="L3742" i="1" s="1"/>
  <c r="J3741" i="1"/>
  <c r="I3741" i="1"/>
  <c r="K3741" i="1" s="1"/>
  <c r="L3741" i="1" s="1"/>
  <c r="K3740" i="1"/>
  <c r="L3740" i="1" s="1"/>
  <c r="J3740" i="1"/>
  <c r="I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J3734" i="1"/>
  <c r="I3734" i="1"/>
  <c r="K3734" i="1" s="1"/>
  <c r="L3734" i="1" s="1"/>
  <c r="J3733" i="1"/>
  <c r="I3733" i="1"/>
  <c r="K3733" i="1" s="1"/>
  <c r="L3733" i="1" s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J3707" i="1"/>
  <c r="I3707" i="1"/>
  <c r="K3707" i="1" s="1"/>
  <c r="L3707" i="1" s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J3700" i="1"/>
  <c r="I3700" i="1"/>
  <c r="K3700" i="1" s="1"/>
  <c r="L3700" i="1" s="1"/>
  <c r="J3699" i="1"/>
  <c r="I3699" i="1"/>
  <c r="K3699" i="1" s="1"/>
  <c r="L3699" i="1" s="1"/>
  <c r="J3698" i="1"/>
  <c r="I3698" i="1"/>
  <c r="K3698" i="1" s="1"/>
  <c r="L3698" i="1" s="1"/>
  <c r="J3697" i="1"/>
  <c r="I3697" i="1"/>
  <c r="K3697" i="1" s="1"/>
  <c r="L3697" i="1" s="1"/>
  <c r="J3696" i="1"/>
  <c r="I3696" i="1"/>
  <c r="K3696" i="1" s="1"/>
  <c r="L3696" i="1" s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J3690" i="1"/>
  <c r="I3690" i="1"/>
  <c r="K3690" i="1" s="1"/>
  <c r="L3690" i="1" s="1"/>
  <c r="J3689" i="1"/>
  <c r="I3689" i="1"/>
  <c r="K3689" i="1" s="1"/>
  <c r="L3689" i="1" s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J3679" i="1"/>
  <c r="I3679" i="1"/>
  <c r="K3679" i="1" s="1"/>
  <c r="L3679" i="1" s="1"/>
  <c r="J3678" i="1"/>
  <c r="I3678" i="1"/>
  <c r="K3678" i="1" s="1"/>
  <c r="L3678" i="1" s="1"/>
  <c r="J3677" i="1"/>
  <c r="I3677" i="1"/>
  <c r="K3677" i="1" s="1"/>
  <c r="L3677" i="1" s="1"/>
  <c r="J3676" i="1"/>
  <c r="I3676" i="1"/>
  <c r="K3676" i="1" s="1"/>
  <c r="L3676" i="1" s="1"/>
  <c r="J3675" i="1"/>
  <c r="I3675" i="1"/>
  <c r="K3675" i="1" s="1"/>
  <c r="L3675" i="1" s="1"/>
  <c r="J3674" i="1"/>
  <c r="I3674" i="1"/>
  <c r="K3674" i="1" s="1"/>
  <c r="L3674" i="1" s="1"/>
  <c r="J3673" i="1"/>
  <c r="I3673" i="1"/>
  <c r="K3673" i="1" s="1"/>
  <c r="L3673" i="1" s="1"/>
  <c r="J3672" i="1"/>
  <c r="I3672" i="1"/>
  <c r="K3672" i="1" s="1"/>
  <c r="L3672" i="1" s="1"/>
  <c r="J3671" i="1"/>
  <c r="I3671" i="1"/>
  <c r="K3671" i="1" s="1"/>
  <c r="L3671" i="1" s="1"/>
  <c r="J3670" i="1"/>
  <c r="I3670" i="1"/>
  <c r="K3670" i="1" s="1"/>
  <c r="L3670" i="1" s="1"/>
  <c r="J3669" i="1"/>
  <c r="I3669" i="1"/>
  <c r="K3669" i="1" s="1"/>
  <c r="L3669" i="1" s="1"/>
  <c r="J3668" i="1"/>
  <c r="I3668" i="1"/>
  <c r="K3668" i="1" s="1"/>
  <c r="L3668" i="1" s="1"/>
  <c r="J3667" i="1"/>
  <c r="I3667" i="1"/>
  <c r="K3667" i="1" s="1"/>
  <c r="L3667" i="1" s="1"/>
  <c r="J3666" i="1"/>
  <c r="I3666" i="1"/>
  <c r="K3666" i="1" s="1"/>
  <c r="L3666" i="1" s="1"/>
  <c r="J3665" i="1"/>
  <c r="I3665" i="1"/>
  <c r="K3665" i="1" s="1"/>
  <c r="L3665" i="1" s="1"/>
  <c r="J3664" i="1"/>
  <c r="I3664" i="1"/>
  <c r="K3664" i="1" s="1"/>
  <c r="L3664" i="1" s="1"/>
  <c r="J3663" i="1"/>
  <c r="I3663" i="1"/>
  <c r="K3663" i="1" s="1"/>
  <c r="L3663" i="1" s="1"/>
  <c r="J3662" i="1"/>
  <c r="I3662" i="1"/>
  <c r="K3662" i="1" s="1"/>
  <c r="L3662" i="1" s="1"/>
  <c r="J3661" i="1"/>
  <c r="I3661" i="1"/>
  <c r="K3661" i="1" s="1"/>
  <c r="L3661" i="1" s="1"/>
  <c r="J3660" i="1"/>
  <c r="I3660" i="1"/>
  <c r="K3660" i="1" s="1"/>
  <c r="L3660" i="1" s="1"/>
  <c r="J3659" i="1"/>
  <c r="I3659" i="1"/>
  <c r="K3659" i="1" s="1"/>
  <c r="L3659" i="1" s="1"/>
  <c r="J3658" i="1"/>
  <c r="I3658" i="1"/>
  <c r="K3658" i="1" s="1"/>
  <c r="L3658" i="1" s="1"/>
  <c r="J3657" i="1"/>
  <c r="I3657" i="1"/>
  <c r="K3657" i="1" s="1"/>
  <c r="L3657" i="1" s="1"/>
  <c r="J3656" i="1"/>
  <c r="I3656" i="1"/>
  <c r="K3656" i="1" s="1"/>
  <c r="L3656" i="1" s="1"/>
  <c r="J3655" i="1"/>
  <c r="I3655" i="1"/>
  <c r="K3655" i="1" s="1"/>
  <c r="L3655" i="1" s="1"/>
  <c r="J3654" i="1"/>
  <c r="I3654" i="1"/>
  <c r="K3654" i="1" s="1"/>
  <c r="L3654" i="1" s="1"/>
  <c r="J3653" i="1"/>
  <c r="I3653" i="1"/>
  <c r="K3653" i="1" s="1"/>
  <c r="L3653" i="1" s="1"/>
  <c r="J3652" i="1"/>
  <c r="I3652" i="1"/>
  <c r="K3652" i="1" s="1"/>
  <c r="L3652" i="1" s="1"/>
  <c r="J3651" i="1"/>
  <c r="I3651" i="1"/>
  <c r="K3651" i="1" s="1"/>
  <c r="L3651" i="1" s="1"/>
  <c r="J3650" i="1"/>
  <c r="I3650" i="1"/>
  <c r="K3650" i="1" s="1"/>
  <c r="L3650" i="1" s="1"/>
  <c r="J3649" i="1"/>
  <c r="I3649" i="1"/>
  <c r="K3649" i="1" s="1"/>
  <c r="L3649" i="1" s="1"/>
  <c r="J3648" i="1"/>
  <c r="I3648" i="1"/>
  <c r="K3648" i="1" s="1"/>
  <c r="L3648" i="1" s="1"/>
  <c r="J3647" i="1"/>
  <c r="I3647" i="1"/>
  <c r="K3647" i="1" s="1"/>
  <c r="L3647" i="1" s="1"/>
  <c r="J3646" i="1"/>
  <c r="I3646" i="1"/>
  <c r="K3646" i="1" s="1"/>
  <c r="L3646" i="1" s="1"/>
  <c r="J3645" i="1"/>
  <c r="I3645" i="1"/>
  <c r="K3645" i="1" s="1"/>
  <c r="L3645" i="1" s="1"/>
  <c r="J3644" i="1"/>
  <c r="I3644" i="1"/>
  <c r="K3644" i="1" s="1"/>
  <c r="L3644" i="1" s="1"/>
  <c r="J3643" i="1"/>
  <c r="I3643" i="1"/>
  <c r="K3643" i="1" s="1"/>
  <c r="L3643" i="1" s="1"/>
  <c r="J3642" i="1"/>
  <c r="I3642" i="1"/>
  <c r="K3642" i="1" s="1"/>
  <c r="L3642" i="1" s="1"/>
  <c r="J3641" i="1"/>
  <c r="I3641" i="1"/>
  <c r="K3641" i="1" s="1"/>
  <c r="L3641" i="1" s="1"/>
  <c r="J3640" i="1"/>
  <c r="I3640" i="1"/>
  <c r="K3640" i="1" s="1"/>
  <c r="L3640" i="1" s="1"/>
  <c r="J3639" i="1"/>
  <c r="I3639" i="1"/>
  <c r="K3639" i="1" s="1"/>
  <c r="L3639" i="1" s="1"/>
  <c r="J3638" i="1"/>
  <c r="I3638" i="1"/>
  <c r="K3638" i="1" s="1"/>
  <c r="L3638" i="1" s="1"/>
  <c r="J3637" i="1"/>
  <c r="I3637" i="1"/>
  <c r="K3637" i="1" s="1"/>
  <c r="L3637" i="1" s="1"/>
  <c r="J3636" i="1"/>
  <c r="I3636" i="1"/>
  <c r="K3636" i="1" s="1"/>
  <c r="L3636" i="1" s="1"/>
  <c r="J3635" i="1"/>
  <c r="I3635" i="1"/>
  <c r="K3635" i="1" s="1"/>
  <c r="L3635" i="1" s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8" i="1"/>
  <c r="I3608" i="1"/>
  <c r="K3608" i="1" s="1"/>
  <c r="L3608" i="1" s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J3602" i="1"/>
  <c r="I3602" i="1"/>
  <c r="K3602" i="1" s="1"/>
  <c r="L3602" i="1" s="1"/>
  <c r="J3601" i="1"/>
  <c r="I3601" i="1"/>
  <c r="K3601" i="1" s="1"/>
  <c r="L3601" i="1" s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J3591" i="1"/>
  <c r="I3591" i="1"/>
  <c r="K3591" i="1" s="1"/>
  <c r="L3591" i="1" s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J3578" i="1"/>
  <c r="I3578" i="1"/>
  <c r="K3578" i="1" s="1"/>
  <c r="L3578" i="1" s="1"/>
  <c r="J3577" i="1"/>
  <c r="I3577" i="1"/>
  <c r="K3577" i="1" s="1"/>
  <c r="L3577" i="1" s="1"/>
  <c r="J3576" i="1"/>
  <c r="I3576" i="1"/>
  <c r="K3576" i="1" s="1"/>
  <c r="L3576" i="1" s="1"/>
  <c r="J3575" i="1"/>
  <c r="I3575" i="1"/>
  <c r="K3575" i="1" s="1"/>
  <c r="L3575" i="1" s="1"/>
  <c r="J3574" i="1"/>
  <c r="I3574" i="1"/>
  <c r="K3574" i="1" s="1"/>
  <c r="L3574" i="1" s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J3568" i="1"/>
  <c r="I3568" i="1"/>
  <c r="K3568" i="1" s="1"/>
  <c r="L3568" i="1" s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4" i="1"/>
  <c r="I3564" i="1"/>
  <c r="K3564" i="1" s="1"/>
  <c r="L3564" i="1" s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J3559" i="1"/>
  <c r="I3559" i="1"/>
  <c r="K3559" i="1" s="1"/>
  <c r="L3559" i="1" s="1"/>
  <c r="J3558" i="1"/>
  <c r="I3558" i="1"/>
  <c r="K3558" i="1" s="1"/>
  <c r="L3558" i="1" s="1"/>
  <c r="J3557" i="1"/>
  <c r="I3557" i="1"/>
  <c r="K3557" i="1" s="1"/>
  <c r="L3557" i="1" s="1"/>
  <c r="J3556" i="1"/>
  <c r="I3556" i="1"/>
  <c r="K3556" i="1" s="1"/>
  <c r="L3556" i="1" s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J3547" i="1"/>
  <c r="I3547" i="1"/>
  <c r="K3547" i="1" s="1"/>
  <c r="L3547" i="1" s="1"/>
  <c r="J3520" i="1"/>
  <c r="I3520" i="1"/>
  <c r="K3520" i="1" s="1"/>
  <c r="L3520" i="1" s="1"/>
  <c r="J3476" i="1"/>
  <c r="I3476" i="1"/>
  <c r="K3476" i="1" s="1"/>
  <c r="L3476" i="1" s="1"/>
  <c r="J3432" i="1"/>
  <c r="I3432" i="1"/>
  <c r="K3432" i="1" s="1"/>
  <c r="L3432" i="1" s="1"/>
  <c r="J3388" i="1"/>
  <c r="I3388" i="1"/>
  <c r="K3388" i="1" s="1"/>
  <c r="L3388" i="1" s="1"/>
  <c r="J3344" i="1"/>
  <c r="I3344" i="1"/>
  <c r="K3344" i="1" s="1"/>
  <c r="L3344" i="1" s="1"/>
  <c r="J3300" i="1"/>
  <c r="I3300" i="1"/>
  <c r="K3300" i="1" s="1"/>
  <c r="L3300" i="1" s="1"/>
  <c r="J3256" i="1"/>
  <c r="I3256" i="1"/>
  <c r="K3256" i="1" s="1"/>
  <c r="L3256" i="1" s="1"/>
  <c r="J3212" i="1"/>
  <c r="I3212" i="1"/>
  <c r="K3212" i="1" s="1"/>
  <c r="L3212" i="1" s="1"/>
  <c r="J3168" i="1"/>
  <c r="I3168" i="1"/>
  <c r="K3168" i="1" s="1"/>
  <c r="L3168" i="1" s="1"/>
  <c r="J3124" i="1"/>
  <c r="I3124" i="1"/>
  <c r="K3124" i="1" s="1"/>
  <c r="L3124" i="1" s="1"/>
  <c r="J3080" i="1"/>
  <c r="I3080" i="1"/>
  <c r="K3080" i="1" s="1"/>
  <c r="L3080" i="1" s="1"/>
  <c r="J3036" i="1"/>
  <c r="I3036" i="1"/>
  <c r="K3036" i="1" s="1"/>
  <c r="L3036" i="1" s="1"/>
  <c r="J2992" i="1"/>
  <c r="I2992" i="1"/>
  <c r="K2992" i="1" s="1"/>
  <c r="L2992" i="1" s="1"/>
  <c r="J2948" i="1"/>
  <c r="I2948" i="1"/>
  <c r="K2948" i="1" s="1"/>
  <c r="L2948" i="1" s="1"/>
  <c r="J2904" i="1"/>
  <c r="I2904" i="1"/>
  <c r="K2904" i="1" s="1"/>
  <c r="L2904" i="1" s="1"/>
  <c r="J2860" i="1"/>
  <c r="I2860" i="1"/>
  <c r="K2860" i="1" s="1"/>
  <c r="L2860" i="1" s="1"/>
  <c r="J2816" i="1"/>
  <c r="I2816" i="1"/>
  <c r="K2816" i="1" s="1"/>
  <c r="L2816" i="1" s="1"/>
  <c r="J2772" i="1"/>
  <c r="I2772" i="1"/>
  <c r="K2772" i="1" s="1"/>
  <c r="L2772" i="1" s="1"/>
  <c r="J2728" i="1"/>
  <c r="I2728" i="1"/>
  <c r="K2728" i="1" s="1"/>
  <c r="L2728" i="1" s="1"/>
  <c r="J2684" i="1"/>
  <c r="I2684" i="1"/>
  <c r="K2684" i="1" s="1"/>
  <c r="L2684" i="1" s="1"/>
  <c r="J2640" i="1"/>
  <c r="I2640" i="1"/>
  <c r="K2640" i="1" s="1"/>
  <c r="L2640" i="1" s="1"/>
  <c r="J2596" i="1"/>
  <c r="I2596" i="1"/>
  <c r="K2596" i="1" s="1"/>
  <c r="L2596" i="1" s="1"/>
  <c r="J2552" i="1"/>
  <c r="I2552" i="1"/>
  <c r="K2552" i="1" s="1"/>
  <c r="L2552" i="1" s="1"/>
  <c r="J2508" i="1"/>
  <c r="I2508" i="1"/>
  <c r="K2508" i="1" s="1"/>
  <c r="L2508" i="1" s="1"/>
  <c r="J774" i="1"/>
  <c r="I774" i="1"/>
  <c r="K774" i="1" s="1"/>
  <c r="L774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6" i="1"/>
  <c r="I746" i="1"/>
  <c r="K746" i="1" s="1"/>
  <c r="L746" i="1" s="1"/>
  <c r="J745" i="1"/>
  <c r="I745" i="1"/>
  <c r="K745" i="1" s="1"/>
  <c r="L745" i="1" s="1"/>
  <c r="J744" i="1"/>
  <c r="I744" i="1"/>
  <c r="K744" i="1" s="1"/>
  <c r="L744" i="1" s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19" i="1"/>
  <c r="I19" i="1"/>
  <c r="K19" i="1" s="1"/>
  <c r="L19" i="1" s="1"/>
  <c r="J66" i="1"/>
  <c r="I66" i="1"/>
  <c r="K66" i="1" s="1"/>
  <c r="L66" i="1" s="1"/>
  <c r="J110" i="1"/>
  <c r="I110" i="1"/>
  <c r="K110" i="1" s="1"/>
  <c r="L110" i="1" s="1"/>
  <c r="J154" i="1"/>
  <c r="I154" i="1"/>
  <c r="K154" i="1" s="1"/>
  <c r="L154" i="1" s="1"/>
  <c r="J192" i="1"/>
  <c r="I192" i="1"/>
  <c r="K192" i="1" s="1"/>
  <c r="L192" i="1" s="1"/>
  <c r="J199" i="1"/>
  <c r="I199" i="1"/>
  <c r="K199" i="1" s="1"/>
  <c r="L199" i="1" s="1"/>
  <c r="J243" i="1"/>
  <c r="I243" i="1"/>
  <c r="K243" i="1" s="1"/>
  <c r="L243" i="1" s="1"/>
  <c r="J282" i="1"/>
  <c r="I282" i="1"/>
  <c r="K282" i="1" s="1"/>
  <c r="L282" i="1" s="1"/>
  <c r="J325" i="1"/>
  <c r="I325" i="1"/>
  <c r="K325" i="1" s="1"/>
  <c r="L325" i="1" s="1"/>
  <c r="J369" i="1"/>
  <c r="I369" i="1"/>
  <c r="K369" i="1" s="1"/>
  <c r="L369" i="1" s="1"/>
  <c r="J412" i="1"/>
  <c r="I412" i="1"/>
  <c r="K412" i="1" s="1"/>
  <c r="L412" i="1" s="1"/>
  <c r="J430" i="1"/>
  <c r="I430" i="1"/>
  <c r="K430" i="1" s="1"/>
  <c r="L430" i="1" s="1"/>
  <c r="J456" i="1"/>
  <c r="I456" i="1"/>
  <c r="K456" i="1" s="1"/>
  <c r="L456" i="1" s="1"/>
  <c r="J478" i="1"/>
  <c r="I478" i="1"/>
  <c r="K478" i="1" s="1"/>
  <c r="L478" i="1" s="1"/>
  <c r="J504" i="1"/>
  <c r="I504" i="1"/>
  <c r="K504" i="1" s="1"/>
  <c r="L504" i="1" s="1"/>
  <c r="J503" i="1"/>
  <c r="I503" i="1"/>
  <c r="K503" i="1" s="1"/>
  <c r="L503" i="1" s="1"/>
  <c r="J549" i="1"/>
  <c r="I549" i="1"/>
  <c r="K549" i="1" s="1"/>
  <c r="L549" i="1" s="1"/>
  <c r="J548" i="1"/>
  <c r="I548" i="1"/>
  <c r="K548" i="1" s="1"/>
  <c r="L548" i="1" s="1"/>
  <c r="J594" i="1"/>
  <c r="I594" i="1"/>
  <c r="K594" i="1" s="1"/>
  <c r="L594" i="1" s="1"/>
  <c r="J593" i="1"/>
  <c r="I593" i="1"/>
  <c r="K593" i="1" s="1"/>
  <c r="L593" i="1" s="1"/>
  <c r="J639" i="1"/>
  <c r="I639" i="1"/>
  <c r="K639" i="1" s="1"/>
  <c r="L639" i="1" s="1"/>
  <c r="J638" i="1"/>
  <c r="I638" i="1"/>
  <c r="K638" i="1" s="1"/>
  <c r="L638" i="1" s="1"/>
  <c r="J748" i="1"/>
  <c r="I748" i="1"/>
  <c r="K748" i="1" s="1"/>
  <c r="L748" i="1" s="1"/>
  <c r="J747" i="1"/>
  <c r="I747" i="1"/>
  <c r="K747" i="1" s="1"/>
  <c r="L747" i="1" s="1"/>
  <c r="J792" i="1"/>
  <c r="I792" i="1"/>
  <c r="K792" i="1" s="1"/>
  <c r="L792" i="1" s="1"/>
  <c r="J836" i="1"/>
  <c r="I836" i="1"/>
  <c r="K836" i="1" s="1"/>
  <c r="L836" i="1" s="1"/>
  <c r="J880" i="1"/>
  <c r="I880" i="1"/>
  <c r="K880" i="1" s="1"/>
  <c r="L880" i="1" s="1"/>
  <c r="J924" i="1"/>
  <c r="I924" i="1"/>
  <c r="K924" i="1" s="1"/>
  <c r="L924" i="1" s="1"/>
  <c r="J968" i="1"/>
  <c r="I968" i="1"/>
  <c r="K968" i="1" s="1"/>
  <c r="L968" i="1" s="1"/>
  <c r="J1012" i="1"/>
  <c r="I1012" i="1"/>
  <c r="K1012" i="1" s="1"/>
  <c r="L1012" i="1" s="1"/>
  <c r="J1056" i="1"/>
  <c r="I1056" i="1"/>
  <c r="K1056" i="1" s="1"/>
  <c r="L1056" i="1" s="1"/>
  <c r="J1100" i="1"/>
  <c r="I1100" i="1"/>
  <c r="K1100" i="1" s="1"/>
  <c r="L1100" i="1" s="1"/>
  <c r="J1144" i="1"/>
  <c r="I1144" i="1"/>
  <c r="K1144" i="1" s="1"/>
  <c r="L1144" i="1" s="1"/>
  <c r="J1188" i="1"/>
  <c r="I1188" i="1"/>
  <c r="K1188" i="1" s="1"/>
  <c r="L1188" i="1" s="1"/>
  <c r="J1232" i="1"/>
  <c r="I1232" i="1"/>
  <c r="K1232" i="1" s="1"/>
  <c r="L1232" i="1" s="1"/>
  <c r="J1276" i="1"/>
  <c r="I1276" i="1"/>
  <c r="K1276" i="1" s="1"/>
  <c r="L1276" i="1" s="1"/>
  <c r="J1320" i="1"/>
  <c r="I1320" i="1"/>
  <c r="K1320" i="1" s="1"/>
  <c r="L1320" i="1" s="1"/>
  <c r="J1364" i="1"/>
  <c r="I1364" i="1"/>
  <c r="K1364" i="1" s="1"/>
  <c r="L1364" i="1" s="1"/>
  <c r="J1408" i="1"/>
  <c r="I1408" i="1"/>
  <c r="K1408" i="1" s="1"/>
  <c r="L1408" i="1" s="1"/>
  <c r="J1452" i="1"/>
  <c r="I1452" i="1"/>
  <c r="K1452" i="1" s="1"/>
  <c r="L1452" i="1" s="1"/>
  <c r="J1496" i="1"/>
  <c r="I1496" i="1"/>
  <c r="K1496" i="1" s="1"/>
  <c r="L1496" i="1" s="1"/>
  <c r="J1540" i="1"/>
  <c r="I1540" i="1"/>
  <c r="K1540" i="1" s="1"/>
  <c r="L1540" i="1" s="1"/>
  <c r="J1584" i="1"/>
  <c r="I1584" i="1"/>
  <c r="K1584" i="1" s="1"/>
  <c r="L1584" i="1" s="1"/>
  <c r="J1628" i="1"/>
  <c r="I1628" i="1"/>
  <c r="K1628" i="1" s="1"/>
  <c r="L1628" i="1" s="1"/>
  <c r="J1672" i="1"/>
  <c r="I1672" i="1"/>
  <c r="K1672" i="1" s="1"/>
  <c r="L1672" i="1" s="1"/>
  <c r="J1716" i="1"/>
  <c r="I1716" i="1"/>
  <c r="K1716" i="1" s="1"/>
  <c r="L1716" i="1" s="1"/>
  <c r="J1760" i="1"/>
  <c r="I1760" i="1"/>
  <c r="K1760" i="1" s="1"/>
  <c r="L1760" i="1" s="1"/>
  <c r="J1804" i="1"/>
  <c r="I1804" i="1"/>
  <c r="K1804" i="1" s="1"/>
  <c r="L1804" i="1" s="1"/>
  <c r="J1848" i="1"/>
  <c r="I1848" i="1"/>
  <c r="K1848" i="1" s="1"/>
  <c r="L1848" i="1" s="1"/>
  <c r="J1892" i="1"/>
  <c r="I1892" i="1"/>
  <c r="K1892" i="1" s="1"/>
  <c r="L1892" i="1" s="1"/>
  <c r="J1936" i="1"/>
  <c r="I1936" i="1"/>
  <c r="K1936" i="1" s="1"/>
  <c r="L1936" i="1" s="1"/>
  <c r="J1980" i="1"/>
  <c r="I1980" i="1"/>
  <c r="K1980" i="1" s="1"/>
  <c r="L1980" i="1" s="1"/>
  <c r="J2024" i="1"/>
  <c r="I2024" i="1"/>
  <c r="K2024" i="1" s="1"/>
  <c r="L2024" i="1" s="1"/>
  <c r="J2068" i="1"/>
  <c r="I2068" i="1"/>
  <c r="K2068" i="1" s="1"/>
  <c r="L2068" i="1" s="1"/>
  <c r="J2112" i="1"/>
  <c r="I2112" i="1"/>
  <c r="K2112" i="1" s="1"/>
  <c r="L2112" i="1" s="1"/>
  <c r="J2156" i="1"/>
  <c r="I2156" i="1"/>
  <c r="K2156" i="1" s="1"/>
  <c r="L2156" i="1" s="1"/>
  <c r="J2200" i="1"/>
  <c r="I2200" i="1"/>
  <c r="K2200" i="1" s="1"/>
  <c r="L2200" i="1" s="1"/>
  <c r="J2244" i="1"/>
  <c r="I2244" i="1"/>
  <c r="K2244" i="1" s="1"/>
  <c r="L2244" i="1" s="1"/>
  <c r="J2288" i="1"/>
  <c r="I2288" i="1"/>
  <c r="K2288" i="1" s="1"/>
  <c r="L2288" i="1" s="1"/>
  <c r="J2332" i="1"/>
  <c r="I2332" i="1"/>
  <c r="K2332" i="1" s="1"/>
  <c r="L2332" i="1" s="1"/>
  <c r="J2376" i="1"/>
  <c r="I2376" i="1"/>
  <c r="K2376" i="1" s="1"/>
  <c r="L2376" i="1" s="1"/>
  <c r="J2420" i="1"/>
  <c r="I2420" i="1"/>
  <c r="K2420" i="1" s="1"/>
  <c r="L2420" i="1" s="1"/>
  <c r="J2464" i="1"/>
  <c r="I2464" i="1"/>
  <c r="K2464" i="1" s="1"/>
  <c r="L2464" i="1" s="1"/>
  <c r="J665" i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L622" i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L613" i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L599" i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L592" i="1"/>
  <c r="L591" i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L586" i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L577" i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L568" i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L509" i="1"/>
  <c r="J508" i="1"/>
  <c r="I508" i="1"/>
  <c r="J507" i="1"/>
  <c r="I507" i="1"/>
  <c r="J506" i="1"/>
  <c r="I506" i="1"/>
  <c r="J505" i="1"/>
  <c r="I505" i="1"/>
  <c r="L502" i="1"/>
  <c r="J501" i="1"/>
  <c r="I501" i="1"/>
  <c r="J500" i="1"/>
  <c r="I500" i="1"/>
  <c r="J499" i="1"/>
  <c r="I499" i="1"/>
  <c r="L498" i="1"/>
  <c r="J497" i="1"/>
  <c r="I497" i="1"/>
  <c r="L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L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L468" i="1"/>
  <c r="J467" i="1"/>
  <c r="I467" i="1"/>
  <c r="J466" i="1"/>
  <c r="I466" i="1"/>
  <c r="J465" i="1"/>
  <c r="I465" i="1"/>
  <c r="J464" i="1"/>
  <c r="I464" i="1"/>
  <c r="J463" i="1"/>
  <c r="I463" i="1"/>
  <c r="K463" i="1" s="1"/>
  <c r="L463" i="1" s="1"/>
  <c r="J462" i="1"/>
  <c r="I462" i="1"/>
  <c r="L461" i="1"/>
  <c r="J460" i="1"/>
  <c r="I460" i="1"/>
  <c r="J459" i="1"/>
  <c r="I459" i="1"/>
  <c r="J458" i="1"/>
  <c r="I458" i="1"/>
  <c r="J457" i="1"/>
  <c r="I457" i="1"/>
  <c r="L455" i="1"/>
  <c r="J454" i="1"/>
  <c r="I454" i="1"/>
  <c r="L453" i="1"/>
  <c r="J452" i="1"/>
  <c r="I452" i="1"/>
  <c r="L451" i="1"/>
  <c r="J450" i="1"/>
  <c r="I450" i="1"/>
  <c r="J449" i="1"/>
  <c r="I449" i="1"/>
  <c r="J448" i="1"/>
  <c r="I448" i="1"/>
  <c r="J447" i="1"/>
  <c r="I447" i="1"/>
  <c r="K447" i="1" s="1"/>
  <c r="L447" i="1" s="1"/>
  <c r="J446" i="1"/>
  <c r="I446" i="1"/>
  <c r="L445" i="1"/>
  <c r="J444" i="1"/>
  <c r="I444" i="1"/>
  <c r="L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K394" i="1" s="1"/>
  <c r="L394" i="1" s="1"/>
  <c r="J393" i="1"/>
  <c r="I393" i="1"/>
  <c r="J392" i="1"/>
  <c r="I392" i="1"/>
  <c r="J391" i="1"/>
  <c r="I391" i="1"/>
  <c r="J390" i="1"/>
  <c r="I390" i="1"/>
  <c r="K390" i="1" s="1"/>
  <c r="L390" i="1" s="1"/>
  <c r="J389" i="1"/>
  <c r="I389" i="1"/>
  <c r="J388" i="1"/>
  <c r="I388" i="1"/>
  <c r="J387" i="1"/>
  <c r="I387" i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K383" i="1" s="1"/>
  <c r="L383" i="1" s="1"/>
  <c r="J382" i="1"/>
  <c r="I382" i="1"/>
  <c r="K382" i="1" s="1"/>
  <c r="L382" i="1" s="1"/>
  <c r="L381" i="1"/>
  <c r="J380" i="1"/>
  <c r="I380" i="1"/>
  <c r="K380" i="1" s="1"/>
  <c r="L380" i="1" s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K352" i="1" s="1"/>
  <c r="L352" i="1" s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L324" i="1"/>
  <c r="L323" i="1"/>
  <c r="J322" i="1"/>
  <c r="I322" i="1"/>
  <c r="K322" i="1" s="1"/>
  <c r="L322" i="1" s="1"/>
  <c r="J321" i="1"/>
  <c r="I321" i="1"/>
  <c r="K321" i="1" s="1"/>
  <c r="L321" i="1" s="1"/>
  <c r="J320" i="1"/>
  <c r="I320" i="1"/>
  <c r="J319" i="1"/>
  <c r="I319" i="1"/>
  <c r="K319" i="1" s="1"/>
  <c r="L319" i="1" s="1"/>
  <c r="J318" i="1"/>
  <c r="I318" i="1"/>
  <c r="J317" i="1"/>
  <c r="I317" i="1"/>
  <c r="K317" i="1" s="1"/>
  <c r="L317" i="1" s="1"/>
  <c r="J316" i="1"/>
  <c r="I316" i="1"/>
  <c r="J315" i="1"/>
  <c r="I315" i="1"/>
  <c r="K315" i="1" s="1"/>
  <c r="L315" i="1" s="1"/>
  <c r="J314" i="1"/>
  <c r="I314" i="1"/>
  <c r="J313" i="1"/>
  <c r="I313" i="1"/>
  <c r="K313" i="1" s="1"/>
  <c r="L313" i="1" s="1"/>
  <c r="L312" i="1"/>
  <c r="J311" i="1"/>
  <c r="I311" i="1"/>
  <c r="J310" i="1"/>
  <c r="I310" i="1"/>
  <c r="K310" i="1" s="1"/>
  <c r="L310" i="1" s="1"/>
  <c r="J309" i="1"/>
  <c r="I309" i="1"/>
  <c r="J308" i="1"/>
  <c r="I308" i="1"/>
  <c r="K308" i="1" s="1"/>
  <c r="L308" i="1" s="1"/>
  <c r="J307" i="1"/>
  <c r="I307" i="1"/>
  <c r="J306" i="1"/>
  <c r="I306" i="1"/>
  <c r="K306" i="1" s="1"/>
  <c r="L306" i="1" s="1"/>
  <c r="J305" i="1"/>
  <c r="I305" i="1"/>
  <c r="J304" i="1"/>
  <c r="I304" i="1"/>
  <c r="K304" i="1" s="1"/>
  <c r="L304" i="1" s="1"/>
  <c r="J303" i="1"/>
  <c r="I303" i="1"/>
  <c r="J302" i="1"/>
  <c r="I302" i="1"/>
  <c r="K302" i="1" s="1"/>
  <c r="L302" i="1" s="1"/>
  <c r="J301" i="1"/>
  <c r="I301" i="1"/>
  <c r="J300" i="1"/>
  <c r="I300" i="1"/>
  <c r="K300" i="1" s="1"/>
  <c r="L300" i="1" s="1"/>
  <c r="J299" i="1"/>
  <c r="I299" i="1"/>
  <c r="J298" i="1"/>
  <c r="I298" i="1"/>
  <c r="K298" i="1" s="1"/>
  <c r="L298" i="1" s="1"/>
  <c r="J297" i="1"/>
  <c r="I297" i="1"/>
  <c r="J296" i="1"/>
  <c r="I296" i="1"/>
  <c r="K296" i="1" s="1"/>
  <c r="L296" i="1" s="1"/>
  <c r="J295" i="1"/>
  <c r="I295" i="1"/>
  <c r="L294" i="1"/>
  <c r="J293" i="1"/>
  <c r="I293" i="1"/>
  <c r="K293" i="1" s="1"/>
  <c r="L293" i="1" s="1"/>
  <c r="J292" i="1"/>
  <c r="I292" i="1"/>
  <c r="J291" i="1"/>
  <c r="I291" i="1"/>
  <c r="K291" i="1" s="1"/>
  <c r="L291" i="1" s="1"/>
  <c r="J290" i="1"/>
  <c r="I290" i="1"/>
  <c r="J289" i="1"/>
  <c r="I289" i="1"/>
  <c r="K289" i="1" s="1"/>
  <c r="L289" i="1" s="1"/>
  <c r="J288" i="1"/>
  <c r="I288" i="1"/>
  <c r="L287" i="1"/>
  <c r="J286" i="1"/>
  <c r="I286" i="1"/>
  <c r="K286" i="1" s="1"/>
  <c r="L286" i="1" s="1"/>
  <c r="J285" i="1"/>
  <c r="I285" i="1"/>
  <c r="J284" i="1"/>
  <c r="I284" i="1"/>
  <c r="K284" i="1" s="1"/>
  <c r="L284" i="1" s="1"/>
  <c r="J283" i="1"/>
  <c r="I283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K262" i="1" s="1"/>
  <c r="L262" i="1" s="1"/>
  <c r="J261" i="1"/>
  <c r="I261" i="1"/>
  <c r="J260" i="1"/>
  <c r="I260" i="1"/>
  <c r="K260" i="1" s="1"/>
  <c r="L260" i="1" s="1"/>
  <c r="J259" i="1"/>
  <c r="I259" i="1"/>
  <c r="J258" i="1"/>
  <c r="I258" i="1"/>
  <c r="K258" i="1" s="1"/>
  <c r="L258" i="1" s="1"/>
  <c r="J257" i="1"/>
  <c r="I257" i="1"/>
  <c r="J256" i="1"/>
  <c r="I256" i="1"/>
  <c r="K256" i="1" s="1"/>
  <c r="L256" i="1" s="1"/>
  <c r="L255" i="1"/>
  <c r="J254" i="1"/>
  <c r="I254" i="1"/>
  <c r="J253" i="1"/>
  <c r="I253" i="1"/>
  <c r="K253" i="1" s="1"/>
  <c r="L253" i="1" s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K207" i="1" s="1"/>
  <c r="L207" i="1" s="1"/>
  <c r="J206" i="1"/>
  <c r="I206" i="1"/>
  <c r="J205" i="1"/>
  <c r="I205" i="1"/>
  <c r="K205" i="1" s="1"/>
  <c r="L205" i="1" s="1"/>
  <c r="L204" i="1"/>
  <c r="J203" i="1"/>
  <c r="I203" i="1"/>
  <c r="J202" i="1"/>
  <c r="I202" i="1"/>
  <c r="J201" i="1"/>
  <c r="I201" i="1"/>
  <c r="J200" i="1"/>
  <c r="I200" i="1"/>
  <c r="L198" i="1"/>
  <c r="L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K169" i="1" s="1"/>
  <c r="L169" i="1" s="1"/>
  <c r="J168" i="1"/>
  <c r="I168" i="1"/>
  <c r="K168" i="1" s="1"/>
  <c r="L168" i="1" s="1"/>
  <c r="J167" i="1"/>
  <c r="I167" i="1"/>
  <c r="L166" i="1"/>
  <c r="J165" i="1"/>
  <c r="I165" i="1"/>
  <c r="K165" i="1" s="1"/>
  <c r="L165" i="1" s="1"/>
  <c r="J164" i="1"/>
  <c r="I164" i="1"/>
  <c r="K164" i="1" s="1"/>
  <c r="L164" i="1" s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L159" i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L153" i="1"/>
  <c r="L152" i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J144" i="1"/>
  <c r="I144" i="1"/>
  <c r="K144" i="1" s="1"/>
  <c r="L144" i="1" s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J139" i="1"/>
  <c r="I139" i="1"/>
  <c r="K139" i="1" s="1"/>
  <c r="L139" i="1" s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L135" i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L126" i="1"/>
  <c r="J125" i="1"/>
  <c r="I125" i="1"/>
  <c r="K125" i="1" s="1"/>
  <c r="L125" i="1" s="1"/>
  <c r="J124" i="1"/>
  <c r="I124" i="1"/>
  <c r="K124" i="1" s="1"/>
  <c r="L124" i="1" s="1"/>
  <c r="J123" i="1"/>
  <c r="I123" i="1"/>
  <c r="K123" i="1" s="1"/>
  <c r="L123" i="1" s="1"/>
  <c r="L122" i="1"/>
  <c r="J121" i="1"/>
  <c r="I121" i="1"/>
  <c r="K121" i="1" s="1"/>
  <c r="L121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450" i="1" l="1"/>
  <c r="L450" i="1" s="1"/>
  <c r="K428" i="1"/>
  <c r="L428" i="1" s="1"/>
  <c r="K426" i="1"/>
  <c r="L426" i="1" s="1"/>
  <c r="K424" i="1"/>
  <c r="L424" i="1" s="1"/>
  <c r="K421" i="1"/>
  <c r="L421" i="1" s="1"/>
  <c r="K419" i="1"/>
  <c r="L419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117" i="1"/>
  <c r="L117" i="1" s="1"/>
  <c r="K113" i="1"/>
  <c r="L113" i="1" s="1"/>
  <c r="K106" i="1"/>
  <c r="L106" i="1" s="1"/>
  <c r="K103" i="1"/>
  <c r="L103" i="1" s="1"/>
  <c r="K100" i="1"/>
  <c r="L100" i="1" s="1"/>
  <c r="K97" i="1"/>
  <c r="L97" i="1" s="1"/>
  <c r="K95" i="1"/>
  <c r="L95" i="1" s="1"/>
  <c r="K92" i="1"/>
  <c r="L92" i="1" s="1"/>
  <c r="K88" i="1"/>
  <c r="L88" i="1" s="1"/>
  <c r="K85" i="1"/>
  <c r="L85" i="1" s="1"/>
  <c r="K82" i="1"/>
  <c r="L82" i="1" s="1"/>
  <c r="K79" i="1"/>
  <c r="L79" i="1" s="1"/>
  <c r="K75" i="1"/>
  <c r="L75" i="1" s="1"/>
  <c r="K72" i="1"/>
  <c r="L72" i="1" s="1"/>
  <c r="K69" i="1"/>
  <c r="L69" i="1" s="1"/>
  <c r="K67" i="1"/>
  <c r="L67" i="1" s="1"/>
  <c r="K62" i="1"/>
  <c r="L62" i="1" s="1"/>
  <c r="K59" i="1"/>
  <c r="L59" i="1" s="1"/>
  <c r="K56" i="1"/>
  <c r="L56" i="1" s="1"/>
  <c r="K54" i="1"/>
  <c r="L54" i="1" s="1"/>
  <c r="K459" i="1"/>
  <c r="L459" i="1" s="1"/>
  <c r="K442" i="1"/>
  <c r="L442" i="1" s="1"/>
  <c r="K409" i="1"/>
  <c r="L409" i="1" s="1"/>
  <c r="K392" i="1"/>
  <c r="L392" i="1" s="1"/>
  <c r="K388" i="1"/>
  <c r="L388" i="1" s="1"/>
  <c r="K114" i="1"/>
  <c r="L114" i="1" s="1"/>
  <c r="K111" i="1"/>
  <c r="L111" i="1" s="1"/>
  <c r="K107" i="1"/>
  <c r="L107" i="1" s="1"/>
  <c r="K102" i="1"/>
  <c r="L102" i="1" s="1"/>
  <c r="K99" i="1"/>
  <c r="L99" i="1" s="1"/>
  <c r="K96" i="1"/>
  <c r="L96" i="1" s="1"/>
  <c r="K93" i="1"/>
  <c r="L93" i="1" s="1"/>
  <c r="K89" i="1"/>
  <c r="L89" i="1" s="1"/>
  <c r="K86" i="1"/>
  <c r="L86" i="1" s="1"/>
  <c r="K83" i="1"/>
  <c r="L83" i="1" s="1"/>
  <c r="K81" i="1"/>
  <c r="L81" i="1" s="1"/>
  <c r="K77" i="1"/>
  <c r="L77" i="1" s="1"/>
  <c r="K74" i="1"/>
  <c r="L74" i="1" s="1"/>
  <c r="K70" i="1"/>
  <c r="L70" i="1" s="1"/>
  <c r="K68" i="1"/>
  <c r="L68" i="1" s="1"/>
  <c r="K63" i="1"/>
  <c r="L63" i="1" s="1"/>
  <c r="K60" i="1"/>
  <c r="L60" i="1" s="1"/>
  <c r="K57" i="1"/>
  <c r="L57" i="1" s="1"/>
  <c r="K55" i="1"/>
  <c r="L55" i="1" s="1"/>
  <c r="K51" i="1"/>
  <c r="L51" i="1" s="1"/>
  <c r="K116" i="1"/>
  <c r="L116" i="1" s="1"/>
  <c r="K112" i="1"/>
  <c r="L112" i="1" s="1"/>
  <c r="K105" i="1"/>
  <c r="L105" i="1" s="1"/>
  <c r="K104" i="1"/>
  <c r="L104" i="1" s="1"/>
  <c r="K101" i="1"/>
  <c r="L101" i="1" s="1"/>
  <c r="K98" i="1"/>
  <c r="L98" i="1" s="1"/>
  <c r="K94" i="1"/>
  <c r="L94" i="1" s="1"/>
  <c r="K90" i="1"/>
  <c r="L90" i="1" s="1"/>
  <c r="K87" i="1"/>
  <c r="L87" i="1" s="1"/>
  <c r="K84" i="1"/>
  <c r="L84" i="1" s="1"/>
  <c r="K80" i="1"/>
  <c r="L80" i="1" s="1"/>
  <c r="K76" i="1"/>
  <c r="L76" i="1" s="1"/>
  <c r="K73" i="1"/>
  <c r="L73" i="1" s="1"/>
  <c r="K61" i="1"/>
  <c r="L61" i="1" s="1"/>
  <c r="K58" i="1"/>
  <c r="L58" i="1" s="1"/>
  <c r="K52" i="1"/>
  <c r="L52" i="1" s="1"/>
  <c r="K557" i="1"/>
  <c r="L557" i="1" s="1"/>
  <c r="K555" i="1"/>
  <c r="L555" i="1" s="1"/>
  <c r="K552" i="1"/>
  <c r="L552" i="1" s="1"/>
  <c r="K491" i="1"/>
  <c r="L491" i="1" s="1"/>
  <c r="K488" i="1"/>
  <c r="L488" i="1" s="1"/>
  <c r="K484" i="1"/>
  <c r="L484" i="1" s="1"/>
  <c r="K481" i="1"/>
  <c r="L481" i="1" s="1"/>
  <c r="K472" i="1"/>
  <c r="L472" i="1" s="1"/>
  <c r="K469" i="1"/>
  <c r="L469" i="1" s="1"/>
  <c r="K465" i="1"/>
  <c r="L465" i="1" s="1"/>
  <c r="K458" i="1"/>
  <c r="L458" i="1" s="1"/>
  <c r="K449" i="1"/>
  <c r="L449" i="1" s="1"/>
  <c r="K437" i="1"/>
  <c r="L437" i="1" s="1"/>
  <c r="K435" i="1"/>
  <c r="L435" i="1" s="1"/>
  <c r="K433" i="1"/>
  <c r="L433" i="1" s="1"/>
  <c r="K431" i="1"/>
  <c r="L431" i="1" s="1"/>
  <c r="K429" i="1"/>
  <c r="L429" i="1" s="1"/>
  <c r="K427" i="1"/>
  <c r="L427" i="1" s="1"/>
  <c r="K416" i="1"/>
  <c r="L416" i="1" s="1"/>
  <c r="K414" i="1"/>
  <c r="L414" i="1" s="1"/>
  <c r="K407" i="1"/>
  <c r="L407" i="1" s="1"/>
  <c r="K405" i="1"/>
  <c r="L405" i="1" s="1"/>
  <c r="K403" i="1"/>
  <c r="L403" i="1" s="1"/>
  <c r="K398" i="1"/>
  <c r="L398" i="1" s="1"/>
  <c r="K396" i="1"/>
  <c r="L396" i="1" s="1"/>
  <c r="K320" i="1"/>
  <c r="L320" i="1" s="1"/>
  <c r="K318" i="1"/>
  <c r="L318" i="1" s="1"/>
  <c r="K316" i="1"/>
  <c r="L316" i="1" s="1"/>
  <c r="K314" i="1"/>
  <c r="L314" i="1" s="1"/>
  <c r="K311" i="1"/>
  <c r="L311" i="1" s="1"/>
  <c r="K295" i="1"/>
  <c r="L295" i="1" s="1"/>
  <c r="K292" i="1"/>
  <c r="L292" i="1" s="1"/>
  <c r="K290" i="1"/>
  <c r="L290" i="1" s="1"/>
  <c r="K288" i="1"/>
  <c r="L288" i="1" s="1"/>
  <c r="K278" i="1"/>
  <c r="L278" i="1" s="1"/>
  <c r="K276" i="1"/>
  <c r="L276" i="1" s="1"/>
  <c r="K274" i="1"/>
  <c r="L274" i="1" s="1"/>
  <c r="K272" i="1"/>
  <c r="L272" i="1" s="1"/>
  <c r="K270" i="1"/>
  <c r="L270" i="1" s="1"/>
  <c r="K267" i="1"/>
  <c r="L267" i="1" s="1"/>
  <c r="K265" i="1"/>
  <c r="L265" i="1" s="1"/>
  <c r="K263" i="1"/>
  <c r="L263" i="1" s="1"/>
  <c r="K261" i="1"/>
  <c r="L261" i="1" s="1"/>
  <c r="K259" i="1"/>
  <c r="L259" i="1" s="1"/>
  <c r="K257" i="1"/>
  <c r="L257" i="1" s="1"/>
  <c r="K556" i="1"/>
  <c r="L556" i="1" s="1"/>
  <c r="K553" i="1"/>
  <c r="L553" i="1" s="1"/>
  <c r="K551" i="1"/>
  <c r="L551" i="1" s="1"/>
  <c r="K492" i="1"/>
  <c r="L492" i="1" s="1"/>
  <c r="K489" i="1"/>
  <c r="L489" i="1" s="1"/>
  <c r="K485" i="1"/>
  <c r="L485" i="1" s="1"/>
  <c r="K479" i="1"/>
  <c r="L479" i="1" s="1"/>
  <c r="K476" i="1"/>
  <c r="L476" i="1" s="1"/>
  <c r="K473" i="1"/>
  <c r="L473" i="1" s="1"/>
  <c r="K470" i="1"/>
  <c r="L470" i="1" s="1"/>
  <c r="K466" i="1"/>
  <c r="L466" i="1" s="1"/>
  <c r="K462" i="1"/>
  <c r="L462" i="1" s="1"/>
  <c r="K460" i="1"/>
  <c r="L460" i="1" s="1"/>
  <c r="K448" i="1"/>
  <c r="L448" i="1" s="1"/>
  <c r="K446" i="1"/>
  <c r="L446" i="1" s="1"/>
  <c r="K444" i="1"/>
  <c r="L444" i="1" s="1"/>
  <c r="K440" i="1"/>
  <c r="L440" i="1" s="1"/>
  <c r="K490" i="1"/>
  <c r="L490" i="1" s="1"/>
  <c r="K486" i="1"/>
  <c r="L486" i="1" s="1"/>
  <c r="K483" i="1"/>
  <c r="L483" i="1" s="1"/>
  <c r="K480" i="1"/>
  <c r="L480" i="1" s="1"/>
  <c r="K477" i="1"/>
  <c r="L477" i="1" s="1"/>
  <c r="K475" i="1"/>
  <c r="L475" i="1" s="1"/>
  <c r="K474" i="1"/>
  <c r="L474" i="1" s="1"/>
  <c r="K471" i="1"/>
  <c r="L471" i="1" s="1"/>
  <c r="K467" i="1"/>
  <c r="L467" i="1" s="1"/>
  <c r="K464" i="1"/>
  <c r="L464" i="1" s="1"/>
  <c r="K457" i="1"/>
  <c r="L457" i="1" s="1"/>
  <c r="K454" i="1"/>
  <c r="L454" i="1" s="1"/>
  <c r="K452" i="1"/>
  <c r="L452" i="1" s="1"/>
  <c r="K441" i="1"/>
  <c r="L441" i="1" s="1"/>
  <c r="K439" i="1"/>
  <c r="L439" i="1" s="1"/>
  <c r="K438" i="1"/>
  <c r="L438" i="1" s="1"/>
  <c r="K436" i="1"/>
  <c r="L436" i="1" s="1"/>
  <c r="K434" i="1"/>
  <c r="L434" i="1" s="1"/>
  <c r="K432" i="1"/>
  <c r="L432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404" i="1"/>
  <c r="L404" i="1" s="1"/>
  <c r="K401" i="1"/>
  <c r="L401" i="1" s="1"/>
  <c r="K309" i="1"/>
  <c r="L309" i="1" s="1"/>
  <c r="K307" i="1"/>
  <c r="L307" i="1" s="1"/>
  <c r="K305" i="1"/>
  <c r="L305" i="1" s="1"/>
  <c r="K303" i="1"/>
  <c r="L303" i="1" s="1"/>
  <c r="K301" i="1"/>
  <c r="L301" i="1" s="1"/>
  <c r="K299" i="1"/>
  <c r="L299" i="1" s="1"/>
  <c r="K297" i="1"/>
  <c r="L297" i="1" s="1"/>
  <c r="K285" i="1"/>
  <c r="L285" i="1" s="1"/>
  <c r="K283" i="1"/>
  <c r="L283" i="1" s="1"/>
  <c r="K281" i="1"/>
  <c r="L281" i="1" s="1"/>
  <c r="K277" i="1"/>
  <c r="L277" i="1" s="1"/>
  <c r="K275" i="1"/>
  <c r="L275" i="1" s="1"/>
  <c r="K273" i="1"/>
  <c r="L273" i="1" s="1"/>
  <c r="K271" i="1"/>
  <c r="L271" i="1" s="1"/>
  <c r="K269" i="1"/>
  <c r="L269" i="1" s="1"/>
  <c r="K266" i="1"/>
  <c r="L266" i="1" s="1"/>
  <c r="K264" i="1"/>
  <c r="L264" i="1" s="1"/>
  <c r="K254" i="1"/>
  <c r="L254" i="1" s="1"/>
  <c r="K252" i="1"/>
  <c r="L252" i="1" s="1"/>
  <c r="K494" i="1"/>
  <c r="L494" i="1" s="1"/>
  <c r="K171" i="1"/>
  <c r="L171" i="1" s="1"/>
  <c r="K195" i="1"/>
  <c r="L195" i="1" s="1"/>
  <c r="K191" i="1"/>
  <c r="L191" i="1" s="1"/>
  <c r="K173" i="1"/>
  <c r="L173" i="1" s="1"/>
  <c r="K172" i="1"/>
  <c r="L172" i="1" s="1"/>
  <c r="K495" i="1"/>
  <c r="L495" i="1" s="1"/>
  <c r="K493" i="1"/>
  <c r="L493" i="1" s="1"/>
  <c r="K208" i="1"/>
  <c r="L208" i="1" s="1"/>
  <c r="K206" i="1"/>
  <c r="L206" i="1" s="1"/>
  <c r="K202" i="1"/>
  <c r="L202" i="1" s="1"/>
  <c r="K200" i="1"/>
  <c r="L200" i="1" s="1"/>
  <c r="K196" i="1"/>
  <c r="L196" i="1" s="1"/>
  <c r="K194" i="1"/>
  <c r="L194" i="1" s="1"/>
  <c r="K189" i="1"/>
  <c r="L189" i="1" s="1"/>
  <c r="K186" i="1"/>
  <c r="L186" i="1" s="1"/>
  <c r="K183" i="1"/>
  <c r="L183" i="1" s="1"/>
  <c r="K180" i="1"/>
  <c r="L180" i="1" s="1"/>
  <c r="K176" i="1"/>
  <c r="L176" i="1" s="1"/>
  <c r="K174" i="1"/>
  <c r="L174" i="1" s="1"/>
  <c r="K50" i="1"/>
  <c r="L50" i="1" s="1"/>
  <c r="K46" i="1"/>
  <c r="L46" i="1" s="1"/>
  <c r="K43" i="1"/>
  <c r="L43" i="1" s="1"/>
  <c r="K40" i="1"/>
  <c r="L40" i="1" s="1"/>
  <c r="K14" i="1"/>
  <c r="L14" i="1" s="1"/>
  <c r="K482" i="1"/>
  <c r="L482" i="1" s="1"/>
  <c r="K251" i="1"/>
  <c r="L251" i="1" s="1"/>
  <c r="K249" i="1"/>
  <c r="L249" i="1" s="1"/>
  <c r="K246" i="1"/>
  <c r="L246" i="1" s="1"/>
  <c r="K244" i="1"/>
  <c r="L244" i="1" s="1"/>
  <c r="K242" i="1"/>
  <c r="L242" i="1" s="1"/>
  <c r="K240" i="1"/>
  <c r="L240" i="1" s="1"/>
  <c r="K236" i="1"/>
  <c r="L236" i="1" s="1"/>
  <c r="K234" i="1"/>
  <c r="L234" i="1" s="1"/>
  <c r="K232" i="1"/>
  <c r="L232" i="1" s="1"/>
  <c r="K230" i="1"/>
  <c r="L230" i="1" s="1"/>
  <c r="K228" i="1"/>
  <c r="L228" i="1" s="1"/>
  <c r="K226" i="1"/>
  <c r="L226" i="1" s="1"/>
  <c r="K223" i="1"/>
  <c r="L223" i="1" s="1"/>
  <c r="K220" i="1"/>
  <c r="L220" i="1" s="1"/>
  <c r="K218" i="1"/>
  <c r="L218" i="1" s="1"/>
  <c r="K216" i="1"/>
  <c r="L216" i="1" s="1"/>
  <c r="K214" i="1"/>
  <c r="L214" i="1" s="1"/>
  <c r="K212" i="1"/>
  <c r="L212" i="1" s="1"/>
  <c r="K209" i="1"/>
  <c r="L209" i="1" s="1"/>
  <c r="K187" i="1"/>
  <c r="L187" i="1" s="1"/>
  <c r="K184" i="1"/>
  <c r="L184" i="1" s="1"/>
  <c r="K181" i="1"/>
  <c r="L181" i="1" s="1"/>
  <c r="K177" i="1"/>
  <c r="L177" i="1" s="1"/>
  <c r="K16" i="1"/>
  <c r="L16" i="1" s="1"/>
  <c r="K250" i="1"/>
  <c r="L250" i="1" s="1"/>
  <c r="K247" i="1"/>
  <c r="L247" i="1" s="1"/>
  <c r="K245" i="1"/>
  <c r="L245" i="1" s="1"/>
  <c r="K241" i="1"/>
  <c r="L241" i="1" s="1"/>
  <c r="K237" i="1"/>
  <c r="L237" i="1" s="1"/>
  <c r="K235" i="1"/>
  <c r="L235" i="1" s="1"/>
  <c r="K233" i="1"/>
  <c r="L233" i="1" s="1"/>
  <c r="K231" i="1"/>
  <c r="L231" i="1" s="1"/>
  <c r="K229" i="1"/>
  <c r="L229" i="1" s="1"/>
  <c r="K227" i="1"/>
  <c r="L227" i="1" s="1"/>
  <c r="K225" i="1"/>
  <c r="L225" i="1" s="1"/>
  <c r="K222" i="1"/>
  <c r="L222" i="1" s="1"/>
  <c r="K219" i="1"/>
  <c r="L219" i="1" s="1"/>
  <c r="K217" i="1"/>
  <c r="L217" i="1" s="1"/>
  <c r="K215" i="1"/>
  <c r="L215" i="1" s="1"/>
  <c r="K213" i="1"/>
  <c r="L213" i="1" s="1"/>
  <c r="K210" i="1"/>
  <c r="L210" i="1" s="1"/>
  <c r="K203" i="1"/>
  <c r="L203" i="1" s="1"/>
  <c r="K201" i="1"/>
  <c r="L201" i="1" s="1"/>
  <c r="K193" i="1"/>
  <c r="L193" i="1" s="1"/>
  <c r="K190" i="1"/>
  <c r="L190" i="1" s="1"/>
  <c r="K188" i="1"/>
  <c r="L188" i="1" s="1"/>
  <c r="K185" i="1"/>
  <c r="L185" i="1" s="1"/>
  <c r="K182" i="1"/>
  <c r="L182" i="1" s="1"/>
  <c r="K178" i="1"/>
  <c r="L178" i="1" s="1"/>
  <c r="K175" i="1"/>
  <c r="L175" i="1" s="1"/>
  <c r="K49" i="1"/>
  <c r="L49" i="1" s="1"/>
  <c r="K45" i="1"/>
  <c r="L45" i="1" s="1"/>
  <c r="K42" i="1"/>
  <c r="L42" i="1" s="1"/>
  <c r="K39" i="1"/>
  <c r="L39" i="1" s="1"/>
  <c r="K13" i="1"/>
  <c r="L13" i="1" s="1"/>
  <c r="K167" i="1"/>
  <c r="L167" i="1" s="1"/>
  <c r="K48" i="1"/>
  <c r="L48" i="1" s="1"/>
  <c r="K44" i="1"/>
  <c r="L44" i="1" s="1"/>
  <c r="K41" i="1"/>
  <c r="L41" i="1" s="1"/>
  <c r="K15" i="1"/>
  <c r="L15" i="1" s="1"/>
  <c r="K542" i="1"/>
  <c r="L542" i="1" s="1"/>
  <c r="K537" i="1"/>
  <c r="L537" i="1" s="1"/>
  <c r="K533" i="1"/>
  <c r="L533" i="1" s="1"/>
  <c r="K528" i="1"/>
  <c r="L528" i="1" s="1"/>
  <c r="K525" i="1"/>
  <c r="L525" i="1" s="1"/>
  <c r="K521" i="1"/>
  <c r="L521" i="1" s="1"/>
  <c r="K517" i="1"/>
  <c r="L517" i="1" s="1"/>
  <c r="K513" i="1"/>
  <c r="L513" i="1" s="1"/>
  <c r="K508" i="1"/>
  <c r="L508" i="1" s="1"/>
  <c r="K499" i="1"/>
  <c r="L499" i="1" s="1"/>
  <c r="K497" i="1"/>
  <c r="L497" i="1" s="1"/>
  <c r="K12" i="1"/>
  <c r="L12" i="1" s="1"/>
  <c r="K10" i="1"/>
  <c r="L10" i="1" s="1"/>
  <c r="K7" i="1"/>
  <c r="L7" i="1" s="1"/>
  <c r="K4" i="1"/>
  <c r="L4" i="1" s="1"/>
  <c r="K545" i="1"/>
  <c r="L545" i="1" s="1"/>
  <c r="K539" i="1"/>
  <c r="L539" i="1" s="1"/>
  <c r="K535" i="1"/>
  <c r="L535" i="1" s="1"/>
  <c r="K530" i="1"/>
  <c r="L530" i="1" s="1"/>
  <c r="K524" i="1"/>
  <c r="L524" i="1" s="1"/>
  <c r="K520" i="1"/>
  <c r="L520" i="1" s="1"/>
  <c r="K516" i="1"/>
  <c r="L516" i="1" s="1"/>
  <c r="K512" i="1"/>
  <c r="L512" i="1" s="1"/>
  <c r="K507" i="1"/>
  <c r="L507" i="1" s="1"/>
  <c r="K38" i="1"/>
  <c r="L38" i="1" s="1"/>
  <c r="K36" i="1"/>
  <c r="L36" i="1" s="1"/>
  <c r="K34" i="1"/>
  <c r="L34" i="1" s="1"/>
  <c r="K32" i="1"/>
  <c r="L32" i="1" s="1"/>
  <c r="K29" i="1"/>
  <c r="L29" i="1" s="1"/>
  <c r="K27" i="1"/>
  <c r="L27" i="1" s="1"/>
  <c r="K25" i="1"/>
  <c r="L25" i="1" s="1"/>
  <c r="K22" i="1"/>
  <c r="L22" i="1" s="1"/>
  <c r="K20" i="1"/>
  <c r="L20" i="1" s="1"/>
  <c r="K18" i="1"/>
  <c r="L18" i="1" s="1"/>
  <c r="K11" i="1"/>
  <c r="L11" i="1" s="1"/>
  <c r="K8" i="1"/>
  <c r="L8" i="1" s="1"/>
  <c r="K5" i="1"/>
  <c r="L5" i="1" s="1"/>
  <c r="K540" i="1"/>
  <c r="L540" i="1" s="1"/>
  <c r="K536" i="1"/>
  <c r="L536" i="1" s="1"/>
  <c r="K531" i="1"/>
  <c r="L531" i="1" s="1"/>
  <c r="K527" i="1"/>
  <c r="L527" i="1" s="1"/>
  <c r="K523" i="1"/>
  <c r="L523" i="1" s="1"/>
  <c r="K519" i="1"/>
  <c r="L519" i="1" s="1"/>
  <c r="K515" i="1"/>
  <c r="L515" i="1" s="1"/>
  <c r="K511" i="1"/>
  <c r="L511" i="1" s="1"/>
  <c r="K506" i="1"/>
  <c r="L506" i="1" s="1"/>
  <c r="K501" i="1"/>
  <c r="L501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9" i="1"/>
  <c r="L9" i="1" s="1"/>
  <c r="K6" i="1"/>
  <c r="L6" i="1" s="1"/>
  <c r="K2" i="1"/>
  <c r="L2" i="1" s="1"/>
  <c r="K550" i="1"/>
  <c r="L550" i="1" s="1"/>
  <c r="K544" i="1"/>
  <c r="L544" i="1" s="1"/>
  <c r="K538" i="1"/>
  <c r="L538" i="1" s="1"/>
  <c r="K534" i="1"/>
  <c r="L534" i="1" s="1"/>
  <c r="K529" i="1"/>
  <c r="L529" i="1" s="1"/>
  <c r="K526" i="1"/>
  <c r="L526" i="1" s="1"/>
  <c r="K522" i="1"/>
  <c r="L522" i="1" s="1"/>
  <c r="K518" i="1"/>
  <c r="L518" i="1" s="1"/>
  <c r="K514" i="1"/>
  <c r="L514" i="1" s="1"/>
  <c r="K510" i="1"/>
  <c r="L510" i="1" s="1"/>
  <c r="K505" i="1"/>
  <c r="L505" i="1" s="1"/>
  <c r="K500" i="1"/>
  <c r="L500" i="1" s="1"/>
</calcChain>
</file>

<file path=xl/sharedStrings.xml><?xml version="1.0" encoding="utf-8"?>
<sst xmlns="http://schemas.openxmlformats.org/spreadsheetml/2006/main" count="8964" uniqueCount="121">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</sst>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470"/>
  <sheetViews>
    <sheetView tabSelected="1" zoomScale="85" zoomScaleNormal="85" workbookViewId="0">
      <selection activeCell="I665" sqref="I665:L447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2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35</v>
      </c>
      <c r="K5" s="3">
        <f t="shared" si="2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 t="shared" si="2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28</v>
      </c>
      <c r="K7" s="3">
        <f t="shared" si="2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28</v>
      </c>
      <c r="K8" s="3">
        <f t="shared" si="2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 t="shared" si="2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23</v>
      </c>
      <c r="K10" s="3">
        <f t="shared" si="2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35</v>
      </c>
      <c r="K11" s="3">
        <f t="shared" si="2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28</v>
      </c>
      <c r="K12" s="3">
        <f t="shared" si="2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23</v>
      </c>
      <c r="K13" s="3">
        <f t="shared" si="2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35</v>
      </c>
      <c r="K14" s="3">
        <f t="shared" si="2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 t="shared" si="2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28</v>
      </c>
      <c r="K16" s="3">
        <f t="shared" si="2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3">E18+G18+H18</f>
        <v>33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4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11">
        <v>46024</v>
      </c>
      <c r="B19" t="s">
        <v>36</v>
      </c>
      <c r="C19" t="s">
        <v>20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8</v>
      </c>
      <c r="K19" s="3">
        <f>I19-J19</f>
        <v>9</v>
      </c>
      <c r="L19" s="3" t="str">
        <f>IF(K19&lt;-5,"CRÍTICO",IF(K19&lt;0,"ATENÇÃO",IF(K19&lt;=5,"BOM","EXCELENTE")))</f>
        <v>EXCELENTE</v>
      </c>
      <c r="N19">
        <v>98.91</v>
      </c>
      <c r="O19">
        <v>31.367292225201069</v>
      </c>
    </row>
    <row r="20" spans="1:15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>E20+G20+H20</f>
        <v>34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28</v>
      </c>
      <c r="K20" s="3">
        <f>I20-J20</f>
        <v>6</v>
      </c>
      <c r="L20" s="3" t="str">
        <f>IF(K20&lt;-5,"CRÍTICO",IF(K20&lt;0,"ATENÇÃO",IF(K20&lt;=5,"BOM","EXCELENTE")))</f>
        <v>EXCELENTE</v>
      </c>
      <c r="M20" s="9">
        <v>33</v>
      </c>
      <c r="N20" s="9">
        <v>98.63</v>
      </c>
      <c r="O20" s="9">
        <v>15.75757575757576</v>
      </c>
    </row>
    <row r="21" spans="1:15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>E21+G21+H21</f>
        <v>49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35</v>
      </c>
      <c r="K21" s="3">
        <f>I21-J21</f>
        <v>14</v>
      </c>
      <c r="L21" s="3" t="str">
        <f>IF(K21&lt;-5,"CRÍTICO",IF(K21&lt;0,"ATENÇÃO",IF(K21&lt;=5,"BOM","EXCELENTE")))</f>
        <v>EXCELENTE</v>
      </c>
      <c r="M21" s="9">
        <v>46</v>
      </c>
      <c r="N21" s="9">
        <v>98.64</v>
      </c>
      <c r="O21" s="9">
        <v>16.638370118845501</v>
      </c>
    </row>
    <row r="22" spans="1:15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>E22+G22+H22</f>
        <v>16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35</v>
      </c>
      <c r="K22" s="3">
        <f>I22-J22</f>
        <v>-19</v>
      </c>
      <c r="L22" s="3" t="str">
        <f>IF(K22&lt;-5,"CRÍTICO",IF(K22&lt;0,"ATENÇÃO",IF(K22&lt;=5,"BOM","EXCELENTE")))</f>
        <v>CRÍTICO</v>
      </c>
      <c r="M22" s="9">
        <v>18</v>
      </c>
      <c r="N22" s="9">
        <v>95.4</v>
      </c>
      <c r="O22" s="9">
        <v>20.533333333333331</v>
      </c>
    </row>
    <row r="23" spans="1:15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28</v>
      </c>
      <c r="K23" s="3">
        <f>I23-J23</f>
        <v>4</v>
      </c>
      <c r="L23" s="3" t="str">
        <f>IF(K23&lt;-5,"CRÍTICO",IF(K23&lt;0,"ATENÇÃO",IF(K23&lt;=5,"BOM","EXCELENTE")))</f>
        <v>BOM</v>
      </c>
      <c r="M23" s="9">
        <v>31</v>
      </c>
      <c r="N23" s="9">
        <v>98.61</v>
      </c>
      <c r="O23" s="9">
        <v>16.97530864197531</v>
      </c>
    </row>
    <row r="24" spans="1:15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>IF(K24&lt;-5,"CRÍTICO",IF(K24&lt;0,"ATENÇÃO",IF(K24&lt;=5,"BOM","EXCELENTE")))</f>
        <v>BOM</v>
      </c>
      <c r="M24" s="9">
        <v>0</v>
      </c>
      <c r="N24" s="9">
        <v>0</v>
      </c>
      <c r="O24" s="9">
        <v>0</v>
      </c>
    </row>
    <row r="25" spans="1:15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>E25+G25+H25</f>
        <v>24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>I25-J25</f>
        <v>4</v>
      </c>
      <c r="L25" s="3" t="str">
        <f>IF(K25&lt;-5,"CRÍTICO",IF(K25&lt;0,"ATENÇÃO",IF(K25&lt;=5,"BOM","EXCELENTE")))</f>
        <v>BOM</v>
      </c>
      <c r="M25" s="9">
        <v>22</v>
      </c>
      <c r="N25" s="9">
        <v>97.01</v>
      </c>
      <c r="O25" s="9">
        <v>13.961038961038961</v>
      </c>
    </row>
    <row r="26" spans="1:15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>E26+G26+H26</f>
        <v>20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35</v>
      </c>
      <c r="K26" s="3">
        <f>I26-J26</f>
        <v>-15</v>
      </c>
      <c r="L26" s="3" t="str">
        <f>IF(K26&lt;-5,"CRÍTICO",IF(K26&lt;0,"ATENÇÃO",IF(K26&lt;=5,"BOM","EXCELENTE")))</f>
        <v>CRÍTICO</v>
      </c>
      <c r="M26" s="9">
        <v>20</v>
      </c>
      <c r="N26" s="9">
        <v>95.52</v>
      </c>
      <c r="O26" s="9">
        <v>10.561056105610559</v>
      </c>
    </row>
    <row r="27" spans="1:15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>E27+G27+H27</f>
        <v>15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20</v>
      </c>
      <c r="K27" s="3">
        <f>I27-J27</f>
        <v>-5</v>
      </c>
      <c r="L27" s="3" t="str">
        <f>IF(K27&lt;-5,"CRÍTICO",IF(K27&lt;0,"ATENÇÃO",IF(K27&lt;=5,"BOM","EXCELENTE")))</f>
        <v>ATENÇÃO</v>
      </c>
      <c r="M27" s="9">
        <v>15</v>
      </c>
      <c r="N27" s="9">
        <v>100</v>
      </c>
      <c r="O27" s="9">
        <v>16.959064327485379</v>
      </c>
    </row>
    <row r="28" spans="1:15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>E28+G28+H28</f>
        <v>29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35</v>
      </c>
      <c r="K28" s="3">
        <f>I28-J28</f>
        <v>-6</v>
      </c>
      <c r="L28" s="3" t="str">
        <f>IF(K28&lt;-5,"CRÍTICO",IF(K28&lt;0,"ATENÇÃO",IF(K28&lt;=5,"BOM","EXCELENTE")))</f>
        <v>CRÍTICO</v>
      </c>
      <c r="M28" s="9">
        <v>27</v>
      </c>
      <c r="N28" s="9">
        <v>100</v>
      </c>
      <c r="O28" s="9">
        <v>15.584415584415581</v>
      </c>
    </row>
    <row r="29" spans="1:15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>E29+G29+H29</f>
        <v>26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28</v>
      </c>
      <c r="K29" s="3">
        <f>I29-J29</f>
        <v>-2</v>
      </c>
      <c r="L29" s="3" t="str">
        <f>IF(K29&lt;-5,"CRÍTICO",IF(K29&lt;0,"ATENÇÃO",IF(K29&lt;=5,"BOM","EXCELENTE")))</f>
        <v>ATENÇÃO</v>
      </c>
      <c r="M29" s="9">
        <v>15</v>
      </c>
      <c r="N29" s="9">
        <v>98.61</v>
      </c>
      <c r="O29" s="9">
        <v>16.867469879518069</v>
      </c>
    </row>
    <row r="30" spans="1:15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>E30+G30+H30</f>
        <v>40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28</v>
      </c>
      <c r="K30" s="3">
        <f>I30-J30</f>
        <v>12</v>
      </c>
      <c r="L30" s="3" t="str">
        <f>IF(K30&lt;-5,"CRÍTICO",IF(K30&lt;0,"ATENÇÃO",IF(K30&lt;=5,"BOM","EXCELENTE")))</f>
        <v>EXCELENTE</v>
      </c>
      <c r="M30" s="9">
        <v>31</v>
      </c>
      <c r="N30" s="9">
        <v>100</v>
      </c>
      <c r="O30" s="9">
        <v>20.820189274447952</v>
      </c>
    </row>
    <row r="31" spans="1:15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>IF(K31&lt;-5,"CRÍTICO",IF(K31&lt;0,"ATENÇÃO",IF(K31&lt;=5,"BOM","EXCELENTE")))</f>
        <v>BOM</v>
      </c>
      <c r="M31" s="9">
        <v>0</v>
      </c>
      <c r="N31" s="9">
        <v>100</v>
      </c>
      <c r="O31" s="9">
        <v>4.3478260869565224</v>
      </c>
    </row>
    <row r="32" spans="1:15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>E32+G32+H32</f>
        <v>25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>I32-J32</f>
        <v>2</v>
      </c>
      <c r="L32" s="3" t="str">
        <f>IF(K32&lt;-5,"CRÍTICO",IF(K32&lt;0,"ATENÇÃO",IF(K32&lt;=5,"BOM","EXCELENTE")))</f>
        <v>BOM</v>
      </c>
      <c r="M32" s="9">
        <v>26</v>
      </c>
      <c r="N32" s="9">
        <v>93.26</v>
      </c>
      <c r="O32" s="9">
        <v>19.93957703927493</v>
      </c>
    </row>
    <row r="33" spans="1:15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>E33+G33+H33</f>
        <v>25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10</v>
      </c>
      <c r="K33" s="3">
        <f>I33-J33</f>
        <v>15</v>
      </c>
      <c r="L33" s="3" t="str">
        <f>IF(K33&lt;-5,"CRÍTICO",IF(K33&lt;0,"ATENÇÃO",IF(K33&lt;=5,"BOM","EXCELENTE")))</f>
        <v>EXCELENTE</v>
      </c>
      <c r="M33" s="9">
        <v>0</v>
      </c>
      <c r="N33" s="9">
        <v>100</v>
      </c>
      <c r="O33" s="9">
        <v>11.864406779661021</v>
      </c>
    </row>
    <row r="34" spans="1:15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>E34+G34+H34</f>
        <v>57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22</v>
      </c>
      <c r="L34" s="3" t="str">
        <f>IF(K34&lt;-5,"CRÍTICO",IF(K34&lt;0,"ATENÇÃO",IF(K34&lt;=5,"BOM","EXCELENTE")))</f>
        <v>EXCELENTE</v>
      </c>
      <c r="M34" s="9">
        <v>36</v>
      </c>
      <c r="N34" s="9">
        <v>98.28</v>
      </c>
      <c r="O34" s="9">
        <v>9.037900874635568</v>
      </c>
    </row>
    <row r="35" spans="1:15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IF(K35&lt;-5,"CRÍTICO",IF(K35&lt;0,"ATENÇÃO",IF(K35&lt;=5,"BOM","EXCELENTE")))</f>
        <v>BOM</v>
      </c>
      <c r="M35" s="9">
        <v>33</v>
      </c>
      <c r="N35" s="9">
        <v>97.22</v>
      </c>
      <c r="O35" s="9">
        <v>19.095477386934672</v>
      </c>
    </row>
    <row r="36" spans="1:15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>E36+G36+H36</f>
        <v>7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10</v>
      </c>
      <c r="K36" s="3">
        <f>I36-J36</f>
        <v>-3</v>
      </c>
      <c r="L36" s="3" t="str">
        <f>IF(K36&lt;-5,"CRÍTICO",IF(K36&lt;0,"ATENÇÃO",IF(K36&lt;=5,"BOM","EXCELENTE")))</f>
        <v>ATENÇÃO</v>
      </c>
      <c r="M36" s="9">
        <v>4</v>
      </c>
      <c r="N36" s="9">
        <v>100</v>
      </c>
      <c r="O36" s="9">
        <v>16.814159292035399</v>
      </c>
    </row>
    <row r="37" spans="1:15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>E37+G37+H37</f>
        <v>23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20</v>
      </c>
      <c r="K37" s="3">
        <f>I37-J37</f>
        <v>3</v>
      </c>
      <c r="L37" s="3" t="str">
        <f>IF(K37&lt;-5,"CRÍTICO",IF(K37&lt;0,"ATENÇÃO",IF(K37&lt;=5,"BOM","EXCELENTE")))</f>
        <v>BOM</v>
      </c>
      <c r="M37" s="9">
        <v>19</v>
      </c>
      <c r="N37" s="9">
        <v>98</v>
      </c>
      <c r="O37" s="9">
        <v>16.43835616438356</v>
      </c>
    </row>
    <row r="38" spans="1:15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>E38+G38+H38</f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28</v>
      </c>
      <c r="K38" s="3">
        <f>I38-J38</f>
        <v>-12</v>
      </c>
      <c r="L38" s="3" t="str">
        <f>IF(K38&lt;-5,"CRÍTICO",IF(K38&lt;0,"ATENÇÃO",IF(K38&lt;=5,"BOM","EXCELENTE")))</f>
        <v>CRÍTICO</v>
      </c>
      <c r="M38" s="9">
        <v>14</v>
      </c>
      <c r="N38" s="9">
        <v>100</v>
      </c>
      <c r="O38" s="9">
        <v>16.894977168949769</v>
      </c>
    </row>
    <row r="39" spans="1:15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>E39+G39+H39</f>
        <v>23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20</v>
      </c>
      <c r="K39" s="3">
        <f>I39-J39</f>
        <v>3</v>
      </c>
      <c r="L39" s="3" t="str">
        <f>IF(K39&lt;-5,"CRÍTICO",IF(K39&lt;0,"ATENÇÃO",IF(K39&lt;=5,"BOM","EXCELENTE")))</f>
        <v>BOM</v>
      </c>
      <c r="M39" s="9">
        <v>18</v>
      </c>
      <c r="N39" s="9">
        <v>100</v>
      </c>
      <c r="O39" s="9">
        <v>19.138755980861241</v>
      </c>
    </row>
    <row r="40" spans="1:15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>E40+G40+H40</f>
        <v>21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20</v>
      </c>
      <c r="K40" s="3">
        <f>I40-J40</f>
        <v>1</v>
      </c>
      <c r="L40" s="3" t="str">
        <f>IF(K40&lt;-5,"CRÍTICO",IF(K40&lt;0,"ATENÇÃO",IF(K40&lt;=5,"BOM","EXCELENTE")))</f>
        <v>BOM</v>
      </c>
      <c r="M40" s="9">
        <v>21</v>
      </c>
      <c r="N40" s="9">
        <v>100</v>
      </c>
      <c r="O40" s="9">
        <v>15.02145922746781</v>
      </c>
    </row>
    <row r="41" spans="1:15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>E41+G41+H41</f>
        <v>15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10</v>
      </c>
      <c r="K41" s="3">
        <f>I41-J41</f>
        <v>5</v>
      </c>
      <c r="L41" s="3" t="str">
        <f>IF(K41&lt;-5,"CRÍTICO",IF(K41&lt;0,"ATENÇÃO",IF(K41&lt;=5,"BOM","EXCELENTE")))</f>
        <v>BOM</v>
      </c>
      <c r="M41" s="9">
        <v>12</v>
      </c>
      <c r="N41" s="9">
        <v>98.11</v>
      </c>
      <c r="O41" s="9">
        <v>20.408163265306118</v>
      </c>
    </row>
    <row r="42" spans="1:15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23</v>
      </c>
      <c r="K42" s="3">
        <f>I42-J42</f>
        <v>4</v>
      </c>
      <c r="L42" s="3" t="str">
        <f>IF(K42&lt;-5,"CRÍTICO",IF(K42&lt;0,"ATENÇÃO",IF(K42&lt;=5,"BOM","EXCELENTE")))</f>
        <v>BOM</v>
      </c>
      <c r="M42" s="9">
        <v>20</v>
      </c>
      <c r="N42" s="9">
        <v>97.56</v>
      </c>
      <c r="O42" s="9">
        <v>19.28783382789317</v>
      </c>
    </row>
    <row r="43" spans="1:15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>E43+G43+H43</f>
        <v>47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35</v>
      </c>
      <c r="K43" s="3">
        <f>I43-J43</f>
        <v>12</v>
      </c>
      <c r="L43" s="3" t="str">
        <f>IF(K43&lt;-5,"CRÍTICO",IF(K43&lt;0,"ATENÇÃO",IF(K43&lt;=5,"BOM","EXCELENTE")))</f>
        <v>EXCELENTE</v>
      </c>
      <c r="M43" s="9">
        <v>32</v>
      </c>
      <c r="N43" s="9">
        <v>99.29</v>
      </c>
      <c r="O43" s="9">
        <v>22.49443207126949</v>
      </c>
    </row>
    <row r="44" spans="1:15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>E44+G44+H44</f>
        <v>20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23</v>
      </c>
      <c r="K44" s="3">
        <f>I44-J44</f>
        <v>-3</v>
      </c>
      <c r="L44" s="3" t="str">
        <f>IF(K44&lt;-5,"CRÍTICO",IF(K44&lt;0,"ATENÇÃO",IF(K44&lt;=5,"BOM","EXCELENTE")))</f>
        <v>ATENÇÃO</v>
      </c>
      <c r="M44" s="9">
        <v>20</v>
      </c>
      <c r="N44" s="9">
        <v>100</v>
      </c>
      <c r="O44" s="9">
        <v>16.97247706422019</v>
      </c>
    </row>
    <row r="45" spans="1:15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>E45+G45+H45</f>
        <v>29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-6</v>
      </c>
      <c r="L45" s="3" t="str">
        <f>IF(K45&lt;-5,"CRÍTICO",IF(K45&lt;0,"ATENÇÃO",IF(K45&lt;=5,"BOM","EXCELENTE")))</f>
        <v>CRÍTICO</v>
      </c>
      <c r="M45" s="9">
        <v>26</v>
      </c>
      <c r="N45" s="9">
        <v>97.33</v>
      </c>
      <c r="O45" s="9">
        <v>15.805471124620061</v>
      </c>
    </row>
    <row r="46" spans="1:15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>E46+G46+H46</f>
        <v>41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28</v>
      </c>
      <c r="K46" s="3">
        <f>I46-J46</f>
        <v>13</v>
      </c>
      <c r="L46" s="3" t="str">
        <f>IF(K46&lt;-5,"CRÍTICO",IF(K46&lt;0,"ATENÇÃO",IF(K46&lt;=5,"BOM","EXCELENTE")))</f>
        <v>EXCELENTE</v>
      </c>
      <c r="M46" s="3">
        <v>32</v>
      </c>
      <c r="N46" s="3">
        <v>98.94</v>
      </c>
      <c r="O46" s="3">
        <v>19.614147909967851</v>
      </c>
    </row>
    <row r="47" spans="1:15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>IF(K47&lt;-5,"CRÍTICO",IF(K47&lt;0,"ATENÇÃO",IF(K47&lt;=5,"BOM","EXCELENTE")))</f>
        <v>BOM</v>
      </c>
      <c r="M47" s="9">
        <v>0</v>
      </c>
      <c r="N47" s="9">
        <v>100</v>
      </c>
      <c r="O47" s="9">
        <v>0</v>
      </c>
    </row>
    <row r="48" spans="1:15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>IF(K48&lt;-5,"CRÍTICO",IF(K48&lt;0,"ATENÇÃO",IF(K48&lt;=5,"BOM","EXCELENTE")))</f>
        <v>EXCELENTE</v>
      </c>
      <c r="M48" s="3">
        <v>36</v>
      </c>
      <c r="N48" s="3">
        <v>95.38</v>
      </c>
      <c r="O48" s="3">
        <v>21.5962441314554</v>
      </c>
    </row>
    <row r="49" spans="1:15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>IF(K49&lt;-5,"CRÍTICO",IF(K49&lt;0,"ATENÇÃO",IF(K49&lt;=5,"BOM","EXCELENTE")))</f>
        <v>CRÍTICO</v>
      </c>
      <c r="M49" s="3">
        <v>26</v>
      </c>
      <c r="N49" s="3">
        <v>96.34</v>
      </c>
      <c r="O49" s="3">
        <v>17.571884984025559</v>
      </c>
    </row>
    <row r="50" spans="1:15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>IF(K50&lt;-5,"CRÍTICO",IF(K50&lt;0,"ATENÇÃO",IF(K50&lt;=5,"BOM","EXCELENTE")))</f>
        <v>EXCELENTE</v>
      </c>
      <c r="M50" s="3">
        <v>33</v>
      </c>
      <c r="N50" s="3">
        <v>99.11</v>
      </c>
      <c r="O50" s="3">
        <v>17.721518987341771</v>
      </c>
    </row>
    <row r="51" spans="1:15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>IF(K51&lt;-5,"CRÍTICO",IF(K51&lt;0,"ATENÇÃO",IF(K51&lt;=5,"BOM","EXCELENTE")))</f>
        <v>BOM</v>
      </c>
      <c r="M51" s="3">
        <v>9</v>
      </c>
      <c r="N51" s="3">
        <v>96.43</v>
      </c>
      <c r="O51" s="3">
        <v>20</v>
      </c>
    </row>
    <row r="52" spans="1:15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>IF(K52&lt;-5,"CRÍTICO",IF(K52&lt;0,"ATENÇÃO",IF(K52&lt;=5,"BOM","EXCELENTE")))</f>
        <v>EXCELENTE</v>
      </c>
      <c r="M52" s="3">
        <v>0</v>
      </c>
      <c r="N52" s="3">
        <v>100</v>
      </c>
      <c r="O52" s="3">
        <v>29.032258064516132</v>
      </c>
    </row>
    <row r="53" spans="1:15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>IF(K53&lt;-5,"CRÍTICO",IF(K53&lt;0,"ATENÇÃO",IF(K53&lt;=5,"BOM","EXCELENTE")))</f>
        <v>BOM</v>
      </c>
      <c r="M53" s="3">
        <v>0</v>
      </c>
      <c r="N53" s="3">
        <v>100</v>
      </c>
      <c r="O53" s="3">
        <v>11.864406779661021</v>
      </c>
    </row>
    <row r="54" spans="1:15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IF(K54&lt;-5,"CRÍTICO",IF(K54&lt;0,"ATENÇÃO",IF(K54&lt;=5,"BOM","EXCELENTE")))</f>
        <v>EXCELENTE</v>
      </c>
      <c r="M54" s="3">
        <v>43</v>
      </c>
      <c r="N54" s="3">
        <v>99.13</v>
      </c>
      <c r="O54" s="3">
        <v>14.7239263803681</v>
      </c>
    </row>
    <row r="55" spans="1:15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>E55+G55+H55</f>
        <v>27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28</v>
      </c>
      <c r="K55" s="3">
        <f>I55-J55</f>
        <v>-1</v>
      </c>
      <c r="L55" s="3" t="str">
        <f>IF(K55&lt;-5,"CRÍTICO",IF(K55&lt;0,"ATENÇÃO",IF(K55&lt;=5,"BOM","EXCELENTE")))</f>
        <v>ATENÇÃO</v>
      </c>
      <c r="M55" s="3">
        <v>27</v>
      </c>
      <c r="N55" s="3">
        <v>98.8</v>
      </c>
      <c r="O55" s="3">
        <v>16.897506925207761</v>
      </c>
    </row>
    <row r="56" spans="1:15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>E56+G56+H56</f>
        <v>11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10</v>
      </c>
      <c r="K56" s="3">
        <f>I56-J56</f>
        <v>1</v>
      </c>
      <c r="L56" s="3" t="str">
        <f>IF(K56&lt;-5,"CRÍTICO",IF(K56&lt;0,"ATENÇÃO",IF(K56&lt;=5,"BOM","EXCELENTE")))</f>
        <v>BOM</v>
      </c>
      <c r="M56" s="3">
        <v>10</v>
      </c>
      <c r="N56" s="3">
        <v>100</v>
      </c>
      <c r="O56" s="3">
        <v>16.814159292035399</v>
      </c>
    </row>
    <row r="57" spans="1:15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>E57+G57+H57</f>
        <v>19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10</v>
      </c>
      <c r="K57" s="3">
        <f>I57-J57</f>
        <v>9</v>
      </c>
      <c r="L57" s="3" t="str">
        <f>IF(K57&lt;-5,"CRÍTICO",IF(K57&lt;0,"ATENÇÃO",IF(K57&lt;=5,"BOM","EXCELENTE")))</f>
        <v>EXCELENTE</v>
      </c>
      <c r="M57" s="3">
        <v>18</v>
      </c>
      <c r="N57" s="3">
        <v>98.11</v>
      </c>
      <c r="O57" s="3">
        <v>20.408163265306118</v>
      </c>
    </row>
    <row r="58" spans="1:15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>E58+G58+H58</f>
        <v>29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23</v>
      </c>
      <c r="K58" s="3">
        <f>I58-J58</f>
        <v>6</v>
      </c>
      <c r="L58" s="3" t="str">
        <f>IF(K58&lt;-5,"CRÍTICO",IF(K58&lt;0,"ATENÇÃO",IF(K58&lt;=5,"BOM","EXCELENTE")))</f>
        <v>EXCELENTE</v>
      </c>
      <c r="M58" s="3">
        <v>16</v>
      </c>
      <c r="N58" s="3">
        <v>96.88</v>
      </c>
      <c r="O58" s="3">
        <v>19.526627218934909</v>
      </c>
    </row>
    <row r="59" spans="1:15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>E59+G59+H59</f>
        <v>47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35</v>
      </c>
      <c r="K59" s="3">
        <f>I59-J59</f>
        <v>12</v>
      </c>
      <c r="L59" s="3" t="str">
        <f>IF(K59&lt;-5,"CRÍTICO",IF(K59&lt;0,"ATENÇÃO",IF(K59&lt;=5,"BOM","EXCELENTE")))</f>
        <v>EXCELENTE</v>
      </c>
      <c r="M59" s="3">
        <v>46</v>
      </c>
      <c r="N59" s="3">
        <v>91.85</v>
      </c>
      <c r="O59" s="3">
        <v>20.87155963302752</v>
      </c>
    </row>
    <row r="60" spans="1:15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>E60+G60+H60</f>
        <v>30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2</v>
      </c>
      <c r="L60" s="3" t="str">
        <f>IF(K60&lt;-5,"CRÍTICO",IF(K60&lt;0,"ATENÇÃO",IF(K60&lt;=5,"BOM","EXCELENTE")))</f>
        <v>BOM</v>
      </c>
      <c r="M60" s="3">
        <v>26</v>
      </c>
      <c r="N60" s="3">
        <v>98.63</v>
      </c>
      <c r="O60" s="3">
        <v>18.75</v>
      </c>
    </row>
    <row r="61" spans="1:15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>E61+G61+H61</f>
        <v>22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23</v>
      </c>
      <c r="K61" s="3">
        <f>I61-J61</f>
        <v>-1</v>
      </c>
      <c r="L61" s="3" t="str">
        <f>IF(K61&lt;-5,"CRÍTICO",IF(K61&lt;0,"ATENÇÃO",IF(K61&lt;=5,"BOM","EXCELENTE")))</f>
        <v>ATENÇÃO</v>
      </c>
      <c r="M61" s="3">
        <v>18</v>
      </c>
      <c r="N61" s="3">
        <v>100</v>
      </c>
      <c r="O61" s="3">
        <v>18.14516129032258</v>
      </c>
    </row>
    <row r="62" spans="1:15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>E62+G62+H62</f>
        <v>27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35</v>
      </c>
      <c r="K62" s="3">
        <f>I62-J62</f>
        <v>-8</v>
      </c>
      <c r="L62" s="3" t="str">
        <f>IF(K62&lt;-5,"CRÍTICO",IF(K62&lt;0,"ATENÇÃO",IF(K62&lt;=5,"BOM","EXCELENTE")))</f>
        <v>CRÍTICO</v>
      </c>
      <c r="M62" s="3">
        <v>28</v>
      </c>
      <c r="N62" s="3">
        <v>99.06</v>
      </c>
      <c r="O62" s="3">
        <v>22.95719844357977</v>
      </c>
    </row>
    <row r="63" spans="1:15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IF(K63&lt;-5,"CRÍTICO",IF(K63&lt;0,"ATENÇÃO",IF(K63&lt;=5,"BOM","EXCELENTE")))</f>
        <v>EXCELENTE</v>
      </c>
      <c r="M63" s="3">
        <v>31</v>
      </c>
      <c r="N63" s="3">
        <v>100</v>
      </c>
      <c r="O63" s="3">
        <v>13.8121546961326</v>
      </c>
    </row>
    <row r="64" spans="1:15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>IF(K64&lt;-5,"CRÍTICO",IF(K64&lt;0,"ATENÇÃO",IF(K64&lt;=5,"BOM","EXCELENTE")))</f>
        <v>BOM</v>
      </c>
      <c r="M64" s="3">
        <v>0</v>
      </c>
      <c r="N64" s="3">
        <v>100</v>
      </c>
      <c r="O64" s="3">
        <v>9.5238095238095237</v>
      </c>
    </row>
    <row r="65" spans="1:15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>IF(K65&lt;-5,"CRÍTICO",IF(K65&lt;0,"ATENÇÃO",IF(K65&lt;=5,"BOM","EXCELENTE")))</f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11">
        <v>46027</v>
      </c>
      <c r="B66" t="s">
        <v>36</v>
      </c>
      <c r="C66" t="s">
        <v>20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15</v>
      </c>
      <c r="K66" s="3">
        <f>I66-J66</f>
        <v>4</v>
      </c>
      <c r="L66" s="3" t="str">
        <f>IF(K66&lt;-5,"CRÍTICO",IF(K66&lt;0,"ATENÇÃO",IF(K66&lt;=5,"BOM","EXCELENTE")))</f>
        <v>BOM</v>
      </c>
      <c r="N66">
        <v>98.91</v>
      </c>
      <c r="O66">
        <v>31.367292225201069</v>
      </c>
    </row>
    <row r="67" spans="1:15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>IF(K67&lt;-5,"CRÍTICO",IF(K67&lt;0,"ATENÇÃO",IF(K67&lt;=5,"BOM","EXCELENTE")))</f>
        <v>ATENÇÃO</v>
      </c>
      <c r="M67" s="3">
        <v>31</v>
      </c>
      <c r="N67" s="3">
        <v>98.63</v>
      </c>
      <c r="O67" s="3">
        <v>15.75757575757576</v>
      </c>
    </row>
    <row r="68" spans="1:15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>IF(K68&lt;-5,"CRÍTICO",IF(K68&lt;0,"ATENÇÃO",IF(K68&lt;=5,"BOM","EXCELENTE")))</f>
        <v>EXCELENTE</v>
      </c>
      <c r="M68" s="3">
        <v>40</v>
      </c>
      <c r="N68" s="3">
        <v>98.64</v>
      </c>
      <c r="O68" s="3">
        <v>16.638370118845501</v>
      </c>
    </row>
    <row r="69" spans="1:15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>IF(K69&lt;-5,"CRÍTICO",IF(K69&lt;0,"ATENÇÃO",IF(K69&lt;=5,"BOM","EXCELENTE")))</f>
        <v>EXCELENTE</v>
      </c>
      <c r="M69" s="3">
        <v>41</v>
      </c>
      <c r="N69" s="3">
        <v>95.4</v>
      </c>
      <c r="O69" s="3">
        <v>20.533333333333331</v>
      </c>
    </row>
    <row r="70" spans="1:15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>IF(K70&lt;-5,"CRÍTICO",IF(K70&lt;0,"ATENÇÃO",IF(K70&lt;=5,"BOM","EXCELENTE")))</f>
        <v>BOM</v>
      </c>
      <c r="M70" s="3">
        <v>30</v>
      </c>
      <c r="N70" s="3">
        <v>98.61</v>
      </c>
      <c r="O70" s="3">
        <v>16.97530864197531</v>
      </c>
    </row>
    <row r="71" spans="1:15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>IF(K71&lt;-5,"CRÍTICO",IF(K71&lt;0,"ATENÇÃO",IF(K71&lt;=5,"BOM","EXCELENTE")))</f>
        <v>BOM</v>
      </c>
      <c r="M71" s="3">
        <v>0</v>
      </c>
      <c r="N71" s="3">
        <v>0</v>
      </c>
      <c r="O71" s="3">
        <v>0</v>
      </c>
    </row>
    <row r="72" spans="1:15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>E72+G72+H72</f>
        <v>24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>I72-J72</f>
        <v>4</v>
      </c>
      <c r="L72" s="3" t="str">
        <f>IF(K72&lt;-5,"CRÍTICO",IF(K72&lt;0,"ATENÇÃO",IF(K72&lt;=5,"BOM","EXCELENTE")))</f>
        <v>BOM</v>
      </c>
      <c r="M72" s="3">
        <v>27</v>
      </c>
      <c r="N72" s="3">
        <v>97.01</v>
      </c>
      <c r="O72" s="3">
        <v>13.961038961038961</v>
      </c>
    </row>
    <row r="73" spans="1:15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>E73+G73+H73</f>
        <v>27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35</v>
      </c>
      <c r="K73" s="3">
        <f>I73-J73</f>
        <v>-8</v>
      </c>
      <c r="L73" s="3" t="str">
        <f>IF(K73&lt;-5,"CRÍTICO",IF(K73&lt;0,"ATENÇÃO",IF(K73&lt;=5,"BOM","EXCELENTE")))</f>
        <v>CRÍTICO</v>
      </c>
      <c r="M73" s="3">
        <v>22</v>
      </c>
      <c r="N73" s="3">
        <v>95.52</v>
      </c>
      <c r="O73" s="3">
        <v>10.561056105610559</v>
      </c>
    </row>
    <row r="74" spans="1:15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>E74+G74+H74</f>
        <v>22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20</v>
      </c>
      <c r="K74" s="3">
        <f>I74-J74</f>
        <v>2</v>
      </c>
      <c r="L74" s="3" t="str">
        <f>IF(K74&lt;-5,"CRÍTICO",IF(K74&lt;0,"ATENÇÃO",IF(K74&lt;=5,"BOM","EXCELENTE")))</f>
        <v>BOM</v>
      </c>
      <c r="M74" s="3">
        <v>16</v>
      </c>
      <c r="N74" s="3">
        <v>100</v>
      </c>
      <c r="O74" s="3">
        <v>16.959064327485379</v>
      </c>
    </row>
    <row r="75" spans="1:15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>E75+G75+H75</f>
        <v>25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35</v>
      </c>
      <c r="K75" s="3">
        <f>I75-J75</f>
        <v>-10</v>
      </c>
      <c r="L75" s="3" t="str">
        <f>IF(K75&lt;-5,"CRÍTICO",IF(K75&lt;0,"ATENÇÃO",IF(K75&lt;=5,"BOM","EXCELENTE")))</f>
        <v>CRÍTICO</v>
      </c>
      <c r="M75" s="3">
        <v>32</v>
      </c>
      <c r="N75" s="3">
        <v>100</v>
      </c>
      <c r="O75" s="3">
        <v>15.584415584415581</v>
      </c>
    </row>
    <row r="76" spans="1:15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>E76+G76+H76</f>
        <v>22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28</v>
      </c>
      <c r="K76" s="3">
        <f>I76-J76</f>
        <v>-6</v>
      </c>
      <c r="L76" s="3" t="str">
        <f>IF(K76&lt;-5,"CRÍTICO",IF(K76&lt;0,"ATENÇÃO",IF(K76&lt;=5,"BOM","EXCELENTE")))</f>
        <v>CRÍTICO</v>
      </c>
      <c r="M76" s="3">
        <v>25</v>
      </c>
      <c r="N76" s="3">
        <v>98.61</v>
      </c>
      <c r="O76" s="3">
        <v>16.867469879518069</v>
      </c>
    </row>
    <row r="77" spans="1:15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>E77+G77+H77</f>
        <v>35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28</v>
      </c>
      <c r="K77" s="3">
        <f>I77-J77</f>
        <v>7</v>
      </c>
      <c r="L77" s="3" t="str">
        <f>IF(K77&lt;-5,"CRÍTICO",IF(K77&lt;0,"ATENÇÃO",IF(K77&lt;=5,"BOM","EXCELENTE")))</f>
        <v>EXCELENTE</v>
      </c>
      <c r="M77" s="3">
        <v>37</v>
      </c>
      <c r="N77" s="3">
        <v>100</v>
      </c>
      <c r="O77" s="3">
        <v>20.820189274447952</v>
      </c>
    </row>
    <row r="78" spans="1:15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IF(K78&lt;-5,"CRÍTICO",IF(K78&lt;0,"ATENÇÃO",IF(K78&lt;=5,"BOM","EXCELENTE")))</f>
        <v>BOM</v>
      </c>
      <c r="M78" s="3">
        <v>0</v>
      </c>
      <c r="N78" s="3">
        <v>100</v>
      </c>
      <c r="O78" s="3">
        <v>4.3478260869565224</v>
      </c>
    </row>
    <row r="79" spans="1:15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>E79+G79+H79</f>
        <v>29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6</v>
      </c>
      <c r="L79" s="3" t="str">
        <f>IF(K79&lt;-5,"CRÍTICO",IF(K79&lt;0,"ATENÇÃO",IF(K79&lt;=5,"BOM","EXCELENTE")))</f>
        <v>EXCELENTE</v>
      </c>
      <c r="M79" s="3">
        <v>30</v>
      </c>
      <c r="N79" s="3">
        <v>93.26</v>
      </c>
      <c r="O79" s="3">
        <v>19.93957703927493</v>
      </c>
    </row>
    <row r="80" spans="1:15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>E80+G80+H80</f>
        <v>35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35</v>
      </c>
      <c r="K80" s="3">
        <f>I80-J80</f>
        <v>0</v>
      </c>
      <c r="L80" s="3" t="str">
        <f>IF(K80&lt;-5,"CRÍTICO",IF(K80&lt;0,"ATENÇÃO",IF(K80&lt;=5,"BOM","EXCELENTE")))</f>
        <v>BOM</v>
      </c>
      <c r="M80" s="3">
        <v>28</v>
      </c>
      <c r="N80" s="3">
        <v>98.28</v>
      </c>
      <c r="O80" s="3">
        <v>9.037900874635568</v>
      </c>
    </row>
    <row r="81" spans="1:15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>E81+G81+H81</f>
        <v>40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35</v>
      </c>
      <c r="K81" s="3">
        <f>I81-J81</f>
        <v>5</v>
      </c>
      <c r="L81" s="3" t="str">
        <f>IF(K81&lt;-5,"CRÍTICO",IF(K81&lt;0,"ATENÇÃO",IF(K81&lt;=5,"BOM","EXCELENTE")))</f>
        <v>BOM</v>
      </c>
      <c r="M81" s="3">
        <v>37</v>
      </c>
      <c r="N81" s="3">
        <v>97.22</v>
      </c>
      <c r="O81" s="3">
        <v>19.095477386934672</v>
      </c>
    </row>
    <row r="82" spans="1:15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>E82+G82+H82</f>
        <v>34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20</v>
      </c>
      <c r="K82" s="3">
        <f>I82-J82</f>
        <v>14</v>
      </c>
      <c r="L82" s="3" t="str">
        <f>IF(K82&lt;-5,"CRÍTICO",IF(K82&lt;0,"ATENÇÃO",IF(K82&lt;=5,"BOM","EXCELENTE")))</f>
        <v>EXCELENTE</v>
      </c>
      <c r="M82" s="3">
        <v>22</v>
      </c>
      <c r="N82" s="3">
        <v>98</v>
      </c>
      <c r="O82" s="3">
        <v>16.43835616438356</v>
      </c>
    </row>
    <row r="83" spans="1:15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>E83+G83+H83</f>
        <v>25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28</v>
      </c>
      <c r="K83" s="3">
        <f>I83-J83</f>
        <v>-3</v>
      </c>
      <c r="L83" s="3" t="str">
        <f>IF(K83&lt;-5,"CRÍTICO",IF(K83&lt;0,"ATENÇÃO",IF(K83&lt;=5,"BOM","EXCELENTE")))</f>
        <v>ATENÇÃO</v>
      </c>
      <c r="M83" s="3">
        <v>21</v>
      </c>
      <c r="N83" s="3">
        <v>100</v>
      </c>
      <c r="O83" s="3">
        <v>16.894977168949769</v>
      </c>
    </row>
    <row r="84" spans="1:15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>E84+G84+H84</f>
        <v>17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20</v>
      </c>
      <c r="K84" s="3">
        <f>I84-J84</f>
        <v>-3</v>
      </c>
      <c r="L84" s="3" t="str">
        <f>IF(K84&lt;-5,"CRÍTICO",IF(K84&lt;0,"ATENÇÃO",IF(K84&lt;=5,"BOM","EXCELENTE")))</f>
        <v>ATENÇÃO</v>
      </c>
      <c r="M84" s="3">
        <v>17</v>
      </c>
      <c r="N84" s="3">
        <v>100</v>
      </c>
      <c r="O84" s="3">
        <v>19.138755980861241</v>
      </c>
    </row>
    <row r="85" spans="1:15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>E85+G85+H85</f>
        <v>20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20</v>
      </c>
      <c r="K85" s="3">
        <f>I85-J85</f>
        <v>0</v>
      </c>
      <c r="L85" s="3" t="str">
        <f>IF(K85&lt;-5,"CRÍTICO",IF(K85&lt;0,"ATENÇÃO",IF(K85&lt;=5,"BOM","EXCELENTE")))</f>
        <v>BOM</v>
      </c>
      <c r="M85" s="3">
        <v>19</v>
      </c>
      <c r="N85" s="3">
        <v>100</v>
      </c>
      <c r="O85" s="3">
        <v>15.02145922746781</v>
      </c>
    </row>
    <row r="86" spans="1:15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>E86+G86+H86</f>
        <v>36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23</v>
      </c>
      <c r="K86" s="3">
        <f>I86-J86</f>
        <v>13</v>
      </c>
      <c r="L86" s="3" t="str">
        <f>IF(K86&lt;-5,"CRÍTICO",IF(K86&lt;0,"ATENÇÃO",IF(K86&lt;=5,"BOM","EXCELENTE")))</f>
        <v>EXCELENTE</v>
      </c>
      <c r="M86" s="3">
        <v>21</v>
      </c>
      <c r="N86" s="3">
        <v>97.56</v>
      </c>
      <c r="O86" s="3">
        <v>19.28783382789317</v>
      </c>
    </row>
    <row r="87" spans="1:15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>E87+G87+H87</f>
        <v>54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35</v>
      </c>
      <c r="K87" s="3">
        <f>I87-J87</f>
        <v>19</v>
      </c>
      <c r="L87" s="3" t="str">
        <f>IF(K87&lt;-5,"CRÍTICO",IF(K87&lt;0,"ATENÇÃO",IF(K87&lt;=5,"BOM","EXCELENTE")))</f>
        <v>EXCELENTE</v>
      </c>
      <c r="M87" s="3">
        <v>49</v>
      </c>
      <c r="N87" s="3">
        <v>99.29</v>
      </c>
      <c r="O87" s="3">
        <v>22.49443207126949</v>
      </c>
    </row>
    <row r="88" spans="1:15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>E88+G88+H88</f>
        <v>17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23</v>
      </c>
      <c r="K88" s="3">
        <f>I88-J88</f>
        <v>-6</v>
      </c>
      <c r="L88" s="3" t="str">
        <f>IF(K88&lt;-5,"CRÍTICO",IF(K88&lt;0,"ATENÇÃO",IF(K88&lt;=5,"BOM","EXCELENTE")))</f>
        <v>CRÍTICO</v>
      </c>
      <c r="M88" s="3">
        <v>10</v>
      </c>
      <c r="N88" s="3">
        <v>100</v>
      </c>
      <c r="O88" s="3">
        <v>16.97247706422019</v>
      </c>
    </row>
    <row r="89" spans="1:15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>E89+G89+H89</f>
        <v>32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35</v>
      </c>
      <c r="K89" s="3">
        <f>I89-J89</f>
        <v>-3</v>
      </c>
      <c r="L89" s="3" t="str">
        <f>IF(K89&lt;-5,"CRÍTICO",IF(K89&lt;0,"ATENÇÃO",IF(K89&lt;=5,"BOM","EXCELENTE")))</f>
        <v>ATENÇÃO</v>
      </c>
      <c r="M89" s="3">
        <v>28</v>
      </c>
      <c r="N89" s="3">
        <v>97.33</v>
      </c>
      <c r="O89" s="3">
        <v>15.805471124620061</v>
      </c>
    </row>
    <row r="90" spans="1:15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>E90+G90+H90</f>
        <v>40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28</v>
      </c>
      <c r="K90" s="3">
        <f>I90-J90</f>
        <v>12</v>
      </c>
      <c r="L90" s="3" t="str">
        <f>IF(K90&lt;-5,"CRÍTICO",IF(K90&lt;0,"ATENÇÃO",IF(K90&lt;=5,"BOM","EXCELENTE")))</f>
        <v>EXCELENTE</v>
      </c>
      <c r="M90" s="3">
        <v>32</v>
      </c>
      <c r="N90" s="3">
        <v>98.94</v>
      </c>
      <c r="O90" s="3">
        <v>19.614147909967851</v>
      </c>
    </row>
    <row r="91" spans="1:15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IF(K91&lt;-5,"CRÍTICO",IF(K91&lt;0,"ATENÇÃO",IF(K91&lt;=5,"BOM","EXCELENTE")))</f>
        <v>BOM</v>
      </c>
      <c r="M91" s="9">
        <v>0</v>
      </c>
      <c r="N91" s="9">
        <v>100</v>
      </c>
      <c r="O91" s="9">
        <v>0</v>
      </c>
    </row>
    <row r="92" spans="1:15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>E92+G92+H92</f>
        <v>49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>I92-J92</f>
        <v>26</v>
      </c>
      <c r="L92" s="3" t="str">
        <f>IF(K92&lt;-5,"CRÍTICO",IF(K92&lt;0,"ATENÇÃO",IF(K92&lt;=5,"BOM","EXCELENTE")))</f>
        <v>EXCELENTE</v>
      </c>
      <c r="M92" s="3">
        <v>43</v>
      </c>
      <c r="N92" s="3">
        <v>95.38</v>
      </c>
      <c r="O92" s="3">
        <v>21.5962441314554</v>
      </c>
    </row>
    <row r="93" spans="1:15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>E93+G93+H93</f>
        <v>32</v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>35</v>
      </c>
      <c r="K93" s="3">
        <f>I93-J93</f>
        <v>-3</v>
      </c>
      <c r="L93" s="3" t="str">
        <f>IF(K93&lt;-5,"CRÍTICO",IF(K93&lt;0,"ATENÇÃO",IF(K93&lt;=5,"BOM","EXCELENTE")))</f>
        <v>ATENÇÃO</v>
      </c>
      <c r="M93" s="3">
        <v>30</v>
      </c>
      <c r="N93" s="3">
        <v>96.34</v>
      </c>
      <c r="O93" s="3">
        <v>17.571884984025559</v>
      </c>
    </row>
    <row r="94" spans="1:15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>E94+G94+H94</f>
        <v>37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28</v>
      </c>
      <c r="K94" s="3">
        <f>I94-J94</f>
        <v>9</v>
      </c>
      <c r="L94" s="3" t="str">
        <f>IF(K94&lt;-5,"CRÍTICO",IF(K94&lt;0,"ATENÇÃO",IF(K94&lt;=5,"BOM","EXCELENTE")))</f>
        <v>EXCELENTE</v>
      </c>
      <c r="M94" s="3">
        <v>35</v>
      </c>
      <c r="N94" s="3">
        <v>99.13</v>
      </c>
      <c r="O94" s="3">
        <v>14.7239263803681</v>
      </c>
    </row>
    <row r="95" spans="1:15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>E95+G95+H95</f>
        <v>33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28</v>
      </c>
      <c r="K95" s="3">
        <f>I95-J95</f>
        <v>5</v>
      </c>
      <c r="L95" s="3" t="str">
        <f>IF(K95&lt;-5,"CRÍTICO",IF(K95&lt;0,"ATENÇÃO",IF(K95&lt;=5,"BOM","EXCELENTE")))</f>
        <v>BOM</v>
      </c>
      <c r="M95" s="3">
        <v>31</v>
      </c>
      <c r="N95" s="3">
        <v>98.8</v>
      </c>
      <c r="O95" s="3">
        <v>16.897506925207761</v>
      </c>
    </row>
    <row r="96" spans="1:15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>E96+G96+H96</f>
        <v>26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10</v>
      </c>
      <c r="K96" s="3">
        <f>I96-J96</f>
        <v>16</v>
      </c>
      <c r="L96" s="3" t="str">
        <f>IF(K96&lt;-5,"CRÍTICO",IF(K96&lt;0,"ATENÇÃO",IF(K96&lt;=5,"BOM","EXCELENTE")))</f>
        <v>EXCELENTE</v>
      </c>
      <c r="M96" s="3">
        <v>25</v>
      </c>
      <c r="N96" s="3">
        <v>99.11</v>
      </c>
      <c r="O96" s="3">
        <v>17.721518987341771</v>
      </c>
    </row>
    <row r="97" spans="1:15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>E97+G97+H97</f>
        <v>12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10</v>
      </c>
      <c r="K97" s="3">
        <f>I97-J97</f>
        <v>2</v>
      </c>
      <c r="L97" s="3" t="str">
        <f>IF(K97&lt;-5,"CRÍTICO",IF(K97&lt;0,"ATENÇÃO",IF(K97&lt;=5,"BOM","EXCELENTE")))</f>
        <v>BOM</v>
      </c>
      <c r="M97" s="3">
        <v>9</v>
      </c>
      <c r="N97" s="3">
        <v>96.43</v>
      </c>
      <c r="O97" s="3">
        <v>20</v>
      </c>
    </row>
    <row r="98" spans="1:15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>E98+G98+H98</f>
        <v>43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10</v>
      </c>
      <c r="K98" s="3">
        <f>I98-J98</f>
        <v>33</v>
      </c>
      <c r="L98" s="3" t="str">
        <f>IF(K98&lt;-5,"CRÍTICO",IF(K98&lt;0,"ATENÇÃO",IF(K98&lt;=5,"BOM","EXCELENTE")))</f>
        <v>EXCELENTE</v>
      </c>
      <c r="M98" s="3">
        <v>2</v>
      </c>
      <c r="N98" s="3">
        <v>100</v>
      </c>
      <c r="O98" s="3">
        <v>29.032258064516132</v>
      </c>
    </row>
    <row r="99" spans="1:15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>E99+G99+H99</f>
        <v>38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10</v>
      </c>
      <c r="K99" s="3">
        <f>I99-J99</f>
        <v>28</v>
      </c>
      <c r="L99" s="3" t="str">
        <f>IF(K99&lt;-5,"CRÍTICO",IF(K99&lt;0,"ATENÇÃO",IF(K99&lt;=5,"BOM","EXCELENTE")))</f>
        <v>EXCELENTE</v>
      </c>
      <c r="M99" s="3">
        <v>3</v>
      </c>
      <c r="N99" s="3">
        <v>100</v>
      </c>
      <c r="O99" s="3">
        <v>11.864406779661021</v>
      </c>
    </row>
    <row r="100" spans="1:15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>E100+G100+H100</f>
        <v>8</v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>10</v>
      </c>
      <c r="K100" s="3">
        <f>I100-J100</f>
        <v>-2</v>
      </c>
      <c r="L100" s="3" t="str">
        <f>IF(K100&lt;-5,"CRÍTICO",IF(K100&lt;0,"ATENÇÃO",IF(K100&lt;=5,"BOM","EXCELENTE")))</f>
        <v>ATENÇÃO</v>
      </c>
      <c r="M100" s="3">
        <v>7</v>
      </c>
      <c r="N100" s="3">
        <v>100</v>
      </c>
      <c r="O100" s="3">
        <v>16.814159292035399</v>
      </c>
    </row>
    <row r="101" spans="1:15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>E101+G101+H101</f>
        <v>15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5</v>
      </c>
      <c r="L101" s="3" t="str">
        <f>IF(K101&lt;-5,"CRÍTICO",IF(K101&lt;0,"ATENÇÃO",IF(K101&lt;=5,"BOM","EXCELENTE")))</f>
        <v>BOM</v>
      </c>
      <c r="M101" s="3">
        <v>14</v>
      </c>
      <c r="N101" s="3">
        <v>98.11</v>
      </c>
      <c r="O101" s="3">
        <v>20.408163265306118</v>
      </c>
    </row>
    <row r="102" spans="1:15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>E102+G102+H102</f>
        <v>32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23</v>
      </c>
      <c r="K102" s="3">
        <f>I102-J102</f>
        <v>9</v>
      </c>
      <c r="L102" s="3" t="str">
        <f>IF(K102&lt;-5,"CRÍTICO",IF(K102&lt;0,"ATENÇÃO",IF(K102&lt;=5,"BOM","EXCELENTE")))</f>
        <v>EXCELENTE</v>
      </c>
      <c r="M102" s="3">
        <v>30</v>
      </c>
      <c r="N102" s="3">
        <v>96.88</v>
      </c>
      <c r="O102" s="3">
        <v>19.526627218934909</v>
      </c>
    </row>
    <row r="103" spans="1:15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>E103+G103+H103</f>
        <v>44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35</v>
      </c>
      <c r="K103" s="3">
        <f>I103-J103</f>
        <v>9</v>
      </c>
      <c r="L103" s="3" t="str">
        <f>IF(K103&lt;-5,"CRÍTICO",IF(K103&lt;0,"ATENÇÃO",IF(K103&lt;=5,"BOM","EXCELENTE")))</f>
        <v>EXCELENTE</v>
      </c>
      <c r="M103" s="3">
        <v>41</v>
      </c>
      <c r="N103" s="3">
        <v>91.85</v>
      </c>
      <c r="O103" s="3">
        <v>20.87155963302752</v>
      </c>
    </row>
    <row r="104" spans="1:15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>E104+G104+H104</f>
        <v>36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28</v>
      </c>
      <c r="K104" s="3">
        <f>I104-J104</f>
        <v>8</v>
      </c>
      <c r="L104" s="3" t="str">
        <f>IF(K104&lt;-5,"CRÍTICO",IF(K104&lt;0,"ATENÇÃO",IF(K104&lt;=5,"BOM","EXCELENTE")))</f>
        <v>EXCELENTE</v>
      </c>
      <c r="M104" s="3">
        <v>29</v>
      </c>
      <c r="N104" s="3">
        <v>98.63</v>
      </c>
      <c r="O104" s="3">
        <v>18.75</v>
      </c>
    </row>
    <row r="105" spans="1:15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23</v>
      </c>
      <c r="K105" s="3">
        <f>I105-J105</f>
        <v>-7</v>
      </c>
      <c r="L105" s="3" t="str">
        <f>IF(K105&lt;-5,"CRÍTICO",IF(K105&lt;0,"ATENÇÃO",IF(K105&lt;=5,"BOM","EXCELENTE")))</f>
        <v>CRÍTICO</v>
      </c>
      <c r="M105" s="3">
        <v>13</v>
      </c>
      <c r="N105" s="3">
        <v>100</v>
      </c>
      <c r="O105" s="3">
        <v>18.14516129032258</v>
      </c>
    </row>
    <row r="106" spans="1:15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>E106+G106+H106</f>
        <v>31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35</v>
      </c>
      <c r="K106" s="3">
        <f>I106-J106</f>
        <v>-4</v>
      </c>
      <c r="L106" s="3" t="str">
        <f>IF(K106&lt;-5,"CRÍTICO",IF(K106&lt;0,"ATENÇÃO",IF(K106&lt;=5,"BOM","EXCELENTE")))</f>
        <v>ATENÇÃO</v>
      </c>
      <c r="M106" s="3">
        <v>32</v>
      </c>
      <c r="N106" s="3">
        <v>99.06</v>
      </c>
      <c r="O106" s="3">
        <v>22.95719844357977</v>
      </c>
    </row>
    <row r="107" spans="1:15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>E107+G107+H107</f>
        <v>23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28</v>
      </c>
      <c r="K107" s="3">
        <f>I107-J107</f>
        <v>-5</v>
      </c>
      <c r="L107" s="3" t="str">
        <f>IF(K107&lt;-5,"CRÍTICO",IF(K107&lt;0,"ATENÇÃO",IF(K107&lt;=5,"BOM","EXCELENTE")))</f>
        <v>ATENÇÃO</v>
      </c>
      <c r="M107" s="3">
        <v>22</v>
      </c>
      <c r="N107" s="3">
        <v>100</v>
      </c>
      <c r="O107" s="3">
        <v>13.8121546961326</v>
      </c>
    </row>
    <row r="108" spans="1:15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>IF(K108&lt;-5,"CRÍTICO",IF(K108&lt;0,"ATENÇÃO",IF(K108&lt;=5,"BOM","EXCELENTE")))</f>
        <v>BOM</v>
      </c>
      <c r="M108" s="3">
        <v>0</v>
      </c>
      <c r="N108" s="3">
        <v>100</v>
      </c>
      <c r="O108" s="3">
        <v>9.5238095238095237</v>
      </c>
    </row>
    <row r="109" spans="1:15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>IF(K109&lt;-5,"CRÍTICO",IF(K109&lt;0,"ATENÇÃO",IF(K109&lt;=5,"BOM","EXCELENTE")))</f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11">
        <v>46028</v>
      </c>
      <c r="B110" t="s">
        <v>36</v>
      </c>
      <c r="C110" t="s">
        <v>20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15</v>
      </c>
      <c r="K110" s="3">
        <f>I110-J110</f>
        <v>18</v>
      </c>
      <c r="L110" s="3" t="str">
        <f>IF(K110&lt;-5,"CRÍTICO",IF(K110&lt;0,"ATENÇÃO",IF(K110&lt;=5,"BOM","EXCELENTE")))</f>
        <v>EXCELENTE</v>
      </c>
      <c r="N110">
        <v>98.91</v>
      </c>
      <c r="O110">
        <v>31.367292225201069</v>
      </c>
    </row>
    <row r="111" spans="1:15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>IF(K111&lt;-5,"CRÍTICO",IF(K111&lt;0,"ATENÇÃO",IF(K111&lt;=5,"BOM","EXCELENTE")))</f>
        <v>EXCELENTE</v>
      </c>
      <c r="M111" s="3">
        <v>30</v>
      </c>
      <c r="N111" s="3">
        <v>98.63</v>
      </c>
      <c r="O111" s="3">
        <v>15.75757575757576</v>
      </c>
    </row>
    <row r="112" spans="1:15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>IF(K112&lt;-5,"CRÍTICO",IF(K112&lt;0,"ATENÇÃO",IF(K112&lt;=5,"BOM","EXCELENTE")))</f>
        <v>EXCELENTE</v>
      </c>
      <c r="M112" s="3">
        <v>55</v>
      </c>
      <c r="N112" s="3">
        <v>98.64</v>
      </c>
      <c r="O112" s="3">
        <v>16.638370118845501</v>
      </c>
    </row>
    <row r="113" spans="1:15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>IF(K113&lt;-5,"CRÍTICO",IF(K113&lt;0,"ATENÇÃO",IF(K113&lt;=5,"BOM","EXCELENTE")))</f>
        <v>ATENÇÃO</v>
      </c>
      <c r="M113" s="3">
        <v>26</v>
      </c>
      <c r="N113" s="3">
        <v>95.4</v>
      </c>
      <c r="O113" s="3">
        <v>20.533333333333331</v>
      </c>
    </row>
    <row r="114" spans="1:15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>IF(K114&lt;-5,"CRÍTICO",IF(K114&lt;0,"ATENÇÃO",IF(K114&lt;=5,"BOM","EXCELENTE")))</f>
        <v>EXCELENTE</v>
      </c>
      <c r="M114" s="3">
        <v>34</v>
      </c>
      <c r="N114" s="3">
        <v>98.61</v>
      </c>
      <c r="O114" s="3">
        <v>16.97530864197531</v>
      </c>
    </row>
    <row r="115" spans="1:15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>IF(K115&lt;-5,"CRÍTICO",IF(K115&lt;0,"ATENÇÃO",IF(K115&lt;=5,"BOM","EXCELENTE")))</f>
        <v>BOM</v>
      </c>
      <c r="M115" s="3">
        <v>0</v>
      </c>
      <c r="N115" s="3">
        <v>0</v>
      </c>
      <c r="O115" s="3">
        <v>0</v>
      </c>
    </row>
    <row r="116" spans="1:15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>E116+G116+H116</f>
        <v>23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>I116-J116</f>
        <v>3</v>
      </c>
      <c r="L116" s="3" t="str">
        <f>IF(K116&lt;-5,"CRÍTICO",IF(K116&lt;0,"ATENÇÃO",IF(K116&lt;=5,"BOM","EXCELENTE")))</f>
        <v>BOM</v>
      </c>
      <c r="M116" s="3">
        <v>22</v>
      </c>
      <c r="N116" s="3">
        <v>97.01</v>
      </c>
      <c r="O116" s="3">
        <v>13.961038961038961</v>
      </c>
    </row>
    <row r="117" spans="1:15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>E117+G117+H117</f>
        <v>26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35</v>
      </c>
      <c r="K117" s="3">
        <f>I117-J117</f>
        <v>-9</v>
      </c>
      <c r="L117" s="3" t="str">
        <f>IF(K117&lt;-5,"CRÍTICO",IF(K117&lt;0,"ATENÇÃO",IF(K117&lt;=5,"BOM","EXCELENTE")))</f>
        <v>CRÍTICO</v>
      </c>
      <c r="M117" s="3">
        <v>26</v>
      </c>
      <c r="N117" s="3">
        <v>95.52</v>
      </c>
      <c r="O117" s="3">
        <v>10.561056105610559</v>
      </c>
    </row>
    <row r="118" spans="1:15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>E118+G118+H118</f>
        <v>24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20</v>
      </c>
      <c r="K118" s="3">
        <f>I118-J118</f>
        <v>4</v>
      </c>
      <c r="L118" s="3" t="str">
        <f>IF(K118&lt;-5,"CRÍTICO",IF(K118&lt;0,"ATENÇÃO",IF(K118&lt;=5,"BOM","EXCELENTE")))</f>
        <v>BOM</v>
      </c>
      <c r="M118" s="3">
        <v>17</v>
      </c>
      <c r="N118" s="3">
        <v>100</v>
      </c>
      <c r="O118" s="3">
        <v>16.959064327485379</v>
      </c>
    </row>
    <row r="119" spans="1:15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>E119+G119+H119</f>
        <v>38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35</v>
      </c>
      <c r="K119" s="3">
        <f>I119-J119</f>
        <v>3</v>
      </c>
      <c r="L119" s="3" t="str">
        <f>IF(K119&lt;-5,"CRÍTICO",IF(K119&lt;0,"ATENÇÃO",IF(K119&lt;=5,"BOM","EXCELENTE")))</f>
        <v>BOM</v>
      </c>
      <c r="M119" s="3">
        <v>36</v>
      </c>
      <c r="N119" s="3">
        <v>100</v>
      </c>
      <c r="O119" s="3">
        <v>15.584415584415581</v>
      </c>
    </row>
    <row r="120" spans="1:15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>E120+G120+H120</f>
        <v>38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28</v>
      </c>
      <c r="K120" s="3">
        <f>I120-J120</f>
        <v>10</v>
      </c>
      <c r="L120" s="3" t="str">
        <f>IF(K120&lt;-5,"CRÍTICO",IF(K120&lt;0,"ATENÇÃO",IF(K120&lt;=5,"BOM","EXCELENTE")))</f>
        <v>EXCELENTE</v>
      </c>
      <c r="M120" s="3">
        <v>16</v>
      </c>
      <c r="N120" s="3">
        <v>98.61</v>
      </c>
      <c r="O120" s="3">
        <v>16.867469879518069</v>
      </c>
    </row>
    <row r="121" spans="1:15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>E121+G121+H121</f>
        <v>31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28</v>
      </c>
      <c r="K121" s="3">
        <f>I121-J121</f>
        <v>3</v>
      </c>
      <c r="L121" s="3" t="str">
        <f>IF(K121&lt;-5,"CRÍTICO",IF(K121&lt;0,"ATENÇÃO",IF(K121&lt;=5,"BOM","EXCELENTE")))</f>
        <v>BOM</v>
      </c>
      <c r="M121" s="3">
        <v>28</v>
      </c>
      <c r="N121" s="3">
        <v>100</v>
      </c>
      <c r="O121" s="3">
        <v>20.820189274447952</v>
      </c>
    </row>
    <row r="122" spans="1:15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>IF(K122&lt;-5,"CRÍTICO",IF(K122&lt;0,"ATENÇÃO",IF(K122&lt;=5,"BOM","EXCELENTE")))</f>
        <v>BOM</v>
      </c>
      <c r="M122" s="3">
        <v>0</v>
      </c>
      <c r="N122" s="3">
        <v>100</v>
      </c>
      <c r="O122" s="3">
        <v>4.3478260869565224</v>
      </c>
    </row>
    <row r="123" spans="1:15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>IF(K123&lt;-5,"CRÍTICO",IF(K123&lt;0,"ATENÇÃO",IF(K123&lt;=5,"BOM","EXCELENTE")))</f>
        <v>EXCELENTE</v>
      </c>
      <c r="M123" s="3">
        <v>36</v>
      </c>
      <c r="N123" s="3">
        <v>93.26</v>
      </c>
      <c r="O123" s="3">
        <v>19.93957703927493</v>
      </c>
    </row>
    <row r="124" spans="1:15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>IF(K124&lt;-5,"CRÍTICO",IF(K124&lt;0,"ATENÇÃO",IF(K124&lt;=5,"BOM","EXCELENTE")))</f>
        <v>EXCELENTE</v>
      </c>
      <c r="M124" s="3">
        <v>31</v>
      </c>
      <c r="N124" s="3">
        <v>98.28</v>
      </c>
      <c r="O124" s="3">
        <v>9.037900874635568</v>
      </c>
    </row>
    <row r="125" spans="1:15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>IF(K125&lt;-5,"CRÍTICO",IF(K125&lt;0,"ATENÇÃO",IF(K125&lt;=5,"BOM","EXCELENTE")))</f>
        <v>ATENÇÃO</v>
      </c>
      <c r="M125" s="3">
        <v>31</v>
      </c>
      <c r="N125" s="3">
        <v>97.22</v>
      </c>
      <c r="O125" s="3">
        <v>19.095477386934672</v>
      </c>
    </row>
    <row r="126" spans="1:15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>IF(K126&lt;-5,"CRÍTICO",IF(K126&lt;0,"ATENÇÃO",IF(K126&lt;=5,"BOM","EXCELENTE")))</f>
        <v>BOM</v>
      </c>
      <c r="M126" s="3">
        <v>0</v>
      </c>
      <c r="N126" s="3">
        <v>98</v>
      </c>
      <c r="O126" s="3">
        <v>16.43835616438356</v>
      </c>
    </row>
    <row r="127" spans="1:15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>E127+G127+H127</f>
        <v>33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>I127-J127</f>
        <v>5</v>
      </c>
      <c r="L127" s="3" t="str">
        <f>IF(K127&lt;-5,"CRÍTICO",IF(K127&lt;0,"ATENÇÃO",IF(K127&lt;=5,"BOM","EXCELENTE")))</f>
        <v>BOM</v>
      </c>
      <c r="M127" s="3">
        <v>30</v>
      </c>
      <c r="N127" s="3">
        <v>100</v>
      </c>
      <c r="O127" s="3">
        <v>16.894977168949769</v>
      </c>
    </row>
    <row r="128" spans="1:15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>E128+G128+H128</f>
        <v>17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-3</v>
      </c>
      <c r="L128" s="3" t="str">
        <f>IF(K128&lt;-5,"CRÍTICO",IF(K128&lt;0,"ATENÇÃO",IF(K128&lt;=5,"BOM","EXCELENTE")))</f>
        <v>ATENÇÃO</v>
      </c>
      <c r="M128" s="3">
        <v>15</v>
      </c>
      <c r="N128" s="3">
        <v>100</v>
      </c>
      <c r="O128" s="3">
        <v>19.138755980861241</v>
      </c>
    </row>
    <row r="129" spans="1:15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>E129+G129+H129</f>
        <v>24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4</v>
      </c>
      <c r="L129" s="3" t="str">
        <f>IF(K129&lt;-5,"CRÍTICO",IF(K129&lt;0,"ATENÇÃO",IF(K129&lt;=5,"BOM","EXCELENTE")))</f>
        <v>BOM</v>
      </c>
      <c r="M129" s="3">
        <v>18</v>
      </c>
      <c r="N129" s="3">
        <v>100</v>
      </c>
      <c r="O129" s="3">
        <v>15.02145922746781</v>
      </c>
    </row>
    <row r="130" spans="1:15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>E130+G130+H130</f>
        <v>35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23</v>
      </c>
      <c r="K130" s="3">
        <f>I130-J130</f>
        <v>12</v>
      </c>
      <c r="L130" s="3" t="str">
        <f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>E131+G131+H131</f>
        <v>52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35</v>
      </c>
      <c r="K131" s="3">
        <f>I131-J131</f>
        <v>17</v>
      </c>
      <c r="L131" s="3" t="str">
        <f>IF(K131&lt;-5,"CRÍTICO",IF(K131&lt;0,"ATENÇÃO",IF(K131&lt;=5,"BOM","EXCELENTE")))</f>
        <v>EXCELENTE</v>
      </c>
      <c r="M131" s="3">
        <v>37</v>
      </c>
      <c r="N131" s="3">
        <v>99.29</v>
      </c>
      <c r="O131" s="3">
        <v>22.49443207126949</v>
      </c>
    </row>
    <row r="132" spans="1:15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>E132+G132+H132</f>
        <v>19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23</v>
      </c>
      <c r="K132" s="3">
        <f>I132-J132</f>
        <v>-4</v>
      </c>
      <c r="L132" s="3" t="str">
        <f>IF(K132&lt;-5,"CRÍTICO",IF(K132&lt;0,"ATENÇÃO",IF(K132&lt;=5,"BOM","EXCELENTE")))</f>
        <v>ATENÇÃO</v>
      </c>
      <c r="M132" s="3">
        <v>18</v>
      </c>
      <c r="N132" s="3">
        <v>100</v>
      </c>
      <c r="O132" s="3">
        <v>16.97247706422019</v>
      </c>
    </row>
    <row r="133" spans="1:15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>E133+G133+H133</f>
        <v>28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-7</v>
      </c>
      <c r="L133" s="3" t="str">
        <f>IF(K133&lt;-5,"CRÍTICO",IF(K133&lt;0,"ATENÇÃO",IF(K133&lt;=5,"BOM","EXCELENTE")))</f>
        <v>CRÍTICO</v>
      </c>
      <c r="M133" s="3">
        <v>25</v>
      </c>
      <c r="N133" s="3">
        <v>97.33</v>
      </c>
      <c r="O133" s="3">
        <v>15.805471124620061</v>
      </c>
    </row>
    <row r="134" spans="1:15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26</v>
      </c>
      <c r="K134" s="3">
        <f>I134-J134</f>
        <v>8</v>
      </c>
      <c r="L134" s="3" t="str">
        <f>IF(K134&lt;-5,"CRÍTICO",IF(K134&lt;0,"ATENÇÃO",IF(K134&lt;=5,"BOM","EXCELENTE")))</f>
        <v>EXCELENTE</v>
      </c>
      <c r="M134" s="3">
        <v>19</v>
      </c>
      <c r="N134" s="3">
        <v>98.94</v>
      </c>
      <c r="O134" s="3">
        <v>19.614147909967851</v>
      </c>
    </row>
    <row r="135" spans="1:15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>IF(K135&lt;-5,"CRÍTICO",IF(K135&lt;0,"ATENÇÃO",IF(K135&lt;=5,"BOM","EXCELENTE")))</f>
        <v>BOM</v>
      </c>
      <c r="M135" s="9">
        <v>0</v>
      </c>
      <c r="N135" s="9">
        <v>100</v>
      </c>
      <c r="O135" s="9">
        <v>0</v>
      </c>
    </row>
    <row r="136" spans="1:15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>E136+G136+H136</f>
        <v>38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>I136-J136</f>
        <v>16</v>
      </c>
      <c r="L136" s="3" t="str">
        <f>IF(K136&lt;-5,"CRÍTICO",IF(K136&lt;0,"ATENÇÃO",IF(K136&lt;=5,"BOM","EXCELENTE")))</f>
        <v>EXCELENTE</v>
      </c>
      <c r="M136" s="3">
        <v>36</v>
      </c>
      <c r="N136" s="3">
        <v>95.38</v>
      </c>
      <c r="O136" s="3">
        <v>21.5962441314554</v>
      </c>
    </row>
    <row r="137" spans="1:15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>E137+G137+H137</f>
        <v>32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33</v>
      </c>
      <c r="K137" s="3">
        <f>I137-J137</f>
        <v>-1</v>
      </c>
      <c r="L137" s="3" t="str">
        <f>IF(K137&lt;-5,"CRÍTICO",IF(K137&lt;0,"ATENÇÃO",IF(K137&lt;=5,"BOM","EXCELENTE")))</f>
        <v>ATENÇÃO</v>
      </c>
      <c r="M137" s="3">
        <v>33</v>
      </c>
      <c r="N137" s="3">
        <v>96.34</v>
      </c>
      <c r="O137" s="3">
        <v>17.571884984025559</v>
      </c>
    </row>
    <row r="138" spans="1:15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>E138+G138+H138</f>
        <v>34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26</v>
      </c>
      <c r="K138" s="3">
        <f>I138-J138</f>
        <v>8</v>
      </c>
      <c r="L138" s="3" t="str">
        <f>IF(K138&lt;-5,"CRÍTICO",IF(K138&lt;0,"ATENÇÃO",IF(K138&lt;=5,"BOM","EXCELENTE")))</f>
        <v>EXCELENTE</v>
      </c>
      <c r="M138" s="3">
        <v>31</v>
      </c>
      <c r="N138" s="3">
        <v>99.13</v>
      </c>
      <c r="O138" s="3">
        <v>14.7239263803681</v>
      </c>
    </row>
    <row r="139" spans="1:15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>E139+G139+H139</f>
        <v>29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26</v>
      </c>
      <c r="K139" s="3">
        <f>I139-J139</f>
        <v>3</v>
      </c>
      <c r="L139" s="3" t="str">
        <f>IF(K139&lt;-5,"CRÍTICO",IF(K139&lt;0,"ATENÇÃO",IF(K139&lt;=5,"BOM","EXCELENTE")))</f>
        <v>BOM</v>
      </c>
      <c r="M139" s="3">
        <v>27</v>
      </c>
      <c r="N139" s="3">
        <v>98.8</v>
      </c>
      <c r="O139" s="3">
        <v>16.897506925207761</v>
      </c>
    </row>
    <row r="140" spans="1:15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>E140+G140+H140</f>
        <v>32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9</v>
      </c>
      <c r="K140" s="3">
        <f>I140-J140</f>
        <v>23</v>
      </c>
      <c r="L140" s="3" t="str">
        <f>IF(K140&lt;-5,"CRÍTICO",IF(K140&lt;0,"ATENÇÃO",IF(K140&lt;=5,"BOM","EXCELENTE")))</f>
        <v>EXCELENTE</v>
      </c>
      <c r="M140" s="3">
        <v>30</v>
      </c>
      <c r="N140" s="3">
        <v>99.11</v>
      </c>
      <c r="O140" s="3">
        <v>17.721518987341771</v>
      </c>
    </row>
    <row r="141" spans="1:15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>E141+G141+H141</f>
        <v>12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9</v>
      </c>
      <c r="K141" s="3">
        <f>I141-J141</f>
        <v>3</v>
      </c>
      <c r="L141" s="3" t="str">
        <f>IF(K141&lt;-5,"CRÍTICO",IF(K141&lt;0,"ATENÇÃO",IF(K141&lt;=5,"BOM","EXCELENTE")))</f>
        <v>BOM</v>
      </c>
      <c r="M141" s="3">
        <v>9</v>
      </c>
      <c r="N141" s="3">
        <v>96.43</v>
      </c>
      <c r="O141" s="3">
        <v>20</v>
      </c>
    </row>
    <row r="142" spans="1:15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>E142+G142+H142</f>
        <v>32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9</v>
      </c>
      <c r="K142" s="3">
        <f>I142-J142</f>
        <v>23</v>
      </c>
      <c r="L142" s="3" t="str">
        <f>IF(K142&lt;-5,"CRÍTICO",IF(K142&lt;0,"ATENÇÃO",IF(K142&lt;=5,"BOM","EXCELENTE")))</f>
        <v>EXCELENTE</v>
      </c>
      <c r="M142" s="3">
        <v>1</v>
      </c>
      <c r="N142" s="3">
        <v>100</v>
      </c>
      <c r="O142" s="3">
        <v>29.032258064516132</v>
      </c>
    </row>
    <row r="143" spans="1:15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>E143+G143+H143</f>
        <v>37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9</v>
      </c>
      <c r="K143" s="3">
        <f>I143-J143</f>
        <v>28</v>
      </c>
      <c r="L143" s="3" t="str">
        <f>IF(K143&lt;-5,"CRÍTICO",IF(K143&lt;0,"ATENÇÃO",IF(K143&lt;=5,"BOM","EXCELENTE")))</f>
        <v>EXCELENTE</v>
      </c>
      <c r="M143" s="3">
        <v>4</v>
      </c>
      <c r="N143" s="3">
        <v>100</v>
      </c>
      <c r="O143" s="3">
        <v>11.864406779661021</v>
      </c>
    </row>
    <row r="144" spans="1:15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>E144+G144+H144</f>
        <v>24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22</v>
      </c>
      <c r="K144" s="3">
        <f>I144-J144</f>
        <v>2</v>
      </c>
      <c r="L144" s="3" t="str">
        <f>IF(K144&lt;-5,"CRÍTICO",IF(K144&lt;0,"ATENÇÃO",IF(K144&lt;=5,"BOM","EXCELENTE")))</f>
        <v>BOM</v>
      </c>
      <c r="M144" s="3">
        <v>22</v>
      </c>
      <c r="N144" s="3">
        <v>96.88</v>
      </c>
      <c r="O144" s="3">
        <v>19.526627218934909</v>
      </c>
    </row>
    <row r="145" spans="1:15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>E145+G145+H145</f>
        <v>44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33</v>
      </c>
      <c r="K145" s="3">
        <f>I145-J145</f>
        <v>11</v>
      </c>
      <c r="L145" s="3" t="str">
        <f>IF(K145&lt;-5,"CRÍTICO",IF(K145&lt;0,"ATENÇÃO",IF(K145&lt;=5,"BOM","EXCELENTE")))</f>
        <v>EXCELENTE</v>
      </c>
      <c r="M145" s="3">
        <v>38</v>
      </c>
      <c r="N145" s="3">
        <v>91.85</v>
      </c>
      <c r="O145" s="3">
        <v>20.87155963302752</v>
      </c>
    </row>
    <row r="146" spans="1:15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>E146+G146+H146</f>
        <v>20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26</v>
      </c>
      <c r="K146" s="3">
        <f>I146-J146</f>
        <v>-6</v>
      </c>
      <c r="L146" s="3" t="str">
        <f>IF(K146&lt;-5,"CRÍTICO",IF(K146&lt;0,"ATENÇÃO",IF(K146&lt;=5,"BOM","EXCELENTE")))</f>
        <v>CRÍTICO</v>
      </c>
      <c r="M146" s="3">
        <v>19</v>
      </c>
      <c r="N146" s="3">
        <v>98.63</v>
      </c>
      <c r="O146" s="3">
        <v>18.75</v>
      </c>
    </row>
    <row r="147" spans="1:15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>E147+G147+H147</f>
        <v>24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22</v>
      </c>
      <c r="K147" s="3">
        <f>I147-J147</f>
        <v>2</v>
      </c>
      <c r="L147" s="3" t="str">
        <f>IF(K147&lt;-5,"CRÍTICO",IF(K147&lt;0,"ATENÇÃO",IF(K147&lt;=5,"BOM","EXCELENTE")))</f>
        <v>BOM</v>
      </c>
      <c r="M147" s="3">
        <v>19</v>
      </c>
      <c r="N147" s="3">
        <v>100</v>
      </c>
      <c r="O147" s="3">
        <v>18.14516129032258</v>
      </c>
    </row>
    <row r="148" spans="1:15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>E148+G148+H148</f>
        <v>30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33</v>
      </c>
      <c r="K148" s="3">
        <f>I148-J148</f>
        <v>-3</v>
      </c>
      <c r="L148" s="3" t="str">
        <f>IF(K148&lt;-5,"CRÍTICO",IF(K148&lt;0,"ATENÇÃO",IF(K148&lt;=5,"BOM","EXCELENTE")))</f>
        <v>ATENÇÃO</v>
      </c>
      <c r="M148" s="3">
        <v>29</v>
      </c>
      <c r="N148" s="3">
        <v>99.06</v>
      </c>
      <c r="O148" s="3">
        <v>22.95719844357977</v>
      </c>
    </row>
    <row r="149" spans="1:15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>E149+G149+H149</f>
        <v>15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9</v>
      </c>
      <c r="K149" s="3">
        <f>I149-J149</f>
        <v>6</v>
      </c>
      <c r="L149" s="3" t="str">
        <f>IF(K149&lt;-5,"CRÍTICO",IF(K149&lt;0,"ATENÇÃO",IF(K149&lt;=5,"BOM","EXCELENTE")))</f>
        <v>EXCELENTE</v>
      </c>
      <c r="M149" s="3">
        <v>13</v>
      </c>
      <c r="N149" s="3">
        <v>100</v>
      </c>
      <c r="O149" s="3">
        <v>16.814159292035399</v>
      </c>
    </row>
    <row r="150" spans="1:15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>E150+G150+H150</f>
        <v>15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9</v>
      </c>
      <c r="K150" s="3">
        <f>I150-J150</f>
        <v>6</v>
      </c>
      <c r="L150" s="3" t="str">
        <f>IF(K150&lt;-5,"CRÍTICO",IF(K150&lt;0,"ATENÇÃO",IF(K150&lt;=5,"BOM","EXCELENTE")))</f>
        <v>EXCELENTE</v>
      </c>
      <c r="M150" s="3">
        <v>13</v>
      </c>
      <c r="N150" s="3">
        <v>98.11</v>
      </c>
      <c r="O150" s="3">
        <v>20.408163265306118</v>
      </c>
    </row>
    <row r="151" spans="1:15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>E151+G151+H151</f>
        <v>31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26</v>
      </c>
      <c r="K151" s="3">
        <f>I151-J151</f>
        <v>5</v>
      </c>
      <c r="L151" s="3" t="str">
        <f>IF(K151&lt;-5,"CRÍTICO",IF(K151&lt;0,"ATENÇÃO",IF(K151&lt;=5,"BOM","EXCELENTE")))</f>
        <v>BOM</v>
      </c>
      <c r="M151" s="3">
        <v>28</v>
      </c>
      <c r="N151" s="3">
        <v>100</v>
      </c>
      <c r="O151" s="3">
        <v>13.8121546961326</v>
      </c>
    </row>
    <row r="152" spans="1:15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>IF(K152&lt;-5,"CRÍTICO",IF(K152&lt;0,"ATENÇÃO",IF(K152&lt;=5,"BOM","EXCELENTE")))</f>
        <v>BOM</v>
      </c>
      <c r="M152" s="3">
        <v>0</v>
      </c>
      <c r="N152" s="3">
        <v>100</v>
      </c>
      <c r="O152" s="3">
        <v>9.5238095238095237</v>
      </c>
    </row>
    <row r="153" spans="1:15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>IF(K153&lt;-5,"CRÍTICO",IF(K153&lt;0,"ATENÇÃO",IF(K153&lt;=5,"BOM","EXCELENTE")))</f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11">
        <v>46029</v>
      </c>
      <c r="B154" t="s">
        <v>36</v>
      </c>
      <c r="C154" t="s">
        <v>20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16</v>
      </c>
      <c r="K154" s="3">
        <f>I154-J154</f>
        <v>9</v>
      </c>
      <c r="L154" s="3" t="str">
        <f>IF(K154&lt;-5,"CRÍTICO",IF(K154&lt;0,"ATENÇÃO",IF(K154&lt;=5,"BOM","EXCELENTE")))</f>
        <v>EXCELENTE</v>
      </c>
      <c r="N154">
        <v>98.91</v>
      </c>
      <c r="O154">
        <v>31.367292225201069</v>
      </c>
    </row>
    <row r="155" spans="1:15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>IF(K155&lt;-5,"CRÍTICO",IF(K155&lt;0,"ATENÇÃO",IF(K155&lt;=5,"BOM","EXCELENTE")))</f>
        <v>ATENÇÃO</v>
      </c>
      <c r="M155" s="3">
        <v>22</v>
      </c>
      <c r="N155" s="3">
        <v>98.63</v>
      </c>
      <c r="O155" s="3">
        <v>15.75757575757576</v>
      </c>
    </row>
    <row r="156" spans="1:15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>IF(K156&lt;-5,"CRÍTICO",IF(K156&lt;0,"ATENÇÃO",IF(K156&lt;=5,"BOM","EXCELENTE")))</f>
        <v>EXCELENTE</v>
      </c>
      <c r="M156" s="3">
        <v>49</v>
      </c>
      <c r="N156" s="3">
        <v>98.64</v>
      </c>
      <c r="O156" s="3">
        <v>16.638370118845501</v>
      </c>
    </row>
    <row r="157" spans="1:15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>IF(K157&lt;-5,"CRÍTICO",IF(K157&lt;0,"ATENÇÃO",IF(K157&lt;=5,"BOM","EXCELENTE")))</f>
        <v>EXCELENTE</v>
      </c>
      <c r="M157" s="3">
        <v>41</v>
      </c>
      <c r="N157" s="3">
        <v>95.4</v>
      </c>
      <c r="O157" s="3">
        <v>20.533333333333331</v>
      </c>
    </row>
    <row r="158" spans="1:15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>IF(K158&lt;-5,"CRÍTICO",IF(K158&lt;0,"ATENÇÃO",IF(K158&lt;=5,"BOM","EXCELENTE")))</f>
        <v>BOM</v>
      </c>
      <c r="M158" s="3">
        <v>26</v>
      </c>
      <c r="N158" s="3">
        <v>98.61</v>
      </c>
      <c r="O158" s="3">
        <v>16.97530864197531</v>
      </c>
    </row>
    <row r="159" spans="1:15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>IF(K159&lt;-5,"CRÍTICO",IF(K159&lt;0,"ATENÇÃO",IF(K159&lt;=5,"BOM","EXCELENTE")))</f>
        <v>BOM</v>
      </c>
      <c r="M159" s="3">
        <v>0</v>
      </c>
      <c r="N159" s="3">
        <v>0</v>
      </c>
      <c r="O159" s="3">
        <v>0</v>
      </c>
    </row>
    <row r="160" spans="1:15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>E160+G160+H160</f>
        <v>26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>I160-J160</f>
        <v>7</v>
      </c>
      <c r="L160" s="3" t="str">
        <f>IF(K160&lt;-5,"CRÍTICO",IF(K160&lt;0,"ATENÇÃO",IF(K160&lt;=5,"BOM","EXCELENTE")))</f>
        <v>EXCELENTE</v>
      </c>
      <c r="M160" s="3">
        <v>22</v>
      </c>
      <c r="N160" s="3">
        <v>97.01</v>
      </c>
      <c r="O160" s="3">
        <v>13.961038961038961</v>
      </c>
    </row>
    <row r="161" spans="1:15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>E161+G161+H161</f>
        <v>23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33</v>
      </c>
      <c r="K161" s="3">
        <f>I161-J161</f>
        <v>-10</v>
      </c>
      <c r="L161" s="3" t="str">
        <f>IF(K161&lt;-5,"CRÍTICO",IF(K161&lt;0,"ATENÇÃO",IF(K161&lt;=5,"BOM","EXCELENTE")))</f>
        <v>CRÍTICO</v>
      </c>
      <c r="M161" s="3">
        <v>23</v>
      </c>
      <c r="N161" s="3">
        <v>95.52</v>
      </c>
      <c r="O161" s="3">
        <v>10.561056105610559</v>
      </c>
    </row>
    <row r="162" spans="1:15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>E162+G162+H162</f>
        <v>16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19</v>
      </c>
      <c r="K162" s="3">
        <f>I162-J162</f>
        <v>-3</v>
      </c>
      <c r="L162" s="3" t="str">
        <f>IF(K162&lt;-5,"CRÍTICO",IF(K162&lt;0,"ATENÇÃO",IF(K162&lt;=5,"BOM","EXCELENTE")))</f>
        <v>ATENÇÃO</v>
      </c>
      <c r="M162" s="3">
        <v>8</v>
      </c>
      <c r="N162" s="3">
        <v>100</v>
      </c>
      <c r="O162" s="3">
        <v>16.959064327485379</v>
      </c>
    </row>
    <row r="163" spans="1:15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>E163+G163+H163</f>
        <v>23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33</v>
      </c>
      <c r="K163" s="3">
        <f>I163-J163</f>
        <v>-10</v>
      </c>
      <c r="L163" s="3" t="str">
        <f>IF(K163&lt;-5,"CRÍTICO",IF(K163&lt;0,"ATENÇÃO",IF(K163&lt;=5,"BOM","EXCELENTE")))</f>
        <v>CRÍTICO</v>
      </c>
      <c r="M163" s="3">
        <v>25</v>
      </c>
      <c r="N163" s="3">
        <v>100</v>
      </c>
      <c r="O163" s="3">
        <v>15.584415584415581</v>
      </c>
    </row>
    <row r="164" spans="1:15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>E164+G164+H164</f>
        <v>43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26</v>
      </c>
      <c r="K164" s="3">
        <f>I164-J164</f>
        <v>17</v>
      </c>
      <c r="L164" s="3" t="str">
        <f>IF(K164&lt;-5,"CRÍTICO",IF(K164&lt;0,"ATENÇÃO",IF(K164&lt;=5,"BOM","EXCELENTE")))</f>
        <v>EXCELENTE</v>
      </c>
      <c r="M164" s="3">
        <v>51</v>
      </c>
      <c r="N164" s="3">
        <v>98.61</v>
      </c>
      <c r="O164" s="3">
        <v>16.867469879518069</v>
      </c>
    </row>
    <row r="165" spans="1:15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>E165+G165+H165</f>
        <v>27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26</v>
      </c>
      <c r="K165" s="3">
        <f>I165-J165</f>
        <v>1</v>
      </c>
      <c r="L165" s="3" t="str">
        <f>IF(K165&lt;-5,"CRÍTICO",IF(K165&lt;0,"ATENÇÃO",IF(K165&lt;=5,"BOM","EXCELENTE")))</f>
        <v>BOM</v>
      </c>
      <c r="M165" s="3">
        <v>26</v>
      </c>
      <c r="N165" s="3">
        <v>100</v>
      </c>
      <c r="O165" s="3">
        <v>20.820189274447952</v>
      </c>
    </row>
    <row r="166" spans="1:15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>IF(K166&lt;-5,"CRÍTICO",IF(K166&lt;0,"ATENÇÃO",IF(K166&lt;=5,"BOM","EXCELENTE")))</f>
        <v>BOM</v>
      </c>
      <c r="M166" s="3">
        <v>0</v>
      </c>
      <c r="N166" s="3">
        <v>100</v>
      </c>
      <c r="O166" s="3">
        <v>4.3478260869565224</v>
      </c>
    </row>
    <row r="167" spans="1:15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>IF(K167&lt;-5,"CRÍTICO",IF(K167&lt;0,"ATENÇÃO",IF(K167&lt;=5,"BOM","EXCELENTE")))</f>
        <v>BOM</v>
      </c>
      <c r="M167" s="3">
        <v>25</v>
      </c>
      <c r="N167" s="3">
        <v>93.26</v>
      </c>
      <c r="O167" s="3">
        <v>19.93957703927493</v>
      </c>
    </row>
    <row r="168" spans="1:15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>IF(K168&lt;-5,"CRÍTICO",IF(K168&lt;0,"ATENÇÃO",IF(K168&lt;=5,"BOM","EXCELENTE")))</f>
        <v>EXCELENTE</v>
      </c>
      <c r="M168" s="3">
        <v>35</v>
      </c>
      <c r="N168" s="3">
        <v>98.28</v>
      </c>
      <c r="O168" s="3">
        <v>9.037900874635568</v>
      </c>
    </row>
    <row r="169" spans="1:15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>IF(K169&lt;-5,"CRÍTICO",IF(K169&lt;0,"ATENÇÃO",IF(K169&lt;=5,"BOM","EXCELENTE")))</f>
        <v>ATENÇÃO</v>
      </c>
      <c r="M169" s="3">
        <v>26</v>
      </c>
      <c r="N169" s="3">
        <v>97.22</v>
      </c>
      <c r="O169" s="3">
        <v>19.095477386934672</v>
      </c>
    </row>
    <row r="170" spans="1:15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>IF(K170&lt;-5,"CRÍTICO",IF(K170&lt;0,"ATENÇÃO",IF(K170&lt;=5,"BOM","EXCELENTE")))</f>
        <v>BOM</v>
      </c>
      <c r="M170" s="3">
        <v>0</v>
      </c>
      <c r="N170" s="3">
        <v>98</v>
      </c>
      <c r="O170" s="3">
        <v>16.43835616438356</v>
      </c>
    </row>
    <row r="171" spans="1:15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>E171+G171+H171</f>
        <v>10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>I171-J171</f>
        <v>-16</v>
      </c>
      <c r="L171" s="3" t="str">
        <f>IF(K171&lt;-5,"CRÍTICO",IF(K171&lt;0,"ATENÇÃO",IF(K171&lt;=5,"BOM","EXCELENTE")))</f>
        <v>CRÍTICO</v>
      </c>
      <c r="M171" s="3">
        <v>9</v>
      </c>
      <c r="N171" s="3">
        <v>100</v>
      </c>
      <c r="O171" s="3">
        <v>16.894977168949769</v>
      </c>
    </row>
    <row r="172" spans="1:15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>E172+G172+H172</f>
        <v>24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19</v>
      </c>
      <c r="K172" s="3">
        <f>I172-J172</f>
        <v>5</v>
      </c>
      <c r="L172" s="3" t="str">
        <f>IF(K172&lt;-5,"CRÍTICO",IF(K172&lt;0,"ATENÇÃO",IF(K172&lt;=5,"BOM","EXCELENTE")))</f>
        <v>BOM</v>
      </c>
      <c r="M172" s="3">
        <v>18</v>
      </c>
      <c r="N172" s="3">
        <v>100</v>
      </c>
      <c r="O172" s="3">
        <v>19.138755980861241</v>
      </c>
    </row>
    <row r="173" spans="1:15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>E173+G173+H173</f>
        <v>24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19</v>
      </c>
      <c r="K173" s="3">
        <f>I173-J173</f>
        <v>5</v>
      </c>
      <c r="L173" s="3" t="str">
        <f>IF(K173&lt;-5,"CRÍTICO",IF(K173&lt;0,"ATENÇÃO",IF(K173&lt;=5,"BOM","EXCELENTE")))</f>
        <v>BOM</v>
      </c>
      <c r="M173" s="3">
        <v>25</v>
      </c>
      <c r="N173" s="3">
        <v>100</v>
      </c>
      <c r="O173" s="3">
        <v>15.02145922746781</v>
      </c>
    </row>
    <row r="174" spans="1:15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>E174+G174+H174</f>
        <v>40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22</v>
      </c>
      <c r="K174" s="3">
        <f>I174-J174</f>
        <v>18</v>
      </c>
      <c r="L174" s="3" t="str">
        <f>IF(K174&lt;-5,"CRÍTICO",IF(K174&lt;0,"ATENÇÃO",IF(K174&lt;=5,"BOM","EXCELENTE")))</f>
        <v>EXCELENTE</v>
      </c>
      <c r="M174" s="3">
        <v>23</v>
      </c>
      <c r="N174" s="3">
        <v>97.56</v>
      </c>
      <c r="O174" s="3">
        <v>19.28783382789317</v>
      </c>
    </row>
    <row r="175" spans="1:15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33</v>
      </c>
      <c r="K175" s="3">
        <f>I175-J175</f>
        <v>5</v>
      </c>
      <c r="L175" s="3" t="str">
        <f>IF(K175&lt;-5,"CRÍTICO",IF(K175&lt;0,"ATENÇÃO",IF(K175&lt;=5,"BOM","EXCELENTE")))</f>
        <v>BOM</v>
      </c>
      <c r="M175" s="3">
        <v>37</v>
      </c>
      <c r="N175" s="3">
        <v>99.29</v>
      </c>
      <c r="O175" s="3">
        <v>22.49443207126949</v>
      </c>
    </row>
    <row r="176" spans="1:15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>E176+G176+H176</f>
        <v>20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22</v>
      </c>
      <c r="K176" s="3">
        <f>I176-J176</f>
        <v>-2</v>
      </c>
      <c r="L176" s="3" t="str">
        <f>IF(K176&lt;-5,"CRÍTICO",IF(K176&lt;0,"ATENÇÃO",IF(K176&lt;=5,"BOM","EXCELENTE")))</f>
        <v>ATENÇÃO</v>
      </c>
      <c r="M176" s="3">
        <v>20</v>
      </c>
      <c r="N176" s="3">
        <v>100</v>
      </c>
      <c r="O176" s="3">
        <v>16.97247706422019</v>
      </c>
    </row>
    <row r="177" spans="1:15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>E177+G177+H177</f>
        <v>32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33</v>
      </c>
      <c r="K177" s="3">
        <f>I177-J177</f>
        <v>-1</v>
      </c>
      <c r="L177" s="3" t="str">
        <f>IF(K177&lt;-5,"CRÍTICO",IF(K177&lt;0,"ATENÇÃO",IF(K177&lt;=5,"BOM","EXCELENTE")))</f>
        <v>ATENÇÃO</v>
      </c>
      <c r="M177" s="3">
        <v>28</v>
      </c>
      <c r="N177" s="3">
        <v>97.33</v>
      </c>
      <c r="O177" s="3">
        <v>15.805471124620061</v>
      </c>
    </row>
    <row r="178" spans="1:15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>E178+G178+H178</f>
        <v>34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23</v>
      </c>
      <c r="K178" s="3">
        <f>I178-J178</f>
        <v>11</v>
      </c>
      <c r="L178" s="3" t="str">
        <f>IF(K178&lt;-5,"CRÍTICO",IF(K178&lt;0,"ATENÇÃO",IF(K178&lt;=5,"BOM","EXCELENTE")))</f>
        <v>EXCELENTE</v>
      </c>
      <c r="M178" s="3">
        <v>21</v>
      </c>
      <c r="N178" s="3">
        <v>98.94</v>
      </c>
      <c r="O178" s="3">
        <v>19.614147909967851</v>
      </c>
    </row>
    <row r="179" spans="1:15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>IF(K179&lt;-5,"CRÍTICO",IF(K179&lt;0,"ATENÇÃO",IF(K179&lt;=5,"BOM","EXCELENTE")))</f>
        <v>BOM</v>
      </c>
      <c r="M179" s="9">
        <v>0</v>
      </c>
      <c r="N179" s="9">
        <v>100</v>
      </c>
      <c r="O179" s="9">
        <v>0</v>
      </c>
    </row>
    <row r="180" spans="1:15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>E180+G180+H180</f>
        <v>25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>I180-J180</f>
        <v>6</v>
      </c>
      <c r="L180" s="3" t="str">
        <f>IF(K180&lt;-5,"CRÍTICO",IF(K180&lt;0,"ATENÇÃO",IF(K180&lt;=5,"BOM","EXCELENTE")))</f>
        <v>EXCELENTE</v>
      </c>
      <c r="M180" s="3">
        <v>24</v>
      </c>
      <c r="N180" s="3">
        <v>95.38</v>
      </c>
      <c r="O180" s="3">
        <v>21.5962441314554</v>
      </c>
    </row>
    <row r="181" spans="1:15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>E181+G181+H181</f>
        <v>24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29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20</v>
      </c>
      <c r="N181">
        <v>96.34</v>
      </c>
      <c r="O181">
        <v>17.571884984025559</v>
      </c>
    </row>
    <row r="182" spans="1:15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>E182+G182+H182</f>
        <v>32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23</v>
      </c>
      <c r="K182" s="3">
        <f>I182-J182</f>
        <v>9</v>
      </c>
      <c r="L182" s="3" t="str">
        <f>IF(K182&lt;-5,"CRÍTICO",IF(K182&lt;0,"ATENÇÃO",IF(K182&lt;=5,"BOM","EXCELENTE")))</f>
        <v>EXCELENTE</v>
      </c>
      <c r="M182">
        <v>35</v>
      </c>
      <c r="N182">
        <v>99.13</v>
      </c>
      <c r="O182">
        <v>14.7239263803681</v>
      </c>
    </row>
    <row r="183" spans="1:15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>E183+G183+H183</f>
        <v>12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23</v>
      </c>
      <c r="K183" s="3">
        <f>I183-J183</f>
        <v>-11</v>
      </c>
      <c r="L183" s="3" t="str">
        <f>IF(K183&lt;-5,"CRÍTICO",IF(K183&lt;0,"ATENÇÃO",IF(K183&lt;=5,"BOM","EXCELENTE")))</f>
        <v>CRÍTICO</v>
      </c>
      <c r="M183">
        <v>12</v>
      </c>
      <c r="N183">
        <v>98.8</v>
      </c>
      <c r="O183">
        <v>16.897506925207761</v>
      </c>
    </row>
    <row r="184" spans="1:15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>E184+G184+H184</f>
        <v>30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19</v>
      </c>
      <c r="K184" s="3">
        <f>I184-J184</f>
        <v>11</v>
      </c>
      <c r="L184" s="3" t="str">
        <f>IF(K184&lt;-5,"CRÍTICO",IF(K184&lt;0,"ATENÇÃO",IF(K184&lt;=5,"BOM","EXCELENTE")))</f>
        <v>EXCELENTE</v>
      </c>
      <c r="M184">
        <v>27</v>
      </c>
      <c r="N184">
        <v>96.88</v>
      </c>
      <c r="O184">
        <v>19.526627218934909</v>
      </c>
    </row>
    <row r="185" spans="1:15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>E185+G185+H185</f>
        <v>26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29</v>
      </c>
      <c r="K185" s="3">
        <f>I185-J185</f>
        <v>-3</v>
      </c>
      <c r="L185" s="3" t="str">
        <f>IF(K185&lt;-5,"CRÍTICO",IF(K185&lt;0,"ATENÇÃO",IF(K185&lt;=5,"BOM","EXCELENTE")))</f>
        <v>ATENÇÃO</v>
      </c>
      <c r="M185">
        <v>25</v>
      </c>
      <c r="N185">
        <v>91.85</v>
      </c>
      <c r="O185">
        <v>20.87155963302752</v>
      </c>
    </row>
    <row r="186" spans="1:15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>E186+G186+H186</f>
        <v>17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23</v>
      </c>
      <c r="K186" s="3">
        <f>I186-J186</f>
        <v>-6</v>
      </c>
      <c r="L186" s="3" t="str">
        <f>IF(K186&lt;-5,"CRÍTICO",IF(K186&lt;0,"ATENÇÃO",IF(K186&lt;=5,"BOM","EXCELENTE")))</f>
        <v>CRÍTICO</v>
      </c>
      <c r="M186">
        <v>16</v>
      </c>
      <c r="N186">
        <v>98.63</v>
      </c>
      <c r="O186">
        <v>18.75</v>
      </c>
    </row>
    <row r="187" spans="1:15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>E187+G187+H187</f>
        <v>16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19</v>
      </c>
      <c r="K187" s="3">
        <f>I187-J187</f>
        <v>-3</v>
      </c>
      <c r="L187" s="3" t="str">
        <f>IF(K187&lt;-5,"CRÍTICO",IF(K187&lt;0,"ATENÇÃO",IF(K187&lt;=5,"BOM","EXCELENTE")))</f>
        <v>ATENÇÃO</v>
      </c>
      <c r="M187">
        <v>11</v>
      </c>
      <c r="N187">
        <v>100</v>
      </c>
      <c r="O187">
        <v>18.14516129032258</v>
      </c>
    </row>
    <row r="188" spans="1:15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>E188+G188+H188</f>
        <v>22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29</v>
      </c>
      <c r="K188" s="3">
        <f>I188-J188</f>
        <v>-7</v>
      </c>
      <c r="L188" s="3" t="str">
        <f>IF(K188&lt;-5,"CRÍTICO",IF(K188&lt;0,"ATENÇÃO",IF(K188&lt;=5,"BOM","EXCELENTE")))</f>
        <v>CRÍTICO</v>
      </c>
      <c r="M188">
        <v>22</v>
      </c>
      <c r="N188">
        <v>99.06</v>
      </c>
      <c r="O188">
        <v>22.95719844357977</v>
      </c>
    </row>
    <row r="189" spans="1:15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>E189+G189+H189</f>
        <v>35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8</v>
      </c>
      <c r="K189" s="3">
        <f>I189-J189</f>
        <v>27</v>
      </c>
      <c r="L189" s="3" t="str">
        <f>IF(K189&lt;-5,"CRÍTICO",IF(K189&lt;0,"ATENÇÃO",IF(K189&lt;=5,"BOM","EXCELENTE")))</f>
        <v>EXCELENTE</v>
      </c>
      <c r="M189">
        <v>29</v>
      </c>
      <c r="N189">
        <v>99.11</v>
      </c>
      <c r="O189">
        <v>17.721518987341771</v>
      </c>
    </row>
    <row r="190" spans="1:15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>E190+G190+H190</f>
        <v>9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8</v>
      </c>
      <c r="K190" s="3">
        <f>I190-J190</f>
        <v>1</v>
      </c>
      <c r="L190" s="3" t="str">
        <f>IF(K190&lt;-5,"CRÍTICO",IF(K190&lt;0,"ATENÇÃO",IF(K190&lt;=5,"BOM","EXCELENTE")))</f>
        <v>BOM</v>
      </c>
      <c r="M190">
        <v>7</v>
      </c>
      <c r="N190">
        <v>96.43</v>
      </c>
      <c r="O190">
        <v>20</v>
      </c>
    </row>
    <row r="191" spans="1:15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>E191+G191+H191</f>
        <v>8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8</v>
      </c>
      <c r="K191" s="3">
        <f>I191-J191</f>
        <v>0</v>
      </c>
      <c r="L191" s="3" t="str">
        <f>IF(K191&lt;-5,"CRÍTICO",IF(K191&lt;0,"ATENÇÃO",IF(K191&lt;=5,"BOM","EXCELENTE")))</f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11">
        <v>46030</v>
      </c>
      <c r="B192" t="s">
        <v>36</v>
      </c>
      <c r="C192" t="s">
        <v>20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14</v>
      </c>
      <c r="K192" s="3">
        <f>I192-J192</f>
        <v>3</v>
      </c>
      <c r="L192" s="3" t="str">
        <f>IF(K192&lt;-5,"CRÍTICO",IF(K192&lt;0,"ATENÇÃO",IF(K192&lt;=5,"BOM","EXCELENTE")))</f>
        <v>BOM</v>
      </c>
      <c r="N192">
        <v>98.91</v>
      </c>
      <c r="O192">
        <v>31.367292225201069</v>
      </c>
    </row>
    <row r="193" spans="1:15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>E193+G193+H193</f>
        <v>34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8</v>
      </c>
      <c r="K193" s="3">
        <f>I193-J193</f>
        <v>26</v>
      </c>
      <c r="L193" s="3" t="str">
        <f>IF(K193&lt;-5,"CRÍTICO",IF(K193&lt;0,"ATENÇÃO",IF(K193&lt;=5,"BOM","EXCELENTE")))</f>
        <v>EXCELENTE</v>
      </c>
      <c r="M193">
        <v>1</v>
      </c>
      <c r="N193">
        <v>100</v>
      </c>
      <c r="O193">
        <v>11.864406779661021</v>
      </c>
    </row>
    <row r="194" spans="1:15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>E194+G194+H194</f>
        <v>13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8</v>
      </c>
      <c r="K194" s="3">
        <f>I194-J194</f>
        <v>5</v>
      </c>
      <c r="L194" s="3" t="str">
        <f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>E195+G195+H195</f>
        <v>17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8</v>
      </c>
      <c r="K195" s="3">
        <f>I195-J195</f>
        <v>9</v>
      </c>
      <c r="L195" s="3" t="str">
        <f>IF(K195&lt;-5,"CRÍTICO",IF(K195&lt;0,"ATENÇÃO",IF(K195&lt;=5,"BOM","EXCELENTE")))</f>
        <v>EXCELENTE</v>
      </c>
      <c r="M195">
        <v>11</v>
      </c>
      <c r="N195">
        <v>98.11</v>
      </c>
      <c r="O195">
        <v>20.408163265306118</v>
      </c>
    </row>
    <row r="196" spans="1:15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>E196+G196+H196</f>
        <v>29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6</v>
      </c>
      <c r="L196" s="3" t="str">
        <f>IF(K196&lt;-5,"CRÍTICO",IF(K196&lt;0,"ATENÇÃO",IF(K196&lt;=5,"BOM","EXCELENTE")))</f>
        <v>EXCELENTE</v>
      </c>
      <c r="M196">
        <v>26</v>
      </c>
      <c r="N196">
        <v>100</v>
      </c>
      <c r="O196">
        <v>13.8121546961326</v>
      </c>
    </row>
    <row r="197" spans="1:15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>IF(K197&lt;-5,"CRÍTICO",IF(K197&lt;0,"ATENÇÃO",IF(K197&lt;=5,"BOM","EXCELENTE")))</f>
        <v>BOM</v>
      </c>
      <c r="M197" s="9">
        <v>0</v>
      </c>
      <c r="N197" s="9">
        <v>100</v>
      </c>
      <c r="O197" s="9">
        <v>9.5238095238095237</v>
      </c>
    </row>
    <row r="198" spans="1:15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>IF(K198&lt;-5,"CRÍTICO",IF(K198&lt;0,"ATENÇÃO",IF(K198&lt;=5,"BOM","EXCELENTE")))</f>
        <v>BOM</v>
      </c>
      <c r="M198" s="9">
        <v>0</v>
      </c>
      <c r="N198" s="9">
        <v>100</v>
      </c>
      <c r="O198" s="9">
        <v>17.241379310344829</v>
      </c>
    </row>
    <row r="199" spans="1:15" hidden="1" x14ac:dyDescent="0.25">
      <c r="A199" s="11">
        <v>46031</v>
      </c>
      <c r="B199" t="s">
        <v>36</v>
      </c>
      <c r="C199" t="s">
        <v>20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12</v>
      </c>
      <c r="K199" s="3">
        <f>I199-J199</f>
        <v>5</v>
      </c>
      <c r="L199" s="3" t="str">
        <f>IF(K199&lt;-5,"CRÍTICO",IF(K199&lt;0,"ATENÇÃO",IF(K199&lt;=5,"BOM","EXCELENTE")))</f>
        <v>BOM</v>
      </c>
      <c r="N199">
        <v>98.91</v>
      </c>
      <c r="O199">
        <v>31.367292225201069</v>
      </c>
    </row>
    <row r="200" spans="1:15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>IF(K200&lt;-5,"CRÍTICO",IF(K200&lt;0,"ATENÇÃO",IF(K200&lt;=5,"BOM","EXCELENTE")))</f>
        <v>BOM</v>
      </c>
      <c r="M200">
        <v>22</v>
      </c>
      <c r="N200">
        <v>98.63</v>
      </c>
      <c r="O200">
        <v>15.75757575757576</v>
      </c>
    </row>
    <row r="201" spans="1:15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>IF(K201&lt;-5,"CRÍTICO",IF(K201&lt;0,"ATENÇÃO",IF(K201&lt;=5,"BOM","EXCELENTE")))</f>
        <v>EXCELENTE</v>
      </c>
      <c r="M201">
        <v>41</v>
      </c>
      <c r="N201">
        <v>98.64</v>
      </c>
      <c r="O201">
        <v>16.638370118845501</v>
      </c>
    </row>
    <row r="202" spans="1:15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>IF(K202&lt;-5,"CRÍTICO",IF(K202&lt;0,"ATENÇÃO",IF(K202&lt;=5,"BOM","EXCELENTE")))</f>
        <v>ATENÇÃO</v>
      </c>
      <c r="M202">
        <v>21</v>
      </c>
      <c r="N202">
        <v>95.4</v>
      </c>
      <c r="O202">
        <v>20.533333333333331</v>
      </c>
    </row>
    <row r="203" spans="1:15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>IF(K203&lt;-5,"CRÍTICO",IF(K203&lt;0,"ATENÇÃO",IF(K203&lt;=5,"BOM","EXCELENTE")))</f>
        <v>BOM</v>
      </c>
      <c r="M203">
        <v>24</v>
      </c>
      <c r="N203">
        <v>98.61</v>
      </c>
      <c r="O203">
        <v>16.97530864197531</v>
      </c>
    </row>
    <row r="204" spans="1:15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>IF(K204&lt;-5,"CRÍTICO",IF(K204&lt;0,"ATENÇÃO",IF(K204&lt;=5,"BOM","EXCELENTE")))</f>
        <v>BOM</v>
      </c>
      <c r="M204" s="9">
        <v>0</v>
      </c>
      <c r="N204" s="9">
        <v>0</v>
      </c>
      <c r="O204" s="9">
        <v>0</v>
      </c>
    </row>
    <row r="205" spans="1:15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>E205+G205+H205</f>
        <v>21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>I205-J205</f>
        <v>5</v>
      </c>
      <c r="L205" s="3" t="str">
        <f>IF(K205&lt;-5,"CRÍTICO",IF(K205&lt;0,"ATENÇÃO",IF(K205&lt;=5,"BOM","EXCELENTE")))</f>
        <v>BOM</v>
      </c>
      <c r="M205">
        <v>16</v>
      </c>
      <c r="N205">
        <v>97.01</v>
      </c>
      <c r="O205">
        <v>13.961038961038961</v>
      </c>
    </row>
    <row r="206" spans="1:15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>E206+G206+H206</f>
        <v>4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29</v>
      </c>
      <c r="K206" s="3">
        <f>I206-J206</f>
        <v>-25</v>
      </c>
      <c r="L206" s="3" t="str">
        <f>IF(K206&lt;-5,"CRÍTICO",IF(K206&lt;0,"ATENÇÃO",IF(K206&lt;=5,"BOM","EXCELENTE")))</f>
        <v>CRÍTICO</v>
      </c>
      <c r="M206">
        <v>4</v>
      </c>
      <c r="N206">
        <v>95.52</v>
      </c>
      <c r="O206">
        <v>10.561056105610559</v>
      </c>
    </row>
    <row r="207" spans="1:15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>E207+G207+H207</f>
        <v>15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16</v>
      </c>
      <c r="K207" s="3">
        <f>I207-J207</f>
        <v>-1</v>
      </c>
      <c r="L207" s="3" t="str">
        <f>IF(K207&lt;-5,"CRÍTICO",IF(K207&lt;0,"ATENÇÃO",IF(K207&lt;=5,"BOM","EXCELENTE")))</f>
        <v>ATENÇÃO</v>
      </c>
      <c r="M207">
        <v>14</v>
      </c>
      <c r="N207">
        <v>100</v>
      </c>
      <c r="O207">
        <v>16.959064327485379</v>
      </c>
    </row>
    <row r="208" spans="1:15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>E208+G208+H208</f>
        <v>28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29</v>
      </c>
      <c r="K208" s="3">
        <f>I208-J208</f>
        <v>-1</v>
      </c>
      <c r="L208" s="3" t="str">
        <f>IF(K208&lt;-5,"CRÍTICO",IF(K208&lt;0,"ATENÇÃO",IF(K208&lt;=5,"BOM","EXCELENTE")))</f>
        <v>ATENÇÃO</v>
      </c>
      <c r="M208">
        <v>24</v>
      </c>
      <c r="N208">
        <v>100</v>
      </c>
      <c r="O208">
        <v>15.584415584415581</v>
      </c>
    </row>
    <row r="209" spans="1:15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>E209+G209+H209</f>
        <v>21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23</v>
      </c>
      <c r="K209" s="3">
        <f>I209-J209</f>
        <v>-2</v>
      </c>
      <c r="L209" s="3" t="str">
        <f>IF(K209&lt;-5,"CRÍTICO",IF(K209&lt;0,"ATENÇÃO",IF(K209&lt;=5,"BOM","EXCELENTE")))</f>
        <v>ATENÇÃO</v>
      </c>
      <c r="M209">
        <v>18</v>
      </c>
      <c r="N209">
        <v>98.61</v>
      </c>
      <c r="O209">
        <v>16.867469879518069</v>
      </c>
    </row>
    <row r="210" spans="1:15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>E210+G210+H210</f>
        <v>26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23</v>
      </c>
      <c r="K210" s="3">
        <f>I210-J210</f>
        <v>3</v>
      </c>
      <c r="L210" s="3" t="str">
        <f>IF(K210&lt;-5,"CRÍTICO",IF(K210&lt;0,"ATENÇÃO",IF(K210&lt;=5,"BOM","EXCELENTE")))</f>
        <v>BOM</v>
      </c>
      <c r="M210">
        <v>21</v>
      </c>
      <c r="N210">
        <v>100</v>
      </c>
      <c r="O210">
        <v>20.820189274447952</v>
      </c>
    </row>
    <row r="211" spans="1:15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IF(K211&lt;-5,"CRÍTICO",IF(K211&lt;0,"ATENÇÃO",IF(K211&lt;=5,"BOM","EXCELENTE")))</f>
        <v>BOM</v>
      </c>
      <c r="M211" s="9">
        <v>0</v>
      </c>
      <c r="N211" s="9">
        <v>100</v>
      </c>
      <c r="O211" s="9">
        <v>4.3478260869565224</v>
      </c>
    </row>
    <row r="212" spans="1:15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>E212+G212+H212</f>
        <v>23</v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>I212-J212</f>
        <v>4</v>
      </c>
      <c r="L212" s="3" t="str">
        <f>IF(K212&lt;-5,"CRÍTICO",IF(K212&lt;0,"ATENÇÃO",IF(K212&lt;=5,"BOM","EXCELENTE")))</f>
        <v>BOM</v>
      </c>
      <c r="M212">
        <v>23</v>
      </c>
      <c r="N212">
        <v>93.26</v>
      </c>
      <c r="O212">
        <v>19.93957703927493</v>
      </c>
    </row>
    <row r="213" spans="1:15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>E213+G213+H213</f>
        <v>31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29</v>
      </c>
      <c r="K213" s="3">
        <f>I213-J213</f>
        <v>2</v>
      </c>
      <c r="L213" s="3" t="str">
        <f>IF(K213&lt;-5,"CRÍTICO",IF(K213&lt;0,"ATENÇÃO",IF(K213&lt;=5,"BOM","EXCELENTE")))</f>
        <v>BOM</v>
      </c>
      <c r="M213">
        <v>21</v>
      </c>
      <c r="N213">
        <v>98.28</v>
      </c>
      <c r="O213">
        <v>9.037900874635568</v>
      </c>
    </row>
    <row r="214" spans="1:15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>E214+G214+H214</f>
        <v>29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29</v>
      </c>
      <c r="K214" s="3">
        <f>I214-J214</f>
        <v>0</v>
      </c>
      <c r="L214" s="3" t="str">
        <f>IF(K214&lt;-5,"CRÍTICO",IF(K214&lt;0,"ATENÇÃO",IF(K214&lt;=5,"BOM","EXCELENTE")))</f>
        <v>BOM</v>
      </c>
      <c r="M214">
        <v>23</v>
      </c>
      <c r="N214">
        <v>97.22</v>
      </c>
      <c r="O214">
        <v>19.095477386934672</v>
      </c>
    </row>
    <row r="215" spans="1:15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>E215+G215+H215</f>
        <v>26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16</v>
      </c>
      <c r="K215" s="3">
        <f>I215-J215</f>
        <v>10</v>
      </c>
      <c r="L215" s="3" t="str">
        <f>IF(K215&lt;-5,"CRÍTICO",IF(K215&lt;0,"ATENÇÃO",IF(K215&lt;=5,"BOM","EXCELENTE")))</f>
        <v>EXCELENTE</v>
      </c>
      <c r="M215">
        <v>20</v>
      </c>
      <c r="N215">
        <v>98</v>
      </c>
      <c r="O215">
        <v>16.43835616438356</v>
      </c>
    </row>
    <row r="216" spans="1:15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>E216+G216+H216</f>
        <v>19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23</v>
      </c>
      <c r="K216" s="3">
        <f>I216-J216</f>
        <v>-4</v>
      </c>
      <c r="L216" s="3" t="str">
        <f>IF(K216&lt;-5,"CRÍTICO",IF(K216&lt;0,"ATENÇÃO",IF(K216&lt;=5,"BOM","EXCELENTE")))</f>
        <v>ATENÇÃO</v>
      </c>
      <c r="M216">
        <v>17</v>
      </c>
      <c r="N216">
        <v>100</v>
      </c>
      <c r="O216">
        <v>16.894977168949769</v>
      </c>
    </row>
    <row r="217" spans="1:15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16</v>
      </c>
      <c r="K217" s="3">
        <f>I217-J217</f>
        <v>-2</v>
      </c>
      <c r="L217" s="3" t="str">
        <f>IF(K217&lt;-5,"CRÍTICO",IF(K217&lt;0,"ATENÇÃO",IF(K217&lt;=5,"BOM","EXCELENTE")))</f>
        <v>ATENÇÃO</v>
      </c>
      <c r="M217">
        <v>14</v>
      </c>
      <c r="N217">
        <v>100</v>
      </c>
      <c r="O217">
        <v>19.138755980861241</v>
      </c>
    </row>
    <row r="218" spans="1:15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>E218+G218+H218</f>
        <v>17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16</v>
      </c>
      <c r="K218" s="3">
        <f>I218-J218</f>
        <v>1</v>
      </c>
      <c r="L218" s="3" t="str">
        <f>IF(K218&lt;-5,"CRÍTICO",IF(K218&lt;0,"ATENÇÃO",IF(K218&lt;=5,"BOM","EXCELENTE")))</f>
        <v>BOM</v>
      </c>
      <c r="M218">
        <v>16</v>
      </c>
      <c r="N218">
        <v>100</v>
      </c>
      <c r="O218">
        <v>15.02145922746781</v>
      </c>
    </row>
    <row r="219" spans="1:15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>E219+G219+H219</f>
        <v>36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17</v>
      </c>
      <c r="L219" s="3" t="str">
        <f>IF(K219&lt;-5,"CRÍTICO",IF(K219&lt;0,"ATENÇÃO",IF(K219&lt;=5,"BOM","EXCELENTE")))</f>
        <v>EXCELENTE</v>
      </c>
      <c r="M219">
        <v>32</v>
      </c>
      <c r="N219">
        <v>97.56</v>
      </c>
      <c r="O219">
        <v>19.28783382789317</v>
      </c>
    </row>
    <row r="220" spans="1:15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>E220+G220+H220</f>
        <v>38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29</v>
      </c>
      <c r="K220" s="3">
        <f>I220-J220</f>
        <v>9</v>
      </c>
      <c r="L220" s="3" t="str">
        <f>IF(K220&lt;-5,"CRÍTICO",IF(K220&lt;0,"ATENÇÃO",IF(K220&lt;=5,"BOM","EXCELENTE")))</f>
        <v>EXCELENTE</v>
      </c>
      <c r="M220">
        <v>26</v>
      </c>
      <c r="N220">
        <v>99.29</v>
      </c>
      <c r="O220">
        <v>22.49443207126949</v>
      </c>
    </row>
    <row r="221" spans="1:15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>IF(K221&lt;-5,"CRÍTICO",IF(K221&lt;0,"ATENÇÃO",IF(K221&lt;=5,"BOM","EXCELENTE")))</f>
        <v>BOM</v>
      </c>
      <c r="M221" s="9">
        <v>0</v>
      </c>
      <c r="N221" s="9">
        <v>100</v>
      </c>
      <c r="O221" s="9">
        <v>16.97247706422019</v>
      </c>
    </row>
    <row r="222" spans="1:15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>IF(K222&lt;-5,"CRÍTICO",IF(K222&lt;0,"ATENÇÃO",IF(K222&lt;=5,"BOM","EXCELENTE")))</f>
        <v>ATENÇÃO</v>
      </c>
      <c r="M222">
        <v>25</v>
      </c>
      <c r="N222">
        <v>97.33</v>
      </c>
      <c r="O222">
        <v>15.805471124620061</v>
      </c>
    </row>
    <row r="223" spans="1:15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>IF(K223&lt;-5,"CRÍTICO",IF(K223&lt;0,"ATENÇÃO",IF(K223&lt;=5,"BOM","EXCELENTE")))</f>
        <v>EXCELENTE</v>
      </c>
      <c r="M223" s="3">
        <v>18</v>
      </c>
      <c r="N223" s="3">
        <v>98.94</v>
      </c>
      <c r="O223" s="3">
        <v>19.614147909967851</v>
      </c>
    </row>
    <row r="224" spans="1:15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>IF(K224&lt;-5,"CRÍTICO",IF(K224&lt;0,"ATENÇÃO",IF(K224&lt;=5,"BOM","EXCELENTE")))</f>
        <v>BOM</v>
      </c>
      <c r="M224" s="9">
        <v>0</v>
      </c>
      <c r="N224" s="9">
        <v>100</v>
      </c>
      <c r="O224" s="9">
        <v>0</v>
      </c>
    </row>
    <row r="225" spans="1:15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>E225+G225+H225</f>
        <v>46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26</v>
      </c>
      <c r="L225" s="3" t="str">
        <f>IF(K225&lt;-5,"CRÍTICO",IF(K225&lt;0,"ATENÇÃO",IF(K225&lt;=5,"BOM","EXCELENTE")))</f>
        <v>EXCELENTE</v>
      </c>
      <c r="M225" s="3">
        <v>38</v>
      </c>
      <c r="N225" s="3">
        <v>95.38</v>
      </c>
      <c r="O225" s="3">
        <v>21.5962441314554</v>
      </c>
    </row>
    <row r="226" spans="1:15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G226" s="3">
        <v>0</v>
      </c>
      <c r="H226" s="3">
        <v>0</v>
      </c>
      <c r="I226" s="3">
        <f>E226+G226+H226</f>
        <v>16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30</v>
      </c>
      <c r="K226" s="3">
        <f>I226-J226</f>
        <v>-14</v>
      </c>
      <c r="L226" s="3" t="str">
        <f>IF(K226&lt;-5,"CRÍTICO",IF(K226&lt;0,"ATENÇÃO",IF(K226&lt;=5,"BOM","EXCELENTE")))</f>
        <v>CRÍTICO</v>
      </c>
      <c r="M226">
        <v>13</v>
      </c>
      <c r="N226">
        <v>96.34</v>
      </c>
      <c r="O226">
        <v>17.571884984025559</v>
      </c>
    </row>
    <row r="227" spans="1:15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>E227+G227+H227</f>
        <v>30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24</v>
      </c>
      <c r="K227" s="3">
        <f>I227-J227</f>
        <v>6</v>
      </c>
      <c r="L227" s="3" t="str">
        <f>IF(K227&lt;-5,"CRÍTICO",IF(K227&lt;0,"ATENÇÃO",IF(K227&lt;=5,"BOM","EXCELENTE")))</f>
        <v>EXCELENTE</v>
      </c>
      <c r="M227">
        <v>30</v>
      </c>
      <c r="N227">
        <v>99.13</v>
      </c>
      <c r="O227">
        <v>14.7239263803681</v>
      </c>
    </row>
    <row r="228" spans="1:15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>E228+G228+H228</f>
        <v>26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24</v>
      </c>
      <c r="K228" s="3">
        <f>I228-J228</f>
        <v>2</v>
      </c>
      <c r="L228" s="3" t="str">
        <f>IF(K228&lt;-5,"CRÍTICO",IF(K228&lt;0,"ATENÇÃO",IF(K228&lt;=5,"BOM","EXCELENTE")))</f>
        <v>BOM</v>
      </c>
      <c r="M228">
        <v>26</v>
      </c>
      <c r="N228">
        <v>98.8</v>
      </c>
      <c r="O228">
        <v>16.897506925207761</v>
      </c>
    </row>
    <row r="229" spans="1:15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>E229+G229+H229</f>
        <v>25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20</v>
      </c>
      <c r="K229" s="3">
        <f>I229-J229</f>
        <v>5</v>
      </c>
      <c r="L229" s="3" t="str">
        <f>IF(K229&lt;-5,"CRÍTICO",IF(K229&lt;0,"ATENÇÃO",IF(K229&lt;=5,"BOM","EXCELENTE")))</f>
        <v>BOM</v>
      </c>
      <c r="M229">
        <v>21</v>
      </c>
      <c r="N229">
        <v>96.88</v>
      </c>
      <c r="O229">
        <v>19.526627218934909</v>
      </c>
    </row>
    <row r="230" spans="1:15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G230" s="3">
        <v>0</v>
      </c>
      <c r="H230" s="3">
        <v>0</v>
      </c>
      <c r="I230" s="3">
        <f>E230+G230+H230</f>
        <v>35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30</v>
      </c>
      <c r="K230" s="3">
        <f>I230-J230</f>
        <v>5</v>
      </c>
      <c r="L230" s="3" t="str">
        <f>IF(K230&lt;-5,"CRÍTICO",IF(K230&lt;0,"ATENÇÃO",IF(K230&lt;=5,"BOM","EXCELENTE")))</f>
        <v>BOM</v>
      </c>
      <c r="M230">
        <v>31</v>
      </c>
      <c r="N230">
        <v>91.85</v>
      </c>
      <c r="O230">
        <v>20.87155963302752</v>
      </c>
    </row>
    <row r="231" spans="1:15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>E231+G231+H231</f>
        <v>31</v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>24</v>
      </c>
      <c r="K231" s="3">
        <f>I231-J231</f>
        <v>7</v>
      </c>
      <c r="L231" s="3" t="str">
        <f>IF(K231&lt;-5,"CRÍTICO",IF(K231&lt;0,"ATENÇÃO",IF(K231&lt;=5,"BOM","EXCELENTE")))</f>
        <v>EXCELENTE</v>
      </c>
      <c r="M231">
        <v>22</v>
      </c>
      <c r="N231">
        <v>98.63</v>
      </c>
      <c r="O231">
        <v>18.75</v>
      </c>
    </row>
    <row r="232" spans="1:15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>E232+G232+H232</f>
        <v>22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20</v>
      </c>
      <c r="K232" s="3">
        <f>I232-J232</f>
        <v>2</v>
      </c>
      <c r="L232" s="3" t="str">
        <f>IF(K232&lt;-5,"CRÍTICO",IF(K232&lt;0,"ATENÇÃO",IF(K232&lt;=5,"BOM","EXCELENTE")))</f>
        <v>BOM</v>
      </c>
      <c r="M232">
        <v>19</v>
      </c>
      <c r="N232">
        <v>100</v>
      </c>
      <c r="O232">
        <v>18.14516129032258</v>
      </c>
    </row>
    <row r="233" spans="1:15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G233" s="3">
        <v>0</v>
      </c>
      <c r="H233" s="3">
        <v>0</v>
      </c>
      <c r="I233" s="3">
        <f>E233+G233+H233</f>
        <v>25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30</v>
      </c>
      <c r="K233" s="3">
        <f>I233-J233</f>
        <v>-5</v>
      </c>
      <c r="L233" s="3" t="str">
        <f>IF(K233&lt;-5,"CRÍTICO",IF(K233&lt;0,"ATENÇÃO",IF(K233&lt;=5,"BOM","EXCELENTE")))</f>
        <v>ATENÇÃO</v>
      </c>
      <c r="M233">
        <v>25</v>
      </c>
      <c r="N233">
        <v>99.06</v>
      </c>
      <c r="O233">
        <v>22.95719844357977</v>
      </c>
    </row>
    <row r="234" spans="1:15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>E234+G234+H234</f>
        <v>32</v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>9</v>
      </c>
      <c r="K234" s="3">
        <f>I234-J234</f>
        <v>23</v>
      </c>
      <c r="L234" s="3" t="str">
        <f>IF(K234&lt;-5,"CRÍTICO",IF(K234&lt;0,"ATENÇÃO",IF(K234&lt;=5,"BOM","EXCELENTE")))</f>
        <v>EXCELENTE</v>
      </c>
      <c r="M234">
        <v>29</v>
      </c>
      <c r="N234">
        <v>99.11</v>
      </c>
      <c r="O234">
        <v>17.721518987341771</v>
      </c>
    </row>
    <row r="235" spans="1:15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G235" s="3">
        <v>0</v>
      </c>
      <c r="H235" s="3">
        <v>0</v>
      </c>
      <c r="I235" s="3">
        <f>E235+G235+H235</f>
        <v>1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9</v>
      </c>
      <c r="K235" s="3">
        <f>I235-J235</f>
        <v>-8</v>
      </c>
      <c r="L235" s="3" t="str">
        <f>IF(K235&lt;-5,"CRÍTICO",IF(K235&lt;0,"ATENÇÃO",IF(K235&lt;=5,"BOM","EXCELENTE")))</f>
        <v>CRÍTICO</v>
      </c>
      <c r="M235">
        <v>1</v>
      </c>
      <c r="N235">
        <v>96.43</v>
      </c>
      <c r="O235">
        <v>20</v>
      </c>
    </row>
    <row r="236" spans="1:15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G236" s="3">
        <v>0</v>
      </c>
      <c r="H236" s="3">
        <v>0</v>
      </c>
      <c r="I236" s="3">
        <f>E236+G236+H236</f>
        <v>5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9</v>
      </c>
      <c r="K236" s="3">
        <f>I236-J236</f>
        <v>-4</v>
      </c>
      <c r="L236" s="3" t="str">
        <f>IF(K236&lt;-5,"CRÍTICO",IF(K236&lt;0,"ATENÇÃO",IF(K236&lt;=5,"BOM","EXCELENTE")))</f>
        <v>ATENÇÃO</v>
      </c>
      <c r="M236">
        <v>2</v>
      </c>
      <c r="N236">
        <v>100</v>
      </c>
      <c r="O236">
        <v>29.032258064516132</v>
      </c>
    </row>
    <row r="237" spans="1:15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>E237+G237+H237</f>
        <v>31</v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>24</v>
      </c>
      <c r="K237" s="3">
        <f>I237-J237</f>
        <v>7</v>
      </c>
      <c r="L237" s="3" t="str">
        <f>IF(K237&lt;-5,"CRÍTICO",IF(K237&lt;0,"ATENÇÃO",IF(K237&lt;=5,"BOM","EXCELENTE")))</f>
        <v>EXCELENTE</v>
      </c>
      <c r="M237">
        <v>27</v>
      </c>
      <c r="N237">
        <v>100</v>
      </c>
      <c r="O237">
        <v>13.8121546961326</v>
      </c>
    </row>
    <row r="238" spans="1:15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IF(K238&lt;-5,"CRÍTICO",IF(K238&lt;0,"ATENÇÃO",IF(K238&lt;=5,"BOM","EXCELENTE")))</f>
        <v>BOM</v>
      </c>
      <c r="M238" s="9">
        <v>0</v>
      </c>
      <c r="N238" s="9">
        <v>100</v>
      </c>
      <c r="O238" s="9">
        <v>9.5238095238095237</v>
      </c>
    </row>
    <row r="239" spans="1:15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IF(K239&lt;-5,"CRÍTICO",IF(K239&lt;0,"ATENÇÃO",IF(K239&lt;=5,"BOM","EXCELENTE")))</f>
        <v>BOM</v>
      </c>
      <c r="M239" s="9">
        <v>0</v>
      </c>
      <c r="N239" s="9">
        <v>100</v>
      </c>
      <c r="O239" s="9">
        <v>17.241379310344829</v>
      </c>
    </row>
    <row r="240" spans="1:15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>E240+G240+H240</f>
        <v>32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>I240-J240</f>
        <v>23</v>
      </c>
      <c r="L240" s="3" t="str">
        <f>IF(K240&lt;-5,"CRÍTICO",IF(K240&lt;0,"ATENÇÃO",IF(K240&lt;=5,"BOM","EXCELENTE")))</f>
        <v>EXCELENTE</v>
      </c>
      <c r="M240">
        <v>4</v>
      </c>
      <c r="N240">
        <v>100</v>
      </c>
      <c r="O240">
        <v>11.864406779661021</v>
      </c>
    </row>
    <row r="241" spans="1:15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G241" s="3">
        <v>0</v>
      </c>
      <c r="H241" s="3">
        <v>0</v>
      </c>
      <c r="I241" s="3">
        <f>E241+G241+H241</f>
        <v>7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9</v>
      </c>
      <c r="K241" s="3">
        <f>I241-J241</f>
        <v>-2</v>
      </c>
      <c r="L241" s="3" t="str">
        <f>IF(K241&lt;-5,"CRÍTICO",IF(K241&lt;0,"ATENÇÃO",IF(K241&lt;=5,"BOM","EXCELENTE")))</f>
        <v>ATENÇÃO</v>
      </c>
      <c r="M241">
        <v>4</v>
      </c>
      <c r="N241">
        <v>100</v>
      </c>
      <c r="O241">
        <v>16.814159292035399</v>
      </c>
    </row>
    <row r="242" spans="1:15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G242" s="3">
        <v>0</v>
      </c>
      <c r="H242" s="3">
        <v>0</v>
      </c>
      <c r="I242" s="3">
        <f>E242+G242+H242</f>
        <v>16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9</v>
      </c>
      <c r="K242" s="3">
        <f>I242-J242</f>
        <v>7</v>
      </c>
      <c r="L242" s="3" t="str">
        <f>IF(K242&lt;-5,"CRÍTICO",IF(K242&lt;0,"ATENÇÃO",IF(K242&lt;=5,"BOM","EXCELENTE")))</f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11">
        <v>46034</v>
      </c>
      <c r="B243" t="s">
        <v>36</v>
      </c>
      <c r="C243" t="s">
        <v>20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12</v>
      </c>
      <c r="K243" s="3">
        <f>I243-J243</f>
        <v>10</v>
      </c>
      <c r="L243" s="3" t="str">
        <f>IF(K243&lt;-5,"CRÍTICO",IF(K243&lt;0,"ATENÇÃO",IF(K243&lt;=5,"BOM","EXCELENTE")))</f>
        <v>EXCELENTE</v>
      </c>
      <c r="N243">
        <v>98.91</v>
      </c>
      <c r="O243">
        <v>31.367292225201069</v>
      </c>
    </row>
    <row r="244" spans="1:15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G244" s="3">
        <v>0</v>
      </c>
      <c r="H244" s="3">
        <v>0</v>
      </c>
      <c r="I244" s="3">
        <f>E244+G244+H244</f>
        <v>24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24</v>
      </c>
      <c r="K244" s="3">
        <f>I244-J244</f>
        <v>0</v>
      </c>
      <c r="L244" s="3" t="str">
        <f>IF(K244&lt;-5,"CRÍTICO",IF(K244&lt;0,"ATENÇÃO",IF(K244&lt;=5,"BOM","EXCELENTE")))</f>
        <v>BOM</v>
      </c>
      <c r="M244">
        <v>23</v>
      </c>
      <c r="N244">
        <v>98.63</v>
      </c>
      <c r="O244">
        <v>15.75757575757576</v>
      </c>
    </row>
    <row r="245" spans="1:15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>E245+G245+H245</f>
        <v>49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30</v>
      </c>
      <c r="K245" s="3">
        <f>I245-J245</f>
        <v>19</v>
      </c>
      <c r="L245" s="3" t="str">
        <f>IF(K245&lt;-5,"CRÍTICO",IF(K245&lt;0,"ATENÇÃO",IF(K245&lt;=5,"BOM","EXCELENTE")))</f>
        <v>EXCELENTE</v>
      </c>
      <c r="M245">
        <v>44</v>
      </c>
      <c r="N245">
        <v>98.64</v>
      </c>
      <c r="O245">
        <v>16.638370118845501</v>
      </c>
    </row>
    <row r="246" spans="1:15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>E246+G246+H246</f>
        <v>24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30</v>
      </c>
      <c r="K246" s="3">
        <f>I246-J246</f>
        <v>-6</v>
      </c>
      <c r="L246" s="3" t="str">
        <f>IF(K246&lt;-5,"CRÍTICO",IF(K246&lt;0,"ATENÇÃO",IF(K246&lt;=5,"BOM","EXCELENTE")))</f>
        <v>CRÍTICO</v>
      </c>
      <c r="M246">
        <v>17</v>
      </c>
      <c r="N246">
        <v>95.4</v>
      </c>
      <c r="O246">
        <v>20.533333333333331</v>
      </c>
    </row>
    <row r="247" spans="1:15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24</v>
      </c>
      <c r="K247" s="3">
        <f>I247-J247</f>
        <v>8</v>
      </c>
      <c r="L247" s="3" t="str">
        <f>IF(K247&lt;-5,"CRÍTICO",IF(K247&lt;0,"ATENÇÃO",IF(K247&lt;=5,"BOM","EXCELENTE")))</f>
        <v>EXCELENTE</v>
      </c>
      <c r="M247">
        <v>25</v>
      </c>
      <c r="N247">
        <v>98.61</v>
      </c>
      <c r="O247">
        <v>16.97530864197531</v>
      </c>
    </row>
    <row r="248" spans="1:15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IF(K248&lt;-5,"CRÍTICO",IF(K248&lt;0,"ATENÇÃO",IF(K248&lt;=5,"BOM","EXCELENTE")))</f>
        <v>BOM</v>
      </c>
      <c r="M248" s="9">
        <v>0</v>
      </c>
      <c r="N248" s="9">
        <v>0</v>
      </c>
      <c r="O248" s="9">
        <v>0</v>
      </c>
    </row>
    <row r="249" spans="1:15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>E249+G249+H249</f>
        <v>19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>I249-J249</f>
        <v>2</v>
      </c>
      <c r="L249" s="3" t="str">
        <f>IF(K249&lt;-5,"CRÍTICO",IF(K249&lt;0,"ATENÇÃO",IF(K249&lt;=5,"BOM","EXCELENTE")))</f>
        <v>BOM</v>
      </c>
      <c r="M249">
        <v>18</v>
      </c>
      <c r="N249">
        <v>97.01</v>
      </c>
      <c r="O249">
        <v>13.961038961038961</v>
      </c>
    </row>
    <row r="250" spans="1:15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>E250+G250+H250</f>
        <v>24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30</v>
      </c>
      <c r="K250" s="3">
        <f>I250-J250</f>
        <v>-6</v>
      </c>
      <c r="L250" s="3" t="str">
        <f>IF(K250&lt;-5,"CRÍTICO",IF(K250&lt;0,"ATENÇÃO",IF(K250&lt;=5,"BOM","EXCELENTE")))</f>
        <v>CRÍTICO</v>
      </c>
      <c r="M250">
        <v>23</v>
      </c>
      <c r="N250">
        <v>95.52</v>
      </c>
      <c r="O250">
        <v>10.561056105610559</v>
      </c>
    </row>
    <row r="251" spans="1:15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>E251+G251+H251</f>
        <v>12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17</v>
      </c>
      <c r="K251" s="3">
        <f>I251-J251</f>
        <v>-5</v>
      </c>
      <c r="L251" s="3" t="str">
        <f>IF(K251&lt;-5,"CRÍTICO",IF(K251&lt;0,"ATENÇÃO",IF(K251&lt;=5,"BOM","EXCELENTE")))</f>
        <v>ATENÇÃO</v>
      </c>
      <c r="M251">
        <v>11</v>
      </c>
      <c r="N251">
        <v>100</v>
      </c>
      <c r="O251">
        <v>16.959064327485379</v>
      </c>
    </row>
    <row r="252" spans="1:15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>E252+G252+H252</f>
        <v>29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30</v>
      </c>
      <c r="K252" s="3">
        <f>I252-J252</f>
        <v>-1</v>
      </c>
      <c r="L252" s="3" t="str">
        <f>IF(K252&lt;-5,"CRÍTICO",IF(K252&lt;0,"ATENÇÃO",IF(K252&lt;=5,"BOM","EXCELENTE")))</f>
        <v>ATENÇÃO</v>
      </c>
      <c r="M252">
        <v>29</v>
      </c>
      <c r="N252">
        <v>100</v>
      </c>
      <c r="O252">
        <v>15.584415584415581</v>
      </c>
    </row>
    <row r="253" spans="1:15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>E253+G253+H253</f>
        <v>24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24</v>
      </c>
      <c r="K253" s="3">
        <f>I253-J253</f>
        <v>0</v>
      </c>
      <c r="L253" s="3" t="str">
        <f>IF(K253&lt;-5,"CRÍTICO",IF(K253&lt;0,"ATENÇÃO",IF(K253&lt;=5,"BOM","EXCELENTE")))</f>
        <v>BOM</v>
      </c>
      <c r="M253">
        <v>21</v>
      </c>
      <c r="N253">
        <v>98.61</v>
      </c>
      <c r="O253">
        <v>16.867469879518069</v>
      </c>
    </row>
    <row r="254" spans="1:15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G254" s="3">
        <v>0</v>
      </c>
      <c r="H254" s="3">
        <v>0</v>
      </c>
      <c r="I254" s="3">
        <f>E254+G254+H254</f>
        <v>30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24</v>
      </c>
      <c r="K254" s="3">
        <f>I254-J254</f>
        <v>6</v>
      </c>
      <c r="L254" s="3" t="str">
        <f>IF(K254&lt;-5,"CRÍTICO",IF(K254&lt;0,"ATENÇÃO",IF(K254&lt;=5,"BOM","EXCELENTE")))</f>
        <v>EXCELENTE</v>
      </c>
      <c r="M254">
        <v>25</v>
      </c>
      <c r="N254">
        <v>100</v>
      </c>
      <c r="O254">
        <v>20.820189274447952</v>
      </c>
    </row>
    <row r="255" spans="1:15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>IF(K255&lt;-5,"CRÍTICO",IF(K255&lt;0,"ATENÇÃO",IF(K255&lt;=5,"BOM","EXCELENTE")))</f>
        <v>BOM</v>
      </c>
      <c r="M255" s="9">
        <v>0</v>
      </c>
      <c r="N255" s="9">
        <v>100</v>
      </c>
      <c r="O255" s="9">
        <v>4.3478260869565224</v>
      </c>
    </row>
    <row r="256" spans="1:15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>E256+G256+H256</f>
        <v>24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>I256-J256</f>
        <v>4</v>
      </c>
      <c r="L256" s="3" t="str">
        <f>IF(K256&lt;-5,"CRÍTICO",IF(K256&lt;0,"ATENÇÃO",IF(K256&lt;=5,"BOM","EXCELENTE")))</f>
        <v>BOM</v>
      </c>
      <c r="M256">
        <v>25</v>
      </c>
      <c r="N256">
        <v>93.26</v>
      </c>
      <c r="O256">
        <v>19.93957703927493</v>
      </c>
    </row>
    <row r="257" spans="1:15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>E257+G257+H257</f>
        <v>46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30</v>
      </c>
      <c r="K257" s="3">
        <f>I257-J257</f>
        <v>16</v>
      </c>
      <c r="L257" s="3" t="str">
        <f>IF(K257&lt;-5,"CRÍTICO",IF(K257&lt;0,"ATENÇÃO",IF(K257&lt;=5,"BOM","EXCELENTE")))</f>
        <v>EXCELENTE</v>
      </c>
      <c r="M257">
        <v>27</v>
      </c>
      <c r="N257">
        <v>98.28</v>
      </c>
      <c r="O257">
        <v>9.037900874635568</v>
      </c>
    </row>
    <row r="258" spans="1:15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>E258+G258+H258</f>
        <v>29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30</v>
      </c>
      <c r="K258" s="3">
        <f>I258-J258</f>
        <v>-1</v>
      </c>
      <c r="L258" s="3" t="str">
        <f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G259" s="3">
        <v>0</v>
      </c>
      <c r="H259" s="3">
        <v>0</v>
      </c>
      <c r="I259" s="3">
        <f>E259+G259+H259</f>
        <v>23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17</v>
      </c>
      <c r="K259" s="3">
        <f>I259-J259</f>
        <v>6</v>
      </c>
      <c r="L259" s="3" t="str">
        <f>IF(K259&lt;-5,"CRÍTICO",IF(K259&lt;0,"ATENÇÃO",IF(K259&lt;=5,"BOM","EXCELENTE")))</f>
        <v>EXCELENTE</v>
      </c>
      <c r="M259">
        <v>13</v>
      </c>
      <c r="N259">
        <v>98</v>
      </c>
      <c r="O259">
        <v>16.43835616438356</v>
      </c>
    </row>
    <row r="260" spans="1:15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G260" s="3">
        <v>0</v>
      </c>
      <c r="H260" s="3">
        <v>0</v>
      </c>
      <c r="I260" s="3">
        <f>E260+G260+H260</f>
        <v>8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24</v>
      </c>
      <c r="K260" s="3">
        <f>I260-J260</f>
        <v>-16</v>
      </c>
      <c r="L260" s="3" t="str">
        <f>IF(K260&lt;-5,"CRÍTICO",IF(K260&lt;0,"ATENÇÃO",IF(K260&lt;=5,"BOM","EXCELENTE")))</f>
        <v>CRÍTICO</v>
      </c>
      <c r="M260">
        <v>7</v>
      </c>
      <c r="N260">
        <v>100</v>
      </c>
      <c r="O260">
        <v>16.894977168949769</v>
      </c>
    </row>
    <row r="261" spans="1:15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G261" s="3">
        <v>0</v>
      </c>
      <c r="H261" s="3">
        <v>0</v>
      </c>
      <c r="I261" s="3">
        <f>E261+G261+H261</f>
        <v>11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17</v>
      </c>
      <c r="K261" s="3">
        <f>I261-J261</f>
        <v>-6</v>
      </c>
      <c r="L261" s="3" t="str">
        <f>IF(K261&lt;-5,"CRÍTICO",IF(K261&lt;0,"ATENÇÃO",IF(K261&lt;=5,"BOM","EXCELENTE")))</f>
        <v>CRÍTICO</v>
      </c>
      <c r="M261">
        <v>12</v>
      </c>
      <c r="N261">
        <v>100</v>
      </c>
      <c r="O261">
        <v>19.138755980861241</v>
      </c>
    </row>
    <row r="262" spans="1:15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>E262+G262+H262</f>
        <v>20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17</v>
      </c>
      <c r="K262" s="3">
        <f>I262-J262</f>
        <v>3</v>
      </c>
      <c r="L262" s="3" t="str">
        <f>IF(K262&lt;-5,"CRÍTICO",IF(K262&lt;0,"ATENÇÃO",IF(K262&lt;=5,"BOM","EXCELENTE")))</f>
        <v>BOM</v>
      </c>
      <c r="M262">
        <v>17</v>
      </c>
      <c r="N262">
        <v>100</v>
      </c>
      <c r="O262">
        <v>15.02145922746781</v>
      </c>
    </row>
    <row r="263" spans="1:15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>E263+G263+H263</f>
        <v>31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20</v>
      </c>
      <c r="K263" s="3">
        <f>I263-J263</f>
        <v>11</v>
      </c>
      <c r="L263" s="3" t="str">
        <f>IF(K263&lt;-5,"CRÍTICO",IF(K263&lt;0,"ATENÇÃO",IF(K263&lt;=5,"BOM","EXCELENTE")))</f>
        <v>EXCELENTE</v>
      </c>
      <c r="M263">
        <v>24</v>
      </c>
      <c r="N263">
        <v>97.56</v>
      </c>
      <c r="O263">
        <v>19.28783382789317</v>
      </c>
    </row>
    <row r="264" spans="1:15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>E264+G264+H264</f>
        <v>23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30</v>
      </c>
      <c r="K264" s="3">
        <f>I264-J264</f>
        <v>-7</v>
      </c>
      <c r="L264" s="3" t="str">
        <f>IF(K264&lt;-5,"CRÍTICO",IF(K264&lt;0,"ATENÇÃO",IF(K264&lt;=5,"BOM","EXCELENTE")))</f>
        <v>CRÍTICO</v>
      </c>
      <c r="M264">
        <v>17</v>
      </c>
      <c r="N264">
        <v>99.29</v>
      </c>
      <c r="O264">
        <v>22.49443207126949</v>
      </c>
    </row>
    <row r="265" spans="1:15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>E265+G265+H265</f>
        <v>17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20</v>
      </c>
      <c r="K265" s="3">
        <f>I265-J265</f>
        <v>-3</v>
      </c>
      <c r="L265" s="3" t="str">
        <f>IF(K265&lt;-5,"CRÍTICO",IF(K265&lt;0,"ATENÇÃO",IF(K265&lt;=5,"BOM","EXCELENTE")))</f>
        <v>ATENÇÃO</v>
      </c>
      <c r="M265">
        <v>15</v>
      </c>
      <c r="N265">
        <v>100</v>
      </c>
      <c r="O265">
        <v>16.97247706422019</v>
      </c>
    </row>
    <row r="266" spans="1:15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G266" s="3">
        <v>0</v>
      </c>
      <c r="H266" s="3">
        <v>0</v>
      </c>
      <c r="I266" s="3">
        <f>E266+G266+H266</f>
        <v>21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30</v>
      </c>
      <c r="K266" s="3">
        <f>I266-J266</f>
        <v>-9</v>
      </c>
      <c r="L266" s="3" t="str">
        <f>IF(K266&lt;-5,"CRÍTICO",IF(K266&lt;0,"ATENÇÃO",IF(K266&lt;=5,"BOM","EXCELENTE")))</f>
        <v>CRÍTICO</v>
      </c>
      <c r="M266">
        <v>16</v>
      </c>
      <c r="N266">
        <v>97.33</v>
      </c>
      <c r="O266">
        <v>15.805471124620061</v>
      </c>
    </row>
    <row r="267" spans="1:15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>E267+G267+H267</f>
        <v>26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25</v>
      </c>
      <c r="K267" s="3">
        <f>I267-J267</f>
        <v>1</v>
      </c>
      <c r="L267" s="3" t="str">
        <f>IF(K267&lt;-5,"CRÍTICO",IF(K267&lt;0,"ATENÇÃO",IF(K267&lt;=5,"BOM","EXCELENTE")))</f>
        <v>BOM</v>
      </c>
      <c r="M267" s="3">
        <v>17</v>
      </c>
      <c r="N267" s="3">
        <v>98.94</v>
      </c>
      <c r="O267" s="3">
        <v>19.614147909967851</v>
      </c>
    </row>
    <row r="268" spans="1:15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>IF(K268&lt;-5,"CRÍTICO",IF(K268&lt;0,"ATENÇÃO",IF(K268&lt;=5,"BOM","EXCELENTE")))</f>
        <v>BOM</v>
      </c>
      <c r="M268" s="9">
        <v>0</v>
      </c>
      <c r="N268" s="9">
        <v>100</v>
      </c>
      <c r="O268" s="9">
        <v>0</v>
      </c>
    </row>
    <row r="269" spans="1:15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>E269+G269+H269</f>
        <v>31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>I269-J269</f>
        <v>10</v>
      </c>
      <c r="L269" s="3" t="str">
        <f>IF(K269&lt;-5,"CRÍTICO",IF(K269&lt;0,"ATENÇÃO",IF(K269&lt;=5,"BOM","EXCELENTE")))</f>
        <v>EXCELENTE</v>
      </c>
      <c r="M269" s="3">
        <v>27</v>
      </c>
      <c r="N269" s="3">
        <v>95.38</v>
      </c>
      <c r="O269" s="3">
        <v>21.5962441314554</v>
      </c>
    </row>
    <row r="270" spans="1:15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>E270+G270+H270</f>
        <v>28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32</v>
      </c>
      <c r="K270" s="3">
        <f>I270-J270</f>
        <v>-4</v>
      </c>
      <c r="L270" s="3" t="str">
        <f>IF(K270&lt;-5,"CRÍTICO",IF(K270&lt;0,"ATENÇÃO",IF(K270&lt;=5,"BOM","EXCELENTE")))</f>
        <v>ATENÇÃO</v>
      </c>
      <c r="M270">
        <v>25</v>
      </c>
      <c r="N270">
        <v>96.34</v>
      </c>
      <c r="O270">
        <v>17.571884984025559</v>
      </c>
    </row>
    <row r="271" spans="1:15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>E271+G271+H271</f>
        <v>38</v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>25</v>
      </c>
      <c r="K271" s="3">
        <f>I271-J271</f>
        <v>13</v>
      </c>
      <c r="L271" s="3" t="str">
        <f>IF(K271&lt;-5,"CRÍTICO",IF(K271&lt;0,"ATENÇÃO",IF(K271&lt;=5,"BOM","EXCELENTE")))</f>
        <v>EXCELENTE</v>
      </c>
      <c r="M271">
        <v>34</v>
      </c>
      <c r="N271">
        <v>99.13</v>
      </c>
      <c r="O271">
        <v>14.7239263803681</v>
      </c>
    </row>
    <row r="272" spans="1:15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G272" s="3">
        <v>0</v>
      </c>
      <c r="H272" s="3">
        <v>0</v>
      </c>
      <c r="I272" s="3">
        <f>E272+G272+H272</f>
        <v>26</v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>25</v>
      </c>
      <c r="K272" s="3">
        <f>I272-J272</f>
        <v>1</v>
      </c>
      <c r="L272" s="3" t="str">
        <f>IF(K272&lt;-5,"CRÍTICO",IF(K272&lt;0,"ATENÇÃO",IF(K272&lt;=5,"BOM","EXCELENTE")))</f>
        <v>BOM</v>
      </c>
      <c r="M272">
        <v>24</v>
      </c>
      <c r="N272">
        <v>98.8</v>
      </c>
      <c r="O272">
        <v>16.897506925207761</v>
      </c>
    </row>
    <row r="273" spans="1:15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>E273+G273+H273</f>
        <v>28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21</v>
      </c>
      <c r="K273" s="3">
        <f>I273-J273</f>
        <v>7</v>
      </c>
      <c r="L273" s="3" t="str">
        <f>IF(K273&lt;-5,"CRÍTICO",IF(K273&lt;0,"ATENÇÃO",IF(K273&lt;=5,"BOM","EXCELENTE")))</f>
        <v>EXCELENTE</v>
      </c>
      <c r="M273">
        <v>25</v>
      </c>
      <c r="N273">
        <v>96.88</v>
      </c>
      <c r="O273">
        <v>19.526627218934909</v>
      </c>
    </row>
    <row r="274" spans="1:15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G274" s="3">
        <v>0</v>
      </c>
      <c r="H274" s="3">
        <v>0</v>
      </c>
      <c r="I274" s="3">
        <f>E274+G274+H274</f>
        <v>39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32</v>
      </c>
      <c r="K274" s="3">
        <f>I274-J274</f>
        <v>7</v>
      </c>
      <c r="L274" s="3" t="str">
        <f>IF(K274&lt;-5,"CRÍTICO",IF(K274&lt;0,"ATENÇÃO",IF(K274&lt;=5,"BOM","EXCELENTE")))</f>
        <v>EXCELENTE</v>
      </c>
      <c r="M274">
        <v>33</v>
      </c>
      <c r="N274">
        <v>91.85</v>
      </c>
      <c r="O274">
        <v>20.87155963302752</v>
      </c>
    </row>
    <row r="275" spans="1:15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G275" s="3">
        <v>0</v>
      </c>
      <c r="H275" s="3">
        <v>0</v>
      </c>
      <c r="I275" s="3">
        <f>E275+G275+H275</f>
        <v>30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25</v>
      </c>
      <c r="K275" s="3">
        <f>I275-J275</f>
        <v>5</v>
      </c>
      <c r="L275" s="3" t="str">
        <f>IF(K275&lt;-5,"CRÍTICO",IF(K275&lt;0,"ATENÇÃO",IF(K275&lt;=5,"BOM","EXCELENTE")))</f>
        <v>BOM</v>
      </c>
      <c r="M275">
        <v>27</v>
      </c>
      <c r="N275">
        <v>98.63</v>
      </c>
      <c r="O275">
        <v>18.75</v>
      </c>
    </row>
    <row r="276" spans="1:15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G276" s="3">
        <v>0</v>
      </c>
      <c r="H276" s="3">
        <v>0</v>
      </c>
      <c r="I276" s="3">
        <f>E276+G276+H276</f>
        <v>26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21</v>
      </c>
      <c r="K276" s="3">
        <f>I276-J276</f>
        <v>5</v>
      </c>
      <c r="L276" s="3" t="str">
        <f>IF(K276&lt;-5,"CRÍTICO",IF(K276&lt;0,"ATENÇÃO",IF(K276&lt;=5,"BOM","EXCELENTE")))</f>
        <v>BOM</v>
      </c>
      <c r="M276">
        <v>17</v>
      </c>
      <c r="N276">
        <v>100</v>
      </c>
      <c r="O276">
        <v>18.14516129032258</v>
      </c>
    </row>
    <row r="277" spans="1:15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>E277+G277+H277</f>
        <v>25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32</v>
      </c>
      <c r="K277" s="3">
        <f>I277-J277</f>
        <v>-7</v>
      </c>
      <c r="L277" s="3" t="str">
        <f>IF(K277&lt;-5,"CRÍTICO",IF(K277&lt;0,"ATENÇÃO",IF(K277&lt;=5,"BOM","EXCELENTE")))</f>
        <v>CRÍTICO</v>
      </c>
      <c r="M277">
        <v>27</v>
      </c>
      <c r="N277">
        <v>99.06</v>
      </c>
      <c r="O277">
        <v>22.95719844357977</v>
      </c>
    </row>
    <row r="278" spans="1:15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>E278+G278+H278</f>
        <v>29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25</v>
      </c>
      <c r="K278" s="3">
        <f>I278-J278</f>
        <v>4</v>
      </c>
      <c r="L278" s="3" t="str">
        <f>IF(K278&lt;-5,"CRÍTICO",IF(K278&lt;0,"ATENÇÃO",IF(K278&lt;=5,"BOM","EXCELENTE")))</f>
        <v>BOM</v>
      </c>
      <c r="M278">
        <v>26</v>
      </c>
      <c r="N278">
        <v>100</v>
      </c>
      <c r="O278">
        <v>13.8121546961326</v>
      </c>
    </row>
    <row r="279" spans="1:15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IF(K279&lt;-5,"CRÍTICO",IF(K279&lt;0,"ATENÇÃO",IF(K279&lt;=5,"BOM","EXCELENTE")))</f>
        <v>BOM</v>
      </c>
      <c r="M279" s="9">
        <v>0</v>
      </c>
      <c r="N279" s="9">
        <v>100</v>
      </c>
      <c r="O279" s="9">
        <v>9.5238095238095237</v>
      </c>
    </row>
    <row r="280" spans="1:15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>IF(K280&lt;-5,"CRÍTICO",IF(K280&lt;0,"ATENÇÃO",IF(K280&lt;=5,"BOM","EXCELENTE")))</f>
        <v>BOM</v>
      </c>
      <c r="M280" s="9">
        <v>0</v>
      </c>
      <c r="N280" s="9">
        <v>100</v>
      </c>
      <c r="O280" s="9">
        <v>17.241379310344829</v>
      </c>
    </row>
    <row r="281" spans="1:15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G281" s="3">
        <v>0</v>
      </c>
      <c r="H281" s="3">
        <v>0</v>
      </c>
      <c r="I281" s="3">
        <f>E281+G281+H281</f>
        <v>25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>I281-J281</f>
        <v>16</v>
      </c>
      <c r="L281" s="3" t="str">
        <f>IF(K281&lt;-5,"CRÍTICO",IF(K281&lt;0,"ATENÇÃO",IF(K281&lt;=5,"BOM","EXCELENTE")))</f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11">
        <v>46035</v>
      </c>
      <c r="B282" t="s">
        <v>36</v>
      </c>
      <c r="C282" t="s">
        <v>20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13</v>
      </c>
      <c r="K282" s="3">
        <f>I282-J282</f>
        <v>11</v>
      </c>
      <c r="L282" s="3" t="str">
        <f>IF(K282&lt;-5,"CRÍTICO",IF(K282&lt;0,"ATENÇÃO",IF(K282&lt;=5,"BOM","EXCELENTE")))</f>
        <v>EXCELENTE</v>
      </c>
      <c r="N282">
        <v>98.91</v>
      </c>
      <c r="O282">
        <v>31.367292225201069</v>
      </c>
    </row>
    <row r="283" spans="1:15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G283" s="3">
        <v>0</v>
      </c>
      <c r="H283" s="3">
        <v>0</v>
      </c>
      <c r="I283" s="3">
        <f>E283+G283+H283</f>
        <v>24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25</v>
      </c>
      <c r="K283" s="3">
        <f>I283-J283</f>
        <v>-1</v>
      </c>
      <c r="L283" s="3" t="str">
        <f>IF(K283&lt;-5,"CRÍTICO",IF(K283&lt;0,"ATENÇÃO",IF(K283&lt;=5,"BOM","EXCELENTE")))</f>
        <v>ATENÇÃO</v>
      </c>
      <c r="M283">
        <v>18</v>
      </c>
      <c r="N283">
        <v>98.63</v>
      </c>
      <c r="O283">
        <v>15.75757575757576</v>
      </c>
    </row>
    <row r="284" spans="1:15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>E284+G284+H284</f>
        <v>51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32</v>
      </c>
      <c r="K284" s="3">
        <f>I284-J284</f>
        <v>19</v>
      </c>
      <c r="L284" s="3" t="str">
        <f>IF(K284&lt;-5,"CRÍTICO",IF(K284&lt;0,"ATENÇÃO",IF(K284&lt;=5,"BOM","EXCELENTE")))</f>
        <v>EXCELENTE</v>
      </c>
      <c r="M284">
        <v>45</v>
      </c>
      <c r="N284">
        <v>98.64</v>
      </c>
      <c r="O284">
        <v>16.638370118845501</v>
      </c>
    </row>
    <row r="285" spans="1:15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>E285+G285+H285</f>
        <v>46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32</v>
      </c>
      <c r="K285" s="3">
        <f>I285-J285</f>
        <v>14</v>
      </c>
      <c r="L285" s="3" t="str">
        <f>IF(K285&lt;-5,"CRÍTICO",IF(K285&lt;0,"ATENÇÃO",IF(K285&lt;=5,"BOM","EXCELENTE")))</f>
        <v>EXCELENTE</v>
      </c>
      <c r="M285">
        <v>37</v>
      </c>
      <c r="N285">
        <v>95.4</v>
      </c>
      <c r="O285">
        <v>20.533333333333331</v>
      </c>
    </row>
    <row r="286" spans="1:15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>E286+G286+H286</f>
        <v>31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25</v>
      </c>
      <c r="K286" s="3">
        <f>I286-J286</f>
        <v>6</v>
      </c>
      <c r="L286" s="3" t="str">
        <f>IF(K286&lt;-5,"CRÍTICO",IF(K286&lt;0,"ATENÇÃO",IF(K286&lt;=5,"BOM","EXCELENTE")))</f>
        <v>EXCELENTE</v>
      </c>
      <c r="M286">
        <v>26</v>
      </c>
      <c r="N286">
        <v>98.61</v>
      </c>
      <c r="O286">
        <v>16.97530864197531</v>
      </c>
    </row>
    <row r="287" spans="1:15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9">
        <v>0</v>
      </c>
      <c r="N287" s="9">
        <v>0</v>
      </c>
      <c r="O287" s="9">
        <v>0</v>
      </c>
    </row>
    <row r="288" spans="1:15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G288" s="3">
        <v>0</v>
      </c>
      <c r="H288" s="3">
        <v>0</v>
      </c>
      <c r="I288" s="3">
        <f>E288+G288+H288</f>
        <v>22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>I288-J288</f>
        <v>4</v>
      </c>
      <c r="L288" s="3" t="str">
        <f>IF(K288&lt;-5,"CRÍTICO",IF(K288&lt;0,"ATENÇÃO",IF(K288&lt;=5,"BOM","EXCELENTE")))</f>
        <v>BOM</v>
      </c>
      <c r="M288">
        <v>22</v>
      </c>
      <c r="N288">
        <v>97.01</v>
      </c>
      <c r="O288">
        <v>13.961038961038961</v>
      </c>
    </row>
    <row r="289" spans="1:15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>E289+G289+H289</f>
        <v>18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32</v>
      </c>
      <c r="K289" s="3">
        <f>I289-J289</f>
        <v>-14</v>
      </c>
      <c r="L289" s="3" t="str">
        <f>IF(K289&lt;-5,"CRÍTICO",IF(K289&lt;0,"ATENÇÃO",IF(K289&lt;=5,"BOM","EXCELENTE")))</f>
        <v>CRÍTICO</v>
      </c>
      <c r="M289">
        <v>18</v>
      </c>
      <c r="N289">
        <v>95.52</v>
      </c>
      <c r="O289">
        <v>10.561056105610559</v>
      </c>
    </row>
    <row r="290" spans="1:15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>E290+G290+H290</f>
        <v>13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18</v>
      </c>
      <c r="K290" s="3">
        <f>I290-J290</f>
        <v>-5</v>
      </c>
      <c r="L290" s="3" t="str">
        <f>IF(K290&lt;-5,"CRÍTICO",IF(K290&lt;0,"ATENÇÃO",IF(K290&lt;=5,"BOM","EXCELENTE")))</f>
        <v>ATENÇÃO</v>
      </c>
      <c r="M290">
        <v>12</v>
      </c>
      <c r="N290">
        <v>100</v>
      </c>
      <c r="O290">
        <v>16.959064327485379</v>
      </c>
    </row>
    <row r="291" spans="1:15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>E291+G291+H291</f>
        <v>25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32</v>
      </c>
      <c r="K291" s="3">
        <f>I291-J291</f>
        <v>-7</v>
      </c>
      <c r="L291" s="3" t="str">
        <f>IF(K291&lt;-5,"CRÍTICO",IF(K291&lt;0,"ATENÇÃO",IF(K291&lt;=5,"BOM","EXCELENTE")))</f>
        <v>CRÍTICO</v>
      </c>
      <c r="M291">
        <v>28</v>
      </c>
      <c r="N291">
        <v>100</v>
      </c>
      <c r="O291">
        <v>15.584415584415581</v>
      </c>
    </row>
    <row r="292" spans="1:15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>E292+G292+H292</f>
        <v>28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25</v>
      </c>
      <c r="K292" s="3">
        <f>I292-J292</f>
        <v>3</v>
      </c>
      <c r="L292" s="3" t="str">
        <f>IF(K292&lt;-5,"CRÍTICO",IF(K292&lt;0,"ATENÇÃO",IF(K292&lt;=5,"BOM","EXCELENTE")))</f>
        <v>BOM</v>
      </c>
      <c r="M292">
        <v>22</v>
      </c>
      <c r="N292">
        <v>98.61</v>
      </c>
      <c r="O292">
        <v>16.867469879518069</v>
      </c>
    </row>
    <row r="293" spans="1:15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G293" s="3">
        <v>0</v>
      </c>
      <c r="H293" s="3">
        <v>0</v>
      </c>
      <c r="I293" s="3">
        <f>E293+G293+H293</f>
        <v>24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25</v>
      </c>
      <c r="K293" s="3">
        <f>I293-J293</f>
        <v>-1</v>
      </c>
      <c r="L293" s="3" t="str">
        <f>IF(K293&lt;-5,"CRÍTICO",IF(K293&lt;0,"ATENÇÃO",IF(K293&lt;=5,"BOM","EXCELENTE")))</f>
        <v>ATENÇÃO</v>
      </c>
      <c r="M293">
        <v>19</v>
      </c>
      <c r="N293">
        <v>100</v>
      </c>
      <c r="O293">
        <v>20.820189274447952</v>
      </c>
    </row>
    <row r="294" spans="1:15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9">
        <v>0</v>
      </c>
      <c r="N294" s="9">
        <v>100</v>
      </c>
      <c r="O294" s="9">
        <v>4.3478260869565224</v>
      </c>
    </row>
    <row r="295" spans="1:15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>E295+G295+H295</f>
        <v>24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>I295-J295</f>
        <v>3</v>
      </c>
      <c r="L295" s="3" t="str">
        <f>IF(K295&lt;-5,"CRÍTICO",IF(K295&lt;0,"ATENÇÃO",IF(K295&lt;=5,"BOM","EXCELENTE")))</f>
        <v>BOM</v>
      </c>
      <c r="M295">
        <v>22</v>
      </c>
      <c r="N295">
        <v>93.26</v>
      </c>
      <c r="O295">
        <v>19.93957703927493</v>
      </c>
    </row>
    <row r="296" spans="1:15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G296" s="3">
        <v>0</v>
      </c>
      <c r="H296" s="3">
        <v>0</v>
      </c>
      <c r="I296" s="3">
        <f>E296+G296+H296</f>
        <v>7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9</v>
      </c>
      <c r="K296" s="3">
        <f>I296-J296</f>
        <v>-2</v>
      </c>
      <c r="L296" s="3" t="str">
        <f>IF(K296&lt;-5,"CRÍTICO",IF(K296&lt;0,"ATENÇÃO",IF(K296&lt;=5,"BOM","EXCELENTE")))</f>
        <v>ATENÇÃO</v>
      </c>
      <c r="M296">
        <v>6</v>
      </c>
      <c r="N296">
        <v>96.43</v>
      </c>
      <c r="O296">
        <v>20</v>
      </c>
    </row>
    <row r="297" spans="1:15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G297" s="3">
        <v>0</v>
      </c>
      <c r="H297" s="3">
        <v>0</v>
      </c>
      <c r="I297" s="3">
        <f>E297+G297+H297</f>
        <v>16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9</v>
      </c>
      <c r="K297" s="3">
        <f>I297-J297</f>
        <v>7</v>
      </c>
      <c r="L297" s="3" t="str">
        <f>IF(K297&lt;-5,"CRÍTICO",IF(K297&lt;0,"ATENÇÃO",IF(K297&lt;=5,"BOM","EXCELENTE")))</f>
        <v>EXCELENTE</v>
      </c>
      <c r="M297">
        <v>0</v>
      </c>
      <c r="N297">
        <v>100</v>
      </c>
      <c r="O297">
        <v>29.032258064516132</v>
      </c>
    </row>
    <row r="298" spans="1:15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G298" s="3">
        <v>0</v>
      </c>
      <c r="H298" s="3">
        <v>0</v>
      </c>
      <c r="I298" s="3">
        <f>E298+G298+H298</f>
        <v>27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9</v>
      </c>
      <c r="K298" s="3">
        <f>I298-J298</f>
        <v>18</v>
      </c>
      <c r="L298" s="3" t="str">
        <f>IF(K298&lt;-5,"CRÍTICO",IF(K298&lt;0,"ATENÇÃO",IF(K298&lt;=5,"BOM","EXCELENTE")))</f>
        <v>EXCELENTE</v>
      </c>
      <c r="M298">
        <v>1</v>
      </c>
      <c r="N298">
        <v>100</v>
      </c>
      <c r="O298">
        <v>11.864406779661021</v>
      </c>
    </row>
    <row r="299" spans="1:15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G299" s="3">
        <v>0</v>
      </c>
      <c r="H299" s="3">
        <v>0</v>
      </c>
      <c r="I299" s="3">
        <f>E299+G299+H299</f>
        <v>7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9</v>
      </c>
      <c r="K299" s="3">
        <f>I299-J299</f>
        <v>-2</v>
      </c>
      <c r="L299" s="3" t="str">
        <f>IF(K299&lt;-5,"CRÍTICO",IF(K299&lt;0,"ATENÇÃO",IF(K299&lt;=5,"BOM","EXCELENTE")))</f>
        <v>ATENÇÃO</v>
      </c>
      <c r="M299">
        <v>4</v>
      </c>
      <c r="N299">
        <v>100</v>
      </c>
      <c r="O299">
        <v>16.814159292035399</v>
      </c>
    </row>
    <row r="300" spans="1:15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>E300+G300+H300</f>
        <v>17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9</v>
      </c>
      <c r="K300" s="3">
        <f>I300-J300</f>
        <v>8</v>
      </c>
      <c r="L300" s="3" t="str">
        <f>IF(K300&lt;-5,"CRÍTICO",IF(K300&lt;0,"ATENÇÃO",IF(K300&lt;=5,"BOM","EXCELENTE")))</f>
        <v>EXCELENTE</v>
      </c>
      <c r="M300">
        <v>13</v>
      </c>
      <c r="N300">
        <v>98.11</v>
      </c>
      <c r="O300">
        <v>20.408163265306118</v>
      </c>
    </row>
    <row r="301" spans="1:15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>E301+G301+H301</f>
        <v>51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32</v>
      </c>
      <c r="K301" s="3">
        <f>I301-J301</f>
        <v>19</v>
      </c>
      <c r="L301" s="3" t="str">
        <f>IF(K301&lt;-5,"CRÍTICO",IF(K301&lt;0,"ATENÇÃO",IF(K301&lt;=5,"BOM","EXCELENTE")))</f>
        <v>EXCELENTE</v>
      </c>
      <c r="M301">
        <v>25</v>
      </c>
      <c r="N301">
        <v>98.28</v>
      </c>
      <c r="O301">
        <v>9.037900874635568</v>
      </c>
    </row>
    <row r="302" spans="1:15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>E302+G302+H302</f>
        <v>33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32</v>
      </c>
      <c r="K302" s="3">
        <f>I302-J302</f>
        <v>1</v>
      </c>
      <c r="L302" s="3" t="str">
        <f>IF(K302&lt;-5,"CRÍTICO",IF(K302&lt;0,"ATENÇÃO",IF(K302&lt;=5,"BOM","EXCELENTE")))</f>
        <v>BOM</v>
      </c>
      <c r="M302">
        <v>28</v>
      </c>
      <c r="N302">
        <v>97.22</v>
      </c>
      <c r="O302">
        <v>19.095477386934672</v>
      </c>
    </row>
    <row r="303" spans="1:15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G303" s="3">
        <v>0</v>
      </c>
      <c r="H303" s="3">
        <v>0</v>
      </c>
      <c r="I303" s="3">
        <f>E303+G303+H303</f>
        <v>23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18</v>
      </c>
      <c r="K303" s="3">
        <f>I303-J303</f>
        <v>5</v>
      </c>
      <c r="L303" s="3" t="str">
        <f>IF(K303&lt;-5,"CRÍTICO",IF(K303&lt;0,"ATENÇÃO",IF(K303&lt;=5,"BOM","EXCELENTE")))</f>
        <v>BOM</v>
      </c>
      <c r="M303">
        <v>15</v>
      </c>
      <c r="N303">
        <v>98</v>
      </c>
      <c r="O303">
        <v>16.43835616438356</v>
      </c>
    </row>
    <row r="304" spans="1:15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G304" s="3">
        <v>0</v>
      </c>
      <c r="H304" s="3">
        <v>0</v>
      </c>
      <c r="I304" s="3">
        <f>E304+G304+H304</f>
        <v>26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25</v>
      </c>
      <c r="K304" s="3">
        <f>I304-J304</f>
        <v>1</v>
      </c>
      <c r="L304" s="3" t="str">
        <f>IF(K304&lt;-5,"CRÍTICO",IF(K304&lt;0,"ATENÇÃO",IF(K304&lt;=5,"BOM","EXCELENTE")))</f>
        <v>BOM</v>
      </c>
      <c r="M304">
        <v>22</v>
      </c>
      <c r="N304">
        <v>100</v>
      </c>
      <c r="O304">
        <v>16.894977168949769</v>
      </c>
    </row>
    <row r="305" spans="1:15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G305" s="3">
        <v>0</v>
      </c>
      <c r="H305" s="3">
        <v>0</v>
      </c>
      <c r="I305" s="3">
        <f>E305+G305+H305</f>
        <v>21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18</v>
      </c>
      <c r="K305" s="3">
        <f>I305-J305</f>
        <v>3</v>
      </c>
      <c r="L305" s="3" t="str">
        <f>IF(K305&lt;-5,"CRÍTICO",IF(K305&lt;0,"ATENÇÃO",IF(K305&lt;=5,"BOM","EXCELENTE")))</f>
        <v>BOM</v>
      </c>
      <c r="M305">
        <v>19</v>
      </c>
      <c r="N305">
        <v>100</v>
      </c>
      <c r="O305">
        <v>19.138755980861241</v>
      </c>
    </row>
    <row r="306" spans="1:15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G306" s="3">
        <v>0</v>
      </c>
      <c r="H306" s="3">
        <v>0</v>
      </c>
      <c r="I306" s="3">
        <f>E306+G306+H306</f>
        <v>12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18</v>
      </c>
      <c r="K306" s="3">
        <f>I306-J306</f>
        <v>-6</v>
      </c>
      <c r="L306" s="3" t="str">
        <f>IF(K306&lt;-5,"CRÍTICO",IF(K306&lt;0,"ATENÇÃO",IF(K306&lt;=5,"BOM","EXCELENTE")))</f>
        <v>CRÍTICO</v>
      </c>
      <c r="M306">
        <v>9</v>
      </c>
      <c r="N306">
        <v>100</v>
      </c>
      <c r="O306">
        <v>15.02145922746781</v>
      </c>
    </row>
    <row r="307" spans="1:15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>E307+G307+H307</f>
        <v>27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21</v>
      </c>
      <c r="K307" s="3">
        <f>I307-J307</f>
        <v>6</v>
      </c>
      <c r="L307" s="3" t="str">
        <f>IF(K307&lt;-5,"CRÍTICO",IF(K307&lt;0,"ATENÇÃO",IF(K307&lt;=5,"BOM","EXCELENTE")))</f>
        <v>EXCELENTE</v>
      </c>
      <c r="M307">
        <v>20</v>
      </c>
      <c r="N307">
        <v>97.56</v>
      </c>
      <c r="O307">
        <v>19.28783382789317</v>
      </c>
    </row>
    <row r="308" spans="1:15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>E308+G308+H308</f>
        <v>29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-3</v>
      </c>
      <c r="L308" s="3" t="str">
        <f>IF(K308&lt;-5,"CRÍTICO",IF(K308&lt;0,"ATENÇÃO",IF(K308&lt;=5,"BOM","EXCELENTE")))</f>
        <v>ATENÇÃO</v>
      </c>
      <c r="M308">
        <v>22</v>
      </c>
      <c r="N308">
        <v>99.29</v>
      </c>
      <c r="O308">
        <v>22.49443207126949</v>
      </c>
    </row>
    <row r="309" spans="1:15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G309" s="3">
        <v>0</v>
      </c>
      <c r="H309" s="3">
        <v>0</v>
      </c>
      <c r="I309" s="3">
        <f>E309+G309+H309</f>
        <v>19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21</v>
      </c>
      <c r="K309" s="3">
        <f>I309-J309</f>
        <v>-2</v>
      </c>
      <c r="L309" s="3" t="str">
        <f>IF(K309&lt;-5,"CRÍTICO",IF(K309&lt;0,"ATENÇÃO",IF(K309&lt;=5,"BOM","EXCELENTE")))</f>
        <v>ATENÇÃO</v>
      </c>
      <c r="M309">
        <v>19</v>
      </c>
      <c r="N309">
        <v>100</v>
      </c>
      <c r="O309">
        <v>16.97247706422019</v>
      </c>
    </row>
    <row r="310" spans="1:15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>E310+G310+H310</f>
        <v>32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0</v>
      </c>
      <c r="L310" s="3" t="str">
        <f>IF(K310&lt;-5,"CRÍTICO",IF(K310&lt;0,"ATENÇÃO",IF(K310&lt;=5,"BOM","EXCELENTE")))</f>
        <v>BOM</v>
      </c>
      <c r="M310">
        <v>25</v>
      </c>
      <c r="N310">
        <v>97.33</v>
      </c>
      <c r="O310">
        <v>15.805471124620061</v>
      </c>
    </row>
    <row r="311" spans="1:15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>E311+G311+H311</f>
        <v>23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23</v>
      </c>
      <c r="K311" s="3">
        <f>I311-J311</f>
        <v>0</v>
      </c>
      <c r="L311" s="3" t="str">
        <f>IF(K311&lt;-5,"CRÍTICO",IF(K311&lt;0,"ATENÇÃO",IF(K311&lt;=5,"BOM","EXCELENTE")))</f>
        <v>BOM</v>
      </c>
      <c r="M311" s="3">
        <v>17</v>
      </c>
      <c r="N311" s="3">
        <v>98.94</v>
      </c>
      <c r="O311" s="3">
        <v>19.614147909967851</v>
      </c>
    </row>
    <row r="312" spans="1:15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IF(K312&lt;-5,"CRÍTICO",IF(K312&lt;0,"ATENÇÃO",IF(K312&lt;=5,"BOM","EXCELENTE")))</f>
        <v>BOM</v>
      </c>
      <c r="M312" s="9">
        <v>0</v>
      </c>
      <c r="N312" s="9">
        <v>100</v>
      </c>
      <c r="O312" s="9">
        <v>0</v>
      </c>
    </row>
    <row r="313" spans="1:15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>E313+G313+H313</f>
        <v>28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>I313-J313</f>
        <v>9</v>
      </c>
      <c r="L313" s="3" t="str">
        <f>IF(K313&lt;-5,"CRÍTICO",IF(K313&lt;0,"ATENÇÃO",IF(K313&lt;=5,"BOM","EXCELENTE")))</f>
        <v>EXCELENTE</v>
      </c>
      <c r="M313" s="3">
        <v>26</v>
      </c>
      <c r="N313" s="3">
        <v>95.38</v>
      </c>
      <c r="O313" s="3">
        <v>21.5962441314554</v>
      </c>
    </row>
    <row r="314" spans="1:15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G314" s="3">
        <v>0</v>
      </c>
      <c r="H314" s="3">
        <v>0</v>
      </c>
      <c r="I314" s="3">
        <f>E314+G314+H314</f>
        <v>23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29</v>
      </c>
      <c r="K314" s="3">
        <f>I314-J314</f>
        <v>-6</v>
      </c>
      <c r="L314" s="3" t="str">
        <f>IF(K314&lt;-5,"CRÍTICO",IF(K314&lt;0,"ATENÇÃO",IF(K314&lt;=5,"BOM","EXCELENTE")))</f>
        <v>CRÍTICO</v>
      </c>
      <c r="M314">
        <v>21</v>
      </c>
      <c r="N314">
        <v>96.34</v>
      </c>
      <c r="O314">
        <v>17.571884984025559</v>
      </c>
    </row>
    <row r="315" spans="1:15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>E315+G315+H315</f>
        <v>30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23</v>
      </c>
      <c r="K315" s="3">
        <f>I315-J315</f>
        <v>7</v>
      </c>
      <c r="L315" s="3" t="str">
        <f>IF(K315&lt;-5,"CRÍTICO",IF(K315&lt;0,"ATENÇÃO",IF(K315&lt;=5,"BOM","EXCELENTE")))</f>
        <v>EXCELENTE</v>
      </c>
      <c r="M315">
        <v>30</v>
      </c>
      <c r="N315">
        <v>99.13</v>
      </c>
      <c r="O315">
        <v>14.7239263803681</v>
      </c>
    </row>
    <row r="316" spans="1:15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>E316+G316+H316</f>
        <v>21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23</v>
      </c>
      <c r="K316" s="3">
        <f>I316-J316</f>
        <v>-2</v>
      </c>
      <c r="L316" s="3" t="str">
        <f>IF(K316&lt;-5,"CRÍTICO",IF(K316&lt;0,"ATENÇÃO",IF(K316&lt;=5,"BOM","EXCELENTE")))</f>
        <v>ATENÇÃO</v>
      </c>
      <c r="M316">
        <v>19</v>
      </c>
      <c r="N316">
        <v>98.8</v>
      </c>
      <c r="O316">
        <v>16.897506925207761</v>
      </c>
    </row>
    <row r="317" spans="1:15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>E317+G317+H317</f>
        <v>35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19</v>
      </c>
      <c r="K317" s="3">
        <f>I317-J317</f>
        <v>16</v>
      </c>
      <c r="L317" s="3" t="str">
        <f>IF(K317&lt;-5,"CRÍTICO",IF(K317&lt;0,"ATENÇÃO",IF(K317&lt;=5,"BOM","EXCELENTE")))</f>
        <v>EXCELENTE</v>
      </c>
      <c r="M317">
        <v>26</v>
      </c>
      <c r="N317">
        <v>96.88</v>
      </c>
      <c r="O317">
        <v>19.526627218934909</v>
      </c>
    </row>
    <row r="318" spans="1:15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G318" s="3">
        <v>0</v>
      </c>
      <c r="H318" s="3">
        <v>0</v>
      </c>
      <c r="I318" s="3">
        <f>E318+G318+H318</f>
        <v>30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29</v>
      </c>
      <c r="K318" s="3">
        <f>I318-J318</f>
        <v>1</v>
      </c>
      <c r="L318" s="3" t="str">
        <f>IF(K318&lt;-5,"CRÍTICO",IF(K318&lt;0,"ATENÇÃO",IF(K318&lt;=5,"BOM","EXCELENTE")))</f>
        <v>BOM</v>
      </c>
      <c r="M318">
        <v>31</v>
      </c>
      <c r="N318">
        <v>91.85</v>
      </c>
      <c r="O318">
        <v>20.87155963302752</v>
      </c>
    </row>
    <row r="319" spans="1:15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>E319+G319+H319</f>
        <v>13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23</v>
      </c>
      <c r="K319" s="3">
        <f>I319-J319</f>
        <v>-10</v>
      </c>
      <c r="L319" s="3" t="str">
        <f>IF(K319&lt;-5,"CRÍTICO",IF(K319&lt;0,"ATENÇÃO",IF(K319&lt;=5,"BOM","EXCELENTE")))</f>
        <v>CRÍTICO</v>
      </c>
      <c r="M319">
        <v>13</v>
      </c>
      <c r="N319">
        <v>98.63</v>
      </c>
      <c r="O319">
        <v>18.75</v>
      </c>
    </row>
    <row r="320" spans="1:15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>E320+G320+H320</f>
        <v>21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19</v>
      </c>
      <c r="K320" s="3">
        <f>I320-J320</f>
        <v>2</v>
      </c>
      <c r="L320" s="3" t="str">
        <f>IF(K320&lt;-5,"CRÍTICO",IF(K320&lt;0,"ATENÇÃO",IF(K320&lt;=5,"BOM","EXCELENTE")))</f>
        <v>BOM</v>
      </c>
      <c r="M320">
        <v>19</v>
      </c>
      <c r="N320">
        <v>100</v>
      </c>
      <c r="O320">
        <v>18.14516129032258</v>
      </c>
    </row>
    <row r="321" spans="1:15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G321" s="3">
        <v>0</v>
      </c>
      <c r="H321" s="3">
        <v>0</v>
      </c>
      <c r="I321" s="3">
        <f>E321+G321+H321</f>
        <v>23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29</v>
      </c>
      <c r="K321" s="3">
        <f>I321-J321</f>
        <v>-6</v>
      </c>
      <c r="L321" s="3" t="str">
        <f>IF(K321&lt;-5,"CRÍTICO",IF(K321&lt;0,"ATENÇÃO",IF(K321&lt;=5,"BOM","EXCELENTE")))</f>
        <v>CRÍTICO</v>
      </c>
      <c r="M321">
        <v>21</v>
      </c>
      <c r="N321">
        <v>99.06</v>
      </c>
      <c r="O321">
        <v>22.95719844357977</v>
      </c>
    </row>
    <row r="322" spans="1:15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>E322+G322+H322</f>
        <v>27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23</v>
      </c>
      <c r="K322" s="3">
        <f>I322-J322</f>
        <v>4</v>
      </c>
      <c r="L322" s="3" t="str">
        <f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>IF(K323&lt;-5,"CRÍTICO",IF(K323&lt;0,"ATENÇÃO",IF(K323&lt;=5,"BOM","EXCELENTE")))</f>
        <v>BOM</v>
      </c>
      <c r="M323" s="9">
        <v>0</v>
      </c>
      <c r="N323" s="9">
        <v>100</v>
      </c>
      <c r="O323" s="9">
        <v>9.5238095238095237</v>
      </c>
    </row>
    <row r="324" spans="1:15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17.241379310344829</v>
      </c>
    </row>
    <row r="325" spans="1:15" hidden="1" x14ac:dyDescent="0.25">
      <c r="A325" s="11">
        <v>46036</v>
      </c>
      <c r="B325" t="s">
        <v>36</v>
      </c>
      <c r="C325" t="s">
        <v>20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12</v>
      </c>
      <c r="K325" s="3">
        <f>I325-J325</f>
        <v>4</v>
      </c>
      <c r="L325" s="3" t="str">
        <f>IF(K325&lt;-5,"CRÍTICO",IF(K325&lt;0,"ATENÇÃO",IF(K325&lt;=5,"BOM","EXCELENTE")))</f>
        <v>BOM</v>
      </c>
      <c r="N325">
        <v>98.91</v>
      </c>
      <c r="O325">
        <v>31.367292225201069</v>
      </c>
    </row>
    <row r="326" spans="1:15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>IF(K326&lt;-5,"CRÍTICO",IF(K326&lt;0,"ATENÇÃO",IF(K326&lt;=5,"BOM","EXCELENTE")))</f>
        <v>ATENÇÃO</v>
      </c>
      <c r="M326">
        <v>22</v>
      </c>
      <c r="N326">
        <v>98.63</v>
      </c>
      <c r="O326">
        <v>15.75757575757576</v>
      </c>
    </row>
    <row r="327" spans="1:15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>IF(K327&lt;-5,"CRÍTICO",IF(K327&lt;0,"ATENÇÃO",IF(K327&lt;=5,"BOM","EXCELENTE")))</f>
        <v>EXCELENTE</v>
      </c>
      <c r="M327">
        <v>37</v>
      </c>
      <c r="N327">
        <v>98.64</v>
      </c>
      <c r="O327">
        <v>16.638370118845501</v>
      </c>
    </row>
    <row r="328" spans="1:15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>IF(K328&lt;-5,"CRÍTICO",IF(K328&lt;0,"ATENÇÃO",IF(K328&lt;=5,"BOM","EXCELENTE")))</f>
        <v>BOM</v>
      </c>
      <c r="M328">
        <v>31</v>
      </c>
      <c r="N328">
        <v>95.4</v>
      </c>
      <c r="O328">
        <v>20.533333333333331</v>
      </c>
    </row>
    <row r="329" spans="1:15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G329" s="3">
        <v>0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>IF(K329&lt;-5,"CRÍTICO",IF(K329&lt;0,"ATENÇÃO",IF(K329&lt;=5,"BOM","EXCELENTE")))</f>
        <v>BOM</v>
      </c>
      <c r="M329">
        <v>23</v>
      </c>
      <c r="N329">
        <v>98.61</v>
      </c>
      <c r="O329">
        <v>16.97530864197531</v>
      </c>
    </row>
    <row r="330" spans="1:15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0</v>
      </c>
      <c r="O330" s="9">
        <v>0</v>
      </c>
    </row>
    <row r="331" spans="1:15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>IF(K331&lt;-5,"CRÍTICO",IF(K331&lt;0,"ATENÇÃO",IF(K331&lt;=5,"BOM","EXCELENTE")))</f>
        <v>BOM</v>
      </c>
      <c r="M331">
        <v>18</v>
      </c>
      <c r="N331">
        <v>97.01</v>
      </c>
      <c r="O331">
        <v>13.961038961038961</v>
      </c>
    </row>
    <row r="332" spans="1:15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G332" s="3">
        <v>0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>IF(K332&lt;-5,"CRÍTICO",IF(K332&lt;0,"ATENÇÃO",IF(K332&lt;=5,"BOM","EXCELENTE")))</f>
        <v>ATENÇÃO</v>
      </c>
      <c r="M332">
        <v>20</v>
      </c>
      <c r="N332">
        <v>95.52</v>
      </c>
      <c r="O332">
        <v>10.561056105610559</v>
      </c>
    </row>
    <row r="333" spans="1:15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 s="9">
        <v>0</v>
      </c>
      <c r="N333" s="9">
        <v>100</v>
      </c>
      <c r="O333" s="9">
        <v>16.959064327485379</v>
      </c>
    </row>
    <row r="334" spans="1:15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>IF(K334&lt;-5,"CRÍTICO",IF(K334&lt;0,"ATENÇÃO",IF(K334&lt;=5,"BOM","EXCELENTE")))</f>
        <v>ATENÇÃO</v>
      </c>
      <c r="M334">
        <v>26</v>
      </c>
      <c r="N334">
        <v>100</v>
      </c>
      <c r="O334">
        <v>15.584415584415581</v>
      </c>
    </row>
    <row r="335" spans="1:15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>IF(K335&lt;-5,"CRÍTICO",IF(K335&lt;0,"ATENÇÃO",IF(K335&lt;=5,"BOM","EXCELENTE")))</f>
        <v>BOM</v>
      </c>
      <c r="M335">
        <v>22</v>
      </c>
      <c r="N335">
        <v>98.61</v>
      </c>
      <c r="O335">
        <v>16.867469879518069</v>
      </c>
    </row>
    <row r="336" spans="1:15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>IF(K336&lt;-5,"CRÍTICO",IF(K336&lt;0,"ATENÇÃO",IF(K336&lt;=5,"BOM","EXCELENTE")))</f>
        <v>EXCELENTE</v>
      </c>
      <c r="M336">
        <v>26</v>
      </c>
      <c r="N336">
        <v>100</v>
      </c>
      <c r="O336">
        <v>20.820189274447952</v>
      </c>
    </row>
    <row r="337" spans="1:15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100</v>
      </c>
      <c r="O337" s="9">
        <v>4.3478260869565224</v>
      </c>
    </row>
    <row r="338" spans="1:15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>E338+G338+H338</f>
        <v>23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>I338-J338</f>
        <v>4</v>
      </c>
      <c r="L338" s="3" t="str">
        <f>IF(K338&lt;-5,"CRÍTICO",IF(K338&lt;0,"ATENÇÃO",IF(K338&lt;=5,"BOM","EXCELENTE")))</f>
        <v>BOM</v>
      </c>
      <c r="M338">
        <v>22</v>
      </c>
      <c r="N338">
        <v>93.26</v>
      </c>
      <c r="O338">
        <v>19.93957703927493</v>
      </c>
    </row>
    <row r="339" spans="1:15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>E339+G339+H339</f>
        <v>23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8</v>
      </c>
      <c r="K339" s="3">
        <f>I339-J339</f>
        <v>15</v>
      </c>
      <c r="L339" s="3" t="str">
        <f>IF(K339&lt;-5,"CRÍTICO",IF(K339&lt;0,"ATENÇÃO",IF(K339&lt;=5,"BOM","EXCELENTE")))</f>
        <v>EXCELENTE</v>
      </c>
      <c r="M339">
        <v>18</v>
      </c>
      <c r="N339">
        <v>99.11</v>
      </c>
      <c r="O339">
        <v>17.721518987341771</v>
      </c>
    </row>
    <row r="340" spans="1:15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G340" s="3">
        <v>0</v>
      </c>
      <c r="H340" s="3">
        <v>0</v>
      </c>
      <c r="I340" s="3">
        <f>E340+G340+H340</f>
        <v>5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8</v>
      </c>
      <c r="K340" s="3">
        <f>I340-J340</f>
        <v>-3</v>
      </c>
      <c r="L340" s="3" t="str">
        <f>IF(K340&lt;-5,"CRÍTICO",IF(K340&lt;0,"ATENÇÃO",IF(K340&lt;=5,"BOM","EXCELENTE")))</f>
        <v>ATENÇÃO</v>
      </c>
      <c r="M340">
        <v>5</v>
      </c>
      <c r="N340">
        <v>96.43</v>
      </c>
      <c r="O340">
        <v>20</v>
      </c>
    </row>
    <row r="341" spans="1:15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G341" s="3">
        <v>0</v>
      </c>
      <c r="H341" s="3">
        <v>0</v>
      </c>
      <c r="I341" s="3">
        <f>E341+G341+H341</f>
        <v>19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8</v>
      </c>
      <c r="K341" s="3">
        <f>I341-J341</f>
        <v>11</v>
      </c>
      <c r="L341" s="3" t="str">
        <f>IF(K341&lt;-5,"CRÍTICO",IF(K341&lt;0,"ATENÇÃO",IF(K341&lt;=5,"BOM","EXCELENTE")))</f>
        <v>EXCELENTE</v>
      </c>
      <c r="M341">
        <v>0</v>
      </c>
      <c r="N341">
        <v>100</v>
      </c>
      <c r="O341">
        <v>29.032258064516132</v>
      </c>
    </row>
    <row r="342" spans="1:15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>E342+G342+H342</f>
        <v>23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8</v>
      </c>
      <c r="K342" s="3">
        <f>I342-J342</f>
        <v>15</v>
      </c>
      <c r="L342" s="3" t="str">
        <f>IF(K342&lt;-5,"CRÍTICO",IF(K342&lt;0,"ATENÇÃO",IF(K342&lt;=5,"BOM","EXCELENTE")))</f>
        <v>EXCELENTE</v>
      </c>
      <c r="M342">
        <v>1</v>
      </c>
      <c r="N342">
        <v>100</v>
      </c>
      <c r="O342">
        <v>11.864406779661021</v>
      </c>
    </row>
    <row r="343" spans="1:15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G343" s="3">
        <v>0</v>
      </c>
      <c r="H343" s="3">
        <v>0</v>
      </c>
      <c r="I343" s="3">
        <f>E343+G343+H343</f>
        <v>6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8</v>
      </c>
      <c r="K343" s="3">
        <f>I343-J343</f>
        <v>-2</v>
      </c>
      <c r="L343" s="3" t="str">
        <f>IF(K343&lt;-5,"CRÍTICO",IF(K343&lt;0,"ATENÇÃO",IF(K343&lt;=5,"BOM","EXCELENTE")))</f>
        <v>ATENÇÃO</v>
      </c>
      <c r="M343">
        <v>5</v>
      </c>
      <c r="N343">
        <v>100</v>
      </c>
      <c r="O343">
        <v>16.814159292035399</v>
      </c>
    </row>
    <row r="344" spans="1:15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G344" s="3">
        <v>0</v>
      </c>
      <c r="H344" s="3">
        <v>0</v>
      </c>
      <c r="I344" s="3">
        <f>E344+G344+H344</f>
        <v>18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8</v>
      </c>
      <c r="K344" s="3">
        <f>I344-J344</f>
        <v>10</v>
      </c>
      <c r="L344" s="3" t="str">
        <f>IF(K344&lt;-5,"CRÍTICO",IF(K344&lt;0,"ATENÇÃO",IF(K344&lt;=5,"BOM","EXCELENTE")))</f>
        <v>EXCELENTE</v>
      </c>
      <c r="M344">
        <v>13</v>
      </c>
      <c r="N344">
        <v>98.11</v>
      </c>
      <c r="O344">
        <v>20.408163265306118</v>
      </c>
    </row>
    <row r="345" spans="1:15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>E345+G345+H345</f>
        <v>41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29</v>
      </c>
      <c r="K345" s="3">
        <f>I345-J345</f>
        <v>12</v>
      </c>
      <c r="L345" s="3" t="str">
        <f>IF(K345&lt;-5,"CRÍTICO",IF(K345&lt;0,"ATENÇÃO",IF(K345&lt;=5,"BOM","EXCELENTE")))</f>
        <v>EXCELENTE</v>
      </c>
      <c r="M345">
        <v>28</v>
      </c>
      <c r="N345">
        <v>98.28</v>
      </c>
      <c r="O345">
        <v>9.037900874635568</v>
      </c>
    </row>
    <row r="346" spans="1:15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>E346+G346+H346</f>
        <v>34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5</v>
      </c>
      <c r="L346" s="3" t="str">
        <f>IF(K346&lt;-5,"CRÍTICO",IF(K346&lt;0,"ATENÇÃO",IF(K346&lt;=5,"BOM","EXCELENTE")))</f>
        <v>BOM</v>
      </c>
      <c r="M346">
        <v>29</v>
      </c>
      <c r="N346">
        <v>97.22</v>
      </c>
      <c r="O346">
        <v>19.095477386934672</v>
      </c>
    </row>
    <row r="347" spans="1:15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>E347+G347+H347</f>
        <v>25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16</v>
      </c>
      <c r="K347" s="3">
        <f>I347-J347</f>
        <v>9</v>
      </c>
      <c r="L347" s="3" t="str">
        <f>IF(K347&lt;-5,"CRÍTICO",IF(K347&lt;0,"ATENÇÃO",IF(K347&lt;=5,"BOM","EXCELENTE")))</f>
        <v>EXCELENTE</v>
      </c>
      <c r="M347">
        <v>18</v>
      </c>
      <c r="N347">
        <v>98</v>
      </c>
      <c r="O347">
        <v>16.43835616438356</v>
      </c>
    </row>
    <row r="348" spans="1:15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G348" s="3">
        <v>0</v>
      </c>
      <c r="H348" s="3">
        <v>0</v>
      </c>
      <c r="I348" s="3">
        <f>E348+G348+H348</f>
        <v>22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23</v>
      </c>
      <c r="K348" s="3">
        <f>I348-J348</f>
        <v>-1</v>
      </c>
      <c r="L348" s="3" t="str">
        <f>IF(K348&lt;-5,"CRÍTICO",IF(K348&lt;0,"ATENÇÃO",IF(K348&lt;=5,"BOM","EXCELENTE")))</f>
        <v>ATENÇÃO</v>
      </c>
      <c r="M348">
        <v>18</v>
      </c>
      <c r="N348">
        <v>100</v>
      </c>
      <c r="O348">
        <v>16.894977168949769</v>
      </c>
    </row>
    <row r="349" spans="1:15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G349" s="3">
        <v>0</v>
      </c>
      <c r="H349" s="3">
        <v>0</v>
      </c>
      <c r="I349" s="3">
        <f>E349+G349+H349</f>
        <v>11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16</v>
      </c>
      <c r="K349" s="3">
        <f>I349-J349</f>
        <v>-5</v>
      </c>
      <c r="L349" s="3" t="str">
        <f>IF(K349&lt;-5,"CRÍTICO",IF(K349&lt;0,"ATENÇÃO",IF(K349&lt;=5,"BOM","EXCELENTE")))</f>
        <v>ATENÇÃO</v>
      </c>
      <c r="M349">
        <v>14</v>
      </c>
      <c r="N349">
        <v>100</v>
      </c>
      <c r="O349">
        <v>19.138755980861241</v>
      </c>
    </row>
    <row r="350" spans="1:15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>E350+G350+H350</f>
        <v>18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16</v>
      </c>
      <c r="K350" s="3">
        <f>I350-J350</f>
        <v>2</v>
      </c>
      <c r="L350" s="3" t="str">
        <f>IF(K350&lt;-5,"CRÍTICO",IF(K350&lt;0,"ATENÇÃO",IF(K350&lt;=5,"BOM","EXCELENTE")))</f>
        <v>BOM</v>
      </c>
      <c r="M350">
        <v>18</v>
      </c>
      <c r="N350">
        <v>100</v>
      </c>
      <c r="O350">
        <v>15.02145922746781</v>
      </c>
    </row>
    <row r="351" spans="1:15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19</v>
      </c>
      <c r="K351" s="3">
        <f>I351-J351</f>
        <v>19</v>
      </c>
      <c r="L351" s="3" t="str">
        <f>IF(K351&lt;-5,"CRÍTICO",IF(K351&lt;0,"ATENÇÃO",IF(K351&lt;=5,"BOM","EXCELENTE")))</f>
        <v>EXCELENTE</v>
      </c>
      <c r="M351">
        <v>31</v>
      </c>
      <c r="N351">
        <v>97.56</v>
      </c>
      <c r="O351">
        <v>19.28783382789317</v>
      </c>
    </row>
    <row r="352" spans="1:15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>E352+G352+H352</f>
        <v>37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29</v>
      </c>
      <c r="K352" s="3">
        <f>I352-J352</f>
        <v>8</v>
      </c>
      <c r="L352" s="3" t="str">
        <f>IF(K352&lt;-5,"CRÍTICO",IF(K352&lt;0,"ATENÇÃO",IF(K352&lt;=5,"BOM","EXCELENTE")))</f>
        <v>EXCELENTE</v>
      </c>
      <c r="M352">
        <v>32</v>
      </c>
      <c r="N352">
        <v>99.29</v>
      </c>
      <c r="O352">
        <v>22.49443207126949</v>
      </c>
    </row>
    <row r="353" spans="1:15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>E353+G353+H353</f>
        <v>15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19</v>
      </c>
      <c r="K353" s="3">
        <f>I353-J353</f>
        <v>-4</v>
      </c>
      <c r="L353" s="3" t="str">
        <f>IF(K353&lt;-5,"CRÍTICO",IF(K353&lt;0,"ATENÇÃO",IF(K353&lt;=5,"BOM","EXCELENTE")))</f>
        <v>ATENÇÃO</v>
      </c>
      <c r="M353">
        <v>16</v>
      </c>
      <c r="N353">
        <v>100</v>
      </c>
      <c r="O353">
        <v>16.97247706422019</v>
      </c>
    </row>
    <row r="354" spans="1:15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G354" s="3">
        <v>0</v>
      </c>
      <c r="H354" s="3">
        <v>0</v>
      </c>
      <c r="I354" s="3">
        <f>E354+G354+H354</f>
        <v>23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-6</v>
      </c>
      <c r="L354" s="3" t="str">
        <f>IF(K354&lt;-5,"CRÍTICO",IF(K354&lt;0,"ATENÇÃO",IF(K354&lt;=5,"BOM","EXCELENTE")))</f>
        <v>CRÍTICO</v>
      </c>
      <c r="M354">
        <v>21</v>
      </c>
      <c r="N354">
        <v>97.33</v>
      </c>
      <c r="O354">
        <v>15.805471124620061</v>
      </c>
    </row>
    <row r="355" spans="1:15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>E355+G355+H355</f>
        <v>34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23</v>
      </c>
      <c r="K355" s="3">
        <f>I355-J355</f>
        <v>11</v>
      </c>
      <c r="L355" s="3" t="str">
        <f>IF(K355&lt;-5,"CRÍTICO",IF(K355&lt;0,"ATENÇÃO",IF(K355&lt;=5,"BOM","EXCELENTE")))</f>
        <v>EXCELENTE</v>
      </c>
      <c r="M355" s="3">
        <v>23</v>
      </c>
      <c r="N355" s="3">
        <v>98.94</v>
      </c>
      <c r="O355" s="3">
        <v>19.614147909967851</v>
      </c>
    </row>
    <row r="356" spans="1:15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>IF(K356&lt;-5,"CRÍTICO",IF(K356&lt;0,"ATENÇÃO",IF(K356&lt;=5,"BOM","EXCELENTE")))</f>
        <v>BOM</v>
      </c>
      <c r="M356" s="9">
        <v>0</v>
      </c>
      <c r="N356" s="9">
        <v>100</v>
      </c>
      <c r="O356" s="9">
        <v>0</v>
      </c>
    </row>
    <row r="357" spans="1:15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>E357+G357+H357</f>
        <v>26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>I357-J357</f>
        <v>7</v>
      </c>
      <c r="L357" s="3" t="str">
        <f>IF(K357&lt;-5,"CRÍTICO",IF(K357&lt;0,"ATENÇÃO",IF(K357&lt;=5,"BOM","EXCELENTE")))</f>
        <v>EXCELENTE</v>
      </c>
      <c r="M357" s="3">
        <v>23</v>
      </c>
      <c r="N357" s="3">
        <v>95.38</v>
      </c>
      <c r="O357" s="3">
        <v>21.5962441314554</v>
      </c>
    </row>
    <row r="358" spans="1:15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>E358+G358+H358</f>
        <v>30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2</v>
      </c>
      <c r="L358" s="3" t="str">
        <f>IF(K358&lt;-5,"CRÍTICO",IF(K358&lt;0,"ATENÇÃO",IF(K358&lt;=5,"BOM","EXCELENTE")))</f>
        <v>BOM</v>
      </c>
      <c r="M358">
        <v>27</v>
      </c>
      <c r="N358">
        <v>96.34</v>
      </c>
      <c r="O358">
        <v>17.571884984025559</v>
      </c>
    </row>
    <row r="359" spans="1:15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23</v>
      </c>
      <c r="K359" s="3">
        <f>I359-J359</f>
        <v>10</v>
      </c>
      <c r="L359" s="3" t="str">
        <f>IF(K359&lt;-5,"CRÍTICO",IF(K359&lt;0,"ATENÇÃO",IF(K359&lt;=5,"BOM","EXCELENTE")))</f>
        <v>EXCELENTE</v>
      </c>
      <c r="M359">
        <v>33</v>
      </c>
      <c r="N359">
        <v>99.13</v>
      </c>
      <c r="O359">
        <v>14.7239263803681</v>
      </c>
    </row>
    <row r="360" spans="1:15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>E360+G360+H360</f>
        <v>27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23</v>
      </c>
      <c r="K360" s="3">
        <f>I360-J360</f>
        <v>4</v>
      </c>
      <c r="L360" s="3" t="str">
        <f>IF(K360&lt;-5,"CRÍTICO",IF(K360&lt;0,"ATENÇÃO",IF(K360&lt;=5,"BOM","EXCELENTE")))</f>
        <v>BOM</v>
      </c>
      <c r="M360">
        <v>25</v>
      </c>
      <c r="N360">
        <v>98.8</v>
      </c>
      <c r="O360">
        <v>16.897506925207761</v>
      </c>
    </row>
    <row r="361" spans="1:15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>E361+G361+H361</f>
        <v>36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19</v>
      </c>
      <c r="K361" s="3">
        <f>I361-J361</f>
        <v>17</v>
      </c>
      <c r="L361" s="3" t="str">
        <f>IF(K361&lt;-5,"CRÍTICO",IF(K361&lt;0,"ATENÇÃO",IF(K361&lt;=5,"BOM","EXCELENTE")))</f>
        <v>EXCELENTE</v>
      </c>
      <c r="M361">
        <v>30</v>
      </c>
      <c r="N361">
        <v>96.88</v>
      </c>
      <c r="O361">
        <v>19.526627218934909</v>
      </c>
    </row>
    <row r="362" spans="1:15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91.85</v>
      </c>
      <c r="O362">
        <v>20.87155963302752</v>
      </c>
    </row>
    <row r="363" spans="1:15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>E363+G363+H363</f>
        <v>18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23</v>
      </c>
      <c r="K363" s="3">
        <f>I363-J363</f>
        <v>-5</v>
      </c>
      <c r="L363" s="3" t="str">
        <f>IF(K363&lt;-5,"CRÍTICO",IF(K363&lt;0,"ATENÇÃO",IF(K363&lt;=5,"BOM","EXCELENTE")))</f>
        <v>ATENÇÃO</v>
      </c>
      <c r="M363">
        <v>17</v>
      </c>
      <c r="N363">
        <v>98.63</v>
      </c>
      <c r="O363">
        <v>18.75</v>
      </c>
    </row>
    <row r="364" spans="1:15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>E364+G364+H364</f>
        <v>29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19</v>
      </c>
      <c r="K364" s="3">
        <f>I364-J364</f>
        <v>10</v>
      </c>
      <c r="L364" s="3" t="str">
        <f>IF(K364&lt;-5,"CRÍTICO",IF(K364&lt;0,"ATENÇÃO",IF(K364&lt;=5,"BOM","EXCELENTE")))</f>
        <v>EXCELENTE</v>
      </c>
      <c r="M364">
        <v>20</v>
      </c>
      <c r="N364">
        <v>100</v>
      </c>
      <c r="O364">
        <v>18.14516129032258</v>
      </c>
    </row>
    <row r="365" spans="1:15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>E365+G365+H365</f>
        <v>26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-2</v>
      </c>
      <c r="L365" s="3" t="str">
        <f>IF(K365&lt;-5,"CRÍTICO",IF(K365&lt;0,"ATENÇÃO",IF(K365&lt;=5,"BOM","EXCELENTE")))</f>
        <v>ATENÇÃO</v>
      </c>
      <c r="M365">
        <v>26</v>
      </c>
      <c r="N365">
        <v>99.06</v>
      </c>
      <c r="O365">
        <v>22.95719844357977</v>
      </c>
    </row>
    <row r="366" spans="1:15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>E366+G366+H366</f>
        <v>13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-10</v>
      </c>
      <c r="L366" s="3" t="str">
        <f>IF(K366&lt;-5,"CRÍTICO",IF(K366&lt;0,"ATENÇÃO",IF(K366&lt;=5,"BOM","EXCELENTE")))</f>
        <v>CRÍTICO</v>
      </c>
      <c r="M366">
        <v>18</v>
      </c>
      <c r="N366">
        <v>100</v>
      </c>
      <c r="O366">
        <v>13.8121546961326</v>
      </c>
    </row>
    <row r="367" spans="1:15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100</v>
      </c>
      <c r="O367" s="9">
        <v>9.5238095238095237</v>
      </c>
    </row>
    <row r="368" spans="1:15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>IF(K368&lt;-5,"CRÍTICO",IF(K368&lt;0,"ATENÇÃO",IF(K368&lt;=5,"BOM","EXCELENTE")))</f>
        <v>BOM</v>
      </c>
      <c r="M368" s="9">
        <v>0</v>
      </c>
      <c r="N368" s="9">
        <v>100</v>
      </c>
      <c r="O368" s="9">
        <v>17.241379310344829</v>
      </c>
    </row>
    <row r="369" spans="1:15" hidden="1" x14ac:dyDescent="0.25">
      <c r="A369" s="11">
        <v>46037</v>
      </c>
      <c r="B369" t="s">
        <v>36</v>
      </c>
      <c r="C369" t="s">
        <v>20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13</v>
      </c>
      <c r="K369" s="3">
        <f>I369-J369</f>
        <v>14</v>
      </c>
      <c r="L369" s="3" t="str">
        <f>IF(K369&lt;-5,"CRÍTICO",IF(K369&lt;0,"ATENÇÃO",IF(K369&lt;=5,"BOM","EXCELENTE")))</f>
        <v>EXCELENTE</v>
      </c>
      <c r="N369">
        <v>98.91</v>
      </c>
      <c r="O369">
        <v>31.367292225201069</v>
      </c>
    </row>
    <row r="370" spans="1:15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>IF(K370&lt;-5,"CRÍTICO",IF(K370&lt;0,"ATENÇÃO",IF(K370&lt;=5,"BOM","EXCELENTE")))</f>
        <v>CRÍTICO</v>
      </c>
      <c r="M370">
        <v>13</v>
      </c>
      <c r="N370">
        <v>98.63</v>
      </c>
      <c r="O370">
        <v>15.75757575757576</v>
      </c>
    </row>
    <row r="371" spans="1:15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>IF(K371&lt;-5,"CRÍTICO",IF(K371&lt;0,"ATENÇÃO",IF(K371&lt;=5,"BOM","EXCELENTE")))</f>
        <v>EXCELENTE</v>
      </c>
      <c r="M371">
        <v>38</v>
      </c>
      <c r="N371">
        <v>98.64</v>
      </c>
      <c r="O371">
        <v>16.638370118845501</v>
      </c>
    </row>
    <row r="372" spans="1:15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>IF(K372&lt;-5,"CRÍTICO",IF(K372&lt;0,"ATENÇÃO",IF(K372&lt;=5,"BOM","EXCELENTE")))</f>
        <v>EXCELENTE</v>
      </c>
      <c r="M372">
        <v>44</v>
      </c>
      <c r="N372">
        <v>95.4</v>
      </c>
      <c r="O372">
        <v>20.533333333333331</v>
      </c>
    </row>
    <row r="373" spans="1:15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>IF(K373&lt;-5,"CRÍTICO",IF(K373&lt;0,"ATENÇÃO",IF(K373&lt;=5,"BOM","EXCELENTE")))</f>
        <v>CRÍTICO</v>
      </c>
      <c r="M373">
        <v>9</v>
      </c>
      <c r="N373">
        <v>98.61</v>
      </c>
      <c r="O373">
        <v>16.97530864197531</v>
      </c>
    </row>
    <row r="374" spans="1:15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>IF(K374&lt;-5,"CRÍTICO",IF(K374&lt;0,"ATENÇÃO",IF(K374&lt;=5,"BOM","EXCELENTE")))</f>
        <v>BOM</v>
      </c>
      <c r="M374" s="9">
        <v>0</v>
      </c>
      <c r="N374" s="9">
        <v>0</v>
      </c>
      <c r="O374" s="9">
        <v>0</v>
      </c>
    </row>
    <row r="375" spans="1:15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>E375+G375+H375</f>
        <v>23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>I375-J375</f>
        <v>7</v>
      </c>
      <c r="L375" s="3" t="str">
        <f>IF(K375&lt;-5,"CRÍTICO",IF(K375&lt;0,"ATENÇÃO",IF(K375&lt;=5,"BOM","EXCELENTE")))</f>
        <v>EXCELENTE</v>
      </c>
      <c r="M375">
        <v>22</v>
      </c>
      <c r="N375">
        <v>97.01</v>
      </c>
      <c r="O375">
        <v>13.961038961038961</v>
      </c>
    </row>
    <row r="376" spans="1:15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>E376+G376+H376</f>
        <v>29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28</v>
      </c>
      <c r="K376" s="3">
        <f>I376-J376</f>
        <v>1</v>
      </c>
      <c r="L376" s="3" t="str">
        <f>IF(K376&lt;-5,"CRÍTICO",IF(K376&lt;0,"ATENÇÃO",IF(K376&lt;=5,"BOM","EXCELENTE")))</f>
        <v>BOM</v>
      </c>
      <c r="M376">
        <v>28</v>
      </c>
      <c r="N376">
        <v>95.52</v>
      </c>
      <c r="O376">
        <v>10.561056105610559</v>
      </c>
    </row>
    <row r="377" spans="1:15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>E377+G377+H377</f>
        <v>15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16</v>
      </c>
      <c r="K377" s="3">
        <f>I377-J377</f>
        <v>-1</v>
      </c>
      <c r="L377" s="3" t="str">
        <f>IF(K377&lt;-5,"CRÍTICO",IF(K377&lt;0,"ATENÇÃO",IF(K377&lt;=5,"BOM","EXCELENTE")))</f>
        <v>ATENÇÃO</v>
      </c>
      <c r="M377">
        <v>9</v>
      </c>
      <c r="N377">
        <v>100</v>
      </c>
      <c r="O377">
        <v>16.959064327485379</v>
      </c>
    </row>
    <row r="378" spans="1:15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>E378+G378+H378</f>
        <v>27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28</v>
      </c>
      <c r="K378" s="3">
        <f>I378-J378</f>
        <v>-1</v>
      </c>
      <c r="L378" s="3" t="str">
        <f>IF(K378&lt;-5,"CRÍTICO",IF(K378&lt;0,"ATENÇÃO",IF(K378&lt;=5,"BOM","EXCELENTE")))</f>
        <v>ATENÇÃO</v>
      </c>
      <c r="M378">
        <v>23</v>
      </c>
      <c r="N378">
        <v>100</v>
      </c>
      <c r="O378">
        <v>15.584415584415581</v>
      </c>
    </row>
    <row r="379" spans="1:15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>E379+G379+H379</f>
        <v>24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23</v>
      </c>
      <c r="K379" s="3">
        <f>I379-J379</f>
        <v>1</v>
      </c>
      <c r="L379" s="3" t="str">
        <f>IF(K379&lt;-5,"CRÍTICO",IF(K379&lt;0,"ATENÇÃO",IF(K379&lt;=5,"BOM","EXCELENTE")))</f>
        <v>BOM</v>
      </c>
      <c r="M379">
        <v>12</v>
      </c>
      <c r="N379">
        <v>98.61</v>
      </c>
      <c r="O379">
        <v>16.867469879518069</v>
      </c>
    </row>
    <row r="380" spans="1:15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>E380+G380+H380</f>
        <v>18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23</v>
      </c>
      <c r="K380" s="3">
        <f>I380-J380</f>
        <v>-5</v>
      </c>
      <c r="L380" s="3" t="str">
        <f>IF(K380&lt;-5,"CRÍTICO",IF(K380&lt;0,"ATENÇÃO",IF(K380&lt;=5,"BOM","EXCELENTE")))</f>
        <v>ATENÇÃO</v>
      </c>
      <c r="M380">
        <v>16</v>
      </c>
      <c r="N380">
        <v>100</v>
      </c>
      <c r="O380">
        <v>20.820189274447952</v>
      </c>
    </row>
    <row r="381" spans="1:15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>IF(K381&lt;-5,"CRÍTICO",IF(K381&lt;0,"ATENÇÃO",IF(K381&lt;=5,"BOM","EXCELENTE")))</f>
        <v>BOM</v>
      </c>
      <c r="M381" s="9">
        <v>0</v>
      </c>
      <c r="N381" s="9">
        <v>100</v>
      </c>
      <c r="O381" s="9">
        <v>4.3478260869565224</v>
      </c>
    </row>
    <row r="382" spans="1:15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>E382+G382+H382</f>
        <v>15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>I382-J382</f>
        <v>-4</v>
      </c>
      <c r="L382" s="3" t="str">
        <f>IF(K382&lt;-5,"CRÍTICO",IF(K382&lt;0,"ATENÇÃO",IF(K382&lt;=5,"BOM","EXCELENTE")))</f>
        <v>ATENÇÃO</v>
      </c>
      <c r="M382">
        <v>16</v>
      </c>
      <c r="N382">
        <v>93.26</v>
      </c>
      <c r="O382">
        <v>19.93957703927493</v>
      </c>
    </row>
    <row r="383" spans="1:15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>E383+G383+H383</f>
        <v>29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8</v>
      </c>
      <c r="K383" s="3">
        <f>I383-J383</f>
        <v>21</v>
      </c>
      <c r="L383" s="3" t="str">
        <f>IF(K383&lt;-5,"CRÍTICO",IF(K383&lt;0,"ATENÇÃO",IF(K383&lt;=5,"BOM","EXCELENTE")))</f>
        <v>EXCELENTE</v>
      </c>
      <c r="M383">
        <v>26</v>
      </c>
      <c r="N383">
        <v>99.11</v>
      </c>
      <c r="O383">
        <v>17.721518987341771</v>
      </c>
    </row>
    <row r="384" spans="1:15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>E384+G384+H384</f>
        <v>52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28</v>
      </c>
      <c r="K384" s="3">
        <f>I384-J384</f>
        <v>24</v>
      </c>
      <c r="L384" s="3" t="str">
        <f>IF(K384&lt;-5,"CRÍTICO",IF(K384&lt;0,"ATENÇÃO",IF(K384&lt;=5,"BOM","EXCELENTE")))</f>
        <v>EXCELENTE</v>
      </c>
      <c r="M384">
        <v>30</v>
      </c>
      <c r="N384">
        <v>98.28</v>
      </c>
      <c r="O384">
        <v>9.037900874635568</v>
      </c>
    </row>
    <row r="385" spans="1:15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>E385+G385+H385</f>
        <v>35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28</v>
      </c>
      <c r="K385" s="3">
        <f>I385-J385</f>
        <v>7</v>
      </c>
      <c r="L385" s="3" t="str">
        <f>IF(K385&lt;-5,"CRÍTICO",IF(K385&lt;0,"ATENÇÃO",IF(K385&lt;=5,"BOM","EXCELENTE")))</f>
        <v>EXCELENTE</v>
      </c>
      <c r="M385">
        <v>29</v>
      </c>
      <c r="N385">
        <v>97.22</v>
      </c>
      <c r="O385">
        <v>19.095477386934672</v>
      </c>
    </row>
    <row r="386" spans="1:15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>E386+G386+H386</f>
        <v>9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8</v>
      </c>
      <c r="K386" s="3">
        <f>I386-J386</f>
        <v>1</v>
      </c>
      <c r="L386" s="3" t="str">
        <f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>E387+G387+H387</f>
        <v>15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8</v>
      </c>
      <c r="K387" s="3">
        <f>I387-J387</f>
        <v>7</v>
      </c>
      <c r="L387" s="3" t="str">
        <f>IF(K387&lt;-5,"CRÍTICO",IF(K387&lt;0,"ATENÇÃO",IF(K387&lt;=5,"BOM","EXCELENTE")))</f>
        <v>EXCELENTE</v>
      </c>
      <c r="M387">
        <v>0</v>
      </c>
      <c r="N387">
        <v>100</v>
      </c>
      <c r="O387">
        <v>29.032258064516132</v>
      </c>
    </row>
    <row r="388" spans="1:15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>E388+G388+H388</f>
        <v>43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8</v>
      </c>
      <c r="K388" s="3">
        <f>I388-J388</f>
        <v>35</v>
      </c>
      <c r="L388" s="3" t="str">
        <f>IF(K388&lt;-5,"CRÍTICO",IF(K388&lt;0,"ATENÇÃO",IF(K388&lt;=5,"BOM","EXCELENTE")))</f>
        <v>EXCELENTE</v>
      </c>
      <c r="M388">
        <v>2</v>
      </c>
      <c r="N388">
        <v>100</v>
      </c>
      <c r="O388">
        <v>11.864406779661021</v>
      </c>
    </row>
    <row r="389" spans="1:15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>E389+G389+H389</f>
        <v>4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8</v>
      </c>
      <c r="K389" s="3">
        <f>I389-J389</f>
        <v>-4</v>
      </c>
      <c r="L389" s="3" t="str">
        <f>IF(K389&lt;-5,"CRÍTICO",IF(K389&lt;0,"ATENÇÃO",IF(K389&lt;=5,"BOM","EXCELENTE")))</f>
        <v>ATENÇÃO</v>
      </c>
      <c r="M389">
        <v>3</v>
      </c>
      <c r="N389">
        <v>100</v>
      </c>
      <c r="O389">
        <v>16.814159292035399</v>
      </c>
    </row>
    <row r="390" spans="1:15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>E390+G390+H390</f>
        <v>18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8</v>
      </c>
      <c r="K390" s="3">
        <f>I390-J390</f>
        <v>10</v>
      </c>
      <c r="L390" s="3" t="str">
        <f>IF(K390&lt;-5,"CRÍTICO",IF(K390&lt;0,"ATENÇÃO",IF(K390&lt;=5,"BOM","EXCELENTE")))</f>
        <v>EXCELENTE</v>
      </c>
      <c r="M390">
        <v>15</v>
      </c>
      <c r="N390">
        <v>98.11</v>
      </c>
      <c r="O390">
        <v>20.408163265306118</v>
      </c>
    </row>
    <row r="391" spans="1:15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>E391+G391+H391</f>
        <v>23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16</v>
      </c>
      <c r="K391" s="3">
        <f>I391-J391</f>
        <v>7</v>
      </c>
      <c r="L391" s="3" t="str">
        <f>IF(K391&lt;-5,"CRÍTICO",IF(K391&lt;0,"ATENÇÃO",IF(K391&lt;=5,"BOM","EXCELENTE")))</f>
        <v>EXCELENTE</v>
      </c>
      <c r="M391">
        <v>15</v>
      </c>
      <c r="N391">
        <v>98</v>
      </c>
      <c r="O391">
        <v>16.43835616438356</v>
      </c>
    </row>
    <row r="392" spans="1:15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>E392+G392+H392</f>
        <v>26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3</v>
      </c>
      <c r="L392" s="3" t="str">
        <f>IF(K392&lt;-5,"CRÍTICO",IF(K392&lt;0,"ATENÇÃO",IF(K392&lt;=5,"BOM","EXCELENTE")))</f>
        <v>BOM</v>
      </c>
      <c r="M392">
        <v>23</v>
      </c>
      <c r="N392">
        <v>100</v>
      </c>
      <c r="O392">
        <v>16.894977168949769</v>
      </c>
    </row>
    <row r="393" spans="1:15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>E393+G393+H393</f>
        <v>15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16</v>
      </c>
      <c r="K393" s="3">
        <f>I393-J393</f>
        <v>-1</v>
      </c>
      <c r="L393" s="3" t="str">
        <f>IF(K393&lt;-5,"CRÍTICO",IF(K393&lt;0,"ATENÇÃO",IF(K393&lt;=5,"BOM","EXCELENTE")))</f>
        <v>ATENÇÃO</v>
      </c>
      <c r="M393">
        <v>13</v>
      </c>
      <c r="N393">
        <v>100</v>
      </c>
      <c r="O393">
        <v>19.138755980861241</v>
      </c>
    </row>
    <row r="394" spans="1:15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>E394+G394+H394</f>
        <v>6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16</v>
      </c>
      <c r="K394" s="3">
        <f>I394-J394</f>
        <v>-10</v>
      </c>
      <c r="L394" s="3" t="str">
        <f>IF(K394&lt;-5,"CRÍTICO",IF(K394&lt;0,"ATENÇÃO",IF(K394&lt;=5,"BOM","EXCELENTE")))</f>
        <v>CRÍTICO</v>
      </c>
      <c r="M394">
        <v>5</v>
      </c>
      <c r="N394">
        <v>100</v>
      </c>
      <c r="O394">
        <v>15.02145922746781</v>
      </c>
    </row>
    <row r="395" spans="1:15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>E395+G395+H395</f>
        <v>26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19</v>
      </c>
      <c r="K395" s="3">
        <f>I395-J395</f>
        <v>7</v>
      </c>
      <c r="L395" s="3" t="str">
        <f>IF(K395&lt;-5,"CRÍTICO",IF(K395&lt;0,"ATENÇÃO",IF(K395&lt;=5,"BOM","EXCELENTE")))</f>
        <v>EXCELENTE</v>
      </c>
      <c r="M395">
        <v>24</v>
      </c>
      <c r="N395">
        <v>97.56</v>
      </c>
      <c r="O395">
        <v>19.28783382789317</v>
      </c>
    </row>
    <row r="396" spans="1:15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>E396+G396+H396</f>
        <v>37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9</v>
      </c>
      <c r="L396" s="3" t="str">
        <f>IF(K396&lt;-5,"CRÍTICO",IF(K396&lt;0,"ATENÇÃO",IF(K396&lt;=5,"BOM","EXCELENTE")))</f>
        <v>EXCELENTE</v>
      </c>
      <c r="M396">
        <v>40</v>
      </c>
      <c r="N396">
        <v>99.29</v>
      </c>
      <c r="O396">
        <v>22.49443207126949</v>
      </c>
    </row>
    <row r="397" spans="1:15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>E397+G397+H397</f>
        <v>19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19</v>
      </c>
      <c r="K397" s="3">
        <f>I397-J397</f>
        <v>0</v>
      </c>
      <c r="L397" s="3" t="str">
        <f>IF(K397&lt;-5,"CRÍTICO",IF(K397&lt;0,"ATENÇÃO",IF(K397&lt;=5,"BOM","EXCELENTE")))</f>
        <v>BOM</v>
      </c>
      <c r="M397">
        <v>17</v>
      </c>
      <c r="N397">
        <v>100</v>
      </c>
      <c r="O397">
        <v>16.97247706422019</v>
      </c>
    </row>
    <row r="398" spans="1:15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>E398+G398+H398</f>
        <v>27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-1</v>
      </c>
      <c r="L398" s="3" t="str">
        <f>IF(K398&lt;-5,"CRÍTICO",IF(K398&lt;0,"ATENÇÃO",IF(K398&lt;=5,"BOM","EXCELENTE")))</f>
        <v>ATENÇÃO</v>
      </c>
      <c r="M398">
        <v>21</v>
      </c>
      <c r="N398">
        <v>97.33</v>
      </c>
      <c r="O398">
        <v>15.805471124620061</v>
      </c>
    </row>
    <row r="399" spans="1:15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>E399+G399+H399</f>
        <v>20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-3</v>
      </c>
      <c r="L399" s="3" t="str">
        <f>IF(K399&lt;-5,"CRÍTICO",IF(K399&lt;0,"ATENÇÃO",IF(K399&lt;=5,"BOM","EXCELENTE")))</f>
        <v>ATENÇÃO</v>
      </c>
      <c r="M399" s="3">
        <v>12</v>
      </c>
      <c r="N399" s="3">
        <v>98.94</v>
      </c>
      <c r="O399" s="3">
        <v>19.614147909967851</v>
      </c>
    </row>
    <row r="400" spans="1:15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>IF(K400&lt;-5,"CRÍTICO",IF(K400&lt;0,"ATENÇÃO",IF(K400&lt;=5,"BOM","EXCELENTE")))</f>
        <v>BOM</v>
      </c>
      <c r="M400" s="9">
        <v>0</v>
      </c>
      <c r="N400" s="9">
        <v>100</v>
      </c>
      <c r="O400" s="9">
        <v>0</v>
      </c>
    </row>
    <row r="401" spans="1:15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>E401+G401+H401</f>
        <v>43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>I401-J401</f>
        <v>24</v>
      </c>
      <c r="L401" s="3" t="str">
        <f>IF(K401&lt;-5,"CRÍTICO",IF(K401&lt;0,"ATENÇÃO",IF(K401&lt;=5,"BOM","EXCELENTE")))</f>
        <v>EXCELENTE</v>
      </c>
      <c r="M401" s="3">
        <v>36</v>
      </c>
      <c r="N401" s="3">
        <v>95.38</v>
      </c>
      <c r="O401" s="3">
        <v>21.5962441314554</v>
      </c>
    </row>
    <row r="402" spans="1:15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>E402+G402+H402</f>
        <v>31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29</v>
      </c>
      <c r="K402" s="3">
        <f>I402-J402</f>
        <v>2</v>
      </c>
      <c r="L402" s="3" t="str">
        <f>IF(K402&lt;-5,"CRÍTICO",IF(K402&lt;0,"ATENÇÃO",IF(K402&lt;=5,"BOM","EXCELENTE")))</f>
        <v>BOM</v>
      </c>
      <c r="M402">
        <v>25</v>
      </c>
      <c r="N402">
        <v>96.34</v>
      </c>
      <c r="O402">
        <v>17.571884984025559</v>
      </c>
    </row>
    <row r="403" spans="1:15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>E403+G403+H403</f>
        <v>21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-2</v>
      </c>
      <c r="L403" s="3" t="str">
        <f>IF(K403&lt;-5,"CRÍTICO",IF(K403&lt;0,"ATENÇÃO",IF(K403&lt;=5,"BOM","EXCELENTE")))</f>
        <v>ATENÇÃO</v>
      </c>
      <c r="M403">
        <v>21</v>
      </c>
      <c r="N403">
        <v>99.13</v>
      </c>
      <c r="O403">
        <v>14.7239263803681</v>
      </c>
    </row>
    <row r="404" spans="1:15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>E404+G404+H404</f>
        <v>29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6</v>
      </c>
      <c r="L404" s="3" t="str">
        <f>IF(K404&lt;-5,"CRÍTICO",IF(K404&lt;0,"ATENÇÃO",IF(K404&lt;=5,"BOM","EXCELENTE")))</f>
        <v>EXCELENTE</v>
      </c>
      <c r="M404">
        <v>29</v>
      </c>
      <c r="N404">
        <v>98.8</v>
      </c>
      <c r="O404">
        <v>16.897506925207761</v>
      </c>
    </row>
    <row r="405" spans="1:15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IF(K405&lt;-5,"CRÍTICO",IF(K405&lt;0,"ATENÇÃO",IF(K405&lt;=5,"BOM","EXCELENTE")))</f>
        <v>BOM</v>
      </c>
      <c r="M405">
        <v>20</v>
      </c>
      <c r="N405">
        <v>96.88</v>
      </c>
      <c r="O405">
        <v>19.526627218934909</v>
      </c>
    </row>
    <row r="406" spans="1:15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>E406+G406+H406</f>
        <v>31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29</v>
      </c>
      <c r="K406" s="3">
        <f>I406-J406</f>
        <v>2</v>
      </c>
      <c r="L406" s="3" t="str">
        <f>IF(K406&lt;-5,"CRÍTICO",IF(K406&lt;0,"ATENÇÃO",IF(K406&lt;=5,"BOM","EXCELENTE")))</f>
        <v>BOM</v>
      </c>
      <c r="M406">
        <v>29</v>
      </c>
      <c r="N406">
        <v>91.85</v>
      </c>
      <c r="O406">
        <v>20.87155963302752</v>
      </c>
    </row>
    <row r="407" spans="1:15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>E407+G407+H407</f>
        <v>34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23</v>
      </c>
      <c r="K407" s="3">
        <f>I407-J407</f>
        <v>11</v>
      </c>
      <c r="L407" s="3" t="str">
        <f>IF(K407&lt;-5,"CRÍTICO",IF(K407&lt;0,"ATENÇÃO",IF(K407&lt;=5,"BOM","EXCELENTE")))</f>
        <v>EXCELENTE</v>
      </c>
      <c r="M407">
        <v>30</v>
      </c>
      <c r="N407">
        <v>98.63</v>
      </c>
      <c r="O407">
        <v>18.75</v>
      </c>
    </row>
    <row r="408" spans="1:15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>E408+G408+H408</f>
        <v>21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19</v>
      </c>
      <c r="K408" s="3">
        <f>I408-J408</f>
        <v>2</v>
      </c>
      <c r="L408" s="3" t="str">
        <f>IF(K408&lt;-5,"CRÍTICO",IF(K408&lt;0,"ATENÇÃO",IF(K408&lt;=5,"BOM","EXCELENTE")))</f>
        <v>BOM</v>
      </c>
      <c r="M408">
        <v>19</v>
      </c>
      <c r="N408">
        <v>100</v>
      </c>
      <c r="O408">
        <v>18.14516129032258</v>
      </c>
    </row>
    <row r="409" spans="1:15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>E409+G409+H409</f>
        <v>23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-6</v>
      </c>
      <c r="L409" s="3" t="str">
        <f>IF(K409&lt;-5,"CRÍTICO",IF(K409&lt;0,"ATENÇÃO",IF(K409&lt;=5,"BOM","EXCELENTE")))</f>
        <v>CRÍTICO</v>
      </c>
      <c r="M409">
        <v>23</v>
      </c>
      <c r="N409">
        <v>99.06</v>
      </c>
      <c r="O409">
        <v>22.95719844357977</v>
      </c>
    </row>
    <row r="410" spans="1:15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>E410+G410+H410</f>
        <v>27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23</v>
      </c>
      <c r="K410" s="3">
        <f>I410-J410</f>
        <v>4</v>
      </c>
      <c r="L410" s="3" t="str">
        <f>IF(K410&lt;-5,"CRÍTICO",IF(K410&lt;0,"ATENÇÃO",IF(K410&lt;=5,"BOM","EXCELENTE")))</f>
        <v>BOM</v>
      </c>
      <c r="M410">
        <v>23</v>
      </c>
      <c r="N410">
        <v>100</v>
      </c>
      <c r="O410">
        <v>13.8121546961326</v>
      </c>
    </row>
    <row r="411" spans="1:15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>IF(K411&lt;-5,"CRÍTICO",IF(K411&lt;0,"ATENÇÃO",IF(K411&lt;=5,"BOM","EXCELENTE")))</f>
        <v>BOM</v>
      </c>
      <c r="M411" s="9">
        <v>0</v>
      </c>
      <c r="N411" s="9">
        <v>100</v>
      </c>
      <c r="O411" s="9">
        <v>17.241379310344829</v>
      </c>
    </row>
    <row r="412" spans="1:15" hidden="1" x14ac:dyDescent="0.25">
      <c r="A412" s="11">
        <v>46038</v>
      </c>
      <c r="B412" t="s">
        <v>36</v>
      </c>
      <c r="C412" t="s">
        <v>20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13</v>
      </c>
      <c r="K412" s="3">
        <f>I412-J412</f>
        <v>6</v>
      </c>
      <c r="L412" s="3" t="str">
        <f>IF(K412&lt;-5,"CRÍTICO",IF(K412&lt;0,"ATENÇÃO",IF(K412&lt;=5,"BOM","EXCELENTE")))</f>
        <v>EXCELENTE</v>
      </c>
      <c r="N412">
        <v>98.91</v>
      </c>
      <c r="O412">
        <v>31.367292225201069</v>
      </c>
    </row>
    <row r="413" spans="1:15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>IF(K413&lt;-5,"CRÍTICO",IF(K413&lt;0,"ATENÇÃO",IF(K413&lt;=5,"BOM","EXCELENTE")))</f>
        <v>BOM</v>
      </c>
      <c r="M413">
        <v>23</v>
      </c>
      <c r="N413">
        <v>98.63</v>
      </c>
      <c r="O413">
        <v>15.75757575757576</v>
      </c>
    </row>
    <row r="414" spans="1:15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>IF(K414&lt;-5,"CRÍTICO",IF(K414&lt;0,"ATENÇÃO",IF(K414&lt;=5,"BOM","EXCELENTE")))</f>
        <v>EXCELENTE</v>
      </c>
      <c r="M414">
        <v>39</v>
      </c>
      <c r="N414">
        <v>98.64</v>
      </c>
      <c r="O414">
        <v>16.638370118845501</v>
      </c>
    </row>
    <row r="415" spans="1:15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>IF(K415&lt;-5,"CRÍTICO",IF(K415&lt;0,"ATENÇÃO",IF(K415&lt;=5,"BOM","EXCELENTE")))</f>
        <v>BOM</v>
      </c>
      <c r="M415">
        <v>23</v>
      </c>
      <c r="N415">
        <v>95.4</v>
      </c>
      <c r="O415">
        <v>20.533333333333331</v>
      </c>
    </row>
    <row r="416" spans="1:15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>IF(K416&lt;-5,"CRÍTICO",IF(K416&lt;0,"ATENÇÃO",IF(K416&lt;=5,"BOM","EXCELENTE")))</f>
        <v>CRÍTICO</v>
      </c>
      <c r="M416">
        <v>14</v>
      </c>
      <c r="N416">
        <v>98.61</v>
      </c>
      <c r="O416">
        <v>16.97530864197531</v>
      </c>
    </row>
    <row r="417" spans="1:15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>IF(K417&lt;-5,"CRÍTICO",IF(K417&lt;0,"ATENÇÃO",IF(K417&lt;=5,"BOM","EXCELENTE")))</f>
        <v>BOM</v>
      </c>
      <c r="M417" s="9">
        <v>0</v>
      </c>
      <c r="N417" s="9">
        <v>0</v>
      </c>
      <c r="O417" s="9">
        <v>0</v>
      </c>
    </row>
    <row r="418" spans="1:15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>IF(K418&lt;-5,"CRÍTICO",IF(K418&lt;0,"ATENÇÃO",IF(K418&lt;=5,"BOM","EXCELENTE")))</f>
        <v>EXCELENTE</v>
      </c>
      <c r="M418">
        <v>23</v>
      </c>
      <c r="N418">
        <v>97.01</v>
      </c>
      <c r="O418">
        <v>13.961038961038961</v>
      </c>
    </row>
    <row r="419" spans="1:15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>IF(K419&lt;-5,"CRÍTICO",IF(K419&lt;0,"ATENÇÃO",IF(K419&lt;=5,"BOM","EXCELENTE")))</f>
        <v>ATENÇÃO</v>
      </c>
      <c r="M419">
        <v>11</v>
      </c>
      <c r="N419">
        <v>100</v>
      </c>
      <c r="O419">
        <v>16.959064327485379</v>
      </c>
    </row>
    <row r="420" spans="1:15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>IF(K420&lt;-5,"CRÍTICO",IF(K420&lt;0,"ATENÇÃO",IF(K420&lt;=5,"BOM","EXCELENTE")))</f>
        <v>CRÍTICO</v>
      </c>
      <c r="M420">
        <v>19</v>
      </c>
      <c r="N420">
        <v>100</v>
      </c>
      <c r="O420">
        <v>15.584415584415581</v>
      </c>
    </row>
    <row r="421" spans="1:15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>IF(K421&lt;-5,"CRÍTICO",IF(K421&lt;0,"ATENÇÃO",IF(K421&lt;=5,"BOM","EXCELENTE")))</f>
        <v>EXCELENTE</v>
      </c>
      <c r="M421">
        <v>13</v>
      </c>
      <c r="N421">
        <v>98.61</v>
      </c>
      <c r="O421">
        <v>16.867469879518069</v>
      </c>
    </row>
    <row r="422" spans="1:15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>IF(K422&lt;-5,"CRÍTICO",IF(K422&lt;0,"ATENÇÃO",IF(K422&lt;=5,"BOM","EXCELENTE")))</f>
        <v>BOM</v>
      </c>
      <c r="M422">
        <v>24</v>
      </c>
      <c r="N422">
        <v>100</v>
      </c>
      <c r="O422">
        <v>20.820189274447952</v>
      </c>
    </row>
    <row r="423" spans="1:15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IF(K423&lt;-5,"CRÍTICO",IF(K423&lt;0,"ATENÇÃO",IF(K423&lt;=5,"BOM","EXCELENTE")))</f>
        <v>BOM</v>
      </c>
      <c r="M423" s="9">
        <v>0</v>
      </c>
      <c r="N423" s="9">
        <v>100</v>
      </c>
      <c r="O423" s="9">
        <v>4.3478260869565224</v>
      </c>
    </row>
    <row r="424" spans="1:15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>E424+G424+H424</f>
        <v>23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>I424-J424</f>
        <v>4</v>
      </c>
      <c r="L424" s="3" t="str">
        <f>IF(K424&lt;-5,"CRÍTICO",IF(K424&lt;0,"ATENÇÃO",IF(K424&lt;=5,"BOM","EXCELENTE")))</f>
        <v>BOM</v>
      </c>
      <c r="M424">
        <v>24</v>
      </c>
      <c r="N424">
        <v>93.26</v>
      </c>
      <c r="O424">
        <v>19.93957703927493</v>
      </c>
    </row>
    <row r="425" spans="1:15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>E425+G425+H425</f>
        <v>31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29</v>
      </c>
      <c r="K425" s="3">
        <f>I425-J425</f>
        <v>2</v>
      </c>
      <c r="L425" s="3" t="str">
        <f>IF(K425&lt;-5,"CRÍTICO",IF(K425&lt;0,"ATENÇÃO",IF(K425&lt;=5,"BOM","EXCELENTE")))</f>
        <v>BOM</v>
      </c>
      <c r="M425">
        <v>19</v>
      </c>
      <c r="N425">
        <v>98.28</v>
      </c>
      <c r="O425">
        <v>9.037900874635568</v>
      </c>
    </row>
    <row r="426" spans="1:15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>E426+G426+H426</f>
        <v>26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29</v>
      </c>
      <c r="K426" s="3">
        <f>I426-J426</f>
        <v>-3</v>
      </c>
      <c r="L426" s="3" t="str">
        <f>IF(K426&lt;-5,"CRÍTICO",IF(K426&lt;0,"ATENÇÃO",IF(K426&lt;=5,"BOM","EXCELENTE")))</f>
        <v>ATENÇÃO</v>
      </c>
      <c r="M426">
        <v>22</v>
      </c>
      <c r="N426">
        <v>97.22</v>
      </c>
      <c r="O426">
        <v>19.095477386934672</v>
      </c>
    </row>
    <row r="427" spans="1:15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>E427+G427+H427</f>
        <v>40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8</v>
      </c>
      <c r="K427" s="3">
        <f>I427-J427</f>
        <v>32</v>
      </c>
      <c r="L427" s="3" t="str">
        <f>IF(K427&lt;-5,"CRÍTICO",IF(K427&lt;0,"ATENÇÃO",IF(K427&lt;=5,"BOM","EXCELENTE")))</f>
        <v>EXCELENTE</v>
      </c>
      <c r="M427">
        <v>34</v>
      </c>
      <c r="N427">
        <v>99.11</v>
      </c>
      <c r="O427">
        <v>17.721518987341771</v>
      </c>
    </row>
    <row r="428" spans="1:15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>E428+G428+H428</f>
        <v>10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8</v>
      </c>
      <c r="K428" s="3">
        <f>I428-J428</f>
        <v>2</v>
      </c>
      <c r="L428" s="3" t="str">
        <f>IF(K428&lt;-5,"CRÍTICO",IF(K428&lt;0,"ATENÇÃO",IF(K428&lt;=5,"BOM","EXCELENTE")))</f>
        <v>BOM</v>
      </c>
      <c r="M428">
        <v>8</v>
      </c>
      <c r="N428">
        <v>96.43</v>
      </c>
      <c r="O428">
        <v>20</v>
      </c>
    </row>
    <row r="429" spans="1:15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>E429+G429+H429</f>
        <v>24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8</v>
      </c>
      <c r="K429" s="3">
        <f>I429-J429</f>
        <v>16</v>
      </c>
      <c r="L429" s="3" t="str">
        <f>IF(K429&lt;-5,"CRÍTICO",IF(K429&lt;0,"ATENÇÃO",IF(K429&lt;=5,"BOM","EXCELENTE")))</f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11">
        <v>46041</v>
      </c>
      <c r="B430" t="s">
        <v>36</v>
      </c>
      <c r="C430" t="s">
        <v>20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12</v>
      </c>
      <c r="K430" s="3">
        <f>I430-J430</f>
        <v>1</v>
      </c>
      <c r="L430" s="3" t="str">
        <f>IF(K430&lt;-5,"CRÍTICO",IF(K430&lt;0,"ATENÇÃO",IF(K430&lt;=5,"BOM","EXCELENTE")))</f>
        <v>BOM</v>
      </c>
      <c r="N430">
        <v>98.91</v>
      </c>
      <c r="O430">
        <v>31.367292225201069</v>
      </c>
    </row>
    <row r="431" spans="1:15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>E431+G431+H431</f>
        <v>32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8</v>
      </c>
      <c r="K431" s="3">
        <f>I431-J431</f>
        <v>24</v>
      </c>
      <c r="L431" s="3" t="str">
        <f>IF(K431&lt;-5,"CRÍTICO",IF(K431&lt;0,"ATENÇÃO",IF(K431&lt;=5,"BOM","EXCELENTE")))</f>
        <v>EXCELENTE</v>
      </c>
      <c r="M431">
        <v>1</v>
      </c>
      <c r="N431">
        <v>100</v>
      </c>
      <c r="O431">
        <v>11.864406779661021</v>
      </c>
    </row>
    <row r="432" spans="1:15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>E432+G432+H432</f>
        <v>8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8</v>
      </c>
      <c r="K432" s="3">
        <f>I432-J432</f>
        <v>0</v>
      </c>
      <c r="L432" s="3" t="str">
        <f>IF(K432&lt;-5,"CRÍTICO",IF(K432&lt;0,"ATENÇÃO",IF(K432&lt;=5,"BOM","EXCELENTE")))</f>
        <v>BOM</v>
      </c>
      <c r="M432">
        <v>7</v>
      </c>
      <c r="N432">
        <v>100</v>
      </c>
      <c r="O432">
        <v>16.814159292035399</v>
      </c>
    </row>
    <row r="433" spans="1:15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>E433+G433+H433</f>
        <v>15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8</v>
      </c>
      <c r="K433" s="3">
        <f>I433-J433</f>
        <v>7</v>
      </c>
      <c r="L433" s="3" t="str">
        <f>IF(K433&lt;-5,"CRÍTICO",IF(K433&lt;0,"ATENÇÃO",IF(K433&lt;=5,"BOM","EXCELENTE")))</f>
        <v>EXCELENTE</v>
      </c>
      <c r="M433">
        <v>14</v>
      </c>
      <c r="N433">
        <v>98.11</v>
      </c>
      <c r="O433">
        <v>20.408163265306118</v>
      </c>
    </row>
    <row r="434" spans="1:15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>E434+G434+H434</f>
        <v>23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17</v>
      </c>
      <c r="K434" s="3">
        <f>I434-J434</f>
        <v>6</v>
      </c>
      <c r="L434" s="3" t="str">
        <f>IF(K434&lt;-5,"CRÍTICO",IF(K434&lt;0,"ATENÇÃO",IF(K434&lt;=5,"BOM","EXCELENTE")))</f>
        <v>EXCELENTE</v>
      </c>
      <c r="M434">
        <v>19</v>
      </c>
      <c r="N434">
        <v>98</v>
      </c>
      <c r="O434">
        <v>16.43835616438356</v>
      </c>
    </row>
    <row r="435" spans="1:15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>E435+G435+H435</f>
        <v>13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-10</v>
      </c>
      <c r="L435" s="3" t="str">
        <f>IF(K435&lt;-5,"CRÍTICO",IF(K435&lt;0,"ATENÇÃO",IF(K435&lt;=5,"BOM","EXCELENTE")))</f>
        <v>CRÍTICO</v>
      </c>
      <c r="M435">
        <v>12</v>
      </c>
      <c r="N435">
        <v>100</v>
      </c>
      <c r="O435">
        <v>16.894977168949769</v>
      </c>
    </row>
    <row r="436" spans="1:15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>E436+G436+H436</f>
        <v>13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17</v>
      </c>
      <c r="K436" s="3">
        <f>I436-J436</f>
        <v>-4</v>
      </c>
      <c r="L436" s="3" t="str">
        <f>IF(K436&lt;-5,"CRÍTICO",IF(K436&lt;0,"ATENÇÃO",IF(K436&lt;=5,"BOM","EXCELENTE")))</f>
        <v>ATENÇÃO</v>
      </c>
      <c r="M436">
        <v>14</v>
      </c>
      <c r="N436">
        <v>100</v>
      </c>
      <c r="O436">
        <v>19.138755980861241</v>
      </c>
    </row>
    <row r="437" spans="1:15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>E437+G437+H437</f>
        <v>14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17</v>
      </c>
      <c r="K437" s="3">
        <f>I437-J437</f>
        <v>-3</v>
      </c>
      <c r="L437" s="3" t="str">
        <f>IF(K437&lt;-5,"CRÍTICO",IF(K437&lt;0,"ATENÇÃO",IF(K437&lt;=5,"BOM","EXCELENTE")))</f>
        <v>ATENÇÃO</v>
      </c>
      <c r="M437">
        <v>15</v>
      </c>
      <c r="N437">
        <v>100</v>
      </c>
      <c r="O437">
        <v>15.02145922746781</v>
      </c>
    </row>
    <row r="438" spans="1:15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>E438+G438+H438</f>
        <v>30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19</v>
      </c>
      <c r="K438" s="3">
        <f>I438-J438</f>
        <v>11</v>
      </c>
      <c r="L438" s="3" t="str">
        <f>IF(K438&lt;-5,"CRÍTICO",IF(K438&lt;0,"ATENÇÃO",IF(K438&lt;=5,"BOM","EXCELENTE")))</f>
        <v>EXCELENTE</v>
      </c>
      <c r="M438">
        <v>23</v>
      </c>
      <c r="N438">
        <v>97.56</v>
      </c>
      <c r="O438">
        <v>19.28783382789317</v>
      </c>
    </row>
    <row r="439" spans="1:15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>E439+G439+H439</f>
        <v>31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29</v>
      </c>
      <c r="K439" s="3">
        <f>I439-J439</f>
        <v>2</v>
      </c>
      <c r="L439" s="3" t="str">
        <f>IF(K439&lt;-5,"CRÍTICO",IF(K439&lt;0,"ATENÇÃO",IF(K439&lt;=5,"BOM","EXCELENTE")))</f>
        <v>BOM</v>
      </c>
      <c r="M439">
        <v>29</v>
      </c>
      <c r="N439">
        <v>99.29</v>
      </c>
      <c r="O439">
        <v>22.49443207126949</v>
      </c>
    </row>
    <row r="440" spans="1:15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>E440+G440+H440</f>
        <v>20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19</v>
      </c>
      <c r="K440" s="3">
        <f>I440-J440</f>
        <v>1</v>
      </c>
      <c r="L440" s="3" t="str">
        <f>IF(K440&lt;-5,"CRÍTICO",IF(K440&lt;0,"ATENÇÃO",IF(K440&lt;=5,"BOM","EXCELENTE")))</f>
        <v>BOM</v>
      </c>
      <c r="M440">
        <v>14</v>
      </c>
      <c r="N440">
        <v>100</v>
      </c>
      <c r="O440">
        <v>16.97247706422019</v>
      </c>
    </row>
    <row r="441" spans="1:15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>E441+G441+H441</f>
        <v>21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29</v>
      </c>
      <c r="K441" s="3">
        <f>I441-J441</f>
        <v>-8</v>
      </c>
      <c r="L441" s="3" t="str">
        <f>IF(K441&lt;-5,"CRÍTICO",IF(K441&lt;0,"ATENÇÃO",IF(K441&lt;=5,"BOM","EXCELENTE")))</f>
        <v>CRÍTICO</v>
      </c>
      <c r="M441">
        <v>17</v>
      </c>
      <c r="N441">
        <v>97.33</v>
      </c>
      <c r="O441">
        <v>15.805471124620061</v>
      </c>
    </row>
    <row r="442" spans="1:15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>E442+G442+H442</f>
        <v>31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22</v>
      </c>
      <c r="K442" s="3">
        <f>I442-J442</f>
        <v>9</v>
      </c>
      <c r="L442" s="3" t="str">
        <f>IF(K442&lt;-5,"CRÍTICO",IF(K442&lt;0,"ATENÇÃO",IF(K442&lt;=5,"BOM","EXCELENTE")))</f>
        <v>EXCELENTE</v>
      </c>
      <c r="M442" s="3">
        <v>19</v>
      </c>
      <c r="N442" s="3">
        <v>98.94</v>
      </c>
      <c r="O442" s="3">
        <v>19.614147909967851</v>
      </c>
    </row>
    <row r="443" spans="1:15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>IF(K443&lt;-5,"CRÍTICO",IF(K443&lt;0,"ATENÇÃO",IF(K443&lt;=5,"BOM","EXCELENTE")))</f>
        <v>BOM</v>
      </c>
      <c r="M443" s="9">
        <v>0</v>
      </c>
      <c r="N443" s="9">
        <v>100</v>
      </c>
      <c r="O443" s="9">
        <v>0</v>
      </c>
    </row>
    <row r="444" spans="1:15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>IF(K444&lt;-5,"CRÍTICO",IF(K444&lt;0,"ATENÇÃO",IF(K444&lt;=5,"BOM","EXCELENTE")))</f>
        <v>BOM</v>
      </c>
      <c r="M444" s="3">
        <v>18</v>
      </c>
      <c r="N444" s="3">
        <v>95.38</v>
      </c>
      <c r="O444" s="3">
        <v>21.5962441314554</v>
      </c>
    </row>
    <row r="445" spans="1:15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>IF(K445&lt;-5,"CRÍTICO",IF(K445&lt;0,"ATENÇÃO",IF(K445&lt;=5,"BOM","EXCELENTE")))</f>
        <v>BOM</v>
      </c>
      <c r="M445" s="9">
        <v>0</v>
      </c>
      <c r="N445" s="9">
        <v>96.34</v>
      </c>
      <c r="O445" s="9">
        <v>17.571884984025559</v>
      </c>
    </row>
    <row r="446" spans="1:15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>IF(K446&lt;-5,"CRÍTICO",IF(K446&lt;0,"ATENÇÃO",IF(K446&lt;=5,"BOM","EXCELENTE")))</f>
        <v>EXCELENTE</v>
      </c>
      <c r="M446">
        <v>28</v>
      </c>
      <c r="N446">
        <v>99.11</v>
      </c>
      <c r="O446">
        <v>17.721518987341771</v>
      </c>
    </row>
    <row r="447" spans="1:15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>IF(K447&lt;-5,"CRÍTICO",IF(K447&lt;0,"ATENÇÃO",IF(K447&lt;=5,"BOM","EXCELENTE")))</f>
        <v>EXCELENTE</v>
      </c>
      <c r="M447">
        <v>42</v>
      </c>
      <c r="N447">
        <v>99.13</v>
      </c>
      <c r="O447">
        <v>14.7239263803681</v>
      </c>
    </row>
    <row r="448" spans="1:15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>IF(K448&lt;-5,"CRÍTICO",IF(K448&lt;0,"ATENÇÃO",IF(K448&lt;=5,"BOM","EXCELENTE")))</f>
        <v>BOM</v>
      </c>
      <c r="M448">
        <v>26</v>
      </c>
      <c r="N448">
        <v>98.8</v>
      </c>
      <c r="O448">
        <v>16.897506925207761</v>
      </c>
    </row>
    <row r="449" spans="1:15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>IF(K449&lt;-5,"CRÍTICO",IF(K449&lt;0,"ATENÇÃO",IF(K449&lt;=5,"BOM","EXCELENTE")))</f>
        <v>EXCELENTE</v>
      </c>
      <c r="M449">
        <v>22</v>
      </c>
      <c r="N449">
        <v>96.88</v>
      </c>
      <c r="O449">
        <v>19.526627218934909</v>
      </c>
    </row>
    <row r="450" spans="1:15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>IF(K451&lt;-5,"CRÍTICO",IF(K451&lt;0,"ATENÇÃO",IF(K451&lt;=5,"BOM","EXCELENTE")))</f>
        <v>BOM</v>
      </c>
      <c r="M451" s="9">
        <v>0</v>
      </c>
      <c r="N451" s="9">
        <v>98.63</v>
      </c>
      <c r="O451" s="9">
        <v>18.75</v>
      </c>
    </row>
    <row r="452" spans="1:15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>IF(K452&lt;-5,"CRÍTICO",IF(K452&lt;0,"ATENÇÃO",IF(K452&lt;=5,"BOM","EXCELENTE")))</f>
        <v>BOM</v>
      </c>
      <c r="M452">
        <v>18</v>
      </c>
      <c r="N452">
        <v>100</v>
      </c>
      <c r="O452">
        <v>18.14516129032258</v>
      </c>
    </row>
    <row r="453" spans="1:15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IF(K453&lt;-5,"CRÍTICO",IF(K453&lt;0,"ATENÇÃO",IF(K453&lt;=5,"BOM","EXCELENTE")))</f>
        <v>BOM</v>
      </c>
      <c r="M453" s="9">
        <v>0</v>
      </c>
      <c r="N453" s="9">
        <v>99.06</v>
      </c>
      <c r="O453" s="9">
        <v>22.95719844357977</v>
      </c>
    </row>
    <row r="454" spans="1:15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>IF(K454&lt;-5,"CRÍTICO",IF(K454&lt;0,"ATENÇÃO",IF(K454&lt;=5,"BOM","EXCELENTE")))</f>
        <v>EXCELENTE</v>
      </c>
      <c r="M454">
        <v>25</v>
      </c>
      <c r="N454">
        <v>100</v>
      </c>
      <c r="O454">
        <v>13.8121546961326</v>
      </c>
    </row>
    <row r="455" spans="1:15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>IF(K455&lt;-5,"CRÍTICO",IF(K455&lt;0,"ATENÇÃO",IF(K455&lt;=5,"BOM","EXCELENTE")))</f>
        <v>BOM</v>
      </c>
      <c r="M455" s="9">
        <v>0</v>
      </c>
      <c r="N455" s="9">
        <v>100</v>
      </c>
      <c r="O455" s="9">
        <v>17.241379310344829</v>
      </c>
    </row>
    <row r="456" spans="1:15" hidden="1" x14ac:dyDescent="0.25">
      <c r="A456" s="11">
        <v>46042</v>
      </c>
      <c r="B456" t="s">
        <v>36</v>
      </c>
      <c r="C456" t="s">
        <v>20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12</v>
      </c>
      <c r="K456" s="3">
        <f>I456-J456</f>
        <v>-3</v>
      </c>
      <c r="L456" s="3" t="str">
        <f>IF(K456&lt;-5,"CRÍTICO",IF(K456&lt;0,"ATENÇÃO",IF(K456&lt;=5,"BOM","EXCELENTE")))</f>
        <v>ATENÇÃO</v>
      </c>
      <c r="N456">
        <v>98.91</v>
      </c>
      <c r="O456">
        <v>31.367292225201069</v>
      </c>
    </row>
    <row r="457" spans="1:15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>IF(K457&lt;-5,"CRÍTICO",IF(K457&lt;0,"ATENÇÃO",IF(K457&lt;=5,"BOM","EXCELENTE")))</f>
        <v>BOM</v>
      </c>
      <c r="M457">
        <v>21</v>
      </c>
      <c r="N457">
        <v>98.63</v>
      </c>
      <c r="O457">
        <v>15.75757575757576</v>
      </c>
    </row>
    <row r="458" spans="1:15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>IF(K458&lt;-5,"CRÍTICO",IF(K458&lt;0,"ATENÇÃO",IF(K458&lt;=5,"BOM","EXCELENTE")))</f>
        <v>EXCELENTE</v>
      </c>
      <c r="M458">
        <v>34</v>
      </c>
      <c r="N458">
        <v>98.64</v>
      </c>
      <c r="O458">
        <v>16.638370118845501</v>
      </c>
    </row>
    <row r="459" spans="1:15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>IF(K459&lt;-5,"CRÍTICO",IF(K459&lt;0,"ATENÇÃO",IF(K459&lt;=5,"BOM","EXCELENTE")))</f>
        <v>BOM</v>
      </c>
      <c r="M459">
        <v>23</v>
      </c>
      <c r="N459">
        <v>95.4</v>
      </c>
      <c r="O459">
        <v>20.533333333333331</v>
      </c>
    </row>
    <row r="460" spans="1:15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>IF(K460&lt;-5,"CRÍTICO",IF(K460&lt;0,"ATENÇÃO",IF(K460&lt;=5,"BOM","EXCELENTE")))</f>
        <v>BOM</v>
      </c>
      <c r="M460">
        <v>19</v>
      </c>
      <c r="N460">
        <v>98.61</v>
      </c>
      <c r="O460">
        <v>16.97530864197531</v>
      </c>
    </row>
    <row r="461" spans="1:15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>IF(K461&lt;-5,"CRÍTICO",IF(K461&lt;0,"ATENÇÃO",IF(K461&lt;=5,"BOM","EXCELENTE")))</f>
        <v>BOM</v>
      </c>
      <c r="M461" s="9">
        <v>0</v>
      </c>
      <c r="N461" s="9">
        <v>0</v>
      </c>
      <c r="O461" s="9">
        <v>0</v>
      </c>
    </row>
    <row r="462" spans="1:15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>E462+G462+H462</f>
        <v>19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>I462-J462</f>
        <v>4</v>
      </c>
      <c r="L462" s="3" t="str">
        <f>IF(K462&lt;-5,"CRÍTICO",IF(K462&lt;0,"ATENÇÃO",IF(K462&lt;=5,"BOM","EXCELENTE")))</f>
        <v>BOM</v>
      </c>
      <c r="M462">
        <v>21</v>
      </c>
      <c r="N462">
        <v>97.01</v>
      </c>
      <c r="O462">
        <v>13.961038961038961</v>
      </c>
    </row>
    <row r="463" spans="1:15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27</v>
      </c>
      <c r="K463" s="3">
        <f>I463-J463</f>
        <v>-3</v>
      </c>
      <c r="L463" s="3" t="str">
        <f>IF(K463&lt;-5,"CRÍTICO",IF(K463&lt;0,"ATENÇÃO",IF(K463&lt;=5,"BOM","EXCELENTE")))</f>
        <v>ATENÇÃO</v>
      </c>
      <c r="M463">
        <v>21</v>
      </c>
      <c r="N463">
        <v>95.52</v>
      </c>
      <c r="O463">
        <v>10.561056105610559</v>
      </c>
    </row>
    <row r="464" spans="1:15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>E464+G464+H464</f>
        <v>17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15</v>
      </c>
      <c r="K464" s="3">
        <f>I464-J464</f>
        <v>2</v>
      </c>
      <c r="L464" s="3" t="str">
        <f>IF(K464&lt;-5,"CRÍTICO",IF(K464&lt;0,"ATENÇÃO",IF(K464&lt;=5,"BOM","EXCELENTE")))</f>
        <v>BOM</v>
      </c>
      <c r="M464">
        <v>14</v>
      </c>
      <c r="N464">
        <v>100</v>
      </c>
      <c r="O464">
        <v>16.959064327485379</v>
      </c>
    </row>
    <row r="465" spans="1:15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>E465+G465+H465</f>
        <v>25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27</v>
      </c>
      <c r="K465" s="3">
        <f>I465-J465</f>
        <v>-2</v>
      </c>
      <c r="L465" s="3" t="str">
        <f>IF(K465&lt;-5,"CRÍTICO",IF(K465&lt;0,"ATENÇÃO",IF(K465&lt;=5,"BOM","EXCELENTE")))</f>
        <v>ATENÇÃO</v>
      </c>
      <c r="M465">
        <v>25</v>
      </c>
      <c r="N465">
        <v>100</v>
      </c>
      <c r="O465">
        <v>15.584415584415581</v>
      </c>
    </row>
    <row r="466" spans="1:15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>E466+G466+H466</f>
        <v>25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22</v>
      </c>
      <c r="K466" s="3">
        <f>I466-J466</f>
        <v>3</v>
      </c>
      <c r="L466" s="3" t="str">
        <f>IF(K466&lt;-5,"CRÍTICO",IF(K466&lt;0,"ATENÇÃO",IF(K466&lt;=5,"BOM","EXCELENTE")))</f>
        <v>BOM</v>
      </c>
      <c r="M466">
        <v>20</v>
      </c>
      <c r="N466">
        <v>98.61</v>
      </c>
      <c r="O466">
        <v>16.867469879518069</v>
      </c>
    </row>
    <row r="467" spans="1:15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>E467+G467+H467</f>
        <v>26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22</v>
      </c>
      <c r="K467" s="3">
        <f>I467-J467</f>
        <v>4</v>
      </c>
      <c r="L467" s="3" t="str">
        <f>IF(K467&lt;-5,"CRÍTICO",IF(K467&lt;0,"ATENÇÃO",IF(K467&lt;=5,"BOM","EXCELENTE")))</f>
        <v>BOM</v>
      </c>
      <c r="M467">
        <v>23</v>
      </c>
      <c r="N467">
        <v>100</v>
      </c>
      <c r="O467">
        <v>20.820189274447952</v>
      </c>
    </row>
    <row r="468" spans="1:15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IF(K468&lt;-5,"CRÍTICO",IF(K468&lt;0,"ATENÇÃO",IF(K468&lt;=5,"BOM","EXCELENTE")))</f>
        <v>BOM</v>
      </c>
      <c r="M468" s="9">
        <v>0</v>
      </c>
      <c r="N468" s="9">
        <v>100</v>
      </c>
      <c r="O468" s="9">
        <v>4.3478260869565224</v>
      </c>
    </row>
    <row r="469" spans="1:15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>E469+G469+H469</f>
        <v>22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>I469-J469</f>
        <v>4</v>
      </c>
      <c r="L469" s="3" t="str">
        <f>IF(K469&lt;-5,"CRÍTICO",IF(K469&lt;0,"ATENÇÃO",IF(K469&lt;=5,"BOM","EXCELENTE")))</f>
        <v>BOM</v>
      </c>
      <c r="M469">
        <v>20</v>
      </c>
      <c r="N469">
        <v>93.26</v>
      </c>
      <c r="O469">
        <v>19.93957703927493</v>
      </c>
    </row>
    <row r="470" spans="1:15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>E470+G470+H470</f>
        <v>32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27</v>
      </c>
      <c r="K470" s="3">
        <f>I470-J470</f>
        <v>5</v>
      </c>
      <c r="L470" s="3" t="str">
        <f>IF(K470&lt;-5,"CRÍTICO",IF(K470&lt;0,"ATENÇÃO",IF(K470&lt;=5,"BOM","EXCELENTE")))</f>
        <v>BOM</v>
      </c>
      <c r="M470">
        <v>16</v>
      </c>
      <c r="N470">
        <v>98.28</v>
      </c>
      <c r="O470">
        <v>9.037900874635568</v>
      </c>
    </row>
    <row r="471" spans="1:15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>E471+G471+H471</f>
        <v>29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27</v>
      </c>
      <c r="K471" s="3">
        <f>I471-J471</f>
        <v>2</v>
      </c>
      <c r="L471" s="3" t="str">
        <f>IF(K471&lt;-5,"CRÍTICO",IF(K471&lt;0,"ATENÇÃO",IF(K471&lt;=5,"BOM","EXCELENTE")))</f>
        <v>BOM</v>
      </c>
      <c r="M471">
        <v>27</v>
      </c>
      <c r="N471">
        <v>97.22</v>
      </c>
      <c r="O471">
        <v>19.095477386934672</v>
      </c>
    </row>
    <row r="472" spans="1:15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>E472+G472+H472</f>
        <v>10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15</v>
      </c>
      <c r="K472" s="3">
        <f>I472-J472</f>
        <v>-5</v>
      </c>
      <c r="L472" s="3" t="str">
        <f>IF(K472&lt;-5,"CRÍTICO",IF(K472&lt;0,"ATENÇÃO",IF(K472&lt;=5,"BOM","EXCELENTE")))</f>
        <v>ATENÇÃO</v>
      </c>
      <c r="M472">
        <v>6</v>
      </c>
      <c r="N472">
        <v>98</v>
      </c>
      <c r="O472">
        <v>16.43835616438356</v>
      </c>
    </row>
    <row r="473" spans="1:15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>E473+G473+H473</f>
        <v>15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-7</v>
      </c>
      <c r="L473" s="3" t="str">
        <f>IF(K473&lt;-5,"CRÍTICO",IF(K473&lt;0,"ATENÇÃO",IF(K473&lt;=5,"BOM","EXCELENTE")))</f>
        <v>CRÍTICO</v>
      </c>
      <c r="M473">
        <v>13</v>
      </c>
      <c r="N473">
        <v>100</v>
      </c>
      <c r="O473">
        <v>16.894977168949769</v>
      </c>
    </row>
    <row r="474" spans="1:15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>E474+G474+H474</f>
        <v>10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15</v>
      </c>
      <c r="K474" s="3">
        <f>I474-J474</f>
        <v>-5</v>
      </c>
      <c r="L474" s="3" t="str">
        <f>IF(K474&lt;-5,"CRÍTICO",IF(K474&lt;0,"ATENÇÃO",IF(K474&lt;=5,"BOM","EXCELENTE")))</f>
        <v>ATENÇÃO</v>
      </c>
      <c r="M474">
        <v>11</v>
      </c>
      <c r="N474">
        <v>100</v>
      </c>
      <c r="O474">
        <v>19.138755980861241</v>
      </c>
    </row>
    <row r="475" spans="1:15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>E475+G475+H475</f>
        <v>15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15</v>
      </c>
      <c r="K475" s="3">
        <f>I475-J475</f>
        <v>0</v>
      </c>
      <c r="L475" s="3" t="str">
        <f>IF(K475&lt;-5,"CRÍTICO",IF(K475&lt;0,"ATENÇÃO",IF(K475&lt;=5,"BOM","EXCELENTE")))</f>
        <v>BOM</v>
      </c>
      <c r="M475">
        <v>14</v>
      </c>
      <c r="N475">
        <v>100</v>
      </c>
      <c r="O475">
        <v>15.02145922746781</v>
      </c>
    </row>
    <row r="476" spans="1:15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>E476+G476+H476</f>
        <v>6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8</v>
      </c>
      <c r="K476" s="3">
        <f>I476-J476</f>
        <v>-2</v>
      </c>
      <c r="L476" s="3" t="str">
        <f>IF(K476&lt;-5,"CRÍTICO",IF(K476&lt;0,"ATENÇÃO",IF(K476&lt;=5,"BOM","EXCELENTE")))</f>
        <v>ATENÇÃO</v>
      </c>
      <c r="M476">
        <v>6</v>
      </c>
      <c r="N476">
        <v>96.43</v>
      </c>
      <c r="O476">
        <v>20</v>
      </c>
    </row>
    <row r="477" spans="1:15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>E477+G477+H477</f>
        <v>13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8</v>
      </c>
      <c r="K477" s="3">
        <f>I477-J477</f>
        <v>5</v>
      </c>
      <c r="L477" s="3" t="str">
        <f>IF(K477&lt;-5,"CRÍTICO",IF(K477&lt;0,"ATENÇÃO",IF(K477&lt;=5,"BOM","EXCELENTE")))</f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11">
        <v>46043</v>
      </c>
      <c r="B478" t="s">
        <v>36</v>
      </c>
      <c r="C478" t="s">
        <v>20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12</v>
      </c>
      <c r="K478" s="3">
        <f>I478-J478</f>
        <v>5</v>
      </c>
      <c r="L478" s="3" t="str">
        <f>IF(K478&lt;-5,"CRÍTICO",IF(K478&lt;0,"ATENÇÃO",IF(K478&lt;=5,"BOM","EXCELENTE")))</f>
        <v>BOM</v>
      </c>
      <c r="N478">
        <v>98.91</v>
      </c>
      <c r="O478">
        <v>31.367292225201069</v>
      </c>
    </row>
    <row r="479" spans="1:15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>E479+G479+H479</f>
        <v>45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8</v>
      </c>
      <c r="K479" s="3">
        <f>I479-J479</f>
        <v>37</v>
      </c>
      <c r="L479" s="3" t="str">
        <f>IF(K479&lt;-5,"CRÍTICO",IF(K479&lt;0,"ATENÇÃO",IF(K479&lt;=5,"BOM","EXCELENTE")))</f>
        <v>EXCELENTE</v>
      </c>
      <c r="M479">
        <v>11</v>
      </c>
      <c r="N479">
        <v>100</v>
      </c>
      <c r="O479">
        <v>11.864406779661021</v>
      </c>
    </row>
    <row r="480" spans="1:15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>E480+G480+H480</f>
        <v>7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8</v>
      </c>
      <c r="K480" s="3">
        <f>I480-J480</f>
        <v>-1</v>
      </c>
      <c r="L480" s="3" t="str">
        <f>IF(K480&lt;-5,"CRÍTICO",IF(K480&lt;0,"ATENÇÃO",IF(K480&lt;=5,"BOM","EXCELENTE")))</f>
        <v>ATENÇÃO</v>
      </c>
      <c r="M480">
        <v>6</v>
      </c>
      <c r="N480">
        <v>100</v>
      </c>
      <c r="O480">
        <v>16.814159292035399</v>
      </c>
    </row>
    <row r="481" spans="1:15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>E481+G481+H481</f>
        <v>13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8</v>
      </c>
      <c r="K481" s="3">
        <f>I481-J481</f>
        <v>5</v>
      </c>
      <c r="L481" s="3" t="str">
        <f>IF(K481&lt;-5,"CRÍTICO",IF(K481&lt;0,"ATENÇÃO",IF(K481&lt;=5,"BOM","EXCELENTE")))</f>
        <v>BOM</v>
      </c>
      <c r="M481">
        <v>9</v>
      </c>
      <c r="N481">
        <v>98.11</v>
      </c>
      <c r="O481">
        <v>20.408163265306118</v>
      </c>
    </row>
    <row r="482" spans="1:15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>E482+G482+H482</f>
        <v>26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18</v>
      </c>
      <c r="K482" s="3">
        <f>I482-J482</f>
        <v>8</v>
      </c>
      <c r="L482" s="3" t="str">
        <f>IF(K482&lt;-5,"CRÍTICO",IF(K482&lt;0,"ATENÇÃO",IF(K482&lt;=5,"BOM","EXCELENTE")))</f>
        <v>EXCELENTE</v>
      </c>
      <c r="M482">
        <v>20</v>
      </c>
      <c r="N482">
        <v>97.56</v>
      </c>
      <c r="O482">
        <v>19.28783382789317</v>
      </c>
    </row>
    <row r="483" spans="1:15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>E483+G483+H483</f>
        <v>31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27</v>
      </c>
      <c r="K483" s="3">
        <f>I483-J483</f>
        <v>4</v>
      </c>
      <c r="L483" s="3" t="str">
        <f>IF(K483&lt;-5,"CRÍTICO",IF(K483&lt;0,"ATENÇÃO",IF(K483&lt;=5,"BOM","EXCELENTE")))</f>
        <v>BOM</v>
      </c>
      <c r="M483">
        <v>26</v>
      </c>
      <c r="N483">
        <v>99.29</v>
      </c>
      <c r="O483">
        <v>22.49443207126949</v>
      </c>
    </row>
    <row r="484" spans="1:15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>E484+G484+H484</f>
        <v>22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18</v>
      </c>
      <c r="K484" s="3">
        <f>I484-J484</f>
        <v>4</v>
      </c>
      <c r="L484" s="3" t="str">
        <f>IF(K484&lt;-5,"CRÍTICO",IF(K484&lt;0,"ATENÇÃO",IF(K484&lt;=5,"BOM","EXCELENTE")))</f>
        <v>BOM</v>
      </c>
      <c r="M484">
        <v>18</v>
      </c>
      <c r="N484">
        <v>100</v>
      </c>
      <c r="O484">
        <v>16.97247706422019</v>
      </c>
    </row>
    <row r="485" spans="1:15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>E485+G485+H485</f>
        <v>26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27</v>
      </c>
      <c r="K485" s="3">
        <f>I485-J485</f>
        <v>-1</v>
      </c>
      <c r="L485" s="3" t="str">
        <f>IF(K485&lt;-5,"CRÍTICO",IF(K485&lt;0,"ATENÇÃO",IF(K485&lt;=5,"BOM","EXCELENTE")))</f>
        <v>ATENÇÃO</v>
      </c>
      <c r="M485">
        <v>21</v>
      </c>
      <c r="N485">
        <v>97.33</v>
      </c>
      <c r="O485">
        <v>15.805471124620061</v>
      </c>
    </row>
    <row r="486" spans="1:15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>E486+G486+H486</f>
        <v>34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23</v>
      </c>
      <c r="K486" s="3">
        <f>I486-J486</f>
        <v>11</v>
      </c>
      <c r="L486" s="3" t="str">
        <f>IF(K486&lt;-5,"CRÍTICO",IF(K486&lt;0,"ATENÇÃO",IF(K486&lt;=5,"BOM","EXCELENTE")))</f>
        <v>EXCELENTE</v>
      </c>
      <c r="M486" s="3">
        <v>17</v>
      </c>
      <c r="N486" s="3">
        <v>98.94</v>
      </c>
      <c r="O486" s="3">
        <v>19.614147909967851</v>
      </c>
    </row>
    <row r="487" spans="1:15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IF(K487&lt;-5,"CRÍTICO",IF(K487&lt;0,"ATENÇÃO",IF(K487&lt;=5,"BOM","EXCELENTE")))</f>
        <v>BOM</v>
      </c>
      <c r="M487" s="9">
        <v>0</v>
      </c>
      <c r="N487" s="9">
        <v>100</v>
      </c>
      <c r="O487" s="9">
        <v>0</v>
      </c>
    </row>
    <row r="488" spans="1:15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>E488+G488+H488</f>
        <v>30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>I488-J488</f>
        <v>11</v>
      </c>
      <c r="L488" s="3" t="str">
        <f>IF(K488&lt;-5,"CRÍTICO",IF(K488&lt;0,"ATENÇÃO",IF(K488&lt;=5,"BOM","EXCELENTE")))</f>
        <v>EXCELENTE</v>
      </c>
      <c r="M488" s="3">
        <v>29</v>
      </c>
      <c r="N488" s="3">
        <v>95.38</v>
      </c>
      <c r="O488" s="3">
        <v>21.5962441314554</v>
      </c>
    </row>
    <row r="489" spans="1:15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>E489+G489+H489</f>
        <v>20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-9</v>
      </c>
      <c r="L489" s="3" t="str">
        <f>IF(K489&lt;-5,"CRÍTICO",IF(K489&lt;0,"ATENÇÃO",IF(K489&lt;=5,"BOM","EXCELENTE")))</f>
        <v>CRÍTICO</v>
      </c>
      <c r="M489" s="3">
        <v>16</v>
      </c>
      <c r="N489" s="3">
        <v>96.34</v>
      </c>
      <c r="O489" s="3">
        <v>17.571884984025559</v>
      </c>
    </row>
    <row r="490" spans="1:15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>E490+G490+H490</f>
        <v>29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17</v>
      </c>
      <c r="K490" s="3">
        <f>I490-J490</f>
        <v>12</v>
      </c>
      <c r="L490" s="3" t="str">
        <f>IF(K490&lt;-5,"CRÍTICO",IF(K490&lt;0,"ATENÇÃO",IF(K490&lt;=5,"BOM","EXCELENTE")))</f>
        <v>EXCELENTE</v>
      </c>
      <c r="M490">
        <v>28</v>
      </c>
      <c r="N490">
        <v>99.11</v>
      </c>
      <c r="O490">
        <v>17.721518987341771</v>
      </c>
    </row>
    <row r="491" spans="1:15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IF(K491&lt;-5,"CRÍTICO",IF(K491&lt;0,"ATENÇÃO",IF(K491&lt;=5,"BOM","EXCELENTE")))</f>
        <v>EXCELENTE</v>
      </c>
      <c r="M491">
        <v>33</v>
      </c>
      <c r="N491">
        <v>99.13</v>
      </c>
      <c r="O491">
        <v>14.7239263803681</v>
      </c>
    </row>
    <row r="492" spans="1:15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>E492+G492+H492</f>
        <v>34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11</v>
      </c>
      <c r="L492" s="3" t="str">
        <f>IF(K492&lt;-5,"CRÍTICO",IF(K492&lt;0,"ATENÇÃO",IF(K492&lt;=5,"BOM","EXCELENTE")))</f>
        <v>EXCELENTE</v>
      </c>
      <c r="M492">
        <v>29</v>
      </c>
      <c r="N492">
        <v>98.8</v>
      </c>
      <c r="O492">
        <v>16.897506925207761</v>
      </c>
    </row>
    <row r="493" spans="1:15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>E493+G493+H493</f>
        <v>9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8</v>
      </c>
      <c r="K493" s="3">
        <f>I493-J493</f>
        <v>1</v>
      </c>
      <c r="L493" s="3" t="str">
        <f>IF(K493&lt;-5,"CRÍTICO",IF(K493&lt;0,"ATENÇÃO",IF(K493&lt;=5,"BOM","EXCELENTE")))</f>
        <v>BOM</v>
      </c>
      <c r="M493">
        <v>7</v>
      </c>
      <c r="N493">
        <v>96.43</v>
      </c>
      <c r="O493">
        <v>20</v>
      </c>
    </row>
    <row r="494" spans="1:15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>E494+G494+H494</f>
        <v>26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19</v>
      </c>
      <c r="K494" s="3">
        <f>I494-J494</f>
        <v>7</v>
      </c>
      <c r="L494" s="3" t="str">
        <f>IF(K494&lt;-5,"CRÍTICO",IF(K494&lt;0,"ATENÇÃO",IF(K494&lt;=5,"BOM","EXCELENTE")))</f>
        <v>EXCELENTE</v>
      </c>
      <c r="M494">
        <v>19</v>
      </c>
      <c r="N494">
        <v>96.88</v>
      </c>
      <c r="O494">
        <v>19.526627218934909</v>
      </c>
    </row>
    <row r="495" spans="1:15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>E495+G495+H495</f>
        <v>30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29</v>
      </c>
      <c r="K495" s="3">
        <f>I495-J495</f>
        <v>1</v>
      </c>
      <c r="L495" s="3" t="str">
        <f>IF(K495&lt;-5,"CRÍTICO",IF(K495&lt;0,"ATENÇÃO",IF(K495&lt;=5,"BOM","EXCELENTE")))</f>
        <v>BOM</v>
      </c>
      <c r="M495">
        <v>30</v>
      </c>
      <c r="N495">
        <v>91.85</v>
      </c>
      <c r="O495">
        <v>20.87155963302752</v>
      </c>
    </row>
    <row r="496" spans="1:15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>IF(K496&lt;-5,"CRÍTICO",IF(K496&lt;0,"ATENÇÃO",IF(K496&lt;=5,"BOM","EXCELENTE")))</f>
        <v>BOM</v>
      </c>
      <c r="M496" s="9">
        <v>0</v>
      </c>
      <c r="N496" s="9">
        <v>98.63</v>
      </c>
      <c r="O496" s="9">
        <v>18.75</v>
      </c>
    </row>
    <row r="497" spans="1:15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>IF(K497&lt;-5,"CRÍTICO",IF(K497&lt;0,"ATENÇÃO",IF(K497&lt;=5,"BOM","EXCELENTE")))</f>
        <v>BOM</v>
      </c>
      <c r="M497">
        <v>15</v>
      </c>
      <c r="N497">
        <v>100</v>
      </c>
      <c r="O497">
        <v>18.14516129032258</v>
      </c>
    </row>
    <row r="498" spans="1:15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>IF(K498&lt;-5,"CRÍTICO",IF(K498&lt;0,"ATENÇÃO",IF(K498&lt;=5,"BOM","EXCELENTE")))</f>
        <v>BOM</v>
      </c>
      <c r="M498" s="9">
        <v>0</v>
      </c>
      <c r="N498" s="9">
        <v>99.06</v>
      </c>
      <c r="O498" s="9">
        <v>22.95719844357977</v>
      </c>
    </row>
    <row r="499" spans="1:15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>IF(K499&lt;-5,"CRÍTICO",IF(K499&lt;0,"ATENÇÃO",IF(K499&lt;=5,"BOM","EXCELENTE")))</f>
        <v>ATENÇÃO</v>
      </c>
      <c r="M499">
        <v>0</v>
      </c>
      <c r="N499">
        <v>100</v>
      </c>
      <c r="O499">
        <v>29.032258064516132</v>
      </c>
    </row>
    <row r="500" spans="1:15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>IF(K500&lt;-5,"CRÍTICO",IF(K500&lt;0,"ATENÇÃO",IF(K500&lt;=5,"BOM","EXCELENTE")))</f>
        <v>BOM</v>
      </c>
      <c r="M500">
        <v>23</v>
      </c>
      <c r="N500">
        <v>100</v>
      </c>
      <c r="O500">
        <v>13.8121546961326</v>
      </c>
    </row>
    <row r="501" spans="1:15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>IF(K501&lt;-5,"CRÍTICO",IF(K501&lt;0,"ATENÇÃO",IF(K501&lt;=5,"BOM","EXCELENTE")))</f>
        <v>CRÍTICO</v>
      </c>
      <c r="M501">
        <v>11</v>
      </c>
      <c r="N501">
        <v>100</v>
      </c>
      <c r="O501">
        <v>9.5238095238095237</v>
      </c>
    </row>
    <row r="502" spans="1:15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>IF(K502&lt;-5,"CRÍTICO",IF(K502&lt;0,"ATENÇÃO",IF(K502&lt;=5,"BOM","EXCELENTE")))</f>
        <v>BOM</v>
      </c>
      <c r="M502" s="9">
        <v>0</v>
      </c>
      <c r="N502" s="9">
        <v>100</v>
      </c>
      <c r="O502" s="9">
        <v>17.241379310344829</v>
      </c>
    </row>
    <row r="503" spans="1:15" hidden="1" x14ac:dyDescent="0.25">
      <c r="A503" s="11">
        <v>46044</v>
      </c>
      <c r="B503" t="s">
        <v>36</v>
      </c>
      <c r="C503" t="s">
        <v>20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ref="I503:I504" si="5">E503+G503+H503</f>
        <v>22</v>
      </c>
      <c r="J503" s="3">
        <f t="shared" ref="J503:J504" si="6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13</v>
      </c>
      <c r="K503" s="3">
        <f t="shared" ref="K503:K504" si="7">I503-J503</f>
        <v>9</v>
      </c>
      <c r="L503" s="3" t="str">
        <f t="shared" ref="L503:L504" si="8">IF(K503&lt;-5,"CRÍTICO",IF(K503&lt;0,"ATENÇÃO",IF(K503&lt;=5,"BOM","EXCELENTE")))</f>
        <v>EXCELENTE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36</v>
      </c>
      <c r="C504" t="s">
        <v>20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5"/>
        <v>17</v>
      </c>
      <c r="J504" s="3">
        <f t="shared" si="6"/>
        <v>13</v>
      </c>
      <c r="K504" s="3">
        <f t="shared" si="7"/>
        <v>4</v>
      </c>
      <c r="L504" s="3" t="str">
        <f t="shared" si="8"/>
        <v>BOM</v>
      </c>
      <c r="N504">
        <v>98.91</v>
      </c>
      <c r="O504">
        <v>31.367292225201069</v>
      </c>
    </row>
    <row r="505" spans="1:15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>E505+G505+H505</f>
        <v>25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23</v>
      </c>
      <c r="K505" s="3">
        <f>I505-J505</f>
        <v>2</v>
      </c>
      <c r="L505" s="3" t="str">
        <f>IF(K505&lt;-5,"CRÍTICO",IF(K505&lt;0,"ATENÇÃO",IF(K505&lt;=5,"BOM","EXCELENTE")))</f>
        <v>BOM</v>
      </c>
      <c r="M505">
        <v>22</v>
      </c>
      <c r="N505">
        <v>98.63</v>
      </c>
      <c r="O505">
        <v>15.75757575757576</v>
      </c>
    </row>
    <row r="506" spans="1:15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>E506+G506+H506</f>
        <v>42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29</v>
      </c>
      <c r="K506" s="3">
        <f>I506-J506</f>
        <v>13</v>
      </c>
      <c r="L506" s="3" t="str">
        <f>IF(K506&lt;-5,"CRÍTICO",IF(K506&lt;0,"ATENÇÃO",IF(K506&lt;=5,"BOM","EXCELENTE")))</f>
        <v>EXCELENTE</v>
      </c>
      <c r="M506">
        <v>40</v>
      </c>
      <c r="N506">
        <v>98.64</v>
      </c>
      <c r="O506">
        <v>16.638370118845501</v>
      </c>
    </row>
    <row r="507" spans="1:15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>E507+G507+H507</f>
        <v>14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29</v>
      </c>
      <c r="K507" s="3">
        <f>I507-J507</f>
        <v>-15</v>
      </c>
      <c r="L507" s="3" t="str">
        <f>IF(K507&lt;-5,"CRÍTICO",IF(K507&lt;0,"ATENÇÃO",IF(K507&lt;=5,"BOM","EXCELENTE")))</f>
        <v>CRÍTICO</v>
      </c>
      <c r="M507">
        <v>12</v>
      </c>
      <c r="N507">
        <v>95.4</v>
      </c>
      <c r="O507">
        <v>20.533333333333331</v>
      </c>
    </row>
    <row r="508" spans="1:15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>E508+G508+H508</f>
        <v>22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23</v>
      </c>
      <c r="K508" s="3">
        <f>I508-J508</f>
        <v>-1</v>
      </c>
      <c r="L508" s="3" t="str">
        <f>IF(K508&lt;-5,"CRÍTICO",IF(K508&lt;0,"ATENÇÃO",IF(K508&lt;=5,"BOM","EXCELENTE")))</f>
        <v>ATENÇÃO</v>
      </c>
      <c r="M508">
        <v>16</v>
      </c>
      <c r="N508">
        <v>98.61</v>
      </c>
      <c r="O508">
        <v>16.97530864197531</v>
      </c>
    </row>
    <row r="509" spans="1:15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IF(K509&lt;-5,"CRÍTICO",IF(K509&lt;0,"ATENÇÃO",IF(K509&lt;=5,"BOM","EXCELENTE")))</f>
        <v>BOM</v>
      </c>
      <c r="M509" s="9">
        <v>0</v>
      </c>
      <c r="N509" s="9">
        <v>0</v>
      </c>
      <c r="O509" s="9">
        <v>0</v>
      </c>
    </row>
    <row r="510" spans="1:15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>E510+G510+H510</f>
        <v>21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>I510-J510</f>
        <v>4</v>
      </c>
      <c r="L510" s="3" t="str">
        <f>IF(K510&lt;-5,"CRÍTICO",IF(K510&lt;0,"ATENÇÃO",IF(K510&lt;=5,"BOM","EXCELENTE")))</f>
        <v>BOM</v>
      </c>
      <c r="M510">
        <v>20</v>
      </c>
      <c r="N510">
        <v>97.01</v>
      </c>
      <c r="O510">
        <v>13.961038961038961</v>
      </c>
    </row>
    <row r="511" spans="1:15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>E511+G511+H511</f>
        <v>32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29</v>
      </c>
      <c r="K511" s="3">
        <f>I511-J511</f>
        <v>3</v>
      </c>
      <c r="L511" s="3" t="str">
        <f>IF(K511&lt;-5,"CRÍTICO",IF(K511&lt;0,"ATENÇÃO",IF(K511&lt;=5,"BOM","EXCELENTE")))</f>
        <v>BOM</v>
      </c>
      <c r="M511">
        <v>28</v>
      </c>
      <c r="N511">
        <v>95.52</v>
      </c>
      <c r="O511">
        <v>10.561056105610559</v>
      </c>
    </row>
    <row r="512" spans="1:15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>E512+G512+H512</f>
        <v>18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17</v>
      </c>
      <c r="K512" s="3">
        <f>I512-J512</f>
        <v>1</v>
      </c>
      <c r="L512" s="3" t="str">
        <f>IF(K512&lt;-5,"CRÍTICO",IF(K512&lt;0,"ATENÇÃO",IF(K512&lt;=5,"BOM","EXCELENTE")))</f>
        <v>BOM</v>
      </c>
      <c r="M512">
        <v>15</v>
      </c>
      <c r="N512">
        <v>100</v>
      </c>
      <c r="O512">
        <v>16.959064327485379</v>
      </c>
    </row>
    <row r="513" spans="1:15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>E513+G513+H513</f>
        <v>26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29</v>
      </c>
      <c r="K513" s="3">
        <f>I513-J513</f>
        <v>-3</v>
      </c>
      <c r="L513" s="3" t="str">
        <f>IF(K513&lt;-5,"CRÍTICO",IF(K513&lt;0,"ATENÇÃO",IF(K513&lt;=5,"BOM","EXCELENTE")))</f>
        <v>ATENÇÃO</v>
      </c>
      <c r="M513">
        <v>24</v>
      </c>
      <c r="N513">
        <v>100</v>
      </c>
      <c r="O513">
        <v>15.584415584415581</v>
      </c>
    </row>
    <row r="514" spans="1:15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>E514+G514+H514</f>
        <v>28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23</v>
      </c>
      <c r="K514" s="3">
        <f>I514-J514</f>
        <v>5</v>
      </c>
      <c r="L514" s="3" t="str">
        <f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>E515+G515+H515</f>
        <v>22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23</v>
      </c>
      <c r="K515" s="3">
        <f>I515-J515</f>
        <v>-1</v>
      </c>
      <c r="L515" s="3" t="str">
        <f>IF(K515&lt;-5,"CRÍTICO",IF(K515&lt;0,"ATENÇÃO",IF(K515&lt;=5,"BOM","EXCELENTE")))</f>
        <v>ATENÇÃO</v>
      </c>
      <c r="M515">
        <v>19</v>
      </c>
      <c r="N515">
        <v>100</v>
      </c>
      <c r="O515">
        <v>20.820189274447952</v>
      </c>
    </row>
    <row r="516" spans="1:15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>E516+G516+H516</f>
        <v>20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29</v>
      </c>
      <c r="K516" s="3">
        <f>I516-J516</f>
        <v>-9</v>
      </c>
      <c r="L516" s="3" t="str">
        <f>IF(K516&lt;-5,"CRÍTICO",IF(K516&lt;0,"ATENÇÃO",IF(K516&lt;=5,"BOM","EXCELENTE")))</f>
        <v>CRÍTICO</v>
      </c>
      <c r="M516">
        <v>18</v>
      </c>
      <c r="N516">
        <v>100</v>
      </c>
      <c r="O516">
        <v>4.3478260869565224</v>
      </c>
    </row>
    <row r="517" spans="1:15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>E517+G517+H517</f>
        <v>19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19</v>
      </c>
      <c r="K517" s="3">
        <f>I517-J517</f>
        <v>0</v>
      </c>
      <c r="L517" s="3" t="str">
        <f>IF(K517&lt;-5,"CRÍTICO",IF(K517&lt;0,"ATENÇÃO",IF(K517&lt;=5,"BOM","EXCELENTE")))</f>
        <v>BOM</v>
      </c>
      <c r="M517">
        <v>18</v>
      </c>
      <c r="N517">
        <v>93.26</v>
      </c>
      <c r="O517">
        <v>19.93957703927493</v>
      </c>
    </row>
    <row r="518" spans="1:15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>E518+G518+H518</f>
        <v>24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8</v>
      </c>
      <c r="K518" s="3">
        <f>I518-J518</f>
        <v>16</v>
      </c>
      <c r="L518" s="3" t="str">
        <f>IF(K518&lt;-5,"CRÍTICO",IF(K518&lt;0,"ATENÇÃO",IF(K518&lt;=5,"BOM","EXCELENTE")))</f>
        <v>EXCELENTE</v>
      </c>
      <c r="M518">
        <v>12</v>
      </c>
      <c r="N518">
        <v>100</v>
      </c>
      <c r="O518">
        <v>11.864406779661021</v>
      </c>
    </row>
    <row r="519" spans="1:15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>E519+G519+H519</f>
        <v>33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4</v>
      </c>
      <c r="L519" s="3" t="str">
        <f>IF(K519&lt;-5,"CRÍTICO",IF(K519&lt;0,"ATENÇÃO",IF(K519&lt;=5,"BOM","EXCELENTE")))</f>
        <v>BOM</v>
      </c>
      <c r="M519">
        <v>14</v>
      </c>
      <c r="N519">
        <v>98.28</v>
      </c>
      <c r="O519">
        <v>9.037900874635568</v>
      </c>
    </row>
    <row r="520" spans="1:15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29</v>
      </c>
      <c r="K520" s="3">
        <f>I520-J520</f>
        <v>6</v>
      </c>
      <c r="L520" s="3" t="str">
        <f>IF(K520&lt;-5,"CRÍTICO",IF(K520&lt;0,"ATENÇÃO",IF(K520&lt;=5,"BOM","EXCELENTE")))</f>
        <v>EXCELENTE</v>
      </c>
      <c r="M520">
        <v>30</v>
      </c>
      <c r="N520">
        <v>97.22</v>
      </c>
      <c r="O520">
        <v>19.095477386934672</v>
      </c>
    </row>
    <row r="521" spans="1:15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>E521+G521+H521</f>
        <v>13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8</v>
      </c>
      <c r="K521" s="3">
        <f>I521-J521</f>
        <v>5</v>
      </c>
      <c r="L521" s="3" t="str">
        <f>IF(K521&lt;-5,"CRÍTICO",IF(K521&lt;0,"ATENÇÃO",IF(K521&lt;=5,"BOM","EXCELENTE")))</f>
        <v>BOM</v>
      </c>
      <c r="M521">
        <v>9</v>
      </c>
      <c r="N521">
        <v>100</v>
      </c>
      <c r="O521">
        <v>16.814159292035399</v>
      </c>
    </row>
    <row r="522" spans="1:15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>E522+G522+H522</f>
        <v>23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17</v>
      </c>
      <c r="K522" s="3">
        <f>I522-J522</f>
        <v>6</v>
      </c>
      <c r="L522" s="3" t="str">
        <f>IF(K522&lt;-5,"CRÍTICO",IF(K522&lt;0,"ATENÇÃO",IF(K522&lt;=5,"BOM","EXCELENTE")))</f>
        <v>EXCELENTE</v>
      </c>
      <c r="M522">
        <v>22</v>
      </c>
      <c r="N522">
        <v>98</v>
      </c>
      <c r="O522">
        <v>16.43835616438356</v>
      </c>
    </row>
    <row r="523" spans="1:15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>E523+G523+H523</f>
        <v>23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23</v>
      </c>
      <c r="K523" s="3">
        <f>I523-J523</f>
        <v>0</v>
      </c>
      <c r="L523" s="3" t="str">
        <f>IF(K523&lt;-5,"CRÍTICO",IF(K523&lt;0,"ATENÇÃO",IF(K523&lt;=5,"BOM","EXCELENTE")))</f>
        <v>BOM</v>
      </c>
      <c r="M523">
        <v>22</v>
      </c>
      <c r="N523">
        <v>100</v>
      </c>
      <c r="O523">
        <v>16.894977168949769</v>
      </c>
    </row>
    <row r="524" spans="1:15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>E524+G524+H524</f>
        <v>13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17</v>
      </c>
      <c r="K524" s="3">
        <f>I524-J524</f>
        <v>-4</v>
      </c>
      <c r="L524" s="3" t="str">
        <f>IF(K524&lt;-5,"CRÍTICO",IF(K524&lt;0,"ATENÇÃO",IF(K524&lt;=5,"BOM","EXCELENTE")))</f>
        <v>ATENÇÃO</v>
      </c>
      <c r="M524">
        <v>12</v>
      </c>
      <c r="N524">
        <v>100</v>
      </c>
      <c r="O524">
        <v>19.138755980861241</v>
      </c>
    </row>
    <row r="525" spans="1:15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>E525+G525+H525</f>
        <v>17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17</v>
      </c>
      <c r="K525" s="3">
        <f>I525-J525</f>
        <v>0</v>
      </c>
      <c r="L525" s="3" t="str">
        <f>IF(K525&lt;-5,"CRÍTICO",IF(K525&lt;0,"ATENÇÃO",IF(K525&lt;=5,"BOM","EXCELENTE")))</f>
        <v>BOM</v>
      </c>
      <c r="M525">
        <v>15</v>
      </c>
      <c r="N525">
        <v>100</v>
      </c>
      <c r="O525">
        <v>15.02145922746781</v>
      </c>
    </row>
    <row r="526" spans="1:15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>E526+G526+H526</f>
        <v>19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8</v>
      </c>
      <c r="K526" s="3">
        <f>I526-J526</f>
        <v>11</v>
      </c>
      <c r="L526" s="3" t="str">
        <f>IF(K526&lt;-5,"CRÍTICO",IF(K526&lt;0,"ATENÇÃO",IF(K526&lt;=5,"BOM","EXCELENTE")))</f>
        <v>EXCELENTE</v>
      </c>
      <c r="M526">
        <v>16</v>
      </c>
      <c r="N526">
        <v>98.11</v>
      </c>
      <c r="O526">
        <v>20.408163265306118</v>
      </c>
    </row>
    <row r="527" spans="1:15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>E527+G527+H527</f>
        <v>33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19</v>
      </c>
      <c r="K527" s="3">
        <f>I527-J527</f>
        <v>14</v>
      </c>
      <c r="L527" s="3" t="str">
        <f>IF(K527&lt;-5,"CRÍTICO",IF(K527&lt;0,"ATENÇÃO",IF(K527&lt;=5,"BOM","EXCELENTE")))</f>
        <v>EXCELENTE</v>
      </c>
      <c r="M527">
        <v>26</v>
      </c>
      <c r="N527">
        <v>97.56</v>
      </c>
      <c r="O527">
        <v>19.28783382789317</v>
      </c>
    </row>
    <row r="528" spans="1:15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>E528+G528+H528</f>
        <v>38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9</v>
      </c>
      <c r="L528" s="3" t="str">
        <f>IF(K528&lt;-5,"CRÍTICO",IF(K528&lt;0,"ATENÇÃO",IF(K528&lt;=5,"BOM","EXCELENTE")))</f>
        <v>EXCELENTE</v>
      </c>
      <c r="M528">
        <v>34</v>
      </c>
      <c r="N528">
        <v>99.29</v>
      </c>
      <c r="O528">
        <v>22.49443207126949</v>
      </c>
    </row>
    <row r="529" spans="1:15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>E529+G529+H529</f>
        <v>18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19</v>
      </c>
      <c r="K529" s="3">
        <f>I529-J529</f>
        <v>-1</v>
      </c>
      <c r="L529" s="3" t="str">
        <f>IF(K529&lt;-5,"CRÍTICO",IF(K529&lt;0,"ATENÇÃO",IF(K529&lt;=5,"BOM","EXCELENTE")))</f>
        <v>ATENÇÃO</v>
      </c>
      <c r="M529">
        <v>17</v>
      </c>
      <c r="N529">
        <v>100</v>
      </c>
      <c r="O529">
        <v>16.97247706422019</v>
      </c>
    </row>
    <row r="530" spans="1:15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>E530+G530+H530</f>
        <v>27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-2</v>
      </c>
      <c r="L530" s="3" t="str">
        <f>IF(K530&lt;-5,"CRÍTICO",IF(K530&lt;0,"ATENÇÃO",IF(K530&lt;=5,"BOM","EXCELENTE")))</f>
        <v>ATENÇÃO</v>
      </c>
      <c r="M530">
        <v>21</v>
      </c>
      <c r="N530">
        <v>97.33</v>
      </c>
      <c r="O530">
        <v>15.805471124620061</v>
      </c>
    </row>
    <row r="531" spans="1:15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21</v>
      </c>
      <c r="K531" s="3">
        <f>I531-J531</f>
        <v>10</v>
      </c>
      <c r="L531" s="3" t="str">
        <f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>IF(K532&lt;-5,"CRÍTICO",IF(K532&lt;0,"ATENÇÃO",IF(K532&lt;=5,"OPORTUNO","MUITO BOM")))</f>
        <v>OPORTUNO</v>
      </c>
      <c r="M532" s="9">
        <v>0</v>
      </c>
      <c r="N532" s="9">
        <v>100</v>
      </c>
      <c r="O532" s="9">
        <v>0</v>
      </c>
    </row>
    <row r="533" spans="1:15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>I533-J533</f>
        <v>9</v>
      </c>
      <c r="L533" s="3" t="str">
        <f>IF(K533&lt;-5,"CRÍTICO",IF(K533&lt;0,"ATENÇÃO",IF(K533&lt;=5,"OPORTUNO","MUITO BOM")))</f>
        <v>MUITO BOM</v>
      </c>
      <c r="M533" s="9">
        <v>26</v>
      </c>
      <c r="N533" s="9">
        <v>95.38</v>
      </c>
      <c r="O533" s="9">
        <v>21.5962441314554</v>
      </c>
    </row>
    <row r="534" spans="1:15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26</v>
      </c>
      <c r="K534" s="3">
        <f>I534-J534</f>
        <v>-4</v>
      </c>
      <c r="L534" s="3" t="str">
        <f>IF(K534&lt;-5,"CRÍTICO",IF(K534&lt;0,"ATENÇÃO",IF(K534&lt;=5,"OPORTUNO","MUITO BOM")))</f>
        <v>ATENÇÃO</v>
      </c>
      <c r="M534" s="9">
        <v>18</v>
      </c>
      <c r="N534" s="9">
        <v>96.34</v>
      </c>
      <c r="O534" s="9">
        <v>17.571884984025559</v>
      </c>
    </row>
    <row r="535" spans="1:15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15</v>
      </c>
      <c r="K535" s="3">
        <f>I535-J535</f>
        <v>18</v>
      </c>
      <c r="L535" s="3" t="str">
        <f>IF(K535&lt;-5,"CRÍTICO",IF(K535&lt;0,"ATENÇÃO",IF(K535&lt;=5,"OPORTUNO","MUITO BOM")))</f>
        <v>MUITO BOM</v>
      </c>
      <c r="M535" s="9">
        <v>32</v>
      </c>
      <c r="N535" s="9">
        <v>99.11</v>
      </c>
      <c r="O535" s="9">
        <v>17.721518987341771</v>
      </c>
    </row>
    <row r="536" spans="1:15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21</v>
      </c>
      <c r="K536" s="3">
        <f>I536-J536</f>
        <v>4</v>
      </c>
      <c r="L536" s="3" t="str">
        <f>IF(K536&lt;-5,"CRÍTICO",IF(K536&lt;0,"ATENÇÃO",IF(K536&lt;=5,"OPORTUNO","MUITO BOM")))</f>
        <v>OPORTUNO</v>
      </c>
      <c r="M536" s="9">
        <v>29</v>
      </c>
      <c r="N536" s="9">
        <v>99.13</v>
      </c>
      <c r="O536" s="9">
        <v>14.7239263803681</v>
      </c>
    </row>
    <row r="537" spans="1:15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21</v>
      </c>
      <c r="K537" s="3">
        <f>I537-J537</f>
        <v>6</v>
      </c>
      <c r="L537" s="3" t="str">
        <f>IF(K537&lt;-5,"CRÍTICO",IF(K537&lt;0,"ATENÇÃO",IF(K537&lt;=5,"OPORTUNO","MUITO BOM")))</f>
        <v>MUITO BOM</v>
      </c>
      <c r="M537" s="9">
        <v>25</v>
      </c>
      <c r="N537" s="9">
        <v>98.8</v>
      </c>
      <c r="O537" s="9">
        <v>16.897506925207761</v>
      </c>
    </row>
    <row r="538" spans="1:15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7</v>
      </c>
      <c r="K538" s="3">
        <f>I538-J538</f>
        <v>3</v>
      </c>
      <c r="L538" s="3" t="str">
        <f>IF(K538&lt;-5,"CRÍTICO",IF(K538&lt;0,"ATENÇÃO",IF(K538&lt;=5,"OPORTUNO","MUITO BOM")))</f>
        <v>OPORTUNO</v>
      </c>
      <c r="M538" s="9">
        <v>8</v>
      </c>
      <c r="N538" s="9">
        <v>96.43</v>
      </c>
      <c r="O538" s="9">
        <v>20</v>
      </c>
    </row>
    <row r="539" spans="1:15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17</v>
      </c>
      <c r="K539" s="3">
        <f>I539-J539</f>
        <v>7</v>
      </c>
      <c r="L539" s="3" t="str">
        <f>IF(K539&lt;-5,"CRÍTICO",IF(K539&lt;0,"ATENÇÃO",IF(K539&lt;=5,"OPORTUNO","MUITO BOM")))</f>
        <v>MUITO BOM</v>
      </c>
      <c r="M539" s="9">
        <v>22</v>
      </c>
      <c r="N539" s="9">
        <v>96.88</v>
      </c>
      <c r="O539" s="9">
        <v>19.526627218934909</v>
      </c>
    </row>
    <row r="540" spans="1:15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26</v>
      </c>
      <c r="K540" s="3">
        <f>I540-J540</f>
        <v>0</v>
      </c>
      <c r="L540" s="3" t="str">
        <f>IF(K540&lt;-5,"CRÍTICO",IF(K540&lt;0,"ATENÇÃO",IF(K540&lt;=5,"OPORTUNO","MUITO BOM")))</f>
        <v>OPORTUNO</v>
      </c>
      <c r="M540" s="9">
        <v>21</v>
      </c>
      <c r="N540" s="9">
        <v>91.85</v>
      </c>
      <c r="O540" s="9">
        <v>20.87155963302752</v>
      </c>
    </row>
    <row r="541" spans="1:15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>IF(K541&lt;-5,"CRÍTICO",IF(K541&lt;0,"ATENÇÃO",IF(K541&lt;=5,"OPORTUNO","MUITO BOM")))</f>
        <v>OPORTUNO</v>
      </c>
      <c r="M541" s="9">
        <v>0</v>
      </c>
      <c r="N541" s="9">
        <v>98.63</v>
      </c>
      <c r="O541" s="9">
        <v>18.75</v>
      </c>
    </row>
    <row r="542" spans="1:15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>IF(K542&lt;-5,"CRÍTICO",IF(K542&lt;0,"ATENÇÃO",IF(K542&lt;=5,"OPORTUNO","MUITO BOM")))</f>
        <v>ATENÇÃO</v>
      </c>
      <c r="M542" s="9">
        <v>13</v>
      </c>
      <c r="N542" s="9">
        <v>100</v>
      </c>
      <c r="O542" s="9">
        <v>18.14516129032258</v>
      </c>
    </row>
    <row r="543" spans="1:15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>IF(K543&lt;-5,"CRÍTICO",IF(K543&lt;0,"ATENÇÃO",IF(K543&lt;=5,"OPORTUNO","MUITO BOM")))</f>
        <v>OPORTUNO</v>
      </c>
      <c r="M543" s="9">
        <v>0</v>
      </c>
      <c r="N543" s="9">
        <v>99.06</v>
      </c>
      <c r="O543" s="9">
        <v>22.95719844357977</v>
      </c>
    </row>
    <row r="544" spans="1:15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>IF(K544&lt;-5,"CRÍTICO",IF(K544&lt;0,"ATENÇÃO",IF(K544&lt;=5,"OPORTUNO","MUITO BOM")))</f>
        <v>ATENÇÃO</v>
      </c>
      <c r="M544" s="9">
        <v>0</v>
      </c>
      <c r="N544" s="9">
        <v>100</v>
      </c>
      <c r="O544" s="9">
        <v>29.032258064516132</v>
      </c>
    </row>
    <row r="545" spans="1:15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>IF(K545&lt;-5,"CRÍTICO",IF(K545&lt;0,"ATENÇÃO",IF(K545&lt;=5,"OPORTUNO","MUITO BOM")))</f>
        <v>MUITO BOM</v>
      </c>
      <c r="M545" s="9">
        <v>28</v>
      </c>
      <c r="N545" s="9">
        <v>100</v>
      </c>
      <c r="O545" s="9">
        <v>13.8121546961326</v>
      </c>
    </row>
    <row r="546" spans="1:15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>IF(K546&lt;-5,"CRÍTICO",IF(K546&lt;0,"ATENÇÃO",IF(K546&lt;=5,"OPORTUNO","MUITO BOM")))</f>
        <v>OPORTUNO</v>
      </c>
      <c r="M546" s="9">
        <v>0</v>
      </c>
      <c r="N546" s="9">
        <v>100</v>
      </c>
      <c r="O546" s="9">
        <v>9.5238095238095237</v>
      </c>
    </row>
    <row r="547" spans="1:15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>IF(K547&lt;-5,"CRÍTICO",IF(K547&lt;0,"ATENÇÃO",IF(K547&lt;=5,"OPORTUNO","MUITO BOM")))</f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11">
        <v>46048</v>
      </c>
      <c r="B548" t="s">
        <v>36</v>
      </c>
      <c r="C548" t="s">
        <v>20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ref="I548:I549" si="9">E548+G548+H548</f>
        <v>17</v>
      </c>
      <c r="J548" s="3">
        <f t="shared" ref="J548:J549" si="10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14</v>
      </c>
      <c r="K548" s="3">
        <f t="shared" ref="K548:K549" si="11">I548-J548</f>
        <v>3</v>
      </c>
      <c r="L548" s="3" t="str">
        <f t="shared" ref="L548:L549" si="12">IF(K548&lt;-5,"CRÍTICO",IF(K548&lt;0,"ATENÇÃO",IF(K548&lt;=5,"BOM","EXCELENTE")))</f>
        <v>BOM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36</v>
      </c>
      <c r="C549" t="s">
        <v>20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9"/>
        <v>20</v>
      </c>
      <c r="J549" s="3">
        <f t="shared" si="10"/>
        <v>15</v>
      </c>
      <c r="K549" s="3">
        <f t="shared" si="11"/>
        <v>5</v>
      </c>
      <c r="L549" s="3" t="str">
        <f t="shared" si="12"/>
        <v>BOM</v>
      </c>
      <c r="N549">
        <v>98.91</v>
      </c>
      <c r="O549">
        <v>31.367292225201069</v>
      </c>
    </row>
    <row r="550" spans="1:15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21</v>
      </c>
      <c r="K550" s="3">
        <f>I550-J550</f>
        <v>4</v>
      </c>
      <c r="L550" s="3" t="str">
        <f>IF(K550&lt;-5,"CRÍTICO",IF(K550&lt;0,"ATENÇÃO",IF(K550&lt;=5,"OPORTUNO","MUITO BOM")))</f>
        <v>OPORTUNO</v>
      </c>
      <c r="M550" s="9">
        <v>22</v>
      </c>
      <c r="N550" s="9">
        <v>98.63</v>
      </c>
      <c r="O550" s="9">
        <v>15.75757575757576</v>
      </c>
    </row>
    <row r="551" spans="1:15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26</v>
      </c>
      <c r="K551" s="3">
        <f>I551-J551</f>
        <v>12</v>
      </c>
      <c r="L551" s="3" t="str">
        <f>IF(K551&lt;-5,"CRÍTICO",IF(K551&lt;0,"ATENÇÃO",IF(K551&lt;=5,"OPORTUNO","MUITO BOM")))</f>
        <v>MUITO BOM</v>
      </c>
      <c r="M551" s="9">
        <v>34</v>
      </c>
      <c r="N551" s="9">
        <v>98.64</v>
      </c>
      <c r="O551" s="9">
        <v>16.638370118845501</v>
      </c>
    </row>
    <row r="552" spans="1:15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26</v>
      </c>
      <c r="K552" s="3">
        <f>I552-J552</f>
        <v>-3</v>
      </c>
      <c r="L552" s="3" t="str">
        <f>IF(K552&lt;-5,"CRÍTICO",IF(K552&lt;0,"ATENÇÃO",IF(K552&lt;=5,"OPORTUNO","MUITO BOM")))</f>
        <v>ATENÇÃO</v>
      </c>
      <c r="M552" s="9">
        <v>19</v>
      </c>
      <c r="N552" s="9">
        <v>95.4</v>
      </c>
      <c r="O552" s="9">
        <v>20.533333333333331</v>
      </c>
    </row>
    <row r="553" spans="1:15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21</v>
      </c>
      <c r="K553" s="3">
        <f>I553-J553</f>
        <v>5</v>
      </c>
      <c r="L553" s="3" t="str">
        <f>IF(K553&lt;-5,"CRÍTICO",IF(K553&lt;0,"ATENÇÃO",IF(K553&lt;=5,"OPORTUNO","MUITO BOM")))</f>
        <v>OPORTUNO</v>
      </c>
      <c r="M553" s="9">
        <v>23</v>
      </c>
      <c r="N553" s="9">
        <v>98.61</v>
      </c>
      <c r="O553" s="9">
        <v>16.97530864197531</v>
      </c>
    </row>
    <row r="554" spans="1:15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>IF(K554&lt;-5,"CRÍTICO",IF(K554&lt;0,"ATENÇÃO",IF(K554&lt;=5,"OPORTUNO","MUITO BOM")))</f>
        <v>OPORTUNO</v>
      </c>
      <c r="M554" s="9">
        <v>0</v>
      </c>
      <c r="N554" s="9">
        <v>0</v>
      </c>
      <c r="O554" s="9">
        <v>0</v>
      </c>
    </row>
    <row r="555" spans="1:15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>I555-J555</f>
        <v>5</v>
      </c>
      <c r="L555" s="3" t="str">
        <f>IF(K555&lt;-5,"CRÍTICO",IF(K555&lt;0,"ATENÇÃO",IF(K555&lt;=5,"OPORTUNO","MUITO BOM")))</f>
        <v>OPORTUNO</v>
      </c>
      <c r="M555" s="9">
        <v>20</v>
      </c>
      <c r="N555" s="9">
        <v>97.01</v>
      </c>
      <c r="O555" s="9">
        <v>13.961038961038961</v>
      </c>
    </row>
    <row r="556" spans="1:15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26</v>
      </c>
      <c r="K556" s="3">
        <f>I556-J556</f>
        <v>-9</v>
      </c>
      <c r="L556" s="3" t="str">
        <f>IF(K556&lt;-5,"CRÍTICO",IF(K556&lt;0,"ATENÇÃO",IF(K556&lt;=5,"OPORTUNO","MUITO BOM")))</f>
        <v>CRÍTICO</v>
      </c>
      <c r="M556" s="9">
        <v>18</v>
      </c>
      <c r="N556" s="9">
        <v>95.52</v>
      </c>
      <c r="O556" s="9">
        <v>10.561056105610559</v>
      </c>
    </row>
    <row r="557" spans="1:15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15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9">
        <v>12</v>
      </c>
      <c r="N557" s="9">
        <v>100</v>
      </c>
      <c r="O557" s="9">
        <v>16.959064327485379</v>
      </c>
    </row>
    <row r="558" spans="1:15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26</v>
      </c>
      <c r="K558" s="3">
        <f>I558-J558</f>
        <v>3</v>
      </c>
      <c r="L558" s="3" t="str">
        <f>IF(K558&lt;-5,"CRÍTICO",IF(K558&lt;0,"ATENÇÃO",IF(K558&lt;=5,"OPORTUNO","MUITO BOM")))</f>
        <v>OPORTUNO</v>
      </c>
      <c r="M558" s="9">
        <v>28</v>
      </c>
      <c r="N558" s="9">
        <v>100</v>
      </c>
      <c r="O558" s="9">
        <v>15.584415584415581</v>
      </c>
    </row>
    <row r="559" spans="1:15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21</v>
      </c>
      <c r="K559" s="3">
        <f>I559-J559</f>
        <v>4</v>
      </c>
      <c r="L559" s="3" t="str">
        <f>IF(K559&lt;-5,"CRÍTICO",IF(K559&lt;0,"ATENÇÃO",IF(K559&lt;=5,"OPORTUNO","MUITO BOM")))</f>
        <v>OPORTUNO</v>
      </c>
      <c r="M559" s="9">
        <v>19</v>
      </c>
      <c r="N559" s="9">
        <v>98.61</v>
      </c>
      <c r="O559" s="9">
        <v>16.867469879518069</v>
      </c>
    </row>
    <row r="560" spans="1:15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21</v>
      </c>
      <c r="K560" s="3">
        <f>I560-J560</f>
        <v>-8</v>
      </c>
      <c r="L560" s="3" t="str">
        <f>IF(K560&lt;-5,"CRÍTICO",IF(K560&lt;0,"ATENÇÃO",IF(K560&lt;=5,"OPORTUNO","MUITO BOM")))</f>
        <v>CRÍTICO</v>
      </c>
      <c r="M560" s="9">
        <v>8</v>
      </c>
      <c r="N560" s="9">
        <v>100</v>
      </c>
      <c r="O560" s="9">
        <v>20.820189274447952</v>
      </c>
    </row>
    <row r="561" spans="1:15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26</v>
      </c>
      <c r="K561" s="3">
        <f>I561-J561</f>
        <v>-5</v>
      </c>
      <c r="L561" s="3" t="str">
        <f>IF(K561&lt;-5,"CRÍTICO",IF(K561&lt;0,"ATENÇÃO",IF(K561&lt;=5,"OPORTUNO","MUITO BOM")))</f>
        <v>ATENÇÃO</v>
      </c>
      <c r="M561" s="9">
        <v>18</v>
      </c>
      <c r="N561" s="9">
        <v>100</v>
      </c>
      <c r="O561" s="9">
        <v>4.3478260869565224</v>
      </c>
    </row>
    <row r="562" spans="1:15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17</v>
      </c>
      <c r="K562" s="3">
        <f>I562-J562</f>
        <v>1</v>
      </c>
      <c r="L562" s="3" t="str">
        <f>IF(K562&lt;-5,"CRÍTICO",IF(K562&lt;0,"ATENÇÃO",IF(K562&lt;=5,"OPORTUNO","MUITO BOM")))</f>
        <v>OPORTUNO</v>
      </c>
      <c r="M562" s="9">
        <v>16</v>
      </c>
      <c r="N562" s="9">
        <v>93.26</v>
      </c>
      <c r="O562" s="9">
        <v>19.93957703927493</v>
      </c>
    </row>
    <row r="563" spans="1:15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7</v>
      </c>
      <c r="K563" s="3">
        <f>I563-J563</f>
        <v>3</v>
      </c>
      <c r="L563" s="3" t="str">
        <f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26</v>
      </c>
      <c r="K564" s="3">
        <f>I564-J564</f>
        <v>-1</v>
      </c>
      <c r="L564" s="3" t="str">
        <f>IF(K564&lt;-5,"CRÍTICO",IF(K564&lt;0,"ATENÇÃO",IF(K564&lt;=5,"OPORTUNO","MUITO BOM")))</f>
        <v>ATENÇÃO</v>
      </c>
      <c r="M564" s="9">
        <v>16</v>
      </c>
      <c r="N564" s="9">
        <v>98.28</v>
      </c>
      <c r="O564" s="9">
        <v>9.037900874635568</v>
      </c>
    </row>
    <row r="565" spans="1:15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26</v>
      </c>
      <c r="K565" s="3">
        <f>I565-J565</f>
        <v>1</v>
      </c>
      <c r="L565" s="3" t="str">
        <f>IF(K565&lt;-5,"CRÍTICO",IF(K565&lt;0,"ATENÇÃO",IF(K565&lt;=5,"OPORTUNO","MUITO BOM")))</f>
        <v>OPORTUNO</v>
      </c>
      <c r="M565" s="9">
        <v>23</v>
      </c>
      <c r="N565" s="9">
        <v>97.22</v>
      </c>
      <c r="O565" s="9">
        <v>19.095477386934672</v>
      </c>
    </row>
    <row r="566" spans="1:15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7</v>
      </c>
      <c r="K566" s="3">
        <f>I566-J566</f>
        <v>10</v>
      </c>
      <c r="L566" s="3" t="str">
        <f>IF(K566&lt;-5,"CRÍTICO",IF(K566&lt;0,"ATENÇÃO",IF(K566&lt;=5,"OPORTUNO","MUITO BOM")))</f>
        <v>MUITO BOM</v>
      </c>
      <c r="M566" s="9">
        <v>14</v>
      </c>
      <c r="N566" s="9">
        <v>100</v>
      </c>
      <c r="O566" s="9">
        <v>16.814159292035399</v>
      </c>
    </row>
    <row r="567" spans="1:15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15</v>
      </c>
      <c r="K567" s="3">
        <f>I567-J567</f>
        <v>6</v>
      </c>
      <c r="L567" s="3" t="str">
        <f>IF(K567&lt;-5,"CRÍTICO",IF(K567&lt;0,"ATENÇÃO",IF(K567&lt;=5,"OPORTUNO","MUITO BOM")))</f>
        <v>MUITO BOM</v>
      </c>
      <c r="M567" s="9">
        <v>19</v>
      </c>
      <c r="N567" s="9">
        <v>98</v>
      </c>
      <c r="O567" s="9">
        <v>16.43835616438356</v>
      </c>
    </row>
    <row r="568" spans="1:15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9">
        <v>0</v>
      </c>
      <c r="N568" s="9">
        <v>100</v>
      </c>
      <c r="O568" s="9">
        <v>16.894977168949769</v>
      </c>
    </row>
    <row r="569" spans="1:15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>I569-J569</f>
        <v>-1</v>
      </c>
      <c r="L569" s="3" t="str">
        <f>IF(K569&lt;-5,"CRÍTICO",IF(K569&lt;0,"ATENÇÃO",IF(K569&lt;=5,"OPORTUNO","MUITO BOM")))</f>
        <v>ATENÇÃO</v>
      </c>
      <c r="M569" s="9">
        <v>11</v>
      </c>
      <c r="N569" s="9">
        <v>100</v>
      </c>
      <c r="O569" s="9">
        <v>19.138755980861241</v>
      </c>
    </row>
    <row r="570" spans="1:15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15</v>
      </c>
      <c r="K570" s="3">
        <f>I570-J570</f>
        <v>0</v>
      </c>
      <c r="L570" s="3" t="str">
        <f>IF(K570&lt;-5,"CRÍTICO",IF(K570&lt;0,"ATENÇÃO",IF(K570&lt;=5,"OPORTUNO","MUITO BOM")))</f>
        <v>OPORTUNO</v>
      </c>
      <c r="M570" s="9">
        <v>15</v>
      </c>
      <c r="N570" s="9">
        <v>100</v>
      </c>
      <c r="O570" s="9">
        <v>15.02145922746781</v>
      </c>
    </row>
    <row r="571" spans="1:15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7</v>
      </c>
      <c r="K571" s="3">
        <f>I571-J571</f>
        <v>8</v>
      </c>
      <c r="L571" s="3" t="str">
        <f>IF(K571&lt;-5,"CRÍTICO",IF(K571&lt;0,"ATENÇÃO",IF(K571&lt;=5,"OPORTUNO","MUITO BOM")))</f>
        <v>MUITO BOM</v>
      </c>
      <c r="M571" s="9">
        <v>13</v>
      </c>
      <c r="N571" s="9">
        <v>98.11</v>
      </c>
      <c r="O571" s="9">
        <v>20.408163265306118</v>
      </c>
    </row>
    <row r="572" spans="1:15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17</v>
      </c>
      <c r="K572" s="3">
        <f>I572-J572</f>
        <v>8</v>
      </c>
      <c r="L572" s="3" t="str">
        <f>IF(K572&lt;-5,"CRÍTICO",IF(K572&lt;0,"ATENÇÃO",IF(K572&lt;=5,"OPORTUNO","MUITO BOM")))</f>
        <v>MUITO BOM</v>
      </c>
      <c r="M572" s="9">
        <v>18</v>
      </c>
      <c r="N572" s="9">
        <v>97.56</v>
      </c>
      <c r="O572" s="9">
        <v>19.28783382789317</v>
      </c>
    </row>
    <row r="573" spans="1:15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26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9">
        <v>28</v>
      </c>
      <c r="N573" s="9">
        <v>99.29</v>
      </c>
      <c r="O573" s="9">
        <v>22.49443207126949</v>
      </c>
    </row>
    <row r="574" spans="1:15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17</v>
      </c>
      <c r="K574" s="3">
        <f>I574-J574</f>
        <v>1</v>
      </c>
      <c r="L574" s="3" t="str">
        <f>IF(K574&lt;-5,"CRÍTICO",IF(K574&lt;0,"ATENÇÃO",IF(K574&lt;=5,"OPORTUNO","MUITO BOM")))</f>
        <v>OPORTUNO</v>
      </c>
      <c r="M574" s="9">
        <v>14</v>
      </c>
      <c r="N574" s="9">
        <v>100</v>
      </c>
      <c r="O574" s="9">
        <v>16.97247706422019</v>
      </c>
    </row>
    <row r="575" spans="1:15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26</v>
      </c>
      <c r="K575" s="3">
        <f>I575-J575</f>
        <v>-2</v>
      </c>
      <c r="L575" s="3" t="str">
        <f>IF(K575&lt;-5,"CRÍTICO",IF(K575&lt;0,"ATENÇÃO",IF(K575&lt;=5,"OPORTUNO","MUITO BOM")))</f>
        <v>ATENÇÃO</v>
      </c>
      <c r="M575" s="9">
        <v>21</v>
      </c>
      <c r="N575" s="9">
        <v>97.33</v>
      </c>
      <c r="O575" s="9">
        <v>15.805471124620061</v>
      </c>
    </row>
    <row r="576" spans="1:15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>E576+G576+H576</f>
        <v>20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18</v>
      </c>
      <c r="K576" s="3">
        <f>I576-J576</f>
        <v>2</v>
      </c>
      <c r="L576" s="3" t="str">
        <f>IF(K576&lt;-5,"CRÍTICO",IF(K576&lt;0,"ATENÇÃO",IF(K576&lt;=5,"OPORTUNO","MUITO BOM")))</f>
        <v>OPORTUNO</v>
      </c>
      <c r="M576" s="3">
        <v>17</v>
      </c>
      <c r="N576" s="3">
        <v>98.94</v>
      </c>
      <c r="O576" s="3">
        <v>19.614147909967851</v>
      </c>
    </row>
    <row r="577" spans="1:15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>IF(K577&lt;-5,"CRÍTICO",IF(K577&lt;0,"ATENÇÃO",IF(K577&lt;=5,"OPORTUNO","MUITO BOM")))</f>
        <v>OPORTUNO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>E578+G578+H578</f>
        <v>23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15</v>
      </c>
      <c r="K578" s="3">
        <f>I578-J578</f>
        <v>8</v>
      </c>
      <c r="L578" s="3" t="str">
        <f>IF(K578&lt;-5,"CRÍTICO",IF(K578&lt;0,"ATENÇÃO",IF(K578&lt;=5,"OPORTUNO","MUITO BOM")))</f>
        <v>MUITO BOM</v>
      </c>
      <c r="M578" s="3">
        <v>21</v>
      </c>
      <c r="N578" s="3">
        <v>95.38</v>
      </c>
      <c r="O578" s="3">
        <v>21.5962441314554</v>
      </c>
    </row>
    <row r="579" spans="1:15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>E579+G579+H579</f>
        <v>15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22</v>
      </c>
      <c r="K579" s="3">
        <f>I579-J579</f>
        <v>-7</v>
      </c>
      <c r="L579" s="3" t="str">
        <f>IF(K579&lt;-5,"CRÍTICO",IF(K579&lt;0,"ATENÇÃO",IF(K579&lt;=5,"OPORTUNO","MUITO BOM")))</f>
        <v>CRÍTICO</v>
      </c>
      <c r="M579" s="3">
        <v>13</v>
      </c>
      <c r="N579" s="3">
        <v>96.34</v>
      </c>
      <c r="O579" s="3">
        <v>17.571884984025559</v>
      </c>
    </row>
    <row r="580" spans="1:15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>E580+G580+H580</f>
        <v>22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13</v>
      </c>
      <c r="K580" s="3">
        <f>I580-J580</f>
        <v>9</v>
      </c>
      <c r="L580" s="3" t="str">
        <f>IF(K580&lt;-5,"CRÍTICO",IF(K580&lt;0,"ATENÇÃO",IF(K580&lt;=5,"OPORTUNO","MUITO BOM")))</f>
        <v>MUITO BOM</v>
      </c>
      <c r="M580" s="3">
        <v>20</v>
      </c>
      <c r="N580" s="3">
        <v>99.11</v>
      </c>
      <c r="O580" s="3">
        <v>17.721518987341771</v>
      </c>
    </row>
    <row r="581" spans="1:15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>E581+G581+H581</f>
        <v>31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18</v>
      </c>
      <c r="K581" s="3">
        <f>I581-J581</f>
        <v>13</v>
      </c>
      <c r="L581" s="3" t="str">
        <f>IF(K581&lt;-5,"CRÍTICO",IF(K581&lt;0,"ATENÇÃO",IF(K581&lt;=5,"OPORTUNO","MUITO BOM")))</f>
        <v>MUITO BOM</v>
      </c>
      <c r="M581" s="3">
        <v>28</v>
      </c>
      <c r="N581" s="3">
        <v>99.13</v>
      </c>
      <c r="O581" s="3">
        <v>14.7239263803681</v>
      </c>
    </row>
    <row r="582" spans="1:15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18</v>
      </c>
      <c r="K582" s="3">
        <f>I582-J582</f>
        <v>5</v>
      </c>
      <c r="L582" s="3" t="str">
        <f>IF(K582&lt;-5,"CRÍTICO",IF(K582&lt;0,"ATENÇÃO",IF(K582&lt;=5,"OPORTUNO","MUITO BOM")))</f>
        <v>OPORTUNO</v>
      </c>
      <c r="M582" s="3">
        <v>21</v>
      </c>
      <c r="N582" s="3">
        <v>98.8</v>
      </c>
      <c r="O582" s="3">
        <v>16.897506925207761</v>
      </c>
    </row>
    <row r="583" spans="1:15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>E583+G583+H583</f>
        <v>6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6</v>
      </c>
      <c r="K583" s="3">
        <f>I583-J583</f>
        <v>0</v>
      </c>
      <c r="L583" s="3" t="str">
        <f>IF(K583&lt;-5,"CRÍTICO",IF(K583&lt;0,"ATENÇÃO",IF(K583&lt;=5,"OPORTUNO","MUITO BOM")))</f>
        <v>OPORTUNO</v>
      </c>
      <c r="M583" s="3">
        <v>4</v>
      </c>
      <c r="N583" s="3">
        <v>96.43</v>
      </c>
      <c r="O583" s="3">
        <v>20</v>
      </c>
    </row>
    <row r="584" spans="1:15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>E584+G584+H584</f>
        <v>22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15</v>
      </c>
      <c r="K584" s="3">
        <f>I584-J584</f>
        <v>7</v>
      </c>
      <c r="L584" s="3" t="str">
        <f>IF(K584&lt;-5,"CRÍTICO",IF(K584&lt;0,"ATENÇÃO",IF(K584&lt;=5,"OPORTUNO","MUITO BOM")))</f>
        <v>MUITO BOM</v>
      </c>
      <c r="M584" s="3">
        <v>17</v>
      </c>
      <c r="N584" s="3">
        <v>96.88</v>
      </c>
      <c r="O584" s="3">
        <v>19.526627218934909</v>
      </c>
    </row>
    <row r="585" spans="1:15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>E585+G585+H585</f>
        <v>22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22</v>
      </c>
      <c r="K585" s="3">
        <f>I585-J585</f>
        <v>0</v>
      </c>
      <c r="L585" s="3" t="str">
        <f>IF(K585&lt;-5,"CRÍTICO",IF(K585&lt;0,"ATENÇÃO",IF(K585&lt;=5,"OPORTUNO","MUITO BOM")))</f>
        <v>OPORTUNO</v>
      </c>
      <c r="M585" s="3">
        <v>20</v>
      </c>
      <c r="N585" s="3">
        <v>91.85</v>
      </c>
      <c r="O585" s="3">
        <v>20.87155963302752</v>
      </c>
    </row>
    <row r="586" spans="1:15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>IF(K586&lt;-5,"CRÍTICO",IF(K586&lt;0,"ATENÇÃO",IF(K586&lt;=5,"OPORTUNO","MUITO BOM")))</f>
        <v>OPORTUNO</v>
      </c>
      <c r="M586" s="3">
        <v>0</v>
      </c>
      <c r="N586" s="3">
        <v>98.63</v>
      </c>
      <c r="O586" s="3">
        <v>18.75</v>
      </c>
    </row>
    <row r="587" spans="1:15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>IF(K587&lt;-5,"CRÍTICO",IF(K587&lt;0,"ATENÇÃO",IF(K587&lt;=5,"OPORTUNO","MUITO BOM")))</f>
        <v>OPORTUNO</v>
      </c>
      <c r="M587" s="3">
        <v>14</v>
      </c>
      <c r="N587" s="3">
        <v>100</v>
      </c>
      <c r="O587" s="3">
        <v>18.14516129032258</v>
      </c>
    </row>
    <row r="588" spans="1:15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IF(K588&lt;-5,"CRÍTICO",IF(K588&lt;0,"ATENÇÃO",IF(K588&lt;=5,"OPORTUNO","MUITO BOM")))</f>
        <v>OPORTUNO</v>
      </c>
      <c r="M588" s="3">
        <v>0</v>
      </c>
      <c r="N588" s="3">
        <v>99.06</v>
      </c>
      <c r="O588" s="3">
        <v>22.95719844357977</v>
      </c>
    </row>
    <row r="589" spans="1:15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>IF(K589&lt;-5,"CRÍTICO",IF(K589&lt;0,"ATENÇÃO",IF(K589&lt;=5,"OPORTUNO","MUITO BOM")))</f>
        <v>OPORTUNO</v>
      </c>
      <c r="M589" s="3">
        <v>6</v>
      </c>
      <c r="N589" s="3">
        <v>100</v>
      </c>
      <c r="O589" s="3">
        <v>29.032258064516132</v>
      </c>
    </row>
    <row r="590" spans="1:15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>IF(K590&lt;-5,"CRÍTICO",IF(K590&lt;0,"ATENÇÃO",IF(K590&lt;=5,"OPORTUNO","MUITO BOM")))</f>
        <v>MUITO BOM</v>
      </c>
      <c r="M590" s="3">
        <v>25</v>
      </c>
      <c r="N590" s="3">
        <v>100</v>
      </c>
      <c r="O590" s="3">
        <v>13.8121546961326</v>
      </c>
    </row>
    <row r="591" spans="1:15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>IF(K591&lt;-5,"CRÍTICO",IF(K591&lt;0,"ATENÇÃO",IF(K591&lt;=5,"OPORTUNO","MUITO BOM")))</f>
        <v>OPORTUNO</v>
      </c>
      <c r="M591" s="3">
        <v>0</v>
      </c>
      <c r="N591" s="3">
        <v>100</v>
      </c>
      <c r="O591" s="3">
        <v>9.5238095238095237</v>
      </c>
    </row>
    <row r="592" spans="1:15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>IF(K592&lt;-5,"CRÍTICO",IF(K592&lt;0,"ATENÇÃO",IF(K592&lt;=5,"OPORTUNO","MUITO BOM")))</f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11">
        <v>46050</v>
      </c>
      <c r="B593" t="s">
        <v>36</v>
      </c>
      <c r="C593" t="s">
        <v>20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 t="shared" ref="I593:I594" si="13">E593+G593+H593</f>
        <v>25</v>
      </c>
      <c r="J593" s="3">
        <f t="shared" ref="J593:J594" si="14"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17</v>
      </c>
      <c r="K593" s="3">
        <f t="shared" ref="K593:K594" si="15">I593-J593</f>
        <v>8</v>
      </c>
      <c r="L593" s="3" t="str">
        <f t="shared" ref="L593:L594" si="16">IF(K593&lt;-5,"CRÍTICO",IF(K593&lt;0,"ATENÇÃO",IF(K593&lt;=5,"BOM","EXCELENTE")))</f>
        <v>EXCELENTE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36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f t="shared" si="13"/>
        <v>0</v>
      </c>
      <c r="J594" s="3">
        <f t="shared" si="14"/>
        <v>17</v>
      </c>
      <c r="K594" s="3">
        <f t="shared" si="15"/>
        <v>-17</v>
      </c>
      <c r="L594" s="3" t="str">
        <f t="shared" si="16"/>
        <v>CRÍTICO</v>
      </c>
      <c r="N594">
        <v>98.91</v>
      </c>
      <c r="O594">
        <v>31.367292225201069</v>
      </c>
    </row>
    <row r="595" spans="1:15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>IF(K596&lt;-5,"CRÍTICO",IF(K596&lt;0,"ATENÇÃO",IF(K596&lt;=5,"OPORTUNO","MUITO BOM")))</f>
        <v>MUITO BOM</v>
      </c>
      <c r="M596" s="3">
        <v>28</v>
      </c>
      <c r="N596" s="3">
        <v>98.64</v>
      </c>
      <c r="O596" s="3">
        <v>16.638370118845501</v>
      </c>
    </row>
    <row r="597" spans="1:15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>IF(K597&lt;-5,"CRÍTICO",IF(K597&lt;0,"ATENÇÃO",IF(K597&lt;=5,"OPORTUNO","MUITO BOM")))</f>
        <v>CRÍTICO</v>
      </c>
      <c r="M597" s="3">
        <v>10</v>
      </c>
      <c r="N597" s="3">
        <v>95.4</v>
      </c>
      <c r="O597" s="3">
        <v>20.533333333333331</v>
      </c>
    </row>
    <row r="598" spans="1:15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>IF(K598&lt;-5,"CRÍTICO",IF(K598&lt;0,"ATENÇÃO",IF(K598&lt;=5,"OPORTUNO","MUITO BOM")))</f>
        <v>ATENÇÃO</v>
      </c>
      <c r="M598" s="3">
        <v>14</v>
      </c>
      <c r="N598" s="3">
        <v>98.61</v>
      </c>
      <c r="O598" s="3">
        <v>16.97530864197531</v>
      </c>
    </row>
    <row r="599" spans="1:15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>IF(K599&lt;-5,"CRÍTICO",IF(K599&lt;0,"ATENÇÃO",IF(K599&lt;=5,"OPORTUNO","MUITO BOM")))</f>
        <v>OPORTUNO</v>
      </c>
      <c r="M599" s="3">
        <v>0</v>
      </c>
      <c r="N599" s="3">
        <v>0</v>
      </c>
      <c r="O599" s="3">
        <v>0</v>
      </c>
    </row>
    <row r="600" spans="1:15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>E600+G600+H600</f>
        <v>14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>I600-J600</f>
        <v>1</v>
      </c>
      <c r="L600" s="3" t="str">
        <f>IF(K600&lt;-5,"CRÍTICO",IF(K600&lt;0,"ATENÇÃO",IF(K600&lt;=5,"OPORTUNO","MUITO BOM")))</f>
        <v>OPORTUNO</v>
      </c>
      <c r="M600" s="3">
        <v>15</v>
      </c>
      <c r="N600" s="3">
        <v>97.01</v>
      </c>
      <c r="O600" s="3">
        <v>13.961038961038961</v>
      </c>
    </row>
    <row r="601" spans="1:15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>E601+G601+H601</f>
        <v>21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22</v>
      </c>
      <c r="K601" s="3">
        <f>I601-J601</f>
        <v>-1</v>
      </c>
      <c r="L601" s="3" t="str">
        <f>IF(K601&lt;-5,"CRÍTICO",IF(K601&lt;0,"ATENÇÃO",IF(K601&lt;=5,"OPORTUNO","MUITO BOM")))</f>
        <v>ATENÇÃO</v>
      </c>
      <c r="M601" s="3">
        <v>21</v>
      </c>
      <c r="N601" s="3">
        <v>95.52</v>
      </c>
      <c r="O601" s="3">
        <v>10.561056105610559</v>
      </c>
    </row>
    <row r="602" spans="1:15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>E602+G602+H602</f>
        <v>12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13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10</v>
      </c>
      <c r="N602" s="3">
        <v>100</v>
      </c>
      <c r="O602" s="3">
        <v>16.959064327485379</v>
      </c>
    </row>
    <row r="603" spans="1:15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>E603+G603+H603</f>
        <v>21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22</v>
      </c>
      <c r="K603" s="3">
        <f>I603-J603</f>
        <v>-1</v>
      </c>
      <c r="L603" s="3" t="str">
        <f>IF(K603&lt;-5,"CRÍTICO",IF(K603&lt;0,"ATENÇÃO",IF(K603&lt;=5,"OPORTUNO","MUITO BOM")))</f>
        <v>ATENÇÃO</v>
      </c>
      <c r="M603" s="3">
        <v>20</v>
      </c>
      <c r="N603" s="3">
        <v>100</v>
      </c>
      <c r="O603" s="3">
        <v>15.584415584415581</v>
      </c>
    </row>
    <row r="604" spans="1:15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>E604+G604+H604</f>
        <v>19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18</v>
      </c>
      <c r="K604" s="3">
        <f>I604-J604</f>
        <v>1</v>
      </c>
      <c r="L604" s="3" t="str">
        <f>IF(K604&lt;-5,"CRÍTICO",IF(K604&lt;0,"ATENÇÃO",IF(K604&lt;=5,"OPORTUNO","MUITO BOM")))</f>
        <v>OPORTUNO</v>
      </c>
      <c r="M604" s="3">
        <v>17</v>
      </c>
      <c r="N604" s="3">
        <v>98.61</v>
      </c>
      <c r="O604" s="3">
        <v>16.867469879518069</v>
      </c>
    </row>
    <row r="605" spans="1:15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>E605+G605+H605</f>
        <v>15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18</v>
      </c>
      <c r="K605" s="3">
        <f>I605-J605</f>
        <v>-3</v>
      </c>
      <c r="L605" s="3" t="str">
        <f>IF(K605&lt;-5,"CRÍTICO",IF(K605&lt;0,"ATENÇÃO",IF(K605&lt;=5,"OPORTUNO","MUITO BOM")))</f>
        <v>ATENÇÃO</v>
      </c>
      <c r="M605" s="3">
        <v>15</v>
      </c>
      <c r="N605" s="3">
        <v>100</v>
      </c>
      <c r="O605" s="3">
        <v>20.820189274447952</v>
      </c>
    </row>
    <row r="606" spans="1:15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>E606+G606+H606</f>
        <v>27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22</v>
      </c>
      <c r="K606" s="3">
        <f>I606-J606</f>
        <v>5</v>
      </c>
      <c r="L606" s="3" t="str">
        <f>IF(K606&lt;-5,"CRÍTICO",IF(K606&lt;0,"ATENÇÃO",IF(K606&lt;=5,"OPORTUNO","MUITO BOM")))</f>
        <v>OPORTUNO</v>
      </c>
      <c r="M606" s="3">
        <v>18</v>
      </c>
      <c r="N606" s="3">
        <v>100</v>
      </c>
      <c r="O606" s="3">
        <v>4.3478260869565224</v>
      </c>
    </row>
    <row r="607" spans="1:15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>E607+G607+H607</f>
        <v>20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15</v>
      </c>
      <c r="K607" s="3">
        <f>I607-J607</f>
        <v>5</v>
      </c>
      <c r="L607" s="3" t="str">
        <f>IF(K607&lt;-5,"CRÍTICO",IF(K607&lt;0,"ATENÇÃO",IF(K607&lt;=5,"OPORTUNO","MUITO BOM")))</f>
        <v>OPORTUNO</v>
      </c>
      <c r="M607" s="3">
        <v>21</v>
      </c>
      <c r="N607" s="3">
        <v>93.26</v>
      </c>
      <c r="O607" s="3">
        <v>19.93957703927493</v>
      </c>
    </row>
    <row r="608" spans="1:15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>E608+G608+H608</f>
        <v>12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6</v>
      </c>
      <c r="K608" s="3">
        <f>I608-J608</f>
        <v>6</v>
      </c>
      <c r="L608" s="3" t="str">
        <f>IF(K608&lt;-5,"CRÍTICO",IF(K608&lt;0,"ATENÇÃO",IF(K608&lt;=5,"OPORTUNO","MUITO BOM")))</f>
        <v>MUITO BOM</v>
      </c>
      <c r="M608" s="3">
        <v>8</v>
      </c>
      <c r="N608" s="3">
        <v>100</v>
      </c>
      <c r="O608" s="3">
        <v>11.864406779661021</v>
      </c>
    </row>
    <row r="609" spans="1:15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>E609+G609+H609</f>
        <v>30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22</v>
      </c>
      <c r="K609" s="3">
        <f>I609-J609</f>
        <v>8</v>
      </c>
      <c r="L609" s="3" t="str">
        <f>IF(K609&lt;-5,"CRÍTICO",IF(K609&lt;0,"ATENÇÃO",IF(K609&lt;=5,"OPORTUNO","MUITO BOM")))</f>
        <v>MUITO BOM</v>
      </c>
      <c r="M609" s="3">
        <v>15</v>
      </c>
      <c r="N609" s="3">
        <v>98.28</v>
      </c>
      <c r="O609" s="3">
        <v>9.037900874635568</v>
      </c>
    </row>
    <row r="610" spans="1:15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>E610+G610+H610</f>
        <v>25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22</v>
      </c>
      <c r="K610" s="3">
        <f>I610-J610</f>
        <v>3</v>
      </c>
      <c r="L610" s="3" t="str">
        <f>IF(K610&lt;-5,"CRÍTICO",IF(K610&lt;0,"ATENÇÃO",IF(K610&lt;=5,"OPORTUNO","MUITO BOM")))</f>
        <v>OPORTUNO</v>
      </c>
      <c r="M610" s="3">
        <v>21</v>
      </c>
      <c r="N610" s="3">
        <v>97.22</v>
      </c>
      <c r="O610" s="3">
        <v>19.095477386934672</v>
      </c>
    </row>
    <row r="611" spans="1:15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>E611+G611+H611</f>
        <v>13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6</v>
      </c>
      <c r="K611" s="3">
        <f>I611-J611</f>
        <v>7</v>
      </c>
      <c r="L611" s="3" t="str">
        <f>IF(K611&lt;-5,"CRÍTICO",IF(K611&lt;0,"ATENÇÃO",IF(K611&lt;=5,"OPORTUNO","MUITO BOM")))</f>
        <v>MUITO BOM</v>
      </c>
      <c r="M611" s="3">
        <v>8</v>
      </c>
      <c r="N611" s="3">
        <v>100</v>
      </c>
      <c r="O611" s="3">
        <v>16.814159292035399</v>
      </c>
    </row>
    <row r="612" spans="1:15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>E612+G612+H612</f>
        <v>18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13</v>
      </c>
      <c r="K612" s="3">
        <f>I612-J612</f>
        <v>5</v>
      </c>
      <c r="L612" s="3" t="str">
        <f>IF(K612&lt;-5,"CRÍTICO",IF(K612&lt;0,"ATENÇÃO",IF(K612&lt;=5,"OPORTUNO","MUITO BOM")))</f>
        <v>OPORTUNO</v>
      </c>
      <c r="M612" s="3">
        <v>16</v>
      </c>
      <c r="N612" s="3">
        <v>98</v>
      </c>
      <c r="O612" s="3">
        <v>16.43835616438356</v>
      </c>
    </row>
    <row r="613" spans="1:15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>IF(K613&lt;-5,"CRÍTICO",IF(K613&lt;0,"ATENÇÃO",IF(K613&lt;=5,"OPORTUNO","MUITO BOM")))</f>
        <v>OPORTUNO</v>
      </c>
      <c r="M613" s="3">
        <v>0</v>
      </c>
      <c r="N613" s="3">
        <v>100</v>
      </c>
      <c r="O613" s="3">
        <v>16.894977168949769</v>
      </c>
    </row>
    <row r="614" spans="1:15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>E614+G614+H614</f>
        <v>10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>I614-J614</f>
        <v>-3</v>
      </c>
      <c r="L614" s="3" t="str">
        <f>IF(K614&lt;-5,"CRÍTICO",IF(K614&lt;0,"ATENÇÃO",IF(K614&lt;=5,"OPORTUNO","MUITO BOM")))</f>
        <v>ATENÇÃO</v>
      </c>
      <c r="M614" s="3">
        <v>12</v>
      </c>
      <c r="N614" s="3">
        <v>100</v>
      </c>
      <c r="O614" s="3">
        <v>19.138755980861241</v>
      </c>
    </row>
    <row r="615" spans="1:15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>E615+G615+H615</f>
        <v>14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13</v>
      </c>
      <c r="K615" s="3">
        <f>I615-J615</f>
        <v>1</v>
      </c>
      <c r="L615" s="3" t="str">
        <f>IF(K615&lt;-5,"CRÍTICO",IF(K615&lt;0,"ATENÇÃO",IF(K615&lt;=5,"OPORTUNO","MUITO BOM")))</f>
        <v>OPORTUNO</v>
      </c>
      <c r="M615" s="3">
        <v>12</v>
      </c>
      <c r="N615" s="3">
        <v>100</v>
      </c>
      <c r="O615" s="3">
        <v>15.02145922746781</v>
      </c>
    </row>
    <row r="616" spans="1:15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6</v>
      </c>
      <c r="K616" s="3">
        <f>I616-J616</f>
        <v>12</v>
      </c>
      <c r="L616" s="3" t="str">
        <f>IF(K616&lt;-5,"CRÍTICO",IF(K616&lt;0,"ATENÇÃO",IF(K616&lt;=5,"OPORTUNO","MUITO BOM")))</f>
        <v>MUITO BOM</v>
      </c>
      <c r="M616" s="3">
        <v>13</v>
      </c>
      <c r="N616" s="3">
        <v>98.11</v>
      </c>
      <c r="O616" s="3">
        <v>20.408163265306118</v>
      </c>
    </row>
    <row r="617" spans="1:15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>E617+G617+H617</f>
        <v>27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15</v>
      </c>
      <c r="K617" s="3">
        <f>I617-J617</f>
        <v>12</v>
      </c>
      <c r="L617" s="3" t="str">
        <f>IF(K617&lt;-5,"CRÍTICO",IF(K617&lt;0,"ATENÇÃO",IF(K617&lt;=5,"OPORTUNO","MUITO BOM")))</f>
        <v>MUITO BOM</v>
      </c>
      <c r="M617" s="3">
        <v>20</v>
      </c>
      <c r="N617" s="3">
        <v>97.56</v>
      </c>
      <c r="O617" s="3">
        <v>19.28783382789317</v>
      </c>
    </row>
    <row r="618" spans="1:15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>E618+G618+H618</f>
        <v>33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22</v>
      </c>
      <c r="K618" s="3">
        <f>I618-J618</f>
        <v>11</v>
      </c>
      <c r="L618" s="3" t="str">
        <f>IF(K618&lt;-5,"CRÍTICO",IF(K618&lt;0,"ATENÇÃO",IF(K618&lt;=5,"OPORTUNO","MUITO BOM")))</f>
        <v>MUITO BOM</v>
      </c>
      <c r="M618" s="3">
        <v>22</v>
      </c>
      <c r="N618" s="3">
        <v>99.29</v>
      </c>
      <c r="O618" s="3">
        <v>22.49443207126949</v>
      </c>
    </row>
    <row r="619" spans="1:15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>E619+G619+H619</f>
        <v>12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15</v>
      </c>
      <c r="K619" s="3">
        <f>I619-J619</f>
        <v>-3</v>
      </c>
      <c r="L619" s="3" t="str">
        <f>IF(K619&lt;-5,"CRÍTICO",IF(K619&lt;0,"ATENÇÃO",IF(K619&lt;=5,"OPORTUNO","MUITO BOM")))</f>
        <v>ATENÇÃO</v>
      </c>
      <c r="M619" s="3">
        <v>10</v>
      </c>
      <c r="N619" s="3">
        <v>100</v>
      </c>
      <c r="O619" s="3">
        <v>16.97247706422019</v>
      </c>
    </row>
    <row r="620" spans="1:15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>E620+G620+H620</f>
        <v>23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22</v>
      </c>
      <c r="K620" s="3">
        <f>I620-J620</f>
        <v>1</v>
      </c>
      <c r="L620" s="3" t="str">
        <f>IF(K620&lt;-5,"CRÍTICO",IF(K620&lt;0,"ATENÇÃO",IF(K620&lt;=5,"OPORTUNO","MUITO BOM")))</f>
        <v>OPORTUNO</v>
      </c>
      <c r="M620" s="3">
        <v>21</v>
      </c>
      <c r="N620" s="3">
        <v>97.33</v>
      </c>
      <c r="O620" s="3">
        <v>15.805471124620061</v>
      </c>
    </row>
    <row r="621" spans="1:15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>E621+G621+H621</f>
        <v>16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16</v>
      </c>
      <c r="K621" s="3">
        <f>I621-J621</f>
        <v>0</v>
      </c>
      <c r="L621" s="3" t="str">
        <f>IF(K621&lt;-5,"CRÍTICO",IF(K621&lt;0,"ATENÇÃO",IF(K621&lt;=5,"OPORTUNO","MUITO BOM")))</f>
        <v>OPORTUNO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 t="str">
        <f>IF(K622&lt;-5,"CRÍTICO",IF(K622&lt;0,"ATENÇÃO",IF(K622&lt;=5,"OPORTUNO","MUITO BOM")))</f>
        <v>OPORTUNO</v>
      </c>
      <c r="M622" s="3">
        <v>0</v>
      </c>
      <c r="N622" s="3">
        <v>100</v>
      </c>
      <c r="O622" s="3">
        <v>0</v>
      </c>
    </row>
    <row r="623" spans="1:15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>E623+G623+H623</f>
        <v>12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13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10</v>
      </c>
      <c r="N623" s="3">
        <v>95.38</v>
      </c>
      <c r="O623" s="3">
        <v>21.5962441314554</v>
      </c>
    </row>
    <row r="624" spans="1:15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>E624+G624+H624</f>
        <v>23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21</v>
      </c>
      <c r="K624" s="3">
        <f>I624-J624</f>
        <v>2</v>
      </c>
      <c r="L624" s="3" t="str">
        <f>IF(K624&lt;-5,"CRÍTICO",IF(K624&lt;0,"ATENÇÃO",IF(K624&lt;=5,"OPORTUNO","MUITO BOM")))</f>
        <v>OPORTUNO</v>
      </c>
      <c r="M624" s="3">
        <v>16</v>
      </c>
      <c r="N624" s="3">
        <v>96.34</v>
      </c>
      <c r="O624" s="3">
        <v>17.571884984025559</v>
      </c>
    </row>
    <row r="625" spans="1:15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>E625+G625+H625</f>
        <v>19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12</v>
      </c>
      <c r="K625" s="3">
        <f>I625-J625</f>
        <v>7</v>
      </c>
      <c r="L625" s="3" t="str">
        <f>IF(K625&lt;-5,"CRÍTICO",IF(K625&lt;0,"ATENÇÃO",IF(K625&lt;=5,"OPORTUNO","MUITO BOM")))</f>
        <v>MUITO BOM</v>
      </c>
      <c r="M625" s="3">
        <v>18</v>
      </c>
      <c r="N625" s="3">
        <v>99.11</v>
      </c>
      <c r="O625" s="3">
        <v>17.721518987341771</v>
      </c>
    </row>
    <row r="626" spans="1:15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>E626+G626+H626</f>
        <v>33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16</v>
      </c>
      <c r="K626" s="3">
        <f>I626-J626</f>
        <v>17</v>
      </c>
      <c r="L626" s="3" t="str">
        <f>IF(K626&lt;-5,"CRÍTICO",IF(K626&lt;0,"ATENÇÃO",IF(K626&lt;=5,"OPORTUNO","MUITO BOM")))</f>
        <v>MUITO BOM</v>
      </c>
      <c r="M626" s="3">
        <v>24</v>
      </c>
      <c r="N626" s="3">
        <v>99.13</v>
      </c>
      <c r="O626" s="3">
        <v>14.7239263803681</v>
      </c>
    </row>
    <row r="627" spans="1:15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>E627+G627+H627</f>
        <v>12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16</v>
      </c>
      <c r="K627" s="3">
        <f>I627-J627</f>
        <v>-4</v>
      </c>
      <c r="L627" s="3" t="str">
        <f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>E628+G628+H628</f>
        <v>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6</v>
      </c>
      <c r="K628" s="3">
        <f>I628-J628</f>
        <v>1</v>
      </c>
      <c r="L628" s="3" t="str">
        <f>IF(K628&lt;-5,"CRÍTICO",IF(K628&lt;0,"ATENÇÃO",IF(K628&lt;=5,"OPORTUNO","MUITO BOM")))</f>
        <v>OPORTUNO</v>
      </c>
      <c r="M628" s="3">
        <v>3</v>
      </c>
      <c r="N628" s="3">
        <v>96.43</v>
      </c>
      <c r="O628" s="3">
        <v>20</v>
      </c>
    </row>
    <row r="629" spans="1:15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>E629+G629+H629</f>
        <v>14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13</v>
      </c>
      <c r="K629" s="3">
        <f>I629-J629</f>
        <v>1</v>
      </c>
      <c r="L629" s="3" t="str">
        <f>IF(K629&lt;-5,"CRÍTICO",IF(K629&lt;0,"ATENÇÃO",IF(K629&lt;=5,"OPORTUNO","MUITO BOM")))</f>
        <v>OPORTUNO</v>
      </c>
      <c r="M629" s="3">
        <v>12</v>
      </c>
      <c r="N629" s="3">
        <v>96.88</v>
      </c>
      <c r="O629" s="3">
        <v>19.526627218934909</v>
      </c>
    </row>
    <row r="630" spans="1:15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>E630+G630+H630</f>
        <v>24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21</v>
      </c>
      <c r="K630" s="3">
        <f>I630-J630</f>
        <v>3</v>
      </c>
      <c r="L630" s="3" t="str">
        <f>IF(K630&lt;-5,"CRÍTICO",IF(K630&lt;0,"ATENÇÃO",IF(K630&lt;=5,"OPORTUNO","MUITO BOM")))</f>
        <v>OPORTUNO</v>
      </c>
      <c r="M630" s="3">
        <v>22</v>
      </c>
      <c r="N630" s="3">
        <v>91.85</v>
      </c>
      <c r="O630" s="3">
        <v>20.87155963302752</v>
      </c>
    </row>
    <row r="631" spans="1:15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>IF(K631&lt;-5,"CRÍTICO",IF(K631&lt;0,"ATENÇÃO",IF(K631&lt;=5,"OPORTUNO","MUITO BOM")))</f>
        <v>OPORTUNO</v>
      </c>
      <c r="M631" s="3">
        <v>0</v>
      </c>
      <c r="N631" s="3">
        <v>98.63</v>
      </c>
      <c r="O631" s="3">
        <v>18.75</v>
      </c>
    </row>
    <row r="632" spans="1:15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13</v>
      </c>
      <c r="K632" s="3">
        <f>I632-J632</f>
        <v>10</v>
      </c>
      <c r="L632" s="3" t="str">
        <f>IF(K632&lt;-5,"CRÍTICO",IF(K632&lt;0,"ATENÇÃO",IF(K632&lt;=5,"OPORTUNO","MUITO BOM")))</f>
        <v>MUITO BOM</v>
      </c>
      <c r="M632" s="3">
        <v>18</v>
      </c>
      <c r="N632" s="3">
        <v>100</v>
      </c>
      <c r="O632" s="3">
        <v>18.14516129032258</v>
      </c>
    </row>
    <row r="633" spans="1:15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>IF(K633&lt;-5,"CRÍTICO",IF(K633&lt;0,"ATENÇÃO",IF(K633&lt;=5,"OPORTUNO","MUITO BOM")))</f>
        <v>OPORTUNO</v>
      </c>
      <c r="M633" s="3">
        <v>0</v>
      </c>
      <c r="N633" s="3">
        <v>99.06</v>
      </c>
      <c r="O633" s="3">
        <v>22.95719844357977</v>
      </c>
    </row>
    <row r="634" spans="1:15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>IF(K634&lt;-5,"CRÍTICO",IF(K634&lt;0,"ATENÇÃO",IF(K634&lt;=5,"OPORTUNO","MUITO BOM")))</f>
        <v>OPORTUNO</v>
      </c>
      <c r="M634" s="3">
        <v>6</v>
      </c>
      <c r="N634" s="3">
        <v>100</v>
      </c>
      <c r="O634" s="3">
        <v>29.032258064516132</v>
      </c>
    </row>
    <row r="635" spans="1:15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16</v>
      </c>
      <c r="K635" s="3">
        <f>I635-J635</f>
        <v>-1</v>
      </c>
      <c r="L635" s="3" t="str">
        <f>IF(K635&lt;-5,"CRÍTICO",IF(K635&lt;0,"ATENÇÃO",IF(K635&lt;=5,"OPORTUNO","MUITO BOM")))</f>
        <v>ATENÇÃO</v>
      </c>
      <c r="M635" s="3">
        <v>15</v>
      </c>
      <c r="N635" s="3">
        <v>100</v>
      </c>
      <c r="O635" s="3">
        <v>13.8121546961326</v>
      </c>
    </row>
    <row r="636" spans="1:15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>IF(K636&lt;-5,"CRÍTICO",IF(K636&lt;0,"ATENÇÃO",IF(K636&lt;=5,"OPORTUNO","MUITO BOM")))</f>
        <v>CRÍTICO</v>
      </c>
      <c r="M636" s="3">
        <v>10</v>
      </c>
      <c r="N636" s="3">
        <v>100</v>
      </c>
      <c r="O636" s="3">
        <v>9.5238095238095237</v>
      </c>
    </row>
    <row r="637" spans="1:15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>IF(K637&lt;-5,"CRÍTICO",IF(K637&lt;0,"ATENÇÃO",IF(K637&lt;=5,"OPORTUNO","MUITO BOM")))</f>
        <v>OPORTUNO</v>
      </c>
      <c r="M637" s="3">
        <v>0</v>
      </c>
      <c r="N637" s="3">
        <v>100</v>
      </c>
      <c r="O637" s="3">
        <v>17.241379310344829</v>
      </c>
    </row>
    <row r="638" spans="1:15" hidden="1" x14ac:dyDescent="0.25">
      <c r="A638" s="11">
        <v>46052</v>
      </c>
      <c r="B638" t="s">
        <v>36</v>
      </c>
      <c r="C638" t="s">
        <v>20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ref="I638:I639" si="17">E638+G638+H638</f>
        <v>31</v>
      </c>
      <c r="J638" s="3">
        <f t="shared" ref="J638:J639" si="18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17</v>
      </c>
      <c r="K638" s="3">
        <f t="shared" ref="K638:K639" si="19">I638-J638</f>
        <v>14</v>
      </c>
      <c r="L638" s="3" t="str">
        <f t="shared" ref="L638:L639" si="20">IF(K638&lt;-5,"CRÍTICO",IF(K638&lt;0,"ATENÇÃO",IF(K638&lt;=5,"BOM","EXCELENTE")))</f>
        <v>EXCELENTE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36</v>
      </c>
      <c r="C639" t="s">
        <v>20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17"/>
        <v>15</v>
      </c>
      <c r="J639" s="3">
        <f t="shared" si="18"/>
        <v>17</v>
      </c>
      <c r="K639" s="3">
        <f t="shared" si="19"/>
        <v>-2</v>
      </c>
      <c r="L639" s="3" t="str">
        <f t="shared" si="20"/>
        <v>ATENÇÃO</v>
      </c>
      <c r="N639">
        <v>96.67</v>
      </c>
      <c r="O639">
        <v>31.451612903225811</v>
      </c>
    </row>
    <row r="640" spans="1:15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>E640+G640+H640</f>
        <v>15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16</v>
      </c>
      <c r="K640" s="3">
        <f>I640-J640</f>
        <v>-1</v>
      </c>
      <c r="L640" s="3" t="str">
        <f>IF(K640&lt;-5,"CRÍTICO",IF(K640&lt;0,"ATENÇÃO",IF(K640&lt;=5,"OPORTUNO","MUITO BOM")))</f>
        <v>ATENÇÃO</v>
      </c>
      <c r="M640" s="3">
        <v>14</v>
      </c>
      <c r="N640" s="3">
        <v>98.63</v>
      </c>
      <c r="O640" s="3">
        <v>15.75757575757576</v>
      </c>
    </row>
    <row r="641" spans="1:15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>E641+G641+H641</f>
        <v>31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21</v>
      </c>
      <c r="K641" s="3">
        <f>I641-J641</f>
        <v>10</v>
      </c>
      <c r="L641" s="3" t="str">
        <f>IF(K641&lt;-5,"CRÍTICO",IF(K641&lt;0,"ATENÇÃO",IF(K641&lt;=5,"OPORTUNO","MUITO BOM")))</f>
        <v>MUITO BOM</v>
      </c>
      <c r="M641" s="3">
        <v>23</v>
      </c>
      <c r="N641" s="3">
        <v>98.64</v>
      </c>
      <c r="O641" s="3">
        <v>16.638370118845501</v>
      </c>
    </row>
    <row r="642" spans="1:15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>E642+G642+H642</f>
        <v>14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21</v>
      </c>
      <c r="K642" s="3">
        <f>I642-J642</f>
        <v>-7</v>
      </c>
      <c r="L642" s="3" t="str">
        <f>IF(K642&lt;-5,"CRÍTICO",IF(K642&lt;0,"ATENÇÃO",IF(K642&lt;=5,"OPORTUNO","MUITO BOM")))</f>
        <v>CRÍTICO</v>
      </c>
      <c r="M642" s="3">
        <v>14</v>
      </c>
      <c r="N642" s="3">
        <v>95.4</v>
      </c>
      <c r="O642" s="3">
        <v>20.533333333333331</v>
      </c>
    </row>
    <row r="643" spans="1:15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>E643+G643+H643</f>
        <v>13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16</v>
      </c>
      <c r="K643" s="3">
        <f>I643-J643</f>
        <v>-3</v>
      </c>
      <c r="L643" s="3" t="str">
        <f>IF(K643&lt;-5,"CRÍTICO",IF(K643&lt;0,"ATENÇÃO",IF(K643&lt;=5,"OPORTUNO","MUITO BOM")))</f>
        <v>ATENÇÃO</v>
      </c>
      <c r="M643" s="3">
        <v>10</v>
      </c>
      <c r="N643" s="3">
        <v>98.61</v>
      </c>
      <c r="O643" s="3">
        <v>16.97530864197531</v>
      </c>
    </row>
    <row r="644" spans="1:15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>E644+G644+H644</f>
        <v>36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21</v>
      </c>
      <c r="K644" s="3">
        <f>I644-J644</f>
        <v>15</v>
      </c>
      <c r="L644" s="3" t="str">
        <f>IF(K644&lt;-5,"CRÍTICO",IF(K644&lt;0,"ATENÇÃO",IF(K644&lt;=5,"OPORTUNO","MUITO BOM")))</f>
        <v>MUITO BOM</v>
      </c>
      <c r="M644" s="3">
        <v>0</v>
      </c>
      <c r="N644" s="3">
        <v>0</v>
      </c>
      <c r="O644" s="3">
        <v>0</v>
      </c>
    </row>
    <row r="645" spans="1:15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>E645+G645+H645</f>
        <v>19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12</v>
      </c>
      <c r="K645" s="3">
        <f>I645-J645</f>
        <v>7</v>
      </c>
      <c r="L645" s="3" t="str">
        <f>IF(K645&lt;-5,"CRÍTICO",IF(K645&lt;0,"ATENÇÃO",IF(K645&lt;=5,"OPORTUNO","MUITO BOM")))</f>
        <v>MUITO BOM</v>
      </c>
      <c r="M645" s="3">
        <v>20</v>
      </c>
      <c r="N645" s="3">
        <v>97.01</v>
      </c>
      <c r="O645" s="3">
        <v>13.961038961038961</v>
      </c>
    </row>
    <row r="646" spans="1:15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>E646+G646+H646</f>
        <v>19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21</v>
      </c>
      <c r="K646" s="3">
        <f>I646-J646</f>
        <v>-2</v>
      </c>
      <c r="L646" s="3" t="str">
        <f>IF(K646&lt;-5,"CRÍTICO",IF(K646&lt;0,"ATENÇÃO",IF(K646&lt;=5,"OPORTUNO","MUITO BOM")))</f>
        <v>ATENÇÃO</v>
      </c>
      <c r="M646" s="3">
        <v>21</v>
      </c>
      <c r="N646" s="3">
        <v>95.52</v>
      </c>
      <c r="O646" s="3">
        <v>10.561056105610559</v>
      </c>
    </row>
    <row r="647" spans="1:15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>E647+G647+H647</f>
        <v>12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12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8</v>
      </c>
      <c r="N647" s="3">
        <v>100</v>
      </c>
      <c r="O647" s="3">
        <v>16.959064327485379</v>
      </c>
    </row>
    <row r="648" spans="1:15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>E648+G648+H648</f>
        <v>20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21</v>
      </c>
      <c r="K648" s="3">
        <f>I648-J648</f>
        <v>-1</v>
      </c>
      <c r="L648" s="3" t="str">
        <f>IF(K648&lt;-5,"CRÍTICO",IF(K648&lt;0,"ATENÇÃO",IF(K648&lt;=5,"OPORTUNO","MUITO BOM")))</f>
        <v>ATENÇÃO</v>
      </c>
      <c r="M648" s="3">
        <v>20</v>
      </c>
      <c r="N648" s="3">
        <v>100</v>
      </c>
      <c r="O648" s="3">
        <v>15.584415584415581</v>
      </c>
    </row>
    <row r="649" spans="1:15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>E649+G649+H649</f>
        <v>19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16</v>
      </c>
      <c r="K649" s="3">
        <f>I649-J649</f>
        <v>3</v>
      </c>
      <c r="L649" s="3" t="str">
        <f>IF(K649&lt;-5,"CRÍTICO",IF(K649&lt;0,"ATENÇÃO",IF(K649&lt;=5,"OPORTUNO","MUITO BOM")))</f>
        <v>OPORTUNO</v>
      </c>
      <c r="M649" s="3">
        <v>18</v>
      </c>
      <c r="N649" s="3">
        <v>98.61</v>
      </c>
      <c r="O649" s="3">
        <v>16.867469879518069</v>
      </c>
    </row>
    <row r="650" spans="1:15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>IF(K650&lt;-5,"CRÍTICO",IF(K650&lt;0,"ATENÇÃO",IF(K650&lt;=5,"OPORTUNO","MUITO BOM")))</f>
        <v>OPORTUNO</v>
      </c>
      <c r="M650" s="3">
        <v>0</v>
      </c>
      <c r="N650" s="3">
        <v>100</v>
      </c>
      <c r="O650" s="3">
        <v>20.820189274447952</v>
      </c>
    </row>
    <row r="651" spans="1:15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>IF(K651&lt;-5,"CRÍTICO",IF(K651&lt;0,"ATENÇÃO",IF(K651&lt;=5,"OPORTUNO","MUITO BOM")))</f>
        <v>ATENÇÃO</v>
      </c>
      <c r="M651" s="3">
        <v>15</v>
      </c>
      <c r="N651" s="3">
        <v>100</v>
      </c>
      <c r="O651" s="3">
        <v>4.3478260869565224</v>
      </c>
    </row>
    <row r="652" spans="1:15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13</v>
      </c>
      <c r="K652" s="3">
        <f>I652-J652</f>
        <v>-5</v>
      </c>
      <c r="L652" s="3" t="str">
        <f>IF(K652&lt;-5,"CRÍTICO",IF(K652&lt;0,"ATENÇÃO",IF(K652&lt;=5,"OPORTUNO","MUITO BOM")))</f>
        <v>ATENÇÃO</v>
      </c>
      <c r="M652" s="3">
        <v>8</v>
      </c>
      <c r="N652" s="3">
        <v>93.26</v>
      </c>
      <c r="O652" s="3">
        <v>19.93957703927493</v>
      </c>
    </row>
    <row r="653" spans="1:15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>IF(K653&lt;-5,"CRÍTICO",IF(K653&lt;0,"ATENÇÃO",IF(K653&lt;=5,"OPORTUNO","MUITO BOM")))</f>
        <v>OPORTUNO</v>
      </c>
      <c r="M653" s="3">
        <v>6</v>
      </c>
      <c r="N653" s="3">
        <v>100</v>
      </c>
      <c r="O653" s="3">
        <v>11.864406779661021</v>
      </c>
    </row>
    <row r="654" spans="1:15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IF(K654&lt;-5,"CRÍTICO",IF(K654&lt;0,"ATENÇÃO",IF(K654&lt;=5,"OPORTUNO","MUITO BOM")))</f>
        <v>OPORTUNO</v>
      </c>
      <c r="M654" s="3">
        <v>3</v>
      </c>
      <c r="N654" s="3">
        <v>98.28</v>
      </c>
      <c r="O654" s="3">
        <v>9.037900874635568</v>
      </c>
    </row>
    <row r="655" spans="1:15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>I655-J655</f>
        <v>4</v>
      </c>
      <c r="L655" s="3" t="str">
        <f>IF(K655&lt;-5,"CRÍTICO",IF(K655&lt;0,"ATENÇÃO",IF(K655&lt;=5,"OPORTUNO","MUITO BOM")))</f>
        <v>OPORTUNO</v>
      </c>
      <c r="M655" s="3">
        <v>16</v>
      </c>
      <c r="N655" s="3">
        <v>97.22</v>
      </c>
      <c r="O655" s="3">
        <v>19.095477386934672</v>
      </c>
    </row>
    <row r="656" spans="1:15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>E656+G656+H656</f>
        <v>14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6</v>
      </c>
      <c r="K656" s="3">
        <f>I656-J656</f>
        <v>8</v>
      </c>
      <c r="L656" s="3" t="str">
        <f>IF(K656&lt;-5,"CRÍTICO",IF(K656&lt;0,"ATENÇÃO",IF(K656&lt;=5,"OPORTUNO","MUITO BOM")))</f>
        <v>MUITO BOM</v>
      </c>
      <c r="M656" s="3">
        <v>11</v>
      </c>
      <c r="N656" s="3">
        <v>100</v>
      </c>
      <c r="O656" s="3">
        <v>16.814159292035399</v>
      </c>
    </row>
    <row r="657" spans="1:15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>E657+G657+H657</f>
        <v>18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12</v>
      </c>
      <c r="K657" s="3">
        <f>I657-J657</f>
        <v>6</v>
      </c>
      <c r="L657" s="3" t="str">
        <f>IF(K657&lt;-5,"CRÍTICO",IF(K657&lt;0,"ATENÇÃO",IF(K657&lt;=5,"OPORTUNO","MUITO BOM")))</f>
        <v>MUITO BOM</v>
      </c>
      <c r="M657" s="3">
        <v>16</v>
      </c>
      <c r="N657" s="3">
        <v>98</v>
      </c>
      <c r="O657" s="3">
        <v>16.43835616438356</v>
      </c>
    </row>
    <row r="658" spans="1:15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>E658+G658+H658</f>
        <v>17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16</v>
      </c>
      <c r="K658" s="3">
        <f>I658-J658</f>
        <v>1</v>
      </c>
      <c r="L658" s="3" t="str">
        <f>IF(K658&lt;-5,"CRÍTICO",IF(K658&lt;0,"ATENÇÃO",IF(K658&lt;=5,"OPORTUNO","MUITO BOM")))</f>
        <v>OPORTUNO</v>
      </c>
      <c r="M658" s="3">
        <v>12</v>
      </c>
      <c r="N658" s="3">
        <v>100</v>
      </c>
      <c r="O658" s="3">
        <v>16.894977168949769</v>
      </c>
    </row>
    <row r="659" spans="1:15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>E659+G659+H659</f>
        <v>17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12</v>
      </c>
      <c r="K659" s="3">
        <f>I659-J659</f>
        <v>5</v>
      </c>
      <c r="L659" s="3" t="str">
        <f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>E660+G660+H660</f>
        <v>19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12</v>
      </c>
      <c r="K660" s="3">
        <f>I660-J660</f>
        <v>7</v>
      </c>
      <c r="L660" s="3" t="str">
        <f>IF(K660&lt;-5,"CRÍTICO",IF(K660&lt;0,"ATENÇÃO",IF(K660&lt;=5,"OPORTUNO","MUITO BOM")))</f>
        <v>MUITO BOM</v>
      </c>
      <c r="M660" s="3">
        <v>15</v>
      </c>
      <c r="N660" s="3">
        <v>100</v>
      </c>
      <c r="O660" s="3">
        <v>15.02145922746781</v>
      </c>
    </row>
    <row r="661" spans="1:15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>E661+G661+H661</f>
        <v>15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6</v>
      </c>
      <c r="K661" s="3">
        <f>I661-J661</f>
        <v>9</v>
      </c>
      <c r="L661" s="3" t="str">
        <f>IF(K661&lt;-5,"CRÍTICO",IF(K661&lt;0,"ATENÇÃO",IF(K661&lt;=5,"OPORTUNO","MUITO BOM")))</f>
        <v>MUITO BOM</v>
      </c>
      <c r="M661" s="3">
        <v>9</v>
      </c>
      <c r="N661" s="3">
        <v>98.11</v>
      </c>
      <c r="O661" s="3">
        <v>20.408163265306118</v>
      </c>
    </row>
    <row r="662" spans="1:15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13</v>
      </c>
      <c r="K662" s="3">
        <f>I662-J662</f>
        <v>7</v>
      </c>
      <c r="L662" s="3" t="str">
        <f>IF(K662&lt;-5,"CRÍTICO",IF(K662&lt;0,"ATENÇÃO",IF(K662&lt;=5,"OPORTUNO","MUITO BOM")))</f>
        <v>MUITO BOM</v>
      </c>
      <c r="M662" s="3">
        <v>12</v>
      </c>
      <c r="N662" s="3">
        <v>97.56</v>
      </c>
      <c r="O662" s="3">
        <v>19.28783382789317</v>
      </c>
    </row>
    <row r="663" spans="1:15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>E663+G663+H663</f>
        <v>22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21</v>
      </c>
      <c r="K663" s="3">
        <f>I663-J663</f>
        <v>1</v>
      </c>
      <c r="L663" s="3" t="str">
        <f>IF(K663&lt;-5,"CRÍTICO",IF(K663&lt;0,"ATENÇÃO",IF(K663&lt;=5,"OPORTUNO","MUITO BOM")))</f>
        <v>OPORTUNO</v>
      </c>
      <c r="M663" s="3">
        <v>18</v>
      </c>
      <c r="N663" s="3">
        <v>99.29</v>
      </c>
      <c r="O663" s="3">
        <v>22.49443207126949</v>
      </c>
    </row>
    <row r="664" spans="1:15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>E664+G664+H664</f>
        <v>17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13</v>
      </c>
      <c r="K664" s="3">
        <f>I664-J664</f>
        <v>4</v>
      </c>
      <c r="L664" s="3" t="str">
        <f>IF(K664&lt;-5,"CRÍTICO",IF(K664&lt;0,"ATENÇÃO",IF(K664&lt;=5,"OPORTUNO","MUITO BOM")))</f>
        <v>OPORTUNO</v>
      </c>
      <c r="M664" s="3">
        <v>17</v>
      </c>
      <c r="N664" s="3">
        <v>100</v>
      </c>
      <c r="O664" s="3">
        <v>16.97247706422019</v>
      </c>
    </row>
    <row r="665" spans="1:15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>E665+G665+H665</f>
        <v>22</v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>21</v>
      </c>
      <c r="K665" s="3">
        <f>I665-J665</f>
        <v>1</v>
      </c>
      <c r="L665" s="3" t="str">
        <f>IF(K665&lt;-5,"CRÍTICO",IF(K665&lt;0,"ATENÇÃO",IF(K665&lt;=5,"OPORTUNO","MUITO BOM")))</f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2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2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2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2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2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2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2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2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2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2" x14ac:dyDescent="0.25">
      <c r="A730" s="11">
        <v>46167</v>
      </c>
      <c r="B730" t="s">
        <v>15</v>
      </c>
      <c r="C730" t="s">
        <v>16</v>
      </c>
      <c r="D730">
        <v>0</v>
      </c>
      <c r="E730">
        <v>0</v>
      </c>
      <c r="F730">
        <v>0</v>
      </c>
      <c r="G730">
        <v>0</v>
      </c>
      <c r="H730">
        <v>0</v>
      </c>
      <c r="I730" s="3">
        <f t="shared" ref="I730:I746" si="21">E730+G730+H730</f>
        <v>0</v>
      </c>
      <c r="J730" s="3">
        <f t="shared" ref="J730:J746" si="22"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0</v>
      </c>
      <c r="K730" s="3">
        <f t="shared" ref="K730:K746" si="23">I730-J730</f>
        <v>0</v>
      </c>
      <c r="L730" s="3" t="str">
        <f t="shared" ref="L730:L746" si="24">IF(K730&lt;-5,"CRÍTICO",IF(K730&lt;0,"ATENÇÃO",IF(K730&lt;=5,"OPORTUNO","MUITO BOM")))</f>
        <v>OPORTUNO</v>
      </c>
    </row>
    <row r="731" spans="1:12" x14ac:dyDescent="0.25">
      <c r="A731" s="11">
        <v>46167</v>
      </c>
      <c r="B731" t="s">
        <v>17</v>
      </c>
      <c r="C731" t="s">
        <v>18</v>
      </c>
      <c r="D731">
        <v>0</v>
      </c>
      <c r="E731">
        <v>0</v>
      </c>
      <c r="F731">
        <v>0</v>
      </c>
      <c r="G731">
        <v>0</v>
      </c>
      <c r="H731">
        <v>0</v>
      </c>
      <c r="I731" s="3">
        <f t="shared" si="21"/>
        <v>0</v>
      </c>
      <c r="J731" s="3">
        <f t="shared" si="22"/>
        <v>0</v>
      </c>
      <c r="K731" s="3">
        <f t="shared" si="23"/>
        <v>0</v>
      </c>
      <c r="L731" s="3" t="str">
        <f t="shared" si="24"/>
        <v>OPORTUNO</v>
      </c>
    </row>
    <row r="732" spans="1:12" x14ac:dyDescent="0.25">
      <c r="A732" s="11">
        <v>46167</v>
      </c>
      <c r="B732" t="s">
        <v>19</v>
      </c>
      <c r="C732" t="s">
        <v>20</v>
      </c>
      <c r="D732">
        <v>0</v>
      </c>
      <c r="E732">
        <v>0</v>
      </c>
      <c r="F732">
        <v>0</v>
      </c>
      <c r="G732">
        <v>0</v>
      </c>
      <c r="H732">
        <v>0</v>
      </c>
      <c r="I732" s="3">
        <f t="shared" si="21"/>
        <v>0</v>
      </c>
      <c r="J732" s="3">
        <f t="shared" si="22"/>
        <v>0</v>
      </c>
      <c r="K732" s="3">
        <f t="shared" si="23"/>
        <v>0</v>
      </c>
      <c r="L732" s="3" t="str">
        <f t="shared" si="24"/>
        <v>OPORTUNO</v>
      </c>
    </row>
    <row r="733" spans="1:12" x14ac:dyDescent="0.25">
      <c r="A733" s="11">
        <v>46167</v>
      </c>
      <c r="B733" t="s">
        <v>21</v>
      </c>
      <c r="C733" t="s">
        <v>18</v>
      </c>
      <c r="D733">
        <v>0</v>
      </c>
      <c r="E733">
        <v>0</v>
      </c>
      <c r="F733">
        <v>0</v>
      </c>
      <c r="G733">
        <v>0</v>
      </c>
      <c r="H733">
        <v>0</v>
      </c>
      <c r="I733" s="3">
        <f t="shared" si="21"/>
        <v>0</v>
      </c>
      <c r="J733" s="3">
        <f t="shared" si="22"/>
        <v>0</v>
      </c>
      <c r="K733" s="3">
        <f t="shared" si="23"/>
        <v>0</v>
      </c>
      <c r="L733" s="3" t="str">
        <f t="shared" si="24"/>
        <v>OPORTUNO</v>
      </c>
    </row>
    <row r="734" spans="1:12" x14ac:dyDescent="0.25">
      <c r="A734" s="11">
        <v>46167</v>
      </c>
      <c r="B734" t="s">
        <v>22</v>
      </c>
      <c r="C734" t="s">
        <v>43</v>
      </c>
      <c r="D734">
        <v>0</v>
      </c>
      <c r="E734">
        <v>0</v>
      </c>
      <c r="F734">
        <v>0</v>
      </c>
      <c r="G734">
        <v>0</v>
      </c>
      <c r="H734">
        <v>0</v>
      </c>
      <c r="I734" s="3">
        <f t="shared" si="21"/>
        <v>0</v>
      </c>
      <c r="J734" s="3">
        <f t="shared" si="22"/>
        <v>0</v>
      </c>
      <c r="K734" s="3">
        <f t="shared" si="23"/>
        <v>0</v>
      </c>
      <c r="L734" s="3" t="str">
        <f t="shared" si="24"/>
        <v>OPORTUNO</v>
      </c>
    </row>
    <row r="735" spans="1:12" x14ac:dyDescent="0.25">
      <c r="A735" s="11">
        <v>46167</v>
      </c>
      <c r="B735" t="s">
        <v>24</v>
      </c>
      <c r="C735" t="s">
        <v>16</v>
      </c>
      <c r="D735">
        <v>0</v>
      </c>
      <c r="E735">
        <v>0</v>
      </c>
      <c r="F735">
        <v>0</v>
      </c>
      <c r="G735">
        <v>0</v>
      </c>
      <c r="H735">
        <v>0</v>
      </c>
      <c r="I735" s="3">
        <f t="shared" si="21"/>
        <v>0</v>
      </c>
      <c r="J735" s="3">
        <f t="shared" si="22"/>
        <v>0</v>
      </c>
      <c r="K735" s="3">
        <f t="shared" si="23"/>
        <v>0</v>
      </c>
      <c r="L735" s="3" t="str">
        <f t="shared" si="24"/>
        <v>OPORTUNO</v>
      </c>
    </row>
    <row r="736" spans="1:12" x14ac:dyDescent="0.25">
      <c r="A736" s="11">
        <v>46167</v>
      </c>
      <c r="B736" t="s">
        <v>25</v>
      </c>
      <c r="C736" t="s">
        <v>16</v>
      </c>
      <c r="D736">
        <v>0</v>
      </c>
      <c r="E736">
        <v>0</v>
      </c>
      <c r="F736">
        <v>0</v>
      </c>
      <c r="G736">
        <v>0</v>
      </c>
      <c r="H736">
        <v>0</v>
      </c>
      <c r="I736" s="3">
        <f t="shared" si="21"/>
        <v>0</v>
      </c>
      <c r="J736" s="3">
        <f t="shared" si="22"/>
        <v>0</v>
      </c>
      <c r="K736" s="3">
        <f t="shared" si="23"/>
        <v>0</v>
      </c>
      <c r="L736" s="3" t="str">
        <f t="shared" si="24"/>
        <v>OPORTUNO</v>
      </c>
    </row>
    <row r="737" spans="1:15" x14ac:dyDescent="0.25">
      <c r="A737" s="11">
        <v>46167</v>
      </c>
      <c r="B737" t="s">
        <v>26</v>
      </c>
      <c r="C737" t="s">
        <v>23</v>
      </c>
      <c r="D737">
        <v>0</v>
      </c>
      <c r="E737">
        <v>0</v>
      </c>
      <c r="F737">
        <v>0</v>
      </c>
      <c r="G737">
        <v>0</v>
      </c>
      <c r="H737">
        <v>0</v>
      </c>
      <c r="I737" s="3">
        <f t="shared" si="21"/>
        <v>0</v>
      </c>
      <c r="J737" s="3">
        <f t="shared" si="22"/>
        <v>0</v>
      </c>
      <c r="K737" s="3">
        <f t="shared" si="23"/>
        <v>0</v>
      </c>
      <c r="L737" s="3" t="str">
        <f t="shared" si="24"/>
        <v>OPORTUNO</v>
      </c>
    </row>
    <row r="738" spans="1:15" x14ac:dyDescent="0.25">
      <c r="A738" s="11">
        <v>46167</v>
      </c>
      <c r="B738" t="s">
        <v>27</v>
      </c>
      <c r="C738" t="s">
        <v>20</v>
      </c>
      <c r="D738">
        <v>0</v>
      </c>
      <c r="E738">
        <v>0</v>
      </c>
      <c r="F738">
        <v>0</v>
      </c>
      <c r="G738">
        <v>0</v>
      </c>
      <c r="H738">
        <v>0</v>
      </c>
      <c r="I738" s="3">
        <f t="shared" si="21"/>
        <v>0</v>
      </c>
      <c r="J738" s="3">
        <f t="shared" si="22"/>
        <v>0</v>
      </c>
      <c r="K738" s="3">
        <f t="shared" si="23"/>
        <v>0</v>
      </c>
      <c r="L738" s="3" t="str">
        <f t="shared" si="24"/>
        <v>OPORTUNO</v>
      </c>
    </row>
    <row r="739" spans="1:15" x14ac:dyDescent="0.25">
      <c r="A739" s="11">
        <v>46167</v>
      </c>
      <c r="B739" t="s">
        <v>28</v>
      </c>
      <c r="C739" t="s">
        <v>18</v>
      </c>
      <c r="D739">
        <v>0</v>
      </c>
      <c r="E739">
        <v>0</v>
      </c>
      <c r="F739">
        <v>0</v>
      </c>
      <c r="G739">
        <v>0</v>
      </c>
      <c r="H739">
        <v>0</v>
      </c>
      <c r="I739" s="3">
        <f t="shared" si="21"/>
        <v>0</v>
      </c>
      <c r="J739" s="3">
        <f t="shared" si="22"/>
        <v>0</v>
      </c>
      <c r="K739" s="3">
        <f t="shared" si="23"/>
        <v>0</v>
      </c>
      <c r="L739" s="3" t="str">
        <f t="shared" si="24"/>
        <v>OPORTUNO</v>
      </c>
    </row>
    <row r="740" spans="1:15" x14ac:dyDescent="0.25">
      <c r="A740" s="11">
        <v>46167</v>
      </c>
      <c r="B740" t="s">
        <v>29</v>
      </c>
      <c r="C740" t="s">
        <v>16</v>
      </c>
      <c r="D740">
        <v>0</v>
      </c>
      <c r="E740">
        <v>0</v>
      </c>
      <c r="F740">
        <v>0</v>
      </c>
      <c r="G740">
        <v>0</v>
      </c>
      <c r="H740">
        <v>0</v>
      </c>
      <c r="I740" s="3">
        <f t="shared" si="21"/>
        <v>0</v>
      </c>
      <c r="J740" s="3">
        <f t="shared" si="22"/>
        <v>0</v>
      </c>
      <c r="K740" s="3">
        <f t="shared" si="23"/>
        <v>0</v>
      </c>
      <c r="L740" s="3" t="str">
        <f t="shared" si="24"/>
        <v>OPORTUNO</v>
      </c>
    </row>
    <row r="741" spans="1:15" x14ac:dyDescent="0.25">
      <c r="A741" s="11">
        <v>46167</v>
      </c>
      <c r="B741" t="s">
        <v>30</v>
      </c>
      <c r="C741" t="s">
        <v>20</v>
      </c>
      <c r="D741">
        <v>0</v>
      </c>
      <c r="E741">
        <v>0</v>
      </c>
      <c r="F741">
        <v>0</v>
      </c>
      <c r="G741">
        <v>0</v>
      </c>
      <c r="H741">
        <v>0</v>
      </c>
      <c r="I741" s="3">
        <f t="shared" si="21"/>
        <v>0</v>
      </c>
      <c r="J741" s="3">
        <f t="shared" si="22"/>
        <v>0</v>
      </c>
      <c r="K741" s="3">
        <f t="shared" si="23"/>
        <v>0</v>
      </c>
      <c r="L741" s="3" t="str">
        <f t="shared" si="24"/>
        <v>OPORTUNO</v>
      </c>
    </row>
    <row r="742" spans="1:15" x14ac:dyDescent="0.25">
      <c r="A742" s="11">
        <v>46167</v>
      </c>
      <c r="B742" t="s">
        <v>31</v>
      </c>
      <c r="C742" t="s">
        <v>18</v>
      </c>
      <c r="D742">
        <v>0</v>
      </c>
      <c r="E742">
        <v>0</v>
      </c>
      <c r="F742">
        <v>0</v>
      </c>
      <c r="G742">
        <v>0</v>
      </c>
      <c r="H742">
        <v>0</v>
      </c>
      <c r="I742" s="3">
        <f t="shared" si="21"/>
        <v>0</v>
      </c>
      <c r="J742" s="3">
        <f t="shared" si="22"/>
        <v>0</v>
      </c>
      <c r="K742" s="3">
        <f t="shared" si="23"/>
        <v>0</v>
      </c>
      <c r="L742" s="3" t="str">
        <f t="shared" si="24"/>
        <v>OPORTUNO</v>
      </c>
    </row>
    <row r="743" spans="1:15" x14ac:dyDescent="0.25">
      <c r="A743" s="11">
        <v>46167</v>
      </c>
      <c r="B743" t="s">
        <v>32</v>
      </c>
      <c r="C743" t="s">
        <v>23</v>
      </c>
      <c r="D743">
        <v>0</v>
      </c>
      <c r="E743">
        <v>0</v>
      </c>
      <c r="F743">
        <v>0</v>
      </c>
      <c r="G743">
        <v>0</v>
      </c>
      <c r="H743">
        <v>0</v>
      </c>
      <c r="I743" s="3">
        <f t="shared" si="21"/>
        <v>0</v>
      </c>
      <c r="J743" s="3">
        <f t="shared" si="22"/>
        <v>0</v>
      </c>
      <c r="K743" s="3">
        <f t="shared" si="23"/>
        <v>0</v>
      </c>
      <c r="L743" s="3" t="str">
        <f t="shared" si="24"/>
        <v>OPORTUNO</v>
      </c>
    </row>
    <row r="744" spans="1:15" x14ac:dyDescent="0.25">
      <c r="A744" s="11">
        <v>46167</v>
      </c>
      <c r="B744" t="s">
        <v>33</v>
      </c>
      <c r="C744" t="s">
        <v>16</v>
      </c>
      <c r="D744">
        <v>0</v>
      </c>
      <c r="E744">
        <v>0</v>
      </c>
      <c r="F744">
        <v>0</v>
      </c>
      <c r="G744">
        <v>0</v>
      </c>
      <c r="H744">
        <v>0</v>
      </c>
      <c r="I744" s="3">
        <f t="shared" si="21"/>
        <v>0</v>
      </c>
      <c r="J744" s="3">
        <f t="shared" si="22"/>
        <v>0</v>
      </c>
      <c r="K744" s="3">
        <f t="shared" si="23"/>
        <v>0</v>
      </c>
      <c r="L744" s="3" t="str">
        <f t="shared" si="24"/>
        <v>OPORTUNO</v>
      </c>
    </row>
    <row r="745" spans="1:15" x14ac:dyDescent="0.25">
      <c r="A745" s="11">
        <v>46167</v>
      </c>
      <c r="B745" t="s">
        <v>34</v>
      </c>
      <c r="C745" t="s">
        <v>18</v>
      </c>
      <c r="D745">
        <v>0</v>
      </c>
      <c r="E745">
        <v>0</v>
      </c>
      <c r="F745">
        <v>0</v>
      </c>
      <c r="G745">
        <v>0</v>
      </c>
      <c r="H745">
        <v>0</v>
      </c>
      <c r="I745" s="3">
        <f t="shared" si="21"/>
        <v>0</v>
      </c>
      <c r="J745" s="3">
        <f t="shared" si="22"/>
        <v>0</v>
      </c>
      <c r="K745" s="3">
        <f t="shared" si="23"/>
        <v>0</v>
      </c>
      <c r="L745" s="3" t="str">
        <f t="shared" si="24"/>
        <v>OPORTUNO</v>
      </c>
    </row>
    <row r="746" spans="1:15" x14ac:dyDescent="0.25">
      <c r="A746" s="11">
        <v>46167</v>
      </c>
      <c r="B746" t="s">
        <v>35</v>
      </c>
      <c r="C746" t="s">
        <v>16</v>
      </c>
      <c r="D746">
        <v>0</v>
      </c>
      <c r="E746">
        <v>0</v>
      </c>
      <c r="F746">
        <v>0</v>
      </c>
      <c r="G746">
        <v>0</v>
      </c>
      <c r="H746">
        <v>0</v>
      </c>
      <c r="I746" s="3">
        <f t="shared" si="21"/>
        <v>0</v>
      </c>
      <c r="J746" s="3">
        <f t="shared" si="22"/>
        <v>0</v>
      </c>
      <c r="K746" s="3">
        <f t="shared" si="23"/>
        <v>0</v>
      </c>
      <c r="L746" s="3" t="str">
        <f t="shared" si="24"/>
        <v>OPORTUNO</v>
      </c>
    </row>
    <row r="747" spans="1:15" hidden="1" x14ac:dyDescent="0.25">
      <c r="A747" s="11">
        <v>46056</v>
      </c>
      <c r="B747" t="s">
        <v>36</v>
      </c>
      <c r="C747" t="s">
        <v>20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ref="I747:I774" si="25">E747+G747+H747</f>
        <v>31</v>
      </c>
      <c r="J747" s="3">
        <f t="shared" ref="J747:J774" si="26"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19</v>
      </c>
      <c r="K747" s="3">
        <f t="shared" ref="K747:K774" si="27">I747-J747</f>
        <v>12</v>
      </c>
      <c r="L747" s="3" t="str">
        <f t="shared" ref="L747:L748" si="28">IF(K747&lt;-5,"CRÍTICO",IF(K747&lt;0,"ATENÇÃO",IF(K747&lt;=5,"BOM","EXCELENTE")))</f>
        <v>EXCELENTE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36</v>
      </c>
      <c r="C748" t="s">
        <v>20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25"/>
        <v>19</v>
      </c>
      <c r="J748" s="3">
        <f t="shared" si="26"/>
        <v>19</v>
      </c>
      <c r="K748" s="3">
        <f t="shared" si="27"/>
        <v>0</v>
      </c>
      <c r="L748" s="3" t="str">
        <f t="shared" si="28"/>
        <v>BOM</v>
      </c>
      <c r="N748">
        <v>96.67</v>
      </c>
      <c r="O748">
        <v>31.451612903225811</v>
      </c>
    </row>
    <row r="749" spans="1:15" x14ac:dyDescent="0.25">
      <c r="A749" s="11">
        <v>46167</v>
      </c>
      <c r="B749" t="s">
        <v>37</v>
      </c>
      <c r="C749" t="s">
        <v>16</v>
      </c>
      <c r="D749">
        <v>0</v>
      </c>
      <c r="E749">
        <v>0</v>
      </c>
      <c r="F749">
        <v>0</v>
      </c>
      <c r="G749">
        <v>0</v>
      </c>
      <c r="H749">
        <v>0</v>
      </c>
      <c r="I749" s="3">
        <f t="shared" si="25"/>
        <v>0</v>
      </c>
      <c r="J749" s="3">
        <f t="shared" si="26"/>
        <v>0</v>
      </c>
      <c r="K749" s="3">
        <f t="shared" si="27"/>
        <v>0</v>
      </c>
      <c r="L749" s="3" t="str">
        <f t="shared" ref="L749:L774" si="29">IF(K749&lt;-5,"CRÍTICO",IF(K749&lt;0,"ATENÇÃO",IF(K749&lt;=5,"OPORTUNO","MUITO BOM")))</f>
        <v>OPORTUNO</v>
      </c>
    </row>
    <row r="750" spans="1:15" x14ac:dyDescent="0.25">
      <c r="A750" s="11">
        <v>46167</v>
      </c>
      <c r="B750" t="s">
        <v>38</v>
      </c>
      <c r="C750" t="s">
        <v>18</v>
      </c>
      <c r="D750">
        <v>0</v>
      </c>
      <c r="E750">
        <v>0</v>
      </c>
      <c r="F750">
        <v>0</v>
      </c>
      <c r="G750">
        <v>0</v>
      </c>
      <c r="H750">
        <v>0</v>
      </c>
      <c r="I750" s="3">
        <f t="shared" si="25"/>
        <v>0</v>
      </c>
      <c r="J750" s="3">
        <f t="shared" si="26"/>
        <v>0</v>
      </c>
      <c r="K750" s="3">
        <f t="shared" si="27"/>
        <v>0</v>
      </c>
      <c r="L750" s="3" t="str">
        <f t="shared" si="29"/>
        <v>OPORTUNO</v>
      </c>
    </row>
    <row r="751" spans="1:15" x14ac:dyDescent="0.25">
      <c r="A751" s="11">
        <v>46167</v>
      </c>
      <c r="B751" t="s">
        <v>39</v>
      </c>
      <c r="C751" t="s">
        <v>18</v>
      </c>
      <c r="D751">
        <v>0</v>
      </c>
      <c r="E751">
        <v>0</v>
      </c>
      <c r="F751">
        <v>0</v>
      </c>
      <c r="G751">
        <v>0</v>
      </c>
      <c r="H751">
        <v>0</v>
      </c>
      <c r="I751" s="3">
        <f t="shared" si="25"/>
        <v>0</v>
      </c>
      <c r="J751" s="3">
        <f t="shared" si="26"/>
        <v>0</v>
      </c>
      <c r="K751" s="3">
        <f t="shared" si="27"/>
        <v>0</v>
      </c>
      <c r="L751" s="3" t="str">
        <f t="shared" si="29"/>
        <v>OPORTUNO</v>
      </c>
    </row>
    <row r="752" spans="1:15" x14ac:dyDescent="0.25">
      <c r="A752" s="11">
        <v>46167</v>
      </c>
      <c r="B752" t="s">
        <v>40</v>
      </c>
      <c r="C752" t="s">
        <v>16</v>
      </c>
      <c r="D752">
        <v>0</v>
      </c>
      <c r="E752">
        <v>0</v>
      </c>
      <c r="F752">
        <v>0</v>
      </c>
      <c r="G752">
        <v>0</v>
      </c>
      <c r="H752">
        <v>0</v>
      </c>
      <c r="I752" s="3">
        <f t="shared" si="25"/>
        <v>0</v>
      </c>
      <c r="J752" s="3">
        <f t="shared" si="26"/>
        <v>0</v>
      </c>
      <c r="K752" s="3">
        <f t="shared" si="27"/>
        <v>0</v>
      </c>
      <c r="L752" s="3" t="str">
        <f t="shared" si="29"/>
        <v>OPORTUNO</v>
      </c>
    </row>
    <row r="753" spans="1:12" x14ac:dyDescent="0.25">
      <c r="A753" s="11">
        <v>46167</v>
      </c>
      <c r="B753" t="s">
        <v>41</v>
      </c>
      <c r="C753" t="s">
        <v>18</v>
      </c>
      <c r="D753">
        <v>0</v>
      </c>
      <c r="E753">
        <v>0</v>
      </c>
      <c r="F753">
        <v>0</v>
      </c>
      <c r="G753">
        <v>0</v>
      </c>
      <c r="H753">
        <v>0</v>
      </c>
      <c r="I753" s="3">
        <f t="shared" si="25"/>
        <v>0</v>
      </c>
      <c r="J753" s="3">
        <f t="shared" si="26"/>
        <v>0</v>
      </c>
      <c r="K753" s="3">
        <f t="shared" si="27"/>
        <v>0</v>
      </c>
      <c r="L753" s="3" t="str">
        <f t="shared" si="29"/>
        <v>OPORTUNO</v>
      </c>
    </row>
    <row r="754" spans="1:12" x14ac:dyDescent="0.25">
      <c r="A754" s="11">
        <v>46167</v>
      </c>
      <c r="B754" t="s">
        <v>42</v>
      </c>
      <c r="C754" t="s">
        <v>43</v>
      </c>
      <c r="D754">
        <v>0</v>
      </c>
      <c r="E754">
        <v>0</v>
      </c>
      <c r="F754">
        <v>0</v>
      </c>
      <c r="G754">
        <v>0</v>
      </c>
      <c r="H754">
        <v>0</v>
      </c>
      <c r="I754" s="3">
        <f t="shared" si="25"/>
        <v>0</v>
      </c>
      <c r="J754" s="3">
        <f t="shared" si="26"/>
        <v>0</v>
      </c>
      <c r="K754" s="3">
        <f t="shared" si="27"/>
        <v>0</v>
      </c>
      <c r="L754" s="3" t="str">
        <f t="shared" si="29"/>
        <v>OPORTUNO</v>
      </c>
    </row>
    <row r="755" spans="1:12" x14ac:dyDescent="0.25">
      <c r="A755" s="11">
        <v>46167</v>
      </c>
      <c r="B755" t="s">
        <v>44</v>
      </c>
      <c r="C755" t="s">
        <v>18</v>
      </c>
      <c r="D755">
        <v>0</v>
      </c>
      <c r="E755">
        <v>0</v>
      </c>
      <c r="F755">
        <v>0</v>
      </c>
      <c r="G755">
        <v>0</v>
      </c>
      <c r="H755">
        <v>0</v>
      </c>
      <c r="I755" s="3">
        <f t="shared" si="25"/>
        <v>0</v>
      </c>
      <c r="J755" s="3">
        <f t="shared" si="26"/>
        <v>0</v>
      </c>
      <c r="K755" s="3">
        <f t="shared" si="27"/>
        <v>0</v>
      </c>
      <c r="L755" s="3" t="str">
        <f t="shared" si="29"/>
        <v>OPORTUNO</v>
      </c>
    </row>
    <row r="756" spans="1:12" x14ac:dyDescent="0.25">
      <c r="A756" s="11">
        <v>46167</v>
      </c>
      <c r="B756" t="s">
        <v>45</v>
      </c>
      <c r="C756" t="s">
        <v>43</v>
      </c>
      <c r="D756">
        <v>0</v>
      </c>
      <c r="E756">
        <v>0</v>
      </c>
      <c r="F756">
        <v>0</v>
      </c>
      <c r="G756">
        <v>0</v>
      </c>
      <c r="H756">
        <v>0</v>
      </c>
      <c r="I756" s="3">
        <f t="shared" si="25"/>
        <v>0</v>
      </c>
      <c r="J756" s="3">
        <f t="shared" si="26"/>
        <v>0</v>
      </c>
      <c r="K756" s="3">
        <f t="shared" si="27"/>
        <v>0</v>
      </c>
      <c r="L756" s="3" t="str">
        <f t="shared" si="29"/>
        <v>OPORTUNO</v>
      </c>
    </row>
    <row r="757" spans="1:12" x14ac:dyDescent="0.25">
      <c r="A757" s="11">
        <v>46167</v>
      </c>
      <c r="B757" t="s">
        <v>46</v>
      </c>
      <c r="C757" t="s">
        <v>18</v>
      </c>
      <c r="D757">
        <v>0</v>
      </c>
      <c r="E757">
        <v>0</v>
      </c>
      <c r="F757">
        <v>0</v>
      </c>
      <c r="G757">
        <v>0</v>
      </c>
      <c r="H757">
        <v>0</v>
      </c>
      <c r="I757" s="3">
        <f t="shared" si="25"/>
        <v>0</v>
      </c>
      <c r="J757" s="3">
        <f t="shared" si="26"/>
        <v>0</v>
      </c>
      <c r="K757" s="3">
        <f t="shared" si="27"/>
        <v>0</v>
      </c>
      <c r="L757" s="3" t="str">
        <f t="shared" si="29"/>
        <v>OPORTUNO</v>
      </c>
    </row>
    <row r="758" spans="1:12" x14ac:dyDescent="0.25">
      <c r="A758" s="11">
        <v>46167</v>
      </c>
      <c r="B758" t="s">
        <v>47</v>
      </c>
      <c r="C758" t="s">
        <v>16</v>
      </c>
      <c r="D758">
        <v>0</v>
      </c>
      <c r="E758">
        <v>0</v>
      </c>
      <c r="F758">
        <v>0</v>
      </c>
      <c r="G758">
        <v>0</v>
      </c>
      <c r="H758">
        <v>0</v>
      </c>
      <c r="I758" s="3">
        <f t="shared" si="25"/>
        <v>0</v>
      </c>
      <c r="J758" s="3">
        <f t="shared" si="26"/>
        <v>0</v>
      </c>
      <c r="K758" s="3">
        <f t="shared" si="27"/>
        <v>0</v>
      </c>
      <c r="L758" s="3" t="str">
        <f t="shared" si="29"/>
        <v>OPORTUNO</v>
      </c>
    </row>
    <row r="759" spans="1:12" x14ac:dyDescent="0.25">
      <c r="A759" s="11">
        <v>46167</v>
      </c>
      <c r="B759" t="s">
        <v>48</v>
      </c>
      <c r="C759" t="s">
        <v>16</v>
      </c>
      <c r="D759">
        <v>0</v>
      </c>
      <c r="E759">
        <v>0</v>
      </c>
      <c r="F759">
        <v>0</v>
      </c>
      <c r="G759">
        <v>0</v>
      </c>
      <c r="H759">
        <v>0</v>
      </c>
      <c r="I759" s="3">
        <f t="shared" si="25"/>
        <v>0</v>
      </c>
      <c r="J759" s="3">
        <f t="shared" si="26"/>
        <v>0</v>
      </c>
      <c r="K759" s="3">
        <f t="shared" si="27"/>
        <v>0</v>
      </c>
      <c r="L759" s="3" t="str">
        <f t="shared" si="29"/>
        <v>OPORTUNO</v>
      </c>
    </row>
    <row r="760" spans="1:12" x14ac:dyDescent="0.25">
      <c r="A760" s="11">
        <v>46167</v>
      </c>
      <c r="B760" t="s">
        <v>49</v>
      </c>
      <c r="C760" t="s">
        <v>18</v>
      </c>
      <c r="D760">
        <v>0</v>
      </c>
      <c r="E760">
        <v>0</v>
      </c>
      <c r="F760">
        <v>0</v>
      </c>
      <c r="G760">
        <v>0</v>
      </c>
      <c r="H760">
        <v>0</v>
      </c>
      <c r="I760" s="3">
        <f t="shared" si="25"/>
        <v>0</v>
      </c>
      <c r="J760" s="3">
        <f t="shared" si="26"/>
        <v>0</v>
      </c>
      <c r="K760" s="3">
        <f t="shared" si="27"/>
        <v>0</v>
      </c>
      <c r="L760" s="3" t="str">
        <f t="shared" si="29"/>
        <v>OPORTUNO</v>
      </c>
    </row>
    <row r="761" spans="1:12" x14ac:dyDescent="0.25">
      <c r="A761" s="11">
        <v>46167</v>
      </c>
      <c r="B761" t="s">
        <v>50</v>
      </c>
      <c r="C761" t="s">
        <v>20</v>
      </c>
      <c r="D761">
        <v>0</v>
      </c>
      <c r="E761">
        <v>0</v>
      </c>
      <c r="F761">
        <v>0</v>
      </c>
      <c r="G761">
        <v>0</v>
      </c>
      <c r="H761">
        <v>0</v>
      </c>
      <c r="I761" s="3">
        <f t="shared" si="25"/>
        <v>0</v>
      </c>
      <c r="J761" s="3">
        <f t="shared" si="26"/>
        <v>0</v>
      </c>
      <c r="K761" s="3">
        <f t="shared" si="27"/>
        <v>0</v>
      </c>
      <c r="L761" s="3" t="str">
        <f t="shared" si="29"/>
        <v>OPORTUNO</v>
      </c>
    </row>
    <row r="762" spans="1:12" x14ac:dyDescent="0.25">
      <c r="A762" s="11">
        <v>46167</v>
      </c>
      <c r="B762" t="s">
        <v>51</v>
      </c>
      <c r="C762" t="s">
        <v>23</v>
      </c>
      <c r="D762">
        <v>0</v>
      </c>
      <c r="E762">
        <v>0</v>
      </c>
      <c r="F762">
        <v>0</v>
      </c>
      <c r="G762">
        <v>0</v>
      </c>
      <c r="H762">
        <v>0</v>
      </c>
      <c r="I762" s="3">
        <f t="shared" si="25"/>
        <v>0</v>
      </c>
      <c r="J762" s="3">
        <f t="shared" si="26"/>
        <v>0</v>
      </c>
      <c r="K762" s="3">
        <f t="shared" si="27"/>
        <v>0</v>
      </c>
      <c r="L762" s="3" t="str">
        <f t="shared" si="29"/>
        <v>OPORTUNO</v>
      </c>
    </row>
    <row r="763" spans="1:12" x14ac:dyDescent="0.25">
      <c r="A763" s="11">
        <v>46167</v>
      </c>
      <c r="B763" t="s">
        <v>52</v>
      </c>
      <c r="C763" t="s">
        <v>18</v>
      </c>
      <c r="D763">
        <v>0</v>
      </c>
      <c r="E763">
        <v>0</v>
      </c>
      <c r="F763">
        <v>0</v>
      </c>
      <c r="G763">
        <v>0</v>
      </c>
      <c r="H763">
        <v>0</v>
      </c>
      <c r="I763" s="3">
        <f t="shared" si="25"/>
        <v>0</v>
      </c>
      <c r="J763" s="3">
        <f t="shared" si="26"/>
        <v>0</v>
      </c>
      <c r="K763" s="3">
        <f t="shared" si="27"/>
        <v>0</v>
      </c>
      <c r="L763" s="3" t="str">
        <f t="shared" si="29"/>
        <v>OPORTUNO</v>
      </c>
    </row>
    <row r="764" spans="1:12" x14ac:dyDescent="0.25">
      <c r="A764" s="11">
        <v>46167</v>
      </c>
      <c r="B764" t="s">
        <v>53</v>
      </c>
      <c r="C764" t="s">
        <v>18</v>
      </c>
      <c r="D764">
        <v>0</v>
      </c>
      <c r="E764">
        <v>0</v>
      </c>
      <c r="F764">
        <v>0</v>
      </c>
      <c r="G764">
        <v>0</v>
      </c>
      <c r="H764">
        <v>0</v>
      </c>
      <c r="I764" s="3">
        <f t="shared" si="25"/>
        <v>0</v>
      </c>
      <c r="J764" s="3">
        <f t="shared" si="26"/>
        <v>0</v>
      </c>
      <c r="K764" s="3">
        <f t="shared" si="27"/>
        <v>0</v>
      </c>
      <c r="L764" s="3" t="str">
        <f t="shared" si="29"/>
        <v>OPORTUNO</v>
      </c>
    </row>
    <row r="765" spans="1:12" x14ac:dyDescent="0.25">
      <c r="A765" s="11">
        <v>46167</v>
      </c>
      <c r="B765" t="s">
        <v>54</v>
      </c>
      <c r="C765" t="s">
        <v>23</v>
      </c>
      <c r="D765">
        <v>0</v>
      </c>
      <c r="E765">
        <v>0</v>
      </c>
      <c r="F765">
        <v>0</v>
      </c>
      <c r="G765">
        <v>0</v>
      </c>
      <c r="H765">
        <v>0</v>
      </c>
      <c r="I765" s="3">
        <f t="shared" si="25"/>
        <v>0</v>
      </c>
      <c r="J765" s="3">
        <f t="shared" si="26"/>
        <v>0</v>
      </c>
      <c r="K765" s="3">
        <f t="shared" si="27"/>
        <v>0</v>
      </c>
      <c r="L765" s="3" t="str">
        <f t="shared" si="29"/>
        <v>OPORTUNO</v>
      </c>
    </row>
    <row r="766" spans="1:12" x14ac:dyDescent="0.25">
      <c r="A766" s="11">
        <v>46167</v>
      </c>
      <c r="B766" t="s">
        <v>55</v>
      </c>
      <c r="C766" t="s">
        <v>43</v>
      </c>
      <c r="D766">
        <v>0</v>
      </c>
      <c r="E766">
        <v>0</v>
      </c>
      <c r="F766">
        <v>0</v>
      </c>
      <c r="G766">
        <v>0</v>
      </c>
      <c r="H766">
        <v>0</v>
      </c>
      <c r="I766" s="3">
        <f t="shared" si="25"/>
        <v>0</v>
      </c>
      <c r="J766" s="3">
        <f t="shared" si="26"/>
        <v>0</v>
      </c>
      <c r="K766" s="3">
        <f t="shared" si="27"/>
        <v>0</v>
      </c>
      <c r="L766" s="3" t="str">
        <f t="shared" si="29"/>
        <v>OPORTUNO</v>
      </c>
    </row>
    <row r="767" spans="1:12" x14ac:dyDescent="0.25">
      <c r="A767" s="11">
        <v>46167</v>
      </c>
      <c r="B767" t="s">
        <v>56</v>
      </c>
      <c r="C767" t="s">
        <v>16</v>
      </c>
      <c r="D767">
        <v>0</v>
      </c>
      <c r="E767">
        <v>0</v>
      </c>
      <c r="F767">
        <v>0</v>
      </c>
      <c r="G767">
        <v>0</v>
      </c>
      <c r="H767">
        <v>0</v>
      </c>
      <c r="I767" s="3">
        <f t="shared" si="25"/>
        <v>0</v>
      </c>
      <c r="J767" s="3">
        <f t="shared" si="26"/>
        <v>0</v>
      </c>
      <c r="K767" s="3">
        <f t="shared" si="27"/>
        <v>0</v>
      </c>
      <c r="L767" s="3" t="str">
        <f t="shared" si="29"/>
        <v>OPORTUNO</v>
      </c>
    </row>
    <row r="768" spans="1:12" x14ac:dyDescent="0.25">
      <c r="A768" s="11">
        <v>46167</v>
      </c>
      <c r="B768" t="s">
        <v>57</v>
      </c>
      <c r="C768" t="s">
        <v>43</v>
      </c>
      <c r="D768">
        <v>0</v>
      </c>
      <c r="E768">
        <v>0</v>
      </c>
      <c r="F768">
        <v>0</v>
      </c>
      <c r="G768">
        <v>0</v>
      </c>
      <c r="H768">
        <v>0</v>
      </c>
      <c r="I768" s="3">
        <f t="shared" si="25"/>
        <v>0</v>
      </c>
      <c r="J768" s="3">
        <f t="shared" si="26"/>
        <v>0</v>
      </c>
      <c r="K768" s="3">
        <f t="shared" si="27"/>
        <v>0</v>
      </c>
      <c r="L768" s="3" t="str">
        <f t="shared" si="29"/>
        <v>OPORTUNO</v>
      </c>
    </row>
    <row r="769" spans="1:15" x14ac:dyDescent="0.25">
      <c r="A769" s="11">
        <v>46167</v>
      </c>
      <c r="B769" t="s">
        <v>58</v>
      </c>
      <c r="C769" t="s">
        <v>43</v>
      </c>
      <c r="D769">
        <v>0</v>
      </c>
      <c r="E769">
        <v>0</v>
      </c>
      <c r="F769">
        <v>0</v>
      </c>
      <c r="G769">
        <v>0</v>
      </c>
      <c r="H769">
        <v>0</v>
      </c>
      <c r="I769" s="3">
        <f t="shared" si="25"/>
        <v>0</v>
      </c>
      <c r="J769" s="3">
        <f t="shared" si="26"/>
        <v>0</v>
      </c>
      <c r="K769" s="3">
        <f t="shared" si="27"/>
        <v>0</v>
      </c>
      <c r="L769" s="3" t="str">
        <f t="shared" si="29"/>
        <v>OPORTUNO</v>
      </c>
    </row>
    <row r="770" spans="1:15" x14ac:dyDescent="0.25">
      <c r="A770" s="11">
        <v>46167</v>
      </c>
      <c r="B770" t="s">
        <v>59</v>
      </c>
      <c r="C770" t="s">
        <v>23</v>
      </c>
      <c r="D770">
        <v>0</v>
      </c>
      <c r="E770">
        <v>0</v>
      </c>
      <c r="F770">
        <v>0</v>
      </c>
      <c r="G770">
        <v>0</v>
      </c>
      <c r="H770">
        <v>0</v>
      </c>
      <c r="I770" s="3">
        <f t="shared" si="25"/>
        <v>0</v>
      </c>
      <c r="J770" s="3">
        <f t="shared" si="26"/>
        <v>0</v>
      </c>
      <c r="K770" s="3">
        <f t="shared" si="27"/>
        <v>0</v>
      </c>
      <c r="L770" s="3" t="str">
        <f t="shared" si="29"/>
        <v>OPORTUNO</v>
      </c>
    </row>
    <row r="771" spans="1:15" x14ac:dyDescent="0.25">
      <c r="A771" s="11">
        <v>46167</v>
      </c>
      <c r="B771" t="s">
        <v>60</v>
      </c>
      <c r="C771" t="s">
        <v>20</v>
      </c>
      <c r="D771">
        <v>0</v>
      </c>
      <c r="E771">
        <v>0</v>
      </c>
      <c r="F771">
        <v>0</v>
      </c>
      <c r="G771">
        <v>0</v>
      </c>
      <c r="H771">
        <v>0</v>
      </c>
      <c r="I771" s="3">
        <f t="shared" si="25"/>
        <v>0</v>
      </c>
      <c r="J771" s="3">
        <f t="shared" si="26"/>
        <v>0</v>
      </c>
      <c r="K771" s="3">
        <f t="shared" si="27"/>
        <v>0</v>
      </c>
      <c r="L771" s="3" t="str">
        <f t="shared" si="29"/>
        <v>OPORTUNO</v>
      </c>
    </row>
    <row r="772" spans="1:15" x14ac:dyDescent="0.25">
      <c r="A772" s="11">
        <v>46167</v>
      </c>
      <c r="B772" t="s">
        <v>61</v>
      </c>
      <c r="C772" t="s">
        <v>18</v>
      </c>
      <c r="D772">
        <v>0</v>
      </c>
      <c r="E772">
        <v>0</v>
      </c>
      <c r="F772">
        <v>0</v>
      </c>
      <c r="G772">
        <v>0</v>
      </c>
      <c r="H772">
        <v>0</v>
      </c>
      <c r="I772" s="3">
        <f t="shared" si="25"/>
        <v>0</v>
      </c>
      <c r="J772" s="3">
        <f t="shared" si="26"/>
        <v>0</v>
      </c>
      <c r="K772" s="3">
        <f t="shared" si="27"/>
        <v>0</v>
      </c>
      <c r="L772" s="3" t="str">
        <f t="shared" si="29"/>
        <v>OPORTUNO</v>
      </c>
    </row>
    <row r="773" spans="1:15" x14ac:dyDescent="0.25">
      <c r="A773" s="11">
        <v>46167</v>
      </c>
      <c r="B773" t="s">
        <v>62</v>
      </c>
      <c r="C773" t="s">
        <v>20</v>
      </c>
      <c r="D773">
        <v>0</v>
      </c>
      <c r="E773">
        <v>0</v>
      </c>
      <c r="F773">
        <v>0</v>
      </c>
      <c r="G773">
        <v>0</v>
      </c>
      <c r="H773">
        <v>0</v>
      </c>
      <c r="I773" s="3">
        <f t="shared" si="25"/>
        <v>0</v>
      </c>
      <c r="J773" s="3">
        <f t="shared" si="26"/>
        <v>0</v>
      </c>
      <c r="K773" s="3">
        <f t="shared" si="27"/>
        <v>0</v>
      </c>
      <c r="L773" s="3" t="str">
        <f t="shared" si="29"/>
        <v>OPORTUNO</v>
      </c>
    </row>
    <row r="774" spans="1:15" x14ac:dyDescent="0.25">
      <c r="A774" s="11">
        <v>46167</v>
      </c>
      <c r="B774" t="s">
        <v>63</v>
      </c>
      <c r="C774" t="s">
        <v>18</v>
      </c>
      <c r="D774">
        <v>0</v>
      </c>
      <c r="E774">
        <v>0</v>
      </c>
      <c r="F774">
        <v>0</v>
      </c>
      <c r="G774">
        <v>0</v>
      </c>
      <c r="H774">
        <v>0</v>
      </c>
      <c r="I774" s="3">
        <f t="shared" si="25"/>
        <v>0</v>
      </c>
      <c r="J774" s="3">
        <f t="shared" si="26"/>
        <v>0</v>
      </c>
      <c r="K774" s="3">
        <f t="shared" si="27"/>
        <v>0</v>
      </c>
      <c r="L774" s="3" t="str">
        <f t="shared" si="29"/>
        <v>OPORTUNO</v>
      </c>
    </row>
    <row r="775" spans="1:15" hidden="1" x14ac:dyDescent="0.25">
      <c r="A775" s="11">
        <v>46024</v>
      </c>
      <c r="B775" t="s">
        <v>15</v>
      </c>
      <c r="C775" t="s">
        <v>16</v>
      </c>
      <c r="D775">
        <v>21</v>
      </c>
      <c r="E775">
        <v>17</v>
      </c>
      <c r="F775">
        <v>12.2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17</v>
      </c>
      <c r="C776" t="s">
        <v>18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19</v>
      </c>
      <c r="C777" t="s">
        <v>20</v>
      </c>
      <c r="D777">
        <v>21</v>
      </c>
      <c r="E777">
        <v>19</v>
      </c>
      <c r="F777">
        <v>20.149999999999999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21</v>
      </c>
      <c r="C778" t="s">
        <v>18</v>
      </c>
      <c r="D778">
        <v>21</v>
      </c>
      <c r="E778">
        <v>20</v>
      </c>
      <c r="F778">
        <v>21.43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22</v>
      </c>
      <c r="C779" t="s">
        <v>23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24</v>
      </c>
      <c r="C780" t="s">
        <v>16</v>
      </c>
      <c r="D780">
        <v>28</v>
      </c>
      <c r="E780">
        <v>25</v>
      </c>
      <c r="F780">
        <v>13.37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25</v>
      </c>
      <c r="C781" t="s">
        <v>16</v>
      </c>
      <c r="D781">
        <v>22</v>
      </c>
      <c r="E781">
        <v>19</v>
      </c>
      <c r="F781">
        <v>16.579999999999998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26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27</v>
      </c>
      <c r="C783" t="s">
        <v>20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28</v>
      </c>
      <c r="C784" t="s">
        <v>18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29</v>
      </c>
      <c r="C785" t="s">
        <v>16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30</v>
      </c>
      <c r="C786" t="s">
        <v>20</v>
      </c>
      <c r="D786">
        <v>14</v>
      </c>
      <c r="E786">
        <v>14</v>
      </c>
      <c r="F786">
        <v>26.53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31</v>
      </c>
      <c r="C787" t="s">
        <v>18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32</v>
      </c>
      <c r="C788" t="s">
        <v>23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33</v>
      </c>
      <c r="C789" t="s">
        <v>16</v>
      </c>
      <c r="D789">
        <v>27</v>
      </c>
      <c r="E789">
        <v>26</v>
      </c>
      <c r="F789">
        <v>12.32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34</v>
      </c>
      <c r="C790" t="s">
        <v>18</v>
      </c>
      <c r="D790">
        <v>17</v>
      </c>
      <c r="E790">
        <v>17</v>
      </c>
      <c r="F790">
        <v>16.5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35</v>
      </c>
      <c r="C791" t="s">
        <v>16</v>
      </c>
      <c r="D791">
        <v>27</v>
      </c>
      <c r="E791">
        <v>25</v>
      </c>
      <c r="F791">
        <v>14.1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36</v>
      </c>
      <c r="C792" t="s">
        <v>20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>E792+G792+H792</f>
        <v>26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22</v>
      </c>
      <c r="K792" s="3">
        <f>I792-J792</f>
        <v>4</v>
      </c>
      <c r="L792" s="3" t="str">
        <f>IF(K792&lt;-5,"CRÍTICO",IF(K792&lt;0,"ATENÇÃO",IF(K792&lt;=5,"BOM","EXCELENTE")))</f>
        <v>BOM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37</v>
      </c>
      <c r="C793" t="s">
        <v>16</v>
      </c>
      <c r="D793">
        <v>21</v>
      </c>
      <c r="E793">
        <v>21</v>
      </c>
      <c r="F793">
        <v>20.28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38</v>
      </c>
      <c r="C794" t="s">
        <v>18</v>
      </c>
      <c r="D794">
        <v>30</v>
      </c>
      <c r="E794">
        <v>27</v>
      </c>
      <c r="F794">
        <v>12.25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39</v>
      </c>
      <c r="C795" t="s">
        <v>18</v>
      </c>
      <c r="D795">
        <v>14</v>
      </c>
      <c r="E795">
        <v>9</v>
      </c>
      <c r="F795">
        <v>8.59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40</v>
      </c>
      <c r="C796" t="s">
        <v>16</v>
      </c>
      <c r="D796">
        <v>28</v>
      </c>
      <c r="E796">
        <v>24</v>
      </c>
      <c r="F796">
        <v>10.210000000000001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41</v>
      </c>
      <c r="C797" t="s">
        <v>18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42</v>
      </c>
      <c r="C798" t="s">
        <v>43</v>
      </c>
      <c r="D798">
        <v>7</v>
      </c>
      <c r="E798">
        <v>7</v>
      </c>
      <c r="F798">
        <v>29.05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44</v>
      </c>
      <c r="C799" t="s">
        <v>18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45</v>
      </c>
      <c r="C800" t="s">
        <v>43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46</v>
      </c>
      <c r="C801" t="s">
        <v>18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47</v>
      </c>
      <c r="C802" t="s">
        <v>16</v>
      </c>
      <c r="D802">
        <v>18</v>
      </c>
      <c r="E802">
        <v>17</v>
      </c>
      <c r="F802">
        <v>20.36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48</v>
      </c>
      <c r="C803" t="s">
        <v>16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49</v>
      </c>
      <c r="C804" t="s">
        <v>18</v>
      </c>
      <c r="D804">
        <v>32</v>
      </c>
      <c r="E804">
        <v>21</v>
      </c>
      <c r="F804">
        <v>15.38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50</v>
      </c>
      <c r="C805" t="s">
        <v>20</v>
      </c>
      <c r="D805">
        <v>22</v>
      </c>
      <c r="E805">
        <v>20</v>
      </c>
      <c r="F805">
        <v>17.170000000000002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51</v>
      </c>
      <c r="C806" t="s">
        <v>23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52</v>
      </c>
      <c r="C807" t="s">
        <v>18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53</v>
      </c>
      <c r="C808" t="s">
        <v>18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54</v>
      </c>
      <c r="C809" t="s">
        <v>23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55</v>
      </c>
      <c r="C810" t="s">
        <v>43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56</v>
      </c>
      <c r="C811" t="s">
        <v>16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57</v>
      </c>
      <c r="C812" t="s">
        <v>43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58</v>
      </c>
      <c r="C813" t="s">
        <v>43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59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60</v>
      </c>
      <c r="C815" t="s">
        <v>20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61</v>
      </c>
      <c r="C816" t="s">
        <v>18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62</v>
      </c>
      <c r="C817" t="s">
        <v>20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63</v>
      </c>
      <c r="C818" t="s">
        <v>18</v>
      </c>
      <c r="D818">
        <v>25</v>
      </c>
      <c r="E818">
        <v>24</v>
      </c>
      <c r="F818">
        <v>10.49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15</v>
      </c>
      <c r="C819" t="s">
        <v>16</v>
      </c>
      <c r="D819">
        <v>36</v>
      </c>
      <c r="E819">
        <v>25</v>
      </c>
      <c r="F819">
        <v>11.48</v>
      </c>
      <c r="G819">
        <v>0</v>
      </c>
      <c r="H819">
        <v>0</v>
      </c>
      <c r="I819">
        <v>0</v>
      </c>
      <c r="J819">
        <v>0</v>
      </c>
      <c r="K819">
        <v>0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17</v>
      </c>
      <c r="C820" t="s">
        <v>18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19</v>
      </c>
      <c r="C821" t="s">
        <v>20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>
        <v>0</v>
      </c>
      <c r="J821">
        <v>0</v>
      </c>
      <c r="K821">
        <v>0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21</v>
      </c>
      <c r="C822" t="s">
        <v>18</v>
      </c>
      <c r="D822">
        <v>32</v>
      </c>
      <c r="E822">
        <v>32</v>
      </c>
      <c r="F822">
        <v>15.4</v>
      </c>
      <c r="G822">
        <v>0</v>
      </c>
      <c r="H822">
        <v>0</v>
      </c>
      <c r="I822">
        <v>0</v>
      </c>
      <c r="J822">
        <v>0</v>
      </c>
      <c r="K822">
        <v>0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22</v>
      </c>
      <c r="C823" t="s">
        <v>23</v>
      </c>
      <c r="D823">
        <v>9</v>
      </c>
      <c r="E823">
        <v>9</v>
      </c>
      <c r="F823">
        <v>20.23</v>
      </c>
      <c r="G823">
        <v>0</v>
      </c>
      <c r="H823">
        <v>0</v>
      </c>
      <c r="I823">
        <v>0</v>
      </c>
      <c r="J823">
        <v>0</v>
      </c>
      <c r="K823">
        <v>0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24</v>
      </c>
      <c r="C824" t="s">
        <v>16</v>
      </c>
      <c r="D824">
        <v>28</v>
      </c>
      <c r="E824">
        <v>26</v>
      </c>
      <c r="F824">
        <v>18.22</v>
      </c>
      <c r="G824">
        <v>0</v>
      </c>
      <c r="H824">
        <v>0</v>
      </c>
      <c r="I824">
        <v>0</v>
      </c>
      <c r="J824">
        <v>0</v>
      </c>
      <c r="K824">
        <v>0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25</v>
      </c>
      <c r="C825" t="s">
        <v>16</v>
      </c>
      <c r="D825">
        <v>33</v>
      </c>
      <c r="E825">
        <v>31</v>
      </c>
      <c r="F825">
        <v>15.32</v>
      </c>
      <c r="G825">
        <v>0</v>
      </c>
      <c r="H825">
        <v>0</v>
      </c>
      <c r="I825">
        <v>0</v>
      </c>
      <c r="J825">
        <v>0</v>
      </c>
      <c r="K825">
        <v>0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26</v>
      </c>
      <c r="C826" t="s">
        <v>23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27</v>
      </c>
      <c r="C827" t="s">
        <v>20</v>
      </c>
      <c r="D827">
        <v>22</v>
      </c>
      <c r="E827">
        <v>20</v>
      </c>
      <c r="F827">
        <v>18.23</v>
      </c>
      <c r="G827">
        <v>0</v>
      </c>
      <c r="H827">
        <v>0</v>
      </c>
      <c r="I827">
        <v>0</v>
      </c>
      <c r="J827">
        <v>0</v>
      </c>
      <c r="K827">
        <v>0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28</v>
      </c>
      <c r="C828" t="s">
        <v>18</v>
      </c>
      <c r="D828">
        <v>42</v>
      </c>
      <c r="E828">
        <v>40</v>
      </c>
      <c r="F828">
        <v>12.27</v>
      </c>
      <c r="G828">
        <v>0</v>
      </c>
      <c r="H828">
        <v>0</v>
      </c>
      <c r="I828">
        <v>0</v>
      </c>
      <c r="J828">
        <v>0</v>
      </c>
      <c r="K828">
        <v>0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29</v>
      </c>
      <c r="C829" t="s">
        <v>16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30</v>
      </c>
      <c r="C830" t="s">
        <v>20</v>
      </c>
      <c r="D830">
        <v>26</v>
      </c>
      <c r="E830">
        <v>22</v>
      </c>
      <c r="F830">
        <v>19.13</v>
      </c>
      <c r="G830">
        <v>0</v>
      </c>
      <c r="H830">
        <v>0</v>
      </c>
      <c r="I830">
        <v>0</v>
      </c>
      <c r="J830">
        <v>0</v>
      </c>
      <c r="K830">
        <v>0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31</v>
      </c>
      <c r="C831" t="s">
        <v>18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32</v>
      </c>
      <c r="C832" t="s">
        <v>23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33</v>
      </c>
      <c r="C833" t="s">
        <v>16</v>
      </c>
      <c r="D833">
        <v>39</v>
      </c>
      <c r="E833">
        <v>38</v>
      </c>
      <c r="F833">
        <v>12.19</v>
      </c>
      <c r="G833">
        <v>0</v>
      </c>
      <c r="H833">
        <v>0</v>
      </c>
      <c r="I833">
        <v>0</v>
      </c>
      <c r="J833">
        <v>0</v>
      </c>
      <c r="K833">
        <v>0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34</v>
      </c>
      <c r="C834" t="s">
        <v>18</v>
      </c>
      <c r="D834">
        <v>32</v>
      </c>
      <c r="E834">
        <v>29</v>
      </c>
      <c r="F834">
        <v>11.53</v>
      </c>
      <c r="G834">
        <v>0</v>
      </c>
      <c r="H834">
        <v>0</v>
      </c>
      <c r="I834">
        <v>0</v>
      </c>
      <c r="J834">
        <v>0</v>
      </c>
      <c r="K834">
        <v>0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35</v>
      </c>
      <c r="C835" t="s">
        <v>16</v>
      </c>
      <c r="D835">
        <v>32</v>
      </c>
      <c r="E835">
        <v>27</v>
      </c>
      <c r="F835">
        <v>20.36</v>
      </c>
      <c r="G835">
        <v>0</v>
      </c>
      <c r="H835">
        <v>0</v>
      </c>
      <c r="I835">
        <v>0</v>
      </c>
      <c r="J835">
        <v>0</v>
      </c>
      <c r="K835">
        <v>0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36</v>
      </c>
      <c r="C836" t="s">
        <v>20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>E836+G836+H836</f>
        <v>16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-4</v>
      </c>
      <c r="L836" s="3" t="str">
        <f>IF(K836&lt;-5,"CRÍTICO",IF(K836&lt;0,"ATENÇÃO",IF(K836&lt;=5,"BOM","EXCELENTE")))</f>
        <v>ATENÇÃO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37</v>
      </c>
      <c r="C837" t="s">
        <v>16</v>
      </c>
      <c r="D837">
        <v>27</v>
      </c>
      <c r="E837">
        <v>24</v>
      </c>
      <c r="F837">
        <v>22.12</v>
      </c>
      <c r="G837">
        <v>0</v>
      </c>
      <c r="H837">
        <v>0</v>
      </c>
      <c r="I837">
        <v>0</v>
      </c>
      <c r="J837">
        <v>0</v>
      </c>
      <c r="K837">
        <v>0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38</v>
      </c>
      <c r="C838" t="s">
        <v>18</v>
      </c>
      <c r="D838">
        <v>53</v>
      </c>
      <c r="E838">
        <v>44</v>
      </c>
      <c r="F838">
        <v>12.26</v>
      </c>
      <c r="G838">
        <v>0</v>
      </c>
      <c r="H838">
        <v>0</v>
      </c>
      <c r="I838">
        <v>0</v>
      </c>
      <c r="J838">
        <v>0</v>
      </c>
      <c r="K838">
        <v>0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39</v>
      </c>
      <c r="C839" t="s">
        <v>18</v>
      </c>
      <c r="D839">
        <v>14</v>
      </c>
      <c r="E839">
        <v>12</v>
      </c>
      <c r="F839">
        <v>15.15</v>
      </c>
      <c r="G839">
        <v>0</v>
      </c>
      <c r="H839">
        <v>0</v>
      </c>
      <c r="I839">
        <v>0</v>
      </c>
      <c r="J839">
        <v>0</v>
      </c>
      <c r="K839">
        <v>0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40</v>
      </c>
      <c r="C840" t="s">
        <v>16</v>
      </c>
      <c r="D840">
        <v>40</v>
      </c>
      <c r="E840">
        <v>30</v>
      </c>
      <c r="F840">
        <v>11.52</v>
      </c>
      <c r="G840">
        <v>0</v>
      </c>
      <c r="H840">
        <v>0</v>
      </c>
      <c r="I840">
        <v>0</v>
      </c>
      <c r="J840">
        <v>0</v>
      </c>
      <c r="K840">
        <v>0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41</v>
      </c>
      <c r="C841" t="s">
        <v>18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42</v>
      </c>
      <c r="C842" t="s">
        <v>43</v>
      </c>
      <c r="D842">
        <v>7</v>
      </c>
      <c r="E842">
        <v>6</v>
      </c>
      <c r="F842">
        <v>29.13</v>
      </c>
      <c r="G842">
        <v>0</v>
      </c>
      <c r="H842">
        <v>0</v>
      </c>
      <c r="I842">
        <v>0</v>
      </c>
      <c r="J842">
        <v>0</v>
      </c>
      <c r="K842">
        <v>0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44</v>
      </c>
      <c r="C843" t="s">
        <v>18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45</v>
      </c>
      <c r="C844" t="s">
        <v>43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46</v>
      </c>
      <c r="C845" t="s">
        <v>18</v>
      </c>
      <c r="D845">
        <v>31</v>
      </c>
      <c r="E845">
        <v>29</v>
      </c>
      <c r="F845">
        <v>15.57</v>
      </c>
      <c r="G845">
        <v>0</v>
      </c>
      <c r="H845">
        <v>0</v>
      </c>
      <c r="I845">
        <v>0</v>
      </c>
      <c r="J845">
        <v>0</v>
      </c>
      <c r="K845">
        <v>0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47</v>
      </c>
      <c r="C846" t="s">
        <v>16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>
        <v>0</v>
      </c>
      <c r="J846">
        <v>0</v>
      </c>
      <c r="K846">
        <v>0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48</v>
      </c>
      <c r="C847" t="s">
        <v>16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49</v>
      </c>
      <c r="C848" t="s">
        <v>18</v>
      </c>
      <c r="D848">
        <v>47</v>
      </c>
      <c r="E848">
        <v>40</v>
      </c>
      <c r="F848">
        <v>9</v>
      </c>
      <c r="G848">
        <v>0</v>
      </c>
      <c r="H848">
        <v>0</v>
      </c>
      <c r="I848">
        <v>0</v>
      </c>
      <c r="J848">
        <v>0</v>
      </c>
      <c r="K848">
        <v>0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50</v>
      </c>
      <c r="C849" t="s">
        <v>20</v>
      </c>
      <c r="D849">
        <v>29</v>
      </c>
      <c r="E849">
        <v>28</v>
      </c>
      <c r="F849">
        <v>16.5</v>
      </c>
      <c r="G849">
        <v>0</v>
      </c>
      <c r="H849">
        <v>0</v>
      </c>
      <c r="I849">
        <v>0</v>
      </c>
      <c r="J849">
        <v>0</v>
      </c>
      <c r="K849">
        <v>0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51</v>
      </c>
      <c r="C850" t="s">
        <v>23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>
        <v>0</v>
      </c>
      <c r="J850">
        <v>0</v>
      </c>
      <c r="K850">
        <v>0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52</v>
      </c>
      <c r="C851" t="s">
        <v>18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53</v>
      </c>
      <c r="C852" t="s">
        <v>18</v>
      </c>
      <c r="D852">
        <v>44</v>
      </c>
      <c r="E852">
        <v>32</v>
      </c>
      <c r="F852">
        <v>10.58</v>
      </c>
      <c r="G852">
        <v>0</v>
      </c>
      <c r="H852">
        <v>0</v>
      </c>
      <c r="I852">
        <v>0</v>
      </c>
      <c r="J852">
        <v>0</v>
      </c>
      <c r="K852">
        <v>0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54</v>
      </c>
      <c r="C853" t="s">
        <v>23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55</v>
      </c>
      <c r="C854" t="s">
        <v>43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56</v>
      </c>
      <c r="C855" t="s">
        <v>16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57</v>
      </c>
      <c r="C856" t="s">
        <v>43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58</v>
      </c>
      <c r="C857" t="s">
        <v>43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59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60</v>
      </c>
      <c r="C859" t="s">
        <v>20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61</v>
      </c>
      <c r="C860" t="s">
        <v>18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62</v>
      </c>
      <c r="C861" t="s">
        <v>20</v>
      </c>
      <c r="D861">
        <v>22</v>
      </c>
      <c r="E861">
        <v>19</v>
      </c>
      <c r="F861">
        <v>26.57</v>
      </c>
      <c r="G861">
        <v>0</v>
      </c>
      <c r="H861">
        <v>0</v>
      </c>
      <c r="I861">
        <v>0</v>
      </c>
      <c r="J861">
        <v>0</v>
      </c>
      <c r="K861">
        <v>0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63</v>
      </c>
      <c r="C862" t="s">
        <v>18</v>
      </c>
      <c r="D862">
        <v>30</v>
      </c>
      <c r="E862">
        <v>28</v>
      </c>
      <c r="F862">
        <v>18.21</v>
      </c>
      <c r="G862">
        <v>0</v>
      </c>
      <c r="H862">
        <v>0</v>
      </c>
      <c r="I862">
        <v>0</v>
      </c>
      <c r="J862">
        <v>0</v>
      </c>
      <c r="K862">
        <v>0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15</v>
      </c>
      <c r="C863" t="s">
        <v>16</v>
      </c>
      <c r="D863">
        <v>28</v>
      </c>
      <c r="E863">
        <v>25</v>
      </c>
      <c r="F863">
        <v>20.2</v>
      </c>
      <c r="G863">
        <v>0</v>
      </c>
      <c r="H863">
        <v>0</v>
      </c>
      <c r="I863">
        <v>0</v>
      </c>
      <c r="J863">
        <v>0</v>
      </c>
      <c r="K863">
        <v>0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17</v>
      </c>
      <c r="C864" t="s">
        <v>18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19</v>
      </c>
      <c r="C865" t="s">
        <v>20</v>
      </c>
      <c r="D865">
        <v>33</v>
      </c>
      <c r="E865">
        <v>30</v>
      </c>
      <c r="F865">
        <v>22.04</v>
      </c>
      <c r="G865">
        <v>0</v>
      </c>
      <c r="H865">
        <v>0</v>
      </c>
      <c r="I865">
        <v>0</v>
      </c>
      <c r="J865">
        <v>0</v>
      </c>
      <c r="K865">
        <v>0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21</v>
      </c>
      <c r="C866" t="s">
        <v>18</v>
      </c>
      <c r="D866">
        <v>40</v>
      </c>
      <c r="E866">
        <v>36</v>
      </c>
      <c r="F866">
        <v>15.18</v>
      </c>
      <c r="G866">
        <v>0</v>
      </c>
      <c r="H866">
        <v>0</v>
      </c>
      <c r="I866">
        <v>0</v>
      </c>
      <c r="J866">
        <v>0</v>
      </c>
      <c r="K866">
        <v>0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22</v>
      </c>
      <c r="C867" t="s">
        <v>23</v>
      </c>
      <c r="D867">
        <v>9</v>
      </c>
      <c r="E867">
        <v>9</v>
      </c>
      <c r="F867">
        <v>38.24</v>
      </c>
      <c r="G867">
        <v>0</v>
      </c>
      <c r="H867">
        <v>0</v>
      </c>
      <c r="I867">
        <v>0</v>
      </c>
      <c r="J867">
        <v>0</v>
      </c>
      <c r="K867">
        <v>0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24</v>
      </c>
      <c r="C868" t="s">
        <v>16</v>
      </c>
      <c r="D868">
        <v>27</v>
      </c>
      <c r="E868">
        <v>25</v>
      </c>
      <c r="F868">
        <v>23.35</v>
      </c>
      <c r="G868">
        <v>0</v>
      </c>
      <c r="H868">
        <v>0</v>
      </c>
      <c r="I868">
        <v>0</v>
      </c>
      <c r="J868">
        <v>0</v>
      </c>
      <c r="K868">
        <v>0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25</v>
      </c>
      <c r="C869" t="s">
        <v>16</v>
      </c>
      <c r="D869">
        <v>6</v>
      </c>
      <c r="E869">
        <v>6</v>
      </c>
      <c r="F869">
        <v>50.57</v>
      </c>
      <c r="G869">
        <v>0</v>
      </c>
      <c r="H869">
        <v>0</v>
      </c>
      <c r="I869">
        <v>0</v>
      </c>
      <c r="J869">
        <v>0</v>
      </c>
      <c r="K869">
        <v>0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26</v>
      </c>
      <c r="C870" t="s">
        <v>23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27</v>
      </c>
      <c r="C871" t="s">
        <v>20</v>
      </c>
      <c r="D871">
        <v>21</v>
      </c>
      <c r="E871">
        <v>21</v>
      </c>
      <c r="F871">
        <v>30.15</v>
      </c>
      <c r="G871">
        <v>0</v>
      </c>
      <c r="H871">
        <v>0</v>
      </c>
      <c r="I871">
        <v>0</v>
      </c>
      <c r="J871">
        <v>0</v>
      </c>
      <c r="K871">
        <v>0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28</v>
      </c>
      <c r="C872" t="s">
        <v>18</v>
      </c>
      <c r="D872">
        <v>44</v>
      </c>
      <c r="E872">
        <v>41</v>
      </c>
      <c r="F872">
        <v>13.2</v>
      </c>
      <c r="G872">
        <v>0</v>
      </c>
      <c r="H872">
        <v>0</v>
      </c>
      <c r="I872">
        <v>0</v>
      </c>
      <c r="J872">
        <v>0</v>
      </c>
      <c r="K872">
        <v>0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29</v>
      </c>
      <c r="C873" t="s">
        <v>16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30</v>
      </c>
      <c r="C874" t="s">
        <v>20</v>
      </c>
      <c r="D874">
        <v>23</v>
      </c>
      <c r="E874">
        <v>23</v>
      </c>
      <c r="F874">
        <v>23.51</v>
      </c>
      <c r="G874">
        <v>0</v>
      </c>
      <c r="H874">
        <v>0</v>
      </c>
      <c r="I874">
        <v>0</v>
      </c>
      <c r="J874">
        <v>0</v>
      </c>
      <c r="K874">
        <v>0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31</v>
      </c>
      <c r="C875" t="s">
        <v>18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32</v>
      </c>
      <c r="C876" t="s">
        <v>23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33</v>
      </c>
      <c r="C877" t="s">
        <v>16</v>
      </c>
      <c r="D877">
        <v>30</v>
      </c>
      <c r="E877">
        <v>27</v>
      </c>
      <c r="F877">
        <v>15.04</v>
      </c>
      <c r="G877">
        <v>0</v>
      </c>
      <c r="H877">
        <v>0</v>
      </c>
      <c r="I877">
        <v>0</v>
      </c>
      <c r="J877">
        <v>0</v>
      </c>
      <c r="K877">
        <v>0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34</v>
      </c>
      <c r="C878" t="s">
        <v>18</v>
      </c>
      <c r="D878">
        <v>22</v>
      </c>
      <c r="E878">
        <v>17</v>
      </c>
      <c r="F878">
        <v>13.56</v>
      </c>
      <c r="G878">
        <v>0</v>
      </c>
      <c r="H878">
        <v>0</v>
      </c>
      <c r="I878">
        <v>0</v>
      </c>
      <c r="J878">
        <v>0</v>
      </c>
      <c r="K878">
        <v>0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35</v>
      </c>
      <c r="C879" t="s">
        <v>16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>
        <v>0</v>
      </c>
      <c r="J879">
        <v>0</v>
      </c>
      <c r="K879">
        <v>0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36</v>
      </c>
      <c r="C880" t="s">
        <v>20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>E880+G880+H880</f>
        <v>13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17</v>
      </c>
      <c r="K880" s="3">
        <f>I880-J880</f>
        <v>-4</v>
      </c>
      <c r="L880" s="3" t="str">
        <f>IF(K880&lt;-5,"CRÍTICO",IF(K880&lt;0,"ATENÇÃO",IF(K880&lt;=5,"BOM","EXCELENTE")))</f>
        <v>ATENÇÃO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37</v>
      </c>
      <c r="C881" t="s">
        <v>16</v>
      </c>
      <c r="D881">
        <v>24</v>
      </c>
      <c r="E881">
        <v>21</v>
      </c>
      <c r="F881">
        <v>13.58</v>
      </c>
      <c r="G881">
        <v>0</v>
      </c>
      <c r="H881">
        <v>0</v>
      </c>
      <c r="I881">
        <v>0</v>
      </c>
      <c r="J881">
        <v>0</v>
      </c>
      <c r="K881">
        <v>0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38</v>
      </c>
      <c r="C882" t="s">
        <v>18</v>
      </c>
      <c r="D882">
        <v>53</v>
      </c>
      <c r="E882">
        <v>46</v>
      </c>
      <c r="F882">
        <v>12.3</v>
      </c>
      <c r="G882">
        <v>0</v>
      </c>
      <c r="H882">
        <v>0</v>
      </c>
      <c r="I882">
        <v>0</v>
      </c>
      <c r="J882">
        <v>0</v>
      </c>
      <c r="K882">
        <v>0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39</v>
      </c>
      <c r="C883" t="s">
        <v>18</v>
      </c>
      <c r="D883">
        <v>41</v>
      </c>
      <c r="E883">
        <v>41</v>
      </c>
      <c r="F883">
        <v>13.35</v>
      </c>
      <c r="G883">
        <v>0</v>
      </c>
      <c r="H883">
        <v>0</v>
      </c>
      <c r="I883">
        <v>0</v>
      </c>
      <c r="J883">
        <v>0</v>
      </c>
      <c r="K883">
        <v>0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40</v>
      </c>
      <c r="C884" t="s">
        <v>16</v>
      </c>
      <c r="D884">
        <v>38</v>
      </c>
      <c r="E884">
        <v>30</v>
      </c>
      <c r="F884">
        <v>13.52</v>
      </c>
      <c r="G884">
        <v>0</v>
      </c>
      <c r="H884">
        <v>0</v>
      </c>
      <c r="I884">
        <v>0</v>
      </c>
      <c r="J884">
        <v>0</v>
      </c>
      <c r="K884">
        <v>0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41</v>
      </c>
      <c r="C885" t="s">
        <v>18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42</v>
      </c>
      <c r="C886" t="s">
        <v>43</v>
      </c>
      <c r="D886">
        <v>3</v>
      </c>
      <c r="E886">
        <v>3</v>
      </c>
      <c r="F886">
        <v>57.08</v>
      </c>
      <c r="G886">
        <v>0</v>
      </c>
      <c r="H886">
        <v>0</v>
      </c>
      <c r="I886">
        <v>0</v>
      </c>
      <c r="J886">
        <v>0</v>
      </c>
      <c r="K886">
        <v>0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44</v>
      </c>
      <c r="C887" t="s">
        <v>18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45</v>
      </c>
      <c r="C888" t="s">
        <v>43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46</v>
      </c>
      <c r="C889" t="s">
        <v>18</v>
      </c>
      <c r="D889">
        <v>45</v>
      </c>
      <c r="E889">
        <v>41</v>
      </c>
      <c r="F889">
        <v>15.19</v>
      </c>
      <c r="G889">
        <v>0</v>
      </c>
      <c r="H889">
        <v>0</v>
      </c>
      <c r="I889">
        <v>0</v>
      </c>
      <c r="J889">
        <v>0</v>
      </c>
      <c r="K889">
        <v>0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47</v>
      </c>
      <c r="C890" t="s">
        <v>16</v>
      </c>
      <c r="D890">
        <v>31</v>
      </c>
      <c r="E890">
        <v>29</v>
      </c>
      <c r="F890">
        <v>16.57</v>
      </c>
      <c r="G890">
        <v>0</v>
      </c>
      <c r="H890">
        <v>0</v>
      </c>
      <c r="I890">
        <v>0</v>
      </c>
      <c r="J890">
        <v>0</v>
      </c>
      <c r="K890">
        <v>0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48</v>
      </c>
      <c r="C891" t="s">
        <v>16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49</v>
      </c>
      <c r="C892" t="s">
        <v>18</v>
      </c>
      <c r="D892">
        <v>21</v>
      </c>
      <c r="E892">
        <v>16</v>
      </c>
      <c r="F892">
        <v>15.06</v>
      </c>
      <c r="G892">
        <v>0</v>
      </c>
      <c r="H892">
        <v>0</v>
      </c>
      <c r="I892">
        <v>0</v>
      </c>
      <c r="J892">
        <v>0</v>
      </c>
      <c r="K892">
        <v>0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50</v>
      </c>
      <c r="C893" t="s">
        <v>20</v>
      </c>
      <c r="D893">
        <v>21</v>
      </c>
      <c r="E893">
        <v>21</v>
      </c>
      <c r="F893">
        <v>29.07</v>
      </c>
      <c r="G893">
        <v>0</v>
      </c>
      <c r="H893">
        <v>0</v>
      </c>
      <c r="I893">
        <v>0</v>
      </c>
      <c r="J893">
        <v>0</v>
      </c>
      <c r="K893">
        <v>0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51</v>
      </c>
      <c r="C894" t="s">
        <v>23</v>
      </c>
      <c r="D894">
        <v>11</v>
      </c>
      <c r="E894">
        <v>10</v>
      </c>
      <c r="F894">
        <v>37.26</v>
      </c>
      <c r="G894">
        <v>0</v>
      </c>
      <c r="H894">
        <v>0</v>
      </c>
      <c r="I894">
        <v>0</v>
      </c>
      <c r="J894">
        <v>0</v>
      </c>
      <c r="K894">
        <v>0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52</v>
      </c>
      <c r="C895" t="s">
        <v>18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53</v>
      </c>
      <c r="C896" t="s">
        <v>18</v>
      </c>
      <c r="D896">
        <v>49</v>
      </c>
      <c r="E896">
        <v>42</v>
      </c>
      <c r="F896">
        <v>10.4</v>
      </c>
      <c r="G896">
        <v>0</v>
      </c>
      <c r="H896">
        <v>0</v>
      </c>
      <c r="I896">
        <v>0</v>
      </c>
      <c r="J896">
        <v>0</v>
      </c>
      <c r="K896">
        <v>0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54</v>
      </c>
      <c r="C897" t="s">
        <v>23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55</v>
      </c>
      <c r="C898" t="s">
        <v>43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56</v>
      </c>
      <c r="C899" t="s">
        <v>16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57</v>
      </c>
      <c r="C900" t="s">
        <v>43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58</v>
      </c>
      <c r="C901" t="s">
        <v>43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59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60</v>
      </c>
      <c r="C903" t="s">
        <v>20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61</v>
      </c>
      <c r="C904" t="s">
        <v>18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62</v>
      </c>
      <c r="C905" t="s">
        <v>20</v>
      </c>
      <c r="D905">
        <v>15</v>
      </c>
      <c r="E905">
        <v>11</v>
      </c>
      <c r="F905">
        <v>27.36</v>
      </c>
      <c r="G905">
        <v>0</v>
      </c>
      <c r="H905">
        <v>0</v>
      </c>
      <c r="I905">
        <v>0</v>
      </c>
      <c r="J905">
        <v>0</v>
      </c>
      <c r="K905">
        <v>0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63</v>
      </c>
      <c r="C906" t="s">
        <v>18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>
        <v>0</v>
      </c>
      <c r="J906">
        <v>0</v>
      </c>
      <c r="K906">
        <v>0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15</v>
      </c>
      <c r="C907" t="s">
        <v>16</v>
      </c>
      <c r="D907">
        <v>26</v>
      </c>
      <c r="E907">
        <v>23</v>
      </c>
      <c r="F907">
        <v>20.57</v>
      </c>
      <c r="G907">
        <v>0</v>
      </c>
      <c r="H907">
        <v>0</v>
      </c>
      <c r="I907">
        <v>0</v>
      </c>
      <c r="J907">
        <v>0</v>
      </c>
      <c r="K907">
        <v>0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17</v>
      </c>
      <c r="C908" t="s">
        <v>18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19</v>
      </c>
      <c r="C909" t="s">
        <v>20</v>
      </c>
      <c r="D909">
        <v>30</v>
      </c>
      <c r="E909">
        <v>25</v>
      </c>
      <c r="F909">
        <v>15.14</v>
      </c>
      <c r="G909">
        <v>0</v>
      </c>
      <c r="H909">
        <v>0</v>
      </c>
      <c r="I909">
        <v>0</v>
      </c>
      <c r="J909">
        <v>0</v>
      </c>
      <c r="K909">
        <v>0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21</v>
      </c>
      <c r="C910" t="s">
        <v>18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>
        <v>0</v>
      </c>
      <c r="J910">
        <v>0</v>
      </c>
      <c r="K910">
        <v>0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22</v>
      </c>
      <c r="C911" t="s">
        <v>23</v>
      </c>
      <c r="D911">
        <v>15</v>
      </c>
      <c r="E911">
        <v>14</v>
      </c>
      <c r="F911">
        <v>32.35</v>
      </c>
      <c r="G911">
        <v>0</v>
      </c>
      <c r="H911">
        <v>0</v>
      </c>
      <c r="I911">
        <v>0</v>
      </c>
      <c r="J911">
        <v>0</v>
      </c>
      <c r="K911">
        <v>0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24</v>
      </c>
      <c r="C912" t="s">
        <v>16</v>
      </c>
      <c r="D912">
        <v>31</v>
      </c>
      <c r="E912">
        <v>28</v>
      </c>
      <c r="F912">
        <v>20.12</v>
      </c>
      <c r="G912">
        <v>0</v>
      </c>
      <c r="H912">
        <v>0</v>
      </c>
      <c r="I912">
        <v>0</v>
      </c>
      <c r="J912">
        <v>0</v>
      </c>
      <c r="K912">
        <v>0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25</v>
      </c>
      <c r="C913" t="s">
        <v>16</v>
      </c>
      <c r="D913">
        <v>28</v>
      </c>
      <c r="E913">
        <v>23</v>
      </c>
      <c r="F913">
        <v>19.14</v>
      </c>
      <c r="G913">
        <v>0</v>
      </c>
      <c r="H913">
        <v>0</v>
      </c>
      <c r="I913">
        <v>0</v>
      </c>
      <c r="J913">
        <v>0</v>
      </c>
      <c r="K913">
        <v>0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26</v>
      </c>
      <c r="C914" t="s">
        <v>23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27</v>
      </c>
      <c r="C915" t="s">
        <v>20</v>
      </c>
      <c r="D915">
        <v>17</v>
      </c>
      <c r="E915">
        <v>17</v>
      </c>
      <c r="F915">
        <v>30.57</v>
      </c>
      <c r="G915">
        <v>0</v>
      </c>
      <c r="H915">
        <v>0</v>
      </c>
      <c r="I915">
        <v>0</v>
      </c>
      <c r="J915">
        <v>0</v>
      </c>
      <c r="K915">
        <v>0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28</v>
      </c>
      <c r="C916" t="s">
        <v>18</v>
      </c>
      <c r="D916">
        <v>55</v>
      </c>
      <c r="E916">
        <v>45</v>
      </c>
      <c r="F916">
        <v>9.11</v>
      </c>
      <c r="G916">
        <v>0</v>
      </c>
      <c r="H916">
        <v>0</v>
      </c>
      <c r="I916">
        <v>0</v>
      </c>
      <c r="J916">
        <v>0</v>
      </c>
      <c r="K916">
        <v>0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29</v>
      </c>
      <c r="C917" t="s">
        <v>16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30</v>
      </c>
      <c r="C918" t="s">
        <v>20</v>
      </c>
      <c r="D918">
        <v>27</v>
      </c>
      <c r="E918">
        <v>27</v>
      </c>
      <c r="F918">
        <v>21.4</v>
      </c>
      <c r="G918">
        <v>0</v>
      </c>
      <c r="H918">
        <v>0</v>
      </c>
      <c r="I918">
        <v>0</v>
      </c>
      <c r="J918">
        <v>0</v>
      </c>
      <c r="K918">
        <v>0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31</v>
      </c>
      <c r="C919" t="s">
        <v>18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32</v>
      </c>
      <c r="C920" t="s">
        <v>23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33</v>
      </c>
      <c r="C921" t="s">
        <v>16</v>
      </c>
      <c r="D921">
        <v>34</v>
      </c>
      <c r="E921">
        <v>33</v>
      </c>
      <c r="F921">
        <v>16.43</v>
      </c>
      <c r="G921">
        <v>0</v>
      </c>
      <c r="H921">
        <v>0</v>
      </c>
      <c r="I921">
        <v>0</v>
      </c>
      <c r="J921">
        <v>0</v>
      </c>
      <c r="K921">
        <v>0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34</v>
      </c>
      <c r="C922" t="s">
        <v>18</v>
      </c>
      <c r="D922">
        <v>34</v>
      </c>
      <c r="E922">
        <v>31</v>
      </c>
      <c r="F922">
        <v>12.38</v>
      </c>
      <c r="G922">
        <v>0</v>
      </c>
      <c r="H922">
        <v>0</v>
      </c>
      <c r="I922">
        <v>0</v>
      </c>
      <c r="J922">
        <v>0</v>
      </c>
      <c r="K922">
        <v>0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35</v>
      </c>
      <c r="C923" t="s">
        <v>16</v>
      </c>
      <c r="D923">
        <v>33</v>
      </c>
      <c r="E923">
        <v>31</v>
      </c>
      <c r="F923">
        <v>25.16</v>
      </c>
      <c r="G923">
        <v>0</v>
      </c>
      <c r="H923">
        <v>0</v>
      </c>
      <c r="I923">
        <v>0</v>
      </c>
      <c r="J923">
        <v>0</v>
      </c>
      <c r="K923">
        <v>0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36</v>
      </c>
      <c r="C924" t="s">
        <v>20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>E924+G924+H924</f>
        <v>6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19</v>
      </c>
      <c r="K924" s="3">
        <f>I924-J924</f>
        <v>-13</v>
      </c>
      <c r="L924" s="3" t="str">
        <f>IF(K924&lt;-5,"CRÍTICO",IF(K924&lt;0,"ATENÇÃO",IF(K924&lt;=5,"BOM","EXCELENTE")))</f>
        <v>CRÍTICO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37</v>
      </c>
      <c r="C925" t="s">
        <v>16</v>
      </c>
      <c r="D925">
        <v>28</v>
      </c>
      <c r="E925">
        <v>25</v>
      </c>
      <c r="F925">
        <v>15.12</v>
      </c>
      <c r="G925">
        <v>0</v>
      </c>
      <c r="H925">
        <v>0</v>
      </c>
      <c r="I925">
        <v>0</v>
      </c>
      <c r="J925">
        <v>0</v>
      </c>
      <c r="K925">
        <v>0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38</v>
      </c>
      <c r="C926" t="s">
        <v>18</v>
      </c>
      <c r="D926">
        <v>59</v>
      </c>
      <c r="E926">
        <v>53</v>
      </c>
      <c r="F926">
        <v>10.35</v>
      </c>
      <c r="G926">
        <v>0</v>
      </c>
      <c r="H926">
        <v>0</v>
      </c>
      <c r="I926">
        <v>0</v>
      </c>
      <c r="J926">
        <v>0</v>
      </c>
      <c r="K926">
        <v>0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39</v>
      </c>
      <c r="C927" t="s">
        <v>18</v>
      </c>
      <c r="D927">
        <v>30</v>
      </c>
      <c r="E927">
        <v>27</v>
      </c>
      <c r="F927">
        <v>12.23</v>
      </c>
      <c r="G927">
        <v>0</v>
      </c>
      <c r="H927">
        <v>0</v>
      </c>
      <c r="I927">
        <v>0</v>
      </c>
      <c r="J927">
        <v>0</v>
      </c>
      <c r="K927">
        <v>0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40</v>
      </c>
      <c r="C928" t="s">
        <v>16</v>
      </c>
      <c r="D928">
        <v>33</v>
      </c>
      <c r="E928">
        <v>27</v>
      </c>
      <c r="F928">
        <v>11.54</v>
      </c>
      <c r="G928">
        <v>0</v>
      </c>
      <c r="H928">
        <v>0</v>
      </c>
      <c r="I928">
        <v>0</v>
      </c>
      <c r="J928">
        <v>0</v>
      </c>
      <c r="K928">
        <v>0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41</v>
      </c>
      <c r="C929" t="s">
        <v>18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42</v>
      </c>
      <c r="C930" t="s">
        <v>43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>
        <v>0</v>
      </c>
      <c r="J930">
        <v>0</v>
      </c>
      <c r="K930">
        <v>0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44</v>
      </c>
      <c r="C931" t="s">
        <v>18</v>
      </c>
      <c r="D931">
        <v>15</v>
      </c>
      <c r="E931">
        <v>15</v>
      </c>
      <c r="F931">
        <v>34.14</v>
      </c>
      <c r="G931">
        <v>0</v>
      </c>
      <c r="H931">
        <v>0</v>
      </c>
      <c r="I931">
        <v>0</v>
      </c>
      <c r="J931">
        <v>0</v>
      </c>
      <c r="K931">
        <v>0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45</v>
      </c>
      <c r="C932" t="s">
        <v>43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46</v>
      </c>
      <c r="C933" t="s">
        <v>18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>
        <v>0</v>
      </c>
      <c r="J933">
        <v>0</v>
      </c>
      <c r="K933">
        <v>0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47</v>
      </c>
      <c r="C934" t="s">
        <v>16</v>
      </c>
      <c r="D934">
        <v>29</v>
      </c>
      <c r="E934">
        <v>26</v>
      </c>
      <c r="F934">
        <v>20.34</v>
      </c>
      <c r="G934">
        <v>0</v>
      </c>
      <c r="H934">
        <v>0</v>
      </c>
      <c r="I934">
        <v>0</v>
      </c>
      <c r="J934">
        <v>0</v>
      </c>
      <c r="K934">
        <v>0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48</v>
      </c>
      <c r="C935" t="s">
        <v>16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49</v>
      </c>
      <c r="C936" t="s">
        <v>18</v>
      </c>
      <c r="D936">
        <v>48</v>
      </c>
      <c r="E936">
        <v>43</v>
      </c>
      <c r="F936">
        <v>17.34</v>
      </c>
      <c r="G936">
        <v>0</v>
      </c>
      <c r="H936">
        <v>0</v>
      </c>
      <c r="I936">
        <v>0</v>
      </c>
      <c r="J936">
        <v>0</v>
      </c>
      <c r="K936">
        <v>0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50</v>
      </c>
      <c r="C937" t="s">
        <v>20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>
        <v>0</v>
      </c>
      <c r="J937">
        <v>0</v>
      </c>
      <c r="K937">
        <v>0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51</v>
      </c>
      <c r="C938" t="s">
        <v>23</v>
      </c>
      <c r="D938">
        <v>18</v>
      </c>
      <c r="E938">
        <v>17</v>
      </c>
      <c r="F938">
        <v>37.01</v>
      </c>
      <c r="G938">
        <v>0</v>
      </c>
      <c r="H938">
        <v>0</v>
      </c>
      <c r="I938">
        <v>0</v>
      </c>
      <c r="J938">
        <v>0</v>
      </c>
      <c r="K938">
        <v>0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52</v>
      </c>
      <c r="C939" t="s">
        <v>18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53</v>
      </c>
      <c r="C940" t="s">
        <v>18</v>
      </c>
      <c r="D940">
        <v>32</v>
      </c>
      <c r="E940">
        <v>30</v>
      </c>
      <c r="F940">
        <v>20.05</v>
      </c>
      <c r="G940">
        <v>0</v>
      </c>
      <c r="H940">
        <v>0</v>
      </c>
      <c r="I940">
        <v>0</v>
      </c>
      <c r="J940">
        <v>0</v>
      </c>
      <c r="K940">
        <v>0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54</v>
      </c>
      <c r="C941" t="s">
        <v>23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55</v>
      </c>
      <c r="C942" t="s">
        <v>43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56</v>
      </c>
      <c r="C943" t="s">
        <v>16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57</v>
      </c>
      <c r="C944" t="s">
        <v>43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58</v>
      </c>
      <c r="C945" t="s">
        <v>43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59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60</v>
      </c>
      <c r="C947" t="s">
        <v>20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61</v>
      </c>
      <c r="C948" t="s">
        <v>18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62</v>
      </c>
      <c r="C949" t="s">
        <v>20</v>
      </c>
      <c r="D949">
        <v>18</v>
      </c>
      <c r="E949">
        <v>17</v>
      </c>
      <c r="F949">
        <v>30.15</v>
      </c>
      <c r="G949">
        <v>0</v>
      </c>
      <c r="H949">
        <v>0</v>
      </c>
      <c r="I949">
        <v>0</v>
      </c>
      <c r="J949">
        <v>0</v>
      </c>
      <c r="K949">
        <v>0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63</v>
      </c>
      <c r="C950" t="s">
        <v>18</v>
      </c>
      <c r="D950">
        <v>30</v>
      </c>
      <c r="E950">
        <v>26</v>
      </c>
      <c r="F950">
        <v>18.53</v>
      </c>
      <c r="G950">
        <v>0</v>
      </c>
      <c r="H950">
        <v>0</v>
      </c>
      <c r="I950">
        <v>0</v>
      </c>
      <c r="J950">
        <v>0</v>
      </c>
      <c r="K950">
        <v>0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15</v>
      </c>
      <c r="C951" t="s">
        <v>16</v>
      </c>
      <c r="D951">
        <v>33</v>
      </c>
      <c r="E951">
        <v>27</v>
      </c>
      <c r="F951">
        <v>9.06</v>
      </c>
      <c r="G951">
        <v>0</v>
      </c>
      <c r="H951">
        <v>0</v>
      </c>
      <c r="I951">
        <v>0</v>
      </c>
      <c r="J951">
        <v>0</v>
      </c>
      <c r="K951">
        <v>0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17</v>
      </c>
      <c r="C952" t="s">
        <v>18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19</v>
      </c>
      <c r="C953" t="s">
        <v>20</v>
      </c>
      <c r="D953">
        <v>21</v>
      </c>
      <c r="E953">
        <v>17</v>
      </c>
      <c r="F953">
        <v>22.09</v>
      </c>
      <c r="G953">
        <v>0</v>
      </c>
      <c r="H953">
        <v>0</v>
      </c>
      <c r="I953">
        <v>0</v>
      </c>
      <c r="J953">
        <v>0</v>
      </c>
      <c r="K953">
        <v>0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21</v>
      </c>
      <c r="C954" t="s">
        <v>18</v>
      </c>
      <c r="D954">
        <v>45</v>
      </c>
      <c r="E954">
        <v>41</v>
      </c>
      <c r="F954">
        <v>13.52</v>
      </c>
      <c r="G954">
        <v>0</v>
      </c>
      <c r="H954">
        <v>0</v>
      </c>
      <c r="I954">
        <v>0</v>
      </c>
      <c r="J954">
        <v>0</v>
      </c>
      <c r="K954">
        <v>0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22</v>
      </c>
      <c r="C955" t="s">
        <v>23</v>
      </c>
      <c r="D955">
        <v>9</v>
      </c>
      <c r="E955">
        <v>9</v>
      </c>
      <c r="F955">
        <v>38.53</v>
      </c>
      <c r="G955">
        <v>0</v>
      </c>
      <c r="H955">
        <v>0</v>
      </c>
      <c r="I955">
        <v>0</v>
      </c>
      <c r="J955">
        <v>0</v>
      </c>
      <c r="K955">
        <v>0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24</v>
      </c>
      <c r="C956" t="s">
        <v>16</v>
      </c>
      <c r="D956">
        <v>34</v>
      </c>
      <c r="E956">
        <v>31</v>
      </c>
      <c r="F956">
        <v>16.59</v>
      </c>
      <c r="G956">
        <v>0</v>
      </c>
      <c r="H956">
        <v>0</v>
      </c>
      <c r="I956">
        <v>0</v>
      </c>
      <c r="J956">
        <v>0</v>
      </c>
      <c r="K956">
        <v>0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25</v>
      </c>
      <c r="C957" t="s">
        <v>16</v>
      </c>
      <c r="D957">
        <v>16</v>
      </c>
      <c r="E957">
        <v>16</v>
      </c>
      <c r="F957">
        <v>24.05</v>
      </c>
      <c r="G957">
        <v>0</v>
      </c>
      <c r="H957">
        <v>0</v>
      </c>
      <c r="I957">
        <v>0</v>
      </c>
      <c r="J957">
        <v>0</v>
      </c>
      <c r="K957">
        <v>0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26</v>
      </c>
      <c r="C958" t="s">
        <v>23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27</v>
      </c>
      <c r="C959" t="s">
        <v>20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>
        <v>0</v>
      </c>
      <c r="J959">
        <v>0</v>
      </c>
      <c r="K959">
        <v>0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28</v>
      </c>
      <c r="C960" t="s">
        <v>18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>
        <v>0</v>
      </c>
      <c r="J960">
        <v>0</v>
      </c>
      <c r="K960">
        <v>0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29</v>
      </c>
      <c r="C961" t="s">
        <v>16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30</v>
      </c>
      <c r="C962" t="s">
        <v>20</v>
      </c>
      <c r="D962">
        <v>24</v>
      </c>
      <c r="E962">
        <v>24</v>
      </c>
      <c r="F962">
        <v>22.02</v>
      </c>
      <c r="G962">
        <v>0</v>
      </c>
      <c r="H962">
        <v>0</v>
      </c>
      <c r="I962">
        <v>0</v>
      </c>
      <c r="J962">
        <v>0</v>
      </c>
      <c r="K962">
        <v>0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31</v>
      </c>
      <c r="C963" t="s">
        <v>18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32</v>
      </c>
      <c r="C964" t="s">
        <v>23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33</v>
      </c>
      <c r="C965" t="s">
        <v>16</v>
      </c>
      <c r="D965">
        <v>28</v>
      </c>
      <c r="E965">
        <v>26</v>
      </c>
      <c r="F965">
        <v>14.1</v>
      </c>
      <c r="G965">
        <v>0</v>
      </c>
      <c r="H965">
        <v>0</v>
      </c>
      <c r="I965">
        <v>0</v>
      </c>
      <c r="J965">
        <v>0</v>
      </c>
      <c r="K965">
        <v>0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34</v>
      </c>
      <c r="C966" t="s">
        <v>18</v>
      </c>
      <c r="D966">
        <v>18</v>
      </c>
      <c r="E966">
        <v>15</v>
      </c>
      <c r="F966">
        <v>15</v>
      </c>
      <c r="G966">
        <v>0</v>
      </c>
      <c r="H966">
        <v>0</v>
      </c>
      <c r="I966">
        <v>0</v>
      </c>
      <c r="J966">
        <v>0</v>
      </c>
      <c r="K966">
        <v>0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35</v>
      </c>
      <c r="C967" t="s">
        <v>16</v>
      </c>
      <c r="D967">
        <v>38</v>
      </c>
      <c r="E967">
        <v>33</v>
      </c>
      <c r="F967">
        <v>15.26</v>
      </c>
      <c r="G967">
        <v>0</v>
      </c>
      <c r="H967">
        <v>0</v>
      </c>
      <c r="I967">
        <v>0</v>
      </c>
      <c r="J967">
        <v>0</v>
      </c>
      <c r="K967">
        <v>0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36</v>
      </c>
      <c r="C968" t="s">
        <v>20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>E968+G968+H968</f>
        <v>2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18</v>
      </c>
      <c r="K968" s="3">
        <f>I968-J968</f>
        <v>-16</v>
      </c>
      <c r="L968" s="3" t="str">
        <f>IF(K968&lt;-5,"CRÍTICO",IF(K968&lt;0,"ATENÇÃO",IF(K968&lt;=5,"BOM","EXCELENTE")))</f>
        <v>CRÍTICO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37</v>
      </c>
      <c r="C969" t="s">
        <v>16</v>
      </c>
      <c r="D969">
        <v>37</v>
      </c>
      <c r="E969">
        <v>36</v>
      </c>
      <c r="F969">
        <v>15.06</v>
      </c>
      <c r="G969">
        <v>0</v>
      </c>
      <c r="H969">
        <v>0</v>
      </c>
      <c r="I969">
        <v>0</v>
      </c>
      <c r="J969">
        <v>0</v>
      </c>
      <c r="K969">
        <v>0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38</v>
      </c>
      <c r="C970" t="s">
        <v>18</v>
      </c>
      <c r="D970">
        <v>51</v>
      </c>
      <c r="E970">
        <v>44</v>
      </c>
      <c r="F970">
        <v>11.53</v>
      </c>
      <c r="G970">
        <v>0</v>
      </c>
      <c r="H970">
        <v>0</v>
      </c>
      <c r="I970">
        <v>0</v>
      </c>
      <c r="J970">
        <v>0</v>
      </c>
      <c r="K970">
        <v>0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39</v>
      </c>
      <c r="C971" t="s">
        <v>18</v>
      </c>
      <c r="D971">
        <v>22</v>
      </c>
      <c r="E971">
        <v>21</v>
      </c>
      <c r="F971">
        <v>15.46</v>
      </c>
      <c r="G971">
        <v>0</v>
      </c>
      <c r="H971">
        <v>0</v>
      </c>
      <c r="I971">
        <v>0</v>
      </c>
      <c r="J971">
        <v>0</v>
      </c>
      <c r="K971">
        <v>0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40</v>
      </c>
      <c r="C972" t="s">
        <v>16</v>
      </c>
      <c r="D972">
        <v>24</v>
      </c>
      <c r="E972">
        <v>22</v>
      </c>
      <c r="F972">
        <v>23.45</v>
      </c>
      <c r="G972">
        <v>0</v>
      </c>
      <c r="H972">
        <v>0</v>
      </c>
      <c r="I972">
        <v>0</v>
      </c>
      <c r="J972">
        <v>0</v>
      </c>
      <c r="K972">
        <v>0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41</v>
      </c>
      <c r="C973" t="s">
        <v>18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42</v>
      </c>
      <c r="C974" t="s">
        <v>43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>
        <v>0</v>
      </c>
      <c r="J974">
        <v>0</v>
      </c>
      <c r="K974">
        <v>0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44</v>
      </c>
      <c r="C975" t="s">
        <v>18</v>
      </c>
      <c r="D975">
        <v>24</v>
      </c>
      <c r="E975">
        <v>22</v>
      </c>
      <c r="F975">
        <v>17.37</v>
      </c>
      <c r="G975">
        <v>0</v>
      </c>
      <c r="H975">
        <v>0</v>
      </c>
      <c r="I975">
        <v>0</v>
      </c>
      <c r="J975">
        <v>0</v>
      </c>
      <c r="K975">
        <v>0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45</v>
      </c>
      <c r="C976" t="s">
        <v>43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46</v>
      </c>
      <c r="C977" t="s">
        <v>18</v>
      </c>
      <c r="D977">
        <v>34</v>
      </c>
      <c r="E977">
        <v>29</v>
      </c>
      <c r="F977">
        <v>14.16</v>
      </c>
      <c r="G977">
        <v>0</v>
      </c>
      <c r="H977">
        <v>0</v>
      </c>
      <c r="I977">
        <v>0</v>
      </c>
      <c r="J977">
        <v>0</v>
      </c>
      <c r="K977">
        <v>0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47</v>
      </c>
      <c r="C978" t="s">
        <v>16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>
        <v>0</v>
      </c>
      <c r="J978">
        <v>0</v>
      </c>
      <c r="K978">
        <v>0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48</v>
      </c>
      <c r="C979" t="s">
        <v>16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49</v>
      </c>
      <c r="C980" t="s">
        <v>18</v>
      </c>
      <c r="D980">
        <v>46</v>
      </c>
      <c r="E980">
        <v>31</v>
      </c>
      <c r="F980">
        <v>8.48</v>
      </c>
      <c r="G980">
        <v>0</v>
      </c>
      <c r="H980">
        <v>0</v>
      </c>
      <c r="I980">
        <v>0</v>
      </c>
      <c r="J980">
        <v>0</v>
      </c>
      <c r="K980">
        <v>0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50</v>
      </c>
      <c r="C981" t="s">
        <v>20</v>
      </c>
      <c r="D981">
        <v>15</v>
      </c>
      <c r="E981">
        <v>14</v>
      </c>
      <c r="F981">
        <v>34</v>
      </c>
      <c r="G981">
        <v>0</v>
      </c>
      <c r="H981">
        <v>0</v>
      </c>
      <c r="I981">
        <v>0</v>
      </c>
      <c r="J981">
        <v>0</v>
      </c>
      <c r="K981">
        <v>0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51</v>
      </c>
      <c r="C982" t="s">
        <v>23</v>
      </c>
      <c r="D982">
        <v>12</v>
      </c>
      <c r="E982">
        <v>12</v>
      </c>
      <c r="F982">
        <v>51.49</v>
      </c>
      <c r="G982">
        <v>0</v>
      </c>
      <c r="H982">
        <v>0</v>
      </c>
      <c r="I982">
        <v>0</v>
      </c>
      <c r="J982">
        <v>0</v>
      </c>
      <c r="K982">
        <v>0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52</v>
      </c>
      <c r="C983" t="s">
        <v>18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53</v>
      </c>
      <c r="C984" t="s">
        <v>18</v>
      </c>
      <c r="D984">
        <v>35</v>
      </c>
      <c r="E984">
        <v>32</v>
      </c>
      <c r="F984">
        <v>16.46</v>
      </c>
      <c r="G984">
        <v>0</v>
      </c>
      <c r="H984">
        <v>0</v>
      </c>
      <c r="I984">
        <v>0</v>
      </c>
      <c r="J984">
        <v>0</v>
      </c>
      <c r="K984">
        <v>0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54</v>
      </c>
      <c r="C985" t="s">
        <v>23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55</v>
      </c>
      <c r="C986" t="s">
        <v>43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56</v>
      </c>
      <c r="C987" t="s">
        <v>16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57</v>
      </c>
      <c r="C988" t="s">
        <v>43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58</v>
      </c>
      <c r="C989" t="s">
        <v>43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59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60</v>
      </c>
      <c r="C991" t="s">
        <v>20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61</v>
      </c>
      <c r="C992" t="s">
        <v>18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62</v>
      </c>
      <c r="C993" t="s">
        <v>20</v>
      </c>
      <c r="D993">
        <v>10</v>
      </c>
      <c r="E993">
        <v>10</v>
      </c>
      <c r="F993">
        <v>42.21</v>
      </c>
      <c r="G993">
        <v>0</v>
      </c>
      <c r="H993">
        <v>0</v>
      </c>
      <c r="I993">
        <v>0</v>
      </c>
      <c r="J993">
        <v>0</v>
      </c>
      <c r="K993">
        <v>0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63</v>
      </c>
      <c r="C994" t="s">
        <v>18</v>
      </c>
      <c r="D994">
        <v>27</v>
      </c>
      <c r="E994">
        <v>26</v>
      </c>
      <c r="F994">
        <v>18.43</v>
      </c>
      <c r="G994">
        <v>0</v>
      </c>
      <c r="H994">
        <v>0</v>
      </c>
      <c r="I994">
        <v>0</v>
      </c>
      <c r="J994">
        <v>0</v>
      </c>
      <c r="K994">
        <v>0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15</v>
      </c>
      <c r="C995" t="s">
        <v>16</v>
      </c>
      <c r="D995">
        <v>22</v>
      </c>
      <c r="E995">
        <v>19</v>
      </c>
      <c r="F995">
        <v>22.01</v>
      </c>
      <c r="G995">
        <v>0</v>
      </c>
      <c r="H995">
        <v>0</v>
      </c>
      <c r="I995">
        <v>0</v>
      </c>
      <c r="J995">
        <v>0</v>
      </c>
      <c r="K995">
        <v>0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17</v>
      </c>
      <c r="C996" t="s">
        <v>18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19</v>
      </c>
      <c r="C997" t="s">
        <v>20</v>
      </c>
      <c r="D997">
        <v>27</v>
      </c>
      <c r="E997">
        <v>23</v>
      </c>
      <c r="F997">
        <v>15.41</v>
      </c>
      <c r="G997">
        <v>0</v>
      </c>
      <c r="H997">
        <v>0</v>
      </c>
      <c r="I997">
        <v>0</v>
      </c>
      <c r="J997">
        <v>0</v>
      </c>
      <c r="K997">
        <v>0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21</v>
      </c>
      <c r="C998" t="s">
        <v>18</v>
      </c>
      <c r="D998">
        <v>27</v>
      </c>
      <c r="E998">
        <v>24</v>
      </c>
      <c r="F998">
        <v>15.19</v>
      </c>
      <c r="G998">
        <v>0</v>
      </c>
      <c r="H998">
        <v>0</v>
      </c>
      <c r="I998">
        <v>0</v>
      </c>
      <c r="J998">
        <v>0</v>
      </c>
      <c r="K998">
        <v>0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22</v>
      </c>
      <c r="C999" t="s">
        <v>23</v>
      </c>
      <c r="D999">
        <v>12</v>
      </c>
      <c r="E999">
        <v>11</v>
      </c>
      <c r="F999">
        <v>30.49</v>
      </c>
      <c r="G999">
        <v>0</v>
      </c>
      <c r="H999">
        <v>0</v>
      </c>
      <c r="I999">
        <v>0</v>
      </c>
      <c r="J999">
        <v>0</v>
      </c>
      <c r="K999">
        <v>0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24</v>
      </c>
      <c r="C1000" t="s">
        <v>16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>
        <v>0</v>
      </c>
      <c r="J1000">
        <v>0</v>
      </c>
      <c r="K1000">
        <v>0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25</v>
      </c>
      <c r="C1001" t="s">
        <v>16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>
        <v>0</v>
      </c>
      <c r="J1001">
        <v>0</v>
      </c>
      <c r="K1001">
        <v>0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26</v>
      </c>
      <c r="C1002" t="s">
        <v>23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27</v>
      </c>
      <c r="C1003" t="s">
        <v>20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>
        <v>0</v>
      </c>
      <c r="J1003">
        <v>0</v>
      </c>
      <c r="K1003">
        <v>0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28</v>
      </c>
      <c r="C1004" t="s">
        <v>18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>
        <v>0</v>
      </c>
      <c r="J1004">
        <v>0</v>
      </c>
      <c r="K1004">
        <v>0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29</v>
      </c>
      <c r="C1005" t="s">
        <v>16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30</v>
      </c>
      <c r="C1006" t="s">
        <v>20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>
        <v>0</v>
      </c>
      <c r="J1006">
        <v>0</v>
      </c>
      <c r="K1006">
        <v>0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31</v>
      </c>
      <c r="C1007" t="s">
        <v>18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32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33</v>
      </c>
      <c r="C1009" t="s">
        <v>16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>
        <v>0</v>
      </c>
      <c r="J1009">
        <v>0</v>
      </c>
      <c r="K1009">
        <v>0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34</v>
      </c>
      <c r="C1010" t="s">
        <v>18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>
        <v>0</v>
      </c>
      <c r="J1010">
        <v>0</v>
      </c>
      <c r="K1010">
        <v>0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35</v>
      </c>
      <c r="C1011" t="s">
        <v>16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>
        <v>0</v>
      </c>
      <c r="J1011">
        <v>0</v>
      </c>
      <c r="K1011">
        <v>0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36</v>
      </c>
      <c r="C1012" t="s">
        <v>20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>E1012+G1012+H1012</f>
        <v>5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-11</v>
      </c>
      <c r="L1012" s="3" t="str">
        <f>IF(K1012&lt;-5,"CRÍTICO",IF(K1012&lt;0,"ATENÇÃO",IF(K1012&lt;=5,"BOM","EXCELENTE")))</f>
        <v>CRÍTICO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37</v>
      </c>
      <c r="C1013" t="s">
        <v>16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>
        <v>0</v>
      </c>
      <c r="J1013">
        <v>0</v>
      </c>
      <c r="K1013">
        <v>0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38</v>
      </c>
      <c r="C1014" t="s">
        <v>18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>
        <v>0</v>
      </c>
      <c r="J1014">
        <v>0</v>
      </c>
      <c r="K1014">
        <v>0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39</v>
      </c>
      <c r="C1015" t="s">
        <v>18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>
        <v>0</v>
      </c>
      <c r="J1015">
        <v>0</v>
      </c>
      <c r="K1015">
        <v>0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40</v>
      </c>
      <c r="C1016" t="s">
        <v>16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>
        <v>0</v>
      </c>
      <c r="J1016">
        <v>0</v>
      </c>
      <c r="K1016">
        <v>0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41</v>
      </c>
      <c r="C1017" t="s">
        <v>18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42</v>
      </c>
      <c r="C1018" t="s">
        <v>43</v>
      </c>
      <c r="D1018">
        <v>8</v>
      </c>
      <c r="E1018">
        <v>8</v>
      </c>
      <c r="F1018">
        <v>26.49</v>
      </c>
      <c r="G1018">
        <v>0</v>
      </c>
      <c r="H1018">
        <v>0</v>
      </c>
      <c r="I1018">
        <v>0</v>
      </c>
      <c r="J1018">
        <v>0</v>
      </c>
      <c r="K1018">
        <v>0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44</v>
      </c>
      <c r="C1019" t="s">
        <v>18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>
        <v>0</v>
      </c>
      <c r="J1019">
        <v>0</v>
      </c>
      <c r="K1019">
        <v>0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45</v>
      </c>
      <c r="C1020" t="s">
        <v>43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46</v>
      </c>
      <c r="C1021" t="s">
        <v>18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>
        <v>0</v>
      </c>
      <c r="J1021">
        <v>0</v>
      </c>
      <c r="K1021">
        <v>0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47</v>
      </c>
      <c r="C1022" t="s">
        <v>16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>
        <v>0</v>
      </c>
      <c r="J1022">
        <v>0</v>
      </c>
      <c r="K1022">
        <v>0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48</v>
      </c>
      <c r="C1023" t="s">
        <v>16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49</v>
      </c>
      <c r="C1024" t="s">
        <v>18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>
        <v>0</v>
      </c>
      <c r="J1024">
        <v>0</v>
      </c>
      <c r="K1024">
        <v>0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50</v>
      </c>
      <c r="C1025" t="s">
        <v>20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>
        <v>0</v>
      </c>
      <c r="J1025">
        <v>0</v>
      </c>
      <c r="K1025">
        <v>0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51</v>
      </c>
      <c r="C1026" t="s">
        <v>23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>
        <v>0</v>
      </c>
      <c r="J1026">
        <v>0</v>
      </c>
      <c r="K1026">
        <v>0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52</v>
      </c>
      <c r="C1027" t="s">
        <v>18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53</v>
      </c>
      <c r="C1028" t="s">
        <v>18</v>
      </c>
      <c r="D1028">
        <v>37</v>
      </c>
      <c r="E1028">
        <v>29</v>
      </c>
      <c r="F1028">
        <v>8.36</v>
      </c>
      <c r="G1028">
        <v>0</v>
      </c>
      <c r="H1028">
        <v>0</v>
      </c>
      <c r="I1028">
        <v>0</v>
      </c>
      <c r="J1028">
        <v>0</v>
      </c>
      <c r="K1028">
        <v>0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54</v>
      </c>
      <c r="C1029" t="s">
        <v>23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55</v>
      </c>
      <c r="C1030" t="s">
        <v>43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56</v>
      </c>
      <c r="C1031" t="s">
        <v>16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>
        <v>0</v>
      </c>
      <c r="J1031">
        <v>0</v>
      </c>
      <c r="K1031">
        <v>0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57</v>
      </c>
      <c r="C1032" t="s">
        <v>43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58</v>
      </c>
      <c r="C1033" t="s">
        <v>43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59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60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61</v>
      </c>
      <c r="C1036" t="s">
        <v>18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62</v>
      </c>
      <c r="C1037" t="s">
        <v>20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>
        <v>0</v>
      </c>
      <c r="J1037">
        <v>0</v>
      </c>
      <c r="K1037">
        <v>0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63</v>
      </c>
      <c r="C1038" t="s">
        <v>18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>
        <v>0</v>
      </c>
      <c r="J1038">
        <v>0</v>
      </c>
      <c r="K1038">
        <v>0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15</v>
      </c>
      <c r="C1039" t="s">
        <v>16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>
        <v>0</v>
      </c>
      <c r="J1039">
        <v>0</v>
      </c>
      <c r="K1039">
        <v>0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17</v>
      </c>
      <c r="C1040" t="s">
        <v>18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19</v>
      </c>
      <c r="C1041" t="s">
        <v>20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>
        <v>0</v>
      </c>
      <c r="J1041">
        <v>0</v>
      </c>
      <c r="K1041">
        <v>0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21</v>
      </c>
      <c r="C1042" t="s">
        <v>18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>
        <v>0</v>
      </c>
      <c r="J1042">
        <v>0</v>
      </c>
      <c r="K1042">
        <v>0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22</v>
      </c>
      <c r="C1043" t="s">
        <v>23</v>
      </c>
      <c r="D1043">
        <v>7</v>
      </c>
      <c r="E1043">
        <v>7</v>
      </c>
      <c r="F1043">
        <v>41.4</v>
      </c>
      <c r="G1043">
        <v>0</v>
      </c>
      <c r="H1043">
        <v>0</v>
      </c>
      <c r="I1043">
        <v>0</v>
      </c>
      <c r="J1043">
        <v>0</v>
      </c>
      <c r="K1043">
        <v>0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24</v>
      </c>
      <c r="C1044" t="s">
        <v>16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>
        <v>0</v>
      </c>
      <c r="J1044">
        <v>0</v>
      </c>
      <c r="K1044">
        <v>0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25</v>
      </c>
      <c r="C1045" t="s">
        <v>16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>
        <v>0</v>
      </c>
      <c r="J1045">
        <v>0</v>
      </c>
      <c r="K1045">
        <v>0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26</v>
      </c>
      <c r="C1046" t="s">
        <v>23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27</v>
      </c>
      <c r="C1047" t="s">
        <v>20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>
        <v>0</v>
      </c>
      <c r="J1047">
        <v>0</v>
      </c>
      <c r="K1047">
        <v>0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28</v>
      </c>
      <c r="C1048" t="s">
        <v>18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>
        <v>0</v>
      </c>
      <c r="J1048">
        <v>0</v>
      </c>
      <c r="K1048">
        <v>0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29</v>
      </c>
      <c r="C1049" t="s">
        <v>16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30</v>
      </c>
      <c r="C1050" t="s">
        <v>20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>
        <v>0</v>
      </c>
      <c r="J1050">
        <v>0</v>
      </c>
      <c r="K1050">
        <v>0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31</v>
      </c>
      <c r="C1051" t="s">
        <v>18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32</v>
      </c>
      <c r="C1052" t="s">
        <v>23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33</v>
      </c>
      <c r="C1053" t="s">
        <v>16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>
        <v>0</v>
      </c>
      <c r="J1053">
        <v>0</v>
      </c>
      <c r="K1053">
        <v>0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34</v>
      </c>
      <c r="C1054" t="s">
        <v>18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>
        <v>0</v>
      </c>
      <c r="J1054">
        <v>0</v>
      </c>
      <c r="K1054">
        <v>0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35</v>
      </c>
      <c r="C1055" t="s">
        <v>16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>
        <v>0</v>
      </c>
      <c r="J1055">
        <v>0</v>
      </c>
      <c r="K1055">
        <v>0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36</v>
      </c>
      <c r="C1056" t="s">
        <v>20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17</v>
      </c>
      <c r="K1056" s="3">
        <f>I1056-J1056</f>
        <v>-16</v>
      </c>
      <c r="L1056" s="3" t="str">
        <f>IF(K1056&lt;-5,"CRÍTICO",IF(K1056&lt;0,"ATENÇÃO",IF(K1056&lt;=5,"BOM","EXCELENTE")))</f>
        <v>CRÍTICO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37</v>
      </c>
      <c r="C1057" t="s">
        <v>16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>
        <v>0</v>
      </c>
      <c r="J1057">
        <v>0</v>
      </c>
      <c r="K1057">
        <v>0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38</v>
      </c>
      <c r="C1058" t="s">
        <v>18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>
        <v>0</v>
      </c>
      <c r="J1058">
        <v>0</v>
      </c>
      <c r="K1058">
        <v>0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39</v>
      </c>
      <c r="C1059" t="s">
        <v>18</v>
      </c>
      <c r="D1059">
        <v>1</v>
      </c>
      <c r="E1059">
        <v>1</v>
      </c>
      <c r="F1059">
        <v>31.49</v>
      </c>
      <c r="G1059">
        <v>0</v>
      </c>
      <c r="H1059">
        <v>0</v>
      </c>
      <c r="I1059">
        <v>0</v>
      </c>
      <c r="J1059">
        <v>0</v>
      </c>
      <c r="K1059">
        <v>0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40</v>
      </c>
      <c r="C1060" t="s">
        <v>16</v>
      </c>
      <c r="D1060">
        <v>34</v>
      </c>
      <c r="E1060">
        <v>24</v>
      </c>
      <c r="F1060">
        <v>16.5</v>
      </c>
      <c r="G1060">
        <v>0</v>
      </c>
      <c r="H1060">
        <v>0</v>
      </c>
      <c r="I1060">
        <v>0</v>
      </c>
      <c r="J1060">
        <v>0</v>
      </c>
      <c r="K1060">
        <v>0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41</v>
      </c>
      <c r="C1061" t="s">
        <v>18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42</v>
      </c>
      <c r="C1062" t="s">
        <v>43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>
        <v>0</v>
      </c>
      <c r="J1062">
        <v>0</v>
      </c>
      <c r="K1062">
        <v>0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44</v>
      </c>
      <c r="C1063" t="s">
        <v>18</v>
      </c>
      <c r="D1063">
        <v>1</v>
      </c>
      <c r="E1063">
        <v>1</v>
      </c>
      <c r="F1063">
        <v>15.48</v>
      </c>
      <c r="G1063">
        <v>0</v>
      </c>
      <c r="H1063">
        <v>0</v>
      </c>
      <c r="I1063">
        <v>0</v>
      </c>
      <c r="J1063">
        <v>0</v>
      </c>
      <c r="K1063">
        <v>0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45</v>
      </c>
      <c r="C1064" t="s">
        <v>43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46</v>
      </c>
      <c r="C1065" t="s">
        <v>18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>
        <v>0</v>
      </c>
      <c r="J1065">
        <v>0</v>
      </c>
      <c r="K1065">
        <v>0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47</v>
      </c>
      <c r="C1066" t="s">
        <v>16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>
        <v>0</v>
      </c>
      <c r="J1066">
        <v>0</v>
      </c>
      <c r="K1066">
        <v>0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48</v>
      </c>
      <c r="C1067" t="s">
        <v>16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49</v>
      </c>
      <c r="C1068" t="s">
        <v>18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>
        <v>0</v>
      </c>
      <c r="J1068">
        <v>0</v>
      </c>
      <c r="K1068">
        <v>0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50</v>
      </c>
      <c r="C1069" t="s">
        <v>20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>
        <v>0</v>
      </c>
      <c r="J1069">
        <v>0</v>
      </c>
      <c r="K1069">
        <v>0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51</v>
      </c>
      <c r="C1070" t="s">
        <v>23</v>
      </c>
      <c r="D1070">
        <v>4</v>
      </c>
      <c r="E1070">
        <v>4</v>
      </c>
      <c r="F1070">
        <v>96.56</v>
      </c>
      <c r="G1070">
        <v>0</v>
      </c>
      <c r="H1070">
        <v>0</v>
      </c>
      <c r="I1070">
        <v>0</v>
      </c>
      <c r="J1070">
        <v>0</v>
      </c>
      <c r="K1070">
        <v>0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52</v>
      </c>
      <c r="C1071" t="s">
        <v>18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53</v>
      </c>
      <c r="C1072" t="s">
        <v>18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>
        <v>0</v>
      </c>
      <c r="J1072">
        <v>0</v>
      </c>
      <c r="K1072">
        <v>0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54</v>
      </c>
      <c r="C1073" t="s">
        <v>23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55</v>
      </c>
      <c r="C1074" t="s">
        <v>43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56</v>
      </c>
      <c r="C1075" t="s">
        <v>16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57</v>
      </c>
      <c r="C1076" t="s">
        <v>43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58</v>
      </c>
      <c r="C1077" t="s">
        <v>43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59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60</v>
      </c>
      <c r="C1079" t="s">
        <v>20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61</v>
      </c>
      <c r="C1080" t="s">
        <v>18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62</v>
      </c>
      <c r="C1081" t="s">
        <v>20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>
        <v>0</v>
      </c>
      <c r="J1081">
        <v>0</v>
      </c>
      <c r="K1081">
        <v>0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63</v>
      </c>
      <c r="C1082" t="s">
        <v>18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>
        <v>0</v>
      </c>
      <c r="J1082">
        <v>0</v>
      </c>
      <c r="K1082">
        <v>0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15</v>
      </c>
      <c r="C1083" t="s">
        <v>16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>
        <v>0</v>
      </c>
      <c r="J1083">
        <v>0</v>
      </c>
      <c r="K1083">
        <v>0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17</v>
      </c>
      <c r="C1084" t="s">
        <v>18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19</v>
      </c>
      <c r="C1085" t="s">
        <v>20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>
        <v>0</v>
      </c>
      <c r="J1085">
        <v>0</v>
      </c>
      <c r="K1085">
        <v>0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21</v>
      </c>
      <c r="C1086" t="s">
        <v>18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>
        <v>0</v>
      </c>
      <c r="J1086">
        <v>0</v>
      </c>
      <c r="K1086">
        <v>0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22</v>
      </c>
      <c r="C1087" t="s">
        <v>23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24</v>
      </c>
      <c r="C1088" t="s">
        <v>16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>
        <v>0</v>
      </c>
      <c r="J1088">
        <v>0</v>
      </c>
      <c r="K1088">
        <v>0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25</v>
      </c>
      <c r="C1089" t="s">
        <v>16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>
        <v>0</v>
      </c>
      <c r="J1089">
        <v>0</v>
      </c>
      <c r="K1089">
        <v>0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26</v>
      </c>
      <c r="C1090" t="s">
        <v>23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27</v>
      </c>
      <c r="C1091" t="s">
        <v>20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>
        <v>0</v>
      </c>
      <c r="J1091">
        <v>0</v>
      </c>
      <c r="K1091">
        <v>0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28</v>
      </c>
      <c r="C1092" t="s">
        <v>18</v>
      </c>
      <c r="D1092">
        <v>36</v>
      </c>
      <c r="E1092">
        <v>35</v>
      </c>
      <c r="F1092">
        <v>15.3</v>
      </c>
      <c r="G1092">
        <v>0</v>
      </c>
      <c r="H1092">
        <v>0</v>
      </c>
      <c r="I1092">
        <v>0</v>
      </c>
      <c r="J1092">
        <v>0</v>
      </c>
      <c r="K1092">
        <v>0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29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30</v>
      </c>
      <c r="C1094" t="s">
        <v>20</v>
      </c>
      <c r="D1094">
        <v>25</v>
      </c>
      <c r="E1094">
        <v>25</v>
      </c>
      <c r="F1094">
        <v>21.5</v>
      </c>
      <c r="G1094">
        <v>0</v>
      </c>
      <c r="H1094">
        <v>0</v>
      </c>
      <c r="I1094">
        <v>0</v>
      </c>
      <c r="J1094">
        <v>0</v>
      </c>
      <c r="K1094">
        <v>0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31</v>
      </c>
      <c r="C1095" t="s">
        <v>18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32</v>
      </c>
      <c r="C1096" t="s">
        <v>23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33</v>
      </c>
      <c r="C1097" t="s">
        <v>16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>
        <v>0</v>
      </c>
      <c r="J1097">
        <v>0</v>
      </c>
      <c r="K1097">
        <v>0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34</v>
      </c>
      <c r="C1098" t="s">
        <v>18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>
        <v>0</v>
      </c>
      <c r="J1098">
        <v>0</v>
      </c>
      <c r="K1098">
        <v>0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35</v>
      </c>
      <c r="C1099" t="s">
        <v>16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>
        <v>0</v>
      </c>
      <c r="J1099">
        <v>0</v>
      </c>
      <c r="K1099">
        <v>0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36</v>
      </c>
      <c r="C1100" t="s">
        <v>20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>E1100+G1100+H1100</f>
        <v>5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4</v>
      </c>
      <c r="K1100" s="3">
        <f>I1100-J1100</f>
        <v>1</v>
      </c>
      <c r="L1100" s="3" t="str">
        <f>IF(K1100&lt;-5,"CRÍTICO",IF(K1100&lt;0,"ATENÇÃO",IF(K1100&lt;=5,"BOM","EXCELENTE")))</f>
        <v>BOM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37</v>
      </c>
      <c r="C1101" t="s">
        <v>16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>
        <v>0</v>
      </c>
      <c r="J1101">
        <v>0</v>
      </c>
      <c r="K1101">
        <v>0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38</v>
      </c>
      <c r="C1102" t="s">
        <v>18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>
        <v>0</v>
      </c>
      <c r="J1102">
        <v>0</v>
      </c>
      <c r="K1102">
        <v>0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39</v>
      </c>
      <c r="C1103" t="s">
        <v>18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>
        <v>0</v>
      </c>
      <c r="J1103">
        <v>0</v>
      </c>
      <c r="K1103">
        <v>0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40</v>
      </c>
      <c r="C1104" t="s">
        <v>16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>
        <v>0</v>
      </c>
      <c r="J1104">
        <v>0</v>
      </c>
      <c r="K1104">
        <v>0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41</v>
      </c>
      <c r="C1105" t="s">
        <v>18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42</v>
      </c>
      <c r="C1106" t="s">
        <v>43</v>
      </c>
      <c r="D1106">
        <v>5</v>
      </c>
      <c r="E1106">
        <v>5</v>
      </c>
      <c r="F1106">
        <v>55.15</v>
      </c>
      <c r="G1106">
        <v>0</v>
      </c>
      <c r="H1106">
        <v>0</v>
      </c>
      <c r="I1106">
        <v>0</v>
      </c>
      <c r="J1106">
        <v>0</v>
      </c>
      <c r="K1106">
        <v>0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44</v>
      </c>
      <c r="C1107" t="s">
        <v>18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>
        <v>0</v>
      </c>
      <c r="J1107">
        <v>0</v>
      </c>
      <c r="K1107">
        <v>0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45</v>
      </c>
      <c r="C1108" t="s">
        <v>43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46</v>
      </c>
      <c r="C1109" t="s">
        <v>18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>
        <v>0</v>
      </c>
      <c r="J1109">
        <v>0</v>
      </c>
      <c r="K1109">
        <v>0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47</v>
      </c>
      <c r="C1110" t="s">
        <v>16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>
        <v>0</v>
      </c>
      <c r="J1110">
        <v>0</v>
      </c>
      <c r="K1110">
        <v>0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48</v>
      </c>
      <c r="C1111" t="s">
        <v>16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49</v>
      </c>
      <c r="C1112" t="s">
        <v>18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>
        <v>0</v>
      </c>
      <c r="J1112">
        <v>0</v>
      </c>
      <c r="K1112">
        <v>0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50</v>
      </c>
      <c r="C1113" t="s">
        <v>20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>
        <v>0</v>
      </c>
      <c r="J1113">
        <v>0</v>
      </c>
      <c r="K1113">
        <v>0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51</v>
      </c>
      <c r="C1114" t="s">
        <v>23</v>
      </c>
      <c r="D1114">
        <v>7</v>
      </c>
      <c r="E1114">
        <v>6</v>
      </c>
      <c r="F1114">
        <v>42.32</v>
      </c>
      <c r="G1114">
        <v>0</v>
      </c>
      <c r="H1114">
        <v>0</v>
      </c>
      <c r="I1114">
        <v>0</v>
      </c>
      <c r="J1114">
        <v>0</v>
      </c>
      <c r="K1114">
        <v>0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52</v>
      </c>
      <c r="C1115" t="s">
        <v>18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53</v>
      </c>
      <c r="C1116" t="s">
        <v>18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>
        <v>0</v>
      </c>
      <c r="J1116">
        <v>0</v>
      </c>
      <c r="K1116">
        <v>0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54</v>
      </c>
      <c r="C1117" t="s">
        <v>23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55</v>
      </c>
      <c r="C1118" t="s">
        <v>43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56</v>
      </c>
      <c r="C1119" t="s">
        <v>16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57</v>
      </c>
      <c r="C1120" t="s">
        <v>43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58</v>
      </c>
      <c r="C1121" t="s">
        <v>43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59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60</v>
      </c>
      <c r="C1123" t="s">
        <v>20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61</v>
      </c>
      <c r="C1124" t="s">
        <v>18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62</v>
      </c>
      <c r="C1125" t="s">
        <v>20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>
        <v>0</v>
      </c>
      <c r="J1125">
        <v>0</v>
      </c>
      <c r="K1125">
        <v>0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63</v>
      </c>
      <c r="C1126" t="s">
        <v>18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>
        <v>0</v>
      </c>
      <c r="J1126">
        <v>0</v>
      </c>
      <c r="K1126">
        <v>0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15</v>
      </c>
      <c r="C1127" t="s">
        <v>16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>
        <v>0</v>
      </c>
      <c r="J1127">
        <v>0</v>
      </c>
      <c r="K1127">
        <v>0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17</v>
      </c>
      <c r="C1128" t="s">
        <v>18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19</v>
      </c>
      <c r="C1129" t="s">
        <v>20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>
        <v>0</v>
      </c>
      <c r="J1129">
        <v>0</v>
      </c>
      <c r="K1129">
        <v>0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21</v>
      </c>
      <c r="C1130" t="s">
        <v>18</v>
      </c>
      <c r="D1130">
        <v>6</v>
      </c>
      <c r="E1130">
        <v>6</v>
      </c>
      <c r="F1130">
        <v>23.54</v>
      </c>
      <c r="G1130">
        <v>0</v>
      </c>
      <c r="H1130">
        <v>0</v>
      </c>
      <c r="I1130">
        <v>0</v>
      </c>
      <c r="J1130">
        <v>0</v>
      </c>
      <c r="K1130">
        <v>0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22</v>
      </c>
      <c r="C1131" t="s">
        <v>23</v>
      </c>
      <c r="D1131">
        <v>9</v>
      </c>
      <c r="E1131">
        <v>9</v>
      </c>
      <c r="F1131">
        <v>49.18</v>
      </c>
      <c r="G1131">
        <v>0</v>
      </c>
      <c r="H1131">
        <v>0</v>
      </c>
      <c r="I1131">
        <v>0</v>
      </c>
      <c r="J1131">
        <v>0</v>
      </c>
      <c r="K1131">
        <v>0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24</v>
      </c>
      <c r="C1132" t="s">
        <v>16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>
        <v>0</v>
      </c>
      <c r="J1132">
        <v>0</v>
      </c>
      <c r="K1132">
        <v>0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25</v>
      </c>
      <c r="C1133" t="s">
        <v>16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>
        <v>0</v>
      </c>
      <c r="J1133">
        <v>0</v>
      </c>
      <c r="K1133">
        <v>0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26</v>
      </c>
      <c r="C1134" t="s">
        <v>23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27</v>
      </c>
      <c r="C1135" t="s">
        <v>20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>
        <v>0</v>
      </c>
      <c r="J1135">
        <v>0</v>
      </c>
      <c r="K1135">
        <v>0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28</v>
      </c>
      <c r="C1136" t="s">
        <v>18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>
        <v>0</v>
      </c>
      <c r="J1136">
        <v>0</v>
      </c>
      <c r="K1136">
        <v>0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29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30</v>
      </c>
      <c r="C1138" t="s">
        <v>20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>
        <v>0</v>
      </c>
      <c r="J1138">
        <v>0</v>
      </c>
      <c r="K1138">
        <v>0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31</v>
      </c>
      <c r="C1139" t="s">
        <v>18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32</v>
      </c>
      <c r="C1140" t="s">
        <v>23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33</v>
      </c>
      <c r="C1141" t="s">
        <v>16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>
        <v>0</v>
      </c>
      <c r="J1141">
        <v>0</v>
      </c>
      <c r="K1141">
        <v>0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34</v>
      </c>
      <c r="C1142" t="s">
        <v>18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>
        <v>0</v>
      </c>
      <c r="J1142">
        <v>0</v>
      </c>
      <c r="K1142">
        <v>0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35</v>
      </c>
      <c r="C1143" t="s">
        <v>16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>
        <v>0</v>
      </c>
      <c r="J1143">
        <v>0</v>
      </c>
      <c r="K1143">
        <v>0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36</v>
      </c>
      <c r="C1144" t="s">
        <v>20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f>E1144+G1144+H1144</f>
        <v>0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0</v>
      </c>
      <c r="K1144" s="3">
        <f>I1144-J1144</f>
        <v>0</v>
      </c>
      <c r="L1144" s="3" t="str">
        <f>IF(K1144&lt;-5,"CRÍTICO",IF(K1144&lt;0,"ATENÇÃO",IF(K1144&lt;=5,"BOM","EXCELENTE")))</f>
        <v>BOM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37</v>
      </c>
      <c r="C1145" t="s">
        <v>16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>
        <v>0</v>
      </c>
      <c r="J1145">
        <v>0</v>
      </c>
      <c r="K1145">
        <v>0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38</v>
      </c>
      <c r="C1146" t="s">
        <v>18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>
        <v>0</v>
      </c>
      <c r="J1146">
        <v>0</v>
      </c>
      <c r="K1146">
        <v>0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39</v>
      </c>
      <c r="C1147" t="s">
        <v>18</v>
      </c>
      <c r="D1147">
        <v>21</v>
      </c>
      <c r="E1147">
        <v>17</v>
      </c>
      <c r="F1147">
        <v>8.35</v>
      </c>
      <c r="G1147">
        <v>0</v>
      </c>
      <c r="H1147">
        <v>0</v>
      </c>
      <c r="I1147">
        <v>0</v>
      </c>
      <c r="J1147">
        <v>0</v>
      </c>
      <c r="K1147">
        <v>0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40</v>
      </c>
      <c r="C1148" t="s">
        <v>16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>
        <v>0</v>
      </c>
      <c r="J1148">
        <v>0</v>
      </c>
      <c r="K1148">
        <v>0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41</v>
      </c>
      <c r="C1149" t="s">
        <v>18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42</v>
      </c>
      <c r="C1150" t="s">
        <v>43</v>
      </c>
      <c r="D1150">
        <v>4</v>
      </c>
      <c r="E1150">
        <v>4</v>
      </c>
      <c r="F1150">
        <v>87.34</v>
      </c>
      <c r="G1150">
        <v>0</v>
      </c>
      <c r="H1150">
        <v>0</v>
      </c>
      <c r="I1150">
        <v>0</v>
      </c>
      <c r="J1150">
        <v>0</v>
      </c>
      <c r="K1150">
        <v>0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44</v>
      </c>
      <c r="C1151" t="s">
        <v>18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>
        <v>0</v>
      </c>
      <c r="J1151">
        <v>0</v>
      </c>
      <c r="K1151">
        <v>0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45</v>
      </c>
      <c r="C1152" t="s">
        <v>43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46</v>
      </c>
      <c r="C1153" t="s">
        <v>18</v>
      </c>
      <c r="D1153">
        <v>35</v>
      </c>
      <c r="E1153">
        <v>30</v>
      </c>
      <c r="F1153">
        <v>15.4</v>
      </c>
      <c r="G1153">
        <v>0</v>
      </c>
      <c r="H1153">
        <v>0</v>
      </c>
      <c r="I1153">
        <v>0</v>
      </c>
      <c r="J1153">
        <v>0</v>
      </c>
      <c r="K1153">
        <v>0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47</v>
      </c>
      <c r="C1154" t="s">
        <v>16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>
        <v>0</v>
      </c>
      <c r="J1154">
        <v>0</v>
      </c>
      <c r="K1154">
        <v>0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48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49</v>
      </c>
      <c r="C1156" t="s">
        <v>18</v>
      </c>
      <c r="D1156">
        <v>51</v>
      </c>
      <c r="E1156">
        <v>42</v>
      </c>
      <c r="F1156">
        <v>8.33</v>
      </c>
      <c r="G1156">
        <v>0</v>
      </c>
      <c r="H1156">
        <v>0</v>
      </c>
      <c r="I1156">
        <v>0</v>
      </c>
      <c r="J1156">
        <v>0</v>
      </c>
      <c r="K1156">
        <v>0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50</v>
      </c>
      <c r="C1157" t="s">
        <v>20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>
        <v>0</v>
      </c>
      <c r="J1157">
        <v>0</v>
      </c>
      <c r="K1157">
        <v>0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51</v>
      </c>
      <c r="C1158" t="s">
        <v>23</v>
      </c>
      <c r="D1158">
        <v>2</v>
      </c>
      <c r="E1158">
        <v>2</v>
      </c>
      <c r="F1158">
        <v>249.04</v>
      </c>
      <c r="G1158">
        <v>0</v>
      </c>
      <c r="H1158">
        <v>0</v>
      </c>
      <c r="I1158">
        <v>0</v>
      </c>
      <c r="J1158">
        <v>0</v>
      </c>
      <c r="K1158">
        <v>0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52</v>
      </c>
      <c r="C1159" t="s">
        <v>18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53</v>
      </c>
      <c r="C1160" t="s">
        <v>18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>
        <v>0</v>
      </c>
      <c r="J1160">
        <v>0</v>
      </c>
      <c r="K1160">
        <v>0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54</v>
      </c>
      <c r="C1161" t="s">
        <v>23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55</v>
      </c>
      <c r="C1162" t="s">
        <v>43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56</v>
      </c>
      <c r="C1163" t="s">
        <v>16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>
        <v>0</v>
      </c>
      <c r="J1163">
        <v>0</v>
      </c>
      <c r="K1163">
        <v>0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57</v>
      </c>
      <c r="C1164" t="s">
        <v>43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58</v>
      </c>
      <c r="C1165" t="s">
        <v>43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59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60</v>
      </c>
      <c r="C1167" t="s">
        <v>20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61</v>
      </c>
      <c r="C1168" t="s">
        <v>18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62</v>
      </c>
      <c r="C1169" t="s">
        <v>20</v>
      </c>
      <c r="D1169">
        <v>17</v>
      </c>
      <c r="E1169">
        <v>17</v>
      </c>
      <c r="F1169">
        <v>25.5</v>
      </c>
      <c r="G1169">
        <v>0</v>
      </c>
      <c r="H1169">
        <v>0</v>
      </c>
      <c r="I1169">
        <v>0</v>
      </c>
      <c r="J1169">
        <v>0</v>
      </c>
      <c r="K1169">
        <v>0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63</v>
      </c>
      <c r="C1170" t="s">
        <v>18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>
        <v>0</v>
      </c>
      <c r="J1170">
        <v>0</v>
      </c>
      <c r="K1170">
        <v>0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15</v>
      </c>
      <c r="C1171" t="s">
        <v>16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>
        <v>0</v>
      </c>
      <c r="J1171">
        <v>0</v>
      </c>
      <c r="K1171">
        <v>0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17</v>
      </c>
      <c r="C1172" t="s">
        <v>18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19</v>
      </c>
      <c r="C1173" t="s">
        <v>20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>
        <v>0</v>
      </c>
      <c r="J1173">
        <v>0</v>
      </c>
      <c r="K1173">
        <v>0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21</v>
      </c>
      <c r="C1174" t="s">
        <v>18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>
        <v>0</v>
      </c>
      <c r="J1174">
        <v>0</v>
      </c>
      <c r="K1174">
        <v>0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22</v>
      </c>
      <c r="C1175" t="s">
        <v>23</v>
      </c>
      <c r="D1175">
        <v>8</v>
      </c>
      <c r="E1175">
        <v>8</v>
      </c>
      <c r="F1175">
        <v>27.33</v>
      </c>
      <c r="G1175">
        <v>0</v>
      </c>
      <c r="H1175">
        <v>0</v>
      </c>
      <c r="I1175">
        <v>0</v>
      </c>
      <c r="J1175">
        <v>0</v>
      </c>
      <c r="K1175">
        <v>0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24</v>
      </c>
      <c r="C1176" t="s">
        <v>16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>
        <v>0</v>
      </c>
      <c r="J1176">
        <v>0</v>
      </c>
      <c r="K1176">
        <v>0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25</v>
      </c>
      <c r="C1177" t="s">
        <v>16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>
        <v>0</v>
      </c>
      <c r="J1177">
        <v>0</v>
      </c>
      <c r="K1177">
        <v>0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26</v>
      </c>
      <c r="C1178" t="s">
        <v>23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27</v>
      </c>
      <c r="C1179" t="s">
        <v>20</v>
      </c>
      <c r="D1179">
        <v>9</v>
      </c>
      <c r="E1179">
        <v>9</v>
      </c>
      <c r="F1179">
        <v>69.19</v>
      </c>
      <c r="G1179">
        <v>0</v>
      </c>
      <c r="H1179">
        <v>0</v>
      </c>
      <c r="I1179">
        <v>0</v>
      </c>
      <c r="J1179">
        <v>0</v>
      </c>
      <c r="K1179">
        <v>0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28</v>
      </c>
      <c r="C1180" t="s">
        <v>18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>
        <v>0</v>
      </c>
      <c r="J1180">
        <v>0</v>
      </c>
      <c r="K1180">
        <v>0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29</v>
      </c>
      <c r="C1181" t="s">
        <v>16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30</v>
      </c>
      <c r="C1182" t="s">
        <v>20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>
        <v>0</v>
      </c>
      <c r="J1182">
        <v>0</v>
      </c>
      <c r="K1182">
        <v>0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31</v>
      </c>
      <c r="C1183" t="s">
        <v>18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32</v>
      </c>
      <c r="C1184" t="s">
        <v>23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33</v>
      </c>
      <c r="C1185" t="s">
        <v>16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>
        <v>0</v>
      </c>
      <c r="J1185">
        <v>0</v>
      </c>
      <c r="K1185">
        <v>0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34</v>
      </c>
      <c r="C1186" t="s">
        <v>18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>
        <v>0</v>
      </c>
      <c r="J1186">
        <v>0</v>
      </c>
      <c r="K1186">
        <v>0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35</v>
      </c>
      <c r="C1187" t="s">
        <v>16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36</v>
      </c>
      <c r="C1188" t="s">
        <v>20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15</v>
      </c>
      <c r="K1188" s="3">
        <f>I1188-J1188</f>
        <v>3</v>
      </c>
      <c r="L1188" s="3" t="str">
        <f>IF(K1188&lt;-5,"CRÍTICO",IF(K1188&lt;0,"ATENÇÃO",IF(K1188&lt;=5,"BOM","EXCELENTE")))</f>
        <v>BOM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37</v>
      </c>
      <c r="C1189" t="s">
        <v>16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>
        <v>0</v>
      </c>
      <c r="J1189">
        <v>0</v>
      </c>
      <c r="K1189">
        <v>0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38</v>
      </c>
      <c r="C1190" t="s">
        <v>18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>
        <v>0</v>
      </c>
      <c r="J1190">
        <v>0</v>
      </c>
      <c r="K1190">
        <v>0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39</v>
      </c>
      <c r="C1191" t="s">
        <v>18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40</v>
      </c>
      <c r="C1192" t="s">
        <v>16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>
        <v>0</v>
      </c>
      <c r="J1192">
        <v>0</v>
      </c>
      <c r="K1192">
        <v>0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41</v>
      </c>
      <c r="C1193" t="s">
        <v>18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42</v>
      </c>
      <c r="C1194" t="s">
        <v>43</v>
      </c>
      <c r="D1194">
        <v>10</v>
      </c>
      <c r="E1194">
        <v>7</v>
      </c>
      <c r="F1194">
        <v>19</v>
      </c>
      <c r="G1194">
        <v>0</v>
      </c>
      <c r="H1194">
        <v>0</v>
      </c>
      <c r="I1194">
        <v>0</v>
      </c>
      <c r="J1194">
        <v>0</v>
      </c>
      <c r="K1194">
        <v>0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44</v>
      </c>
      <c r="C1195" t="s">
        <v>18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>
        <v>0</v>
      </c>
      <c r="J1195">
        <v>0</v>
      </c>
      <c r="K1195">
        <v>0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45</v>
      </c>
      <c r="C1196" t="s">
        <v>43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46</v>
      </c>
      <c r="C1197" t="s">
        <v>18</v>
      </c>
      <c r="D1197">
        <v>39</v>
      </c>
      <c r="E1197">
        <v>32</v>
      </c>
      <c r="F1197">
        <v>20.5</v>
      </c>
      <c r="G1197">
        <v>0</v>
      </c>
      <c r="H1197">
        <v>0</v>
      </c>
      <c r="I1197">
        <v>0</v>
      </c>
      <c r="J1197">
        <v>0</v>
      </c>
      <c r="K1197">
        <v>0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47</v>
      </c>
      <c r="C1198" t="s">
        <v>16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>
        <v>0</v>
      </c>
      <c r="J1198">
        <v>0</v>
      </c>
      <c r="K1198">
        <v>0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48</v>
      </c>
      <c r="C1199" t="s">
        <v>16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49</v>
      </c>
      <c r="C1200" t="s">
        <v>18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>
        <v>0</v>
      </c>
      <c r="J1200">
        <v>0</v>
      </c>
      <c r="K1200">
        <v>0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50</v>
      </c>
      <c r="C1201" t="s">
        <v>20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>
        <v>0</v>
      </c>
      <c r="J1201">
        <v>0</v>
      </c>
      <c r="K1201">
        <v>0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51</v>
      </c>
      <c r="C1202" t="s">
        <v>23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52</v>
      </c>
      <c r="C1203" t="s">
        <v>18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53</v>
      </c>
      <c r="C1204" t="s">
        <v>18</v>
      </c>
      <c r="D1204">
        <v>53</v>
      </c>
      <c r="E1204">
        <v>48</v>
      </c>
      <c r="F1204">
        <v>9.18</v>
      </c>
      <c r="G1204">
        <v>0</v>
      </c>
      <c r="H1204">
        <v>0</v>
      </c>
      <c r="I1204">
        <v>0</v>
      </c>
      <c r="J1204">
        <v>0</v>
      </c>
      <c r="K1204">
        <v>0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54</v>
      </c>
      <c r="C1205" t="s">
        <v>23</v>
      </c>
      <c r="D1205">
        <v>1</v>
      </c>
      <c r="E1205">
        <v>1</v>
      </c>
      <c r="F1205">
        <v>12.38</v>
      </c>
      <c r="G1205">
        <v>0</v>
      </c>
      <c r="H1205">
        <v>0</v>
      </c>
      <c r="I1205">
        <v>0</v>
      </c>
      <c r="J1205">
        <v>0</v>
      </c>
      <c r="K1205">
        <v>0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55</v>
      </c>
      <c r="C1206" t="s">
        <v>43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56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57</v>
      </c>
      <c r="C1208" t="s">
        <v>43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58</v>
      </c>
      <c r="C1209" t="s">
        <v>43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59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60</v>
      </c>
      <c r="C1211" t="s">
        <v>20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61</v>
      </c>
      <c r="C1212" t="s">
        <v>18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62</v>
      </c>
      <c r="C1213" t="s">
        <v>20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>
        <v>0</v>
      </c>
      <c r="J1213">
        <v>0</v>
      </c>
      <c r="K1213">
        <v>0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63</v>
      </c>
      <c r="C1214" t="s">
        <v>18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>
        <v>0</v>
      </c>
      <c r="J1214">
        <v>0</v>
      </c>
      <c r="K1214">
        <v>0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15</v>
      </c>
      <c r="C1215" t="s">
        <v>16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>
        <v>0</v>
      </c>
      <c r="J1215">
        <v>0</v>
      </c>
      <c r="K1215">
        <v>0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17</v>
      </c>
      <c r="C1216" t="s">
        <v>18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19</v>
      </c>
      <c r="C1217" t="s">
        <v>20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>
        <v>0</v>
      </c>
      <c r="J1217">
        <v>0</v>
      </c>
      <c r="K1217">
        <v>0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21</v>
      </c>
      <c r="C1218" t="s">
        <v>18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>
        <v>0</v>
      </c>
      <c r="J1218">
        <v>0</v>
      </c>
      <c r="K1218">
        <v>0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22</v>
      </c>
      <c r="C1219" t="s">
        <v>23</v>
      </c>
      <c r="D1219">
        <v>1</v>
      </c>
      <c r="E1219">
        <v>1</v>
      </c>
      <c r="F1219">
        <v>432.1</v>
      </c>
      <c r="G1219">
        <v>0</v>
      </c>
      <c r="H1219">
        <v>0</v>
      </c>
      <c r="I1219">
        <v>0</v>
      </c>
      <c r="J1219">
        <v>0</v>
      </c>
      <c r="K1219">
        <v>0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24</v>
      </c>
      <c r="C1220" t="s">
        <v>16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>
        <v>0</v>
      </c>
      <c r="J1220">
        <v>0</v>
      </c>
      <c r="K1220">
        <v>0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25</v>
      </c>
      <c r="C1221" t="s">
        <v>16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>
        <v>0</v>
      </c>
      <c r="J1221">
        <v>0</v>
      </c>
      <c r="K1221">
        <v>0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26</v>
      </c>
      <c r="C1222" t="s">
        <v>23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27</v>
      </c>
      <c r="C1223" t="s">
        <v>20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>
        <v>0</v>
      </c>
      <c r="J1223">
        <v>0</v>
      </c>
      <c r="K1223">
        <v>0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28</v>
      </c>
      <c r="C1224" t="s">
        <v>18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>
        <v>0</v>
      </c>
      <c r="J1224">
        <v>0</v>
      </c>
      <c r="K1224">
        <v>0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29</v>
      </c>
      <c r="C1225" t="s">
        <v>16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30</v>
      </c>
      <c r="C1226" t="s">
        <v>20</v>
      </c>
      <c r="D1226">
        <v>9</v>
      </c>
      <c r="E1226">
        <v>9</v>
      </c>
      <c r="F1226">
        <v>38.24</v>
      </c>
      <c r="G1226">
        <v>0</v>
      </c>
      <c r="H1226">
        <v>0</v>
      </c>
      <c r="I1226">
        <v>0</v>
      </c>
      <c r="J1226">
        <v>0</v>
      </c>
      <c r="K1226">
        <v>0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31</v>
      </c>
      <c r="C1227" t="s">
        <v>18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32</v>
      </c>
      <c r="C1228" t="s">
        <v>23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33</v>
      </c>
      <c r="C1229" t="s">
        <v>16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>
        <v>0</v>
      </c>
      <c r="J1229">
        <v>0</v>
      </c>
      <c r="K1229">
        <v>0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34</v>
      </c>
      <c r="C1230" t="s">
        <v>18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>
        <v>0</v>
      </c>
      <c r="J1230">
        <v>0</v>
      </c>
      <c r="K1230">
        <v>0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35</v>
      </c>
      <c r="C1231" t="s">
        <v>16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>
        <v>0</v>
      </c>
      <c r="J1231">
        <v>0</v>
      </c>
      <c r="K1231">
        <v>0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36</v>
      </c>
      <c r="C1232" t="s">
        <v>20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>E1232+G1232+H1232</f>
        <v>20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14</v>
      </c>
      <c r="K1232" s="3">
        <f>I1232-J1232</f>
        <v>6</v>
      </c>
      <c r="L1232" s="3" t="str">
        <f>IF(K1232&lt;-5,"CRÍTICO",IF(K1232&lt;0,"ATENÇÃO",IF(K1232&lt;=5,"BOM","EXCELENTE")))</f>
        <v>EXCELENTE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37</v>
      </c>
      <c r="C1233" t="s">
        <v>16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>
        <v>0</v>
      </c>
      <c r="J1233">
        <v>0</v>
      </c>
      <c r="K1233">
        <v>0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38</v>
      </c>
      <c r="C1234" t="s">
        <v>18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>
        <v>0</v>
      </c>
      <c r="J1234">
        <v>0</v>
      </c>
      <c r="K1234">
        <v>0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39</v>
      </c>
      <c r="C1235" t="s">
        <v>18</v>
      </c>
      <c r="D1235">
        <v>21</v>
      </c>
      <c r="E1235">
        <v>19</v>
      </c>
      <c r="F1235">
        <v>11.5</v>
      </c>
      <c r="G1235">
        <v>0</v>
      </c>
      <c r="H1235">
        <v>0</v>
      </c>
      <c r="I1235">
        <v>0</v>
      </c>
      <c r="J1235">
        <v>0</v>
      </c>
      <c r="K1235">
        <v>0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40</v>
      </c>
      <c r="C1236" t="s">
        <v>16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>
        <v>0</v>
      </c>
      <c r="J1236">
        <v>0</v>
      </c>
      <c r="K1236">
        <v>0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41</v>
      </c>
      <c r="C1237" t="s">
        <v>18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42</v>
      </c>
      <c r="C1238" t="s">
        <v>43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>
        <v>0</v>
      </c>
      <c r="J1238">
        <v>0</v>
      </c>
      <c r="K1238">
        <v>0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44</v>
      </c>
      <c r="C1239" t="s">
        <v>18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>
        <v>0</v>
      </c>
      <c r="J1239">
        <v>0</v>
      </c>
      <c r="K1239">
        <v>0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45</v>
      </c>
      <c r="C1240" t="s">
        <v>43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46</v>
      </c>
      <c r="C1241" t="s">
        <v>18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>
        <v>0</v>
      </c>
      <c r="J1241">
        <v>0</v>
      </c>
      <c r="K1241">
        <v>0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47</v>
      </c>
      <c r="C1242" t="s">
        <v>16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>
        <v>0</v>
      </c>
      <c r="J1242">
        <v>0</v>
      </c>
      <c r="K1242">
        <v>0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48</v>
      </c>
      <c r="C1243" t="s">
        <v>16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49</v>
      </c>
      <c r="C1244" t="s">
        <v>18</v>
      </c>
      <c r="D1244">
        <v>44</v>
      </c>
      <c r="E1244">
        <v>29</v>
      </c>
      <c r="F1244">
        <v>7.23</v>
      </c>
      <c r="G1244">
        <v>0</v>
      </c>
      <c r="H1244">
        <v>0</v>
      </c>
      <c r="I1244">
        <v>0</v>
      </c>
      <c r="J1244">
        <v>0</v>
      </c>
      <c r="K1244">
        <v>0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50</v>
      </c>
      <c r="C1245" t="s">
        <v>20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>
        <v>0</v>
      </c>
      <c r="J1245">
        <v>0</v>
      </c>
      <c r="K1245">
        <v>0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51</v>
      </c>
      <c r="C1246" t="s">
        <v>23</v>
      </c>
      <c r="D1246">
        <v>4</v>
      </c>
      <c r="E1246">
        <v>4</v>
      </c>
      <c r="F1246">
        <v>52.18</v>
      </c>
      <c r="G1246">
        <v>0</v>
      </c>
      <c r="H1246">
        <v>0</v>
      </c>
      <c r="I1246">
        <v>0</v>
      </c>
      <c r="J1246">
        <v>0</v>
      </c>
      <c r="K1246">
        <v>0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52</v>
      </c>
      <c r="C1247" t="s">
        <v>18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53</v>
      </c>
      <c r="C1248" t="s">
        <v>18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>
        <v>0</v>
      </c>
      <c r="J1248">
        <v>0</v>
      </c>
      <c r="K1248">
        <v>0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54</v>
      </c>
      <c r="C1249" t="s">
        <v>23</v>
      </c>
      <c r="D1249">
        <v>1</v>
      </c>
      <c r="E1249">
        <v>1</v>
      </c>
      <c r="F1249">
        <v>28.33</v>
      </c>
      <c r="G1249">
        <v>0</v>
      </c>
      <c r="H1249">
        <v>0</v>
      </c>
      <c r="I1249">
        <v>0</v>
      </c>
      <c r="J1249">
        <v>0</v>
      </c>
      <c r="K1249">
        <v>0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55</v>
      </c>
      <c r="C1250" t="s">
        <v>43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56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57</v>
      </c>
      <c r="C1252" t="s">
        <v>43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58</v>
      </c>
      <c r="C1253" t="s">
        <v>43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59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60</v>
      </c>
      <c r="C1255" t="s">
        <v>20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61</v>
      </c>
      <c r="C1256" t="s">
        <v>18</v>
      </c>
      <c r="D1256">
        <v>31</v>
      </c>
      <c r="E1256">
        <v>27</v>
      </c>
      <c r="F1256">
        <v>17.2</v>
      </c>
      <c r="G1256">
        <v>0</v>
      </c>
      <c r="H1256">
        <v>0</v>
      </c>
      <c r="I1256">
        <v>0</v>
      </c>
      <c r="J1256">
        <v>0</v>
      </c>
      <c r="K1256">
        <v>0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62</v>
      </c>
      <c r="C1257" t="s">
        <v>20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>
        <v>0</v>
      </c>
      <c r="J1257">
        <v>0</v>
      </c>
      <c r="K1257">
        <v>0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63</v>
      </c>
      <c r="C1258" t="s">
        <v>18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>
        <v>0</v>
      </c>
      <c r="J1258">
        <v>0</v>
      </c>
      <c r="K1258">
        <v>0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15</v>
      </c>
      <c r="C1259" t="s">
        <v>16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>
        <v>0</v>
      </c>
      <c r="J1259">
        <v>0</v>
      </c>
      <c r="K1259">
        <v>0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17</v>
      </c>
      <c r="C1260" t="s">
        <v>18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19</v>
      </c>
      <c r="C1261" t="s">
        <v>20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>
        <v>0</v>
      </c>
      <c r="J1261">
        <v>0</v>
      </c>
      <c r="K1261">
        <v>0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21</v>
      </c>
      <c r="C1262" t="s">
        <v>18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>
        <v>0</v>
      </c>
      <c r="J1262">
        <v>0</v>
      </c>
      <c r="K1262">
        <v>0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22</v>
      </c>
      <c r="C1263" t="s">
        <v>23</v>
      </c>
      <c r="D1263">
        <v>7</v>
      </c>
      <c r="E1263">
        <v>7</v>
      </c>
      <c r="F1263">
        <v>46.46</v>
      </c>
      <c r="G1263">
        <v>0</v>
      </c>
      <c r="H1263">
        <v>0</v>
      </c>
      <c r="I1263">
        <v>0</v>
      </c>
      <c r="J1263">
        <v>0</v>
      </c>
      <c r="K1263">
        <v>0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24</v>
      </c>
      <c r="C1264" t="s">
        <v>16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>
        <v>0</v>
      </c>
      <c r="J1264">
        <v>0</v>
      </c>
      <c r="K1264">
        <v>0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25</v>
      </c>
      <c r="C1265" t="s">
        <v>16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>
        <v>0</v>
      </c>
      <c r="J1265">
        <v>0</v>
      </c>
      <c r="K1265">
        <v>0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26</v>
      </c>
      <c r="C1266" t="s">
        <v>23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27</v>
      </c>
      <c r="C1267" t="s">
        <v>20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>
        <v>0</v>
      </c>
      <c r="J1267">
        <v>0</v>
      </c>
      <c r="K1267">
        <v>0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28</v>
      </c>
      <c r="C1268" t="s">
        <v>18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>
        <v>0</v>
      </c>
      <c r="J1268">
        <v>0</v>
      </c>
      <c r="K1268">
        <v>0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29</v>
      </c>
      <c r="C1269" t="s">
        <v>16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30</v>
      </c>
      <c r="C1270" t="s">
        <v>20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>
        <v>0</v>
      </c>
      <c r="J1270">
        <v>0</v>
      </c>
      <c r="K1270">
        <v>0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31</v>
      </c>
      <c r="C1271" t="s">
        <v>18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32</v>
      </c>
      <c r="C1272" t="s">
        <v>23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33</v>
      </c>
      <c r="C1273" t="s">
        <v>16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>
        <v>0</v>
      </c>
      <c r="J1273">
        <v>0</v>
      </c>
      <c r="K1273">
        <v>0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34</v>
      </c>
      <c r="C1274" t="s">
        <v>18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>
        <v>0</v>
      </c>
      <c r="J1274">
        <v>0</v>
      </c>
      <c r="K1274">
        <v>0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35</v>
      </c>
      <c r="C1275" t="s">
        <v>16</v>
      </c>
      <c r="D1275">
        <v>20</v>
      </c>
      <c r="E1275">
        <v>18</v>
      </c>
      <c r="F1275">
        <v>30</v>
      </c>
      <c r="G1275">
        <v>0</v>
      </c>
      <c r="H1275">
        <v>0</v>
      </c>
      <c r="I1275">
        <v>0</v>
      </c>
      <c r="J1275">
        <v>0</v>
      </c>
      <c r="K1275">
        <v>0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36</v>
      </c>
      <c r="C1276" t="s">
        <v>20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>E1276+G1276+H1276</f>
        <v>16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14</v>
      </c>
      <c r="K1276" s="3">
        <f>I1276-J1276</f>
        <v>2</v>
      </c>
      <c r="L1276" s="3" t="str">
        <f>IF(K1276&lt;-5,"CRÍTICO",IF(K1276&lt;0,"ATENÇÃO",IF(K1276&lt;=5,"BOM","EXCELENTE")))</f>
        <v>BOM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37</v>
      </c>
      <c r="C1277" t="s">
        <v>16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>
        <v>0</v>
      </c>
      <c r="J1277">
        <v>0</v>
      </c>
      <c r="K1277">
        <v>0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38</v>
      </c>
      <c r="C1278" t="s">
        <v>18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>
        <v>0</v>
      </c>
      <c r="J1278">
        <v>0</v>
      </c>
      <c r="K1278">
        <v>0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39</v>
      </c>
      <c r="C1279" t="s">
        <v>18</v>
      </c>
      <c r="D1279">
        <v>19</v>
      </c>
      <c r="E1279">
        <v>17</v>
      </c>
      <c r="F1279">
        <v>8.36</v>
      </c>
      <c r="G1279">
        <v>0</v>
      </c>
      <c r="H1279">
        <v>0</v>
      </c>
      <c r="I1279">
        <v>0</v>
      </c>
      <c r="J1279">
        <v>0</v>
      </c>
      <c r="K1279">
        <v>0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40</v>
      </c>
      <c r="C1280" t="s">
        <v>16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>
        <v>0</v>
      </c>
      <c r="J1280">
        <v>0</v>
      </c>
      <c r="K1280">
        <v>0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41</v>
      </c>
      <c r="C1281" t="s">
        <v>18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42</v>
      </c>
      <c r="C1282" t="s">
        <v>43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>
        <v>0</v>
      </c>
      <c r="J1282">
        <v>0</v>
      </c>
      <c r="K1282">
        <v>0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44</v>
      </c>
      <c r="C1283" t="s">
        <v>18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>
        <v>0</v>
      </c>
      <c r="J1283">
        <v>0</v>
      </c>
      <c r="K1283">
        <v>0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45</v>
      </c>
      <c r="C1284" t="s">
        <v>43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46</v>
      </c>
      <c r="C1285" t="s">
        <v>18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>
        <v>0</v>
      </c>
      <c r="J1285">
        <v>0</v>
      </c>
      <c r="K1285">
        <v>0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47</v>
      </c>
      <c r="C1286" t="s">
        <v>16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>
        <v>0</v>
      </c>
      <c r="J1286">
        <v>0</v>
      </c>
      <c r="K1286">
        <v>0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48</v>
      </c>
      <c r="C1287" t="s">
        <v>16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49</v>
      </c>
      <c r="C1288" t="s">
        <v>18</v>
      </c>
      <c r="D1288">
        <v>37</v>
      </c>
      <c r="E1288">
        <v>27</v>
      </c>
      <c r="F1288">
        <v>9</v>
      </c>
      <c r="G1288">
        <v>0</v>
      </c>
      <c r="H1288">
        <v>0</v>
      </c>
      <c r="I1288">
        <v>0</v>
      </c>
      <c r="J1288">
        <v>0</v>
      </c>
      <c r="K1288">
        <v>0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50</v>
      </c>
      <c r="C1289" t="s">
        <v>20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>
        <v>0</v>
      </c>
      <c r="J1289">
        <v>0</v>
      </c>
      <c r="K1289">
        <v>0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51</v>
      </c>
      <c r="C1290" t="s">
        <v>23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>
        <v>0</v>
      </c>
      <c r="J1290">
        <v>0</v>
      </c>
      <c r="K1290">
        <v>0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52</v>
      </c>
      <c r="C1291" t="s">
        <v>18</v>
      </c>
      <c r="D1291">
        <v>27</v>
      </c>
      <c r="E1291">
        <v>26</v>
      </c>
      <c r="F1291">
        <v>17</v>
      </c>
      <c r="G1291">
        <v>0</v>
      </c>
      <c r="H1291">
        <v>0</v>
      </c>
      <c r="I1291">
        <v>0</v>
      </c>
      <c r="J1291">
        <v>0</v>
      </c>
      <c r="K1291">
        <v>0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53</v>
      </c>
      <c r="C1292" t="s">
        <v>18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>
        <v>0</v>
      </c>
      <c r="J1292">
        <v>0</v>
      </c>
      <c r="K1292">
        <v>0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54</v>
      </c>
      <c r="C1293" t="s">
        <v>23</v>
      </c>
      <c r="D1293">
        <v>1</v>
      </c>
      <c r="E1293">
        <v>1</v>
      </c>
      <c r="F1293">
        <v>7.39</v>
      </c>
      <c r="G1293">
        <v>0</v>
      </c>
      <c r="H1293">
        <v>0</v>
      </c>
      <c r="I1293">
        <v>0</v>
      </c>
      <c r="J1293">
        <v>0</v>
      </c>
      <c r="K1293">
        <v>0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55</v>
      </c>
      <c r="C1294" t="s">
        <v>43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56</v>
      </c>
      <c r="C1295" t="s">
        <v>16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>
        <v>0</v>
      </c>
      <c r="J1295">
        <v>0</v>
      </c>
      <c r="K1295">
        <v>0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57</v>
      </c>
      <c r="C1296" t="s">
        <v>43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58</v>
      </c>
      <c r="C1297" t="s">
        <v>43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59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60</v>
      </c>
      <c r="C1299" t="s">
        <v>20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61</v>
      </c>
      <c r="C1300" t="s">
        <v>18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62</v>
      </c>
      <c r="C1301" t="s">
        <v>20</v>
      </c>
      <c r="D1301">
        <v>10</v>
      </c>
      <c r="E1301">
        <v>9</v>
      </c>
      <c r="F1301">
        <v>52.36</v>
      </c>
      <c r="G1301">
        <v>0</v>
      </c>
      <c r="H1301">
        <v>0</v>
      </c>
      <c r="I1301">
        <v>0</v>
      </c>
      <c r="J1301">
        <v>0</v>
      </c>
      <c r="K1301">
        <v>0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63</v>
      </c>
      <c r="C1302" t="s">
        <v>18</v>
      </c>
      <c r="D1302">
        <v>23</v>
      </c>
      <c r="E1302">
        <v>21</v>
      </c>
      <c r="F1302">
        <v>15</v>
      </c>
      <c r="G1302">
        <v>0</v>
      </c>
      <c r="H1302">
        <v>0</v>
      </c>
      <c r="I1302">
        <v>0</v>
      </c>
      <c r="J1302">
        <v>0</v>
      </c>
      <c r="K1302">
        <v>0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15</v>
      </c>
      <c r="C1303" t="s">
        <v>16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>
        <v>0</v>
      </c>
      <c r="J1303">
        <v>0</v>
      </c>
      <c r="K1303">
        <v>0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17</v>
      </c>
      <c r="C1304" t="s">
        <v>18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19</v>
      </c>
      <c r="C1305" t="s">
        <v>20</v>
      </c>
      <c r="D1305">
        <v>25</v>
      </c>
      <c r="E1305">
        <v>21</v>
      </c>
      <c r="F1305">
        <v>15.4</v>
      </c>
      <c r="G1305">
        <v>0</v>
      </c>
      <c r="H1305">
        <v>0</v>
      </c>
      <c r="I1305">
        <v>0</v>
      </c>
      <c r="J1305">
        <v>0</v>
      </c>
      <c r="K1305">
        <v>0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21</v>
      </c>
      <c r="C1306" t="s">
        <v>18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>
        <v>0</v>
      </c>
      <c r="J1306">
        <v>0</v>
      </c>
      <c r="K1306">
        <v>0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22</v>
      </c>
      <c r="C1307" t="s">
        <v>23</v>
      </c>
      <c r="D1307">
        <v>8</v>
      </c>
      <c r="E1307">
        <v>8</v>
      </c>
      <c r="F1307">
        <v>27.13</v>
      </c>
      <c r="G1307">
        <v>0</v>
      </c>
      <c r="H1307">
        <v>0</v>
      </c>
      <c r="I1307">
        <v>0</v>
      </c>
      <c r="J1307">
        <v>0</v>
      </c>
      <c r="K1307">
        <v>0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24</v>
      </c>
      <c r="C1308" t="s">
        <v>16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>
        <v>0</v>
      </c>
      <c r="J1308">
        <v>0</v>
      </c>
      <c r="K1308">
        <v>0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25</v>
      </c>
      <c r="C1309" t="s">
        <v>16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>
        <v>0</v>
      </c>
      <c r="J1309">
        <v>0</v>
      </c>
      <c r="K1309">
        <v>0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26</v>
      </c>
      <c r="C1310" t="s">
        <v>23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27</v>
      </c>
      <c r="C1311" t="s">
        <v>20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>
        <v>0</v>
      </c>
      <c r="J1311">
        <v>0</v>
      </c>
      <c r="K1311">
        <v>0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28</v>
      </c>
      <c r="C1312" t="s">
        <v>18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>
        <v>0</v>
      </c>
      <c r="J1312">
        <v>0</v>
      </c>
      <c r="K1312">
        <v>0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29</v>
      </c>
      <c r="C1313" t="s">
        <v>16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30</v>
      </c>
      <c r="C1314" t="s">
        <v>20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>
        <v>0</v>
      </c>
      <c r="J1314">
        <v>0</v>
      </c>
      <c r="K1314">
        <v>0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31</v>
      </c>
      <c r="C1315" t="s">
        <v>18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32</v>
      </c>
      <c r="C1316" t="s">
        <v>23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33</v>
      </c>
      <c r="C1317" t="s">
        <v>16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>
        <v>0</v>
      </c>
      <c r="J1317">
        <v>0</v>
      </c>
      <c r="K1317">
        <v>0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34</v>
      </c>
      <c r="C1318" t="s">
        <v>18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>
        <v>0</v>
      </c>
      <c r="J1318">
        <v>0</v>
      </c>
      <c r="K1318">
        <v>0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35</v>
      </c>
      <c r="C1319" t="s">
        <v>16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>
        <v>0</v>
      </c>
      <c r="J1319">
        <v>0</v>
      </c>
      <c r="K1319">
        <v>0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36</v>
      </c>
      <c r="C1320" t="s">
        <v>20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>E1320+G1320+H1320</f>
        <v>16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14</v>
      </c>
      <c r="K1320" s="3">
        <f>I1320-J1320</f>
        <v>2</v>
      </c>
      <c r="L1320" s="3" t="str">
        <f>IF(K1320&lt;-5,"CRÍTICO",IF(K1320&lt;0,"ATENÇÃO",IF(K1320&lt;=5,"BOM","EXCELENTE")))</f>
        <v>BOM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37</v>
      </c>
      <c r="C1321" t="s">
        <v>16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>
        <v>0</v>
      </c>
      <c r="J1321">
        <v>0</v>
      </c>
      <c r="K1321">
        <v>0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38</v>
      </c>
      <c r="C1322" t="s">
        <v>18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>
        <v>0</v>
      </c>
      <c r="J1322">
        <v>0</v>
      </c>
      <c r="K1322">
        <v>0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39</v>
      </c>
      <c r="C1323" t="s">
        <v>18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>
        <v>0</v>
      </c>
      <c r="J1323">
        <v>0</v>
      </c>
      <c r="K1323">
        <v>0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40</v>
      </c>
      <c r="C1324" t="s">
        <v>16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>
        <v>0</v>
      </c>
      <c r="J1324">
        <v>0</v>
      </c>
      <c r="K1324">
        <v>0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41</v>
      </c>
      <c r="C1325" t="s">
        <v>18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42</v>
      </c>
      <c r="C1326" t="s">
        <v>43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>
        <v>0</v>
      </c>
      <c r="J1326">
        <v>0</v>
      </c>
      <c r="K1326">
        <v>0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44</v>
      </c>
      <c r="C1327" t="s">
        <v>18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>
        <v>0</v>
      </c>
      <c r="J1327">
        <v>0</v>
      </c>
      <c r="K1327">
        <v>0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45</v>
      </c>
      <c r="C1328" t="s">
        <v>43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46</v>
      </c>
      <c r="C1329" t="s">
        <v>18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>
        <v>0</v>
      </c>
      <c r="J1329">
        <v>0</v>
      </c>
      <c r="K1329">
        <v>0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47</v>
      </c>
      <c r="C1330" t="s">
        <v>16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>
        <v>0</v>
      </c>
      <c r="J1330">
        <v>0</v>
      </c>
      <c r="K1330">
        <v>0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48</v>
      </c>
      <c r="C1331" t="s">
        <v>16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49</v>
      </c>
      <c r="C1332" t="s">
        <v>18</v>
      </c>
      <c r="D1332">
        <v>16</v>
      </c>
      <c r="E1332">
        <v>10</v>
      </c>
      <c r="F1332">
        <v>5.29</v>
      </c>
      <c r="G1332">
        <v>0</v>
      </c>
      <c r="H1332">
        <v>0</v>
      </c>
      <c r="I1332">
        <v>0</v>
      </c>
      <c r="J1332">
        <v>0</v>
      </c>
      <c r="K1332">
        <v>0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50</v>
      </c>
      <c r="C1333" t="s">
        <v>20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>
        <v>0</v>
      </c>
      <c r="J1333">
        <v>0</v>
      </c>
      <c r="K1333">
        <v>0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51</v>
      </c>
      <c r="C1334" t="s">
        <v>23</v>
      </c>
      <c r="D1334">
        <v>4</v>
      </c>
      <c r="E1334">
        <v>4</v>
      </c>
      <c r="F1334">
        <v>190.33</v>
      </c>
      <c r="G1334">
        <v>0</v>
      </c>
      <c r="H1334">
        <v>0</v>
      </c>
      <c r="I1334">
        <v>0</v>
      </c>
      <c r="J1334">
        <v>0</v>
      </c>
      <c r="K1334">
        <v>0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52</v>
      </c>
      <c r="C1335" t="s">
        <v>18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>
        <v>0</v>
      </c>
      <c r="J1335">
        <v>0</v>
      </c>
      <c r="K1335">
        <v>0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53</v>
      </c>
      <c r="C1336" t="s">
        <v>18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>
        <v>0</v>
      </c>
      <c r="J1336">
        <v>0</v>
      </c>
      <c r="K1336">
        <v>0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54</v>
      </c>
      <c r="C1337" t="s">
        <v>23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55</v>
      </c>
      <c r="C1338" t="s">
        <v>43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56</v>
      </c>
      <c r="C1339" t="s">
        <v>16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>
        <v>0</v>
      </c>
      <c r="J1339">
        <v>0</v>
      </c>
      <c r="K1339">
        <v>0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57</v>
      </c>
      <c r="C1340" t="s">
        <v>43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58</v>
      </c>
      <c r="C1341" t="s">
        <v>43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59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60</v>
      </c>
      <c r="C1343" t="s">
        <v>20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61</v>
      </c>
      <c r="C1344" t="s">
        <v>18</v>
      </c>
      <c r="D1344">
        <v>28</v>
      </c>
      <c r="E1344">
        <v>25</v>
      </c>
      <c r="F1344">
        <v>12.1</v>
      </c>
      <c r="G1344">
        <v>0</v>
      </c>
      <c r="H1344">
        <v>0</v>
      </c>
      <c r="I1344">
        <v>0</v>
      </c>
      <c r="J1344">
        <v>0</v>
      </c>
      <c r="K1344">
        <v>0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62</v>
      </c>
      <c r="C1345" t="s">
        <v>20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>
        <v>0</v>
      </c>
      <c r="J1345">
        <v>0</v>
      </c>
      <c r="K1345">
        <v>0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63</v>
      </c>
      <c r="C1346" t="s">
        <v>18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>
        <v>0</v>
      </c>
      <c r="J1346">
        <v>0</v>
      </c>
      <c r="K1346">
        <v>0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15</v>
      </c>
      <c r="C1347" t="s">
        <v>16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>
        <v>0</v>
      </c>
      <c r="J1347">
        <v>0</v>
      </c>
      <c r="K1347">
        <v>0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17</v>
      </c>
      <c r="C1348" t="s">
        <v>18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19</v>
      </c>
      <c r="C1349" t="s">
        <v>20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>
        <v>0</v>
      </c>
      <c r="J1349">
        <v>0</v>
      </c>
      <c r="K1349">
        <v>0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21</v>
      </c>
      <c r="C1350" t="s">
        <v>18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>
        <v>0</v>
      </c>
      <c r="J1350">
        <v>0</v>
      </c>
      <c r="K1350">
        <v>0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22</v>
      </c>
      <c r="C1351" t="s">
        <v>23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>
        <v>0</v>
      </c>
      <c r="J1351">
        <v>0</v>
      </c>
      <c r="K1351">
        <v>0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24</v>
      </c>
      <c r="C1352" t="s">
        <v>16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>
        <v>0</v>
      </c>
      <c r="J1352">
        <v>0</v>
      </c>
      <c r="K1352">
        <v>0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25</v>
      </c>
      <c r="C1353" t="s">
        <v>16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>
        <v>0</v>
      </c>
      <c r="J1353">
        <v>0</v>
      </c>
      <c r="K1353">
        <v>0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26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27</v>
      </c>
      <c r="C1355" t="s">
        <v>20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>
        <v>0</v>
      </c>
      <c r="J1355">
        <v>0</v>
      </c>
      <c r="K1355">
        <v>0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28</v>
      </c>
      <c r="C1356" t="s">
        <v>18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>
        <v>0</v>
      </c>
      <c r="J1356">
        <v>0</v>
      </c>
      <c r="K1356">
        <v>0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29</v>
      </c>
      <c r="C1357" t="s">
        <v>16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30</v>
      </c>
      <c r="C1358" t="s">
        <v>20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>
        <v>0</v>
      </c>
      <c r="J1358">
        <v>0</v>
      </c>
      <c r="K1358">
        <v>0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31</v>
      </c>
      <c r="C1359" t="s">
        <v>18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32</v>
      </c>
      <c r="C1360" t="s">
        <v>23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33</v>
      </c>
      <c r="C1361" t="s">
        <v>16</v>
      </c>
      <c r="D1361">
        <v>30</v>
      </c>
      <c r="E1361">
        <v>30</v>
      </c>
      <c r="F1361">
        <v>12.2</v>
      </c>
      <c r="G1361">
        <v>0</v>
      </c>
      <c r="H1361">
        <v>0</v>
      </c>
      <c r="I1361">
        <v>0</v>
      </c>
      <c r="J1361">
        <v>0</v>
      </c>
      <c r="K1361">
        <v>0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34</v>
      </c>
      <c r="C1362" t="s">
        <v>18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>
        <v>0</v>
      </c>
      <c r="J1362">
        <v>0</v>
      </c>
      <c r="K1362">
        <v>0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35</v>
      </c>
      <c r="C1363" t="s">
        <v>16</v>
      </c>
      <c r="D1363">
        <v>10</v>
      </c>
      <c r="E1363">
        <v>8</v>
      </c>
      <c r="F1363">
        <v>27.24</v>
      </c>
      <c r="G1363">
        <v>0</v>
      </c>
      <c r="H1363">
        <v>0</v>
      </c>
      <c r="I1363">
        <v>0</v>
      </c>
      <c r="J1363">
        <v>0</v>
      </c>
      <c r="K1363">
        <v>0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36</v>
      </c>
      <c r="C1364" t="s">
        <v>20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>E1364+G1364+H1364</f>
        <v>25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12</v>
      </c>
      <c r="K1364" s="3">
        <f>I1364-J1364</f>
        <v>13</v>
      </c>
      <c r="L1364" s="3" t="str">
        <f>IF(K1364&lt;-5,"CRÍTICO",IF(K1364&lt;0,"ATENÇÃO",IF(K1364&lt;=5,"BOM","EXCELENTE")))</f>
        <v>EXCELENTE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37</v>
      </c>
      <c r="C1365" t="s">
        <v>16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>
        <v>0</v>
      </c>
      <c r="J1365">
        <v>0</v>
      </c>
      <c r="K1365">
        <v>0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38</v>
      </c>
      <c r="C1366" t="s">
        <v>18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>
        <v>0</v>
      </c>
      <c r="J1366">
        <v>0</v>
      </c>
      <c r="K1366">
        <v>0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39</v>
      </c>
      <c r="C1367" t="s">
        <v>18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>
        <v>0</v>
      </c>
      <c r="J1367">
        <v>0</v>
      </c>
      <c r="K1367">
        <v>0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40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41</v>
      </c>
      <c r="C1369" t="s">
        <v>18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42</v>
      </c>
      <c r="C1370" t="s">
        <v>43</v>
      </c>
      <c r="D1370">
        <v>6</v>
      </c>
      <c r="E1370">
        <v>6</v>
      </c>
      <c r="F1370">
        <v>39.06</v>
      </c>
      <c r="G1370">
        <v>0</v>
      </c>
      <c r="H1370">
        <v>0</v>
      </c>
      <c r="I1370">
        <v>0</v>
      </c>
      <c r="J1370">
        <v>0</v>
      </c>
      <c r="K1370">
        <v>0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44</v>
      </c>
      <c r="C1371" t="s">
        <v>18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>
        <v>0</v>
      </c>
      <c r="J1371">
        <v>0</v>
      </c>
      <c r="K1371">
        <v>0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45</v>
      </c>
      <c r="C1372" t="s">
        <v>43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46</v>
      </c>
      <c r="C1373" t="s">
        <v>18</v>
      </c>
      <c r="D1373">
        <v>24</v>
      </c>
      <c r="E1373">
        <v>19</v>
      </c>
      <c r="F1373">
        <v>15.4</v>
      </c>
      <c r="G1373">
        <v>0</v>
      </c>
      <c r="H1373">
        <v>0</v>
      </c>
      <c r="I1373">
        <v>0</v>
      </c>
      <c r="J1373">
        <v>0</v>
      </c>
      <c r="K1373">
        <v>0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47</v>
      </c>
      <c r="C1374" t="s">
        <v>16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>
        <v>0</v>
      </c>
      <c r="J1374">
        <v>0</v>
      </c>
      <c r="K1374">
        <v>0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48</v>
      </c>
      <c r="C1375" t="s">
        <v>16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49</v>
      </c>
      <c r="C1376" t="s">
        <v>18</v>
      </c>
      <c r="D1376">
        <v>35</v>
      </c>
      <c r="E1376">
        <v>19</v>
      </c>
      <c r="F1376">
        <v>8.25</v>
      </c>
      <c r="G1376">
        <v>0</v>
      </c>
      <c r="H1376">
        <v>0</v>
      </c>
      <c r="I1376">
        <v>0</v>
      </c>
      <c r="J1376">
        <v>0</v>
      </c>
      <c r="K1376">
        <v>0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50</v>
      </c>
      <c r="C1377" t="s">
        <v>20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>
        <v>0</v>
      </c>
      <c r="J1377">
        <v>0</v>
      </c>
      <c r="K1377">
        <v>0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51</v>
      </c>
      <c r="C1378" t="s">
        <v>23</v>
      </c>
      <c r="D1378">
        <v>8</v>
      </c>
      <c r="E1378">
        <v>8</v>
      </c>
      <c r="F1378">
        <v>30.44</v>
      </c>
      <c r="G1378">
        <v>0</v>
      </c>
      <c r="H1378">
        <v>0</v>
      </c>
      <c r="I1378">
        <v>0</v>
      </c>
      <c r="J1378">
        <v>0</v>
      </c>
      <c r="K1378">
        <v>0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52</v>
      </c>
      <c r="C1379" t="s">
        <v>18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>
        <v>0</v>
      </c>
      <c r="J1379">
        <v>0</v>
      </c>
      <c r="K1379">
        <v>0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53</v>
      </c>
      <c r="C1380" t="s">
        <v>18</v>
      </c>
      <c r="D1380">
        <v>32</v>
      </c>
      <c r="E1380">
        <v>27</v>
      </c>
      <c r="F1380">
        <v>9.14</v>
      </c>
      <c r="G1380">
        <v>0</v>
      </c>
      <c r="H1380">
        <v>0</v>
      </c>
      <c r="I1380">
        <v>0</v>
      </c>
      <c r="J1380">
        <v>0</v>
      </c>
      <c r="K1380">
        <v>0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54</v>
      </c>
      <c r="C1381" t="s">
        <v>23</v>
      </c>
      <c r="D1381">
        <v>6</v>
      </c>
      <c r="E1381">
        <v>5</v>
      </c>
      <c r="F1381">
        <v>27.01</v>
      </c>
      <c r="G1381">
        <v>0</v>
      </c>
      <c r="H1381">
        <v>0</v>
      </c>
      <c r="I1381">
        <v>0</v>
      </c>
      <c r="J1381">
        <v>0</v>
      </c>
      <c r="K1381">
        <v>0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55</v>
      </c>
      <c r="C1382" t="s">
        <v>43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56</v>
      </c>
      <c r="C1383" t="s">
        <v>16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>
        <v>0</v>
      </c>
      <c r="J1383">
        <v>0</v>
      </c>
      <c r="K1383">
        <v>0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57</v>
      </c>
      <c r="C1384" t="s">
        <v>43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58</v>
      </c>
      <c r="C1385" t="s">
        <v>43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59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60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61</v>
      </c>
      <c r="C1388" t="s">
        <v>18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>
        <v>0</v>
      </c>
      <c r="J1388">
        <v>0</v>
      </c>
      <c r="K1388">
        <v>0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62</v>
      </c>
      <c r="C1389" t="s">
        <v>20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>
        <v>0</v>
      </c>
      <c r="J1389">
        <v>0</v>
      </c>
      <c r="K1389">
        <v>0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63</v>
      </c>
      <c r="C1390" t="s">
        <v>18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>
        <v>0</v>
      </c>
      <c r="J1390">
        <v>0</v>
      </c>
      <c r="K1390">
        <v>0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15</v>
      </c>
      <c r="C1391" t="s">
        <v>16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>
        <v>0</v>
      </c>
      <c r="J1391">
        <v>0</v>
      </c>
      <c r="K1391">
        <v>0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17</v>
      </c>
      <c r="C1392" t="s">
        <v>18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19</v>
      </c>
      <c r="C1393" t="s">
        <v>20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>
        <v>0</v>
      </c>
      <c r="J1393">
        <v>0</v>
      </c>
      <c r="K1393">
        <v>0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21</v>
      </c>
      <c r="C1394" t="s">
        <v>18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>
        <v>0</v>
      </c>
      <c r="J1394">
        <v>0</v>
      </c>
      <c r="K1394">
        <v>0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22</v>
      </c>
      <c r="C1395" t="s">
        <v>23</v>
      </c>
      <c r="D1395">
        <v>9</v>
      </c>
      <c r="E1395">
        <v>9</v>
      </c>
      <c r="F1395">
        <v>26.48</v>
      </c>
      <c r="G1395">
        <v>0</v>
      </c>
      <c r="H1395">
        <v>0</v>
      </c>
      <c r="I1395">
        <v>0</v>
      </c>
      <c r="J1395">
        <v>0</v>
      </c>
      <c r="K1395">
        <v>0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24</v>
      </c>
      <c r="C1396" t="s">
        <v>16</v>
      </c>
      <c r="D1396">
        <v>32</v>
      </c>
      <c r="E1396">
        <v>26</v>
      </c>
      <c r="F1396">
        <v>11.5</v>
      </c>
      <c r="G1396">
        <v>0</v>
      </c>
      <c r="H1396">
        <v>0</v>
      </c>
      <c r="I1396">
        <v>0</v>
      </c>
      <c r="J1396">
        <v>0</v>
      </c>
      <c r="K1396">
        <v>0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25</v>
      </c>
      <c r="C1397" t="s">
        <v>16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>
        <v>0</v>
      </c>
      <c r="J1397">
        <v>0</v>
      </c>
      <c r="K1397">
        <v>0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26</v>
      </c>
      <c r="C1398" t="s">
        <v>23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27</v>
      </c>
      <c r="C1399" t="s">
        <v>20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>
        <v>0</v>
      </c>
      <c r="J1399">
        <v>0</v>
      </c>
      <c r="K1399">
        <v>0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28</v>
      </c>
      <c r="C1400" t="s">
        <v>18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>
        <v>0</v>
      </c>
      <c r="J1400">
        <v>0</v>
      </c>
      <c r="K1400">
        <v>0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29</v>
      </c>
      <c r="C1401" t="s">
        <v>16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30</v>
      </c>
      <c r="C1402" t="s">
        <v>20</v>
      </c>
      <c r="D1402">
        <v>5</v>
      </c>
      <c r="E1402">
        <v>5</v>
      </c>
      <c r="F1402">
        <v>32.39</v>
      </c>
      <c r="G1402">
        <v>0</v>
      </c>
      <c r="H1402">
        <v>0</v>
      </c>
      <c r="I1402">
        <v>0</v>
      </c>
      <c r="J1402">
        <v>0</v>
      </c>
      <c r="K1402">
        <v>0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31</v>
      </c>
      <c r="C1403" t="s">
        <v>18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32</v>
      </c>
      <c r="C1404" t="s">
        <v>23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33</v>
      </c>
      <c r="C1405" t="s">
        <v>16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>
        <v>0</v>
      </c>
      <c r="J1405">
        <v>0</v>
      </c>
      <c r="K1405">
        <v>0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34</v>
      </c>
      <c r="C1406" t="s">
        <v>18</v>
      </c>
      <c r="D1406">
        <v>19</v>
      </c>
      <c r="E1406">
        <v>17</v>
      </c>
      <c r="F1406">
        <v>13.4</v>
      </c>
      <c r="G1406">
        <v>0</v>
      </c>
      <c r="H1406">
        <v>0</v>
      </c>
      <c r="I1406">
        <v>0</v>
      </c>
      <c r="J1406">
        <v>0</v>
      </c>
      <c r="K1406">
        <v>0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35</v>
      </c>
      <c r="C1407" t="s">
        <v>16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>
        <v>0</v>
      </c>
      <c r="J1407">
        <v>0</v>
      </c>
      <c r="K1407">
        <v>0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36</v>
      </c>
      <c r="C1408" t="s">
        <v>20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>E1408+G1408+H1408</f>
        <v>15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12</v>
      </c>
      <c r="K1408" s="3">
        <f>I1408-J1408</f>
        <v>3</v>
      </c>
      <c r="L1408" s="3" t="str">
        <f>IF(K1408&lt;-5,"CRÍTICO",IF(K1408&lt;0,"ATENÇÃO",IF(K1408&lt;=5,"BOM","EXCELENTE")))</f>
        <v>BOM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37</v>
      </c>
      <c r="C1409" t="s">
        <v>16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>
        <v>0</v>
      </c>
      <c r="J1409">
        <v>0</v>
      </c>
      <c r="K1409">
        <v>0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38</v>
      </c>
      <c r="C1410" t="s">
        <v>18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>
        <v>0</v>
      </c>
      <c r="J1410">
        <v>0</v>
      </c>
      <c r="K1410">
        <v>0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39</v>
      </c>
      <c r="C1411" t="s">
        <v>18</v>
      </c>
      <c r="D1411">
        <v>10</v>
      </c>
      <c r="E1411">
        <v>8</v>
      </c>
      <c r="F1411">
        <v>13.39</v>
      </c>
      <c r="G1411">
        <v>0</v>
      </c>
      <c r="H1411">
        <v>0</v>
      </c>
      <c r="I1411">
        <v>0</v>
      </c>
      <c r="J1411">
        <v>0</v>
      </c>
      <c r="K1411">
        <v>0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40</v>
      </c>
      <c r="C1412" t="s">
        <v>16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>
        <v>0</v>
      </c>
      <c r="J1412">
        <v>0</v>
      </c>
      <c r="K1412">
        <v>0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41</v>
      </c>
      <c r="C1413" t="s">
        <v>18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42</v>
      </c>
      <c r="C1414" t="s">
        <v>43</v>
      </c>
      <c r="D1414">
        <v>5</v>
      </c>
      <c r="E1414">
        <v>4</v>
      </c>
      <c r="F1414">
        <v>46.55</v>
      </c>
      <c r="G1414">
        <v>0</v>
      </c>
      <c r="H1414">
        <v>0</v>
      </c>
      <c r="I1414">
        <v>0</v>
      </c>
      <c r="J1414">
        <v>0</v>
      </c>
      <c r="K1414">
        <v>0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44</v>
      </c>
      <c r="C1415" t="s">
        <v>18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>
        <v>0</v>
      </c>
      <c r="J1415">
        <v>0</v>
      </c>
      <c r="K1415">
        <v>0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45</v>
      </c>
      <c r="C1416" t="s">
        <v>43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46</v>
      </c>
      <c r="C1417" t="s">
        <v>18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>
        <v>0</v>
      </c>
      <c r="J1417">
        <v>0</v>
      </c>
      <c r="K1417">
        <v>0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47</v>
      </c>
      <c r="C1418" t="s">
        <v>16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>
        <v>0</v>
      </c>
      <c r="J1418">
        <v>0</v>
      </c>
      <c r="K1418">
        <v>0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48</v>
      </c>
      <c r="C1419" t="s">
        <v>16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49</v>
      </c>
      <c r="C1420" t="s">
        <v>18</v>
      </c>
      <c r="D1420">
        <v>47</v>
      </c>
      <c r="E1420">
        <v>29</v>
      </c>
      <c r="F1420">
        <v>5.45</v>
      </c>
      <c r="G1420">
        <v>0</v>
      </c>
      <c r="H1420">
        <v>0</v>
      </c>
      <c r="I1420">
        <v>0</v>
      </c>
      <c r="J1420">
        <v>0</v>
      </c>
      <c r="K1420">
        <v>0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50</v>
      </c>
      <c r="C1421" t="s">
        <v>20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>
        <v>0</v>
      </c>
      <c r="J1421">
        <v>0</v>
      </c>
      <c r="K1421">
        <v>0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51</v>
      </c>
      <c r="C1422" t="s">
        <v>23</v>
      </c>
      <c r="D1422">
        <v>8</v>
      </c>
      <c r="E1422">
        <v>8</v>
      </c>
      <c r="F1422">
        <v>42.33</v>
      </c>
      <c r="G1422">
        <v>0</v>
      </c>
      <c r="H1422">
        <v>0</v>
      </c>
      <c r="I1422">
        <v>0</v>
      </c>
      <c r="J1422">
        <v>0</v>
      </c>
      <c r="K1422">
        <v>0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52</v>
      </c>
      <c r="C1423" t="s">
        <v>18</v>
      </c>
      <c r="D1423">
        <v>24</v>
      </c>
      <c r="E1423">
        <v>22</v>
      </c>
      <c r="F1423">
        <v>13.4</v>
      </c>
      <c r="G1423">
        <v>0</v>
      </c>
      <c r="H1423">
        <v>0</v>
      </c>
      <c r="I1423">
        <v>0</v>
      </c>
      <c r="J1423">
        <v>0</v>
      </c>
      <c r="K1423">
        <v>0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53</v>
      </c>
      <c r="C1424" t="s">
        <v>18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>
        <v>0</v>
      </c>
      <c r="J1424">
        <v>0</v>
      </c>
      <c r="K1424">
        <v>0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54</v>
      </c>
      <c r="C1425" t="s">
        <v>23</v>
      </c>
      <c r="D1425">
        <v>9</v>
      </c>
      <c r="E1425">
        <v>9</v>
      </c>
      <c r="F1425">
        <v>22.37</v>
      </c>
      <c r="G1425">
        <v>0</v>
      </c>
      <c r="H1425">
        <v>0</v>
      </c>
      <c r="I1425">
        <v>0</v>
      </c>
      <c r="J1425">
        <v>0</v>
      </c>
      <c r="K1425">
        <v>0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55</v>
      </c>
      <c r="C1426" t="s">
        <v>43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56</v>
      </c>
      <c r="C1427" t="s">
        <v>16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>
        <v>0</v>
      </c>
      <c r="J1427">
        <v>0</v>
      </c>
      <c r="K1427">
        <v>0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57</v>
      </c>
      <c r="C1428" t="s">
        <v>43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58</v>
      </c>
      <c r="C1429" t="s">
        <v>43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59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60</v>
      </c>
      <c r="C1431" t="s">
        <v>20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61</v>
      </c>
      <c r="C1432" t="s">
        <v>18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>
        <v>0</v>
      </c>
      <c r="J1432">
        <v>0</v>
      </c>
      <c r="K1432">
        <v>0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62</v>
      </c>
      <c r="C1433" t="s">
        <v>20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>
        <v>0</v>
      </c>
      <c r="J1433">
        <v>0</v>
      </c>
      <c r="K1433">
        <v>0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63</v>
      </c>
      <c r="C1434" t="s">
        <v>18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>
        <v>0</v>
      </c>
      <c r="J1434">
        <v>0</v>
      </c>
      <c r="K1434">
        <v>0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15</v>
      </c>
      <c r="C1435" t="s">
        <v>16</v>
      </c>
      <c r="D1435">
        <v>25</v>
      </c>
      <c r="E1435">
        <v>22</v>
      </c>
      <c r="F1435">
        <v>13.3</v>
      </c>
      <c r="G1435">
        <v>0</v>
      </c>
      <c r="H1435">
        <v>0</v>
      </c>
      <c r="I1435">
        <v>0</v>
      </c>
      <c r="J1435">
        <v>0</v>
      </c>
      <c r="K1435">
        <v>0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17</v>
      </c>
      <c r="C1436" t="s">
        <v>18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19</v>
      </c>
      <c r="C1437" t="s">
        <v>20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>
        <v>0</v>
      </c>
      <c r="J1437">
        <v>0</v>
      </c>
      <c r="K1437">
        <v>0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21</v>
      </c>
      <c r="C1438" t="s">
        <v>18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>
        <v>0</v>
      </c>
      <c r="J1438">
        <v>0</v>
      </c>
      <c r="K1438">
        <v>0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22</v>
      </c>
      <c r="C1439" t="s">
        <v>23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>
        <v>0</v>
      </c>
      <c r="J1439">
        <v>0</v>
      </c>
      <c r="K1439">
        <v>0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24</v>
      </c>
      <c r="C1440" t="s">
        <v>16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>
        <v>0</v>
      </c>
      <c r="J1440">
        <v>0</v>
      </c>
      <c r="K1440">
        <v>0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25</v>
      </c>
      <c r="C1441" t="s">
        <v>16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>
        <v>0</v>
      </c>
      <c r="J1441">
        <v>0</v>
      </c>
      <c r="K1441">
        <v>0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26</v>
      </c>
      <c r="C1442" t="s">
        <v>23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27</v>
      </c>
      <c r="C1443" t="s">
        <v>20</v>
      </c>
      <c r="D1443">
        <v>16</v>
      </c>
      <c r="E1443">
        <v>15</v>
      </c>
      <c r="F1443">
        <v>19</v>
      </c>
      <c r="G1443">
        <v>0</v>
      </c>
      <c r="H1443">
        <v>0</v>
      </c>
      <c r="I1443">
        <v>0</v>
      </c>
      <c r="J1443">
        <v>0</v>
      </c>
      <c r="K1443">
        <v>0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28</v>
      </c>
      <c r="C1444" t="s">
        <v>18</v>
      </c>
      <c r="D1444">
        <v>28</v>
      </c>
      <c r="E1444">
        <v>27</v>
      </c>
      <c r="F1444">
        <v>15.1</v>
      </c>
      <c r="G1444">
        <v>0</v>
      </c>
      <c r="H1444">
        <v>0</v>
      </c>
      <c r="I1444">
        <v>0</v>
      </c>
      <c r="J1444">
        <v>0</v>
      </c>
      <c r="K1444">
        <v>0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29</v>
      </c>
      <c r="C1445" t="s">
        <v>16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30</v>
      </c>
      <c r="C1446" t="s">
        <v>20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>
        <v>0</v>
      </c>
      <c r="J1446">
        <v>0</v>
      </c>
      <c r="K1446">
        <v>0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31</v>
      </c>
      <c r="C1447" t="s">
        <v>18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32</v>
      </c>
      <c r="C1448" t="s">
        <v>23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33</v>
      </c>
      <c r="C1449" t="s">
        <v>16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>
        <v>0</v>
      </c>
      <c r="J1449">
        <v>0</v>
      </c>
      <c r="K1449">
        <v>0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34</v>
      </c>
      <c r="C1450" t="s">
        <v>18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>
        <v>0</v>
      </c>
      <c r="J1450">
        <v>0</v>
      </c>
      <c r="K1450">
        <v>0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35</v>
      </c>
      <c r="C1451" t="s">
        <v>16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>
        <v>0</v>
      </c>
      <c r="J1451">
        <v>0</v>
      </c>
      <c r="K1451">
        <v>0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36</v>
      </c>
      <c r="C1452" t="s">
        <v>20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>E1452+G1452+H1452</f>
        <v>13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13</v>
      </c>
      <c r="K1452" s="3">
        <f>I1452-J1452</f>
        <v>0</v>
      </c>
      <c r="L1452" s="3" t="str">
        <f>IF(K1452&lt;-5,"CRÍTICO",IF(K1452&lt;0,"ATENÇÃO",IF(K1452&lt;=5,"BOM","EXCELENTE")))</f>
        <v>BOM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37</v>
      </c>
      <c r="C1453" t="s">
        <v>16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>
        <v>0</v>
      </c>
      <c r="J1453">
        <v>0</v>
      </c>
      <c r="K1453">
        <v>0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38</v>
      </c>
      <c r="C1454" t="s">
        <v>18</v>
      </c>
      <c r="D1454">
        <v>36</v>
      </c>
      <c r="E1454">
        <v>34</v>
      </c>
      <c r="F1454">
        <v>18.5</v>
      </c>
      <c r="G1454">
        <v>0</v>
      </c>
      <c r="H1454">
        <v>0</v>
      </c>
      <c r="I1454">
        <v>0</v>
      </c>
      <c r="J1454">
        <v>0</v>
      </c>
      <c r="K1454">
        <v>0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39</v>
      </c>
      <c r="C1455" t="s">
        <v>18</v>
      </c>
      <c r="D1455">
        <v>9</v>
      </c>
      <c r="E1455">
        <v>6</v>
      </c>
      <c r="F1455">
        <v>10.51</v>
      </c>
      <c r="G1455">
        <v>0</v>
      </c>
      <c r="H1455">
        <v>0</v>
      </c>
      <c r="I1455">
        <v>0</v>
      </c>
      <c r="J1455">
        <v>0</v>
      </c>
      <c r="K1455">
        <v>0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40</v>
      </c>
      <c r="C1456" t="s">
        <v>16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>
        <v>0</v>
      </c>
      <c r="J1456">
        <v>0</v>
      </c>
      <c r="K1456">
        <v>0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41</v>
      </c>
      <c r="C1457" t="s">
        <v>18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42</v>
      </c>
      <c r="C1458" t="s">
        <v>43</v>
      </c>
      <c r="D1458">
        <v>5</v>
      </c>
      <c r="E1458">
        <v>5</v>
      </c>
      <c r="F1458">
        <v>45.31</v>
      </c>
      <c r="G1458">
        <v>0</v>
      </c>
      <c r="H1458">
        <v>0</v>
      </c>
      <c r="I1458">
        <v>0</v>
      </c>
      <c r="J1458">
        <v>0</v>
      </c>
      <c r="K1458">
        <v>0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44</v>
      </c>
      <c r="C1459" t="s">
        <v>18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>
        <v>0</v>
      </c>
      <c r="J1459">
        <v>0</v>
      </c>
      <c r="K1459">
        <v>0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45</v>
      </c>
      <c r="C1460" t="s">
        <v>43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46</v>
      </c>
      <c r="C1461" t="s">
        <v>18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>
        <v>0</v>
      </c>
      <c r="J1461">
        <v>0</v>
      </c>
      <c r="K1461">
        <v>0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47</v>
      </c>
      <c r="C1462" t="s">
        <v>16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>
        <v>0</v>
      </c>
      <c r="J1462">
        <v>0</v>
      </c>
      <c r="K1462">
        <v>0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48</v>
      </c>
      <c r="C1463" t="s">
        <v>16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49</v>
      </c>
      <c r="C1464" t="s">
        <v>18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>
        <v>0</v>
      </c>
      <c r="J1464">
        <v>0</v>
      </c>
      <c r="K1464">
        <v>0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50</v>
      </c>
      <c r="C1465" t="s">
        <v>20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>
        <v>0</v>
      </c>
      <c r="J1465">
        <v>0</v>
      </c>
      <c r="K1465">
        <v>0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51</v>
      </c>
      <c r="C1466" t="s">
        <v>23</v>
      </c>
      <c r="D1466">
        <v>9</v>
      </c>
      <c r="E1466">
        <v>9</v>
      </c>
      <c r="F1466">
        <v>25.29</v>
      </c>
      <c r="G1466">
        <v>0</v>
      </c>
      <c r="H1466">
        <v>0</v>
      </c>
      <c r="I1466">
        <v>0</v>
      </c>
      <c r="J1466">
        <v>0</v>
      </c>
      <c r="K1466">
        <v>0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52</v>
      </c>
      <c r="C1467" t="s">
        <v>18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>
        <v>0</v>
      </c>
      <c r="J1467">
        <v>0</v>
      </c>
      <c r="K1467">
        <v>0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53</v>
      </c>
      <c r="C1468" t="s">
        <v>18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>
        <v>0</v>
      </c>
      <c r="J1468">
        <v>0</v>
      </c>
      <c r="K1468">
        <v>0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54</v>
      </c>
      <c r="C1469" t="s">
        <v>23</v>
      </c>
      <c r="D1469">
        <v>8</v>
      </c>
      <c r="E1469">
        <v>8</v>
      </c>
      <c r="F1469">
        <v>32.1</v>
      </c>
      <c r="G1469">
        <v>0</v>
      </c>
      <c r="H1469">
        <v>0</v>
      </c>
      <c r="I1469">
        <v>0</v>
      </c>
      <c r="J1469">
        <v>0</v>
      </c>
      <c r="K1469">
        <v>0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55</v>
      </c>
      <c r="C1470" t="s">
        <v>43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56</v>
      </c>
      <c r="C1471" t="s">
        <v>16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>
        <v>0</v>
      </c>
      <c r="J1471">
        <v>0</v>
      </c>
      <c r="K1471">
        <v>0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57</v>
      </c>
      <c r="C1472" t="s">
        <v>43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58</v>
      </c>
      <c r="C1473" t="s">
        <v>43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59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60</v>
      </c>
      <c r="C1475" t="s">
        <v>20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61</v>
      </c>
      <c r="C1476" t="s">
        <v>18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>
        <v>0</v>
      </c>
      <c r="J1476">
        <v>0</v>
      </c>
      <c r="K1476">
        <v>0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62</v>
      </c>
      <c r="C1477" t="s">
        <v>20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>
        <v>0</v>
      </c>
      <c r="J1477">
        <v>0</v>
      </c>
      <c r="K1477">
        <v>0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63</v>
      </c>
      <c r="C1478" t="s">
        <v>18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>
        <v>0</v>
      </c>
      <c r="J1478">
        <v>0</v>
      </c>
      <c r="K1478">
        <v>0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15</v>
      </c>
      <c r="C1479" t="s">
        <v>16</v>
      </c>
      <c r="D1479">
        <v>26</v>
      </c>
      <c r="E1479">
        <v>25</v>
      </c>
      <c r="F1479">
        <v>17.2</v>
      </c>
      <c r="G1479">
        <v>0</v>
      </c>
      <c r="H1479">
        <v>0</v>
      </c>
      <c r="I1479">
        <v>0</v>
      </c>
      <c r="J1479">
        <v>0</v>
      </c>
      <c r="K1479">
        <v>0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17</v>
      </c>
      <c r="C1480" t="s">
        <v>18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19</v>
      </c>
      <c r="C1481" t="s">
        <v>20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>
        <v>0</v>
      </c>
      <c r="J1481">
        <v>0</v>
      </c>
      <c r="K1481">
        <v>0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21</v>
      </c>
      <c r="C1482" t="s">
        <v>18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>
        <v>0</v>
      </c>
      <c r="J1482">
        <v>0</v>
      </c>
      <c r="K1482">
        <v>0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22</v>
      </c>
      <c r="C1483" t="s">
        <v>23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>
        <v>0</v>
      </c>
      <c r="J1483">
        <v>0</v>
      </c>
      <c r="K1483">
        <v>0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24</v>
      </c>
      <c r="C1484" t="s">
        <v>16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>
        <v>0</v>
      </c>
      <c r="J1484">
        <v>0</v>
      </c>
      <c r="K1484">
        <v>0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25</v>
      </c>
      <c r="C1485" t="s">
        <v>16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>
        <v>0</v>
      </c>
      <c r="J1485">
        <v>0</v>
      </c>
      <c r="K1485">
        <v>0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26</v>
      </c>
      <c r="C1486" t="s">
        <v>23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27</v>
      </c>
      <c r="C1487" t="s">
        <v>20</v>
      </c>
      <c r="D1487">
        <v>21</v>
      </c>
      <c r="E1487">
        <v>20</v>
      </c>
      <c r="F1487">
        <v>25.2</v>
      </c>
      <c r="G1487">
        <v>0</v>
      </c>
      <c r="H1487">
        <v>0</v>
      </c>
      <c r="I1487">
        <v>0</v>
      </c>
      <c r="J1487">
        <v>0</v>
      </c>
      <c r="K1487">
        <v>0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28</v>
      </c>
      <c r="C1488" t="s">
        <v>18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>
        <v>0</v>
      </c>
      <c r="J1488">
        <v>0</v>
      </c>
      <c r="K1488">
        <v>0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29</v>
      </c>
      <c r="C1489" t="s">
        <v>16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30</v>
      </c>
      <c r="C1490" t="s">
        <v>20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>
        <v>0</v>
      </c>
      <c r="J1490">
        <v>0</v>
      </c>
      <c r="K1490">
        <v>0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31</v>
      </c>
      <c r="C1491" t="s">
        <v>18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32</v>
      </c>
      <c r="C1492" t="s">
        <v>23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33</v>
      </c>
      <c r="C1493" t="s">
        <v>16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>
        <v>0</v>
      </c>
      <c r="J1493">
        <v>0</v>
      </c>
      <c r="K1493">
        <v>0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34</v>
      </c>
      <c r="C1494" t="s">
        <v>18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>
        <v>0</v>
      </c>
      <c r="J1494">
        <v>0</v>
      </c>
      <c r="K1494">
        <v>0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35</v>
      </c>
      <c r="C1495" t="s">
        <v>16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>
        <v>0</v>
      </c>
      <c r="J1495">
        <v>0</v>
      </c>
      <c r="K1495">
        <v>0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36</v>
      </c>
      <c r="C1496" t="s">
        <v>20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>E1496+G1496+H1496</f>
        <v>13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12</v>
      </c>
      <c r="K1496" s="3">
        <f>I1496-J1496</f>
        <v>1</v>
      </c>
      <c r="L1496" s="3" t="str">
        <f>IF(K1496&lt;-5,"CRÍTICO",IF(K1496&lt;0,"ATENÇÃO",IF(K1496&lt;=5,"BOM","EXCELENTE")))</f>
        <v>BOM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37</v>
      </c>
      <c r="C1497" t="s">
        <v>16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>
        <v>0</v>
      </c>
      <c r="J1497">
        <v>0</v>
      </c>
      <c r="K1497">
        <v>0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38</v>
      </c>
      <c r="C1498" t="s">
        <v>18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>
        <v>0</v>
      </c>
      <c r="J1498">
        <v>0</v>
      </c>
      <c r="K1498">
        <v>0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39</v>
      </c>
      <c r="C1499" t="s">
        <v>18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>
        <v>0</v>
      </c>
      <c r="J1499">
        <v>0</v>
      </c>
      <c r="K1499">
        <v>0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40</v>
      </c>
      <c r="C1500" t="s">
        <v>16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>
        <v>0</v>
      </c>
      <c r="J1500">
        <v>0</v>
      </c>
      <c r="K1500">
        <v>0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41</v>
      </c>
      <c r="C1501" t="s">
        <v>18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42</v>
      </c>
      <c r="C1502" t="s">
        <v>43</v>
      </c>
      <c r="D1502">
        <v>8</v>
      </c>
      <c r="E1502">
        <v>8</v>
      </c>
      <c r="F1502">
        <v>29.18</v>
      </c>
      <c r="G1502">
        <v>0</v>
      </c>
      <c r="H1502">
        <v>0</v>
      </c>
      <c r="I1502">
        <v>0</v>
      </c>
      <c r="J1502">
        <v>0</v>
      </c>
      <c r="K1502">
        <v>0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44</v>
      </c>
      <c r="C1503" t="s">
        <v>18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>
        <v>0</v>
      </c>
      <c r="J1503">
        <v>0</v>
      </c>
      <c r="K1503">
        <v>0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45</v>
      </c>
      <c r="C1504" t="s">
        <v>43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46</v>
      </c>
      <c r="C1505" t="s">
        <v>18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>
        <v>0</v>
      </c>
      <c r="J1505">
        <v>0</v>
      </c>
      <c r="K1505">
        <v>0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47</v>
      </c>
      <c r="C1506" t="s">
        <v>16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>
        <v>0</v>
      </c>
      <c r="J1506">
        <v>0</v>
      </c>
      <c r="K1506">
        <v>0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48</v>
      </c>
      <c r="C1507" t="s">
        <v>16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49</v>
      </c>
      <c r="C1508" t="s">
        <v>18</v>
      </c>
      <c r="D1508">
        <v>46</v>
      </c>
      <c r="E1508">
        <v>31</v>
      </c>
      <c r="F1508">
        <v>13.3</v>
      </c>
      <c r="G1508">
        <v>0</v>
      </c>
      <c r="H1508">
        <v>0</v>
      </c>
      <c r="I1508">
        <v>0</v>
      </c>
      <c r="J1508">
        <v>0</v>
      </c>
      <c r="K1508">
        <v>0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50</v>
      </c>
      <c r="C1509" t="s">
        <v>20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>
        <v>0</v>
      </c>
      <c r="J1509">
        <v>0</v>
      </c>
      <c r="K1509">
        <v>0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51</v>
      </c>
      <c r="C1510" t="s">
        <v>23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52</v>
      </c>
      <c r="C1511" t="s">
        <v>18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53</v>
      </c>
      <c r="C1512" t="s">
        <v>18</v>
      </c>
      <c r="D1512">
        <v>46</v>
      </c>
      <c r="E1512">
        <v>33</v>
      </c>
      <c r="F1512">
        <v>9.14</v>
      </c>
      <c r="G1512">
        <v>0</v>
      </c>
      <c r="H1512">
        <v>0</v>
      </c>
      <c r="I1512">
        <v>0</v>
      </c>
      <c r="J1512">
        <v>0</v>
      </c>
      <c r="K1512">
        <v>0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54</v>
      </c>
      <c r="C1513" t="s">
        <v>23</v>
      </c>
      <c r="D1513">
        <v>3</v>
      </c>
      <c r="E1513">
        <v>3</v>
      </c>
      <c r="F1513">
        <v>79.17</v>
      </c>
      <c r="G1513">
        <v>0</v>
      </c>
      <c r="H1513">
        <v>0</v>
      </c>
      <c r="I1513">
        <v>0</v>
      </c>
      <c r="J1513">
        <v>0</v>
      </c>
      <c r="K1513">
        <v>0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55</v>
      </c>
      <c r="C1514" t="s">
        <v>43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56</v>
      </c>
      <c r="C1515" t="s">
        <v>16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>
        <v>0</v>
      </c>
      <c r="J1515">
        <v>0</v>
      </c>
      <c r="K1515">
        <v>0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57</v>
      </c>
      <c r="C1516" t="s">
        <v>43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58</v>
      </c>
      <c r="C1517" t="s">
        <v>43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59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60</v>
      </c>
      <c r="C1519" t="s">
        <v>20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61</v>
      </c>
      <c r="C1520" t="s">
        <v>18</v>
      </c>
      <c r="D1520">
        <v>35</v>
      </c>
      <c r="E1520">
        <v>33</v>
      </c>
      <c r="F1520">
        <v>12.1</v>
      </c>
      <c r="G1520">
        <v>0</v>
      </c>
      <c r="H1520">
        <v>0</v>
      </c>
      <c r="I1520">
        <v>0</v>
      </c>
      <c r="J1520">
        <v>0</v>
      </c>
      <c r="K1520">
        <v>0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62</v>
      </c>
      <c r="C1521" t="s">
        <v>20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>
        <v>0</v>
      </c>
      <c r="J1521">
        <v>0</v>
      </c>
      <c r="K1521">
        <v>0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63</v>
      </c>
      <c r="C1522" t="s">
        <v>18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>
        <v>0</v>
      </c>
      <c r="J1522">
        <v>0</v>
      </c>
      <c r="K1522">
        <v>0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15</v>
      </c>
      <c r="C1523" t="s">
        <v>16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>
        <v>0</v>
      </c>
      <c r="J1523">
        <v>0</v>
      </c>
      <c r="K1523">
        <v>0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17</v>
      </c>
      <c r="C1524" t="s">
        <v>18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19</v>
      </c>
      <c r="C1525" t="s">
        <v>20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>
        <v>0</v>
      </c>
      <c r="J1525">
        <v>0</v>
      </c>
      <c r="K1525">
        <v>0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21</v>
      </c>
      <c r="C1526" t="s">
        <v>18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>
        <v>0</v>
      </c>
      <c r="J1526">
        <v>0</v>
      </c>
      <c r="K1526">
        <v>0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22</v>
      </c>
      <c r="C1527" t="s">
        <v>23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>
        <v>0</v>
      </c>
      <c r="J1527">
        <v>0</v>
      </c>
      <c r="K1527">
        <v>0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24</v>
      </c>
      <c r="C1528" t="s">
        <v>16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>
        <v>0</v>
      </c>
      <c r="J1528">
        <v>0</v>
      </c>
      <c r="K1528">
        <v>0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25</v>
      </c>
      <c r="C1529" t="s">
        <v>16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>
        <v>0</v>
      </c>
      <c r="J1529">
        <v>0</v>
      </c>
      <c r="K1529">
        <v>0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26</v>
      </c>
      <c r="C1530" t="s">
        <v>23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27</v>
      </c>
      <c r="C1531" t="s">
        <v>20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>
        <v>0</v>
      </c>
      <c r="J1531">
        <v>0</v>
      </c>
      <c r="K1531">
        <v>0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28</v>
      </c>
      <c r="C1532" t="s">
        <v>18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>
        <v>0</v>
      </c>
      <c r="J1532">
        <v>0</v>
      </c>
      <c r="K1532">
        <v>0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29</v>
      </c>
      <c r="C1533" t="s">
        <v>16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30</v>
      </c>
      <c r="C1534" t="s">
        <v>20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>
        <v>0</v>
      </c>
      <c r="J1534">
        <v>0</v>
      </c>
      <c r="K1534">
        <v>0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31</v>
      </c>
      <c r="C1535" t="s">
        <v>18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32</v>
      </c>
      <c r="C1536" t="s">
        <v>23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33</v>
      </c>
      <c r="C1537" t="s">
        <v>16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>
        <v>0</v>
      </c>
      <c r="J1537">
        <v>0</v>
      </c>
      <c r="K1537">
        <v>0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34</v>
      </c>
      <c r="C1538" t="s">
        <v>18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>
        <v>0</v>
      </c>
      <c r="J1538">
        <v>0</v>
      </c>
      <c r="K1538">
        <v>0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35</v>
      </c>
      <c r="C1539" t="s">
        <v>16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>
        <v>0</v>
      </c>
      <c r="J1539">
        <v>0</v>
      </c>
      <c r="K1539">
        <v>0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36</v>
      </c>
      <c r="C1540" t="s">
        <v>20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16</v>
      </c>
      <c r="K1540" s="3">
        <f>I1540-J1540</f>
        <v>5</v>
      </c>
      <c r="L1540" s="3" t="str">
        <f>IF(K1540&lt;-5,"CRÍTICO",IF(K1540&lt;0,"ATENÇÃO",IF(K1540&lt;=5,"BOM","EXCELENTE")))</f>
        <v>BOM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37</v>
      </c>
      <c r="C1541" t="s">
        <v>16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>
        <v>0</v>
      </c>
      <c r="J1541">
        <v>0</v>
      </c>
      <c r="K1541">
        <v>0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38</v>
      </c>
      <c r="C1542" t="s">
        <v>18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>
        <v>0</v>
      </c>
      <c r="J1542">
        <v>0</v>
      </c>
      <c r="K1542">
        <v>0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39</v>
      </c>
      <c r="C1543" t="s">
        <v>18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>
        <v>0</v>
      </c>
      <c r="J1543">
        <v>0</v>
      </c>
      <c r="K1543">
        <v>0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40</v>
      </c>
      <c r="C1544" t="s">
        <v>16</v>
      </c>
      <c r="D1544">
        <v>32</v>
      </c>
      <c r="E1544">
        <v>23</v>
      </c>
      <c r="F1544">
        <v>15.2</v>
      </c>
      <c r="G1544">
        <v>0</v>
      </c>
      <c r="H1544">
        <v>0</v>
      </c>
      <c r="I1544">
        <v>0</v>
      </c>
      <c r="J1544">
        <v>0</v>
      </c>
      <c r="K1544">
        <v>0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41</v>
      </c>
      <c r="C1545" t="s">
        <v>18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42</v>
      </c>
      <c r="C1546" t="s">
        <v>43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>
        <v>0</v>
      </c>
      <c r="J1546">
        <v>0</v>
      </c>
      <c r="K1546">
        <v>0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44</v>
      </c>
      <c r="C1547" t="s">
        <v>18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>
        <v>0</v>
      </c>
      <c r="J1547">
        <v>0</v>
      </c>
      <c r="K1547">
        <v>0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45</v>
      </c>
      <c r="C1548" t="s">
        <v>43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46</v>
      </c>
      <c r="C1549" t="s">
        <v>18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>
        <v>0</v>
      </c>
      <c r="J1549">
        <v>0</v>
      </c>
      <c r="K1549">
        <v>0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47</v>
      </c>
      <c r="C1550" t="s">
        <v>16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>
        <v>0</v>
      </c>
      <c r="J1550">
        <v>0</v>
      </c>
      <c r="K1550">
        <v>0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48</v>
      </c>
      <c r="C1551" t="s">
        <v>16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49</v>
      </c>
      <c r="C1552" t="s">
        <v>18</v>
      </c>
      <c r="D1552">
        <v>169</v>
      </c>
      <c r="E1552">
        <v>32</v>
      </c>
      <c r="F1552">
        <v>2</v>
      </c>
      <c r="G1552">
        <v>0</v>
      </c>
      <c r="H1552">
        <v>0</v>
      </c>
      <c r="I1552">
        <v>0</v>
      </c>
      <c r="J1552">
        <v>0</v>
      </c>
      <c r="K1552">
        <v>0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50</v>
      </c>
      <c r="C1553" t="s">
        <v>20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>
        <v>0</v>
      </c>
      <c r="J1553">
        <v>0</v>
      </c>
      <c r="K1553">
        <v>0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51</v>
      </c>
      <c r="C1554" t="s">
        <v>23</v>
      </c>
      <c r="D1554">
        <v>7</v>
      </c>
      <c r="E1554">
        <v>5</v>
      </c>
      <c r="F1554">
        <v>40.53</v>
      </c>
      <c r="G1554">
        <v>0</v>
      </c>
      <c r="H1554">
        <v>0</v>
      </c>
      <c r="I1554">
        <v>0</v>
      </c>
      <c r="J1554">
        <v>0</v>
      </c>
      <c r="K1554">
        <v>0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52</v>
      </c>
      <c r="C1555" t="s">
        <v>18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53</v>
      </c>
      <c r="C1556" t="s">
        <v>18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>
        <v>0</v>
      </c>
      <c r="J1556">
        <v>0</v>
      </c>
      <c r="K1556">
        <v>0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54</v>
      </c>
      <c r="C1557" t="s">
        <v>23</v>
      </c>
      <c r="D1557">
        <v>6</v>
      </c>
      <c r="E1557">
        <v>6</v>
      </c>
      <c r="F1557">
        <v>45.33</v>
      </c>
      <c r="G1557">
        <v>0</v>
      </c>
      <c r="H1557">
        <v>0</v>
      </c>
      <c r="I1557">
        <v>0</v>
      </c>
      <c r="J1557">
        <v>0</v>
      </c>
      <c r="K1557">
        <v>0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55</v>
      </c>
      <c r="C1558" t="s">
        <v>43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56</v>
      </c>
      <c r="C1559" t="s">
        <v>16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>
        <v>0</v>
      </c>
      <c r="J1559">
        <v>0</v>
      </c>
      <c r="K1559">
        <v>0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57</v>
      </c>
      <c r="C1560" t="s">
        <v>43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58</v>
      </c>
      <c r="C1561" t="s">
        <v>43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59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60</v>
      </c>
      <c r="C1563" t="s">
        <v>20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61</v>
      </c>
      <c r="C1564" t="s">
        <v>18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>
        <v>0</v>
      </c>
      <c r="J1564">
        <v>0</v>
      </c>
      <c r="K1564">
        <v>0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62</v>
      </c>
      <c r="C1565" t="s">
        <v>20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>
        <v>0</v>
      </c>
      <c r="J1565">
        <v>0</v>
      </c>
      <c r="K1565">
        <v>0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63</v>
      </c>
      <c r="C1566" t="s">
        <v>18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>
        <v>0</v>
      </c>
      <c r="J1566">
        <v>0</v>
      </c>
      <c r="K1566">
        <v>0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15</v>
      </c>
      <c r="C1567" t="s">
        <v>16</v>
      </c>
      <c r="D1567">
        <v>45</v>
      </c>
      <c r="E1567">
        <v>40</v>
      </c>
      <c r="F1567">
        <v>12.1</v>
      </c>
      <c r="G1567">
        <v>0</v>
      </c>
      <c r="H1567">
        <v>0</v>
      </c>
      <c r="I1567">
        <v>0</v>
      </c>
      <c r="J1567">
        <v>0</v>
      </c>
      <c r="K1567">
        <v>0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17</v>
      </c>
      <c r="C1568" t="s">
        <v>18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19</v>
      </c>
      <c r="C1569" t="s">
        <v>20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>
        <v>0</v>
      </c>
      <c r="J1569">
        <v>0</v>
      </c>
      <c r="K1569">
        <v>0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21</v>
      </c>
      <c r="C1570" t="s">
        <v>18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>
        <v>0</v>
      </c>
      <c r="J1570">
        <v>0</v>
      </c>
      <c r="K1570">
        <v>0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22</v>
      </c>
      <c r="C1571" t="s">
        <v>23</v>
      </c>
      <c r="D1571">
        <v>13</v>
      </c>
      <c r="E1571">
        <v>13</v>
      </c>
      <c r="F1571">
        <v>20.5</v>
      </c>
      <c r="G1571">
        <v>0</v>
      </c>
      <c r="H1571">
        <v>0</v>
      </c>
      <c r="I1571">
        <v>0</v>
      </c>
      <c r="J1571">
        <v>0</v>
      </c>
      <c r="K1571">
        <v>0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24</v>
      </c>
      <c r="C1572" t="s">
        <v>16</v>
      </c>
      <c r="D1572">
        <v>46</v>
      </c>
      <c r="E1572">
        <v>35</v>
      </c>
      <c r="F1572">
        <v>13.3</v>
      </c>
      <c r="G1572">
        <v>0</v>
      </c>
      <c r="H1572">
        <v>0</v>
      </c>
      <c r="I1572">
        <v>0</v>
      </c>
      <c r="J1572">
        <v>0</v>
      </c>
      <c r="K1572">
        <v>0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25</v>
      </c>
      <c r="C1573" t="s">
        <v>16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>
        <v>0</v>
      </c>
      <c r="J1573">
        <v>0</v>
      </c>
      <c r="K1573">
        <v>0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26</v>
      </c>
      <c r="C1574" t="s">
        <v>23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27</v>
      </c>
      <c r="C1575" t="s">
        <v>20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>
        <v>0</v>
      </c>
      <c r="J1575">
        <v>0</v>
      </c>
      <c r="K1575">
        <v>0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28</v>
      </c>
      <c r="C1576" t="s">
        <v>18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>
        <v>0</v>
      </c>
      <c r="J1576">
        <v>0</v>
      </c>
      <c r="K1576">
        <v>0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29</v>
      </c>
      <c r="C1577" t="s">
        <v>16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30</v>
      </c>
      <c r="C1578" t="s">
        <v>20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>
        <v>0</v>
      </c>
      <c r="J1578">
        <v>0</v>
      </c>
      <c r="K1578">
        <v>0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31</v>
      </c>
      <c r="C1579" t="s">
        <v>18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32</v>
      </c>
      <c r="C1580" t="s">
        <v>23</v>
      </c>
      <c r="D1580">
        <v>2</v>
      </c>
      <c r="E1580">
        <v>2</v>
      </c>
      <c r="F1580">
        <v>55.02</v>
      </c>
      <c r="G1580">
        <v>0</v>
      </c>
      <c r="H1580">
        <v>0</v>
      </c>
      <c r="I1580">
        <v>0</v>
      </c>
      <c r="J1580">
        <v>0</v>
      </c>
      <c r="K1580">
        <v>0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33</v>
      </c>
      <c r="C1581" t="s">
        <v>16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>
        <v>0</v>
      </c>
      <c r="J1581">
        <v>0</v>
      </c>
      <c r="K1581">
        <v>0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34</v>
      </c>
      <c r="C1582" t="s">
        <v>18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>
        <v>0</v>
      </c>
      <c r="J1582">
        <v>0</v>
      </c>
      <c r="K1582">
        <v>0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35</v>
      </c>
      <c r="C1583" t="s">
        <v>16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>
        <v>0</v>
      </c>
      <c r="J1583">
        <v>0</v>
      </c>
      <c r="K1583">
        <v>0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36</v>
      </c>
      <c r="C1584" t="s">
        <v>20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16</v>
      </c>
      <c r="K1584" s="3">
        <f>I1584-J1584</f>
        <v>5</v>
      </c>
      <c r="L1584" s="3" t="str">
        <f>IF(K1584&lt;-5,"CRÍTICO",IF(K1584&lt;0,"ATENÇÃO",IF(K1584&lt;=5,"BOM","EXCELENTE")))</f>
        <v>BOM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37</v>
      </c>
      <c r="C1585" t="s">
        <v>16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>
        <v>0</v>
      </c>
      <c r="J1585">
        <v>0</v>
      </c>
      <c r="K1585">
        <v>0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38</v>
      </c>
      <c r="C1586" t="s">
        <v>18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>
        <v>0</v>
      </c>
      <c r="J1586">
        <v>0</v>
      </c>
      <c r="K1586">
        <v>0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39</v>
      </c>
      <c r="C1587" t="s">
        <v>18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>
        <v>0</v>
      </c>
      <c r="J1587">
        <v>0</v>
      </c>
      <c r="K1587">
        <v>0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40</v>
      </c>
      <c r="C1588" t="s">
        <v>16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>
        <v>0</v>
      </c>
      <c r="J1588">
        <v>0</v>
      </c>
      <c r="K1588">
        <v>0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41</v>
      </c>
      <c r="C1589" t="s">
        <v>18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42</v>
      </c>
      <c r="C1590" t="s">
        <v>43</v>
      </c>
      <c r="D1590">
        <v>9</v>
      </c>
      <c r="E1590">
        <v>9</v>
      </c>
      <c r="F1590">
        <v>23.36</v>
      </c>
      <c r="G1590">
        <v>0</v>
      </c>
      <c r="H1590">
        <v>0</v>
      </c>
      <c r="I1590">
        <v>0</v>
      </c>
      <c r="J1590">
        <v>0</v>
      </c>
      <c r="K1590">
        <v>0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44</v>
      </c>
      <c r="C1591" t="s">
        <v>18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>
        <v>0</v>
      </c>
      <c r="J1591">
        <v>0</v>
      </c>
      <c r="K1591">
        <v>0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45</v>
      </c>
      <c r="C1592" t="s">
        <v>43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46</v>
      </c>
      <c r="C1593" t="s">
        <v>18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>
        <v>0</v>
      </c>
      <c r="J1593">
        <v>0</v>
      </c>
      <c r="K1593">
        <v>0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47</v>
      </c>
      <c r="C1594" t="s">
        <v>16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>
        <v>0</v>
      </c>
      <c r="J1594">
        <v>0</v>
      </c>
      <c r="K1594">
        <v>0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48</v>
      </c>
      <c r="C1595" t="s">
        <v>16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49</v>
      </c>
      <c r="C1596" t="s">
        <v>18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>
        <v>0</v>
      </c>
      <c r="J1596">
        <v>0</v>
      </c>
      <c r="K1596">
        <v>0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50</v>
      </c>
      <c r="C1597" t="s">
        <v>20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>
        <v>0</v>
      </c>
      <c r="J1597">
        <v>0</v>
      </c>
      <c r="K1597">
        <v>0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51</v>
      </c>
      <c r="C1598" t="s">
        <v>23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52</v>
      </c>
      <c r="C1599" t="s">
        <v>18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53</v>
      </c>
      <c r="C1600" t="s">
        <v>18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>
        <v>0</v>
      </c>
      <c r="J1600">
        <v>0</v>
      </c>
      <c r="K1600">
        <v>0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54</v>
      </c>
      <c r="C1601" t="s">
        <v>23</v>
      </c>
      <c r="D1601">
        <v>8</v>
      </c>
      <c r="E1601">
        <v>7</v>
      </c>
      <c r="F1601">
        <v>37.04</v>
      </c>
      <c r="G1601">
        <v>0</v>
      </c>
      <c r="H1601">
        <v>0</v>
      </c>
      <c r="I1601">
        <v>0</v>
      </c>
      <c r="J1601">
        <v>0</v>
      </c>
      <c r="K1601">
        <v>0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55</v>
      </c>
      <c r="C1602" t="s">
        <v>43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56</v>
      </c>
      <c r="C1603" t="s">
        <v>16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>
        <v>0</v>
      </c>
      <c r="J1603">
        <v>0</v>
      </c>
      <c r="K1603">
        <v>0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57</v>
      </c>
      <c r="C1604" t="s">
        <v>43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58</v>
      </c>
      <c r="C1605" t="s">
        <v>43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59</v>
      </c>
      <c r="C1606" t="s">
        <v>23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60</v>
      </c>
      <c r="C1607" t="s">
        <v>20</v>
      </c>
      <c r="D1607">
        <v>2</v>
      </c>
      <c r="E1607">
        <v>2</v>
      </c>
      <c r="F1607">
        <v>13.56</v>
      </c>
      <c r="G1607">
        <v>0</v>
      </c>
      <c r="H1607">
        <v>0</v>
      </c>
      <c r="I1607">
        <v>0</v>
      </c>
      <c r="J1607">
        <v>0</v>
      </c>
      <c r="K1607">
        <v>0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61</v>
      </c>
      <c r="C1608" t="s">
        <v>18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>
        <v>0</v>
      </c>
      <c r="J1608">
        <v>0</v>
      </c>
      <c r="K1608">
        <v>0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62</v>
      </c>
      <c r="C1609" t="s">
        <v>20</v>
      </c>
      <c r="D1609">
        <v>13</v>
      </c>
      <c r="E1609">
        <v>13</v>
      </c>
      <c r="F1609">
        <v>40.5</v>
      </c>
      <c r="G1609">
        <v>0</v>
      </c>
      <c r="H1609">
        <v>0</v>
      </c>
      <c r="I1609">
        <v>0</v>
      </c>
      <c r="J1609">
        <v>0</v>
      </c>
      <c r="K1609">
        <v>0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63</v>
      </c>
      <c r="C1610" t="s">
        <v>18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>
        <v>0</v>
      </c>
      <c r="J1610">
        <v>0</v>
      </c>
      <c r="K1610">
        <v>0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15</v>
      </c>
      <c r="C1611" t="s">
        <v>16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>
        <v>0</v>
      </c>
      <c r="J1611">
        <v>0</v>
      </c>
      <c r="K1611">
        <v>0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17</v>
      </c>
      <c r="C1612" t="s">
        <v>18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19</v>
      </c>
      <c r="C1613" t="s">
        <v>20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>
        <v>0</v>
      </c>
      <c r="J1613">
        <v>0</v>
      </c>
      <c r="K1613">
        <v>0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21</v>
      </c>
      <c r="C1614" t="s">
        <v>18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>
        <v>0</v>
      </c>
      <c r="J1614">
        <v>0</v>
      </c>
      <c r="K1614">
        <v>0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22</v>
      </c>
      <c r="C1615" t="s">
        <v>23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>
        <v>0</v>
      </c>
      <c r="J1615">
        <v>0</v>
      </c>
      <c r="K1615">
        <v>0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24</v>
      </c>
      <c r="C1616" t="s">
        <v>16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>
        <v>0</v>
      </c>
      <c r="J1616">
        <v>0</v>
      </c>
      <c r="K1616">
        <v>0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25</v>
      </c>
      <c r="C1617" t="s">
        <v>16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>
        <v>0</v>
      </c>
      <c r="J1617">
        <v>0</v>
      </c>
      <c r="K1617">
        <v>0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26</v>
      </c>
      <c r="C1618" t="s">
        <v>23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27</v>
      </c>
      <c r="C1619" t="s">
        <v>20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>
        <v>0</v>
      </c>
      <c r="J1619">
        <v>0</v>
      </c>
      <c r="K1619">
        <v>0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28</v>
      </c>
      <c r="C1620" t="s">
        <v>18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>
        <v>0</v>
      </c>
      <c r="J1620">
        <v>0</v>
      </c>
      <c r="K1620">
        <v>0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29</v>
      </c>
      <c r="C1621" t="s">
        <v>16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30</v>
      </c>
      <c r="C1622" t="s">
        <v>20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>
        <v>0</v>
      </c>
      <c r="J1622">
        <v>0</v>
      </c>
      <c r="K1622">
        <v>0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31</v>
      </c>
      <c r="C1623" t="s">
        <v>18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32</v>
      </c>
      <c r="C1624" t="s">
        <v>23</v>
      </c>
      <c r="D1624">
        <v>5</v>
      </c>
      <c r="E1624">
        <v>4</v>
      </c>
      <c r="F1624">
        <v>32.18</v>
      </c>
      <c r="G1624">
        <v>0</v>
      </c>
      <c r="H1624">
        <v>0</v>
      </c>
      <c r="I1624">
        <v>0</v>
      </c>
      <c r="J1624">
        <v>0</v>
      </c>
      <c r="K1624">
        <v>0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33</v>
      </c>
      <c r="C1625" t="s">
        <v>16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>
        <v>0</v>
      </c>
      <c r="J1625">
        <v>0</v>
      </c>
      <c r="K1625">
        <v>0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34</v>
      </c>
      <c r="C1626" t="s">
        <v>18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>
        <v>0</v>
      </c>
      <c r="J1626">
        <v>0</v>
      </c>
      <c r="K1626">
        <v>0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35</v>
      </c>
      <c r="C1627" t="s">
        <v>16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>
        <v>0</v>
      </c>
      <c r="J1627">
        <v>0</v>
      </c>
      <c r="K1627">
        <v>0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36</v>
      </c>
      <c r="C1628" t="s">
        <v>20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16</v>
      </c>
      <c r="K1628" s="3">
        <f>I1628-J1628</f>
        <v>5</v>
      </c>
      <c r="L1628" s="3" t="str">
        <f>IF(K1628&lt;-5,"CRÍTICO",IF(K1628&lt;0,"ATENÇÃO",IF(K1628&lt;=5,"BOM","EXCELENTE")))</f>
        <v>BOM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37</v>
      </c>
      <c r="C1629" t="s">
        <v>16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>
        <v>0</v>
      </c>
      <c r="J1629">
        <v>0</v>
      </c>
      <c r="K1629">
        <v>0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38</v>
      </c>
      <c r="C1630" t="s">
        <v>18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>
        <v>0</v>
      </c>
      <c r="J1630">
        <v>0</v>
      </c>
      <c r="K1630">
        <v>0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39</v>
      </c>
      <c r="C1631" t="s">
        <v>18</v>
      </c>
      <c r="D1631">
        <v>44</v>
      </c>
      <c r="E1631">
        <v>18</v>
      </c>
      <c r="F1631">
        <v>4.09</v>
      </c>
      <c r="G1631">
        <v>0</v>
      </c>
      <c r="H1631">
        <v>0</v>
      </c>
      <c r="I1631">
        <v>0</v>
      </c>
      <c r="J1631">
        <v>0</v>
      </c>
      <c r="K1631">
        <v>0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40</v>
      </c>
      <c r="C1632" t="s">
        <v>16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>
        <v>0</v>
      </c>
      <c r="J1632">
        <v>0</v>
      </c>
      <c r="K1632">
        <v>0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41</v>
      </c>
      <c r="C1633" t="s">
        <v>18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42</v>
      </c>
      <c r="C1634" t="s">
        <v>43</v>
      </c>
      <c r="D1634">
        <v>10</v>
      </c>
      <c r="E1634">
        <v>8</v>
      </c>
      <c r="F1634">
        <v>24.14</v>
      </c>
      <c r="G1634">
        <v>0</v>
      </c>
      <c r="H1634">
        <v>0</v>
      </c>
      <c r="I1634">
        <v>0</v>
      </c>
      <c r="J1634">
        <v>0</v>
      </c>
      <c r="K1634">
        <v>0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44</v>
      </c>
      <c r="C1635" t="s">
        <v>18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>
        <v>0</v>
      </c>
      <c r="J1635">
        <v>0</v>
      </c>
      <c r="K1635">
        <v>0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45</v>
      </c>
      <c r="C1636" t="s">
        <v>43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46</v>
      </c>
      <c r="C1637" t="s">
        <v>18</v>
      </c>
      <c r="D1637">
        <v>32</v>
      </c>
      <c r="E1637">
        <v>29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47</v>
      </c>
      <c r="C1638" t="s">
        <v>16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>
        <v>0</v>
      </c>
      <c r="J1638">
        <v>0</v>
      </c>
      <c r="K1638">
        <v>0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48</v>
      </c>
      <c r="C1639" t="s">
        <v>16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49</v>
      </c>
      <c r="C1640" t="s">
        <v>18</v>
      </c>
      <c r="D1640">
        <v>96</v>
      </c>
      <c r="E1640">
        <v>35</v>
      </c>
      <c r="F1640">
        <v>5.04</v>
      </c>
      <c r="G1640">
        <v>0</v>
      </c>
      <c r="H1640">
        <v>0</v>
      </c>
      <c r="I1640">
        <v>0</v>
      </c>
      <c r="J1640">
        <v>0</v>
      </c>
      <c r="K1640">
        <v>0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50</v>
      </c>
      <c r="C1641" t="s">
        <v>20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>
        <v>0</v>
      </c>
      <c r="J1641">
        <v>0</v>
      </c>
      <c r="K1641">
        <v>0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51</v>
      </c>
      <c r="C1642" t="s">
        <v>23</v>
      </c>
      <c r="D1642">
        <v>8</v>
      </c>
      <c r="E1642">
        <v>8</v>
      </c>
      <c r="F1642">
        <v>25.39</v>
      </c>
      <c r="G1642">
        <v>0</v>
      </c>
      <c r="H1642">
        <v>0</v>
      </c>
      <c r="I1642">
        <v>0</v>
      </c>
      <c r="J1642">
        <v>0</v>
      </c>
      <c r="K1642">
        <v>0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52</v>
      </c>
      <c r="C1643" t="s">
        <v>18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53</v>
      </c>
      <c r="C1644" t="s">
        <v>18</v>
      </c>
      <c r="D1644">
        <v>50</v>
      </c>
      <c r="E1644">
        <v>31</v>
      </c>
      <c r="F1644">
        <v>7.17</v>
      </c>
      <c r="G1644">
        <v>0</v>
      </c>
      <c r="H1644">
        <v>0</v>
      </c>
      <c r="I1644">
        <v>0</v>
      </c>
      <c r="J1644">
        <v>0</v>
      </c>
      <c r="K1644">
        <v>0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54</v>
      </c>
      <c r="C1645" t="s">
        <v>23</v>
      </c>
      <c r="D1645">
        <v>9</v>
      </c>
      <c r="E1645">
        <v>9</v>
      </c>
      <c r="F1645">
        <v>32.01</v>
      </c>
      <c r="G1645">
        <v>0</v>
      </c>
      <c r="H1645">
        <v>0</v>
      </c>
      <c r="I1645">
        <v>0</v>
      </c>
      <c r="J1645">
        <v>0</v>
      </c>
      <c r="K1645">
        <v>0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55</v>
      </c>
      <c r="C1646" t="s">
        <v>43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56</v>
      </c>
      <c r="C1647" t="s">
        <v>16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>
        <v>0</v>
      </c>
      <c r="J1647">
        <v>0</v>
      </c>
      <c r="K1647">
        <v>0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57</v>
      </c>
      <c r="C1648" t="s">
        <v>43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58</v>
      </c>
      <c r="C1649" t="s">
        <v>43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59</v>
      </c>
      <c r="C1650" t="s">
        <v>23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60</v>
      </c>
      <c r="C1651" t="s">
        <v>20</v>
      </c>
      <c r="D1651">
        <v>8</v>
      </c>
      <c r="E1651">
        <v>5</v>
      </c>
      <c r="F1651">
        <v>43.53</v>
      </c>
      <c r="G1651">
        <v>0</v>
      </c>
      <c r="H1651">
        <v>0</v>
      </c>
      <c r="I1651">
        <v>0</v>
      </c>
      <c r="J1651">
        <v>0</v>
      </c>
      <c r="K1651">
        <v>0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61</v>
      </c>
      <c r="C1652" t="s">
        <v>18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>
        <v>0</v>
      </c>
      <c r="J1652">
        <v>0</v>
      </c>
      <c r="K1652">
        <v>0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62</v>
      </c>
      <c r="C1653" t="s">
        <v>20</v>
      </c>
      <c r="D1653">
        <v>13</v>
      </c>
      <c r="E1653">
        <v>10</v>
      </c>
      <c r="F1653">
        <v>55</v>
      </c>
      <c r="G1653">
        <v>0</v>
      </c>
      <c r="H1653">
        <v>0</v>
      </c>
      <c r="I1653">
        <v>0</v>
      </c>
      <c r="J1653">
        <v>0</v>
      </c>
      <c r="K1653">
        <v>0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63</v>
      </c>
      <c r="C1654" t="s">
        <v>18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>
        <v>0</v>
      </c>
      <c r="J1654">
        <v>0</v>
      </c>
      <c r="K1654">
        <v>0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15</v>
      </c>
      <c r="C1655" t="s">
        <v>16</v>
      </c>
      <c r="D1655">
        <v>39</v>
      </c>
      <c r="E1655">
        <v>32</v>
      </c>
      <c r="F1655">
        <v>14</v>
      </c>
      <c r="G1655">
        <v>0</v>
      </c>
      <c r="H1655">
        <v>0</v>
      </c>
      <c r="I1655">
        <v>0</v>
      </c>
      <c r="J1655">
        <v>0</v>
      </c>
      <c r="K1655">
        <v>0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17</v>
      </c>
      <c r="C1656" t="s">
        <v>18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19</v>
      </c>
      <c r="C1657" t="s">
        <v>20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>
        <v>0</v>
      </c>
      <c r="J1657">
        <v>0</v>
      </c>
      <c r="K1657">
        <v>0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21</v>
      </c>
      <c r="C1658" t="s">
        <v>18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>
        <v>0</v>
      </c>
      <c r="J1658">
        <v>0</v>
      </c>
      <c r="K1658">
        <v>0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22</v>
      </c>
      <c r="C1659" t="s">
        <v>23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24</v>
      </c>
      <c r="C1660" t="s">
        <v>16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>
        <v>0</v>
      </c>
      <c r="J1660">
        <v>0</v>
      </c>
      <c r="K1660">
        <v>0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25</v>
      </c>
      <c r="C1661" t="s">
        <v>16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>
        <v>0</v>
      </c>
      <c r="J1661">
        <v>0</v>
      </c>
      <c r="K1661">
        <v>0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26</v>
      </c>
      <c r="C1662" t="s">
        <v>23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27</v>
      </c>
      <c r="C1663" t="s">
        <v>20</v>
      </c>
      <c r="D1663">
        <v>25</v>
      </c>
      <c r="E1663">
        <v>23</v>
      </c>
      <c r="F1663">
        <v>24.1</v>
      </c>
      <c r="G1663">
        <v>0</v>
      </c>
      <c r="H1663">
        <v>0</v>
      </c>
      <c r="I1663">
        <v>0</v>
      </c>
      <c r="J1663">
        <v>0</v>
      </c>
      <c r="K1663">
        <v>0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28</v>
      </c>
      <c r="C1664" t="s">
        <v>18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>
        <v>0</v>
      </c>
      <c r="J1664">
        <v>0</v>
      </c>
      <c r="K1664">
        <v>0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29</v>
      </c>
      <c r="C1665" t="s">
        <v>16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30</v>
      </c>
      <c r="C1666" t="s">
        <v>20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>
        <v>0</v>
      </c>
      <c r="J1666">
        <v>0</v>
      </c>
      <c r="K1666">
        <v>0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31</v>
      </c>
      <c r="C1667" t="s">
        <v>18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32</v>
      </c>
      <c r="C1668" t="s">
        <v>23</v>
      </c>
      <c r="D1668">
        <v>3</v>
      </c>
      <c r="E1668">
        <v>3</v>
      </c>
      <c r="F1668">
        <v>65.23</v>
      </c>
      <c r="G1668">
        <v>0</v>
      </c>
      <c r="H1668">
        <v>0</v>
      </c>
      <c r="I1668">
        <v>0</v>
      </c>
      <c r="J1668">
        <v>0</v>
      </c>
      <c r="K1668">
        <v>0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33</v>
      </c>
      <c r="C1669" t="s">
        <v>16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>
        <v>0</v>
      </c>
      <c r="J1669">
        <v>0</v>
      </c>
      <c r="K1669">
        <v>0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34</v>
      </c>
      <c r="C1670" t="s">
        <v>18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>
        <v>0</v>
      </c>
      <c r="J1670">
        <v>0</v>
      </c>
      <c r="K1670">
        <v>0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35</v>
      </c>
      <c r="C1671" t="s">
        <v>16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>
        <v>0</v>
      </c>
      <c r="J1671">
        <v>0</v>
      </c>
      <c r="K1671">
        <v>0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36</v>
      </c>
      <c r="C1672" t="s">
        <v>20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17</v>
      </c>
      <c r="K1672" s="3">
        <f>I1672-J1672</f>
        <v>-1</v>
      </c>
      <c r="L1672" s="3" t="str">
        <f>IF(K1672&lt;-5,"CRÍTICO",IF(K1672&lt;0,"ATENÇÃO",IF(K1672&lt;=5,"BOM","EXCELENTE")))</f>
        <v>ATENÇÃO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37</v>
      </c>
      <c r="C1673" t="s">
        <v>16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>
        <v>0</v>
      </c>
      <c r="J1673">
        <v>0</v>
      </c>
      <c r="K1673">
        <v>0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38</v>
      </c>
      <c r="C1674" t="s">
        <v>18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>
        <v>0</v>
      </c>
      <c r="J1674">
        <v>0</v>
      </c>
      <c r="K1674">
        <v>0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39</v>
      </c>
      <c r="C1675" t="s">
        <v>18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>
        <v>0</v>
      </c>
      <c r="J1675">
        <v>0</v>
      </c>
      <c r="K1675">
        <v>0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40</v>
      </c>
      <c r="C1676" t="s">
        <v>16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>
        <v>0</v>
      </c>
      <c r="J1676">
        <v>0</v>
      </c>
      <c r="K1676">
        <v>0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41</v>
      </c>
      <c r="C1677" t="s">
        <v>18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42</v>
      </c>
      <c r="C1678" t="s">
        <v>43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>
        <v>0</v>
      </c>
      <c r="J1678">
        <v>0</v>
      </c>
      <c r="K1678">
        <v>0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44</v>
      </c>
      <c r="C1679" t="s">
        <v>18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>
        <v>0</v>
      </c>
      <c r="J1679">
        <v>0</v>
      </c>
      <c r="K1679">
        <v>0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45</v>
      </c>
      <c r="C1680" t="s">
        <v>43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46</v>
      </c>
      <c r="C1681" t="s">
        <v>18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>
        <v>0</v>
      </c>
      <c r="J1681">
        <v>0</v>
      </c>
      <c r="K1681">
        <v>0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47</v>
      </c>
      <c r="C1682" t="s">
        <v>16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>
        <v>0</v>
      </c>
      <c r="J1682">
        <v>0</v>
      </c>
      <c r="K1682">
        <v>0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48</v>
      </c>
      <c r="C1683" t="s">
        <v>16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49</v>
      </c>
      <c r="C1684" t="s">
        <v>18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>
        <v>0</v>
      </c>
      <c r="J1684">
        <v>0</v>
      </c>
      <c r="K1684">
        <v>0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50</v>
      </c>
      <c r="C1685" t="s">
        <v>20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>
        <v>0</v>
      </c>
      <c r="J1685">
        <v>0</v>
      </c>
      <c r="K1685">
        <v>0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51</v>
      </c>
      <c r="C1686" t="s">
        <v>23</v>
      </c>
      <c r="D1686">
        <v>9</v>
      </c>
      <c r="E1686">
        <v>8</v>
      </c>
      <c r="F1686">
        <v>43.5</v>
      </c>
      <c r="G1686">
        <v>0</v>
      </c>
      <c r="H1686">
        <v>0</v>
      </c>
      <c r="I1686">
        <v>0</v>
      </c>
      <c r="J1686">
        <v>0</v>
      </c>
      <c r="K1686">
        <v>0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52</v>
      </c>
      <c r="C1687" t="s">
        <v>18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53</v>
      </c>
      <c r="C1688" t="s">
        <v>18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>
        <v>0</v>
      </c>
      <c r="J1688">
        <v>0</v>
      </c>
      <c r="K1688">
        <v>0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54</v>
      </c>
      <c r="C1689" t="s">
        <v>23</v>
      </c>
      <c r="D1689">
        <v>3</v>
      </c>
      <c r="E1689">
        <v>3</v>
      </c>
      <c r="F1689">
        <v>176.58</v>
      </c>
      <c r="G1689">
        <v>0</v>
      </c>
      <c r="H1689">
        <v>0</v>
      </c>
      <c r="I1689">
        <v>0</v>
      </c>
      <c r="J1689">
        <v>0</v>
      </c>
      <c r="K1689">
        <v>0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55</v>
      </c>
      <c r="C1690" t="s">
        <v>43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56</v>
      </c>
      <c r="C1691" t="s">
        <v>16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>
        <v>0</v>
      </c>
      <c r="J1691">
        <v>0</v>
      </c>
      <c r="K1691">
        <v>0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57</v>
      </c>
      <c r="C1692" t="s">
        <v>43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58</v>
      </c>
      <c r="C1693" t="s">
        <v>43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59</v>
      </c>
      <c r="C1694" t="s">
        <v>23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60</v>
      </c>
      <c r="C1695" t="s">
        <v>20</v>
      </c>
      <c r="D1695">
        <v>8</v>
      </c>
      <c r="E1695">
        <v>8</v>
      </c>
      <c r="F1695">
        <v>59.11</v>
      </c>
      <c r="G1695">
        <v>0</v>
      </c>
      <c r="H1695">
        <v>0</v>
      </c>
      <c r="I1695">
        <v>0</v>
      </c>
      <c r="J1695">
        <v>0</v>
      </c>
      <c r="K1695">
        <v>0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61</v>
      </c>
      <c r="C1696" t="s">
        <v>18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>
        <v>0</v>
      </c>
      <c r="J1696">
        <v>0</v>
      </c>
      <c r="K1696">
        <v>0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62</v>
      </c>
      <c r="C1697" t="s">
        <v>20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>
        <v>0</v>
      </c>
      <c r="J1697">
        <v>0</v>
      </c>
      <c r="K1697">
        <v>0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63</v>
      </c>
      <c r="C1698" t="s">
        <v>18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>
        <v>0</v>
      </c>
      <c r="J1698">
        <v>0</v>
      </c>
      <c r="K1698">
        <v>0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15</v>
      </c>
      <c r="C1699" t="s">
        <v>16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>
        <v>0</v>
      </c>
      <c r="J1699">
        <v>0</v>
      </c>
      <c r="K1699">
        <v>0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17</v>
      </c>
      <c r="C1700" t="s">
        <v>18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19</v>
      </c>
      <c r="C1701" t="s">
        <v>20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>
        <v>0</v>
      </c>
      <c r="J1701">
        <v>0</v>
      </c>
      <c r="K1701">
        <v>0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21</v>
      </c>
      <c r="C1702" t="s">
        <v>18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>
        <v>0</v>
      </c>
      <c r="J1702">
        <v>0</v>
      </c>
      <c r="K1702">
        <v>0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22</v>
      </c>
      <c r="C1703" t="s">
        <v>23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24</v>
      </c>
      <c r="C1704" t="s">
        <v>16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>
        <v>0</v>
      </c>
      <c r="J1704">
        <v>0</v>
      </c>
      <c r="K1704">
        <v>0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25</v>
      </c>
      <c r="C1705" t="s">
        <v>16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>
        <v>0</v>
      </c>
      <c r="J1705">
        <v>0</v>
      </c>
      <c r="K1705">
        <v>0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26</v>
      </c>
      <c r="C1706" t="s">
        <v>23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27</v>
      </c>
      <c r="C1707" t="s">
        <v>20</v>
      </c>
      <c r="D1707">
        <v>1</v>
      </c>
      <c r="E1707">
        <v>1</v>
      </c>
      <c r="F1707">
        <v>22.31</v>
      </c>
      <c r="G1707">
        <v>0</v>
      </c>
      <c r="H1707">
        <v>0</v>
      </c>
      <c r="I1707">
        <v>0</v>
      </c>
      <c r="J1707">
        <v>0</v>
      </c>
      <c r="K1707">
        <v>0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28</v>
      </c>
      <c r="C1708" t="s">
        <v>18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>
        <v>0</v>
      </c>
      <c r="J1708">
        <v>0</v>
      </c>
      <c r="K1708">
        <v>0</v>
      </c>
      <c r="N1708">
        <v>93.48</v>
      </c>
      <c r="O1708">
        <v>31.334622823984521</v>
      </c>
    </row>
    <row r="1709" spans="1:15" hidden="1" x14ac:dyDescent="0.25">
      <c r="A1709" s="11">
        <v>46055</v>
      </c>
      <c r="B1709" t="s">
        <v>29</v>
      </c>
      <c r="C1709" t="s">
        <v>16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30</v>
      </c>
      <c r="C1710" t="s">
        <v>20</v>
      </c>
      <c r="D1710">
        <v>9</v>
      </c>
      <c r="E1710">
        <v>9</v>
      </c>
      <c r="F1710">
        <v>30.3</v>
      </c>
      <c r="G1710">
        <v>0</v>
      </c>
      <c r="H1710">
        <v>0</v>
      </c>
      <c r="I1710">
        <v>0</v>
      </c>
      <c r="J1710">
        <v>0</v>
      </c>
      <c r="K1710">
        <v>0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31</v>
      </c>
      <c r="C1711" t="s">
        <v>18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32</v>
      </c>
      <c r="C1712" t="s">
        <v>23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33</v>
      </c>
      <c r="C1713" t="s">
        <v>16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>
        <v>0</v>
      </c>
      <c r="J1713">
        <v>0</v>
      </c>
      <c r="K1713">
        <v>0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34</v>
      </c>
      <c r="C1714" t="s">
        <v>18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>
        <v>0</v>
      </c>
      <c r="J1714">
        <v>0</v>
      </c>
      <c r="K1714">
        <v>0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35</v>
      </c>
      <c r="C1715" t="s">
        <v>16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>
        <v>0</v>
      </c>
      <c r="J1715">
        <v>0</v>
      </c>
      <c r="K1715">
        <v>0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36</v>
      </c>
      <c r="C1716" t="s">
        <v>20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f>E1716+G1716+H1716</f>
        <v>0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17</v>
      </c>
      <c r="K1716" s="3">
        <f>I1716-J1716</f>
        <v>-17</v>
      </c>
      <c r="L1716" s="3" t="str">
        <f>IF(K1716&lt;-5,"CRÍTICO",IF(K1716&lt;0,"ATENÇÃO",IF(K1716&lt;=5,"BOM","EXCELENTE")))</f>
        <v>CRÍTICO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37</v>
      </c>
      <c r="C1717" t="s">
        <v>16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>
        <v>0</v>
      </c>
      <c r="J1717">
        <v>0</v>
      </c>
      <c r="K1717">
        <v>0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38</v>
      </c>
      <c r="C1718" t="s">
        <v>18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>
        <v>0</v>
      </c>
      <c r="J1718">
        <v>0</v>
      </c>
      <c r="K1718">
        <v>0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39</v>
      </c>
      <c r="C1719" t="s">
        <v>18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>
        <v>0</v>
      </c>
      <c r="J1719">
        <v>0</v>
      </c>
      <c r="K1719">
        <v>0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40</v>
      </c>
      <c r="C1720" t="s">
        <v>16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>
        <v>0</v>
      </c>
      <c r="J1720">
        <v>0</v>
      </c>
      <c r="K1720">
        <v>0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41</v>
      </c>
      <c r="C1721" t="s">
        <v>18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42</v>
      </c>
      <c r="C1722" t="s">
        <v>43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>
        <v>0</v>
      </c>
      <c r="J1722">
        <v>0</v>
      </c>
      <c r="K1722">
        <v>0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44</v>
      </c>
      <c r="C1723" t="s">
        <v>18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>
        <v>0</v>
      </c>
      <c r="J1723">
        <v>0</v>
      </c>
      <c r="K1723">
        <v>0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45</v>
      </c>
      <c r="C1724" t="s">
        <v>43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46</v>
      </c>
      <c r="C1725" t="s">
        <v>18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>
        <v>0</v>
      </c>
      <c r="J1725">
        <v>0</v>
      </c>
      <c r="K1725">
        <v>0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47</v>
      </c>
      <c r="C1726" t="s">
        <v>16</v>
      </c>
      <c r="D1726">
        <v>31</v>
      </c>
      <c r="E1726">
        <v>27</v>
      </c>
      <c r="F1726">
        <v>18.2</v>
      </c>
      <c r="G1726">
        <v>0</v>
      </c>
      <c r="H1726">
        <v>0</v>
      </c>
      <c r="I1726">
        <v>0</v>
      </c>
      <c r="J1726">
        <v>0</v>
      </c>
      <c r="K1726">
        <v>0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48</v>
      </c>
      <c r="C1727" t="s">
        <v>16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49</v>
      </c>
      <c r="C1728" t="s">
        <v>18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50</v>
      </c>
      <c r="C1729" t="s">
        <v>20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>
        <v>0</v>
      </c>
      <c r="J1729">
        <v>0</v>
      </c>
      <c r="K1729">
        <v>0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51</v>
      </c>
      <c r="C1730" t="s">
        <v>23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>
        <v>0</v>
      </c>
      <c r="J1730">
        <v>0</v>
      </c>
      <c r="K1730">
        <v>0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52</v>
      </c>
      <c r="C1731" t="s">
        <v>18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>
        <v>0</v>
      </c>
      <c r="J1731">
        <v>0</v>
      </c>
      <c r="K1731">
        <v>0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53</v>
      </c>
      <c r="C1732" t="s">
        <v>18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>
        <v>0</v>
      </c>
      <c r="J1732">
        <v>0</v>
      </c>
      <c r="K1732">
        <v>0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54</v>
      </c>
      <c r="C1733" t="s">
        <v>23</v>
      </c>
      <c r="D1733">
        <v>9</v>
      </c>
      <c r="E1733">
        <v>9</v>
      </c>
      <c r="F1733">
        <v>49.04</v>
      </c>
      <c r="G1733">
        <v>0</v>
      </c>
      <c r="H1733">
        <v>0</v>
      </c>
      <c r="I1733">
        <v>0</v>
      </c>
      <c r="J1733">
        <v>0</v>
      </c>
      <c r="K1733">
        <v>0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55</v>
      </c>
      <c r="C1734" t="s">
        <v>43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56</v>
      </c>
      <c r="C1735" t="s">
        <v>16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>
        <v>0</v>
      </c>
      <c r="J1735">
        <v>0</v>
      </c>
      <c r="K1735">
        <v>0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57</v>
      </c>
      <c r="C1736" t="s">
        <v>43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58</v>
      </c>
      <c r="C1737" t="s">
        <v>43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59</v>
      </c>
      <c r="C1738" t="s">
        <v>23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60</v>
      </c>
      <c r="C1739" t="s">
        <v>20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>
        <v>0</v>
      </c>
      <c r="J1739">
        <v>0</v>
      </c>
      <c r="K1739">
        <v>0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61</v>
      </c>
      <c r="C1740" t="s">
        <v>18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>
        <v>0</v>
      </c>
      <c r="J1740">
        <v>0</v>
      </c>
      <c r="K1740">
        <v>0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62</v>
      </c>
      <c r="C1741" t="s">
        <v>20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>
        <v>0</v>
      </c>
      <c r="J1741">
        <v>0</v>
      </c>
      <c r="K1741">
        <v>0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63</v>
      </c>
      <c r="C1742" t="s">
        <v>18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>
        <v>0</v>
      </c>
      <c r="J1742">
        <v>0</v>
      </c>
      <c r="K1742">
        <v>0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15</v>
      </c>
      <c r="C1743" t="s">
        <v>16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>
        <v>0</v>
      </c>
      <c r="J1743">
        <v>0</v>
      </c>
      <c r="K1743">
        <v>0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17</v>
      </c>
      <c r="C1744" t="s">
        <v>18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19</v>
      </c>
      <c r="C1745" t="s">
        <v>20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>
        <v>0</v>
      </c>
      <c r="J1745">
        <v>0</v>
      </c>
      <c r="K1745">
        <v>0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21</v>
      </c>
      <c r="C1746" t="s">
        <v>18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>
        <v>0</v>
      </c>
      <c r="J1746">
        <v>0</v>
      </c>
      <c r="K1746">
        <v>0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22</v>
      </c>
      <c r="C1747" t="s">
        <v>23</v>
      </c>
      <c r="D1747">
        <v>6</v>
      </c>
      <c r="E1747">
        <v>6</v>
      </c>
      <c r="F1747">
        <v>28.25</v>
      </c>
      <c r="G1747">
        <v>0</v>
      </c>
      <c r="H1747">
        <v>0</v>
      </c>
      <c r="I1747">
        <v>0</v>
      </c>
      <c r="J1747">
        <v>0</v>
      </c>
      <c r="K1747">
        <v>0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24</v>
      </c>
      <c r="C1748" t="s">
        <v>16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>
        <v>0</v>
      </c>
      <c r="J1748">
        <v>0</v>
      </c>
      <c r="K1748">
        <v>0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25</v>
      </c>
      <c r="C1749" t="s">
        <v>16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>
        <v>0</v>
      </c>
      <c r="J1749">
        <v>0</v>
      </c>
      <c r="K1749">
        <v>0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26</v>
      </c>
      <c r="C1750" t="s">
        <v>23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27</v>
      </c>
      <c r="C1751" t="s">
        <v>20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>
        <v>0</v>
      </c>
      <c r="J1751">
        <v>0</v>
      </c>
      <c r="K1751">
        <v>0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28</v>
      </c>
      <c r="C1752" t="s">
        <v>18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>
        <v>0</v>
      </c>
      <c r="J1752">
        <v>0</v>
      </c>
      <c r="K1752">
        <v>0</v>
      </c>
      <c r="N1752">
        <v>93.48</v>
      </c>
      <c r="O1752">
        <v>31.334622823984521</v>
      </c>
    </row>
    <row r="1753" spans="1:15" hidden="1" x14ac:dyDescent="0.25">
      <c r="A1753" s="11">
        <v>46056</v>
      </c>
      <c r="B1753" t="s">
        <v>29</v>
      </c>
      <c r="C1753" t="s">
        <v>16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30</v>
      </c>
      <c r="C1754" t="s">
        <v>20</v>
      </c>
      <c r="D1754">
        <v>30</v>
      </c>
      <c r="E1754">
        <v>30</v>
      </c>
      <c r="F1754">
        <v>20.3</v>
      </c>
      <c r="G1754">
        <v>0</v>
      </c>
      <c r="H1754">
        <v>0</v>
      </c>
      <c r="I1754">
        <v>0</v>
      </c>
      <c r="J1754">
        <v>0</v>
      </c>
      <c r="K1754">
        <v>0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31</v>
      </c>
      <c r="C1755" t="s">
        <v>18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32</v>
      </c>
      <c r="C1756" t="s">
        <v>23</v>
      </c>
      <c r="D1756">
        <v>5</v>
      </c>
      <c r="E1756">
        <v>5</v>
      </c>
      <c r="F1756">
        <v>32.15</v>
      </c>
      <c r="G1756">
        <v>0</v>
      </c>
      <c r="H1756">
        <v>0</v>
      </c>
      <c r="I1756">
        <v>0</v>
      </c>
      <c r="J1756">
        <v>0</v>
      </c>
      <c r="K1756">
        <v>0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33</v>
      </c>
      <c r="C1757" t="s">
        <v>16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>
        <v>0</v>
      </c>
      <c r="J1757">
        <v>0</v>
      </c>
      <c r="K1757">
        <v>0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34</v>
      </c>
      <c r="C1758" t="s">
        <v>18</v>
      </c>
      <c r="D1758">
        <v>32</v>
      </c>
      <c r="E1758">
        <v>29</v>
      </c>
      <c r="F1758">
        <v>13.3</v>
      </c>
      <c r="G1758">
        <v>0</v>
      </c>
      <c r="H1758">
        <v>0</v>
      </c>
      <c r="I1758">
        <v>0</v>
      </c>
      <c r="J1758">
        <v>0</v>
      </c>
      <c r="K1758">
        <v>0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35</v>
      </c>
      <c r="C1759" t="s">
        <v>16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>
        <v>0</v>
      </c>
      <c r="J1759">
        <v>0</v>
      </c>
      <c r="K1759">
        <v>0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36</v>
      </c>
      <c r="C1760" t="s">
        <v>20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>E1760+G1760+H1760</f>
        <v>29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13</v>
      </c>
      <c r="K1760" s="3">
        <f>I1760-J1760</f>
        <v>16</v>
      </c>
      <c r="L1760" s="3" t="str">
        <f>IF(K1760&lt;-5,"CRÍTICO",IF(K1760&lt;0,"ATENÇÃO",IF(K1760&lt;=5,"BOM","EXCELENTE")))</f>
        <v>EXCELENTE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37</v>
      </c>
      <c r="C1761" t="s">
        <v>16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>
        <v>0</v>
      </c>
      <c r="J1761">
        <v>0</v>
      </c>
      <c r="K1761">
        <v>0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38</v>
      </c>
      <c r="C1762" t="s">
        <v>18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>
        <v>0</v>
      </c>
      <c r="J1762">
        <v>0</v>
      </c>
      <c r="K1762">
        <v>0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39</v>
      </c>
      <c r="C1763" t="s">
        <v>18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>
        <v>0</v>
      </c>
      <c r="J1763">
        <v>0</v>
      </c>
      <c r="K1763">
        <v>0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40</v>
      </c>
      <c r="C1764" t="s">
        <v>16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>
        <v>0</v>
      </c>
      <c r="J1764">
        <v>0</v>
      </c>
      <c r="K1764">
        <v>0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41</v>
      </c>
      <c r="C1765" t="s">
        <v>18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42</v>
      </c>
      <c r="C1766" t="s">
        <v>43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>
        <v>0</v>
      </c>
      <c r="J1766">
        <v>0</v>
      </c>
      <c r="K1766">
        <v>0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44</v>
      </c>
      <c r="C1767" t="s">
        <v>18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>
        <v>0</v>
      </c>
      <c r="J1767">
        <v>0</v>
      </c>
      <c r="K1767">
        <v>0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45</v>
      </c>
      <c r="C1768" t="s">
        <v>43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46</v>
      </c>
      <c r="C1769" t="s">
        <v>18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>
        <v>0</v>
      </c>
      <c r="J1769">
        <v>0</v>
      </c>
      <c r="K1769">
        <v>0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47</v>
      </c>
      <c r="C1770" t="s">
        <v>16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>
        <v>0</v>
      </c>
      <c r="J1770">
        <v>0</v>
      </c>
      <c r="K1770">
        <v>0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48</v>
      </c>
      <c r="C1771" t="s">
        <v>16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49</v>
      </c>
      <c r="C1772" t="s">
        <v>18</v>
      </c>
      <c r="D1772">
        <v>12</v>
      </c>
      <c r="E1772">
        <v>8</v>
      </c>
      <c r="F1772">
        <v>12.11</v>
      </c>
      <c r="G1772">
        <v>0</v>
      </c>
      <c r="H1772">
        <v>0</v>
      </c>
      <c r="I1772">
        <v>0</v>
      </c>
      <c r="J1772">
        <v>0</v>
      </c>
      <c r="K1772">
        <v>0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50</v>
      </c>
      <c r="C1773" t="s">
        <v>20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>
        <v>0</v>
      </c>
      <c r="J1773">
        <v>0</v>
      </c>
      <c r="K1773">
        <v>0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51</v>
      </c>
      <c r="C1774" t="s">
        <v>23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>
        <v>0</v>
      </c>
      <c r="J1774">
        <v>0</v>
      </c>
      <c r="K1774">
        <v>0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52</v>
      </c>
      <c r="C1775" t="s">
        <v>18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>
        <v>0</v>
      </c>
      <c r="J1775">
        <v>0</v>
      </c>
      <c r="K1775">
        <v>0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53</v>
      </c>
      <c r="C1776" t="s">
        <v>18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>
        <v>0</v>
      </c>
      <c r="J1776">
        <v>0</v>
      </c>
      <c r="K1776">
        <v>0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54</v>
      </c>
      <c r="C1777" t="s">
        <v>23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>
        <v>0</v>
      </c>
      <c r="J1777">
        <v>0</v>
      </c>
      <c r="K1777">
        <v>0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55</v>
      </c>
      <c r="C1778" t="s">
        <v>43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56</v>
      </c>
      <c r="C1779" t="s">
        <v>16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>
        <v>0</v>
      </c>
      <c r="J1779">
        <v>0</v>
      </c>
      <c r="K1779">
        <v>0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57</v>
      </c>
      <c r="C1780" t="s">
        <v>43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58</v>
      </c>
      <c r="C1781" t="s">
        <v>43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59</v>
      </c>
      <c r="C1782" t="s">
        <v>23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60</v>
      </c>
      <c r="C1783" t="s">
        <v>20</v>
      </c>
      <c r="D1783">
        <v>20</v>
      </c>
      <c r="E1783">
        <v>17</v>
      </c>
      <c r="F1783">
        <v>30</v>
      </c>
      <c r="G1783">
        <v>0</v>
      </c>
      <c r="H1783">
        <v>0</v>
      </c>
      <c r="I1783">
        <v>0</v>
      </c>
      <c r="J1783">
        <v>0</v>
      </c>
      <c r="K1783">
        <v>0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61</v>
      </c>
      <c r="C1784" t="s">
        <v>18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>
        <v>0</v>
      </c>
      <c r="J1784">
        <v>0</v>
      </c>
      <c r="K1784">
        <v>0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62</v>
      </c>
      <c r="C1785" t="s">
        <v>20</v>
      </c>
      <c r="D1785">
        <v>13</v>
      </c>
      <c r="E1785">
        <v>12</v>
      </c>
      <c r="F1785">
        <v>45.3</v>
      </c>
      <c r="G1785">
        <v>0</v>
      </c>
      <c r="H1785">
        <v>0</v>
      </c>
      <c r="I1785">
        <v>0</v>
      </c>
      <c r="J1785">
        <v>0</v>
      </c>
      <c r="K1785">
        <v>0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63</v>
      </c>
      <c r="C1786" t="s">
        <v>18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>
        <v>0</v>
      </c>
      <c r="J1786">
        <v>0</v>
      </c>
      <c r="K1786">
        <v>0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15</v>
      </c>
      <c r="C1787" t="s">
        <v>16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>
        <v>0</v>
      </c>
      <c r="J1787">
        <v>0</v>
      </c>
      <c r="K1787">
        <v>0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17</v>
      </c>
      <c r="C1788" t="s">
        <v>18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19</v>
      </c>
      <c r="C1789" t="s">
        <v>20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>
        <v>0</v>
      </c>
      <c r="J1789">
        <v>0</v>
      </c>
      <c r="K1789">
        <v>0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21</v>
      </c>
      <c r="C1790" t="s">
        <v>18</v>
      </c>
      <c r="D1790">
        <v>39</v>
      </c>
      <c r="E1790">
        <v>38</v>
      </c>
      <c r="F1790">
        <v>18.2</v>
      </c>
      <c r="G1790">
        <v>0</v>
      </c>
      <c r="H1790">
        <v>0</v>
      </c>
      <c r="I1790">
        <v>0</v>
      </c>
      <c r="J1790">
        <v>0</v>
      </c>
      <c r="K1790">
        <v>0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22</v>
      </c>
      <c r="C1791" t="s">
        <v>23</v>
      </c>
      <c r="D1791">
        <v>8</v>
      </c>
      <c r="E1791">
        <v>8</v>
      </c>
      <c r="F1791">
        <v>40.17</v>
      </c>
      <c r="G1791">
        <v>0</v>
      </c>
      <c r="H1791">
        <v>0</v>
      </c>
      <c r="I1791">
        <v>0</v>
      </c>
      <c r="J1791">
        <v>0</v>
      </c>
      <c r="K1791">
        <v>0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24</v>
      </c>
      <c r="C1792" t="s">
        <v>16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>
        <v>0</v>
      </c>
      <c r="J1792">
        <v>0</v>
      </c>
      <c r="K1792">
        <v>0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25</v>
      </c>
      <c r="C1793" t="s">
        <v>16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>
        <v>0</v>
      </c>
      <c r="J1793">
        <v>0</v>
      </c>
      <c r="K1793">
        <v>0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26</v>
      </c>
      <c r="C1794" t="s">
        <v>23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27</v>
      </c>
      <c r="C1795" t="s">
        <v>20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>
        <v>0</v>
      </c>
      <c r="J1795">
        <v>0</v>
      </c>
      <c r="K1795">
        <v>0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28</v>
      </c>
      <c r="C1796" t="s">
        <v>18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>
        <v>0</v>
      </c>
      <c r="J1796">
        <v>0</v>
      </c>
      <c r="K1796">
        <v>0</v>
      </c>
      <c r="N1796">
        <v>93.48</v>
      </c>
      <c r="O1796">
        <v>31.334622823984521</v>
      </c>
    </row>
    <row r="1797" spans="1:15" hidden="1" x14ac:dyDescent="0.25">
      <c r="A1797" s="11">
        <v>46057</v>
      </c>
      <c r="B1797" t="s">
        <v>29</v>
      </c>
      <c r="C1797" t="s">
        <v>16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30</v>
      </c>
      <c r="C1798" t="s">
        <v>20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>
        <v>0</v>
      </c>
      <c r="J1798">
        <v>0</v>
      </c>
      <c r="K1798">
        <v>0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31</v>
      </c>
      <c r="C1799" t="s">
        <v>18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32</v>
      </c>
      <c r="C1800" t="s">
        <v>23</v>
      </c>
      <c r="D1800">
        <v>5</v>
      </c>
      <c r="E1800">
        <v>5</v>
      </c>
      <c r="F1800">
        <v>60.41</v>
      </c>
      <c r="G1800">
        <v>0</v>
      </c>
      <c r="H1800">
        <v>0</v>
      </c>
      <c r="I1800">
        <v>0</v>
      </c>
      <c r="J1800">
        <v>0</v>
      </c>
      <c r="K1800">
        <v>0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33</v>
      </c>
      <c r="C1801" t="s">
        <v>16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>
        <v>0</v>
      </c>
      <c r="J1801">
        <v>0</v>
      </c>
      <c r="K1801">
        <v>0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34</v>
      </c>
      <c r="C1802" t="s">
        <v>18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>
        <v>0</v>
      </c>
      <c r="J1802">
        <v>0</v>
      </c>
      <c r="K1802">
        <v>0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35</v>
      </c>
      <c r="C1803" t="s">
        <v>16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>
        <v>0</v>
      </c>
      <c r="J1803">
        <v>0</v>
      </c>
      <c r="K1803">
        <v>0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36</v>
      </c>
      <c r="C1804" t="s">
        <v>20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>E1804+G1804+H1804</f>
        <v>11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13</v>
      </c>
      <c r="K1804" s="3">
        <f>I1804-J1804</f>
        <v>-2</v>
      </c>
      <c r="L1804" s="3" t="str">
        <f>IF(K1804&lt;-5,"CRÍTICO",IF(K1804&lt;0,"ATENÇÃO",IF(K1804&lt;=5,"BOM","EXCELENTE")))</f>
        <v>ATENÇÃO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37</v>
      </c>
      <c r="C1805" t="s">
        <v>16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>
        <v>0</v>
      </c>
      <c r="J1805">
        <v>0</v>
      </c>
      <c r="K1805">
        <v>0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38</v>
      </c>
      <c r="C1806" t="s">
        <v>18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>
        <v>0</v>
      </c>
      <c r="J1806">
        <v>0</v>
      </c>
      <c r="K1806">
        <v>0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39</v>
      </c>
      <c r="C1807" t="s">
        <v>18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>
        <v>0</v>
      </c>
      <c r="J1807">
        <v>0</v>
      </c>
      <c r="K1807">
        <v>0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40</v>
      </c>
      <c r="C1808" t="s">
        <v>16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>
        <v>0</v>
      </c>
      <c r="J1808">
        <v>0</v>
      </c>
      <c r="K1808">
        <v>0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41</v>
      </c>
      <c r="C1809" t="s">
        <v>18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42</v>
      </c>
      <c r="C1810" t="s">
        <v>43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>
        <v>0</v>
      </c>
      <c r="J1810">
        <v>0</v>
      </c>
      <c r="K1810">
        <v>0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44</v>
      </c>
      <c r="C1811" t="s">
        <v>18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>
        <v>0</v>
      </c>
      <c r="J1811">
        <v>0</v>
      </c>
      <c r="K1811">
        <v>0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45</v>
      </c>
      <c r="C1812" t="s">
        <v>43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46</v>
      </c>
      <c r="C1813" t="s">
        <v>18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>
        <v>0</v>
      </c>
      <c r="J1813">
        <v>0</v>
      </c>
      <c r="K1813">
        <v>0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47</v>
      </c>
      <c r="C1814" t="s">
        <v>16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>
        <v>0</v>
      </c>
      <c r="J1814">
        <v>0</v>
      </c>
      <c r="K1814">
        <v>0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48</v>
      </c>
      <c r="C1815" t="s">
        <v>16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49</v>
      </c>
      <c r="C1816" t="s">
        <v>18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>
        <v>0</v>
      </c>
      <c r="J1816">
        <v>0</v>
      </c>
      <c r="K1816">
        <v>0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50</v>
      </c>
      <c r="C1817" t="s">
        <v>20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>
        <v>0</v>
      </c>
      <c r="J1817">
        <v>0</v>
      </c>
      <c r="K1817">
        <v>0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51</v>
      </c>
      <c r="C1818" t="s">
        <v>23</v>
      </c>
      <c r="D1818">
        <v>8</v>
      </c>
      <c r="E1818">
        <v>8</v>
      </c>
      <c r="F1818">
        <v>45.17</v>
      </c>
      <c r="G1818">
        <v>0</v>
      </c>
      <c r="H1818">
        <v>0</v>
      </c>
      <c r="I1818">
        <v>0</v>
      </c>
      <c r="J1818">
        <v>0</v>
      </c>
      <c r="K1818">
        <v>0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52</v>
      </c>
      <c r="C1819" t="s">
        <v>18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>
        <v>0</v>
      </c>
      <c r="J1819">
        <v>0</v>
      </c>
      <c r="K1819">
        <v>0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53</v>
      </c>
      <c r="C1820" t="s">
        <v>18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>
        <v>0</v>
      </c>
      <c r="J1820">
        <v>0</v>
      </c>
      <c r="K1820">
        <v>0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54</v>
      </c>
      <c r="C1821" t="s">
        <v>23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>
        <v>0</v>
      </c>
      <c r="J1821">
        <v>0</v>
      </c>
      <c r="K1821">
        <v>0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55</v>
      </c>
      <c r="C1822" t="s">
        <v>43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56</v>
      </c>
      <c r="C1823" t="s">
        <v>16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57</v>
      </c>
      <c r="C1824" t="s">
        <v>43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58</v>
      </c>
      <c r="C1825" t="s">
        <v>43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59</v>
      </c>
      <c r="C1826" t="s">
        <v>23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60</v>
      </c>
      <c r="C1827" t="s">
        <v>20</v>
      </c>
      <c r="D1827">
        <v>17</v>
      </c>
      <c r="E1827">
        <v>16</v>
      </c>
      <c r="F1827">
        <v>40.1</v>
      </c>
      <c r="G1827">
        <v>0</v>
      </c>
      <c r="H1827">
        <v>0</v>
      </c>
      <c r="I1827">
        <v>0</v>
      </c>
      <c r="J1827">
        <v>0</v>
      </c>
      <c r="K1827">
        <v>0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61</v>
      </c>
      <c r="C1828" t="s">
        <v>18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>
        <v>0</v>
      </c>
      <c r="J1828">
        <v>0</v>
      </c>
      <c r="K1828">
        <v>0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62</v>
      </c>
      <c r="C1829" t="s">
        <v>20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>
        <v>0</v>
      </c>
      <c r="J1829">
        <v>0</v>
      </c>
      <c r="K1829">
        <v>0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63</v>
      </c>
      <c r="C1830" t="s">
        <v>18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>
        <v>0</v>
      </c>
      <c r="J1830">
        <v>0</v>
      </c>
      <c r="K1830">
        <v>0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15</v>
      </c>
      <c r="C1831" t="s">
        <v>16</v>
      </c>
      <c r="D1831">
        <v>36</v>
      </c>
      <c r="E1831">
        <v>34</v>
      </c>
      <c r="F1831">
        <v>15.2</v>
      </c>
      <c r="G1831">
        <v>0</v>
      </c>
      <c r="H1831">
        <v>0</v>
      </c>
      <c r="I1831">
        <v>0</v>
      </c>
      <c r="J1831">
        <v>0</v>
      </c>
      <c r="K1831">
        <v>0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17</v>
      </c>
      <c r="C1832" t="s">
        <v>18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19</v>
      </c>
      <c r="C1833" t="s">
        <v>20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>
        <v>0</v>
      </c>
      <c r="J1833">
        <v>0</v>
      </c>
      <c r="K1833">
        <v>0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21</v>
      </c>
      <c r="C1834" t="s">
        <v>18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>
        <v>0</v>
      </c>
      <c r="J1834">
        <v>0</v>
      </c>
      <c r="K1834">
        <v>0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22</v>
      </c>
      <c r="C1835" t="s">
        <v>23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24</v>
      </c>
      <c r="C1836" t="s">
        <v>16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>
        <v>0</v>
      </c>
      <c r="J1836">
        <v>0</v>
      </c>
      <c r="K1836">
        <v>0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25</v>
      </c>
      <c r="C1837" t="s">
        <v>16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>
        <v>0</v>
      </c>
      <c r="J1837">
        <v>0</v>
      </c>
      <c r="K1837">
        <v>0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26</v>
      </c>
      <c r="C1838" t="s">
        <v>23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27</v>
      </c>
      <c r="C1839" t="s">
        <v>20</v>
      </c>
      <c r="D1839">
        <v>50</v>
      </c>
      <c r="E1839">
        <v>14</v>
      </c>
      <c r="F1839">
        <v>5.35</v>
      </c>
      <c r="G1839">
        <v>0</v>
      </c>
      <c r="H1839">
        <v>0</v>
      </c>
      <c r="I1839">
        <v>0</v>
      </c>
      <c r="J1839">
        <v>0</v>
      </c>
      <c r="K1839">
        <v>0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28</v>
      </c>
      <c r="C1840" t="s">
        <v>18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>
        <v>0</v>
      </c>
      <c r="J1840">
        <v>0</v>
      </c>
      <c r="K1840">
        <v>0</v>
      </c>
      <c r="N1840">
        <v>93.48</v>
      </c>
      <c r="O1840">
        <v>31.334622823984521</v>
      </c>
    </row>
    <row r="1841" spans="1:15" hidden="1" x14ac:dyDescent="0.25">
      <c r="A1841" s="11">
        <v>46058</v>
      </c>
      <c r="B1841" t="s">
        <v>29</v>
      </c>
      <c r="C1841" t="s">
        <v>16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30</v>
      </c>
      <c r="C1842" t="s">
        <v>20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>
        <v>0</v>
      </c>
      <c r="J1842">
        <v>0</v>
      </c>
      <c r="K1842">
        <v>0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31</v>
      </c>
      <c r="C1843" t="s">
        <v>18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32</v>
      </c>
      <c r="C1844" t="s">
        <v>23</v>
      </c>
      <c r="D1844">
        <v>39</v>
      </c>
      <c r="E1844">
        <v>28</v>
      </c>
      <c r="F1844">
        <v>5.44</v>
      </c>
      <c r="G1844">
        <v>0</v>
      </c>
      <c r="H1844">
        <v>0</v>
      </c>
      <c r="I1844">
        <v>0</v>
      </c>
      <c r="J1844">
        <v>0</v>
      </c>
      <c r="K1844">
        <v>0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33</v>
      </c>
      <c r="C1845" t="s">
        <v>16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>
        <v>0</v>
      </c>
      <c r="J1845">
        <v>0</v>
      </c>
      <c r="K1845">
        <v>0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34</v>
      </c>
      <c r="C1846" t="s">
        <v>18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>
        <v>0</v>
      </c>
      <c r="J1846">
        <v>0</v>
      </c>
      <c r="K1846">
        <v>0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35</v>
      </c>
      <c r="C1847" t="s">
        <v>16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>
        <v>0</v>
      </c>
      <c r="J1847">
        <v>0</v>
      </c>
      <c r="K1847">
        <v>0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36</v>
      </c>
      <c r="C1848" t="s">
        <v>20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>E1848+G1848+H1848</f>
        <v>3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15</v>
      </c>
      <c r="K1848" s="3">
        <f>I1848-J1848</f>
        <v>-12</v>
      </c>
      <c r="L1848" s="3" t="str">
        <f>IF(K1848&lt;-5,"CRÍTICO",IF(K1848&lt;0,"ATENÇÃO",IF(K1848&lt;=5,"BOM","EXCELENTE")))</f>
        <v>CRÍTICO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37</v>
      </c>
      <c r="C1849" t="s">
        <v>16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>
        <v>0</v>
      </c>
      <c r="J1849">
        <v>0</v>
      </c>
      <c r="K1849">
        <v>0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38</v>
      </c>
      <c r="C1850" t="s">
        <v>18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>
        <v>0</v>
      </c>
      <c r="J1850">
        <v>0</v>
      </c>
      <c r="K1850">
        <v>0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39</v>
      </c>
      <c r="C1851" t="s">
        <v>18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>
        <v>0</v>
      </c>
      <c r="J1851">
        <v>0</v>
      </c>
      <c r="K1851">
        <v>0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40</v>
      </c>
      <c r="C1852" t="s">
        <v>16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>
        <v>0</v>
      </c>
      <c r="J1852">
        <v>0</v>
      </c>
      <c r="K1852">
        <v>0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41</v>
      </c>
      <c r="C1853" t="s">
        <v>18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42</v>
      </c>
      <c r="C1854" t="s">
        <v>43</v>
      </c>
      <c r="D1854">
        <v>20</v>
      </c>
      <c r="E1854">
        <v>19</v>
      </c>
      <c r="F1854">
        <v>25.5</v>
      </c>
      <c r="G1854">
        <v>0</v>
      </c>
      <c r="H1854">
        <v>0</v>
      </c>
      <c r="I1854">
        <v>0</v>
      </c>
      <c r="J1854">
        <v>0</v>
      </c>
      <c r="K1854">
        <v>0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44</v>
      </c>
      <c r="C1855" t="s">
        <v>18</v>
      </c>
      <c r="D1855">
        <v>17</v>
      </c>
      <c r="E1855">
        <v>7</v>
      </c>
      <c r="F1855">
        <v>7.21</v>
      </c>
      <c r="G1855">
        <v>0</v>
      </c>
      <c r="H1855">
        <v>0</v>
      </c>
      <c r="I1855">
        <v>0</v>
      </c>
      <c r="J1855">
        <v>0</v>
      </c>
      <c r="K1855">
        <v>0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45</v>
      </c>
      <c r="C1856" t="s">
        <v>43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46</v>
      </c>
      <c r="C1857" t="s">
        <v>18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>
        <v>0</v>
      </c>
      <c r="J1857">
        <v>0</v>
      </c>
      <c r="K1857">
        <v>0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47</v>
      </c>
      <c r="C1858" t="s">
        <v>16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>
        <v>0</v>
      </c>
      <c r="J1858">
        <v>0</v>
      </c>
      <c r="K1858">
        <v>0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48</v>
      </c>
      <c r="C1859" t="s">
        <v>16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49</v>
      </c>
      <c r="C1860" t="s">
        <v>18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>
        <v>0</v>
      </c>
      <c r="J1860">
        <v>0</v>
      </c>
      <c r="K1860">
        <v>0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50</v>
      </c>
      <c r="C1861" t="s">
        <v>20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>
        <v>0</v>
      </c>
      <c r="J1861">
        <v>0</v>
      </c>
      <c r="K1861">
        <v>0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51</v>
      </c>
      <c r="C1862" t="s">
        <v>23</v>
      </c>
      <c r="D1862">
        <v>80</v>
      </c>
      <c r="E1862">
        <v>39</v>
      </c>
      <c r="F1862">
        <v>5.47</v>
      </c>
      <c r="G1862">
        <v>0</v>
      </c>
      <c r="H1862">
        <v>0</v>
      </c>
      <c r="I1862">
        <v>0</v>
      </c>
      <c r="J1862">
        <v>0</v>
      </c>
      <c r="K1862">
        <v>0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52</v>
      </c>
      <c r="C1863" t="s">
        <v>18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>
        <v>0</v>
      </c>
      <c r="J1863">
        <v>0</v>
      </c>
      <c r="K1863">
        <v>0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53</v>
      </c>
      <c r="C1864" t="s">
        <v>18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>
        <v>0</v>
      </c>
      <c r="J1864">
        <v>0</v>
      </c>
      <c r="K1864">
        <v>0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54</v>
      </c>
      <c r="C1865" t="s">
        <v>23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>
        <v>0</v>
      </c>
      <c r="J1865">
        <v>0</v>
      </c>
      <c r="K1865">
        <v>0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55</v>
      </c>
      <c r="C1866" t="s">
        <v>43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56</v>
      </c>
      <c r="C1867" t="s">
        <v>16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>
        <v>0</v>
      </c>
      <c r="J1867">
        <v>0</v>
      </c>
      <c r="K1867">
        <v>0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57</v>
      </c>
      <c r="C1868" t="s">
        <v>43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58</v>
      </c>
      <c r="C1869" t="s">
        <v>43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59</v>
      </c>
      <c r="C1870" t="s">
        <v>23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60</v>
      </c>
      <c r="C1871" t="s">
        <v>20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>
        <v>0</v>
      </c>
      <c r="J1871">
        <v>0</v>
      </c>
      <c r="K1871">
        <v>0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61</v>
      </c>
      <c r="C1872" t="s">
        <v>18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>
        <v>0</v>
      </c>
      <c r="J1872">
        <v>0</v>
      </c>
      <c r="K1872">
        <v>0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62</v>
      </c>
      <c r="C1873" t="s">
        <v>20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>
        <v>0</v>
      </c>
      <c r="J1873">
        <v>0</v>
      </c>
      <c r="K1873">
        <v>0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63</v>
      </c>
      <c r="C1874" t="s">
        <v>18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>
        <v>0</v>
      </c>
      <c r="J1874">
        <v>0</v>
      </c>
      <c r="K1874">
        <v>0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15</v>
      </c>
      <c r="C1875" t="s">
        <v>16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>
        <v>0</v>
      </c>
      <c r="J1875">
        <v>0</v>
      </c>
      <c r="K1875">
        <v>0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17</v>
      </c>
      <c r="C1876" t="s">
        <v>18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19</v>
      </c>
      <c r="C1877" t="s">
        <v>20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>
        <v>0</v>
      </c>
      <c r="J1877">
        <v>0</v>
      </c>
      <c r="K1877">
        <v>0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21</v>
      </c>
      <c r="C1878" t="s">
        <v>18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>
        <v>0</v>
      </c>
      <c r="J1878">
        <v>0</v>
      </c>
      <c r="K1878">
        <v>0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22</v>
      </c>
      <c r="C1879" t="s">
        <v>23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>
        <v>0</v>
      </c>
      <c r="J1879">
        <v>0</v>
      </c>
      <c r="K1879">
        <v>0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24</v>
      </c>
      <c r="C1880" t="s">
        <v>16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>
        <v>0</v>
      </c>
      <c r="J1880">
        <v>0</v>
      </c>
      <c r="K1880">
        <v>0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25</v>
      </c>
      <c r="C1881" t="s">
        <v>16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>
        <v>0</v>
      </c>
      <c r="J1881">
        <v>0</v>
      </c>
      <c r="K1881">
        <v>0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26</v>
      </c>
      <c r="C1882" t="s">
        <v>23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27</v>
      </c>
      <c r="C1883" t="s">
        <v>20</v>
      </c>
      <c r="D1883">
        <v>40</v>
      </c>
      <c r="E1883">
        <v>5</v>
      </c>
      <c r="F1883">
        <v>3.32</v>
      </c>
      <c r="G1883">
        <v>0</v>
      </c>
      <c r="H1883">
        <v>0</v>
      </c>
      <c r="I1883">
        <v>0</v>
      </c>
      <c r="J1883">
        <v>0</v>
      </c>
      <c r="K1883">
        <v>0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28</v>
      </c>
      <c r="C1884" t="s">
        <v>18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>
        <v>0</v>
      </c>
      <c r="J1884">
        <v>0</v>
      </c>
      <c r="K1884">
        <v>0</v>
      </c>
      <c r="N1884">
        <v>93.48</v>
      </c>
      <c r="O1884">
        <v>31.334622823984521</v>
      </c>
    </row>
    <row r="1885" spans="1:15" hidden="1" x14ac:dyDescent="0.25">
      <c r="A1885" s="11">
        <v>46059</v>
      </c>
      <c r="B1885" t="s">
        <v>29</v>
      </c>
      <c r="C1885" t="s">
        <v>16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30</v>
      </c>
      <c r="C1886" t="s">
        <v>20</v>
      </c>
      <c r="D1886">
        <v>24</v>
      </c>
      <c r="E1886">
        <v>21</v>
      </c>
      <c r="F1886">
        <v>22</v>
      </c>
      <c r="G1886">
        <v>0</v>
      </c>
      <c r="H1886">
        <v>0</v>
      </c>
      <c r="I1886">
        <v>0</v>
      </c>
      <c r="J1886">
        <v>0</v>
      </c>
      <c r="K1886">
        <v>0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31</v>
      </c>
      <c r="C1887" t="s">
        <v>18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32</v>
      </c>
      <c r="C1888" t="s">
        <v>23</v>
      </c>
      <c r="D1888">
        <v>49</v>
      </c>
      <c r="E1888">
        <v>43</v>
      </c>
      <c r="F1888">
        <v>6.57</v>
      </c>
      <c r="G1888">
        <v>0</v>
      </c>
      <c r="H1888">
        <v>0</v>
      </c>
      <c r="I1888">
        <v>0</v>
      </c>
      <c r="J1888">
        <v>0</v>
      </c>
      <c r="K1888">
        <v>0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33</v>
      </c>
      <c r="C1889" t="s">
        <v>16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>
        <v>0</v>
      </c>
      <c r="J1889">
        <v>0</v>
      </c>
      <c r="K1889">
        <v>0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34</v>
      </c>
      <c r="C1890" t="s">
        <v>18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>
        <v>0</v>
      </c>
      <c r="J1890">
        <v>0</v>
      </c>
      <c r="K1890">
        <v>0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35</v>
      </c>
      <c r="C1891" t="s">
        <v>16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>
        <v>0</v>
      </c>
      <c r="J1891">
        <v>0</v>
      </c>
      <c r="K1891">
        <v>0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36</v>
      </c>
      <c r="C1892" t="s">
        <v>20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f>E1892+G1892+H1892</f>
        <v>0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13</v>
      </c>
      <c r="K1892" s="3">
        <f>I1892-J1892</f>
        <v>-13</v>
      </c>
      <c r="L1892" s="3" t="str">
        <f>IF(K1892&lt;-5,"CRÍTICO",IF(K1892&lt;0,"ATENÇÃO",IF(K1892&lt;=5,"BOM","EXCELENTE")))</f>
        <v>CRÍTICO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37</v>
      </c>
      <c r="C1893" t="s">
        <v>16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>
        <v>0</v>
      </c>
      <c r="J1893">
        <v>0</v>
      </c>
      <c r="K1893">
        <v>0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38</v>
      </c>
      <c r="C1894" t="s">
        <v>18</v>
      </c>
      <c r="D1894">
        <v>62</v>
      </c>
      <c r="E1894">
        <v>56</v>
      </c>
      <c r="F1894">
        <v>12.1</v>
      </c>
      <c r="G1894">
        <v>0</v>
      </c>
      <c r="H1894">
        <v>0</v>
      </c>
      <c r="I1894">
        <v>0</v>
      </c>
      <c r="J1894">
        <v>0</v>
      </c>
      <c r="K1894">
        <v>0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39</v>
      </c>
      <c r="C1895" t="s">
        <v>18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>
        <v>0</v>
      </c>
      <c r="J1895">
        <v>0</v>
      </c>
      <c r="K1895">
        <v>0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40</v>
      </c>
      <c r="C1896" t="s">
        <v>16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>
        <v>0</v>
      </c>
      <c r="J1896">
        <v>0</v>
      </c>
      <c r="K1896">
        <v>0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41</v>
      </c>
      <c r="C1897" t="s">
        <v>18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42</v>
      </c>
      <c r="C1898" t="s">
        <v>43</v>
      </c>
      <c r="D1898">
        <v>16</v>
      </c>
      <c r="E1898">
        <v>15</v>
      </c>
      <c r="F1898">
        <v>31.5</v>
      </c>
      <c r="G1898">
        <v>0</v>
      </c>
      <c r="H1898">
        <v>0</v>
      </c>
      <c r="I1898">
        <v>0</v>
      </c>
      <c r="J1898">
        <v>0</v>
      </c>
      <c r="K1898">
        <v>0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44</v>
      </c>
      <c r="C1899" t="s">
        <v>18</v>
      </c>
      <c r="D1899">
        <v>3</v>
      </c>
      <c r="E1899">
        <v>3</v>
      </c>
      <c r="F1899">
        <v>18.2</v>
      </c>
      <c r="G1899">
        <v>0</v>
      </c>
      <c r="H1899">
        <v>0</v>
      </c>
      <c r="I1899">
        <v>0</v>
      </c>
      <c r="J1899">
        <v>0</v>
      </c>
      <c r="K1899">
        <v>0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45</v>
      </c>
      <c r="C1900" t="s">
        <v>43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46</v>
      </c>
      <c r="C1901" t="s">
        <v>18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>
        <v>0</v>
      </c>
      <c r="J1901">
        <v>0</v>
      </c>
      <c r="K1901">
        <v>0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47</v>
      </c>
      <c r="C1902" t="s">
        <v>16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>
        <v>0</v>
      </c>
      <c r="J1902">
        <v>0</v>
      </c>
      <c r="K1902">
        <v>0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48</v>
      </c>
      <c r="C1903" t="s">
        <v>16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49</v>
      </c>
      <c r="C1904" t="s">
        <v>18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>
        <v>0</v>
      </c>
      <c r="J1904">
        <v>0</v>
      </c>
      <c r="K1904">
        <v>0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50</v>
      </c>
      <c r="C1905" t="s">
        <v>20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>
        <v>0</v>
      </c>
      <c r="J1905">
        <v>0</v>
      </c>
      <c r="K1905">
        <v>0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51</v>
      </c>
      <c r="C1906" t="s">
        <v>23</v>
      </c>
      <c r="D1906">
        <v>74</v>
      </c>
      <c r="E1906">
        <v>33</v>
      </c>
      <c r="F1906">
        <v>3.27</v>
      </c>
      <c r="G1906">
        <v>0</v>
      </c>
      <c r="H1906">
        <v>0</v>
      </c>
      <c r="I1906">
        <v>0</v>
      </c>
      <c r="J1906">
        <v>0</v>
      </c>
      <c r="K1906">
        <v>0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52</v>
      </c>
      <c r="C1907" t="s">
        <v>18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>
        <v>0</v>
      </c>
      <c r="J1907">
        <v>0</v>
      </c>
      <c r="K1907">
        <v>0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53</v>
      </c>
      <c r="C1908" t="s">
        <v>18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>
        <v>0</v>
      </c>
      <c r="J1908">
        <v>0</v>
      </c>
      <c r="K1908">
        <v>0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54</v>
      </c>
      <c r="C1909" t="s">
        <v>23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>
        <v>0</v>
      </c>
      <c r="J1909">
        <v>0</v>
      </c>
      <c r="K1909">
        <v>0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55</v>
      </c>
      <c r="C1910" t="s">
        <v>43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56</v>
      </c>
      <c r="C1911" t="s">
        <v>16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57</v>
      </c>
      <c r="C1912" t="s">
        <v>43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58</v>
      </c>
      <c r="C1913" t="s">
        <v>43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59</v>
      </c>
      <c r="C1914" t="s">
        <v>23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60</v>
      </c>
      <c r="C1915" t="s">
        <v>20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>
        <v>0</v>
      </c>
      <c r="J1915">
        <v>0</v>
      </c>
      <c r="K1915">
        <v>0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61</v>
      </c>
      <c r="C1916" t="s">
        <v>18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>
        <v>0</v>
      </c>
      <c r="J1916">
        <v>0</v>
      </c>
      <c r="K1916">
        <v>0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62</v>
      </c>
      <c r="C1917" t="s">
        <v>20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>
        <v>0</v>
      </c>
      <c r="J1917">
        <v>0</v>
      </c>
      <c r="K1917">
        <v>0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63</v>
      </c>
      <c r="C1918" t="s">
        <v>18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>
        <v>0</v>
      </c>
      <c r="J1918">
        <v>0</v>
      </c>
      <c r="K1918">
        <v>0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15</v>
      </c>
      <c r="C1919" t="s">
        <v>16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>
        <v>0</v>
      </c>
      <c r="J1919">
        <v>0</v>
      </c>
      <c r="K1919">
        <v>0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17</v>
      </c>
      <c r="C1920" t="s">
        <v>18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19</v>
      </c>
      <c r="C1921" t="s">
        <v>20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>
        <v>0</v>
      </c>
      <c r="J1921">
        <v>0</v>
      </c>
      <c r="K1921">
        <v>0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21</v>
      </c>
      <c r="C1922" t="s">
        <v>18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>
        <v>0</v>
      </c>
      <c r="J1922">
        <v>0</v>
      </c>
      <c r="K1922">
        <v>0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22</v>
      </c>
      <c r="C1923" t="s">
        <v>23</v>
      </c>
      <c r="D1923">
        <v>9</v>
      </c>
      <c r="E1923">
        <v>9</v>
      </c>
      <c r="F1923">
        <v>38.29</v>
      </c>
      <c r="G1923">
        <v>0</v>
      </c>
      <c r="H1923">
        <v>0</v>
      </c>
      <c r="I1923">
        <v>0</v>
      </c>
      <c r="J1923">
        <v>0</v>
      </c>
      <c r="K1923">
        <v>0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24</v>
      </c>
      <c r="C1924" t="s">
        <v>16</v>
      </c>
      <c r="D1924">
        <v>26</v>
      </c>
      <c r="E1924">
        <v>24</v>
      </c>
      <c r="F1924">
        <v>17.3</v>
      </c>
      <c r="G1924">
        <v>0</v>
      </c>
      <c r="H1924">
        <v>0</v>
      </c>
      <c r="I1924">
        <v>0</v>
      </c>
      <c r="J1924">
        <v>0</v>
      </c>
      <c r="K1924">
        <v>0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25</v>
      </c>
      <c r="C1925" t="s">
        <v>16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>
        <v>0</v>
      </c>
      <c r="J1925">
        <v>0</v>
      </c>
      <c r="K1925">
        <v>0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26</v>
      </c>
      <c r="C1926" t="s">
        <v>23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27</v>
      </c>
      <c r="C1927" t="s">
        <v>20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>
        <v>0</v>
      </c>
      <c r="J1927">
        <v>0</v>
      </c>
      <c r="K1927">
        <v>0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28</v>
      </c>
      <c r="C1928" t="s">
        <v>18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>
        <v>0</v>
      </c>
      <c r="J1928">
        <v>0</v>
      </c>
      <c r="K1928">
        <v>0</v>
      </c>
      <c r="N1928">
        <v>93.48</v>
      </c>
      <c r="O1928">
        <v>31.334622823984521</v>
      </c>
    </row>
    <row r="1929" spans="1:15" hidden="1" x14ac:dyDescent="0.25">
      <c r="A1929" s="11">
        <v>46062</v>
      </c>
      <c r="B1929" t="s">
        <v>29</v>
      </c>
      <c r="C1929" t="s">
        <v>16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30</v>
      </c>
      <c r="C1930" t="s">
        <v>20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>
        <v>0</v>
      </c>
      <c r="J1930">
        <v>0</v>
      </c>
      <c r="K1930">
        <v>0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31</v>
      </c>
      <c r="C1931" t="s">
        <v>18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32</v>
      </c>
      <c r="C1932" t="s">
        <v>23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>
        <v>0</v>
      </c>
      <c r="J1932">
        <v>0</v>
      </c>
      <c r="K1932">
        <v>0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33</v>
      </c>
      <c r="C1933" t="s">
        <v>16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>
        <v>0</v>
      </c>
      <c r="J1933">
        <v>0</v>
      </c>
      <c r="K1933">
        <v>0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34</v>
      </c>
      <c r="C1934" t="s">
        <v>18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>
        <v>0</v>
      </c>
      <c r="J1934">
        <v>0</v>
      </c>
      <c r="K1934">
        <v>0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35</v>
      </c>
      <c r="C1935" t="s">
        <v>16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>
        <v>0</v>
      </c>
      <c r="J1935">
        <v>0</v>
      </c>
      <c r="K1935">
        <v>0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36</v>
      </c>
      <c r="C1936" t="s">
        <v>20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>E1936+G1936+H1936</f>
        <v>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13</v>
      </c>
      <c r="K1936" s="3">
        <f>I1936-J1936</f>
        <v>-4</v>
      </c>
      <c r="L1936" s="3" t="str">
        <f>IF(K1936&lt;-5,"CRÍTICO",IF(K1936&lt;0,"ATENÇÃO",IF(K1936&lt;=5,"BOM","EXCELENTE")))</f>
        <v>ATENÇÃO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37</v>
      </c>
      <c r="C1937" t="s">
        <v>16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>
        <v>0</v>
      </c>
      <c r="J1937">
        <v>0</v>
      </c>
      <c r="K1937">
        <v>0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38</v>
      </c>
      <c r="C1938" t="s">
        <v>18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>
        <v>0</v>
      </c>
      <c r="J1938">
        <v>0</v>
      </c>
      <c r="K1938">
        <v>0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39</v>
      </c>
      <c r="C1939" t="s">
        <v>18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>
        <v>0</v>
      </c>
      <c r="J1939">
        <v>0</v>
      </c>
      <c r="K1939">
        <v>0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40</v>
      </c>
      <c r="C1940" t="s">
        <v>16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>
        <v>0</v>
      </c>
      <c r="J1940">
        <v>0</v>
      </c>
      <c r="K1940">
        <v>0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41</v>
      </c>
      <c r="C1941" t="s">
        <v>18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42</v>
      </c>
      <c r="C1942" t="s">
        <v>43</v>
      </c>
      <c r="D1942">
        <v>7</v>
      </c>
      <c r="E1942">
        <v>6</v>
      </c>
      <c r="F1942">
        <v>26.45</v>
      </c>
      <c r="G1942">
        <v>0</v>
      </c>
      <c r="H1942">
        <v>0</v>
      </c>
      <c r="I1942">
        <v>0</v>
      </c>
      <c r="J1942">
        <v>0</v>
      </c>
      <c r="K1942">
        <v>0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44</v>
      </c>
      <c r="C1943" t="s">
        <v>18</v>
      </c>
      <c r="D1943">
        <v>78</v>
      </c>
      <c r="E1943">
        <v>16</v>
      </c>
      <c r="F1943">
        <v>5.37</v>
      </c>
      <c r="G1943">
        <v>0</v>
      </c>
      <c r="H1943">
        <v>0</v>
      </c>
      <c r="I1943">
        <v>0</v>
      </c>
      <c r="J1943">
        <v>0</v>
      </c>
      <c r="K1943">
        <v>0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45</v>
      </c>
      <c r="C1944" t="s">
        <v>43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46</v>
      </c>
      <c r="C1945" t="s">
        <v>18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>
        <v>0</v>
      </c>
      <c r="J1945">
        <v>0</v>
      </c>
      <c r="K1945">
        <v>0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47</v>
      </c>
      <c r="C1946" t="s">
        <v>16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>
        <v>0</v>
      </c>
      <c r="J1946">
        <v>0</v>
      </c>
      <c r="K1946">
        <v>0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48</v>
      </c>
      <c r="C1947" t="s">
        <v>16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49</v>
      </c>
      <c r="C1948" t="s">
        <v>18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>
        <v>0</v>
      </c>
      <c r="J1948">
        <v>0</v>
      </c>
      <c r="K1948">
        <v>0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50</v>
      </c>
      <c r="C1949" t="s">
        <v>20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>
        <v>0</v>
      </c>
      <c r="J1949">
        <v>0</v>
      </c>
      <c r="K1949">
        <v>0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51</v>
      </c>
      <c r="C1950" t="s">
        <v>23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52</v>
      </c>
      <c r="C1951" t="s">
        <v>18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>
        <v>0</v>
      </c>
      <c r="J1951">
        <v>0</v>
      </c>
      <c r="K1951">
        <v>0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53</v>
      </c>
      <c r="C1952" t="s">
        <v>18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>
        <v>0</v>
      </c>
      <c r="J1952">
        <v>0</v>
      </c>
      <c r="K1952">
        <v>0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54</v>
      </c>
      <c r="C1953" t="s">
        <v>23</v>
      </c>
      <c r="D1953">
        <v>9</v>
      </c>
      <c r="E1953">
        <v>9</v>
      </c>
      <c r="F1953">
        <v>66.56</v>
      </c>
      <c r="G1953">
        <v>0</v>
      </c>
      <c r="H1953">
        <v>0</v>
      </c>
      <c r="I1953">
        <v>0</v>
      </c>
      <c r="J1953">
        <v>0</v>
      </c>
      <c r="K1953">
        <v>0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55</v>
      </c>
      <c r="C1954" t="s">
        <v>43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56</v>
      </c>
      <c r="C1955" t="s">
        <v>16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57</v>
      </c>
      <c r="C1956" t="s">
        <v>43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58</v>
      </c>
      <c r="C1957" t="s">
        <v>43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59</v>
      </c>
      <c r="C1958" t="s">
        <v>23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60</v>
      </c>
      <c r="C1959" t="s">
        <v>20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>
        <v>0</v>
      </c>
      <c r="J1959">
        <v>0</v>
      </c>
      <c r="K1959">
        <v>0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61</v>
      </c>
      <c r="C1960" t="s">
        <v>18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>
        <v>0</v>
      </c>
      <c r="J1960">
        <v>0</v>
      </c>
      <c r="K1960">
        <v>0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62</v>
      </c>
      <c r="C1961" t="s">
        <v>20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>
        <v>0</v>
      </c>
      <c r="J1961">
        <v>0</v>
      </c>
      <c r="K1961">
        <v>0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63</v>
      </c>
      <c r="C1962" t="s">
        <v>18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>
        <v>0</v>
      </c>
      <c r="J1962">
        <v>0</v>
      </c>
      <c r="K1962">
        <v>0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15</v>
      </c>
      <c r="C1963" t="s">
        <v>16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>
        <v>0</v>
      </c>
      <c r="J1963">
        <v>0</v>
      </c>
      <c r="K1963">
        <v>0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17</v>
      </c>
      <c r="C1964" t="s">
        <v>18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19</v>
      </c>
      <c r="C1965" t="s">
        <v>20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>
        <v>0</v>
      </c>
      <c r="J1965">
        <v>0</v>
      </c>
      <c r="K1965">
        <v>0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21</v>
      </c>
      <c r="C1966" t="s">
        <v>18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>
        <v>0</v>
      </c>
      <c r="J1966">
        <v>0</v>
      </c>
      <c r="K1966">
        <v>0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22</v>
      </c>
      <c r="C1967" t="s">
        <v>23</v>
      </c>
      <c r="D1967">
        <v>11</v>
      </c>
      <c r="E1967">
        <v>9</v>
      </c>
      <c r="F1967">
        <v>28.47</v>
      </c>
      <c r="G1967">
        <v>0</v>
      </c>
      <c r="H1967">
        <v>0</v>
      </c>
      <c r="I1967">
        <v>0</v>
      </c>
      <c r="J1967">
        <v>0</v>
      </c>
      <c r="K1967">
        <v>0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24</v>
      </c>
      <c r="C1968" t="s">
        <v>16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>
        <v>0</v>
      </c>
      <c r="J1968">
        <v>0</v>
      </c>
      <c r="K1968">
        <v>0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25</v>
      </c>
      <c r="C1969" t="s">
        <v>16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>
        <v>0</v>
      </c>
      <c r="J1969">
        <v>0</v>
      </c>
      <c r="K1969">
        <v>0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26</v>
      </c>
      <c r="C1970" t="s">
        <v>23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27</v>
      </c>
      <c r="C1971" t="s">
        <v>20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>
        <v>0</v>
      </c>
      <c r="J1971">
        <v>0</v>
      </c>
      <c r="K1971">
        <v>0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28</v>
      </c>
      <c r="C1972" t="s">
        <v>18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>
        <v>0</v>
      </c>
      <c r="J1972">
        <v>0</v>
      </c>
      <c r="K1972">
        <v>0</v>
      </c>
      <c r="N1972">
        <v>93.48</v>
      </c>
      <c r="O1972">
        <v>31.334622823984521</v>
      </c>
    </row>
    <row r="1973" spans="1:15" hidden="1" x14ac:dyDescent="0.25">
      <c r="A1973" s="11">
        <v>46063</v>
      </c>
      <c r="B1973" t="s">
        <v>29</v>
      </c>
      <c r="C1973" t="s">
        <v>16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30</v>
      </c>
      <c r="C1974" t="s">
        <v>20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>
        <v>0</v>
      </c>
      <c r="J1974">
        <v>0</v>
      </c>
      <c r="K1974">
        <v>0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31</v>
      </c>
      <c r="C1975" t="s">
        <v>18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32</v>
      </c>
      <c r="C1976" t="s">
        <v>23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>
        <v>0</v>
      </c>
      <c r="J1976">
        <v>0</v>
      </c>
      <c r="K1976">
        <v>0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33</v>
      </c>
      <c r="C1977" t="s">
        <v>16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>
        <v>0</v>
      </c>
      <c r="J1977">
        <v>0</v>
      </c>
      <c r="K1977">
        <v>0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34</v>
      </c>
      <c r="C1978" t="s">
        <v>18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>
        <v>0</v>
      </c>
      <c r="J1978">
        <v>0</v>
      </c>
      <c r="K1978">
        <v>0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35</v>
      </c>
      <c r="C1979" t="s">
        <v>16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>
        <v>0</v>
      </c>
      <c r="J1979">
        <v>0</v>
      </c>
      <c r="K1979">
        <v>0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36</v>
      </c>
      <c r="C1980" t="s">
        <v>20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>E1980+G1980+H1980</f>
        <v>22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14</v>
      </c>
      <c r="K1980" s="3">
        <f>I1980-J1980</f>
        <v>8</v>
      </c>
      <c r="L1980" s="3" t="str">
        <f>IF(K1980&lt;-5,"CRÍTICO",IF(K1980&lt;0,"ATENÇÃO",IF(K1980&lt;=5,"BOM","EXCELENTE")))</f>
        <v>EXCELENTE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37</v>
      </c>
      <c r="C1981" t="s">
        <v>16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>
        <v>0</v>
      </c>
      <c r="J1981">
        <v>0</v>
      </c>
      <c r="K1981">
        <v>0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38</v>
      </c>
      <c r="C1982" t="s">
        <v>18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>
        <v>0</v>
      </c>
      <c r="J1982">
        <v>0</v>
      </c>
      <c r="K1982">
        <v>0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39</v>
      </c>
      <c r="C1983" t="s">
        <v>18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>
        <v>0</v>
      </c>
      <c r="J1983">
        <v>0</v>
      </c>
      <c r="K1983">
        <v>0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40</v>
      </c>
      <c r="C1984" t="s">
        <v>16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>
        <v>0</v>
      </c>
      <c r="J1984">
        <v>0</v>
      </c>
      <c r="K1984">
        <v>0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41</v>
      </c>
      <c r="C1985" t="s">
        <v>18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42</v>
      </c>
      <c r="C1986" t="s">
        <v>43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>
        <v>0</v>
      </c>
      <c r="J1986">
        <v>0</v>
      </c>
      <c r="K1986">
        <v>0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44</v>
      </c>
      <c r="C1987" t="s">
        <v>18</v>
      </c>
      <c r="D1987">
        <v>4</v>
      </c>
      <c r="E1987">
        <v>4</v>
      </c>
      <c r="F1987">
        <v>63.33</v>
      </c>
      <c r="G1987">
        <v>0</v>
      </c>
      <c r="H1987">
        <v>0</v>
      </c>
      <c r="I1987">
        <v>0</v>
      </c>
      <c r="J1987">
        <v>0</v>
      </c>
      <c r="K1987">
        <v>0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45</v>
      </c>
      <c r="C1988" t="s">
        <v>43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46</v>
      </c>
      <c r="C1989" t="s">
        <v>18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>
        <v>0</v>
      </c>
      <c r="J1989">
        <v>0</v>
      </c>
      <c r="K1989">
        <v>0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47</v>
      </c>
      <c r="C1990" t="s">
        <v>16</v>
      </c>
      <c r="D1990">
        <v>35</v>
      </c>
      <c r="E1990">
        <v>30</v>
      </c>
      <c r="F1990">
        <v>21.5</v>
      </c>
      <c r="G1990">
        <v>0</v>
      </c>
      <c r="H1990">
        <v>0</v>
      </c>
      <c r="I1990">
        <v>0</v>
      </c>
      <c r="J1990">
        <v>0</v>
      </c>
      <c r="K1990">
        <v>0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48</v>
      </c>
      <c r="C1991" t="s">
        <v>16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49</v>
      </c>
      <c r="C1992" t="s">
        <v>18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50</v>
      </c>
      <c r="C1993" t="s">
        <v>20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>
        <v>0</v>
      </c>
      <c r="J1993">
        <v>0</v>
      </c>
      <c r="K1993">
        <v>0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51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52</v>
      </c>
      <c r="C1995" t="s">
        <v>18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>
        <v>0</v>
      </c>
      <c r="J1995">
        <v>0</v>
      </c>
      <c r="K1995">
        <v>0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53</v>
      </c>
      <c r="C1996" t="s">
        <v>18</v>
      </c>
      <c r="D1996">
        <v>42</v>
      </c>
      <c r="E1996">
        <v>40</v>
      </c>
      <c r="F1996">
        <v>15</v>
      </c>
      <c r="G1996">
        <v>0</v>
      </c>
      <c r="H1996">
        <v>0</v>
      </c>
      <c r="I1996">
        <v>0</v>
      </c>
      <c r="J1996">
        <v>0</v>
      </c>
      <c r="K1996">
        <v>0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54</v>
      </c>
      <c r="C1997" t="s">
        <v>23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>
        <v>0</v>
      </c>
      <c r="J1997">
        <v>0</v>
      </c>
      <c r="K1997">
        <v>0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55</v>
      </c>
      <c r="C1998" t="s">
        <v>43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56</v>
      </c>
      <c r="C1999" t="s">
        <v>16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57</v>
      </c>
      <c r="C2000" t="s">
        <v>43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58</v>
      </c>
      <c r="C2001" t="s">
        <v>43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59</v>
      </c>
      <c r="C2002" t="s">
        <v>23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60</v>
      </c>
      <c r="C2003" t="s">
        <v>20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>
        <v>0</v>
      </c>
      <c r="J2003">
        <v>0</v>
      </c>
      <c r="K2003">
        <v>0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61</v>
      </c>
      <c r="C2004" t="s">
        <v>18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>
        <v>0</v>
      </c>
      <c r="J2004">
        <v>0</v>
      </c>
      <c r="K2004">
        <v>0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62</v>
      </c>
      <c r="C2005" t="s">
        <v>20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>
        <v>0</v>
      </c>
      <c r="J2005">
        <v>0</v>
      </c>
      <c r="K2005">
        <v>0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63</v>
      </c>
      <c r="C2006" t="s">
        <v>18</v>
      </c>
      <c r="D2006">
        <v>27</v>
      </c>
      <c r="E2006">
        <v>27</v>
      </c>
      <c r="F2006">
        <v>15.3</v>
      </c>
      <c r="G2006">
        <v>0</v>
      </c>
      <c r="H2006">
        <v>0</v>
      </c>
      <c r="I2006">
        <v>0</v>
      </c>
      <c r="J2006">
        <v>0</v>
      </c>
      <c r="K2006">
        <v>0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15</v>
      </c>
      <c r="C2007" t="s">
        <v>16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>
        <v>0</v>
      </c>
      <c r="J2007">
        <v>0</v>
      </c>
      <c r="K2007">
        <v>0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17</v>
      </c>
      <c r="C2008" t="s">
        <v>18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19</v>
      </c>
      <c r="C2009" t="s">
        <v>20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>
        <v>0</v>
      </c>
      <c r="J2009">
        <v>0</v>
      </c>
      <c r="K2009">
        <v>0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21</v>
      </c>
      <c r="C2010" t="s">
        <v>18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>
        <v>0</v>
      </c>
      <c r="J2010">
        <v>0</v>
      </c>
      <c r="K2010">
        <v>0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22</v>
      </c>
      <c r="C2011" t="s">
        <v>23</v>
      </c>
      <c r="D2011">
        <v>9</v>
      </c>
      <c r="E2011">
        <v>8</v>
      </c>
      <c r="F2011">
        <v>25.31</v>
      </c>
      <c r="G2011">
        <v>0</v>
      </c>
      <c r="H2011">
        <v>0</v>
      </c>
      <c r="I2011">
        <v>0</v>
      </c>
      <c r="J2011">
        <v>0</v>
      </c>
      <c r="K2011">
        <v>0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24</v>
      </c>
      <c r="C2012" t="s">
        <v>16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>
        <v>0</v>
      </c>
      <c r="J2012">
        <v>0</v>
      </c>
      <c r="K2012">
        <v>0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25</v>
      </c>
      <c r="C2013" t="s">
        <v>16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>
        <v>0</v>
      </c>
      <c r="J2013">
        <v>0</v>
      </c>
      <c r="K2013">
        <v>0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26</v>
      </c>
      <c r="C2014" t="s">
        <v>23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27</v>
      </c>
      <c r="C2015" t="s">
        <v>20</v>
      </c>
      <c r="D2015">
        <v>38</v>
      </c>
      <c r="E2015">
        <v>4</v>
      </c>
      <c r="F2015">
        <v>7.03</v>
      </c>
      <c r="G2015">
        <v>0</v>
      </c>
      <c r="H2015">
        <v>0</v>
      </c>
      <c r="I2015">
        <v>0</v>
      </c>
      <c r="J2015">
        <v>0</v>
      </c>
      <c r="K2015">
        <v>0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28</v>
      </c>
      <c r="C2016" t="s">
        <v>18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>
        <v>0</v>
      </c>
      <c r="J2016">
        <v>0</v>
      </c>
      <c r="K2016">
        <v>0</v>
      </c>
      <c r="N2016">
        <v>93.48</v>
      </c>
      <c r="O2016">
        <v>31.334622823984521</v>
      </c>
    </row>
    <row r="2017" spans="1:15" hidden="1" x14ac:dyDescent="0.25">
      <c r="A2017" s="11">
        <v>46064</v>
      </c>
      <c r="B2017" t="s">
        <v>29</v>
      </c>
      <c r="C2017" t="s">
        <v>16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30</v>
      </c>
      <c r="C2018" t="s">
        <v>20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>
        <v>0</v>
      </c>
      <c r="J2018">
        <v>0</v>
      </c>
      <c r="K2018">
        <v>0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31</v>
      </c>
      <c r="C2019" t="s">
        <v>18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32</v>
      </c>
      <c r="C2020" t="s">
        <v>23</v>
      </c>
      <c r="D2020">
        <v>57</v>
      </c>
      <c r="E2020">
        <v>42</v>
      </c>
      <c r="F2020">
        <v>5.59</v>
      </c>
      <c r="G2020">
        <v>0</v>
      </c>
      <c r="H2020">
        <v>0</v>
      </c>
      <c r="I2020">
        <v>0</v>
      </c>
      <c r="J2020">
        <v>0</v>
      </c>
      <c r="K2020">
        <v>0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33</v>
      </c>
      <c r="C2021" t="s">
        <v>16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>
        <v>0</v>
      </c>
      <c r="J2021">
        <v>0</v>
      </c>
      <c r="K2021">
        <v>0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34</v>
      </c>
      <c r="C2022" t="s">
        <v>18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>
        <v>0</v>
      </c>
      <c r="J2022">
        <v>0</v>
      </c>
      <c r="K2022">
        <v>0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35</v>
      </c>
      <c r="C2023" t="s">
        <v>16</v>
      </c>
      <c r="D2023">
        <v>26</v>
      </c>
      <c r="E2023">
        <v>21</v>
      </c>
      <c r="F2023">
        <v>25.1</v>
      </c>
      <c r="G2023">
        <v>0</v>
      </c>
      <c r="H2023">
        <v>0</v>
      </c>
      <c r="I2023">
        <v>0</v>
      </c>
      <c r="J2023">
        <v>0</v>
      </c>
      <c r="K2023">
        <v>0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36</v>
      </c>
      <c r="C2024" t="s">
        <v>20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>E2024+G2024+H2024</f>
        <v>13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14</v>
      </c>
      <c r="K2024" s="3">
        <f>I2024-J2024</f>
        <v>-1</v>
      </c>
      <c r="L2024" s="3" t="str">
        <f>IF(K2024&lt;-5,"CRÍTICO",IF(K2024&lt;0,"ATENÇÃO",IF(K2024&lt;=5,"BOM","EXCELENTE")))</f>
        <v>ATENÇÃO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37</v>
      </c>
      <c r="C2025" t="s">
        <v>16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>
        <v>0</v>
      </c>
      <c r="J2025">
        <v>0</v>
      </c>
      <c r="K2025">
        <v>0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38</v>
      </c>
      <c r="C2026" t="s">
        <v>18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>
        <v>0</v>
      </c>
      <c r="J2026">
        <v>0</v>
      </c>
      <c r="K2026">
        <v>0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39</v>
      </c>
      <c r="C2027" t="s">
        <v>18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>
        <v>0</v>
      </c>
      <c r="J2027">
        <v>0</v>
      </c>
      <c r="K2027">
        <v>0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40</v>
      </c>
      <c r="C2028" t="s">
        <v>16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>
        <v>0</v>
      </c>
      <c r="J2028">
        <v>0</v>
      </c>
      <c r="K2028">
        <v>0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41</v>
      </c>
      <c r="C2029" t="s">
        <v>18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42</v>
      </c>
      <c r="C2030" t="s">
        <v>43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>
        <v>0</v>
      </c>
      <c r="J2030">
        <v>0</v>
      </c>
      <c r="K2030">
        <v>0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44</v>
      </c>
      <c r="C2031" t="s">
        <v>18</v>
      </c>
      <c r="D2031">
        <v>3</v>
      </c>
      <c r="E2031">
        <v>2</v>
      </c>
      <c r="F2031">
        <v>3.36</v>
      </c>
      <c r="G2031">
        <v>0</v>
      </c>
      <c r="H2031">
        <v>0</v>
      </c>
      <c r="I2031">
        <v>0</v>
      </c>
      <c r="J2031">
        <v>0</v>
      </c>
      <c r="K2031">
        <v>0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45</v>
      </c>
      <c r="C2032" t="s">
        <v>43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46</v>
      </c>
      <c r="C2033" t="s">
        <v>18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>
        <v>0</v>
      </c>
      <c r="J2033">
        <v>0</v>
      </c>
      <c r="K2033">
        <v>0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47</v>
      </c>
      <c r="C2034" t="s">
        <v>16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>
        <v>0</v>
      </c>
      <c r="J2034">
        <v>0</v>
      </c>
      <c r="K2034">
        <v>0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48</v>
      </c>
      <c r="C2035" t="s">
        <v>16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49</v>
      </c>
      <c r="C2036" t="s">
        <v>18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50</v>
      </c>
      <c r="C2037" t="s">
        <v>20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>
        <v>0</v>
      </c>
      <c r="J2037">
        <v>0</v>
      </c>
      <c r="K2037">
        <v>0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51</v>
      </c>
      <c r="C2038" t="s">
        <v>23</v>
      </c>
      <c r="D2038">
        <v>74</v>
      </c>
      <c r="E2038">
        <v>26</v>
      </c>
      <c r="F2038">
        <v>5.27</v>
      </c>
      <c r="G2038">
        <v>0</v>
      </c>
      <c r="H2038">
        <v>0</v>
      </c>
      <c r="I2038">
        <v>0</v>
      </c>
      <c r="J2038">
        <v>0</v>
      </c>
      <c r="K2038">
        <v>0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52</v>
      </c>
      <c r="C2039" t="s">
        <v>18</v>
      </c>
      <c r="D2039">
        <v>16</v>
      </c>
      <c r="E2039">
        <v>15</v>
      </c>
      <c r="F2039">
        <v>31.4</v>
      </c>
      <c r="G2039">
        <v>0</v>
      </c>
      <c r="H2039">
        <v>0</v>
      </c>
      <c r="I2039">
        <v>0</v>
      </c>
      <c r="J2039">
        <v>0</v>
      </c>
      <c r="K2039">
        <v>0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53</v>
      </c>
      <c r="C2040" t="s">
        <v>18</v>
      </c>
      <c r="D2040">
        <v>17</v>
      </c>
      <c r="E2040">
        <v>17</v>
      </c>
      <c r="F2040">
        <v>30.2</v>
      </c>
      <c r="G2040">
        <v>0</v>
      </c>
      <c r="H2040">
        <v>0</v>
      </c>
      <c r="I2040">
        <v>0</v>
      </c>
      <c r="J2040">
        <v>0</v>
      </c>
      <c r="K2040">
        <v>0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54</v>
      </c>
      <c r="C2041" t="s">
        <v>23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>
        <v>0</v>
      </c>
      <c r="J2041">
        <v>0</v>
      </c>
      <c r="K2041">
        <v>0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55</v>
      </c>
      <c r="C2042" t="s">
        <v>43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56</v>
      </c>
      <c r="C2043" t="s">
        <v>16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57</v>
      </c>
      <c r="C2044" t="s">
        <v>43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58</v>
      </c>
      <c r="C2045" t="s">
        <v>43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59</v>
      </c>
      <c r="C2046" t="s">
        <v>23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60</v>
      </c>
      <c r="C2047" t="s">
        <v>20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>
        <v>0</v>
      </c>
      <c r="J2047">
        <v>0</v>
      </c>
      <c r="K2047">
        <v>0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61</v>
      </c>
      <c r="C2048" t="s">
        <v>18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>
        <v>0</v>
      </c>
      <c r="J2048">
        <v>0</v>
      </c>
      <c r="K2048">
        <v>0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62</v>
      </c>
      <c r="C2049" t="s">
        <v>20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>
        <v>0</v>
      </c>
      <c r="J2049">
        <v>0</v>
      </c>
      <c r="K2049">
        <v>0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63</v>
      </c>
      <c r="C2050" t="s">
        <v>18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>
        <v>0</v>
      </c>
      <c r="J2050">
        <v>0</v>
      </c>
      <c r="K2050">
        <v>0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15</v>
      </c>
      <c r="C2051" t="s">
        <v>16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>
        <v>0</v>
      </c>
      <c r="J2051">
        <v>0</v>
      </c>
      <c r="K2051">
        <v>0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17</v>
      </c>
      <c r="C2052" t="s">
        <v>18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19</v>
      </c>
      <c r="C2053" t="s">
        <v>20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>
        <v>0</v>
      </c>
      <c r="J2053">
        <v>0</v>
      </c>
      <c r="K2053">
        <v>0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21</v>
      </c>
      <c r="C2054" t="s">
        <v>18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>
        <v>0</v>
      </c>
      <c r="J2054">
        <v>0</v>
      </c>
      <c r="K2054">
        <v>0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22</v>
      </c>
      <c r="C2055" t="s">
        <v>23</v>
      </c>
      <c r="D2055">
        <v>10</v>
      </c>
      <c r="E2055">
        <v>9</v>
      </c>
      <c r="F2055">
        <v>30.53</v>
      </c>
      <c r="G2055">
        <v>0</v>
      </c>
      <c r="H2055">
        <v>0</v>
      </c>
      <c r="I2055">
        <v>0</v>
      </c>
      <c r="J2055">
        <v>0</v>
      </c>
      <c r="K2055">
        <v>0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24</v>
      </c>
      <c r="C2056" t="s">
        <v>16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>
        <v>0</v>
      </c>
      <c r="J2056">
        <v>0</v>
      </c>
      <c r="K2056">
        <v>0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25</v>
      </c>
      <c r="C2057" t="s">
        <v>16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>
        <v>0</v>
      </c>
      <c r="J2057">
        <v>0</v>
      </c>
      <c r="K2057">
        <v>0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26</v>
      </c>
      <c r="C2058" t="s">
        <v>23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27</v>
      </c>
      <c r="C2059" t="s">
        <v>20</v>
      </c>
      <c r="D2059">
        <v>40</v>
      </c>
      <c r="E2059">
        <v>6</v>
      </c>
      <c r="F2059">
        <v>3.57</v>
      </c>
      <c r="G2059">
        <v>0</v>
      </c>
      <c r="H2059">
        <v>0</v>
      </c>
      <c r="I2059">
        <v>0</v>
      </c>
      <c r="J2059">
        <v>0</v>
      </c>
      <c r="K2059">
        <v>0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28</v>
      </c>
      <c r="C2060" t="s">
        <v>18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>
        <v>0</v>
      </c>
      <c r="J2060">
        <v>0</v>
      </c>
      <c r="K2060">
        <v>0</v>
      </c>
      <c r="N2060">
        <v>93.48</v>
      </c>
      <c r="O2060">
        <v>31.334622823984521</v>
      </c>
    </row>
    <row r="2061" spans="1:15" hidden="1" x14ac:dyDescent="0.25">
      <c r="A2061" s="11">
        <v>46065</v>
      </c>
      <c r="B2061" t="s">
        <v>29</v>
      </c>
      <c r="C2061" t="s">
        <v>16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30</v>
      </c>
      <c r="C2062" t="s">
        <v>20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>
        <v>0</v>
      </c>
      <c r="J2062">
        <v>0</v>
      </c>
      <c r="K2062">
        <v>0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31</v>
      </c>
      <c r="C2063" t="s">
        <v>18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32</v>
      </c>
      <c r="C2064" t="s">
        <v>23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>
        <v>0</v>
      </c>
      <c r="J2064">
        <v>0</v>
      </c>
      <c r="K2064">
        <v>0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33</v>
      </c>
      <c r="C2065" t="s">
        <v>16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>
        <v>0</v>
      </c>
      <c r="J2065">
        <v>0</v>
      </c>
      <c r="K2065">
        <v>0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34</v>
      </c>
      <c r="C2066" t="s">
        <v>18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>
        <v>0</v>
      </c>
      <c r="J2066">
        <v>0</v>
      </c>
      <c r="K2066">
        <v>0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35</v>
      </c>
      <c r="C2067" t="s">
        <v>16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>
        <v>0</v>
      </c>
      <c r="J2067">
        <v>0</v>
      </c>
      <c r="K2067">
        <v>0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36</v>
      </c>
      <c r="C2068" t="s">
        <v>20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>E2068+G2068+H2068</f>
        <v>25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13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37</v>
      </c>
      <c r="C2069" t="s">
        <v>16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>
        <v>0</v>
      </c>
      <c r="J2069">
        <v>0</v>
      </c>
      <c r="K2069">
        <v>0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38</v>
      </c>
      <c r="C2070" t="s">
        <v>18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>
        <v>0</v>
      </c>
      <c r="J2070">
        <v>0</v>
      </c>
      <c r="K2070">
        <v>0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39</v>
      </c>
      <c r="C2071" t="s">
        <v>18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>
        <v>0</v>
      </c>
      <c r="J2071">
        <v>0</v>
      </c>
      <c r="K2071">
        <v>0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40</v>
      </c>
      <c r="C2072" t="s">
        <v>16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>
        <v>0</v>
      </c>
      <c r="J2072">
        <v>0</v>
      </c>
      <c r="K2072">
        <v>0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41</v>
      </c>
      <c r="C2073" t="s">
        <v>18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42</v>
      </c>
      <c r="C2074" t="s">
        <v>43</v>
      </c>
      <c r="D2074">
        <v>8</v>
      </c>
      <c r="E2074">
        <v>7</v>
      </c>
      <c r="F2074">
        <v>32.06</v>
      </c>
      <c r="G2074">
        <v>0</v>
      </c>
      <c r="H2074">
        <v>0</v>
      </c>
      <c r="I2074">
        <v>0</v>
      </c>
      <c r="J2074">
        <v>0</v>
      </c>
      <c r="K2074">
        <v>0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44</v>
      </c>
      <c r="C2075" t="s">
        <v>18</v>
      </c>
      <c r="D2075">
        <v>11</v>
      </c>
      <c r="E2075">
        <v>9</v>
      </c>
      <c r="F2075">
        <v>15.24</v>
      </c>
      <c r="G2075">
        <v>0</v>
      </c>
      <c r="H2075">
        <v>0</v>
      </c>
      <c r="I2075">
        <v>0</v>
      </c>
      <c r="J2075">
        <v>0</v>
      </c>
      <c r="K2075">
        <v>0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45</v>
      </c>
      <c r="C2076" t="s">
        <v>43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46</v>
      </c>
      <c r="C2077" t="s">
        <v>18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>
        <v>0</v>
      </c>
      <c r="J2077">
        <v>0</v>
      </c>
      <c r="K2077">
        <v>0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47</v>
      </c>
      <c r="C2078" t="s">
        <v>16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>
        <v>0</v>
      </c>
      <c r="J2078">
        <v>0</v>
      </c>
      <c r="K2078">
        <v>0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48</v>
      </c>
      <c r="C2079" t="s">
        <v>16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49</v>
      </c>
      <c r="C2080" t="s">
        <v>18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50</v>
      </c>
      <c r="C2081" t="s">
        <v>20</v>
      </c>
      <c r="D2081">
        <v>29</v>
      </c>
      <c r="E2081">
        <v>28</v>
      </c>
      <c r="F2081">
        <v>23.4</v>
      </c>
      <c r="G2081">
        <v>0</v>
      </c>
      <c r="H2081">
        <v>0</v>
      </c>
      <c r="I2081">
        <v>0</v>
      </c>
      <c r="J2081">
        <v>0</v>
      </c>
      <c r="K2081">
        <v>0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51</v>
      </c>
      <c r="C2082" t="s">
        <v>23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>
        <v>0</v>
      </c>
      <c r="J2082">
        <v>0</v>
      </c>
      <c r="K2082">
        <v>0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52</v>
      </c>
      <c r="C2083" t="s">
        <v>18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>
        <v>0</v>
      </c>
      <c r="J2083">
        <v>0</v>
      </c>
      <c r="K2083">
        <v>0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53</v>
      </c>
      <c r="C2084" t="s">
        <v>18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>
        <v>0</v>
      </c>
      <c r="J2084">
        <v>0</v>
      </c>
      <c r="K2084">
        <v>0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54</v>
      </c>
      <c r="C2085" t="s">
        <v>23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>
        <v>0</v>
      </c>
      <c r="J2085">
        <v>0</v>
      </c>
      <c r="K2085">
        <v>0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55</v>
      </c>
      <c r="C2086" t="s">
        <v>43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56</v>
      </c>
      <c r="C2087" t="s">
        <v>16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57</v>
      </c>
      <c r="C2088" t="s">
        <v>43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58</v>
      </c>
      <c r="C2089" t="s">
        <v>43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59</v>
      </c>
      <c r="C2090" t="s">
        <v>23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60</v>
      </c>
      <c r="C2091" t="s">
        <v>20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>
        <v>0</v>
      </c>
      <c r="J2091">
        <v>0</v>
      </c>
      <c r="K2091">
        <v>0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61</v>
      </c>
      <c r="C2092" t="s">
        <v>18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>
        <v>0</v>
      </c>
      <c r="J2092">
        <v>0</v>
      </c>
      <c r="K2092">
        <v>0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62</v>
      </c>
      <c r="C2093" t="s">
        <v>20</v>
      </c>
      <c r="D2093">
        <v>11</v>
      </c>
      <c r="E2093">
        <v>11</v>
      </c>
      <c r="F2093">
        <v>62</v>
      </c>
      <c r="G2093">
        <v>0</v>
      </c>
      <c r="H2093">
        <v>0</v>
      </c>
      <c r="I2093">
        <v>0</v>
      </c>
      <c r="J2093">
        <v>0</v>
      </c>
      <c r="K2093">
        <v>0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63</v>
      </c>
      <c r="C2094" t="s">
        <v>18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>
        <v>0</v>
      </c>
      <c r="J2094">
        <v>0</v>
      </c>
      <c r="K2094">
        <v>0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15</v>
      </c>
      <c r="C2095" t="s">
        <v>16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>
        <v>0</v>
      </c>
      <c r="J2095">
        <v>0</v>
      </c>
      <c r="K2095">
        <v>0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17</v>
      </c>
      <c r="C2096" t="s">
        <v>18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19</v>
      </c>
      <c r="C2097" t="s">
        <v>20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>
        <v>0</v>
      </c>
      <c r="J2097">
        <v>0</v>
      </c>
      <c r="K2097">
        <v>0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21</v>
      </c>
      <c r="C2098" t="s">
        <v>18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>
        <v>0</v>
      </c>
      <c r="J2098">
        <v>0</v>
      </c>
      <c r="K2098">
        <v>0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22</v>
      </c>
      <c r="C2099" t="s">
        <v>23</v>
      </c>
      <c r="D2099">
        <v>9</v>
      </c>
      <c r="E2099">
        <v>8</v>
      </c>
      <c r="F2099">
        <v>45.3</v>
      </c>
      <c r="G2099">
        <v>0</v>
      </c>
      <c r="H2099">
        <v>0</v>
      </c>
      <c r="I2099">
        <v>0</v>
      </c>
      <c r="J2099">
        <v>0</v>
      </c>
      <c r="K2099">
        <v>0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24</v>
      </c>
      <c r="C2100" t="s">
        <v>16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>
        <v>0</v>
      </c>
      <c r="J2100">
        <v>0</v>
      </c>
      <c r="K2100">
        <v>0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25</v>
      </c>
      <c r="C2101" t="s">
        <v>16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>
        <v>0</v>
      </c>
      <c r="J2101">
        <v>0</v>
      </c>
      <c r="K2101">
        <v>0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26</v>
      </c>
      <c r="C2102" t="s">
        <v>23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27</v>
      </c>
      <c r="C2103" t="s">
        <v>20</v>
      </c>
      <c r="D2103">
        <v>26</v>
      </c>
      <c r="E2103">
        <v>8</v>
      </c>
      <c r="F2103">
        <v>8.58</v>
      </c>
      <c r="G2103">
        <v>0</v>
      </c>
      <c r="H2103">
        <v>0</v>
      </c>
      <c r="I2103">
        <v>0</v>
      </c>
      <c r="J2103">
        <v>0</v>
      </c>
      <c r="K2103">
        <v>0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28</v>
      </c>
      <c r="C2104" t="s">
        <v>18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>
        <v>0</v>
      </c>
      <c r="J2104">
        <v>0</v>
      </c>
      <c r="K2104">
        <v>0</v>
      </c>
      <c r="N2104">
        <v>93.48</v>
      </c>
      <c r="O2104">
        <v>31.334622823984521</v>
      </c>
    </row>
    <row r="2105" spans="1:15" hidden="1" x14ac:dyDescent="0.25">
      <c r="A2105" s="11">
        <v>46066</v>
      </c>
      <c r="B2105" t="s">
        <v>29</v>
      </c>
      <c r="C2105" t="s">
        <v>16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30</v>
      </c>
      <c r="C2106" t="s">
        <v>20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>
        <v>0</v>
      </c>
      <c r="J2106">
        <v>0</v>
      </c>
      <c r="K2106">
        <v>0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31</v>
      </c>
      <c r="C2107" t="s">
        <v>18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32</v>
      </c>
      <c r="C2108" t="s">
        <v>23</v>
      </c>
      <c r="D2108">
        <v>46</v>
      </c>
      <c r="E2108">
        <v>33</v>
      </c>
      <c r="F2108">
        <v>7.18</v>
      </c>
      <c r="G2108">
        <v>0</v>
      </c>
      <c r="H2108">
        <v>0</v>
      </c>
      <c r="I2108">
        <v>0</v>
      </c>
      <c r="J2108">
        <v>0</v>
      </c>
      <c r="K2108">
        <v>0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33</v>
      </c>
      <c r="C2109" t="s">
        <v>16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>
        <v>0</v>
      </c>
      <c r="J2109">
        <v>0</v>
      </c>
      <c r="K2109">
        <v>0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34</v>
      </c>
      <c r="C2110" t="s">
        <v>18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>
        <v>0</v>
      </c>
      <c r="J2110">
        <v>0</v>
      </c>
      <c r="K2110">
        <v>0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35</v>
      </c>
      <c r="C2111" t="s">
        <v>16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>
        <v>0</v>
      </c>
      <c r="J2111">
        <v>0</v>
      </c>
      <c r="K2111">
        <v>0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36</v>
      </c>
      <c r="C2112" t="s">
        <v>20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>E2112+G2112+H2112</f>
        <v>12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14</v>
      </c>
      <c r="K2112" s="3">
        <f>I2112-J2112</f>
        <v>-2</v>
      </c>
      <c r="L2112" s="3" t="str">
        <f>IF(K2112&lt;-5,"CRÍTICO",IF(K2112&lt;0,"ATENÇÃO",IF(K2112&lt;=5,"BOM","EXCELENTE")))</f>
        <v>ATENÇÃO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37</v>
      </c>
      <c r="C2113" t="s">
        <v>16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>
        <v>0</v>
      </c>
      <c r="J2113">
        <v>0</v>
      </c>
      <c r="K2113">
        <v>0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38</v>
      </c>
      <c r="C2114" t="s">
        <v>18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>
        <v>0</v>
      </c>
      <c r="J2114">
        <v>0</v>
      </c>
      <c r="K2114">
        <v>0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39</v>
      </c>
      <c r="C2115" t="s">
        <v>18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>
        <v>0</v>
      </c>
      <c r="J2115">
        <v>0</v>
      </c>
      <c r="K2115">
        <v>0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40</v>
      </c>
      <c r="C2116" t="s">
        <v>16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>
        <v>0</v>
      </c>
      <c r="J2116">
        <v>0</v>
      </c>
      <c r="K2116">
        <v>0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41</v>
      </c>
      <c r="C2117" t="s">
        <v>18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42</v>
      </c>
      <c r="C2118" t="s">
        <v>43</v>
      </c>
      <c r="D2118">
        <v>8</v>
      </c>
      <c r="E2118">
        <v>8</v>
      </c>
      <c r="F2118">
        <v>38.53</v>
      </c>
      <c r="G2118">
        <v>0</v>
      </c>
      <c r="H2118">
        <v>0</v>
      </c>
      <c r="I2118">
        <v>0</v>
      </c>
      <c r="J2118">
        <v>0</v>
      </c>
      <c r="K2118">
        <v>0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44</v>
      </c>
      <c r="C2119" t="s">
        <v>18</v>
      </c>
      <c r="D2119">
        <v>3</v>
      </c>
      <c r="E2119">
        <v>2</v>
      </c>
      <c r="F2119">
        <v>18.36</v>
      </c>
      <c r="G2119">
        <v>0</v>
      </c>
      <c r="H2119">
        <v>0</v>
      </c>
      <c r="I2119">
        <v>0</v>
      </c>
      <c r="J2119">
        <v>0</v>
      </c>
      <c r="K2119">
        <v>0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45</v>
      </c>
      <c r="C2120" t="s">
        <v>43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46</v>
      </c>
      <c r="C2121" t="s">
        <v>18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>
        <v>0</v>
      </c>
      <c r="J2121">
        <v>0</v>
      </c>
      <c r="K2121">
        <v>0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47</v>
      </c>
      <c r="C2122" t="s">
        <v>16</v>
      </c>
      <c r="D2122">
        <v>23</v>
      </c>
      <c r="E2122">
        <v>22</v>
      </c>
      <c r="F2122">
        <v>30.3</v>
      </c>
      <c r="G2122">
        <v>0</v>
      </c>
      <c r="H2122">
        <v>0</v>
      </c>
      <c r="I2122">
        <v>0</v>
      </c>
      <c r="J2122">
        <v>0</v>
      </c>
      <c r="K2122">
        <v>0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48</v>
      </c>
      <c r="C2123" t="s">
        <v>16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49</v>
      </c>
      <c r="C2124" t="s">
        <v>18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50</v>
      </c>
      <c r="C2125" t="s">
        <v>20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>
        <v>0</v>
      </c>
      <c r="J2125">
        <v>0</v>
      </c>
      <c r="K2125">
        <v>0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51</v>
      </c>
      <c r="C2126" t="s">
        <v>23</v>
      </c>
      <c r="D2126">
        <v>49</v>
      </c>
      <c r="E2126">
        <v>25</v>
      </c>
      <c r="F2126">
        <v>7.19</v>
      </c>
      <c r="G2126">
        <v>0</v>
      </c>
      <c r="H2126">
        <v>0</v>
      </c>
      <c r="I2126">
        <v>0</v>
      </c>
      <c r="J2126">
        <v>0</v>
      </c>
      <c r="K2126">
        <v>0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52</v>
      </c>
      <c r="C2127" t="s">
        <v>18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>
        <v>0</v>
      </c>
      <c r="J2127">
        <v>0</v>
      </c>
      <c r="K2127">
        <v>0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53</v>
      </c>
      <c r="C2128" t="s">
        <v>18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>
        <v>0</v>
      </c>
      <c r="J2128">
        <v>0</v>
      </c>
      <c r="K2128">
        <v>0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54</v>
      </c>
      <c r="C2129" t="s">
        <v>23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>
        <v>0</v>
      </c>
      <c r="J2129">
        <v>0</v>
      </c>
      <c r="K2129">
        <v>0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55</v>
      </c>
      <c r="C2130" t="s">
        <v>43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56</v>
      </c>
      <c r="C2131" t="s">
        <v>16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57</v>
      </c>
      <c r="C2132" t="s">
        <v>43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58</v>
      </c>
      <c r="C2133" t="s">
        <v>43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59</v>
      </c>
      <c r="C2134" t="s">
        <v>23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60</v>
      </c>
      <c r="C2135" t="s">
        <v>20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>
        <v>0</v>
      </c>
      <c r="J2135">
        <v>0</v>
      </c>
      <c r="K2135">
        <v>0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61</v>
      </c>
      <c r="C2136" t="s">
        <v>18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>
        <v>0</v>
      </c>
      <c r="J2136">
        <v>0</v>
      </c>
      <c r="K2136">
        <v>0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62</v>
      </c>
      <c r="C2137" t="s">
        <v>20</v>
      </c>
      <c r="D2137">
        <v>10</v>
      </c>
      <c r="E2137">
        <v>9</v>
      </c>
      <c r="F2137">
        <v>42.17</v>
      </c>
      <c r="G2137">
        <v>0</v>
      </c>
      <c r="H2137">
        <v>0</v>
      </c>
      <c r="I2137">
        <v>0</v>
      </c>
      <c r="J2137">
        <v>0</v>
      </c>
      <c r="K2137">
        <v>0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63</v>
      </c>
      <c r="C2138" t="s">
        <v>18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>
        <v>0</v>
      </c>
      <c r="J2138">
        <v>0</v>
      </c>
      <c r="K2138">
        <v>0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15</v>
      </c>
      <c r="C2139" t="s">
        <v>16</v>
      </c>
      <c r="D2139">
        <v>8</v>
      </c>
      <c r="E2139">
        <v>8</v>
      </c>
      <c r="F2139">
        <v>18.47</v>
      </c>
      <c r="G2139">
        <v>0</v>
      </c>
      <c r="H2139">
        <v>0</v>
      </c>
      <c r="I2139">
        <v>0</v>
      </c>
      <c r="J2139">
        <v>0</v>
      </c>
      <c r="K2139">
        <v>0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17</v>
      </c>
      <c r="C2140" t="s">
        <v>18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19</v>
      </c>
      <c r="C2141" t="s">
        <v>20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>
        <v>0</v>
      </c>
      <c r="J2141">
        <v>0</v>
      </c>
      <c r="K2141">
        <v>0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21</v>
      </c>
      <c r="C2142" t="s">
        <v>18</v>
      </c>
      <c r="D2142">
        <v>9</v>
      </c>
      <c r="E2142">
        <v>8</v>
      </c>
      <c r="F2142">
        <v>30.38</v>
      </c>
      <c r="G2142">
        <v>0</v>
      </c>
      <c r="H2142">
        <v>0</v>
      </c>
      <c r="I2142">
        <v>0</v>
      </c>
      <c r="J2142">
        <v>0</v>
      </c>
      <c r="K2142">
        <v>0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22</v>
      </c>
      <c r="C2143" t="s">
        <v>23</v>
      </c>
      <c r="D2143">
        <v>4</v>
      </c>
      <c r="E2143">
        <v>2</v>
      </c>
      <c r="F2143">
        <v>23.3</v>
      </c>
      <c r="G2143">
        <v>0</v>
      </c>
      <c r="H2143">
        <v>0</v>
      </c>
      <c r="I2143">
        <v>0</v>
      </c>
      <c r="J2143">
        <v>0</v>
      </c>
      <c r="K2143">
        <v>0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24</v>
      </c>
      <c r="C2144" t="s">
        <v>16</v>
      </c>
      <c r="D2144">
        <v>6</v>
      </c>
      <c r="E2144">
        <v>6</v>
      </c>
      <c r="F2144">
        <v>23.58</v>
      </c>
      <c r="G2144">
        <v>0</v>
      </c>
      <c r="H2144">
        <v>0</v>
      </c>
      <c r="I2144">
        <v>0</v>
      </c>
      <c r="J2144">
        <v>0</v>
      </c>
      <c r="K2144">
        <v>0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25</v>
      </c>
      <c r="C2145" t="s">
        <v>16</v>
      </c>
      <c r="D2145">
        <v>7</v>
      </c>
      <c r="E2145">
        <v>7</v>
      </c>
      <c r="F2145">
        <v>33.44</v>
      </c>
      <c r="G2145">
        <v>0</v>
      </c>
      <c r="H2145">
        <v>0</v>
      </c>
      <c r="I2145">
        <v>0</v>
      </c>
      <c r="J2145">
        <v>0</v>
      </c>
      <c r="K2145">
        <v>0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26</v>
      </c>
      <c r="C2146" t="s">
        <v>23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27</v>
      </c>
      <c r="C2147" t="s">
        <v>20</v>
      </c>
      <c r="D2147">
        <v>7</v>
      </c>
      <c r="E2147">
        <v>6</v>
      </c>
      <c r="F2147">
        <v>20.3</v>
      </c>
      <c r="G2147">
        <v>0</v>
      </c>
      <c r="H2147">
        <v>0</v>
      </c>
      <c r="I2147">
        <v>0</v>
      </c>
      <c r="J2147">
        <v>0</v>
      </c>
      <c r="K2147">
        <v>0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28</v>
      </c>
      <c r="C2148" t="s">
        <v>18</v>
      </c>
      <c r="D2148">
        <v>9</v>
      </c>
      <c r="E2148">
        <v>7</v>
      </c>
      <c r="F2148">
        <v>10.33</v>
      </c>
      <c r="G2148">
        <v>0</v>
      </c>
      <c r="H2148">
        <v>0</v>
      </c>
      <c r="I2148">
        <v>0</v>
      </c>
      <c r="J2148">
        <v>0</v>
      </c>
      <c r="K2148">
        <v>0</v>
      </c>
      <c r="N2148">
        <v>93.48</v>
      </c>
      <c r="O2148">
        <v>31.334622823984521</v>
      </c>
    </row>
    <row r="2149" spans="1:15" hidden="1" x14ac:dyDescent="0.25">
      <c r="A2149" s="11">
        <v>46069</v>
      </c>
      <c r="B2149" t="s">
        <v>29</v>
      </c>
      <c r="C2149" t="s">
        <v>16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30</v>
      </c>
      <c r="C2150" t="s">
        <v>20</v>
      </c>
      <c r="D2150">
        <v>8</v>
      </c>
      <c r="E2150">
        <v>8</v>
      </c>
      <c r="F2150">
        <v>15.25</v>
      </c>
      <c r="G2150">
        <v>0</v>
      </c>
      <c r="H2150">
        <v>0</v>
      </c>
      <c r="I2150">
        <v>0</v>
      </c>
      <c r="J2150">
        <v>0</v>
      </c>
      <c r="K2150">
        <v>0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31</v>
      </c>
      <c r="C2151" t="s">
        <v>18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32</v>
      </c>
      <c r="C2152" t="s">
        <v>23</v>
      </c>
      <c r="D2152">
        <v>5</v>
      </c>
      <c r="E2152">
        <v>4</v>
      </c>
      <c r="F2152">
        <v>11.48</v>
      </c>
      <c r="G2152">
        <v>0</v>
      </c>
      <c r="H2152">
        <v>0</v>
      </c>
      <c r="I2152">
        <v>0</v>
      </c>
      <c r="J2152">
        <v>0</v>
      </c>
      <c r="K2152">
        <v>0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33</v>
      </c>
      <c r="C2153" t="s">
        <v>16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>
        <v>0</v>
      </c>
      <c r="J2153">
        <v>0</v>
      </c>
      <c r="K2153">
        <v>0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34</v>
      </c>
      <c r="C2154" t="s">
        <v>18</v>
      </c>
      <c r="D2154">
        <v>8</v>
      </c>
      <c r="E2154">
        <v>8</v>
      </c>
      <c r="F2154">
        <v>25.23</v>
      </c>
      <c r="G2154">
        <v>0</v>
      </c>
      <c r="H2154">
        <v>0</v>
      </c>
      <c r="I2154">
        <v>0</v>
      </c>
      <c r="J2154">
        <v>0</v>
      </c>
      <c r="K2154">
        <v>0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35</v>
      </c>
      <c r="C2155" t="s">
        <v>16</v>
      </c>
      <c r="D2155">
        <v>7</v>
      </c>
      <c r="E2155">
        <v>7</v>
      </c>
      <c r="F2155">
        <v>30.48</v>
      </c>
      <c r="G2155">
        <v>0</v>
      </c>
      <c r="H2155">
        <v>0</v>
      </c>
      <c r="I2155">
        <v>0</v>
      </c>
      <c r="J2155">
        <v>0</v>
      </c>
      <c r="K2155">
        <v>0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36</v>
      </c>
      <c r="C2156" t="s">
        <v>20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>E2156+G2156+H2156</f>
        <v>17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13</v>
      </c>
      <c r="K2156" s="3">
        <f>I2156-J2156</f>
        <v>4</v>
      </c>
      <c r="L2156" s="3" t="str">
        <f>IF(K2156&lt;-5,"CRÍTICO",IF(K2156&lt;0,"ATENÇÃO",IF(K2156&lt;=5,"BOM","EXCELENTE")))</f>
        <v>BOM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37</v>
      </c>
      <c r="C2157" t="s">
        <v>16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>
        <v>0</v>
      </c>
      <c r="J2157">
        <v>0</v>
      </c>
      <c r="K2157">
        <v>0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38</v>
      </c>
      <c r="C2158" t="s">
        <v>18</v>
      </c>
      <c r="D2158">
        <v>8</v>
      </c>
      <c r="E2158">
        <v>6</v>
      </c>
      <c r="F2158">
        <v>22.15</v>
      </c>
      <c r="G2158">
        <v>0</v>
      </c>
      <c r="H2158">
        <v>0</v>
      </c>
      <c r="I2158">
        <v>0</v>
      </c>
      <c r="J2158">
        <v>0</v>
      </c>
      <c r="K2158">
        <v>0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39</v>
      </c>
      <c r="C2159" t="s">
        <v>18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>
        <v>0</v>
      </c>
      <c r="J2159">
        <v>0</v>
      </c>
      <c r="K2159">
        <v>0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40</v>
      </c>
      <c r="C2160" t="s">
        <v>16</v>
      </c>
      <c r="D2160">
        <v>8</v>
      </c>
      <c r="E2160">
        <v>7</v>
      </c>
      <c r="F2160">
        <v>23.33</v>
      </c>
      <c r="G2160">
        <v>0</v>
      </c>
      <c r="H2160">
        <v>0</v>
      </c>
      <c r="I2160">
        <v>0</v>
      </c>
      <c r="J2160">
        <v>0</v>
      </c>
      <c r="K2160">
        <v>0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41</v>
      </c>
      <c r="C2161" t="s">
        <v>18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42</v>
      </c>
      <c r="C2162" t="s">
        <v>43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44</v>
      </c>
      <c r="C2163" t="s">
        <v>18</v>
      </c>
      <c r="D2163">
        <v>7</v>
      </c>
      <c r="E2163">
        <v>6</v>
      </c>
      <c r="F2163">
        <v>22.25</v>
      </c>
      <c r="G2163">
        <v>0</v>
      </c>
      <c r="H2163">
        <v>0</v>
      </c>
      <c r="I2163">
        <v>0</v>
      </c>
      <c r="J2163">
        <v>0</v>
      </c>
      <c r="K2163">
        <v>0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45</v>
      </c>
      <c r="C2164" t="s">
        <v>43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46</v>
      </c>
      <c r="C2165" t="s">
        <v>18</v>
      </c>
      <c r="D2165">
        <v>8</v>
      </c>
      <c r="E2165">
        <v>8</v>
      </c>
      <c r="F2165">
        <v>34.19</v>
      </c>
      <c r="G2165">
        <v>0</v>
      </c>
      <c r="H2165">
        <v>0</v>
      </c>
      <c r="I2165">
        <v>0</v>
      </c>
      <c r="J2165">
        <v>0</v>
      </c>
      <c r="K2165">
        <v>0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47</v>
      </c>
      <c r="C2166" t="s">
        <v>16</v>
      </c>
      <c r="D2166">
        <v>6</v>
      </c>
      <c r="E2166">
        <v>6</v>
      </c>
      <c r="F2166">
        <v>48.53</v>
      </c>
      <c r="G2166">
        <v>0</v>
      </c>
      <c r="H2166">
        <v>0</v>
      </c>
      <c r="I2166">
        <v>0</v>
      </c>
      <c r="J2166">
        <v>0</v>
      </c>
      <c r="K2166">
        <v>0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48</v>
      </c>
      <c r="C2167" t="s">
        <v>16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49</v>
      </c>
      <c r="C2168" t="s">
        <v>18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50</v>
      </c>
      <c r="C2169" t="s">
        <v>20</v>
      </c>
      <c r="D2169">
        <v>7</v>
      </c>
      <c r="E2169">
        <v>7</v>
      </c>
      <c r="F2169">
        <v>22.37</v>
      </c>
      <c r="G2169">
        <v>0</v>
      </c>
      <c r="H2169">
        <v>0</v>
      </c>
      <c r="I2169">
        <v>0</v>
      </c>
      <c r="J2169">
        <v>0</v>
      </c>
      <c r="K2169">
        <v>0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51</v>
      </c>
      <c r="C2170" t="s">
        <v>23</v>
      </c>
      <c r="D2170">
        <v>4</v>
      </c>
      <c r="E2170">
        <v>4</v>
      </c>
      <c r="F2170">
        <v>26.59</v>
      </c>
      <c r="G2170">
        <v>0</v>
      </c>
      <c r="H2170">
        <v>0</v>
      </c>
      <c r="I2170">
        <v>0</v>
      </c>
      <c r="J2170">
        <v>0</v>
      </c>
      <c r="K2170">
        <v>0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52</v>
      </c>
      <c r="C2171" t="s">
        <v>18</v>
      </c>
      <c r="D2171">
        <v>2</v>
      </c>
      <c r="E2171">
        <v>2</v>
      </c>
      <c r="F2171">
        <v>38.51</v>
      </c>
      <c r="G2171">
        <v>0</v>
      </c>
      <c r="H2171">
        <v>0</v>
      </c>
      <c r="I2171">
        <v>0</v>
      </c>
      <c r="J2171">
        <v>0</v>
      </c>
      <c r="K2171">
        <v>0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53</v>
      </c>
      <c r="C2172" t="s">
        <v>18</v>
      </c>
      <c r="D2172">
        <v>7</v>
      </c>
      <c r="E2172">
        <v>5</v>
      </c>
      <c r="F2172">
        <v>7.07</v>
      </c>
      <c r="G2172">
        <v>0</v>
      </c>
      <c r="H2172">
        <v>0</v>
      </c>
      <c r="I2172">
        <v>0</v>
      </c>
      <c r="J2172">
        <v>0</v>
      </c>
      <c r="K2172">
        <v>0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54</v>
      </c>
      <c r="C2173" t="s">
        <v>23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55</v>
      </c>
      <c r="C2174" t="s">
        <v>43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56</v>
      </c>
      <c r="C2175" t="s">
        <v>16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57</v>
      </c>
      <c r="C2176" t="s">
        <v>43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58</v>
      </c>
      <c r="C2177" t="s">
        <v>43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59</v>
      </c>
      <c r="C2178" t="s">
        <v>23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60</v>
      </c>
      <c r="C2179" t="s">
        <v>20</v>
      </c>
      <c r="D2179">
        <v>7</v>
      </c>
      <c r="E2179">
        <v>7</v>
      </c>
      <c r="F2179">
        <v>25.45</v>
      </c>
      <c r="G2179">
        <v>0</v>
      </c>
      <c r="H2179">
        <v>0</v>
      </c>
      <c r="I2179">
        <v>0</v>
      </c>
      <c r="J2179">
        <v>0</v>
      </c>
      <c r="K2179">
        <v>0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61</v>
      </c>
      <c r="C2180" t="s">
        <v>18</v>
      </c>
      <c r="D2180">
        <v>6</v>
      </c>
      <c r="E2180">
        <v>6</v>
      </c>
      <c r="F2180">
        <v>25.48</v>
      </c>
      <c r="G2180">
        <v>0</v>
      </c>
      <c r="H2180">
        <v>0</v>
      </c>
      <c r="I2180">
        <v>0</v>
      </c>
      <c r="J2180">
        <v>0</v>
      </c>
      <c r="K2180">
        <v>0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62</v>
      </c>
      <c r="C2181" t="s">
        <v>20</v>
      </c>
      <c r="D2181">
        <v>7</v>
      </c>
      <c r="E2181">
        <v>7</v>
      </c>
      <c r="F2181">
        <v>27.17</v>
      </c>
      <c r="G2181">
        <v>0</v>
      </c>
      <c r="H2181">
        <v>0</v>
      </c>
      <c r="I2181">
        <v>0</v>
      </c>
      <c r="J2181">
        <v>0</v>
      </c>
      <c r="K2181">
        <v>0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63</v>
      </c>
      <c r="C2182" t="s">
        <v>18</v>
      </c>
      <c r="D2182">
        <v>10</v>
      </c>
      <c r="E2182">
        <v>9</v>
      </c>
      <c r="F2182">
        <v>27.23</v>
      </c>
      <c r="G2182">
        <v>0</v>
      </c>
      <c r="H2182">
        <v>0</v>
      </c>
      <c r="I2182">
        <v>0</v>
      </c>
      <c r="J2182">
        <v>0</v>
      </c>
      <c r="K2182">
        <v>0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15</v>
      </c>
      <c r="C2183" t="s">
        <v>16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17</v>
      </c>
      <c r="C2184" t="s">
        <v>18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19</v>
      </c>
      <c r="C2185" t="s">
        <v>20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21</v>
      </c>
      <c r="C2186" t="s">
        <v>18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22</v>
      </c>
      <c r="C2187" t="s">
        <v>23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24</v>
      </c>
      <c r="C2188" t="s">
        <v>16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25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26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27</v>
      </c>
      <c r="C2191" t="s">
        <v>20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28</v>
      </c>
      <c r="C2192" t="s">
        <v>18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N2192">
        <v>93.48</v>
      </c>
      <c r="O2192">
        <v>31.334622823984521</v>
      </c>
    </row>
    <row r="2193" spans="1:15" hidden="1" x14ac:dyDescent="0.25">
      <c r="A2193" s="11">
        <v>46070</v>
      </c>
      <c r="B2193" t="s">
        <v>29</v>
      </c>
      <c r="C2193" t="s">
        <v>16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30</v>
      </c>
      <c r="C2194" t="s">
        <v>20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31</v>
      </c>
      <c r="C2195" t="s">
        <v>18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32</v>
      </c>
      <c r="C2196" t="s">
        <v>23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33</v>
      </c>
      <c r="C2197" t="s">
        <v>16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34</v>
      </c>
      <c r="C2198" t="s">
        <v>18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35</v>
      </c>
      <c r="C2199" t="s">
        <v>16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36</v>
      </c>
      <c r="C2200" t="s">
        <v>20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13</v>
      </c>
      <c r="K2200" s="3">
        <f>I2200-J2200</f>
        <v>2</v>
      </c>
      <c r="L2200" s="3" t="str">
        <f>IF(K2200&lt;-5,"CRÍTICO",IF(K2200&lt;0,"ATENÇÃO",IF(K2200&lt;=5,"BOM","EXCELENTE")))</f>
        <v>BOM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37</v>
      </c>
      <c r="C2201" t="s">
        <v>16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38</v>
      </c>
      <c r="C2202" t="s">
        <v>18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39</v>
      </c>
      <c r="C2203" t="s">
        <v>18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40</v>
      </c>
      <c r="C2204" t="s">
        <v>16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41</v>
      </c>
      <c r="C2205" t="s">
        <v>18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42</v>
      </c>
      <c r="C2206" t="s">
        <v>43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44</v>
      </c>
      <c r="C2207" t="s">
        <v>18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45</v>
      </c>
      <c r="C2208" t="s">
        <v>43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46</v>
      </c>
      <c r="C2209" t="s">
        <v>18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47</v>
      </c>
      <c r="C2210" t="s">
        <v>16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48</v>
      </c>
      <c r="C2211" t="s">
        <v>16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49</v>
      </c>
      <c r="C2212" t="s">
        <v>18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50</v>
      </c>
      <c r="C2213" t="s">
        <v>20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51</v>
      </c>
      <c r="C2214" t="s">
        <v>23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52</v>
      </c>
      <c r="C2215" t="s">
        <v>18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53</v>
      </c>
      <c r="C2216" t="s">
        <v>18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54</v>
      </c>
      <c r="C2217" t="s">
        <v>23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55</v>
      </c>
      <c r="C2218" t="s">
        <v>43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56</v>
      </c>
      <c r="C2219" t="s">
        <v>16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57</v>
      </c>
      <c r="C2220" t="s">
        <v>43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58</v>
      </c>
      <c r="C2221" t="s">
        <v>43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59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60</v>
      </c>
      <c r="C2223" t="s">
        <v>20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61</v>
      </c>
      <c r="C2224" t="s">
        <v>18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62</v>
      </c>
      <c r="C2225" t="s">
        <v>20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63</v>
      </c>
      <c r="C2226" t="s">
        <v>18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15</v>
      </c>
      <c r="C2227" t="s">
        <v>16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>
        <v>0</v>
      </c>
      <c r="J2227">
        <v>0</v>
      </c>
      <c r="K2227">
        <v>0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17</v>
      </c>
      <c r="C2228" t="s">
        <v>18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19</v>
      </c>
      <c r="C2229" t="s">
        <v>20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>
        <v>0</v>
      </c>
      <c r="J2229">
        <v>0</v>
      </c>
      <c r="K2229">
        <v>0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21</v>
      </c>
      <c r="C2230" t="s">
        <v>18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>
        <v>0</v>
      </c>
      <c r="J2230">
        <v>0</v>
      </c>
      <c r="K2230">
        <v>0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22</v>
      </c>
      <c r="C2231" t="s">
        <v>23</v>
      </c>
      <c r="D2231">
        <v>6</v>
      </c>
      <c r="E2231">
        <v>6</v>
      </c>
      <c r="F2231">
        <v>55.14</v>
      </c>
      <c r="G2231">
        <v>0</v>
      </c>
      <c r="H2231">
        <v>0</v>
      </c>
      <c r="I2231">
        <v>0</v>
      </c>
      <c r="J2231">
        <v>0</v>
      </c>
      <c r="K2231">
        <v>0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24</v>
      </c>
      <c r="C2232" t="s">
        <v>16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>
        <v>0</v>
      </c>
      <c r="J2232">
        <v>0</v>
      </c>
      <c r="K2232">
        <v>0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25</v>
      </c>
      <c r="C2233" t="s">
        <v>16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>
        <v>0</v>
      </c>
      <c r="J2233">
        <v>0</v>
      </c>
      <c r="K2233">
        <v>0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26</v>
      </c>
      <c r="C2234" t="s">
        <v>23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27</v>
      </c>
      <c r="C2235" t="s">
        <v>20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>
        <v>0</v>
      </c>
      <c r="J2235">
        <v>0</v>
      </c>
      <c r="K2235">
        <v>0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28</v>
      </c>
      <c r="C2236" t="s">
        <v>18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>
        <v>0</v>
      </c>
      <c r="J2236">
        <v>0</v>
      </c>
      <c r="K2236">
        <v>0</v>
      </c>
      <c r="N2236">
        <v>93.48</v>
      </c>
      <c r="O2236">
        <v>31.334622823984521</v>
      </c>
    </row>
    <row r="2237" spans="1:15" hidden="1" x14ac:dyDescent="0.25">
      <c r="A2237" s="11">
        <v>46071</v>
      </c>
      <c r="B2237" t="s">
        <v>29</v>
      </c>
      <c r="C2237" t="s">
        <v>16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30</v>
      </c>
      <c r="C2238" t="s">
        <v>20</v>
      </c>
      <c r="D2238">
        <v>33</v>
      </c>
      <c r="E2238">
        <v>31</v>
      </c>
      <c r="F2238">
        <v>20</v>
      </c>
      <c r="G2238">
        <v>0</v>
      </c>
      <c r="H2238">
        <v>0</v>
      </c>
      <c r="I2238">
        <v>0</v>
      </c>
      <c r="J2238">
        <v>0</v>
      </c>
      <c r="K2238">
        <v>0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31</v>
      </c>
      <c r="C2239" t="s">
        <v>18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32</v>
      </c>
      <c r="C2240" t="s">
        <v>23</v>
      </c>
      <c r="D2240">
        <v>5</v>
      </c>
      <c r="E2240">
        <v>3</v>
      </c>
      <c r="F2240">
        <v>30.22</v>
      </c>
      <c r="G2240">
        <v>0</v>
      </c>
      <c r="H2240">
        <v>0</v>
      </c>
      <c r="I2240">
        <v>0</v>
      </c>
      <c r="J2240">
        <v>0</v>
      </c>
      <c r="K2240">
        <v>0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33</v>
      </c>
      <c r="C2241" t="s">
        <v>16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>
        <v>0</v>
      </c>
      <c r="J2241">
        <v>0</v>
      </c>
      <c r="K2241">
        <v>0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34</v>
      </c>
      <c r="C2242" t="s">
        <v>18</v>
      </c>
      <c r="D2242">
        <v>15</v>
      </c>
      <c r="E2242">
        <v>15</v>
      </c>
      <c r="F2242">
        <v>30</v>
      </c>
      <c r="G2242">
        <v>0</v>
      </c>
      <c r="H2242">
        <v>0</v>
      </c>
      <c r="I2242">
        <v>0</v>
      </c>
      <c r="J2242">
        <v>0</v>
      </c>
      <c r="K2242">
        <v>0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35</v>
      </c>
      <c r="C2243" t="s">
        <v>16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>
        <v>0</v>
      </c>
      <c r="J2243">
        <v>0</v>
      </c>
      <c r="K2243">
        <v>0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36</v>
      </c>
      <c r="C2244" t="s">
        <v>20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>E2244+G2244+H2244</f>
        <v>29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17</v>
      </c>
      <c r="K2244" s="3">
        <f>I2244-J2244</f>
        <v>12</v>
      </c>
      <c r="L2244" s="3" t="str">
        <f>IF(K2244&lt;-5,"CRÍTICO",IF(K2244&lt;0,"ATENÇÃO",IF(K2244&lt;=5,"BOM","EXCELENTE")))</f>
        <v>EXCELENTE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37</v>
      </c>
      <c r="C2245" t="s">
        <v>16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>
        <v>0</v>
      </c>
      <c r="J2245">
        <v>0</v>
      </c>
      <c r="K2245">
        <v>0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38</v>
      </c>
      <c r="C2246" t="s">
        <v>18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>
        <v>0</v>
      </c>
      <c r="J2246">
        <v>0</v>
      </c>
      <c r="K2246">
        <v>0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39</v>
      </c>
      <c r="C2247" t="s">
        <v>18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>
        <v>0</v>
      </c>
      <c r="J2247">
        <v>0</v>
      </c>
      <c r="K2247">
        <v>0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40</v>
      </c>
      <c r="C2248" t="s">
        <v>16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>
        <v>0</v>
      </c>
      <c r="J2248">
        <v>0</v>
      </c>
      <c r="K2248">
        <v>0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41</v>
      </c>
      <c r="C2249" t="s">
        <v>18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42</v>
      </c>
      <c r="C2250" t="s">
        <v>43</v>
      </c>
      <c r="D2250">
        <v>10</v>
      </c>
      <c r="E2250">
        <v>9</v>
      </c>
      <c r="F2250">
        <v>42.14</v>
      </c>
      <c r="G2250">
        <v>0</v>
      </c>
      <c r="H2250">
        <v>0</v>
      </c>
      <c r="I2250">
        <v>0</v>
      </c>
      <c r="J2250">
        <v>0</v>
      </c>
      <c r="K2250">
        <v>0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44</v>
      </c>
      <c r="C2251" t="s">
        <v>18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>
        <v>0</v>
      </c>
      <c r="J2251">
        <v>0</v>
      </c>
      <c r="K2251">
        <v>0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45</v>
      </c>
      <c r="C2252" t="s">
        <v>43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46</v>
      </c>
      <c r="C2253" t="s">
        <v>18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>
        <v>0</v>
      </c>
      <c r="J2253">
        <v>0</v>
      </c>
      <c r="K2253">
        <v>0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47</v>
      </c>
      <c r="C2254" t="s">
        <v>16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>
        <v>0</v>
      </c>
      <c r="J2254">
        <v>0</v>
      </c>
      <c r="K2254">
        <v>0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48</v>
      </c>
      <c r="C2255" t="s">
        <v>16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49</v>
      </c>
      <c r="C2256" t="s">
        <v>18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50</v>
      </c>
      <c r="C2257" t="s">
        <v>20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>
        <v>0</v>
      </c>
      <c r="J2257">
        <v>0</v>
      </c>
      <c r="K2257">
        <v>0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51</v>
      </c>
      <c r="C2258" t="s">
        <v>23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>
        <v>0</v>
      </c>
      <c r="J2258">
        <v>0</v>
      </c>
      <c r="K2258">
        <v>0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52</v>
      </c>
      <c r="C2259" t="s">
        <v>18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>
        <v>0</v>
      </c>
      <c r="J2259">
        <v>0</v>
      </c>
      <c r="K2259">
        <v>0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53</v>
      </c>
      <c r="C2260" t="s">
        <v>18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>
        <v>0</v>
      </c>
      <c r="J2260">
        <v>0</v>
      </c>
      <c r="K2260">
        <v>0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54</v>
      </c>
      <c r="C2261" t="s">
        <v>23</v>
      </c>
      <c r="D2261">
        <v>6</v>
      </c>
      <c r="E2261">
        <v>6</v>
      </c>
      <c r="F2261">
        <v>166.4</v>
      </c>
      <c r="G2261">
        <v>0</v>
      </c>
      <c r="H2261">
        <v>0</v>
      </c>
      <c r="I2261">
        <v>0</v>
      </c>
      <c r="J2261">
        <v>0</v>
      </c>
      <c r="K2261">
        <v>0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55</v>
      </c>
      <c r="C2262" t="s">
        <v>43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56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57</v>
      </c>
      <c r="C2264" t="s">
        <v>43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58</v>
      </c>
      <c r="C2265" t="s">
        <v>43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59</v>
      </c>
      <c r="C2266" t="s">
        <v>23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60</v>
      </c>
      <c r="C2267" t="s">
        <v>20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>
        <v>0</v>
      </c>
      <c r="J2267">
        <v>0</v>
      </c>
      <c r="K2267">
        <v>0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61</v>
      </c>
      <c r="C2268" t="s">
        <v>18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>
        <v>0</v>
      </c>
      <c r="J2268">
        <v>0</v>
      </c>
      <c r="K2268">
        <v>0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62</v>
      </c>
      <c r="C2269" t="s">
        <v>20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>
        <v>0</v>
      </c>
      <c r="J2269">
        <v>0</v>
      </c>
      <c r="K2269">
        <v>0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63</v>
      </c>
      <c r="C2270" t="s">
        <v>18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>
        <v>0</v>
      </c>
      <c r="J2270">
        <v>0</v>
      </c>
      <c r="K2270">
        <v>0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15</v>
      </c>
      <c r="C2271" t="s">
        <v>16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>
        <v>0</v>
      </c>
      <c r="J2271">
        <v>0</v>
      </c>
      <c r="K2271">
        <v>0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17</v>
      </c>
      <c r="C2272" t="s">
        <v>18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19</v>
      </c>
      <c r="C2273" t="s">
        <v>20</v>
      </c>
      <c r="D2273">
        <v>14</v>
      </c>
      <c r="E2273">
        <v>14</v>
      </c>
      <c r="F2273">
        <v>52.3</v>
      </c>
      <c r="G2273">
        <v>0</v>
      </c>
      <c r="H2273">
        <v>0</v>
      </c>
      <c r="I2273">
        <v>0</v>
      </c>
      <c r="J2273">
        <v>0</v>
      </c>
      <c r="K2273">
        <v>0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21</v>
      </c>
      <c r="C2274" t="s">
        <v>18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>
        <v>0</v>
      </c>
      <c r="J2274">
        <v>0</v>
      </c>
      <c r="K2274">
        <v>0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22</v>
      </c>
      <c r="C2275" t="s">
        <v>23</v>
      </c>
      <c r="D2275">
        <v>5</v>
      </c>
      <c r="E2275">
        <v>4</v>
      </c>
      <c r="F2275">
        <v>83.41</v>
      </c>
      <c r="G2275">
        <v>0</v>
      </c>
      <c r="H2275">
        <v>0</v>
      </c>
      <c r="I2275">
        <v>0</v>
      </c>
      <c r="J2275">
        <v>0</v>
      </c>
      <c r="K2275">
        <v>0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24</v>
      </c>
      <c r="C2276" t="s">
        <v>16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>
        <v>0</v>
      </c>
      <c r="J2276">
        <v>0</v>
      </c>
      <c r="K2276">
        <v>0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25</v>
      </c>
      <c r="C2277" t="s">
        <v>16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>
        <v>0</v>
      </c>
      <c r="J2277">
        <v>0</v>
      </c>
      <c r="K2277">
        <v>0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26</v>
      </c>
      <c r="C2278" t="s">
        <v>23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27</v>
      </c>
      <c r="C2279" t="s">
        <v>20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>
        <v>0</v>
      </c>
      <c r="J2279">
        <v>0</v>
      </c>
      <c r="K2279">
        <v>0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28</v>
      </c>
      <c r="C2280" t="s">
        <v>18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>
        <v>0</v>
      </c>
      <c r="J2280">
        <v>0</v>
      </c>
      <c r="K2280">
        <v>0</v>
      </c>
      <c r="N2280">
        <v>93.48</v>
      </c>
      <c r="O2280">
        <v>31.334622823984521</v>
      </c>
    </row>
    <row r="2281" spans="1:15" hidden="1" x14ac:dyDescent="0.25">
      <c r="A2281" s="11">
        <v>46072</v>
      </c>
      <c r="B2281" t="s">
        <v>29</v>
      </c>
      <c r="C2281" t="s">
        <v>16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30</v>
      </c>
      <c r="C2282" t="s">
        <v>20</v>
      </c>
      <c r="D2282">
        <v>13</v>
      </c>
      <c r="E2282">
        <v>13</v>
      </c>
      <c r="F2282">
        <v>47.1</v>
      </c>
      <c r="G2282">
        <v>0</v>
      </c>
      <c r="H2282">
        <v>0</v>
      </c>
      <c r="I2282">
        <v>0</v>
      </c>
      <c r="J2282">
        <v>0</v>
      </c>
      <c r="K2282">
        <v>0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31</v>
      </c>
      <c r="C2283" t="s">
        <v>18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32</v>
      </c>
      <c r="C2284" t="s">
        <v>23</v>
      </c>
      <c r="D2284">
        <v>10</v>
      </c>
      <c r="E2284">
        <v>9</v>
      </c>
      <c r="F2284">
        <v>33.51</v>
      </c>
      <c r="G2284">
        <v>0</v>
      </c>
      <c r="H2284">
        <v>0</v>
      </c>
      <c r="I2284">
        <v>0</v>
      </c>
      <c r="J2284">
        <v>0</v>
      </c>
      <c r="K2284">
        <v>0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33</v>
      </c>
      <c r="C2285" t="s">
        <v>16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>
        <v>0</v>
      </c>
      <c r="J2285">
        <v>0</v>
      </c>
      <c r="K2285">
        <v>0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34</v>
      </c>
      <c r="C2286" t="s">
        <v>18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>
        <v>0</v>
      </c>
      <c r="J2286">
        <v>0</v>
      </c>
      <c r="K2286">
        <v>0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35</v>
      </c>
      <c r="C2287" t="s">
        <v>16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>
        <v>0</v>
      </c>
      <c r="J2287">
        <v>0</v>
      </c>
      <c r="K2287">
        <v>0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36</v>
      </c>
      <c r="C2288" t="s">
        <v>20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>E2288+G2288+H2288</f>
        <v>21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15</v>
      </c>
      <c r="K2288" s="3">
        <f>I2288-J2288</f>
        <v>6</v>
      </c>
      <c r="L2288" s="3" t="str">
        <f>IF(K2288&lt;-5,"CRÍTICO",IF(K2288&lt;0,"ATENÇÃO",IF(K2288&lt;=5,"BOM","EXCELENTE")))</f>
        <v>EXCELENTE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37</v>
      </c>
      <c r="C2289" t="s">
        <v>16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>
        <v>0</v>
      </c>
      <c r="J2289">
        <v>0</v>
      </c>
      <c r="K2289">
        <v>0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38</v>
      </c>
      <c r="C2290" t="s">
        <v>18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>
        <v>0</v>
      </c>
      <c r="J2290">
        <v>0</v>
      </c>
      <c r="K2290">
        <v>0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39</v>
      </c>
      <c r="C2291" t="s">
        <v>18</v>
      </c>
      <c r="D2291">
        <v>2</v>
      </c>
      <c r="E2291">
        <v>2</v>
      </c>
      <c r="F2291">
        <v>25.15</v>
      </c>
      <c r="G2291">
        <v>0</v>
      </c>
      <c r="H2291">
        <v>0</v>
      </c>
      <c r="I2291">
        <v>0</v>
      </c>
      <c r="J2291">
        <v>0</v>
      </c>
      <c r="K2291">
        <v>0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40</v>
      </c>
      <c r="C2292" t="s">
        <v>16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>
        <v>0</v>
      </c>
      <c r="J2292">
        <v>0</v>
      </c>
      <c r="K2292">
        <v>0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41</v>
      </c>
      <c r="C2293" t="s">
        <v>18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42</v>
      </c>
      <c r="C2294" t="s">
        <v>43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>
        <v>0</v>
      </c>
      <c r="J2294">
        <v>0</v>
      </c>
      <c r="K2294">
        <v>0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44</v>
      </c>
      <c r="C2295" t="s">
        <v>18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>
        <v>0</v>
      </c>
      <c r="J2295">
        <v>0</v>
      </c>
      <c r="K2295">
        <v>0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45</v>
      </c>
      <c r="C2296" t="s">
        <v>43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46</v>
      </c>
      <c r="C2297" t="s">
        <v>18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>
        <v>0</v>
      </c>
      <c r="J2297">
        <v>0</v>
      </c>
      <c r="K2297">
        <v>0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47</v>
      </c>
      <c r="C2298" t="s">
        <v>16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>
        <v>0</v>
      </c>
      <c r="J2298">
        <v>0</v>
      </c>
      <c r="K2298">
        <v>0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48</v>
      </c>
      <c r="C2299" t="s">
        <v>16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49</v>
      </c>
      <c r="C2300" t="s">
        <v>18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50</v>
      </c>
      <c r="C2301" t="s">
        <v>20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>
        <v>0</v>
      </c>
      <c r="J2301">
        <v>0</v>
      </c>
      <c r="K2301">
        <v>0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51</v>
      </c>
      <c r="C2302" t="s">
        <v>23</v>
      </c>
      <c r="D2302">
        <v>8</v>
      </c>
      <c r="E2302">
        <v>8</v>
      </c>
      <c r="F2302">
        <v>42.28</v>
      </c>
      <c r="G2302">
        <v>0</v>
      </c>
      <c r="H2302">
        <v>0</v>
      </c>
      <c r="I2302">
        <v>0</v>
      </c>
      <c r="J2302">
        <v>0</v>
      </c>
      <c r="K2302">
        <v>0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52</v>
      </c>
      <c r="C2303" t="s">
        <v>18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>
        <v>0</v>
      </c>
      <c r="J2303">
        <v>0</v>
      </c>
      <c r="K2303">
        <v>0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53</v>
      </c>
      <c r="C2304" t="s">
        <v>18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>
        <v>0</v>
      </c>
      <c r="J2304">
        <v>0</v>
      </c>
      <c r="K2304">
        <v>0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54</v>
      </c>
      <c r="C2305" t="s">
        <v>23</v>
      </c>
      <c r="D2305">
        <v>8</v>
      </c>
      <c r="E2305">
        <v>7</v>
      </c>
      <c r="F2305">
        <v>63.32</v>
      </c>
      <c r="G2305">
        <v>0</v>
      </c>
      <c r="H2305">
        <v>0</v>
      </c>
      <c r="I2305">
        <v>0</v>
      </c>
      <c r="J2305">
        <v>0</v>
      </c>
      <c r="K2305">
        <v>0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55</v>
      </c>
      <c r="C2306" t="s">
        <v>43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56</v>
      </c>
      <c r="C2307" t="s">
        <v>16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57</v>
      </c>
      <c r="C2308" t="s">
        <v>43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58</v>
      </c>
      <c r="C2309" t="s">
        <v>43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59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60</v>
      </c>
      <c r="C2311" t="s">
        <v>20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>
        <v>0</v>
      </c>
      <c r="J2311">
        <v>0</v>
      </c>
      <c r="K2311">
        <v>0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61</v>
      </c>
      <c r="C2312" t="s">
        <v>18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>
        <v>0</v>
      </c>
      <c r="J2312">
        <v>0</v>
      </c>
      <c r="K2312">
        <v>0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62</v>
      </c>
      <c r="C2313" t="s">
        <v>20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>
        <v>0</v>
      </c>
      <c r="J2313">
        <v>0</v>
      </c>
      <c r="K2313">
        <v>0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63</v>
      </c>
      <c r="C2314" t="s">
        <v>18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>
        <v>0</v>
      </c>
      <c r="J2314">
        <v>0</v>
      </c>
      <c r="K2314">
        <v>0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15</v>
      </c>
      <c r="C2315" t="s">
        <v>16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>
        <v>0</v>
      </c>
      <c r="J2315">
        <v>0</v>
      </c>
      <c r="K2315">
        <v>0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17</v>
      </c>
      <c r="C2316" t="s">
        <v>18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19</v>
      </c>
      <c r="C2317" t="s">
        <v>20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>
        <v>0</v>
      </c>
      <c r="J2317">
        <v>0</v>
      </c>
      <c r="K2317">
        <v>0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21</v>
      </c>
      <c r="C2318" t="s">
        <v>18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>
        <v>0</v>
      </c>
      <c r="J2318">
        <v>0</v>
      </c>
      <c r="K2318">
        <v>0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22</v>
      </c>
      <c r="C2319" t="s">
        <v>23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>
        <v>0</v>
      </c>
      <c r="J2319">
        <v>0</v>
      </c>
      <c r="K2319">
        <v>0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24</v>
      </c>
      <c r="C2320" t="s">
        <v>16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>
        <v>0</v>
      </c>
      <c r="J2320">
        <v>0</v>
      </c>
      <c r="K2320">
        <v>0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25</v>
      </c>
      <c r="C2321" t="s">
        <v>16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>
        <v>0</v>
      </c>
      <c r="J2321">
        <v>0</v>
      </c>
      <c r="K2321">
        <v>0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26</v>
      </c>
      <c r="C2322" t="s">
        <v>23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27</v>
      </c>
      <c r="C2323" t="s">
        <v>20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>
        <v>0</v>
      </c>
      <c r="J2323">
        <v>0</v>
      </c>
      <c r="K2323">
        <v>0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28</v>
      </c>
      <c r="C2324" t="s">
        <v>18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>
        <v>0</v>
      </c>
      <c r="J2324">
        <v>0</v>
      </c>
      <c r="K2324">
        <v>0</v>
      </c>
      <c r="N2324">
        <v>93.48</v>
      </c>
      <c r="O2324">
        <v>31.334622823984521</v>
      </c>
    </row>
    <row r="2325" spans="1:15" hidden="1" x14ac:dyDescent="0.25">
      <c r="A2325" s="11">
        <v>46073</v>
      </c>
      <c r="B2325" t="s">
        <v>29</v>
      </c>
      <c r="C2325" t="s">
        <v>16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30</v>
      </c>
      <c r="C2326" t="s">
        <v>20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>
        <v>0</v>
      </c>
      <c r="J2326">
        <v>0</v>
      </c>
      <c r="K2326">
        <v>0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31</v>
      </c>
      <c r="C2327" t="s">
        <v>18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32</v>
      </c>
      <c r="C2328" t="s">
        <v>23</v>
      </c>
      <c r="D2328">
        <v>7</v>
      </c>
      <c r="E2328">
        <v>7</v>
      </c>
      <c r="F2328">
        <v>47.2</v>
      </c>
      <c r="G2328">
        <v>0</v>
      </c>
      <c r="H2328">
        <v>0</v>
      </c>
      <c r="I2328">
        <v>0</v>
      </c>
      <c r="J2328">
        <v>0</v>
      </c>
      <c r="K2328">
        <v>0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33</v>
      </c>
      <c r="C2329" t="s">
        <v>16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>
        <v>0</v>
      </c>
      <c r="J2329">
        <v>0</v>
      </c>
      <c r="K2329">
        <v>0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34</v>
      </c>
      <c r="C2330" t="s">
        <v>18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>
        <v>0</v>
      </c>
      <c r="J2330">
        <v>0</v>
      </c>
      <c r="K2330">
        <v>0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35</v>
      </c>
      <c r="C2331" t="s">
        <v>16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>
        <v>0</v>
      </c>
      <c r="J2331">
        <v>0</v>
      </c>
      <c r="K2331">
        <v>0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36</v>
      </c>
      <c r="C2332" t="s">
        <v>20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>E2332+G2332+H2332</f>
        <v>27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17</v>
      </c>
      <c r="K2332" s="3">
        <f>I2332-J2332</f>
        <v>10</v>
      </c>
      <c r="L2332" s="3" t="str">
        <f>IF(K2332&lt;-5,"CRÍTICO",IF(K2332&lt;0,"ATENÇÃO",IF(K2332&lt;=5,"BOM","EXCELENTE")))</f>
        <v>EXCELENTE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37</v>
      </c>
      <c r="C2333" t="s">
        <v>16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>
        <v>0</v>
      </c>
      <c r="J2333">
        <v>0</v>
      </c>
      <c r="K2333">
        <v>0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38</v>
      </c>
      <c r="C2334" t="s">
        <v>18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>
        <v>0</v>
      </c>
      <c r="J2334">
        <v>0</v>
      </c>
      <c r="K2334">
        <v>0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39</v>
      </c>
      <c r="C2335" t="s">
        <v>18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>
        <v>0</v>
      </c>
      <c r="J2335">
        <v>0</v>
      </c>
      <c r="K2335">
        <v>0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40</v>
      </c>
      <c r="C2336" t="s">
        <v>16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>
        <v>0</v>
      </c>
      <c r="J2336">
        <v>0</v>
      </c>
      <c r="K2336">
        <v>0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41</v>
      </c>
      <c r="C2337" t="s">
        <v>18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42</v>
      </c>
      <c r="C2338" t="s">
        <v>43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>
        <v>0</v>
      </c>
      <c r="J2338">
        <v>0</v>
      </c>
      <c r="K2338">
        <v>0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44</v>
      </c>
      <c r="C2339" t="s">
        <v>18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>
        <v>0</v>
      </c>
      <c r="J2339">
        <v>0</v>
      </c>
      <c r="K2339">
        <v>0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45</v>
      </c>
      <c r="C2340" t="s">
        <v>43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46</v>
      </c>
      <c r="C2341" t="s">
        <v>18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>
        <v>0</v>
      </c>
      <c r="J2341">
        <v>0</v>
      </c>
      <c r="K2341">
        <v>0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47</v>
      </c>
      <c r="C2342" t="s">
        <v>16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>
        <v>0</v>
      </c>
      <c r="J2342">
        <v>0</v>
      </c>
      <c r="K2342">
        <v>0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48</v>
      </c>
      <c r="C2343" t="s">
        <v>16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49</v>
      </c>
      <c r="C2344" t="s">
        <v>18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50</v>
      </c>
      <c r="C2345" t="s">
        <v>20</v>
      </c>
      <c r="D2345">
        <v>10</v>
      </c>
      <c r="E2345">
        <v>9</v>
      </c>
      <c r="F2345">
        <v>38.54</v>
      </c>
      <c r="G2345">
        <v>0</v>
      </c>
      <c r="H2345">
        <v>0</v>
      </c>
      <c r="I2345">
        <v>0</v>
      </c>
      <c r="J2345">
        <v>0</v>
      </c>
      <c r="K2345">
        <v>0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51</v>
      </c>
      <c r="C2346" t="s">
        <v>23</v>
      </c>
      <c r="D2346">
        <v>4</v>
      </c>
      <c r="E2346">
        <v>4</v>
      </c>
      <c r="F2346">
        <v>99.13</v>
      </c>
      <c r="G2346">
        <v>0</v>
      </c>
      <c r="H2346">
        <v>0</v>
      </c>
      <c r="I2346">
        <v>0</v>
      </c>
      <c r="J2346">
        <v>0</v>
      </c>
      <c r="K2346">
        <v>0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52</v>
      </c>
      <c r="C2347" t="s">
        <v>18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>
        <v>0</v>
      </c>
      <c r="J2347">
        <v>0</v>
      </c>
      <c r="K2347">
        <v>0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53</v>
      </c>
      <c r="C2348" t="s">
        <v>18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>
        <v>0</v>
      </c>
      <c r="J2348">
        <v>0</v>
      </c>
      <c r="K2348">
        <v>0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54</v>
      </c>
      <c r="C2349" t="s">
        <v>23</v>
      </c>
      <c r="D2349">
        <v>8</v>
      </c>
      <c r="E2349">
        <v>7</v>
      </c>
      <c r="F2349">
        <v>40.15</v>
      </c>
      <c r="G2349">
        <v>0</v>
      </c>
      <c r="H2349">
        <v>0</v>
      </c>
      <c r="I2349">
        <v>0</v>
      </c>
      <c r="J2349">
        <v>0</v>
      </c>
      <c r="K2349">
        <v>0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55</v>
      </c>
      <c r="C2350" t="s">
        <v>43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56</v>
      </c>
      <c r="C2351" t="s">
        <v>16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57</v>
      </c>
      <c r="C2352" t="s">
        <v>43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58</v>
      </c>
      <c r="C2353" t="s">
        <v>43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59</v>
      </c>
      <c r="C2354" t="s">
        <v>23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60</v>
      </c>
      <c r="C2355" t="s">
        <v>20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>
        <v>0</v>
      </c>
      <c r="J2355">
        <v>0</v>
      </c>
      <c r="K2355">
        <v>0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61</v>
      </c>
      <c r="C2356" t="s">
        <v>18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>
        <v>0</v>
      </c>
      <c r="J2356">
        <v>0</v>
      </c>
      <c r="K2356">
        <v>0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62</v>
      </c>
      <c r="C2357" t="s">
        <v>20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>
        <v>0</v>
      </c>
      <c r="J2357">
        <v>0</v>
      </c>
      <c r="K2357">
        <v>0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63</v>
      </c>
      <c r="C2358" t="s">
        <v>18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>
        <v>0</v>
      </c>
      <c r="J2358">
        <v>0</v>
      </c>
      <c r="K2358">
        <v>0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15</v>
      </c>
      <c r="C2359" t="s">
        <v>16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>
        <v>0</v>
      </c>
      <c r="J2359">
        <v>0</v>
      </c>
      <c r="K2359">
        <v>0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17</v>
      </c>
      <c r="C2360" t="s">
        <v>18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19</v>
      </c>
      <c r="C2361" t="s">
        <v>20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>
        <v>0</v>
      </c>
      <c r="J2361">
        <v>0</v>
      </c>
      <c r="K2361">
        <v>0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21</v>
      </c>
      <c r="C2362" t="s">
        <v>18</v>
      </c>
      <c r="D2362">
        <v>25</v>
      </c>
      <c r="E2362">
        <v>22</v>
      </c>
      <c r="F2362">
        <v>32</v>
      </c>
      <c r="G2362">
        <v>0</v>
      </c>
      <c r="H2362">
        <v>0</v>
      </c>
      <c r="I2362">
        <v>0</v>
      </c>
      <c r="J2362">
        <v>0</v>
      </c>
      <c r="K2362">
        <v>0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22</v>
      </c>
      <c r="C2363" t="s">
        <v>23</v>
      </c>
      <c r="D2363">
        <v>10</v>
      </c>
      <c r="E2363">
        <v>8</v>
      </c>
      <c r="F2363">
        <v>32.14</v>
      </c>
      <c r="G2363">
        <v>0</v>
      </c>
      <c r="H2363">
        <v>0</v>
      </c>
      <c r="I2363">
        <v>0</v>
      </c>
      <c r="J2363">
        <v>0</v>
      </c>
      <c r="K2363">
        <v>0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24</v>
      </c>
      <c r="C2364" t="s">
        <v>16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>
        <v>0</v>
      </c>
      <c r="J2364">
        <v>0</v>
      </c>
      <c r="K2364">
        <v>0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25</v>
      </c>
      <c r="C2365" t="s">
        <v>16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>
        <v>0</v>
      </c>
      <c r="J2365">
        <v>0</v>
      </c>
      <c r="K2365">
        <v>0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26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27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28</v>
      </c>
      <c r="C2368" t="s">
        <v>18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N2368">
        <v>93.48</v>
      </c>
      <c r="O2368">
        <v>31.334622823984521</v>
      </c>
    </row>
    <row r="2369" spans="1:15" hidden="1" x14ac:dyDescent="0.25">
      <c r="A2369" s="11">
        <v>46076</v>
      </c>
      <c r="B2369" t="s">
        <v>29</v>
      </c>
      <c r="C2369" t="s">
        <v>16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30</v>
      </c>
      <c r="C2370" t="s">
        <v>20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>
        <v>0</v>
      </c>
      <c r="J2370">
        <v>0</v>
      </c>
      <c r="K2370">
        <v>0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31</v>
      </c>
      <c r="C2371" t="s">
        <v>18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32</v>
      </c>
      <c r="C2372" t="s">
        <v>23</v>
      </c>
      <c r="D2372">
        <v>9</v>
      </c>
      <c r="E2372">
        <v>8</v>
      </c>
      <c r="F2372">
        <v>36.51</v>
      </c>
      <c r="G2372">
        <v>0</v>
      </c>
      <c r="H2372">
        <v>0</v>
      </c>
      <c r="I2372">
        <v>0</v>
      </c>
      <c r="J2372">
        <v>0</v>
      </c>
      <c r="K2372">
        <v>0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33</v>
      </c>
      <c r="C2373" t="s">
        <v>16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>
        <v>0</v>
      </c>
      <c r="J2373">
        <v>0</v>
      </c>
      <c r="K2373">
        <v>0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34</v>
      </c>
      <c r="C2374" t="s">
        <v>18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>
        <v>0</v>
      </c>
      <c r="J2374">
        <v>0</v>
      </c>
      <c r="K2374">
        <v>0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35</v>
      </c>
      <c r="C2375" t="s">
        <v>16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>
        <v>0</v>
      </c>
      <c r="J2375">
        <v>0</v>
      </c>
      <c r="K2375">
        <v>0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36</v>
      </c>
      <c r="C2376" t="s">
        <v>20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>E2376+G2376+H2376</f>
        <v>28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16</v>
      </c>
      <c r="K2376" s="3">
        <f>I2376-J2376</f>
        <v>12</v>
      </c>
      <c r="L2376" s="3" t="str">
        <f>IF(K2376&lt;-5,"CRÍTICO",IF(K2376&lt;0,"ATENÇÃO",IF(K2376&lt;=5,"BOM","EXCELENTE")))</f>
        <v>EXCELENTE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37</v>
      </c>
      <c r="C2377" t="s">
        <v>16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>
        <v>0</v>
      </c>
      <c r="J2377">
        <v>0</v>
      </c>
      <c r="K2377">
        <v>0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38</v>
      </c>
      <c r="C2378" t="s">
        <v>18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>
        <v>0</v>
      </c>
      <c r="J2378">
        <v>0</v>
      </c>
      <c r="K2378">
        <v>0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39</v>
      </c>
      <c r="C2379" t="s">
        <v>18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>
        <v>0</v>
      </c>
      <c r="J2379">
        <v>0</v>
      </c>
      <c r="K2379">
        <v>0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40</v>
      </c>
      <c r="C2380" t="s">
        <v>16</v>
      </c>
      <c r="D2380">
        <v>37</v>
      </c>
      <c r="E2380">
        <v>28</v>
      </c>
      <c r="F2380">
        <v>15.5</v>
      </c>
      <c r="G2380">
        <v>0</v>
      </c>
      <c r="H2380">
        <v>0</v>
      </c>
      <c r="I2380">
        <v>0</v>
      </c>
      <c r="J2380">
        <v>0</v>
      </c>
      <c r="K2380">
        <v>0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41</v>
      </c>
      <c r="C2381" t="s">
        <v>18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42</v>
      </c>
      <c r="C2382" t="s">
        <v>43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>
        <v>0</v>
      </c>
      <c r="J2382">
        <v>0</v>
      </c>
      <c r="K2382">
        <v>0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44</v>
      </c>
      <c r="C2383" t="s">
        <v>18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>
        <v>0</v>
      </c>
      <c r="J2383">
        <v>0</v>
      </c>
      <c r="K2383">
        <v>0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45</v>
      </c>
      <c r="C2384" t="s">
        <v>43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46</v>
      </c>
      <c r="C2385" t="s">
        <v>18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>
        <v>0</v>
      </c>
      <c r="J2385">
        <v>0</v>
      </c>
      <c r="K2385">
        <v>0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47</v>
      </c>
      <c r="C2386" t="s">
        <v>16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>
        <v>0</v>
      </c>
      <c r="J2386">
        <v>0</v>
      </c>
      <c r="K2386">
        <v>0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48</v>
      </c>
      <c r="C2387" t="s">
        <v>16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49</v>
      </c>
      <c r="C2388" t="s">
        <v>18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50</v>
      </c>
      <c r="C2389" t="s">
        <v>20</v>
      </c>
      <c r="D2389">
        <v>9</v>
      </c>
      <c r="E2389">
        <v>9</v>
      </c>
      <c r="F2389">
        <v>47.28</v>
      </c>
      <c r="G2389">
        <v>0</v>
      </c>
      <c r="H2389">
        <v>0</v>
      </c>
      <c r="I2389">
        <v>0</v>
      </c>
      <c r="J2389">
        <v>0</v>
      </c>
      <c r="K2389">
        <v>0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51</v>
      </c>
      <c r="C2390" t="s">
        <v>23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>
        <v>0</v>
      </c>
      <c r="J2390">
        <v>0</v>
      </c>
      <c r="K2390">
        <v>0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52</v>
      </c>
      <c r="C2391" t="s">
        <v>18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>
        <v>0</v>
      </c>
      <c r="J2391">
        <v>0</v>
      </c>
      <c r="K2391">
        <v>0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53</v>
      </c>
      <c r="C2392" t="s">
        <v>18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>
        <v>0</v>
      </c>
      <c r="J2392">
        <v>0</v>
      </c>
      <c r="K2392">
        <v>0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54</v>
      </c>
      <c r="C2393" t="s">
        <v>23</v>
      </c>
      <c r="D2393">
        <v>9</v>
      </c>
      <c r="E2393">
        <v>9</v>
      </c>
      <c r="F2393">
        <v>55.2</v>
      </c>
      <c r="G2393">
        <v>0</v>
      </c>
      <c r="H2393">
        <v>0</v>
      </c>
      <c r="I2393">
        <v>0</v>
      </c>
      <c r="J2393">
        <v>0</v>
      </c>
      <c r="K2393">
        <v>0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55</v>
      </c>
      <c r="C2394" t="s">
        <v>43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56</v>
      </c>
      <c r="C2395" t="s">
        <v>16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57</v>
      </c>
      <c r="C2396" t="s">
        <v>43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58</v>
      </c>
      <c r="C2397" t="s">
        <v>43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59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60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61</v>
      </c>
      <c r="C2400" t="s">
        <v>18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>
        <v>0</v>
      </c>
      <c r="J2400">
        <v>0</v>
      </c>
      <c r="K2400">
        <v>0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62</v>
      </c>
      <c r="C2401" t="s">
        <v>20</v>
      </c>
      <c r="D2401">
        <v>12</v>
      </c>
      <c r="E2401">
        <v>11</v>
      </c>
      <c r="F2401">
        <v>36.4</v>
      </c>
      <c r="G2401">
        <v>0</v>
      </c>
      <c r="H2401">
        <v>0</v>
      </c>
      <c r="I2401">
        <v>0</v>
      </c>
      <c r="J2401">
        <v>0</v>
      </c>
      <c r="K2401">
        <v>0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63</v>
      </c>
      <c r="C2402" t="s">
        <v>18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>
        <v>0</v>
      </c>
      <c r="J2402">
        <v>0</v>
      </c>
      <c r="K2402">
        <v>0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15</v>
      </c>
      <c r="C2403" t="s">
        <v>16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>
        <v>0</v>
      </c>
      <c r="J2403">
        <v>0</v>
      </c>
      <c r="K2403">
        <v>0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17</v>
      </c>
      <c r="C2404" t="s">
        <v>18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19</v>
      </c>
      <c r="C2405" t="s">
        <v>20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>
        <v>0</v>
      </c>
      <c r="J2405">
        <v>0</v>
      </c>
      <c r="K2405">
        <v>0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21</v>
      </c>
      <c r="C2406" t="s">
        <v>18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>
        <v>0</v>
      </c>
      <c r="J2406">
        <v>0</v>
      </c>
      <c r="K2406">
        <v>0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22</v>
      </c>
      <c r="C2407" t="s">
        <v>23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>
        <v>0</v>
      </c>
      <c r="J2407">
        <v>0</v>
      </c>
      <c r="K2407">
        <v>0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24</v>
      </c>
      <c r="C2408" t="s">
        <v>16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>
        <v>0</v>
      </c>
      <c r="J2408">
        <v>0</v>
      </c>
      <c r="K2408">
        <v>0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25</v>
      </c>
      <c r="C2409" t="s">
        <v>16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>
        <v>0</v>
      </c>
      <c r="J2409">
        <v>0</v>
      </c>
      <c r="K2409">
        <v>0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26</v>
      </c>
      <c r="C2410" t="s">
        <v>23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27</v>
      </c>
      <c r="C2411" t="s">
        <v>20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>
        <v>0</v>
      </c>
      <c r="J2411">
        <v>0</v>
      </c>
      <c r="K2411">
        <v>0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28</v>
      </c>
      <c r="C2412" t="s">
        <v>18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N2412">
        <v>93.48</v>
      </c>
      <c r="O2412">
        <v>31.334622823984521</v>
      </c>
    </row>
    <row r="2413" spans="1:15" hidden="1" x14ac:dyDescent="0.25">
      <c r="A2413" s="11">
        <v>46077</v>
      </c>
      <c r="B2413" t="s">
        <v>29</v>
      </c>
      <c r="C2413" t="s">
        <v>16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30</v>
      </c>
      <c r="C2414" t="s">
        <v>20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>
        <v>0</v>
      </c>
      <c r="J2414">
        <v>0</v>
      </c>
      <c r="K2414">
        <v>0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31</v>
      </c>
      <c r="C2415" t="s">
        <v>18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32</v>
      </c>
      <c r="C2416" t="s">
        <v>23</v>
      </c>
      <c r="D2416">
        <v>8</v>
      </c>
      <c r="E2416">
        <v>8</v>
      </c>
      <c r="F2416">
        <v>55.14</v>
      </c>
      <c r="G2416">
        <v>0</v>
      </c>
      <c r="H2416">
        <v>0</v>
      </c>
      <c r="I2416">
        <v>0</v>
      </c>
      <c r="J2416">
        <v>0</v>
      </c>
      <c r="K2416">
        <v>0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33</v>
      </c>
      <c r="C2417" t="s">
        <v>16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>
        <v>0</v>
      </c>
      <c r="J2417">
        <v>0</v>
      </c>
      <c r="K2417">
        <v>0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34</v>
      </c>
      <c r="C2418" t="s">
        <v>18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>
        <v>0</v>
      </c>
      <c r="J2418">
        <v>0</v>
      </c>
      <c r="K2418">
        <v>0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35</v>
      </c>
      <c r="C2419" t="s">
        <v>16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>
        <v>0</v>
      </c>
      <c r="J2419">
        <v>0</v>
      </c>
      <c r="K2419">
        <v>0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36</v>
      </c>
      <c r="C2420" t="s">
        <v>20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>E2420+G2420+H2420</f>
        <v>25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9</v>
      </c>
      <c r="L2420" s="3" t="str">
        <f>IF(K2420&lt;-5,"CRÍTICO",IF(K2420&lt;0,"ATENÇÃO",IF(K2420&lt;=5,"BOM","EXCELENTE")))</f>
        <v>EXCELENTE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37</v>
      </c>
      <c r="C2421" t="s">
        <v>16</v>
      </c>
      <c r="D2421">
        <v>20</v>
      </c>
      <c r="E2421">
        <v>19</v>
      </c>
      <c r="F2421">
        <v>24</v>
      </c>
      <c r="G2421">
        <v>0</v>
      </c>
      <c r="H2421">
        <v>0</v>
      </c>
      <c r="I2421">
        <v>0</v>
      </c>
      <c r="J2421">
        <v>0</v>
      </c>
      <c r="K2421">
        <v>0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38</v>
      </c>
      <c r="C2422" t="s">
        <v>18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>
        <v>0</v>
      </c>
      <c r="J2422">
        <v>0</v>
      </c>
      <c r="K2422">
        <v>0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39</v>
      </c>
      <c r="C2423" t="s">
        <v>18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>
        <v>0</v>
      </c>
      <c r="J2423">
        <v>0</v>
      </c>
      <c r="K2423">
        <v>0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40</v>
      </c>
      <c r="C2424" t="s">
        <v>16</v>
      </c>
      <c r="D2424">
        <v>17</v>
      </c>
      <c r="E2424">
        <v>8</v>
      </c>
      <c r="F2424">
        <v>11.53</v>
      </c>
      <c r="G2424">
        <v>0</v>
      </c>
      <c r="H2424">
        <v>0</v>
      </c>
      <c r="I2424">
        <v>0</v>
      </c>
      <c r="J2424">
        <v>0</v>
      </c>
      <c r="K2424">
        <v>0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41</v>
      </c>
      <c r="C2425" t="s">
        <v>18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42</v>
      </c>
      <c r="C2426" t="s">
        <v>43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>
        <v>0</v>
      </c>
      <c r="J2426">
        <v>0</v>
      </c>
      <c r="K2426">
        <v>0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44</v>
      </c>
      <c r="C2427" t="s">
        <v>18</v>
      </c>
      <c r="D2427">
        <v>3</v>
      </c>
      <c r="E2427">
        <v>3</v>
      </c>
      <c r="F2427">
        <v>47.26</v>
      </c>
      <c r="G2427">
        <v>0</v>
      </c>
      <c r="H2427">
        <v>0</v>
      </c>
      <c r="I2427">
        <v>0</v>
      </c>
      <c r="J2427">
        <v>0</v>
      </c>
      <c r="K2427">
        <v>0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45</v>
      </c>
      <c r="C2428" t="s">
        <v>43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46</v>
      </c>
      <c r="C2429" t="s">
        <v>18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>
        <v>0</v>
      </c>
      <c r="J2429">
        <v>0</v>
      </c>
      <c r="K2429">
        <v>0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47</v>
      </c>
      <c r="C2430" t="s">
        <v>16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>
        <v>0</v>
      </c>
      <c r="J2430">
        <v>0</v>
      </c>
      <c r="K2430">
        <v>0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48</v>
      </c>
      <c r="C2431" t="s">
        <v>16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49</v>
      </c>
      <c r="C2432" t="s">
        <v>18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>
        <v>0</v>
      </c>
      <c r="J2432">
        <v>0</v>
      </c>
      <c r="K2432">
        <v>0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50</v>
      </c>
      <c r="C2433" t="s">
        <v>20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>
        <v>0</v>
      </c>
      <c r="J2433">
        <v>0</v>
      </c>
      <c r="K2433">
        <v>0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51</v>
      </c>
      <c r="C2434" t="s">
        <v>23</v>
      </c>
      <c r="D2434">
        <v>5</v>
      </c>
      <c r="E2434">
        <v>5</v>
      </c>
      <c r="F2434">
        <v>72.11</v>
      </c>
      <c r="G2434">
        <v>0</v>
      </c>
      <c r="H2434">
        <v>0</v>
      </c>
      <c r="I2434">
        <v>0</v>
      </c>
      <c r="J2434">
        <v>0</v>
      </c>
      <c r="K2434">
        <v>0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52</v>
      </c>
      <c r="C2435" t="s">
        <v>18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>
        <v>0</v>
      </c>
      <c r="J2435">
        <v>0</v>
      </c>
      <c r="K2435">
        <v>0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53</v>
      </c>
      <c r="C2436" t="s">
        <v>18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>
        <v>0</v>
      </c>
      <c r="J2436">
        <v>0</v>
      </c>
      <c r="K2436">
        <v>0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54</v>
      </c>
      <c r="C2437" t="s">
        <v>23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>
        <v>0</v>
      </c>
      <c r="J2437">
        <v>0</v>
      </c>
      <c r="K2437">
        <v>0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55</v>
      </c>
      <c r="C2438" t="s">
        <v>43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56</v>
      </c>
      <c r="C2439" t="s">
        <v>16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57</v>
      </c>
      <c r="C2440" t="s">
        <v>43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58</v>
      </c>
      <c r="C2441" t="s">
        <v>43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59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60</v>
      </c>
      <c r="C2443" t="s">
        <v>20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61</v>
      </c>
      <c r="C2444" t="s">
        <v>18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>
        <v>0</v>
      </c>
      <c r="J2444">
        <v>0</v>
      </c>
      <c r="K2444">
        <v>0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62</v>
      </c>
      <c r="C2445" t="s">
        <v>20</v>
      </c>
      <c r="D2445">
        <v>8</v>
      </c>
      <c r="E2445">
        <v>7</v>
      </c>
      <c r="F2445">
        <v>47.18</v>
      </c>
      <c r="G2445">
        <v>0</v>
      </c>
      <c r="H2445">
        <v>0</v>
      </c>
      <c r="I2445">
        <v>0</v>
      </c>
      <c r="J2445">
        <v>0</v>
      </c>
      <c r="K2445">
        <v>0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63</v>
      </c>
      <c r="C2446" t="s">
        <v>18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>
        <v>0</v>
      </c>
      <c r="J2446">
        <v>0</v>
      </c>
      <c r="K2446">
        <v>0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15</v>
      </c>
      <c r="C2447" t="s">
        <v>16</v>
      </c>
      <c r="D2447">
        <v>6</v>
      </c>
      <c r="E2447">
        <v>6</v>
      </c>
      <c r="F2447">
        <v>71.47</v>
      </c>
      <c r="G2447">
        <v>0</v>
      </c>
      <c r="H2447">
        <v>0</v>
      </c>
      <c r="I2447">
        <v>0</v>
      </c>
      <c r="J2447">
        <v>0</v>
      </c>
      <c r="K2447">
        <v>0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17</v>
      </c>
      <c r="C2448" t="s">
        <v>18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19</v>
      </c>
      <c r="C2449" t="s">
        <v>20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>
        <v>0</v>
      </c>
      <c r="J2449">
        <v>0</v>
      </c>
      <c r="K2449">
        <v>0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21</v>
      </c>
      <c r="C2450" t="s">
        <v>18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>
        <v>0</v>
      </c>
      <c r="J2450">
        <v>0</v>
      </c>
      <c r="K2450">
        <v>0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22</v>
      </c>
      <c r="C2451" t="s">
        <v>23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>
        <v>0</v>
      </c>
      <c r="J2451">
        <v>0</v>
      </c>
      <c r="K2451">
        <v>0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24</v>
      </c>
      <c r="C2452" t="s">
        <v>16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>
        <v>0</v>
      </c>
      <c r="J2452">
        <v>0</v>
      </c>
      <c r="K2452">
        <v>0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25</v>
      </c>
      <c r="C2453" t="s">
        <v>16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>
        <v>0</v>
      </c>
      <c r="J2453">
        <v>0</v>
      </c>
      <c r="K2453">
        <v>0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26</v>
      </c>
      <c r="C2454" t="s">
        <v>23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27</v>
      </c>
      <c r="C2455" t="s">
        <v>20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>
        <v>0</v>
      </c>
      <c r="J2455">
        <v>0</v>
      </c>
      <c r="K2455">
        <v>0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28</v>
      </c>
      <c r="C2456" t="s">
        <v>18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>
        <v>0</v>
      </c>
      <c r="J2456">
        <v>0</v>
      </c>
      <c r="K2456">
        <v>0</v>
      </c>
      <c r="N2456">
        <v>93.48</v>
      </c>
      <c r="O2456">
        <v>31.334622823984521</v>
      </c>
    </row>
    <row r="2457" spans="1:15" hidden="1" x14ac:dyDescent="0.25">
      <c r="A2457" s="11">
        <v>46078</v>
      </c>
      <c r="B2457" t="s">
        <v>29</v>
      </c>
      <c r="C2457" t="s">
        <v>16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30</v>
      </c>
      <c r="C2458" t="s">
        <v>20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>
        <v>0</v>
      </c>
      <c r="J2458">
        <v>0</v>
      </c>
      <c r="K2458">
        <v>0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31</v>
      </c>
      <c r="C2459" t="s">
        <v>18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32</v>
      </c>
      <c r="C2460" t="s">
        <v>23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>
        <v>0</v>
      </c>
      <c r="J2460">
        <v>0</v>
      </c>
      <c r="K2460">
        <v>0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33</v>
      </c>
      <c r="C2461" t="s">
        <v>16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>
        <v>0</v>
      </c>
      <c r="J2461">
        <v>0</v>
      </c>
      <c r="K2461">
        <v>0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34</v>
      </c>
      <c r="C2462" t="s">
        <v>18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>
        <v>0</v>
      </c>
      <c r="J2462">
        <v>0</v>
      </c>
      <c r="K2462">
        <v>0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35</v>
      </c>
      <c r="C2463" t="s">
        <v>16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>
        <v>0</v>
      </c>
      <c r="J2463">
        <v>0</v>
      </c>
      <c r="K2463">
        <v>0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36</v>
      </c>
      <c r="C2464" t="s">
        <v>20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>E2464+G2464+H2464</f>
        <v>27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18</v>
      </c>
      <c r="K2464" s="3">
        <f>I2464-J2464</f>
        <v>9</v>
      </c>
      <c r="L2464" s="3" t="str">
        <f>IF(K2464&lt;-5,"CRÍTICO",IF(K2464&lt;0,"ATENÇÃO",IF(K2464&lt;=5,"BOM","EXCELENTE")))</f>
        <v>EXCELENTE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37</v>
      </c>
      <c r="C2465" t="s">
        <v>16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>
        <v>0</v>
      </c>
      <c r="J2465">
        <v>0</v>
      </c>
      <c r="K2465">
        <v>0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38</v>
      </c>
      <c r="C2466" t="s">
        <v>18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>
        <v>0</v>
      </c>
      <c r="J2466">
        <v>0</v>
      </c>
      <c r="K2466">
        <v>0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39</v>
      </c>
      <c r="C2467" t="s">
        <v>18</v>
      </c>
      <c r="D2467">
        <v>21</v>
      </c>
      <c r="E2467">
        <v>17</v>
      </c>
      <c r="F2467">
        <v>19</v>
      </c>
      <c r="G2467">
        <v>0</v>
      </c>
      <c r="H2467">
        <v>0</v>
      </c>
      <c r="I2467">
        <v>0</v>
      </c>
      <c r="J2467">
        <v>0</v>
      </c>
      <c r="K2467">
        <v>0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40</v>
      </c>
      <c r="C2468" t="s">
        <v>16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41</v>
      </c>
      <c r="C2469" t="s">
        <v>18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42</v>
      </c>
      <c r="C2470" t="s">
        <v>43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>
        <v>0</v>
      </c>
      <c r="J2470">
        <v>0</v>
      </c>
      <c r="K2470">
        <v>0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44</v>
      </c>
      <c r="C2471" t="s">
        <v>18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45</v>
      </c>
      <c r="C2472" t="s">
        <v>43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46</v>
      </c>
      <c r="C2473" t="s">
        <v>18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>
        <v>0</v>
      </c>
      <c r="J2473">
        <v>0</v>
      </c>
      <c r="K2473">
        <v>0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47</v>
      </c>
      <c r="C2474" t="s">
        <v>16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>
        <v>0</v>
      </c>
      <c r="J2474">
        <v>0</v>
      </c>
      <c r="K2474">
        <v>0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48</v>
      </c>
      <c r="C2475" t="s">
        <v>16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49</v>
      </c>
      <c r="C2476" t="s">
        <v>18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>
        <v>0</v>
      </c>
      <c r="J2476">
        <v>0</v>
      </c>
      <c r="K2476">
        <v>0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50</v>
      </c>
      <c r="C2477" t="s">
        <v>20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>
        <v>0</v>
      </c>
      <c r="J2477">
        <v>0</v>
      </c>
      <c r="K2477">
        <v>0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51</v>
      </c>
      <c r="C2478" t="s">
        <v>23</v>
      </c>
      <c r="D2478">
        <v>7</v>
      </c>
      <c r="E2478">
        <v>7</v>
      </c>
      <c r="F2478">
        <v>58.35</v>
      </c>
      <c r="G2478">
        <v>0</v>
      </c>
      <c r="H2478">
        <v>0</v>
      </c>
      <c r="I2478">
        <v>0</v>
      </c>
      <c r="J2478">
        <v>0</v>
      </c>
      <c r="K2478">
        <v>0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52</v>
      </c>
      <c r="C2479" t="s">
        <v>18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>
        <v>0</v>
      </c>
      <c r="J2479">
        <v>0</v>
      </c>
      <c r="K2479">
        <v>0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53</v>
      </c>
      <c r="C2480" t="s">
        <v>18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>
        <v>0</v>
      </c>
      <c r="J2480">
        <v>0</v>
      </c>
      <c r="K2480">
        <v>0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54</v>
      </c>
      <c r="C2481" t="s">
        <v>23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>
        <v>0</v>
      </c>
      <c r="J2481">
        <v>0</v>
      </c>
      <c r="K2481">
        <v>0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55</v>
      </c>
      <c r="C2482" t="s">
        <v>43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56</v>
      </c>
      <c r="C2483" t="s">
        <v>16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57</v>
      </c>
      <c r="C2484" t="s">
        <v>43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58</v>
      </c>
      <c r="C2485" t="s">
        <v>43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59</v>
      </c>
      <c r="C2486" t="s">
        <v>23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60</v>
      </c>
      <c r="C2487" t="s">
        <v>20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>
        <v>0</v>
      </c>
      <c r="J2487">
        <v>0</v>
      </c>
      <c r="K2487">
        <v>0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61</v>
      </c>
      <c r="C2488" t="s">
        <v>18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>
        <v>0</v>
      </c>
      <c r="J2488">
        <v>0</v>
      </c>
      <c r="K2488">
        <v>0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62</v>
      </c>
      <c r="C2489" t="s">
        <v>20</v>
      </c>
      <c r="D2489">
        <v>12</v>
      </c>
      <c r="E2489">
        <v>5</v>
      </c>
      <c r="F2489">
        <v>15.23</v>
      </c>
      <c r="G2489">
        <v>0</v>
      </c>
      <c r="H2489">
        <v>0</v>
      </c>
      <c r="I2489">
        <v>0</v>
      </c>
      <c r="J2489">
        <v>0</v>
      </c>
      <c r="K2489">
        <v>0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63</v>
      </c>
      <c r="C2490" t="s">
        <v>18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>
        <v>0</v>
      </c>
      <c r="J2490">
        <v>0</v>
      </c>
      <c r="K2490">
        <v>0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15</v>
      </c>
      <c r="C2491" t="s">
        <v>16</v>
      </c>
      <c r="D2491">
        <v>20</v>
      </c>
      <c r="E2491">
        <v>19</v>
      </c>
      <c r="F2491">
        <v>26.4</v>
      </c>
      <c r="G2491">
        <v>0</v>
      </c>
      <c r="H2491">
        <v>0</v>
      </c>
      <c r="I2491">
        <v>0</v>
      </c>
      <c r="J2491">
        <v>0</v>
      </c>
      <c r="K2491">
        <v>0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17</v>
      </c>
      <c r="C2492" t="s">
        <v>18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19</v>
      </c>
      <c r="C2493" t="s">
        <v>20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>
        <v>0</v>
      </c>
      <c r="J2493">
        <v>0</v>
      </c>
      <c r="K2493">
        <v>0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21</v>
      </c>
      <c r="C2494" t="s">
        <v>18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>
        <v>0</v>
      </c>
      <c r="J2494">
        <v>0</v>
      </c>
      <c r="K2494">
        <v>0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22</v>
      </c>
      <c r="C2495" t="s">
        <v>23</v>
      </c>
      <c r="D2495">
        <v>11</v>
      </c>
      <c r="E2495">
        <v>9</v>
      </c>
      <c r="F2495">
        <v>32.06</v>
      </c>
      <c r="G2495">
        <v>0</v>
      </c>
      <c r="H2495">
        <v>0</v>
      </c>
      <c r="I2495">
        <v>0</v>
      </c>
      <c r="J2495">
        <v>0</v>
      </c>
      <c r="K2495">
        <v>0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24</v>
      </c>
      <c r="C2496" t="s">
        <v>16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>
        <v>0</v>
      </c>
      <c r="J2496">
        <v>0</v>
      </c>
      <c r="K2496">
        <v>0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25</v>
      </c>
      <c r="C2497" t="s">
        <v>16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>
        <v>0</v>
      </c>
      <c r="J2497">
        <v>0</v>
      </c>
      <c r="K2497">
        <v>0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26</v>
      </c>
      <c r="C2498" t="s">
        <v>23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27</v>
      </c>
      <c r="C2499" t="s">
        <v>20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>
        <v>0</v>
      </c>
      <c r="J2499">
        <v>0</v>
      </c>
      <c r="K2499">
        <v>0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28</v>
      </c>
      <c r="C2500" t="s">
        <v>18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>
        <v>0</v>
      </c>
      <c r="J2500">
        <v>0</v>
      </c>
      <c r="K2500">
        <v>0</v>
      </c>
      <c r="N2500">
        <v>93.48</v>
      </c>
      <c r="O2500">
        <v>31.334622823984521</v>
      </c>
    </row>
    <row r="2501" spans="1:15" hidden="1" x14ac:dyDescent="0.25">
      <c r="A2501" s="11">
        <v>46079</v>
      </c>
      <c r="B2501" t="s">
        <v>29</v>
      </c>
      <c r="C2501" t="s">
        <v>16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30</v>
      </c>
      <c r="C2502" t="s">
        <v>20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>
        <v>0</v>
      </c>
      <c r="J2502">
        <v>0</v>
      </c>
      <c r="K2502">
        <v>0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31</v>
      </c>
      <c r="C2503" t="s">
        <v>18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32</v>
      </c>
      <c r="C2504" t="s">
        <v>23</v>
      </c>
      <c r="D2504">
        <v>8</v>
      </c>
      <c r="E2504">
        <v>8</v>
      </c>
      <c r="F2504">
        <v>45.06</v>
      </c>
      <c r="G2504">
        <v>0</v>
      </c>
      <c r="H2504">
        <v>0</v>
      </c>
      <c r="I2504">
        <v>0</v>
      </c>
      <c r="J2504">
        <v>0</v>
      </c>
      <c r="K2504">
        <v>0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33</v>
      </c>
      <c r="C2505" t="s">
        <v>16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>
        <v>0</v>
      </c>
      <c r="J2505">
        <v>0</v>
      </c>
      <c r="K2505">
        <v>0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34</v>
      </c>
      <c r="C2506" t="s">
        <v>18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>
        <v>0</v>
      </c>
      <c r="J2506">
        <v>0</v>
      </c>
      <c r="K2506">
        <v>0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35</v>
      </c>
      <c r="C2507" t="s">
        <v>16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>
        <v>0</v>
      </c>
      <c r="J2507">
        <v>0</v>
      </c>
      <c r="K2507">
        <v>0</v>
      </c>
      <c r="N2507">
        <v>98.5</v>
      </c>
      <c r="O2507">
        <v>23.97769516728625</v>
      </c>
    </row>
    <row r="2508" spans="1:15" x14ac:dyDescent="0.25">
      <c r="A2508" s="11">
        <v>46113</v>
      </c>
      <c r="B2508" t="s">
        <v>36</v>
      </c>
      <c r="C2508" t="s">
        <v>20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19</v>
      </c>
      <c r="K2508" s="3">
        <f>I2508-J2508</f>
        <v>6</v>
      </c>
      <c r="L2508" s="3" t="str">
        <f>IF(K2508&lt;-5,"CRÍTICO",IF(K2508&lt;0,"ATENÇÃO",IF(K2508&lt;=5,"OPORTUNO","MUITO BOM")))</f>
        <v>MUITO BOM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37</v>
      </c>
      <c r="C2509" t="s">
        <v>16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>
        <v>0</v>
      </c>
      <c r="J2509">
        <v>0</v>
      </c>
      <c r="K2509">
        <v>0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38</v>
      </c>
      <c r="C2510" t="s">
        <v>18</v>
      </c>
      <c r="D2510">
        <v>45</v>
      </c>
      <c r="E2510">
        <v>43</v>
      </c>
      <c r="F2510">
        <v>17</v>
      </c>
      <c r="G2510">
        <v>0</v>
      </c>
      <c r="H2510">
        <v>0</v>
      </c>
      <c r="I2510">
        <v>0</v>
      </c>
      <c r="J2510">
        <v>0</v>
      </c>
      <c r="K2510">
        <v>0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39</v>
      </c>
      <c r="C2511" t="s">
        <v>18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>
        <v>0</v>
      </c>
      <c r="J2511">
        <v>0</v>
      </c>
      <c r="K2511">
        <v>0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40</v>
      </c>
      <c r="C2512" t="s">
        <v>16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>
        <v>0</v>
      </c>
      <c r="J2512">
        <v>0</v>
      </c>
      <c r="K2512">
        <v>0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41</v>
      </c>
      <c r="C2513" t="s">
        <v>18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42</v>
      </c>
      <c r="C2514" t="s">
        <v>43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>
        <v>0</v>
      </c>
      <c r="J2514">
        <v>0</v>
      </c>
      <c r="K2514">
        <v>0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44</v>
      </c>
      <c r="C2515" t="s">
        <v>18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45</v>
      </c>
      <c r="C2516" t="s">
        <v>43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46</v>
      </c>
      <c r="C2517" t="s">
        <v>18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>
        <v>0</v>
      </c>
      <c r="J2517">
        <v>0</v>
      </c>
      <c r="K2517">
        <v>0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47</v>
      </c>
      <c r="C2518" t="s">
        <v>16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>
        <v>0</v>
      </c>
      <c r="J2518">
        <v>0</v>
      </c>
      <c r="K2518">
        <v>0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48</v>
      </c>
      <c r="C2519" t="s">
        <v>16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49</v>
      </c>
      <c r="C2520" t="s">
        <v>18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>
        <v>0</v>
      </c>
      <c r="J2520">
        <v>0</v>
      </c>
      <c r="K2520">
        <v>0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50</v>
      </c>
      <c r="C2521" t="s">
        <v>20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>
        <v>0</v>
      </c>
      <c r="J2521">
        <v>0</v>
      </c>
      <c r="K2521">
        <v>0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51</v>
      </c>
      <c r="C2522" t="s">
        <v>23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>
        <v>0</v>
      </c>
      <c r="J2522">
        <v>0</v>
      </c>
      <c r="K2522">
        <v>0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52</v>
      </c>
      <c r="C2523" t="s">
        <v>18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>
        <v>0</v>
      </c>
      <c r="J2523">
        <v>0</v>
      </c>
      <c r="K2523">
        <v>0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53</v>
      </c>
      <c r="C2524" t="s">
        <v>18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>
        <v>0</v>
      </c>
      <c r="J2524">
        <v>0</v>
      </c>
      <c r="K2524">
        <v>0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54</v>
      </c>
      <c r="C2525" t="s">
        <v>23</v>
      </c>
      <c r="D2525">
        <v>8</v>
      </c>
      <c r="E2525">
        <v>7</v>
      </c>
      <c r="F2525">
        <v>80.13</v>
      </c>
      <c r="G2525">
        <v>0</v>
      </c>
      <c r="H2525">
        <v>0</v>
      </c>
      <c r="I2525">
        <v>0</v>
      </c>
      <c r="J2525">
        <v>0</v>
      </c>
      <c r="K2525">
        <v>0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55</v>
      </c>
      <c r="C2526" t="s">
        <v>43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56</v>
      </c>
      <c r="C2527" t="s">
        <v>16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57</v>
      </c>
      <c r="C2528" t="s">
        <v>43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58</v>
      </c>
      <c r="C2529" t="s">
        <v>43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59</v>
      </c>
      <c r="C2530" t="s">
        <v>23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60</v>
      </c>
      <c r="C2531" t="s">
        <v>20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>
        <v>0</v>
      </c>
      <c r="J2531">
        <v>0</v>
      </c>
      <c r="K2531">
        <v>0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61</v>
      </c>
      <c r="C2532" t="s">
        <v>18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>
        <v>0</v>
      </c>
      <c r="J2532">
        <v>0</v>
      </c>
      <c r="K2532">
        <v>0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62</v>
      </c>
      <c r="C2533" t="s">
        <v>20</v>
      </c>
      <c r="D2533">
        <v>11</v>
      </c>
      <c r="E2533">
        <v>11</v>
      </c>
      <c r="F2533">
        <v>30.3</v>
      </c>
      <c r="G2533">
        <v>0</v>
      </c>
      <c r="H2533">
        <v>0</v>
      </c>
      <c r="I2533">
        <v>0</v>
      </c>
      <c r="J2533">
        <v>0</v>
      </c>
      <c r="K2533">
        <v>0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63</v>
      </c>
      <c r="C2534" t="s">
        <v>18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>
        <v>0</v>
      </c>
      <c r="J2534">
        <v>0</v>
      </c>
      <c r="K2534">
        <v>0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15</v>
      </c>
      <c r="C2535" t="s">
        <v>16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>
        <v>0</v>
      </c>
      <c r="J2535">
        <v>0</v>
      </c>
      <c r="K2535">
        <v>0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17</v>
      </c>
      <c r="C2536" t="s">
        <v>18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19</v>
      </c>
      <c r="C2537" t="s">
        <v>20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>
        <v>0</v>
      </c>
      <c r="J2537">
        <v>0</v>
      </c>
      <c r="K2537">
        <v>0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21</v>
      </c>
      <c r="C2538" t="s">
        <v>18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>
        <v>0</v>
      </c>
      <c r="J2538">
        <v>0</v>
      </c>
      <c r="K2538">
        <v>0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22</v>
      </c>
      <c r="C2539" t="s">
        <v>23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>
        <v>0</v>
      </c>
      <c r="J2539">
        <v>0</v>
      </c>
      <c r="K2539">
        <v>0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24</v>
      </c>
      <c r="C2540" t="s">
        <v>16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>
        <v>0</v>
      </c>
      <c r="J2540">
        <v>0</v>
      </c>
      <c r="K2540">
        <v>0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25</v>
      </c>
      <c r="C2541" t="s">
        <v>16</v>
      </c>
      <c r="D2541">
        <v>7</v>
      </c>
      <c r="E2541">
        <v>7</v>
      </c>
      <c r="F2541">
        <v>55.26</v>
      </c>
      <c r="G2541">
        <v>0</v>
      </c>
      <c r="H2541">
        <v>0</v>
      </c>
      <c r="I2541">
        <v>0</v>
      </c>
      <c r="J2541">
        <v>0</v>
      </c>
      <c r="K2541">
        <v>0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26</v>
      </c>
      <c r="C2542" t="s">
        <v>23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27</v>
      </c>
      <c r="C2543" t="s">
        <v>20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>
        <v>0</v>
      </c>
      <c r="J2543">
        <v>0</v>
      </c>
      <c r="K2543">
        <v>0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28</v>
      </c>
      <c r="C2544" t="s">
        <v>18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>
        <v>0</v>
      </c>
      <c r="J2544">
        <v>0</v>
      </c>
      <c r="K2544">
        <v>0</v>
      </c>
      <c r="N2544">
        <v>93.48</v>
      </c>
      <c r="O2544">
        <v>31.334622823984521</v>
      </c>
    </row>
    <row r="2545" spans="1:15" hidden="1" x14ac:dyDescent="0.25">
      <c r="A2545" s="11">
        <v>46080</v>
      </c>
      <c r="B2545" t="s">
        <v>29</v>
      </c>
      <c r="C2545" t="s">
        <v>16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30</v>
      </c>
      <c r="C2546" t="s">
        <v>20</v>
      </c>
      <c r="D2546">
        <v>7</v>
      </c>
      <c r="E2546">
        <v>7</v>
      </c>
      <c r="F2546">
        <v>168.22</v>
      </c>
      <c r="G2546">
        <v>0</v>
      </c>
      <c r="H2546">
        <v>0</v>
      </c>
      <c r="I2546">
        <v>0</v>
      </c>
      <c r="J2546">
        <v>0</v>
      </c>
      <c r="K2546">
        <v>0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31</v>
      </c>
      <c r="C2547" t="s">
        <v>18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32</v>
      </c>
      <c r="C2548" t="s">
        <v>23</v>
      </c>
      <c r="D2548">
        <v>8</v>
      </c>
      <c r="E2548">
        <v>8</v>
      </c>
      <c r="F2548">
        <v>48.23</v>
      </c>
      <c r="G2548">
        <v>0</v>
      </c>
      <c r="H2548">
        <v>0</v>
      </c>
      <c r="I2548">
        <v>0</v>
      </c>
      <c r="J2548">
        <v>0</v>
      </c>
      <c r="K2548">
        <v>0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33</v>
      </c>
      <c r="C2549" t="s">
        <v>16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>
        <v>0</v>
      </c>
      <c r="J2549">
        <v>0</v>
      </c>
      <c r="K2549">
        <v>0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34</v>
      </c>
      <c r="C2550" t="s">
        <v>18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>
        <v>0</v>
      </c>
      <c r="J2550">
        <v>0</v>
      </c>
      <c r="K2550">
        <v>0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35</v>
      </c>
      <c r="C2551" t="s">
        <v>16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>
        <v>0</v>
      </c>
      <c r="J2551">
        <v>0</v>
      </c>
      <c r="K2551">
        <v>0</v>
      </c>
      <c r="N2551">
        <v>98.5</v>
      </c>
      <c r="O2551">
        <v>23.97769516728625</v>
      </c>
    </row>
    <row r="2552" spans="1:15" x14ac:dyDescent="0.25">
      <c r="A2552" s="11">
        <v>46114</v>
      </c>
      <c r="B2552" t="s">
        <v>36</v>
      </c>
      <c r="C2552" t="s">
        <v>20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21</v>
      </c>
      <c r="K2552" s="3">
        <f>I2552-J2552</f>
        <v>10</v>
      </c>
      <c r="L2552" s="3" t="str">
        <f>IF(K2552&lt;-5,"CRÍTICO",IF(K2552&lt;0,"ATENÇÃO",IF(K2552&lt;=5,"OPORTUNO","MUITO BOM")))</f>
        <v>MUITO BOM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37</v>
      </c>
      <c r="C2553" t="s">
        <v>16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>
        <v>0</v>
      </c>
      <c r="J2553">
        <v>0</v>
      </c>
      <c r="K2553">
        <v>0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38</v>
      </c>
      <c r="C2554" t="s">
        <v>18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>
        <v>0</v>
      </c>
      <c r="J2554">
        <v>0</v>
      </c>
      <c r="K2554">
        <v>0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39</v>
      </c>
      <c r="C2555" t="s">
        <v>18</v>
      </c>
      <c r="D2555">
        <v>3</v>
      </c>
      <c r="E2555">
        <v>3</v>
      </c>
      <c r="F2555">
        <v>67.34</v>
      </c>
      <c r="G2555">
        <v>0</v>
      </c>
      <c r="H2555">
        <v>0</v>
      </c>
      <c r="I2555">
        <v>0</v>
      </c>
      <c r="J2555">
        <v>0</v>
      </c>
      <c r="K2555">
        <v>0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40</v>
      </c>
      <c r="C2556" t="s">
        <v>16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>
        <v>0</v>
      </c>
      <c r="J2556">
        <v>0</v>
      </c>
      <c r="K2556">
        <v>0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41</v>
      </c>
      <c r="C2557" t="s">
        <v>18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42</v>
      </c>
      <c r="C2558" t="s">
        <v>43</v>
      </c>
      <c r="D2558">
        <v>9</v>
      </c>
      <c r="E2558">
        <v>8</v>
      </c>
      <c r="F2558">
        <v>38.58</v>
      </c>
      <c r="G2558">
        <v>0</v>
      </c>
      <c r="H2558">
        <v>0</v>
      </c>
      <c r="I2558">
        <v>0</v>
      </c>
      <c r="J2558">
        <v>0</v>
      </c>
      <c r="K2558">
        <v>0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44</v>
      </c>
      <c r="C2559" t="s">
        <v>18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45</v>
      </c>
      <c r="C2560" t="s">
        <v>43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46</v>
      </c>
      <c r="C2561" t="s">
        <v>18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>
        <v>0</v>
      </c>
      <c r="J2561">
        <v>0</v>
      </c>
      <c r="K2561">
        <v>0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47</v>
      </c>
      <c r="C2562" t="s">
        <v>16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>
        <v>0</v>
      </c>
      <c r="J2562">
        <v>0</v>
      </c>
      <c r="K2562">
        <v>0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48</v>
      </c>
      <c r="C2563" t="s">
        <v>16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49</v>
      </c>
      <c r="C2564" t="s">
        <v>18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>
        <v>0</v>
      </c>
      <c r="J2564">
        <v>0</v>
      </c>
      <c r="K2564">
        <v>0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50</v>
      </c>
      <c r="C2565" t="s">
        <v>20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>
        <v>0</v>
      </c>
      <c r="J2565">
        <v>0</v>
      </c>
      <c r="K2565">
        <v>0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51</v>
      </c>
      <c r="C2566" t="s">
        <v>23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>
        <v>0</v>
      </c>
      <c r="J2566">
        <v>0</v>
      </c>
      <c r="K2566">
        <v>0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52</v>
      </c>
      <c r="C2567" t="s">
        <v>18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>
        <v>0</v>
      </c>
      <c r="J2567">
        <v>0</v>
      </c>
      <c r="K2567">
        <v>0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53</v>
      </c>
      <c r="C2568" t="s">
        <v>18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>
        <v>0</v>
      </c>
      <c r="J2568">
        <v>0</v>
      </c>
      <c r="K2568">
        <v>0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54</v>
      </c>
      <c r="C2569" t="s">
        <v>23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>
        <v>0</v>
      </c>
      <c r="J2569">
        <v>0</v>
      </c>
      <c r="K2569">
        <v>0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55</v>
      </c>
      <c r="C2570" t="s">
        <v>43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56</v>
      </c>
      <c r="C2571" t="s">
        <v>16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57</v>
      </c>
      <c r="C2572" t="s">
        <v>43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58</v>
      </c>
      <c r="C2573" t="s">
        <v>43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59</v>
      </c>
      <c r="C2574" t="s">
        <v>23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60</v>
      </c>
      <c r="C2575" t="s">
        <v>20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>
        <v>0</v>
      </c>
      <c r="J2575">
        <v>0</v>
      </c>
      <c r="K2575">
        <v>0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61</v>
      </c>
      <c r="C2576" t="s">
        <v>18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>
        <v>0</v>
      </c>
      <c r="J2576">
        <v>0</v>
      </c>
      <c r="K2576">
        <v>0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62</v>
      </c>
      <c r="C2577" t="s">
        <v>20</v>
      </c>
      <c r="D2577">
        <v>11</v>
      </c>
      <c r="E2577">
        <v>10</v>
      </c>
      <c r="F2577">
        <v>42.3</v>
      </c>
      <c r="G2577">
        <v>0</v>
      </c>
      <c r="H2577">
        <v>0</v>
      </c>
      <c r="I2577">
        <v>0</v>
      </c>
      <c r="J2577">
        <v>0</v>
      </c>
      <c r="K2577">
        <v>0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63</v>
      </c>
      <c r="C2578" t="s">
        <v>18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>
        <v>0</v>
      </c>
      <c r="J2578">
        <v>0</v>
      </c>
      <c r="K2578">
        <v>0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15</v>
      </c>
      <c r="C2579" t="s">
        <v>16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>
        <v>0</v>
      </c>
      <c r="J2579">
        <v>0</v>
      </c>
      <c r="K2579">
        <v>0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17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19</v>
      </c>
      <c r="C2581" t="s">
        <v>20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>
        <v>0</v>
      </c>
      <c r="J2581">
        <v>0</v>
      </c>
      <c r="K2581">
        <v>0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21</v>
      </c>
      <c r="C2582" t="s">
        <v>18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>
        <v>0</v>
      </c>
      <c r="J2582">
        <v>0</v>
      </c>
      <c r="K2582">
        <v>0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22</v>
      </c>
      <c r="C2583" t="s">
        <v>23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24</v>
      </c>
      <c r="C2584" t="s">
        <v>16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>
        <v>0</v>
      </c>
      <c r="J2584">
        <v>0</v>
      </c>
      <c r="K2584">
        <v>0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25</v>
      </c>
      <c r="C2585" t="s">
        <v>16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>
        <v>0</v>
      </c>
      <c r="J2585">
        <v>0</v>
      </c>
      <c r="K2585">
        <v>0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26</v>
      </c>
      <c r="C2586" t="s">
        <v>23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27</v>
      </c>
      <c r="C2587" t="s">
        <v>20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>
        <v>0</v>
      </c>
      <c r="J2587">
        <v>0</v>
      </c>
      <c r="K2587">
        <v>0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28</v>
      </c>
      <c r="C2588" t="s">
        <v>18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>
        <v>0</v>
      </c>
      <c r="J2588">
        <v>0</v>
      </c>
      <c r="K2588">
        <v>0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29</v>
      </c>
      <c r="C2589" t="s">
        <v>16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30</v>
      </c>
      <c r="C2590" t="s">
        <v>20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>
        <v>0</v>
      </c>
      <c r="J2590">
        <v>0</v>
      </c>
      <c r="K2590">
        <v>0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31</v>
      </c>
      <c r="C2591" t="s">
        <v>18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32</v>
      </c>
      <c r="C2592" t="s">
        <v>23</v>
      </c>
      <c r="D2592">
        <v>8</v>
      </c>
      <c r="E2592">
        <v>8</v>
      </c>
      <c r="F2592">
        <v>46.54</v>
      </c>
      <c r="G2592">
        <v>0</v>
      </c>
      <c r="H2592">
        <v>0</v>
      </c>
      <c r="I2592">
        <v>0</v>
      </c>
      <c r="J2592">
        <v>0</v>
      </c>
      <c r="K2592">
        <v>0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33</v>
      </c>
      <c r="C2593" t="s">
        <v>16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>
        <v>0</v>
      </c>
      <c r="J2593">
        <v>0</v>
      </c>
      <c r="K2593">
        <v>0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34</v>
      </c>
      <c r="C2594" t="s">
        <v>18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>
        <v>0</v>
      </c>
      <c r="J2594">
        <v>0</v>
      </c>
      <c r="K2594">
        <v>0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35</v>
      </c>
      <c r="C2595" t="s">
        <v>16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>
        <v>0</v>
      </c>
      <c r="J2595">
        <v>0</v>
      </c>
      <c r="K2595">
        <v>0</v>
      </c>
      <c r="N2595">
        <v>98.02</v>
      </c>
      <c r="O2595">
        <v>23.484848484848481</v>
      </c>
    </row>
    <row r="2596" spans="1:15" x14ac:dyDescent="0.25">
      <c r="A2596" s="11">
        <v>46115</v>
      </c>
      <c r="B2596" t="s">
        <v>36</v>
      </c>
      <c r="C2596" t="s">
        <v>20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f>E2596+G2596+H2596</f>
        <v>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0</v>
      </c>
      <c r="K2596" s="3">
        <f>I2596-J2596</f>
        <v>0</v>
      </c>
      <c r="L2596" s="3" t="str">
        <f>IF(K2596&lt;-5,"CRÍTICO",IF(K2596&lt;0,"ATENÇÃO",IF(K2596&lt;=5,"OPORTUNO","MUITO BOM")))</f>
        <v>OPORTUNO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37</v>
      </c>
      <c r="C2597" t="s">
        <v>16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>
        <v>0</v>
      </c>
      <c r="J2597">
        <v>0</v>
      </c>
      <c r="K2597">
        <v>0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38</v>
      </c>
      <c r="C2598" t="s">
        <v>18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>
        <v>0</v>
      </c>
      <c r="J2598">
        <v>0</v>
      </c>
      <c r="K2598">
        <v>0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39</v>
      </c>
      <c r="C2599" t="s">
        <v>18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>
        <v>0</v>
      </c>
      <c r="J2599">
        <v>0</v>
      </c>
      <c r="K2599">
        <v>0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40</v>
      </c>
      <c r="C2600" t="s">
        <v>16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>
        <v>0</v>
      </c>
      <c r="J2600">
        <v>0</v>
      </c>
      <c r="K2600">
        <v>0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41</v>
      </c>
      <c r="C2601" t="s">
        <v>18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42</v>
      </c>
      <c r="C2602" t="s">
        <v>43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>
        <v>0</v>
      </c>
      <c r="J2602">
        <v>0</v>
      </c>
      <c r="K2602">
        <v>0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44</v>
      </c>
      <c r="C2603" t="s">
        <v>18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>
        <v>0</v>
      </c>
      <c r="J2603">
        <v>0</v>
      </c>
      <c r="K2603">
        <v>0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45</v>
      </c>
      <c r="C2604" t="s">
        <v>43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46</v>
      </c>
      <c r="C2605" t="s">
        <v>18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>
        <v>0</v>
      </c>
      <c r="J2605">
        <v>0</v>
      </c>
      <c r="K2605">
        <v>0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47</v>
      </c>
      <c r="C2606" t="s">
        <v>16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>
        <v>0</v>
      </c>
      <c r="J2606">
        <v>0</v>
      </c>
      <c r="K2606">
        <v>0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48</v>
      </c>
      <c r="C2607" t="s">
        <v>16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49</v>
      </c>
      <c r="C2608" t="s">
        <v>18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>
        <v>0</v>
      </c>
      <c r="J2608">
        <v>0</v>
      </c>
      <c r="K2608">
        <v>0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50</v>
      </c>
      <c r="C2609" t="s">
        <v>20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>
        <v>0</v>
      </c>
      <c r="J2609">
        <v>0</v>
      </c>
      <c r="K2609">
        <v>0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51</v>
      </c>
      <c r="C2610" t="s">
        <v>23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>
        <v>0</v>
      </c>
      <c r="J2610">
        <v>0</v>
      </c>
      <c r="K2610">
        <v>0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52</v>
      </c>
      <c r="C2611" t="s">
        <v>18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>
        <v>0</v>
      </c>
      <c r="J2611">
        <v>0</v>
      </c>
      <c r="K2611">
        <v>0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53</v>
      </c>
      <c r="C2612" t="s">
        <v>18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>
        <v>0</v>
      </c>
      <c r="J2612">
        <v>0</v>
      </c>
      <c r="K2612">
        <v>0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54</v>
      </c>
      <c r="C2613" t="s">
        <v>23</v>
      </c>
      <c r="D2613">
        <v>6</v>
      </c>
      <c r="E2613">
        <v>6</v>
      </c>
      <c r="F2613">
        <v>53.33</v>
      </c>
      <c r="G2613">
        <v>0</v>
      </c>
      <c r="H2613">
        <v>0</v>
      </c>
      <c r="I2613">
        <v>0</v>
      </c>
      <c r="J2613">
        <v>0</v>
      </c>
      <c r="K2613">
        <v>0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55</v>
      </c>
      <c r="C2614" t="s">
        <v>43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56</v>
      </c>
      <c r="C2615" t="s">
        <v>16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>
        <v>0</v>
      </c>
      <c r="J2615">
        <v>0</v>
      </c>
      <c r="K2615">
        <v>0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57</v>
      </c>
      <c r="C2616" t="s">
        <v>43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58</v>
      </c>
      <c r="C2617" t="s">
        <v>43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59</v>
      </c>
      <c r="C2618" t="s">
        <v>23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60</v>
      </c>
      <c r="C2619" t="s">
        <v>20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>
        <v>0</v>
      </c>
      <c r="J2619">
        <v>0</v>
      </c>
      <c r="K2619">
        <v>0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61</v>
      </c>
      <c r="C2620" t="s">
        <v>18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>
        <v>0</v>
      </c>
      <c r="J2620">
        <v>0</v>
      </c>
      <c r="K2620">
        <v>0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62</v>
      </c>
      <c r="C2621" t="s">
        <v>20</v>
      </c>
      <c r="D2621">
        <v>9</v>
      </c>
      <c r="E2621">
        <v>9</v>
      </c>
      <c r="F2621">
        <v>52.15</v>
      </c>
      <c r="G2621">
        <v>0</v>
      </c>
      <c r="H2621">
        <v>0</v>
      </c>
      <c r="I2621">
        <v>0</v>
      </c>
      <c r="J2621">
        <v>0</v>
      </c>
      <c r="K2621">
        <v>0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63</v>
      </c>
      <c r="C2622" t="s">
        <v>18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>
        <v>0</v>
      </c>
      <c r="J2622">
        <v>0</v>
      </c>
      <c r="K2622">
        <v>0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15</v>
      </c>
      <c r="C2623" t="s">
        <v>16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>
        <v>0</v>
      </c>
      <c r="J2623">
        <v>0</v>
      </c>
      <c r="K2623">
        <v>0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17</v>
      </c>
      <c r="C2624" t="s">
        <v>18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19</v>
      </c>
      <c r="C2625" t="s">
        <v>20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>
        <v>0</v>
      </c>
      <c r="J2625">
        <v>0</v>
      </c>
      <c r="K2625">
        <v>0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21</v>
      </c>
      <c r="C2626" t="s">
        <v>18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>
        <v>0</v>
      </c>
      <c r="J2626">
        <v>0</v>
      </c>
      <c r="K2626">
        <v>0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22</v>
      </c>
      <c r="C2627" t="s">
        <v>23</v>
      </c>
      <c r="D2627">
        <v>9</v>
      </c>
      <c r="E2627">
        <v>8</v>
      </c>
      <c r="F2627">
        <v>25.22</v>
      </c>
      <c r="G2627">
        <v>0</v>
      </c>
      <c r="H2627">
        <v>0</v>
      </c>
      <c r="I2627">
        <v>0</v>
      </c>
      <c r="J2627">
        <v>0</v>
      </c>
      <c r="K2627">
        <v>0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24</v>
      </c>
      <c r="C2628" t="s">
        <v>16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>
        <v>0</v>
      </c>
      <c r="J2628">
        <v>0</v>
      </c>
      <c r="K2628">
        <v>0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25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26</v>
      </c>
      <c r="C2630" t="s">
        <v>23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27</v>
      </c>
      <c r="C2631" t="s">
        <v>20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>
        <v>0</v>
      </c>
      <c r="J2631">
        <v>0</v>
      </c>
      <c r="K2631">
        <v>0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28</v>
      </c>
      <c r="C2632" t="s">
        <v>18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>
        <v>0</v>
      </c>
      <c r="J2632">
        <v>0</v>
      </c>
      <c r="K2632">
        <v>0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29</v>
      </c>
      <c r="C2633" t="s">
        <v>16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30</v>
      </c>
      <c r="C2634" t="s">
        <v>20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>
        <v>0</v>
      </c>
      <c r="J2634">
        <v>0</v>
      </c>
      <c r="K2634">
        <v>0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31</v>
      </c>
      <c r="C2635" t="s">
        <v>18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32</v>
      </c>
      <c r="C2636" t="s">
        <v>23</v>
      </c>
      <c r="D2636">
        <v>5</v>
      </c>
      <c r="E2636">
        <v>5</v>
      </c>
      <c r="F2636">
        <v>62.16</v>
      </c>
      <c r="G2636">
        <v>0</v>
      </c>
      <c r="H2636">
        <v>0</v>
      </c>
      <c r="I2636">
        <v>0</v>
      </c>
      <c r="J2636">
        <v>0</v>
      </c>
      <c r="K2636">
        <v>0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33</v>
      </c>
      <c r="C2637" t="s">
        <v>16</v>
      </c>
      <c r="D2637">
        <v>44</v>
      </c>
      <c r="E2637">
        <v>43</v>
      </c>
      <c r="F2637">
        <v>17.2</v>
      </c>
      <c r="G2637">
        <v>0</v>
      </c>
      <c r="H2637">
        <v>0</v>
      </c>
      <c r="I2637">
        <v>0</v>
      </c>
      <c r="J2637">
        <v>0</v>
      </c>
      <c r="K2637">
        <v>0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34</v>
      </c>
      <c r="C2638" t="s">
        <v>18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>
        <v>0</v>
      </c>
      <c r="J2638">
        <v>0</v>
      </c>
      <c r="K2638">
        <v>0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35</v>
      </c>
      <c r="C2639" t="s">
        <v>16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>
        <v>0</v>
      </c>
      <c r="J2639">
        <v>0</v>
      </c>
      <c r="K2639">
        <v>0</v>
      </c>
      <c r="N2639">
        <v>98.02</v>
      </c>
      <c r="O2639">
        <v>23.484848484848481</v>
      </c>
    </row>
    <row r="2640" spans="1:15" x14ac:dyDescent="0.25">
      <c r="A2640" s="11">
        <v>46118</v>
      </c>
      <c r="B2640" t="s">
        <v>36</v>
      </c>
      <c r="C2640" t="s">
        <v>20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>E2640+G2640+H2640</f>
        <v>26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19</v>
      </c>
      <c r="K2640" s="3">
        <f>I2640-J2640</f>
        <v>7</v>
      </c>
      <c r="L2640" s="3" t="str">
        <f>IF(K2640&lt;-5,"CRÍTICO",IF(K2640&lt;0,"ATENÇÃO",IF(K2640&lt;=5,"OPORTUNO","MUITO BOM")))</f>
        <v>MUITO BOM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37</v>
      </c>
      <c r="C2641" t="s">
        <v>16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>
        <v>0</v>
      </c>
      <c r="J2641">
        <v>0</v>
      </c>
      <c r="K2641">
        <v>0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38</v>
      </c>
      <c r="C2642" t="s">
        <v>18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>
        <v>0</v>
      </c>
      <c r="J2642">
        <v>0</v>
      </c>
      <c r="K2642">
        <v>0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39</v>
      </c>
      <c r="C2643" t="s">
        <v>18</v>
      </c>
      <c r="D2643">
        <v>4</v>
      </c>
      <c r="E2643">
        <v>3</v>
      </c>
      <c r="F2643">
        <v>15.16</v>
      </c>
      <c r="G2643">
        <v>0</v>
      </c>
      <c r="H2643">
        <v>0</v>
      </c>
      <c r="I2643">
        <v>0</v>
      </c>
      <c r="J2643">
        <v>0</v>
      </c>
      <c r="K2643">
        <v>0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40</v>
      </c>
      <c r="C2644" t="s">
        <v>16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>
        <v>0</v>
      </c>
      <c r="J2644">
        <v>0</v>
      </c>
      <c r="K2644">
        <v>0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41</v>
      </c>
      <c r="C2645" t="s">
        <v>18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42</v>
      </c>
      <c r="C2646" t="s">
        <v>43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>
        <v>0</v>
      </c>
      <c r="J2646">
        <v>0</v>
      </c>
      <c r="K2646">
        <v>0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44</v>
      </c>
      <c r="C2647" t="s">
        <v>18</v>
      </c>
      <c r="D2647">
        <v>2</v>
      </c>
      <c r="E2647">
        <v>2</v>
      </c>
      <c r="F2647">
        <v>27.01</v>
      </c>
      <c r="G2647">
        <v>0</v>
      </c>
      <c r="H2647">
        <v>0</v>
      </c>
      <c r="I2647">
        <v>0</v>
      </c>
      <c r="J2647">
        <v>0</v>
      </c>
      <c r="K2647">
        <v>0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45</v>
      </c>
      <c r="C2648" t="s">
        <v>43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46</v>
      </c>
      <c r="C2649" t="s">
        <v>18</v>
      </c>
      <c r="D2649">
        <v>4</v>
      </c>
      <c r="E2649">
        <v>4</v>
      </c>
      <c r="F2649">
        <v>25.43</v>
      </c>
      <c r="G2649">
        <v>0</v>
      </c>
      <c r="H2649">
        <v>0</v>
      </c>
      <c r="I2649">
        <v>0</v>
      </c>
      <c r="J2649">
        <v>0</v>
      </c>
      <c r="K2649">
        <v>0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47</v>
      </c>
      <c r="C2650" t="s">
        <v>16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>
        <v>0</v>
      </c>
      <c r="J2650">
        <v>0</v>
      </c>
      <c r="K2650">
        <v>0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48</v>
      </c>
      <c r="C2651" t="s">
        <v>16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49</v>
      </c>
      <c r="C2652" t="s">
        <v>18</v>
      </c>
      <c r="D2652">
        <v>44</v>
      </c>
      <c r="E2652">
        <v>38</v>
      </c>
      <c r="F2652">
        <v>17.2</v>
      </c>
      <c r="G2652">
        <v>0</v>
      </c>
      <c r="H2652">
        <v>0</v>
      </c>
      <c r="I2652">
        <v>0</v>
      </c>
      <c r="J2652">
        <v>0</v>
      </c>
      <c r="K2652">
        <v>0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50</v>
      </c>
      <c r="C2653" t="s">
        <v>20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>
        <v>0</v>
      </c>
      <c r="J2653">
        <v>0</v>
      </c>
      <c r="K2653">
        <v>0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51</v>
      </c>
      <c r="C2654" t="s">
        <v>23</v>
      </c>
      <c r="D2654">
        <v>9</v>
      </c>
      <c r="E2654">
        <v>7</v>
      </c>
      <c r="F2654">
        <v>26.4</v>
      </c>
      <c r="G2654">
        <v>0</v>
      </c>
      <c r="H2654">
        <v>0</v>
      </c>
      <c r="I2654">
        <v>0</v>
      </c>
      <c r="J2654">
        <v>0</v>
      </c>
      <c r="K2654">
        <v>0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52</v>
      </c>
      <c r="C2655" t="s">
        <v>18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>
        <v>0</v>
      </c>
      <c r="J2655">
        <v>0</v>
      </c>
      <c r="K2655">
        <v>0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53</v>
      </c>
      <c r="C2656" t="s">
        <v>18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>
        <v>0</v>
      </c>
      <c r="J2656">
        <v>0</v>
      </c>
      <c r="K2656">
        <v>0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54</v>
      </c>
      <c r="C2657" t="s">
        <v>23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>
        <v>0</v>
      </c>
      <c r="J2657">
        <v>0</v>
      </c>
      <c r="K2657">
        <v>0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55</v>
      </c>
      <c r="C2658" t="s">
        <v>43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56</v>
      </c>
      <c r="C2659" t="s">
        <v>16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>
        <v>0</v>
      </c>
      <c r="J2659">
        <v>0</v>
      </c>
      <c r="K2659">
        <v>0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57</v>
      </c>
      <c r="C2660" t="s">
        <v>43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58</v>
      </c>
      <c r="C2661" t="s">
        <v>43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59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60</v>
      </c>
      <c r="C2663" t="s">
        <v>20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>
        <v>0</v>
      </c>
      <c r="J2663">
        <v>0</v>
      </c>
      <c r="K2663">
        <v>0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61</v>
      </c>
      <c r="C2664" t="s">
        <v>18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>
        <v>0</v>
      </c>
      <c r="J2664">
        <v>0</v>
      </c>
      <c r="K2664">
        <v>0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62</v>
      </c>
      <c r="C2665" t="s">
        <v>20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>
        <v>0</v>
      </c>
      <c r="J2665">
        <v>0</v>
      </c>
      <c r="K2665">
        <v>0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63</v>
      </c>
      <c r="C2666" t="s">
        <v>18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>
        <v>0</v>
      </c>
      <c r="J2666">
        <v>0</v>
      </c>
      <c r="K2666">
        <v>0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15</v>
      </c>
      <c r="C2667" t="s">
        <v>16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>
        <v>0</v>
      </c>
      <c r="J2667">
        <v>0</v>
      </c>
      <c r="K2667">
        <v>0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17</v>
      </c>
      <c r="C2668" t="s">
        <v>18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19</v>
      </c>
      <c r="C2669" t="s">
        <v>20</v>
      </c>
      <c r="D2669">
        <v>21</v>
      </c>
      <c r="E2669">
        <v>20</v>
      </c>
      <c r="F2669">
        <v>26.5</v>
      </c>
      <c r="G2669">
        <v>0</v>
      </c>
      <c r="H2669">
        <v>0</v>
      </c>
      <c r="I2669">
        <v>0</v>
      </c>
      <c r="J2669">
        <v>0</v>
      </c>
      <c r="K2669">
        <v>0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21</v>
      </c>
      <c r="C2670" t="s">
        <v>18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>
        <v>0</v>
      </c>
      <c r="J2670">
        <v>0</v>
      </c>
      <c r="K2670">
        <v>0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22</v>
      </c>
      <c r="C2671" t="s">
        <v>23</v>
      </c>
      <c r="D2671">
        <v>8</v>
      </c>
      <c r="E2671">
        <v>6</v>
      </c>
      <c r="F2671">
        <v>40.26</v>
      </c>
      <c r="G2671">
        <v>0</v>
      </c>
      <c r="H2671">
        <v>0</v>
      </c>
      <c r="I2671">
        <v>0</v>
      </c>
      <c r="J2671">
        <v>0</v>
      </c>
      <c r="K2671">
        <v>0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24</v>
      </c>
      <c r="C2672" t="s">
        <v>16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>
        <v>0</v>
      </c>
      <c r="J2672">
        <v>0</v>
      </c>
      <c r="K2672">
        <v>0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25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26</v>
      </c>
      <c r="C2674" t="s">
        <v>23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27</v>
      </c>
      <c r="C2675" t="s">
        <v>20</v>
      </c>
      <c r="D2675">
        <v>21</v>
      </c>
      <c r="E2675">
        <v>18</v>
      </c>
      <c r="F2675">
        <v>28.3</v>
      </c>
      <c r="G2675">
        <v>0</v>
      </c>
      <c r="H2675">
        <v>0</v>
      </c>
      <c r="I2675">
        <v>0</v>
      </c>
      <c r="J2675">
        <v>0</v>
      </c>
      <c r="K2675">
        <v>0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28</v>
      </c>
      <c r="C2676" t="s">
        <v>18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>
        <v>0</v>
      </c>
      <c r="J2676">
        <v>0</v>
      </c>
      <c r="K2676">
        <v>0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29</v>
      </c>
      <c r="C2677" t="s">
        <v>16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30</v>
      </c>
      <c r="C2678" t="s">
        <v>20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>
        <v>0</v>
      </c>
      <c r="J2678">
        <v>0</v>
      </c>
      <c r="K2678">
        <v>0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31</v>
      </c>
      <c r="C2679" t="s">
        <v>18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32</v>
      </c>
      <c r="C2680" t="s">
        <v>23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>
        <v>0</v>
      </c>
      <c r="J2680">
        <v>0</v>
      </c>
      <c r="K2680">
        <v>0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33</v>
      </c>
      <c r="C2681" t="s">
        <v>16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>
        <v>0</v>
      </c>
      <c r="J2681">
        <v>0</v>
      </c>
      <c r="K2681">
        <v>0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34</v>
      </c>
      <c r="C2682" t="s">
        <v>18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>
        <v>0</v>
      </c>
      <c r="J2682">
        <v>0</v>
      </c>
      <c r="K2682">
        <v>0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35</v>
      </c>
      <c r="C2683" t="s">
        <v>16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>
        <v>0</v>
      </c>
      <c r="J2683">
        <v>0</v>
      </c>
      <c r="K2683">
        <v>0</v>
      </c>
      <c r="N2683">
        <v>98.02</v>
      </c>
      <c r="O2683">
        <v>23.484848484848481</v>
      </c>
    </row>
    <row r="2684" spans="1:15" x14ac:dyDescent="0.25">
      <c r="A2684" s="11">
        <v>46119</v>
      </c>
      <c r="B2684" t="s">
        <v>36</v>
      </c>
      <c r="C2684" t="s">
        <v>20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>E2684+G2684+H2684</f>
        <v>25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19</v>
      </c>
      <c r="K2684" s="3">
        <f>I2684-J2684</f>
        <v>6</v>
      </c>
      <c r="L2684" s="3" t="str">
        <f>IF(K2684&lt;-5,"CRÍTICO",IF(K2684&lt;0,"ATENÇÃO",IF(K2684&lt;=5,"OPORTUNO","MUITO BOM")))</f>
        <v>MUITO BOM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37</v>
      </c>
      <c r="C2685" t="s">
        <v>16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>
        <v>0</v>
      </c>
      <c r="J2685">
        <v>0</v>
      </c>
      <c r="K2685">
        <v>0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38</v>
      </c>
      <c r="C2686" t="s">
        <v>18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>
        <v>0</v>
      </c>
      <c r="J2686">
        <v>0</v>
      </c>
      <c r="K2686">
        <v>0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39</v>
      </c>
      <c r="C2687" t="s">
        <v>18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>
        <v>0</v>
      </c>
      <c r="J2687">
        <v>0</v>
      </c>
      <c r="K2687">
        <v>0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40</v>
      </c>
      <c r="C2688" t="s">
        <v>16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>
        <v>0</v>
      </c>
      <c r="J2688">
        <v>0</v>
      </c>
      <c r="K2688">
        <v>0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41</v>
      </c>
      <c r="C2689" t="s">
        <v>18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42</v>
      </c>
      <c r="C2690" t="s">
        <v>43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>
        <v>0</v>
      </c>
      <c r="J2690">
        <v>0</v>
      </c>
      <c r="K2690">
        <v>0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44</v>
      </c>
      <c r="C2691" t="s">
        <v>18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45</v>
      </c>
      <c r="C2692" t="s">
        <v>43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46</v>
      </c>
      <c r="C2693" t="s">
        <v>18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47</v>
      </c>
      <c r="C2694" t="s">
        <v>16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>
        <v>0</v>
      </c>
      <c r="J2694">
        <v>0</v>
      </c>
      <c r="K2694">
        <v>0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48</v>
      </c>
      <c r="C2695" t="s">
        <v>16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49</v>
      </c>
      <c r="C2696" t="s">
        <v>18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>
        <v>0</v>
      </c>
      <c r="J2696">
        <v>0</v>
      </c>
      <c r="K2696">
        <v>0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50</v>
      </c>
      <c r="C2697" t="s">
        <v>20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>
        <v>0</v>
      </c>
      <c r="J2697">
        <v>0</v>
      </c>
      <c r="K2697">
        <v>0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51</v>
      </c>
      <c r="C2698" t="s">
        <v>23</v>
      </c>
      <c r="D2698">
        <v>59</v>
      </c>
      <c r="E2698">
        <v>37</v>
      </c>
      <c r="F2698">
        <v>5.01</v>
      </c>
      <c r="G2698">
        <v>0</v>
      </c>
      <c r="H2698">
        <v>0</v>
      </c>
      <c r="I2698">
        <v>0</v>
      </c>
      <c r="J2698">
        <v>0</v>
      </c>
      <c r="K2698">
        <v>0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52</v>
      </c>
      <c r="C2699" t="s">
        <v>18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>
        <v>0</v>
      </c>
      <c r="J2699">
        <v>0</v>
      </c>
      <c r="K2699">
        <v>0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53</v>
      </c>
      <c r="C2700" t="s">
        <v>18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>
        <v>0</v>
      </c>
      <c r="J2700">
        <v>0</v>
      </c>
      <c r="K2700">
        <v>0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54</v>
      </c>
      <c r="C2701" t="s">
        <v>23</v>
      </c>
      <c r="D2701">
        <v>7</v>
      </c>
      <c r="E2701">
        <v>7</v>
      </c>
      <c r="F2701">
        <v>63.21</v>
      </c>
      <c r="G2701">
        <v>0</v>
      </c>
      <c r="H2701">
        <v>0</v>
      </c>
      <c r="I2701">
        <v>0</v>
      </c>
      <c r="J2701">
        <v>0</v>
      </c>
      <c r="K2701">
        <v>0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55</v>
      </c>
      <c r="C2702" t="s">
        <v>43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56</v>
      </c>
      <c r="C2703" t="s">
        <v>16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>
        <v>0</v>
      </c>
      <c r="J2703">
        <v>0</v>
      </c>
      <c r="K2703">
        <v>0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57</v>
      </c>
      <c r="C2704" t="s">
        <v>43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58</v>
      </c>
      <c r="C2705" t="s">
        <v>43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59</v>
      </c>
      <c r="C2706" t="s">
        <v>23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60</v>
      </c>
      <c r="C2707" t="s">
        <v>20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>
        <v>0</v>
      </c>
      <c r="J2707">
        <v>0</v>
      </c>
      <c r="K2707">
        <v>0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61</v>
      </c>
      <c r="C2708" t="s">
        <v>18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>
        <v>0</v>
      </c>
      <c r="J2708">
        <v>0</v>
      </c>
      <c r="K2708">
        <v>0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62</v>
      </c>
      <c r="C2709" t="s">
        <v>20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>
        <v>0</v>
      </c>
      <c r="J2709">
        <v>0</v>
      </c>
      <c r="K2709">
        <v>0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63</v>
      </c>
      <c r="C2710" t="s">
        <v>18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>
        <v>0</v>
      </c>
      <c r="J2710">
        <v>0</v>
      </c>
      <c r="K2710">
        <v>0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15</v>
      </c>
      <c r="C2711" t="s">
        <v>16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>
        <v>0</v>
      </c>
      <c r="J2711">
        <v>0</v>
      </c>
      <c r="K2711">
        <v>0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17</v>
      </c>
      <c r="C2712" t="s">
        <v>18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19</v>
      </c>
      <c r="C2713" t="s">
        <v>20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>
        <v>0</v>
      </c>
      <c r="J2713">
        <v>0</v>
      </c>
      <c r="K2713">
        <v>0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21</v>
      </c>
      <c r="C2714" t="s">
        <v>18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>
        <v>0</v>
      </c>
      <c r="J2714">
        <v>0</v>
      </c>
      <c r="K2714">
        <v>0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22</v>
      </c>
      <c r="C2715" t="s">
        <v>23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>
        <v>0</v>
      </c>
      <c r="J2715">
        <v>0</v>
      </c>
      <c r="K2715">
        <v>0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24</v>
      </c>
      <c r="C2716" t="s">
        <v>16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>
        <v>0</v>
      </c>
      <c r="J2716">
        <v>0</v>
      </c>
      <c r="K2716">
        <v>0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25</v>
      </c>
      <c r="C2717" t="s">
        <v>16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>
        <v>0</v>
      </c>
      <c r="J2717">
        <v>0</v>
      </c>
      <c r="K2717">
        <v>0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26</v>
      </c>
      <c r="C2718" t="s">
        <v>23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27</v>
      </c>
      <c r="C2719" t="s">
        <v>20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>
        <v>0</v>
      </c>
      <c r="J2719">
        <v>0</v>
      </c>
      <c r="K2719">
        <v>0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28</v>
      </c>
      <c r="C2720" t="s">
        <v>18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>
        <v>0</v>
      </c>
      <c r="J2720">
        <v>0</v>
      </c>
      <c r="K2720">
        <v>0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29</v>
      </c>
      <c r="C2721" t="s">
        <v>16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30</v>
      </c>
      <c r="C2722" t="s">
        <v>20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>
        <v>0</v>
      </c>
      <c r="J2722">
        <v>0</v>
      </c>
      <c r="K2722">
        <v>0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31</v>
      </c>
      <c r="C2723" t="s">
        <v>18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32</v>
      </c>
      <c r="C2724" t="s">
        <v>23</v>
      </c>
      <c r="D2724">
        <v>55</v>
      </c>
      <c r="E2724">
        <v>45</v>
      </c>
      <c r="F2724">
        <v>5.55</v>
      </c>
      <c r="G2724">
        <v>0</v>
      </c>
      <c r="H2724">
        <v>0</v>
      </c>
      <c r="I2724">
        <v>0</v>
      </c>
      <c r="J2724">
        <v>0</v>
      </c>
      <c r="K2724">
        <v>0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33</v>
      </c>
      <c r="C2725" t="s">
        <v>16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>
        <v>0</v>
      </c>
      <c r="J2725">
        <v>0</v>
      </c>
      <c r="K2725">
        <v>0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34</v>
      </c>
      <c r="C2726" t="s">
        <v>18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>
        <v>0</v>
      </c>
      <c r="J2726">
        <v>0</v>
      </c>
      <c r="K2726">
        <v>0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35</v>
      </c>
      <c r="C2727" t="s">
        <v>16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>
        <v>0</v>
      </c>
      <c r="J2727">
        <v>0</v>
      </c>
      <c r="K2727">
        <v>0</v>
      </c>
      <c r="N2727">
        <v>98.02</v>
      </c>
      <c r="O2727">
        <v>23.484848484848481</v>
      </c>
    </row>
    <row r="2728" spans="1:15" x14ac:dyDescent="0.25">
      <c r="A2728" s="11">
        <v>46120</v>
      </c>
      <c r="B2728" t="s">
        <v>36</v>
      </c>
      <c r="C2728" t="s">
        <v>20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18</v>
      </c>
      <c r="K2728" s="3">
        <f>I2728-J2728</f>
        <v>10</v>
      </c>
      <c r="L2728" s="3" t="str">
        <f>IF(K2728&lt;-5,"CRÍTICO",IF(K2728&lt;0,"ATENÇÃO",IF(K2728&lt;=5,"OPORTUNO","MUITO BOM")))</f>
        <v>MUITO BOM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37</v>
      </c>
      <c r="C2729" t="s">
        <v>16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>
        <v>0</v>
      </c>
      <c r="J2729">
        <v>0</v>
      </c>
      <c r="K2729">
        <v>0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38</v>
      </c>
      <c r="C2730" t="s">
        <v>18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>
        <v>0</v>
      </c>
      <c r="J2730">
        <v>0</v>
      </c>
      <c r="K2730">
        <v>0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39</v>
      </c>
      <c r="C2731" t="s">
        <v>18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40</v>
      </c>
      <c r="C2732" t="s">
        <v>16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>
        <v>0</v>
      </c>
      <c r="J2732">
        <v>0</v>
      </c>
      <c r="K2732">
        <v>0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41</v>
      </c>
      <c r="C2733" t="s">
        <v>18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42</v>
      </c>
      <c r="C2734" t="s">
        <v>43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>
        <v>0</v>
      </c>
      <c r="J2734">
        <v>0</v>
      </c>
      <c r="K2734">
        <v>0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44</v>
      </c>
      <c r="C2735" t="s">
        <v>18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45</v>
      </c>
      <c r="C2736" t="s">
        <v>43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>
        <v>0</v>
      </c>
      <c r="J2736">
        <v>0</v>
      </c>
      <c r="K2736">
        <v>0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46</v>
      </c>
      <c r="C2737" t="s">
        <v>18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47</v>
      </c>
      <c r="C2738" t="s">
        <v>16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>
        <v>0</v>
      </c>
      <c r="J2738">
        <v>0</v>
      </c>
      <c r="K2738">
        <v>0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48</v>
      </c>
      <c r="C2739" t="s">
        <v>16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49</v>
      </c>
      <c r="C2740" t="s">
        <v>18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>
        <v>0</v>
      </c>
      <c r="J2740">
        <v>0</v>
      </c>
      <c r="K2740">
        <v>0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50</v>
      </c>
      <c r="C2741" t="s">
        <v>20</v>
      </c>
      <c r="D2741">
        <v>28</v>
      </c>
      <c r="E2741">
        <v>25</v>
      </c>
      <c r="F2741">
        <v>19</v>
      </c>
      <c r="G2741">
        <v>0</v>
      </c>
      <c r="H2741">
        <v>0</v>
      </c>
      <c r="I2741">
        <v>0</v>
      </c>
      <c r="J2741">
        <v>0</v>
      </c>
      <c r="K2741">
        <v>0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51</v>
      </c>
      <c r="C2742" t="s">
        <v>23</v>
      </c>
      <c r="D2742">
        <v>60</v>
      </c>
      <c r="E2742">
        <v>31</v>
      </c>
      <c r="F2742">
        <v>3.5</v>
      </c>
      <c r="G2742">
        <v>0</v>
      </c>
      <c r="H2742">
        <v>0</v>
      </c>
      <c r="I2742">
        <v>0</v>
      </c>
      <c r="J2742">
        <v>0</v>
      </c>
      <c r="K2742">
        <v>0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52</v>
      </c>
      <c r="C2743" t="s">
        <v>18</v>
      </c>
      <c r="D2743">
        <v>7</v>
      </c>
      <c r="E2743">
        <v>7</v>
      </c>
      <c r="F2743">
        <v>10.57</v>
      </c>
      <c r="G2743">
        <v>0</v>
      </c>
      <c r="H2743">
        <v>0</v>
      </c>
      <c r="I2743">
        <v>0</v>
      </c>
      <c r="J2743">
        <v>0</v>
      </c>
      <c r="K2743">
        <v>0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53</v>
      </c>
      <c r="C2744" t="s">
        <v>18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>
        <v>0</v>
      </c>
      <c r="J2744">
        <v>0</v>
      </c>
      <c r="K2744">
        <v>0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54</v>
      </c>
      <c r="C2745" t="s">
        <v>23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>
        <v>0</v>
      </c>
      <c r="J2745">
        <v>0</v>
      </c>
      <c r="K2745">
        <v>0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55</v>
      </c>
      <c r="C2746" t="s">
        <v>43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56</v>
      </c>
      <c r="C2747" t="s">
        <v>16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>
        <v>0</v>
      </c>
      <c r="J2747">
        <v>0</v>
      </c>
      <c r="K2747">
        <v>0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57</v>
      </c>
      <c r="C2748" t="s">
        <v>43</v>
      </c>
      <c r="D2748">
        <v>6</v>
      </c>
      <c r="E2748">
        <v>6</v>
      </c>
      <c r="F2748">
        <v>25</v>
      </c>
      <c r="G2748">
        <v>0</v>
      </c>
      <c r="H2748">
        <v>0</v>
      </c>
      <c r="I2748">
        <v>0</v>
      </c>
      <c r="J2748">
        <v>0</v>
      </c>
      <c r="K2748">
        <v>0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58</v>
      </c>
      <c r="C2749" t="s">
        <v>43</v>
      </c>
      <c r="D2749">
        <v>5</v>
      </c>
      <c r="E2749">
        <v>5</v>
      </c>
      <c r="F2749">
        <v>41.48</v>
      </c>
      <c r="G2749">
        <v>0</v>
      </c>
      <c r="H2749">
        <v>0</v>
      </c>
      <c r="I2749">
        <v>0</v>
      </c>
      <c r="J2749">
        <v>0</v>
      </c>
      <c r="K2749">
        <v>0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59</v>
      </c>
      <c r="C2750" t="s">
        <v>23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60</v>
      </c>
      <c r="C2751" t="s">
        <v>20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>
        <v>0</v>
      </c>
      <c r="J2751">
        <v>0</v>
      </c>
      <c r="K2751">
        <v>0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61</v>
      </c>
      <c r="C2752" t="s">
        <v>18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>
        <v>0</v>
      </c>
      <c r="J2752">
        <v>0</v>
      </c>
      <c r="K2752">
        <v>0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62</v>
      </c>
      <c r="C2753" t="s">
        <v>20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>
        <v>0</v>
      </c>
      <c r="J2753">
        <v>0</v>
      </c>
      <c r="K2753">
        <v>0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63</v>
      </c>
      <c r="C2754" t="s">
        <v>18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>
        <v>0</v>
      </c>
      <c r="J2754">
        <v>0</v>
      </c>
      <c r="K2754">
        <v>0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15</v>
      </c>
      <c r="C2755" t="s">
        <v>16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>
        <v>0</v>
      </c>
      <c r="J2755">
        <v>0</v>
      </c>
      <c r="K2755">
        <v>0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17</v>
      </c>
      <c r="C2756" t="s">
        <v>18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19</v>
      </c>
      <c r="C2757" t="s">
        <v>20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>
        <v>0</v>
      </c>
      <c r="J2757">
        <v>0</v>
      </c>
      <c r="K2757">
        <v>0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21</v>
      </c>
      <c r="C2758" t="s">
        <v>18</v>
      </c>
      <c r="D2758">
        <v>27</v>
      </c>
      <c r="E2758">
        <v>25</v>
      </c>
      <c r="F2758">
        <v>20</v>
      </c>
      <c r="G2758">
        <v>0</v>
      </c>
      <c r="H2758">
        <v>0</v>
      </c>
      <c r="I2758">
        <v>0</v>
      </c>
      <c r="J2758">
        <v>0</v>
      </c>
      <c r="K2758">
        <v>0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22</v>
      </c>
      <c r="C2759" t="s">
        <v>23</v>
      </c>
      <c r="D2759">
        <v>6</v>
      </c>
      <c r="E2759">
        <v>6</v>
      </c>
      <c r="F2759">
        <v>43.41</v>
      </c>
      <c r="G2759">
        <v>0</v>
      </c>
      <c r="H2759">
        <v>0</v>
      </c>
      <c r="I2759">
        <v>0</v>
      </c>
      <c r="J2759">
        <v>0</v>
      </c>
      <c r="K2759">
        <v>0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24</v>
      </c>
      <c r="C2760" t="s">
        <v>16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>
        <v>0</v>
      </c>
      <c r="J2760">
        <v>0</v>
      </c>
      <c r="K2760">
        <v>0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25</v>
      </c>
      <c r="C2761" t="s">
        <v>16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>
        <v>0</v>
      </c>
      <c r="J2761">
        <v>0</v>
      </c>
      <c r="K2761">
        <v>0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26</v>
      </c>
      <c r="C2762" t="s">
        <v>23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27</v>
      </c>
      <c r="C2763" t="s">
        <v>20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>
        <v>0</v>
      </c>
      <c r="J2763">
        <v>0</v>
      </c>
      <c r="K2763">
        <v>0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28</v>
      </c>
      <c r="C2764" t="s">
        <v>18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29</v>
      </c>
      <c r="C2765" t="s">
        <v>16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30</v>
      </c>
      <c r="C2766" t="s">
        <v>20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>
        <v>0</v>
      </c>
      <c r="J2766">
        <v>0</v>
      </c>
      <c r="K2766">
        <v>0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31</v>
      </c>
      <c r="C2767" t="s">
        <v>18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32</v>
      </c>
      <c r="C2768" t="s">
        <v>23</v>
      </c>
      <c r="D2768">
        <v>39</v>
      </c>
      <c r="E2768">
        <v>35</v>
      </c>
      <c r="F2768">
        <v>8.59</v>
      </c>
      <c r="G2768">
        <v>0</v>
      </c>
      <c r="H2768">
        <v>0</v>
      </c>
      <c r="I2768">
        <v>0</v>
      </c>
      <c r="J2768">
        <v>0</v>
      </c>
      <c r="K2768">
        <v>0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33</v>
      </c>
      <c r="C2769" t="s">
        <v>16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>
        <v>0</v>
      </c>
      <c r="J2769">
        <v>0</v>
      </c>
      <c r="K2769">
        <v>0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34</v>
      </c>
      <c r="C2770" t="s">
        <v>18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>
        <v>0</v>
      </c>
      <c r="J2770">
        <v>0</v>
      </c>
      <c r="K2770">
        <v>0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35</v>
      </c>
      <c r="C2771" t="s">
        <v>16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>
        <v>0</v>
      </c>
      <c r="J2771">
        <v>0</v>
      </c>
      <c r="K2771">
        <v>0</v>
      </c>
      <c r="N2771">
        <v>98.02</v>
      </c>
      <c r="O2771">
        <v>23.484848484848481</v>
      </c>
    </row>
    <row r="2772" spans="1:15" x14ac:dyDescent="0.25">
      <c r="A2772" s="11">
        <v>46121</v>
      </c>
      <c r="B2772" t="s">
        <v>36</v>
      </c>
      <c r="C2772" t="s">
        <v>20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>E2772+G2772+H2772</f>
        <v>25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16</v>
      </c>
      <c r="K2772" s="3">
        <f>I2772-J2772</f>
        <v>9</v>
      </c>
      <c r="L2772" s="3" t="str">
        <f>IF(K2772&lt;-5,"CRÍTICO",IF(K2772&lt;0,"ATENÇÃO",IF(K2772&lt;=5,"OPORTUNO","MUITO BOM")))</f>
        <v>MUITO BOM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37</v>
      </c>
      <c r="C2773" t="s">
        <v>16</v>
      </c>
      <c r="D2773">
        <v>30</v>
      </c>
      <c r="E2773">
        <v>29</v>
      </c>
      <c r="F2773">
        <v>17.3</v>
      </c>
      <c r="G2773">
        <v>0</v>
      </c>
      <c r="H2773">
        <v>0</v>
      </c>
      <c r="I2773">
        <v>0</v>
      </c>
      <c r="J2773">
        <v>0</v>
      </c>
      <c r="K2773">
        <v>0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38</v>
      </c>
      <c r="C2774" t="s">
        <v>18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>
        <v>0</v>
      </c>
      <c r="J2774">
        <v>0</v>
      </c>
      <c r="K2774">
        <v>0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39</v>
      </c>
      <c r="C2775" t="s">
        <v>18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40</v>
      </c>
      <c r="C2776" t="s">
        <v>16</v>
      </c>
      <c r="D2776">
        <v>41</v>
      </c>
      <c r="E2776">
        <v>34</v>
      </c>
      <c r="F2776">
        <v>17</v>
      </c>
      <c r="G2776">
        <v>0</v>
      </c>
      <c r="H2776">
        <v>0</v>
      </c>
      <c r="I2776">
        <v>0</v>
      </c>
      <c r="J2776">
        <v>0</v>
      </c>
      <c r="K2776">
        <v>0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41</v>
      </c>
      <c r="C2777" t="s">
        <v>18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42</v>
      </c>
      <c r="C2778" t="s">
        <v>43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>
        <v>0</v>
      </c>
      <c r="J2778">
        <v>0</v>
      </c>
      <c r="K2778">
        <v>0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44</v>
      </c>
      <c r="C2779" t="s">
        <v>18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45</v>
      </c>
      <c r="C2780" t="s">
        <v>43</v>
      </c>
      <c r="D2780">
        <v>9</v>
      </c>
      <c r="E2780">
        <v>9</v>
      </c>
      <c r="F2780">
        <v>42.16</v>
      </c>
      <c r="G2780">
        <v>0</v>
      </c>
      <c r="H2780">
        <v>0</v>
      </c>
      <c r="I2780">
        <v>0</v>
      </c>
      <c r="J2780">
        <v>0</v>
      </c>
      <c r="K2780">
        <v>0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46</v>
      </c>
      <c r="C2781" t="s">
        <v>18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47</v>
      </c>
      <c r="C2782" t="s">
        <v>16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>
        <v>0</v>
      </c>
      <c r="J2782">
        <v>0</v>
      </c>
      <c r="K2782">
        <v>0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48</v>
      </c>
      <c r="C2783" t="s">
        <v>16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49</v>
      </c>
      <c r="C2784" t="s">
        <v>18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>
        <v>0</v>
      </c>
      <c r="J2784">
        <v>0</v>
      </c>
      <c r="K2784">
        <v>0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50</v>
      </c>
      <c r="C2785" t="s">
        <v>20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>
        <v>0</v>
      </c>
      <c r="J2785">
        <v>0</v>
      </c>
      <c r="K2785">
        <v>0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51</v>
      </c>
      <c r="C2786" t="s">
        <v>23</v>
      </c>
      <c r="D2786">
        <v>61</v>
      </c>
      <c r="E2786">
        <v>28</v>
      </c>
      <c r="F2786">
        <v>3.41</v>
      </c>
      <c r="G2786">
        <v>0</v>
      </c>
      <c r="H2786">
        <v>0</v>
      </c>
      <c r="I2786">
        <v>0</v>
      </c>
      <c r="J2786">
        <v>0</v>
      </c>
      <c r="K2786">
        <v>0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52</v>
      </c>
      <c r="C2787" t="s">
        <v>18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>
        <v>0</v>
      </c>
      <c r="J2787">
        <v>0</v>
      </c>
      <c r="K2787">
        <v>0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53</v>
      </c>
      <c r="C2788" t="s">
        <v>18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>
        <v>0</v>
      </c>
      <c r="J2788">
        <v>0</v>
      </c>
      <c r="K2788">
        <v>0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54</v>
      </c>
      <c r="C2789" t="s">
        <v>23</v>
      </c>
      <c r="D2789">
        <v>5</v>
      </c>
      <c r="E2789">
        <v>4</v>
      </c>
      <c r="F2789">
        <v>75.33</v>
      </c>
      <c r="G2789">
        <v>0</v>
      </c>
      <c r="H2789">
        <v>0</v>
      </c>
      <c r="I2789">
        <v>0</v>
      </c>
      <c r="J2789">
        <v>0</v>
      </c>
      <c r="K2789">
        <v>0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55</v>
      </c>
      <c r="C2790" t="s">
        <v>43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56</v>
      </c>
      <c r="C2791" t="s">
        <v>16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>
        <v>0</v>
      </c>
      <c r="J2791">
        <v>0</v>
      </c>
      <c r="K2791">
        <v>0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57</v>
      </c>
      <c r="C2792" t="s">
        <v>43</v>
      </c>
      <c r="D2792">
        <v>15</v>
      </c>
      <c r="E2792">
        <v>15</v>
      </c>
      <c r="F2792">
        <v>27</v>
      </c>
      <c r="G2792">
        <v>0</v>
      </c>
      <c r="H2792">
        <v>0</v>
      </c>
      <c r="I2792">
        <v>0</v>
      </c>
      <c r="J2792">
        <v>0</v>
      </c>
      <c r="K2792">
        <v>0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58</v>
      </c>
      <c r="C2793" t="s">
        <v>43</v>
      </c>
      <c r="D2793">
        <v>8</v>
      </c>
      <c r="E2793">
        <v>8</v>
      </c>
      <c r="F2793">
        <v>45.18</v>
      </c>
      <c r="G2793">
        <v>0</v>
      </c>
      <c r="H2793">
        <v>0</v>
      </c>
      <c r="I2793">
        <v>0</v>
      </c>
      <c r="J2793">
        <v>0</v>
      </c>
      <c r="K2793">
        <v>0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59</v>
      </c>
      <c r="C2794" t="s">
        <v>23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60</v>
      </c>
      <c r="C2795" t="s">
        <v>20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>
        <v>0</v>
      </c>
      <c r="J2795">
        <v>0</v>
      </c>
      <c r="K2795">
        <v>0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61</v>
      </c>
      <c r="C2796" t="s">
        <v>18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>
        <v>0</v>
      </c>
      <c r="J2796">
        <v>0</v>
      </c>
      <c r="K2796">
        <v>0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62</v>
      </c>
      <c r="C2797" t="s">
        <v>20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>
        <v>0</v>
      </c>
      <c r="J2797">
        <v>0</v>
      </c>
      <c r="K2797">
        <v>0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63</v>
      </c>
      <c r="C2798" t="s">
        <v>18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>
        <v>0</v>
      </c>
      <c r="J2798">
        <v>0</v>
      </c>
      <c r="K2798">
        <v>0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15</v>
      </c>
      <c r="C2799" t="s">
        <v>16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>
        <v>0</v>
      </c>
      <c r="J2799">
        <v>0</v>
      </c>
      <c r="K2799">
        <v>0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17</v>
      </c>
      <c r="C2800" t="s">
        <v>18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19</v>
      </c>
      <c r="C2801" t="s">
        <v>20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>
        <v>0</v>
      </c>
      <c r="J2801">
        <v>0</v>
      </c>
      <c r="K2801">
        <v>0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21</v>
      </c>
      <c r="C2802" t="s">
        <v>18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>
        <v>0</v>
      </c>
      <c r="J2802">
        <v>0</v>
      </c>
      <c r="K2802">
        <v>0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22</v>
      </c>
      <c r="C2803" t="s">
        <v>23</v>
      </c>
      <c r="D2803">
        <v>10</v>
      </c>
      <c r="E2803">
        <v>9</v>
      </c>
      <c r="F2803">
        <v>33.57</v>
      </c>
      <c r="G2803">
        <v>0</v>
      </c>
      <c r="H2803">
        <v>0</v>
      </c>
      <c r="I2803">
        <v>0</v>
      </c>
      <c r="J2803">
        <v>0</v>
      </c>
      <c r="K2803">
        <v>0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24</v>
      </c>
      <c r="C2804" t="s">
        <v>16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>
        <v>0</v>
      </c>
      <c r="J2804">
        <v>0</v>
      </c>
      <c r="K2804">
        <v>0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25</v>
      </c>
      <c r="C2805" t="s">
        <v>16</v>
      </c>
      <c r="D2805">
        <v>8</v>
      </c>
      <c r="E2805">
        <v>7</v>
      </c>
      <c r="F2805">
        <v>59.02</v>
      </c>
      <c r="G2805">
        <v>0</v>
      </c>
      <c r="H2805">
        <v>0</v>
      </c>
      <c r="I2805">
        <v>0</v>
      </c>
      <c r="J2805">
        <v>0</v>
      </c>
      <c r="K2805">
        <v>0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26</v>
      </c>
      <c r="C2806" t="s">
        <v>23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27</v>
      </c>
      <c r="C2807" t="s">
        <v>20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>
        <v>0</v>
      </c>
      <c r="J2807">
        <v>0</v>
      </c>
      <c r="K2807">
        <v>0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28</v>
      </c>
      <c r="C2808" t="s">
        <v>18</v>
      </c>
      <c r="D2808">
        <v>35</v>
      </c>
      <c r="E2808">
        <v>33</v>
      </c>
      <c r="F2808">
        <v>15.3</v>
      </c>
      <c r="G2808">
        <v>0</v>
      </c>
      <c r="H2808">
        <v>0</v>
      </c>
      <c r="I2808">
        <v>0</v>
      </c>
      <c r="J2808">
        <v>0</v>
      </c>
      <c r="K2808">
        <v>0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29</v>
      </c>
      <c r="C2809" t="s">
        <v>16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30</v>
      </c>
      <c r="C2810" t="s">
        <v>20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>
        <v>0</v>
      </c>
      <c r="J2810">
        <v>0</v>
      </c>
      <c r="K2810">
        <v>0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31</v>
      </c>
      <c r="C2811" t="s">
        <v>18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32</v>
      </c>
      <c r="C2812" t="s">
        <v>23</v>
      </c>
      <c r="D2812">
        <v>9</v>
      </c>
      <c r="E2812">
        <v>8</v>
      </c>
      <c r="F2812">
        <v>55.38</v>
      </c>
      <c r="G2812">
        <v>0</v>
      </c>
      <c r="H2812">
        <v>0</v>
      </c>
      <c r="I2812">
        <v>0</v>
      </c>
      <c r="J2812">
        <v>0</v>
      </c>
      <c r="K2812">
        <v>0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33</v>
      </c>
      <c r="C2813" t="s">
        <v>16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>
        <v>0</v>
      </c>
      <c r="J2813">
        <v>0</v>
      </c>
      <c r="K2813">
        <v>0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34</v>
      </c>
      <c r="C2814" t="s">
        <v>18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>
        <v>0</v>
      </c>
      <c r="J2814">
        <v>0</v>
      </c>
      <c r="K2814">
        <v>0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35</v>
      </c>
      <c r="C2815" t="s">
        <v>16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N2815">
        <v>98.02</v>
      </c>
      <c r="O2815">
        <v>23.484848484848481</v>
      </c>
    </row>
    <row r="2816" spans="1:15" x14ac:dyDescent="0.25">
      <c r="A2816" s="11">
        <v>46122</v>
      </c>
      <c r="B2816" t="s">
        <v>36</v>
      </c>
      <c r="C2816" t="s">
        <v>20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16</v>
      </c>
      <c r="K2816" s="3">
        <f>I2816-J2816</f>
        <v>5</v>
      </c>
      <c r="L2816" s="3" t="str">
        <f>IF(K2816&lt;-5,"CRÍTICO",IF(K2816&lt;0,"ATENÇÃO",IF(K2816&lt;=5,"OPORTUNO","MUITO BOM")))</f>
        <v>OPORTUNO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37</v>
      </c>
      <c r="C2817" t="s">
        <v>16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>
        <v>0</v>
      </c>
      <c r="J2817">
        <v>0</v>
      </c>
      <c r="K2817">
        <v>0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38</v>
      </c>
      <c r="C2818" t="s">
        <v>18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>
        <v>0</v>
      </c>
      <c r="J2818">
        <v>0</v>
      </c>
      <c r="K2818">
        <v>0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39</v>
      </c>
      <c r="C2819" t="s">
        <v>18</v>
      </c>
      <c r="D2819">
        <v>3</v>
      </c>
      <c r="E2819">
        <v>3</v>
      </c>
      <c r="F2819">
        <v>28.33</v>
      </c>
      <c r="G2819">
        <v>0</v>
      </c>
      <c r="H2819">
        <v>0</v>
      </c>
      <c r="I2819">
        <v>0</v>
      </c>
      <c r="J2819">
        <v>0</v>
      </c>
      <c r="K2819">
        <v>0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40</v>
      </c>
      <c r="C2820" t="s">
        <v>16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>
        <v>0</v>
      </c>
      <c r="J2820">
        <v>0</v>
      </c>
      <c r="K2820">
        <v>0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41</v>
      </c>
      <c r="C2821" t="s">
        <v>18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42</v>
      </c>
      <c r="C2822" t="s">
        <v>43</v>
      </c>
      <c r="D2822">
        <v>8</v>
      </c>
      <c r="E2822">
        <v>8</v>
      </c>
      <c r="F2822">
        <v>35.03</v>
      </c>
      <c r="G2822">
        <v>0</v>
      </c>
      <c r="H2822">
        <v>0</v>
      </c>
      <c r="I2822">
        <v>0</v>
      </c>
      <c r="J2822">
        <v>0</v>
      </c>
      <c r="K2822">
        <v>0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44</v>
      </c>
      <c r="C2823" t="s">
        <v>18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>
        <v>0</v>
      </c>
      <c r="J2823">
        <v>0</v>
      </c>
      <c r="K2823">
        <v>0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45</v>
      </c>
      <c r="C2824" t="s">
        <v>43</v>
      </c>
      <c r="D2824">
        <v>5</v>
      </c>
      <c r="E2824">
        <v>5</v>
      </c>
      <c r="F2824">
        <v>43.59</v>
      </c>
      <c r="G2824">
        <v>0</v>
      </c>
      <c r="H2824">
        <v>0</v>
      </c>
      <c r="I2824">
        <v>0</v>
      </c>
      <c r="J2824">
        <v>0</v>
      </c>
      <c r="K2824">
        <v>0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46</v>
      </c>
      <c r="C2825" t="s">
        <v>18</v>
      </c>
      <c r="D2825">
        <v>7</v>
      </c>
      <c r="E2825">
        <v>7</v>
      </c>
      <c r="F2825">
        <v>17.12</v>
      </c>
      <c r="G2825">
        <v>0</v>
      </c>
      <c r="H2825">
        <v>0</v>
      </c>
      <c r="I2825">
        <v>0</v>
      </c>
      <c r="J2825">
        <v>0</v>
      </c>
      <c r="K2825">
        <v>0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47</v>
      </c>
      <c r="C2826" t="s">
        <v>16</v>
      </c>
      <c r="D2826">
        <v>23</v>
      </c>
      <c r="E2826">
        <v>21</v>
      </c>
      <c r="F2826">
        <v>18.3</v>
      </c>
      <c r="G2826">
        <v>0</v>
      </c>
      <c r="H2826">
        <v>0</v>
      </c>
      <c r="I2826">
        <v>0</v>
      </c>
      <c r="J2826">
        <v>0</v>
      </c>
      <c r="K2826">
        <v>0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48</v>
      </c>
      <c r="C2827" t="s">
        <v>16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49</v>
      </c>
      <c r="C2828" t="s">
        <v>18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>
        <v>0</v>
      </c>
      <c r="J2828">
        <v>0</v>
      </c>
      <c r="K2828">
        <v>0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50</v>
      </c>
      <c r="C2829" t="s">
        <v>20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>
        <v>0</v>
      </c>
      <c r="J2829">
        <v>0</v>
      </c>
      <c r="K2829">
        <v>0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51</v>
      </c>
      <c r="C2830" t="s">
        <v>23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52</v>
      </c>
      <c r="C2831" t="s">
        <v>18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>
        <v>0</v>
      </c>
      <c r="J2831">
        <v>0</v>
      </c>
      <c r="K2831">
        <v>0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53</v>
      </c>
      <c r="C2832" t="s">
        <v>18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>
        <v>0</v>
      </c>
      <c r="J2832">
        <v>0</v>
      </c>
      <c r="K2832">
        <v>0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54</v>
      </c>
      <c r="C2833" t="s">
        <v>23</v>
      </c>
      <c r="D2833">
        <v>3</v>
      </c>
      <c r="E2833">
        <v>3</v>
      </c>
      <c r="F2833">
        <v>90.51</v>
      </c>
      <c r="G2833">
        <v>0</v>
      </c>
      <c r="H2833">
        <v>0</v>
      </c>
      <c r="I2833">
        <v>0</v>
      </c>
      <c r="J2833">
        <v>0</v>
      </c>
      <c r="K2833">
        <v>0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55</v>
      </c>
      <c r="C2834" t="s">
        <v>43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56</v>
      </c>
      <c r="C2835" t="s">
        <v>16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>
        <v>0</v>
      </c>
      <c r="J2835">
        <v>0</v>
      </c>
      <c r="K2835">
        <v>0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57</v>
      </c>
      <c r="C2836" t="s">
        <v>43</v>
      </c>
      <c r="D2836">
        <v>4</v>
      </c>
      <c r="E2836">
        <v>4</v>
      </c>
      <c r="F2836">
        <v>62.16</v>
      </c>
      <c r="G2836">
        <v>0</v>
      </c>
      <c r="H2836">
        <v>0</v>
      </c>
      <c r="I2836">
        <v>0</v>
      </c>
      <c r="J2836">
        <v>0</v>
      </c>
      <c r="K2836">
        <v>0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58</v>
      </c>
      <c r="C2837" t="s">
        <v>43</v>
      </c>
      <c r="D2837">
        <v>7</v>
      </c>
      <c r="E2837">
        <v>7</v>
      </c>
      <c r="F2837">
        <v>53.56</v>
      </c>
      <c r="G2837">
        <v>0</v>
      </c>
      <c r="H2837">
        <v>0</v>
      </c>
      <c r="I2837">
        <v>0</v>
      </c>
      <c r="J2837">
        <v>0</v>
      </c>
      <c r="K2837">
        <v>0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59</v>
      </c>
      <c r="C2838" t="s">
        <v>23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60</v>
      </c>
      <c r="C2839" t="s">
        <v>20</v>
      </c>
      <c r="D2839">
        <v>1</v>
      </c>
      <c r="E2839">
        <v>1</v>
      </c>
      <c r="F2839">
        <v>73.31</v>
      </c>
      <c r="G2839">
        <v>0</v>
      </c>
      <c r="H2839">
        <v>0</v>
      </c>
      <c r="I2839">
        <v>0</v>
      </c>
      <c r="J2839">
        <v>0</v>
      </c>
      <c r="K2839">
        <v>0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61</v>
      </c>
      <c r="C2840" t="s">
        <v>18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>
        <v>0</v>
      </c>
      <c r="J2840">
        <v>0</v>
      </c>
      <c r="K2840">
        <v>0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62</v>
      </c>
      <c r="C2841" t="s">
        <v>20</v>
      </c>
      <c r="D2841">
        <v>9</v>
      </c>
      <c r="E2841">
        <v>9</v>
      </c>
      <c r="F2841">
        <v>50.16</v>
      </c>
      <c r="G2841">
        <v>0</v>
      </c>
      <c r="H2841">
        <v>0</v>
      </c>
      <c r="I2841">
        <v>0</v>
      </c>
      <c r="J2841">
        <v>0</v>
      </c>
      <c r="K2841">
        <v>0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63</v>
      </c>
      <c r="C2842" t="s">
        <v>18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>
        <v>0</v>
      </c>
      <c r="J2842">
        <v>0</v>
      </c>
      <c r="K2842">
        <v>0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15</v>
      </c>
      <c r="C2843" t="s">
        <v>16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>
        <v>0</v>
      </c>
      <c r="J2843">
        <v>0</v>
      </c>
      <c r="K2843">
        <v>0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17</v>
      </c>
      <c r="C2844" t="s">
        <v>18</v>
      </c>
      <c r="D2844">
        <v>0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19</v>
      </c>
      <c r="C2845" t="s">
        <v>20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>
        <v>0</v>
      </c>
      <c r="J2845">
        <v>0</v>
      </c>
      <c r="K2845">
        <v>0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21</v>
      </c>
      <c r="C2846" t="s">
        <v>18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>
        <v>0</v>
      </c>
      <c r="J2846">
        <v>0</v>
      </c>
      <c r="K2846">
        <v>0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22</v>
      </c>
      <c r="C2847" t="s">
        <v>23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>
        <v>0</v>
      </c>
      <c r="J2847">
        <v>0</v>
      </c>
      <c r="K2847">
        <v>0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24</v>
      </c>
      <c r="C2848" t="s">
        <v>16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>
        <v>0</v>
      </c>
      <c r="J2848">
        <v>0</v>
      </c>
      <c r="K2848">
        <v>0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25</v>
      </c>
      <c r="C2849" t="s">
        <v>16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>
        <v>0</v>
      </c>
      <c r="J2849">
        <v>0</v>
      </c>
      <c r="K2849">
        <v>0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26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27</v>
      </c>
      <c r="C2851" t="s">
        <v>20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>
        <v>0</v>
      </c>
      <c r="J2851">
        <v>0</v>
      </c>
      <c r="K2851">
        <v>0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28</v>
      </c>
      <c r="C2852" t="s">
        <v>18</v>
      </c>
      <c r="D2852">
        <v>16</v>
      </c>
      <c r="E2852">
        <v>15</v>
      </c>
      <c r="F2852">
        <v>22.2</v>
      </c>
      <c r="G2852">
        <v>0</v>
      </c>
      <c r="H2852">
        <v>0</v>
      </c>
      <c r="I2852">
        <v>0</v>
      </c>
      <c r="J2852">
        <v>0</v>
      </c>
      <c r="K2852">
        <v>0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29</v>
      </c>
      <c r="C2853" t="s">
        <v>16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30</v>
      </c>
      <c r="C2854" t="s">
        <v>20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>
        <v>0</v>
      </c>
      <c r="J2854">
        <v>0</v>
      </c>
      <c r="K2854">
        <v>0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31</v>
      </c>
      <c r="C2855" t="s">
        <v>18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32</v>
      </c>
      <c r="C2856" t="s">
        <v>23</v>
      </c>
      <c r="D2856">
        <v>6</v>
      </c>
      <c r="E2856">
        <v>6</v>
      </c>
      <c r="F2856">
        <v>54.19</v>
      </c>
      <c r="G2856">
        <v>0</v>
      </c>
      <c r="H2856">
        <v>0</v>
      </c>
      <c r="I2856">
        <v>0</v>
      </c>
      <c r="J2856">
        <v>0</v>
      </c>
      <c r="K2856">
        <v>0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33</v>
      </c>
      <c r="C2857" t="s">
        <v>16</v>
      </c>
      <c r="D2857">
        <v>16</v>
      </c>
      <c r="E2857">
        <v>15</v>
      </c>
      <c r="F2857">
        <v>36.4</v>
      </c>
      <c r="G2857">
        <v>0</v>
      </c>
      <c r="H2857">
        <v>0</v>
      </c>
      <c r="I2857">
        <v>0</v>
      </c>
      <c r="J2857">
        <v>0</v>
      </c>
      <c r="K2857">
        <v>0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34</v>
      </c>
      <c r="C2858" t="s">
        <v>18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>
        <v>0</v>
      </c>
      <c r="J2858">
        <v>0</v>
      </c>
      <c r="K2858">
        <v>0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35</v>
      </c>
      <c r="C2859" t="s">
        <v>16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>
        <v>0</v>
      </c>
      <c r="J2859">
        <v>0</v>
      </c>
      <c r="K2859">
        <v>0</v>
      </c>
      <c r="N2859">
        <v>98.02</v>
      </c>
      <c r="O2859">
        <v>23.484848484848481</v>
      </c>
    </row>
    <row r="2860" spans="1:15" x14ac:dyDescent="0.25">
      <c r="A2860" s="11">
        <v>46125</v>
      </c>
      <c r="B2860" t="s">
        <v>36</v>
      </c>
      <c r="C2860" t="s">
        <v>20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16</v>
      </c>
      <c r="K2860" s="3">
        <f>I2860-J2860</f>
        <v>8</v>
      </c>
      <c r="L2860" s="3" t="str">
        <f>IF(K2860&lt;-5,"CRÍTICO",IF(K2860&lt;0,"ATENÇÃO",IF(K2860&lt;=5,"OPORTUNO","MUITO BOM")))</f>
        <v>MUITO BOM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37</v>
      </c>
      <c r="C2861" t="s">
        <v>16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>
        <v>0</v>
      </c>
      <c r="J2861">
        <v>0</v>
      </c>
      <c r="K2861">
        <v>0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38</v>
      </c>
      <c r="C2862" t="s">
        <v>18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>
        <v>0</v>
      </c>
      <c r="J2862">
        <v>0</v>
      </c>
      <c r="K2862">
        <v>0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39</v>
      </c>
      <c r="C2863" t="s">
        <v>18</v>
      </c>
      <c r="D2863">
        <v>9</v>
      </c>
      <c r="E2863">
        <v>9</v>
      </c>
      <c r="F2863">
        <v>25.5</v>
      </c>
      <c r="G2863">
        <v>0</v>
      </c>
      <c r="H2863">
        <v>0</v>
      </c>
      <c r="I2863">
        <v>0</v>
      </c>
      <c r="J2863">
        <v>0</v>
      </c>
      <c r="K2863">
        <v>0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40</v>
      </c>
      <c r="C2864" t="s">
        <v>16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>
        <v>0</v>
      </c>
      <c r="J2864">
        <v>0</v>
      </c>
      <c r="K2864">
        <v>0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41</v>
      </c>
      <c r="C2865" t="s">
        <v>18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42</v>
      </c>
      <c r="C2866" t="s">
        <v>43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>
        <v>0</v>
      </c>
      <c r="J2866">
        <v>0</v>
      </c>
      <c r="K2866">
        <v>0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44</v>
      </c>
      <c r="C2867" t="s">
        <v>18</v>
      </c>
      <c r="D2867">
        <v>1</v>
      </c>
      <c r="E2867">
        <v>1</v>
      </c>
      <c r="F2867">
        <v>43.44</v>
      </c>
      <c r="G2867">
        <v>0</v>
      </c>
      <c r="H2867">
        <v>0</v>
      </c>
      <c r="I2867">
        <v>0</v>
      </c>
      <c r="J2867">
        <v>0</v>
      </c>
      <c r="K2867">
        <v>0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45</v>
      </c>
      <c r="C2868" t="s">
        <v>43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>
        <v>0</v>
      </c>
      <c r="J2868">
        <v>0</v>
      </c>
      <c r="K2868">
        <v>0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46</v>
      </c>
      <c r="C2869" t="s">
        <v>18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>
        <v>0</v>
      </c>
      <c r="J2869">
        <v>0</v>
      </c>
      <c r="K2869">
        <v>0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47</v>
      </c>
      <c r="C2870" t="s">
        <v>16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>
        <v>0</v>
      </c>
      <c r="J2870">
        <v>0</v>
      </c>
      <c r="K2870">
        <v>0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48</v>
      </c>
      <c r="C2871" t="s">
        <v>16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49</v>
      </c>
      <c r="C2872" t="s">
        <v>18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>
        <v>0</v>
      </c>
      <c r="J2872">
        <v>0</v>
      </c>
      <c r="K2872">
        <v>0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50</v>
      </c>
      <c r="C2873" t="s">
        <v>20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>
        <v>0</v>
      </c>
      <c r="J2873">
        <v>0</v>
      </c>
      <c r="K2873">
        <v>0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51</v>
      </c>
      <c r="C2874" t="s">
        <v>23</v>
      </c>
      <c r="D2874">
        <v>10</v>
      </c>
      <c r="E2874">
        <v>8</v>
      </c>
      <c r="F2874">
        <v>33.5</v>
      </c>
      <c r="G2874">
        <v>0</v>
      </c>
      <c r="H2874">
        <v>0</v>
      </c>
      <c r="I2874">
        <v>0</v>
      </c>
      <c r="J2874">
        <v>0</v>
      </c>
      <c r="K2874">
        <v>0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52</v>
      </c>
      <c r="C2875" t="s">
        <v>18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>
        <v>0</v>
      </c>
      <c r="J2875">
        <v>0</v>
      </c>
      <c r="K2875">
        <v>0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53</v>
      </c>
      <c r="C2876" t="s">
        <v>18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>
        <v>0</v>
      </c>
      <c r="J2876">
        <v>0</v>
      </c>
      <c r="K2876">
        <v>0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54</v>
      </c>
      <c r="C2877" t="s">
        <v>23</v>
      </c>
      <c r="D2877">
        <v>4</v>
      </c>
      <c r="E2877">
        <v>4</v>
      </c>
      <c r="F2877">
        <v>85.25</v>
      </c>
      <c r="G2877">
        <v>0</v>
      </c>
      <c r="H2877">
        <v>0</v>
      </c>
      <c r="I2877">
        <v>0</v>
      </c>
      <c r="J2877">
        <v>0</v>
      </c>
      <c r="K2877">
        <v>0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55</v>
      </c>
      <c r="C2878" t="s">
        <v>43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56</v>
      </c>
      <c r="C2879" t="s">
        <v>16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>
        <v>0</v>
      </c>
      <c r="J2879">
        <v>0</v>
      </c>
      <c r="K2879">
        <v>0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57</v>
      </c>
      <c r="C2880" t="s">
        <v>43</v>
      </c>
      <c r="D2880">
        <v>7</v>
      </c>
      <c r="E2880">
        <v>6</v>
      </c>
      <c r="F2880">
        <v>48.48</v>
      </c>
      <c r="G2880">
        <v>0</v>
      </c>
      <c r="H2880">
        <v>0</v>
      </c>
      <c r="I2880">
        <v>0</v>
      </c>
      <c r="J2880">
        <v>0</v>
      </c>
      <c r="K2880">
        <v>0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58</v>
      </c>
      <c r="C2881" t="s">
        <v>43</v>
      </c>
      <c r="D2881">
        <v>8</v>
      </c>
      <c r="E2881">
        <v>8</v>
      </c>
      <c r="F2881">
        <v>55.01</v>
      </c>
      <c r="G2881">
        <v>0</v>
      </c>
      <c r="H2881">
        <v>0</v>
      </c>
      <c r="I2881">
        <v>0</v>
      </c>
      <c r="J2881">
        <v>0</v>
      </c>
      <c r="K2881">
        <v>0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59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60</v>
      </c>
      <c r="C2883" t="s">
        <v>20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61</v>
      </c>
      <c r="C2884" t="s">
        <v>18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>
        <v>0</v>
      </c>
      <c r="J2884">
        <v>0</v>
      </c>
      <c r="K2884">
        <v>0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62</v>
      </c>
      <c r="C2885" t="s">
        <v>20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>
        <v>0</v>
      </c>
      <c r="J2885">
        <v>0</v>
      </c>
      <c r="K2885">
        <v>0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63</v>
      </c>
      <c r="C2886" t="s">
        <v>18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>
        <v>0</v>
      </c>
      <c r="J2886">
        <v>0</v>
      </c>
      <c r="K2886">
        <v>0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15</v>
      </c>
      <c r="C2887" t="s">
        <v>16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>
        <v>0</v>
      </c>
      <c r="J2887">
        <v>0</v>
      </c>
      <c r="K2887">
        <v>0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17</v>
      </c>
      <c r="C2888" t="s">
        <v>18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19</v>
      </c>
      <c r="C2889" t="s">
        <v>20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>
        <v>0</v>
      </c>
      <c r="J2889">
        <v>0</v>
      </c>
      <c r="K2889">
        <v>0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21</v>
      </c>
      <c r="C2890" t="s">
        <v>18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>
        <v>0</v>
      </c>
      <c r="J2890">
        <v>0</v>
      </c>
      <c r="K2890">
        <v>0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22</v>
      </c>
      <c r="C2891" t="s">
        <v>23</v>
      </c>
      <c r="D2891">
        <v>11</v>
      </c>
      <c r="E2891">
        <v>8</v>
      </c>
      <c r="F2891">
        <v>25.38</v>
      </c>
      <c r="G2891">
        <v>0</v>
      </c>
      <c r="H2891">
        <v>0</v>
      </c>
      <c r="I2891">
        <v>0</v>
      </c>
      <c r="J2891">
        <v>0</v>
      </c>
      <c r="K2891">
        <v>0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24</v>
      </c>
      <c r="C2892" t="s">
        <v>16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>
        <v>0</v>
      </c>
      <c r="J2892">
        <v>0</v>
      </c>
      <c r="K2892">
        <v>0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25</v>
      </c>
      <c r="C2893" t="s">
        <v>16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>
        <v>0</v>
      </c>
      <c r="J2893">
        <v>0</v>
      </c>
      <c r="K2893">
        <v>0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26</v>
      </c>
      <c r="C2894" t="s">
        <v>23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27</v>
      </c>
      <c r="C2895" t="s">
        <v>20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>
        <v>0</v>
      </c>
      <c r="J2895">
        <v>0</v>
      </c>
      <c r="K2895">
        <v>0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28</v>
      </c>
      <c r="C2896" t="s">
        <v>18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29</v>
      </c>
      <c r="C2897" t="s">
        <v>16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30</v>
      </c>
      <c r="C2898" t="s">
        <v>20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>
        <v>0</v>
      </c>
      <c r="J2898">
        <v>0</v>
      </c>
      <c r="K2898">
        <v>0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31</v>
      </c>
      <c r="C2899" t="s">
        <v>18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32</v>
      </c>
      <c r="C2900" t="s">
        <v>23</v>
      </c>
      <c r="D2900">
        <v>7</v>
      </c>
      <c r="E2900">
        <v>6</v>
      </c>
      <c r="F2900">
        <v>55.59</v>
      </c>
      <c r="G2900">
        <v>0</v>
      </c>
      <c r="H2900">
        <v>0</v>
      </c>
      <c r="I2900">
        <v>0</v>
      </c>
      <c r="J2900">
        <v>0</v>
      </c>
      <c r="K2900">
        <v>0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33</v>
      </c>
      <c r="C2901" t="s">
        <v>16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>
        <v>0</v>
      </c>
      <c r="J2901">
        <v>0</v>
      </c>
      <c r="K2901">
        <v>0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34</v>
      </c>
      <c r="C2902" t="s">
        <v>18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>
        <v>0</v>
      </c>
      <c r="J2902">
        <v>0</v>
      </c>
      <c r="K2902">
        <v>0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35</v>
      </c>
      <c r="C2903" t="s">
        <v>16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>
        <v>0</v>
      </c>
      <c r="J2903">
        <v>0</v>
      </c>
      <c r="K2903">
        <v>0</v>
      </c>
      <c r="N2903">
        <v>98.02</v>
      </c>
      <c r="O2903">
        <v>23.484848484848481</v>
      </c>
    </row>
    <row r="2904" spans="1:15" x14ac:dyDescent="0.25">
      <c r="A2904" s="11">
        <v>46126</v>
      </c>
      <c r="B2904" t="s">
        <v>36</v>
      </c>
      <c r="C2904" t="s">
        <v>20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>E2904+G2904+H2904</f>
        <v>29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19</v>
      </c>
      <c r="K2904" s="3">
        <f>I2904-J2904</f>
        <v>10</v>
      </c>
      <c r="L2904" s="3" t="str">
        <f>IF(K2904&lt;-5,"CRÍTICO",IF(K2904&lt;0,"ATENÇÃO",IF(K2904&lt;=5,"OPORTUNO","MUITO BOM")))</f>
        <v>MUITO BOM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37</v>
      </c>
      <c r="C2905" t="s">
        <v>16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>
        <v>0</v>
      </c>
      <c r="J2905">
        <v>0</v>
      </c>
      <c r="K2905">
        <v>0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38</v>
      </c>
      <c r="C2906" t="s">
        <v>18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>
        <v>0</v>
      </c>
      <c r="J2906">
        <v>0</v>
      </c>
      <c r="K2906">
        <v>0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39</v>
      </c>
      <c r="C2907" t="s">
        <v>18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40</v>
      </c>
      <c r="C2908" t="s">
        <v>16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>
        <v>0</v>
      </c>
      <c r="J2908">
        <v>0</v>
      </c>
      <c r="K2908">
        <v>0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41</v>
      </c>
      <c r="C2909" t="s">
        <v>18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42</v>
      </c>
      <c r="C2910" t="s">
        <v>43</v>
      </c>
      <c r="D2910">
        <v>6</v>
      </c>
      <c r="E2910">
        <v>6</v>
      </c>
      <c r="F2910">
        <v>55.21</v>
      </c>
      <c r="G2910">
        <v>0</v>
      </c>
      <c r="H2910">
        <v>0</v>
      </c>
      <c r="I2910">
        <v>0</v>
      </c>
      <c r="J2910">
        <v>0</v>
      </c>
      <c r="K2910">
        <v>0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44</v>
      </c>
      <c r="C2911" t="s">
        <v>18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45</v>
      </c>
      <c r="C2912" t="s">
        <v>43</v>
      </c>
      <c r="D2912">
        <v>12</v>
      </c>
      <c r="E2912">
        <v>11</v>
      </c>
      <c r="F2912">
        <v>45</v>
      </c>
      <c r="G2912">
        <v>0</v>
      </c>
      <c r="H2912">
        <v>0</v>
      </c>
      <c r="I2912">
        <v>0</v>
      </c>
      <c r="J2912">
        <v>0</v>
      </c>
      <c r="K2912">
        <v>0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46</v>
      </c>
      <c r="C2913" t="s">
        <v>18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47</v>
      </c>
      <c r="C2914" t="s">
        <v>16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>
        <v>0</v>
      </c>
      <c r="J2914">
        <v>0</v>
      </c>
      <c r="K2914">
        <v>0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48</v>
      </c>
      <c r="C2915" t="s">
        <v>16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49</v>
      </c>
      <c r="C2916" t="s">
        <v>18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>
        <v>0</v>
      </c>
      <c r="J2916">
        <v>0</v>
      </c>
      <c r="K2916">
        <v>0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50</v>
      </c>
      <c r="C2917" t="s">
        <v>20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>
        <v>0</v>
      </c>
      <c r="J2917">
        <v>0</v>
      </c>
      <c r="K2917">
        <v>0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51</v>
      </c>
      <c r="C2918" t="s">
        <v>23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52</v>
      </c>
      <c r="C2919" t="s">
        <v>18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>
        <v>0</v>
      </c>
      <c r="J2919">
        <v>0</v>
      </c>
      <c r="K2919">
        <v>0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53</v>
      </c>
      <c r="C2920" t="s">
        <v>18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>
        <v>0</v>
      </c>
      <c r="J2920">
        <v>0</v>
      </c>
      <c r="K2920">
        <v>0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54</v>
      </c>
      <c r="C2921" t="s">
        <v>23</v>
      </c>
      <c r="D2921">
        <v>6</v>
      </c>
      <c r="E2921">
        <v>5</v>
      </c>
      <c r="F2921">
        <v>46.5</v>
      </c>
      <c r="G2921">
        <v>0</v>
      </c>
      <c r="H2921">
        <v>0</v>
      </c>
      <c r="I2921">
        <v>0</v>
      </c>
      <c r="J2921">
        <v>0</v>
      </c>
      <c r="K2921">
        <v>0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55</v>
      </c>
      <c r="C2922" t="s">
        <v>43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56</v>
      </c>
      <c r="C2923" t="s">
        <v>16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>
        <v>0</v>
      </c>
      <c r="J2923">
        <v>0</v>
      </c>
      <c r="K2923">
        <v>0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57</v>
      </c>
      <c r="C2924" t="s">
        <v>43</v>
      </c>
      <c r="D2924">
        <v>9</v>
      </c>
      <c r="E2924">
        <v>8</v>
      </c>
      <c r="F2924">
        <v>40.11</v>
      </c>
      <c r="G2924">
        <v>0</v>
      </c>
      <c r="H2924">
        <v>0</v>
      </c>
      <c r="I2924">
        <v>0</v>
      </c>
      <c r="J2924">
        <v>0</v>
      </c>
      <c r="K2924">
        <v>0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58</v>
      </c>
      <c r="C2925" t="s">
        <v>43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>
        <v>0</v>
      </c>
      <c r="J2925">
        <v>0</v>
      </c>
      <c r="K2925">
        <v>0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59</v>
      </c>
      <c r="C2926" t="s">
        <v>23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60</v>
      </c>
      <c r="C2927" t="s">
        <v>20</v>
      </c>
      <c r="D2927">
        <v>34</v>
      </c>
      <c r="E2927">
        <v>27</v>
      </c>
      <c r="F2927">
        <v>22.3</v>
      </c>
      <c r="G2927">
        <v>0</v>
      </c>
      <c r="H2927">
        <v>0</v>
      </c>
      <c r="I2927">
        <v>0</v>
      </c>
      <c r="J2927">
        <v>0</v>
      </c>
      <c r="K2927">
        <v>0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61</v>
      </c>
      <c r="C2928" t="s">
        <v>18</v>
      </c>
      <c r="D2928">
        <v>49</v>
      </c>
      <c r="E2928">
        <v>44</v>
      </c>
      <c r="F2928">
        <v>15.2</v>
      </c>
      <c r="G2928">
        <v>0</v>
      </c>
      <c r="H2928">
        <v>0</v>
      </c>
      <c r="I2928">
        <v>0</v>
      </c>
      <c r="J2928">
        <v>0</v>
      </c>
      <c r="K2928">
        <v>0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62</v>
      </c>
      <c r="C2929" t="s">
        <v>20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>
        <v>0</v>
      </c>
      <c r="J2929">
        <v>0</v>
      </c>
      <c r="K2929">
        <v>0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63</v>
      </c>
      <c r="C2930" t="s">
        <v>18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>
        <v>0</v>
      </c>
      <c r="J2930">
        <v>0</v>
      </c>
      <c r="K2930">
        <v>0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15</v>
      </c>
      <c r="C2931" t="s">
        <v>16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>
        <v>0</v>
      </c>
      <c r="J2931">
        <v>0</v>
      </c>
      <c r="K2931">
        <v>0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17</v>
      </c>
      <c r="C2932" t="s">
        <v>18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19</v>
      </c>
      <c r="C2933" t="s">
        <v>20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>
        <v>0</v>
      </c>
      <c r="J2933">
        <v>0</v>
      </c>
      <c r="K2933">
        <v>0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21</v>
      </c>
      <c r="C2934" t="s">
        <v>18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>
        <v>0</v>
      </c>
      <c r="J2934">
        <v>0</v>
      </c>
      <c r="K2934">
        <v>0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22</v>
      </c>
      <c r="C2935" t="s">
        <v>23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>
        <v>0</v>
      </c>
      <c r="J2935">
        <v>0</v>
      </c>
      <c r="K2935">
        <v>0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24</v>
      </c>
      <c r="C2936" t="s">
        <v>16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>
        <v>0</v>
      </c>
      <c r="J2936">
        <v>0</v>
      </c>
      <c r="K2936">
        <v>0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25</v>
      </c>
      <c r="C2937" t="s">
        <v>16</v>
      </c>
      <c r="D2937">
        <v>9</v>
      </c>
      <c r="E2937">
        <v>9</v>
      </c>
      <c r="F2937">
        <v>56.55</v>
      </c>
      <c r="G2937">
        <v>0</v>
      </c>
      <c r="H2937">
        <v>0</v>
      </c>
      <c r="I2937">
        <v>0</v>
      </c>
      <c r="J2937">
        <v>0</v>
      </c>
      <c r="K2937">
        <v>0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26</v>
      </c>
      <c r="C2938" t="s">
        <v>23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27</v>
      </c>
      <c r="C2939" t="s">
        <v>20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>
        <v>0</v>
      </c>
      <c r="J2939">
        <v>0</v>
      </c>
      <c r="K2939">
        <v>0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28</v>
      </c>
      <c r="C2940" t="s">
        <v>18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29</v>
      </c>
      <c r="C2941" t="s">
        <v>16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30</v>
      </c>
      <c r="C2942" t="s">
        <v>20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>
        <v>0</v>
      </c>
      <c r="J2942">
        <v>0</v>
      </c>
      <c r="K2942">
        <v>0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31</v>
      </c>
      <c r="C2943" t="s">
        <v>18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32</v>
      </c>
      <c r="C2944" t="s">
        <v>23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>
        <v>0</v>
      </c>
      <c r="J2944">
        <v>0</v>
      </c>
      <c r="K2944">
        <v>0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33</v>
      </c>
      <c r="C2945" t="s">
        <v>16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>
        <v>0</v>
      </c>
      <c r="J2945">
        <v>0</v>
      </c>
      <c r="K2945">
        <v>0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34</v>
      </c>
      <c r="C2946" t="s">
        <v>18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>
        <v>0</v>
      </c>
      <c r="J2946">
        <v>0</v>
      </c>
      <c r="K2946">
        <v>0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35</v>
      </c>
      <c r="C2947" t="s">
        <v>16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>
        <v>0</v>
      </c>
      <c r="J2947">
        <v>0</v>
      </c>
      <c r="K2947">
        <v>0</v>
      </c>
      <c r="N2947">
        <v>98.02</v>
      </c>
      <c r="O2947">
        <v>23.484848484848481</v>
      </c>
    </row>
    <row r="2948" spans="1:15" x14ac:dyDescent="0.25">
      <c r="A2948" s="11">
        <v>46127</v>
      </c>
      <c r="B2948" t="s">
        <v>36</v>
      </c>
      <c r="C2948" t="s">
        <v>20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>E2948+G2948+H2948</f>
        <v>38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20</v>
      </c>
      <c r="K2948" s="3">
        <f>I2948-J2948</f>
        <v>18</v>
      </c>
      <c r="L2948" s="3" t="str">
        <f>IF(K2948&lt;-5,"CRÍTICO",IF(K2948&lt;0,"ATENÇÃO",IF(K2948&lt;=5,"OPORTUNO","MUITO BOM")))</f>
        <v>MUITO BOM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37</v>
      </c>
      <c r="C2949" t="s">
        <v>16</v>
      </c>
      <c r="D2949">
        <v>23</v>
      </c>
      <c r="E2949">
        <v>21</v>
      </c>
      <c r="F2949">
        <v>22.1</v>
      </c>
      <c r="G2949">
        <v>0</v>
      </c>
      <c r="H2949">
        <v>0</v>
      </c>
      <c r="I2949">
        <v>0</v>
      </c>
      <c r="J2949">
        <v>0</v>
      </c>
      <c r="K2949">
        <v>0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38</v>
      </c>
      <c r="C2950" t="s">
        <v>18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>
        <v>0</v>
      </c>
      <c r="J2950">
        <v>0</v>
      </c>
      <c r="K2950">
        <v>0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39</v>
      </c>
      <c r="C2951" t="s">
        <v>18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40</v>
      </c>
      <c r="C2952" t="s">
        <v>16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>
        <v>0</v>
      </c>
      <c r="J2952">
        <v>0</v>
      </c>
      <c r="K2952">
        <v>0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41</v>
      </c>
      <c r="C2953" t="s">
        <v>18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42</v>
      </c>
      <c r="C2954" t="s">
        <v>43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>
        <v>0</v>
      </c>
      <c r="J2954">
        <v>0</v>
      </c>
      <c r="K2954">
        <v>0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44</v>
      </c>
      <c r="C2955" t="s">
        <v>18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45</v>
      </c>
      <c r="C2956" t="s">
        <v>43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>
        <v>0</v>
      </c>
      <c r="J2956">
        <v>0</v>
      </c>
      <c r="K2956">
        <v>0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46</v>
      </c>
      <c r="C2957" t="s">
        <v>18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47</v>
      </c>
      <c r="C2958" t="s">
        <v>16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>
        <v>0</v>
      </c>
      <c r="J2958">
        <v>0</v>
      </c>
      <c r="K2958">
        <v>0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48</v>
      </c>
      <c r="C2959" t="s">
        <v>16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49</v>
      </c>
      <c r="C2960" t="s">
        <v>18</v>
      </c>
      <c r="D2960">
        <v>24</v>
      </c>
      <c r="E2960">
        <v>21</v>
      </c>
      <c r="F2960">
        <v>29.1</v>
      </c>
      <c r="G2960">
        <v>0</v>
      </c>
      <c r="H2960">
        <v>0</v>
      </c>
      <c r="I2960">
        <v>0</v>
      </c>
      <c r="J2960">
        <v>0</v>
      </c>
      <c r="K2960">
        <v>0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50</v>
      </c>
      <c r="C2961" t="s">
        <v>20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>
        <v>0</v>
      </c>
      <c r="J2961">
        <v>0</v>
      </c>
      <c r="K2961">
        <v>0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51</v>
      </c>
      <c r="C2962" t="s">
        <v>23</v>
      </c>
      <c r="D2962">
        <v>4</v>
      </c>
      <c r="E2962">
        <v>4</v>
      </c>
      <c r="F2962">
        <v>85.44</v>
      </c>
      <c r="G2962">
        <v>0</v>
      </c>
      <c r="H2962">
        <v>0</v>
      </c>
      <c r="I2962">
        <v>0</v>
      </c>
      <c r="J2962">
        <v>0</v>
      </c>
      <c r="K2962">
        <v>0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52</v>
      </c>
      <c r="C2963" t="s">
        <v>18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>
        <v>0</v>
      </c>
      <c r="J2963">
        <v>0</v>
      </c>
      <c r="K2963">
        <v>0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53</v>
      </c>
      <c r="C2964" t="s">
        <v>18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>
        <v>0</v>
      </c>
      <c r="J2964">
        <v>0</v>
      </c>
      <c r="K2964">
        <v>0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54</v>
      </c>
      <c r="C2965" t="s">
        <v>23</v>
      </c>
      <c r="D2965">
        <v>6</v>
      </c>
      <c r="E2965">
        <v>6</v>
      </c>
      <c r="F2965">
        <v>43.49</v>
      </c>
      <c r="G2965">
        <v>0</v>
      </c>
      <c r="H2965">
        <v>0</v>
      </c>
      <c r="I2965">
        <v>0</v>
      </c>
      <c r="J2965">
        <v>0</v>
      </c>
      <c r="K2965">
        <v>0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55</v>
      </c>
      <c r="C2966" t="s">
        <v>43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56</v>
      </c>
      <c r="C2967" t="s">
        <v>16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>
        <v>0</v>
      </c>
      <c r="J2967">
        <v>0</v>
      </c>
      <c r="K2967">
        <v>0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57</v>
      </c>
      <c r="C2968" t="s">
        <v>43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>
        <v>0</v>
      </c>
      <c r="J2968">
        <v>0</v>
      </c>
      <c r="K2968">
        <v>0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58</v>
      </c>
      <c r="C2969" t="s">
        <v>43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>
        <v>0</v>
      </c>
      <c r="J2969">
        <v>0</v>
      </c>
      <c r="K2969">
        <v>0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59</v>
      </c>
      <c r="C2970" t="s">
        <v>23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60</v>
      </c>
      <c r="C2971" t="s">
        <v>20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>
        <v>0</v>
      </c>
      <c r="J2971">
        <v>0</v>
      </c>
      <c r="K2971">
        <v>0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61</v>
      </c>
      <c r="C2972" t="s">
        <v>18</v>
      </c>
      <c r="D2972">
        <v>45</v>
      </c>
      <c r="E2972">
        <v>42</v>
      </c>
      <c r="F2972">
        <v>13.5</v>
      </c>
      <c r="G2972">
        <v>0</v>
      </c>
      <c r="H2972">
        <v>0</v>
      </c>
      <c r="I2972">
        <v>0</v>
      </c>
      <c r="J2972">
        <v>0</v>
      </c>
      <c r="K2972">
        <v>0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62</v>
      </c>
      <c r="C2973" t="s">
        <v>20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>
        <v>0</v>
      </c>
      <c r="J2973">
        <v>0</v>
      </c>
      <c r="K2973">
        <v>0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63</v>
      </c>
      <c r="C2974" t="s">
        <v>18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>
        <v>0</v>
      </c>
      <c r="J2974">
        <v>0</v>
      </c>
      <c r="K2974">
        <v>0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15</v>
      </c>
      <c r="C2975" t="s">
        <v>16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>
        <v>0</v>
      </c>
      <c r="J2975">
        <v>0</v>
      </c>
      <c r="K2975">
        <v>0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17</v>
      </c>
      <c r="C2976" t="s">
        <v>18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19</v>
      </c>
      <c r="C2977" t="s">
        <v>20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>
        <v>0</v>
      </c>
      <c r="J2977">
        <v>0</v>
      </c>
      <c r="K2977">
        <v>0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21</v>
      </c>
      <c r="C2978" t="s">
        <v>18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>
        <v>0</v>
      </c>
      <c r="J2978">
        <v>0</v>
      </c>
      <c r="K2978">
        <v>0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22</v>
      </c>
      <c r="C2979" t="s">
        <v>23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24</v>
      </c>
      <c r="C2980" t="s">
        <v>16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>
        <v>0</v>
      </c>
      <c r="J2980">
        <v>0</v>
      </c>
      <c r="K2980">
        <v>0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25</v>
      </c>
      <c r="C2981" t="s">
        <v>16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>
        <v>0</v>
      </c>
      <c r="J2981">
        <v>0</v>
      </c>
      <c r="K2981">
        <v>0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26</v>
      </c>
      <c r="C2982" t="s">
        <v>23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27</v>
      </c>
      <c r="C2983" t="s">
        <v>20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>
        <v>0</v>
      </c>
      <c r="J2983">
        <v>0</v>
      </c>
      <c r="K2983">
        <v>0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28</v>
      </c>
      <c r="C2984" t="s">
        <v>18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29</v>
      </c>
      <c r="C2985" t="s">
        <v>16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30</v>
      </c>
      <c r="C2986" t="s">
        <v>20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>
        <v>0</v>
      </c>
      <c r="J2986">
        <v>0</v>
      </c>
      <c r="K2986">
        <v>0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31</v>
      </c>
      <c r="C2987" t="s">
        <v>18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32</v>
      </c>
      <c r="C2988" t="s">
        <v>23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>
        <v>0</v>
      </c>
      <c r="J2988">
        <v>0</v>
      </c>
      <c r="K2988">
        <v>0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33</v>
      </c>
      <c r="C2989" t="s">
        <v>16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>
        <v>0</v>
      </c>
      <c r="J2989">
        <v>0</v>
      </c>
      <c r="K2989">
        <v>0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34</v>
      </c>
      <c r="C2990" t="s">
        <v>18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>
        <v>0</v>
      </c>
      <c r="J2990">
        <v>0</v>
      </c>
      <c r="K2990">
        <v>0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35</v>
      </c>
      <c r="C2991" t="s">
        <v>16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>
        <v>0</v>
      </c>
      <c r="J2991">
        <v>0</v>
      </c>
      <c r="K2991">
        <v>0</v>
      </c>
      <c r="N2991">
        <v>98.02</v>
      </c>
      <c r="O2991">
        <v>23.484848484848481</v>
      </c>
    </row>
    <row r="2992" spans="1:15" x14ac:dyDescent="0.25">
      <c r="A2992" s="11">
        <v>46128</v>
      </c>
      <c r="B2992" t="s">
        <v>36</v>
      </c>
      <c r="C2992" t="s">
        <v>20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>E2992+G2992+H2992</f>
        <v>30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18</v>
      </c>
      <c r="K2992" s="3">
        <f>I2992-J2992</f>
        <v>12</v>
      </c>
      <c r="L2992" s="3" t="str">
        <f>IF(K2992&lt;-5,"CRÍTICO",IF(K2992&lt;0,"ATENÇÃO",IF(K2992&lt;=5,"OPORTUNO","MUITO BOM")))</f>
        <v>MUITO BOM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37</v>
      </c>
      <c r="C2993" t="s">
        <v>16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>
        <v>0</v>
      </c>
      <c r="J2993">
        <v>0</v>
      </c>
      <c r="K2993">
        <v>0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38</v>
      </c>
      <c r="C2994" t="s">
        <v>18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>
        <v>0</v>
      </c>
      <c r="J2994">
        <v>0</v>
      </c>
      <c r="K2994">
        <v>0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39</v>
      </c>
      <c r="C2995" t="s">
        <v>18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40</v>
      </c>
      <c r="C2996" t="s">
        <v>16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>
        <v>0</v>
      </c>
      <c r="J2996">
        <v>0</v>
      </c>
      <c r="K2996">
        <v>0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41</v>
      </c>
      <c r="C2997" t="s">
        <v>18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42</v>
      </c>
      <c r="C2998" t="s">
        <v>43</v>
      </c>
      <c r="D2998">
        <v>5</v>
      </c>
      <c r="E2998">
        <v>5</v>
      </c>
      <c r="F2998">
        <v>61.54</v>
      </c>
      <c r="G2998">
        <v>0</v>
      </c>
      <c r="H2998">
        <v>0</v>
      </c>
      <c r="I2998">
        <v>0</v>
      </c>
      <c r="J2998">
        <v>0</v>
      </c>
      <c r="K2998">
        <v>0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44</v>
      </c>
      <c r="C2999" t="s">
        <v>18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45</v>
      </c>
      <c r="C3000" t="s">
        <v>43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>
        <v>0</v>
      </c>
      <c r="J3000">
        <v>0</v>
      </c>
      <c r="K3000">
        <v>0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46</v>
      </c>
      <c r="C3001" t="s">
        <v>18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47</v>
      </c>
      <c r="C3002" t="s">
        <v>16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>
        <v>0</v>
      </c>
      <c r="J3002">
        <v>0</v>
      </c>
      <c r="K3002">
        <v>0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48</v>
      </c>
      <c r="C3003" t="s">
        <v>16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49</v>
      </c>
      <c r="C3004" t="s">
        <v>18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>
        <v>0</v>
      </c>
      <c r="J3004">
        <v>0</v>
      </c>
      <c r="K3004">
        <v>0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50</v>
      </c>
      <c r="C3005" t="s">
        <v>20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>
        <v>0</v>
      </c>
      <c r="J3005">
        <v>0</v>
      </c>
      <c r="K3005">
        <v>0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51</v>
      </c>
      <c r="C3006" t="s">
        <v>23</v>
      </c>
      <c r="D3006">
        <v>6</v>
      </c>
      <c r="E3006">
        <v>4</v>
      </c>
      <c r="F3006">
        <v>53.49</v>
      </c>
      <c r="G3006">
        <v>0</v>
      </c>
      <c r="H3006">
        <v>0</v>
      </c>
      <c r="I3006">
        <v>0</v>
      </c>
      <c r="J3006">
        <v>0</v>
      </c>
      <c r="K3006">
        <v>0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52</v>
      </c>
      <c r="C3007" t="s">
        <v>18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>
        <v>0</v>
      </c>
      <c r="J3007">
        <v>0</v>
      </c>
      <c r="K3007">
        <v>0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53</v>
      </c>
      <c r="C3008" t="s">
        <v>18</v>
      </c>
      <c r="D3008">
        <v>32</v>
      </c>
      <c r="E3008">
        <v>28</v>
      </c>
      <c r="F3008">
        <v>15</v>
      </c>
      <c r="G3008">
        <v>0</v>
      </c>
      <c r="H3008">
        <v>0</v>
      </c>
      <c r="I3008">
        <v>0</v>
      </c>
      <c r="J3008">
        <v>0</v>
      </c>
      <c r="K3008">
        <v>0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54</v>
      </c>
      <c r="C3009" t="s">
        <v>23</v>
      </c>
      <c r="D3009">
        <v>6</v>
      </c>
      <c r="E3009">
        <v>6</v>
      </c>
      <c r="F3009">
        <v>48.34</v>
      </c>
      <c r="G3009">
        <v>0</v>
      </c>
      <c r="H3009">
        <v>0</v>
      </c>
      <c r="I3009">
        <v>0</v>
      </c>
      <c r="J3009">
        <v>0</v>
      </c>
      <c r="K3009">
        <v>0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55</v>
      </c>
      <c r="C3010" t="s">
        <v>43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56</v>
      </c>
      <c r="C3011" t="s">
        <v>16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>
        <v>0</v>
      </c>
      <c r="J3011">
        <v>0</v>
      </c>
      <c r="K3011">
        <v>0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57</v>
      </c>
      <c r="C3012" t="s">
        <v>43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>
        <v>0</v>
      </c>
      <c r="J3012">
        <v>0</v>
      </c>
      <c r="K3012">
        <v>0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58</v>
      </c>
      <c r="C3013" t="s">
        <v>43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>
        <v>0</v>
      </c>
      <c r="J3013">
        <v>0</v>
      </c>
      <c r="K3013">
        <v>0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59</v>
      </c>
      <c r="C3014" t="s">
        <v>23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60</v>
      </c>
      <c r="C3015" t="s">
        <v>20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>
        <v>0</v>
      </c>
      <c r="J3015">
        <v>0</v>
      </c>
      <c r="K3015">
        <v>0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61</v>
      </c>
      <c r="C3016" t="s">
        <v>18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>
        <v>0</v>
      </c>
      <c r="J3016">
        <v>0</v>
      </c>
      <c r="K3016">
        <v>0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62</v>
      </c>
      <c r="C3017" t="s">
        <v>20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>
        <v>0</v>
      </c>
      <c r="J3017">
        <v>0</v>
      </c>
      <c r="K3017">
        <v>0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63</v>
      </c>
      <c r="C3018" t="s">
        <v>18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>
        <v>0</v>
      </c>
      <c r="J3018">
        <v>0</v>
      </c>
      <c r="K3018">
        <v>0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15</v>
      </c>
      <c r="C3019" t="s">
        <v>16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>
        <v>0</v>
      </c>
      <c r="J3019">
        <v>0</v>
      </c>
      <c r="K3019">
        <v>0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17</v>
      </c>
      <c r="C3020" t="s">
        <v>18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19</v>
      </c>
      <c r="C3021" t="s">
        <v>20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>
        <v>0</v>
      </c>
      <c r="J3021">
        <v>0</v>
      </c>
      <c r="K3021">
        <v>0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21</v>
      </c>
      <c r="C3022" t="s">
        <v>18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>
        <v>0</v>
      </c>
      <c r="J3022">
        <v>0</v>
      </c>
      <c r="K3022">
        <v>0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22</v>
      </c>
      <c r="C3023" t="s">
        <v>23</v>
      </c>
      <c r="D3023">
        <v>7</v>
      </c>
      <c r="E3023">
        <v>7</v>
      </c>
      <c r="F3023">
        <v>33.53</v>
      </c>
      <c r="G3023">
        <v>0</v>
      </c>
      <c r="H3023">
        <v>0</v>
      </c>
      <c r="I3023">
        <v>0</v>
      </c>
      <c r="J3023">
        <v>0</v>
      </c>
      <c r="K3023">
        <v>0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24</v>
      </c>
      <c r="C3024" t="s">
        <v>16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>
        <v>0</v>
      </c>
      <c r="J3024">
        <v>0</v>
      </c>
      <c r="K3024">
        <v>0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25</v>
      </c>
      <c r="C3025" t="s">
        <v>16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>
        <v>0</v>
      </c>
      <c r="J3025">
        <v>0</v>
      </c>
      <c r="K3025">
        <v>0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26</v>
      </c>
      <c r="C3026" t="s">
        <v>23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27</v>
      </c>
      <c r="C3027" t="s">
        <v>20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>
        <v>0</v>
      </c>
      <c r="J3027">
        <v>0</v>
      </c>
      <c r="K3027">
        <v>0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28</v>
      </c>
      <c r="C3028" t="s">
        <v>18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>
        <v>0</v>
      </c>
      <c r="J3028">
        <v>0</v>
      </c>
      <c r="K3028">
        <v>0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29</v>
      </c>
      <c r="C3029" t="s">
        <v>16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30</v>
      </c>
      <c r="C3030" t="s">
        <v>20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>
        <v>0</v>
      </c>
      <c r="J3030">
        <v>0</v>
      </c>
      <c r="K3030">
        <v>0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31</v>
      </c>
      <c r="C3031" t="s">
        <v>18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32</v>
      </c>
      <c r="C3032" t="s">
        <v>23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33</v>
      </c>
      <c r="C3033" t="s">
        <v>16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>
        <v>0</v>
      </c>
      <c r="J3033">
        <v>0</v>
      </c>
      <c r="K3033">
        <v>0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34</v>
      </c>
      <c r="C3034" t="s">
        <v>18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>
        <v>0</v>
      </c>
      <c r="J3034">
        <v>0</v>
      </c>
      <c r="K3034">
        <v>0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35</v>
      </c>
      <c r="C3035" t="s">
        <v>16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>
        <v>0</v>
      </c>
      <c r="J3035">
        <v>0</v>
      </c>
      <c r="K3035">
        <v>0</v>
      </c>
      <c r="N3035">
        <v>98.02</v>
      </c>
      <c r="O3035">
        <v>23.484848484848481</v>
      </c>
    </row>
    <row r="3036" spans="1:15" x14ac:dyDescent="0.25">
      <c r="A3036" s="11">
        <v>46129</v>
      </c>
      <c r="B3036" t="s">
        <v>36</v>
      </c>
      <c r="C3036" t="s">
        <v>20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>E3036+G3036+H3036</f>
        <v>21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17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37</v>
      </c>
      <c r="C3037" t="s">
        <v>16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>
        <v>0</v>
      </c>
      <c r="J3037">
        <v>0</v>
      </c>
      <c r="K3037">
        <v>0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38</v>
      </c>
      <c r="C3038" t="s">
        <v>18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>
        <v>0</v>
      </c>
      <c r="J3038">
        <v>0</v>
      </c>
      <c r="K3038">
        <v>0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39</v>
      </c>
      <c r="C3039" t="s">
        <v>18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>
        <v>0</v>
      </c>
      <c r="J3039">
        <v>0</v>
      </c>
      <c r="K3039">
        <v>0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40</v>
      </c>
      <c r="C3040" t="s">
        <v>16</v>
      </c>
      <c r="D3040">
        <v>9</v>
      </c>
      <c r="E3040">
        <v>7</v>
      </c>
      <c r="F3040">
        <v>12.08</v>
      </c>
      <c r="G3040">
        <v>0</v>
      </c>
      <c r="H3040">
        <v>0</v>
      </c>
      <c r="I3040">
        <v>0</v>
      </c>
      <c r="J3040">
        <v>0</v>
      </c>
      <c r="K3040">
        <v>0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41</v>
      </c>
      <c r="C3041" t="s">
        <v>18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42</v>
      </c>
      <c r="C3042" t="s">
        <v>43</v>
      </c>
      <c r="D3042">
        <v>6</v>
      </c>
      <c r="E3042">
        <v>6</v>
      </c>
      <c r="F3042">
        <v>42.26</v>
      </c>
      <c r="G3042">
        <v>0</v>
      </c>
      <c r="H3042">
        <v>0</v>
      </c>
      <c r="I3042">
        <v>0</v>
      </c>
      <c r="J3042">
        <v>0</v>
      </c>
      <c r="K3042">
        <v>0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44</v>
      </c>
      <c r="C3043" t="s">
        <v>18</v>
      </c>
      <c r="D3043">
        <v>3</v>
      </c>
      <c r="E3043">
        <v>3</v>
      </c>
      <c r="F3043">
        <v>13.24</v>
      </c>
      <c r="G3043">
        <v>0</v>
      </c>
      <c r="H3043">
        <v>0</v>
      </c>
      <c r="I3043">
        <v>0</v>
      </c>
      <c r="J3043">
        <v>0</v>
      </c>
      <c r="K3043">
        <v>0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45</v>
      </c>
      <c r="C3044" t="s">
        <v>43</v>
      </c>
      <c r="D3044">
        <v>9</v>
      </c>
      <c r="E3044">
        <v>8</v>
      </c>
      <c r="F3044">
        <v>22.27</v>
      </c>
      <c r="G3044">
        <v>0</v>
      </c>
      <c r="H3044">
        <v>0</v>
      </c>
      <c r="I3044">
        <v>0</v>
      </c>
      <c r="J3044">
        <v>0</v>
      </c>
      <c r="K3044">
        <v>0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46</v>
      </c>
      <c r="C3045" t="s">
        <v>18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>
        <v>0</v>
      </c>
      <c r="J3045">
        <v>0</v>
      </c>
      <c r="K3045">
        <v>0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47</v>
      </c>
      <c r="C3046" t="s">
        <v>16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>
        <v>0</v>
      </c>
      <c r="J3046">
        <v>0</v>
      </c>
      <c r="K3046">
        <v>0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48</v>
      </c>
      <c r="C3047" t="s">
        <v>16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49</v>
      </c>
      <c r="C3048" t="s">
        <v>18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50</v>
      </c>
      <c r="C3049" t="s">
        <v>20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>
        <v>0</v>
      </c>
      <c r="J3049">
        <v>0</v>
      </c>
      <c r="K3049">
        <v>0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51</v>
      </c>
      <c r="C3050" t="s">
        <v>23</v>
      </c>
      <c r="D3050">
        <v>7</v>
      </c>
      <c r="E3050">
        <v>7</v>
      </c>
      <c r="F3050">
        <v>54.04</v>
      </c>
      <c r="G3050">
        <v>0</v>
      </c>
      <c r="H3050">
        <v>0</v>
      </c>
      <c r="I3050">
        <v>0</v>
      </c>
      <c r="J3050">
        <v>0</v>
      </c>
      <c r="K3050">
        <v>0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52</v>
      </c>
      <c r="C3051" t="s">
        <v>18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>
        <v>0</v>
      </c>
      <c r="J3051">
        <v>0</v>
      </c>
      <c r="K3051">
        <v>0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53</v>
      </c>
      <c r="C3052" t="s">
        <v>18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>
        <v>0</v>
      </c>
      <c r="J3052">
        <v>0</v>
      </c>
      <c r="K3052">
        <v>0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54</v>
      </c>
      <c r="C3053" t="s">
        <v>23</v>
      </c>
      <c r="D3053">
        <v>4</v>
      </c>
      <c r="E3053">
        <v>4</v>
      </c>
      <c r="F3053">
        <v>77.19</v>
      </c>
      <c r="G3053">
        <v>0</v>
      </c>
      <c r="H3053">
        <v>0</v>
      </c>
      <c r="I3053">
        <v>0</v>
      </c>
      <c r="J3053">
        <v>0</v>
      </c>
      <c r="K3053">
        <v>0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55</v>
      </c>
      <c r="C3054" t="s">
        <v>43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56</v>
      </c>
      <c r="C3055" t="s">
        <v>16</v>
      </c>
      <c r="D3055">
        <v>3</v>
      </c>
      <c r="E3055">
        <v>3</v>
      </c>
      <c r="F3055">
        <v>40.22</v>
      </c>
      <c r="G3055">
        <v>0</v>
      </c>
      <c r="H3055">
        <v>0</v>
      </c>
      <c r="I3055">
        <v>0</v>
      </c>
      <c r="J3055">
        <v>0</v>
      </c>
      <c r="K3055">
        <v>0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57</v>
      </c>
      <c r="C3056" t="s">
        <v>43</v>
      </c>
      <c r="D3056">
        <v>4</v>
      </c>
      <c r="E3056">
        <v>3</v>
      </c>
      <c r="F3056">
        <v>53.39</v>
      </c>
      <c r="G3056">
        <v>0</v>
      </c>
      <c r="H3056">
        <v>0</v>
      </c>
      <c r="I3056">
        <v>0</v>
      </c>
      <c r="J3056">
        <v>0</v>
      </c>
      <c r="K3056">
        <v>0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58</v>
      </c>
      <c r="C3057" t="s">
        <v>43</v>
      </c>
      <c r="D3057">
        <v>8</v>
      </c>
      <c r="E3057">
        <v>6</v>
      </c>
      <c r="F3057">
        <v>38.26</v>
      </c>
      <c r="G3057">
        <v>0</v>
      </c>
      <c r="H3057">
        <v>0</v>
      </c>
      <c r="I3057">
        <v>0</v>
      </c>
      <c r="J3057">
        <v>0</v>
      </c>
      <c r="K3057">
        <v>0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59</v>
      </c>
      <c r="C3058" t="s">
        <v>23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60</v>
      </c>
      <c r="C3059" t="s">
        <v>20</v>
      </c>
      <c r="D3059">
        <v>15</v>
      </c>
      <c r="E3059">
        <v>14</v>
      </c>
      <c r="F3059">
        <v>26.4</v>
      </c>
      <c r="G3059">
        <v>0</v>
      </c>
      <c r="H3059">
        <v>0</v>
      </c>
      <c r="I3059">
        <v>0</v>
      </c>
      <c r="J3059">
        <v>0</v>
      </c>
      <c r="K3059">
        <v>0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61</v>
      </c>
      <c r="C3060" t="s">
        <v>18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>
        <v>0</v>
      </c>
      <c r="J3060">
        <v>0</v>
      </c>
      <c r="K3060">
        <v>0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62</v>
      </c>
      <c r="C3061" t="s">
        <v>20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>
        <v>0</v>
      </c>
      <c r="J3061">
        <v>0</v>
      </c>
      <c r="K3061">
        <v>0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63</v>
      </c>
      <c r="C3062" t="s">
        <v>18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>
        <v>0</v>
      </c>
      <c r="J3062">
        <v>0</v>
      </c>
      <c r="K3062">
        <v>0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15</v>
      </c>
      <c r="C3063" t="s">
        <v>16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>
        <v>0</v>
      </c>
      <c r="J3063">
        <v>0</v>
      </c>
      <c r="K3063">
        <v>0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17</v>
      </c>
      <c r="C3064" t="s">
        <v>18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19</v>
      </c>
      <c r="C3065" t="s">
        <v>20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>
        <v>0</v>
      </c>
      <c r="J3065">
        <v>0</v>
      </c>
      <c r="K3065">
        <v>0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21</v>
      </c>
      <c r="C3066" t="s">
        <v>18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>
        <v>0</v>
      </c>
      <c r="J3066">
        <v>0</v>
      </c>
      <c r="K3066">
        <v>0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22</v>
      </c>
      <c r="C3067" t="s">
        <v>23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>
        <v>0</v>
      </c>
      <c r="J3067">
        <v>0</v>
      </c>
      <c r="K3067">
        <v>0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24</v>
      </c>
      <c r="C3068" t="s">
        <v>16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>
        <v>0</v>
      </c>
      <c r="J3068">
        <v>0</v>
      </c>
      <c r="K3068">
        <v>0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25</v>
      </c>
      <c r="C3069" t="s">
        <v>16</v>
      </c>
      <c r="D3069">
        <v>4</v>
      </c>
      <c r="E3069">
        <v>4</v>
      </c>
      <c r="F3069">
        <v>17.18</v>
      </c>
      <c r="G3069">
        <v>0</v>
      </c>
      <c r="H3069">
        <v>0</v>
      </c>
      <c r="I3069">
        <v>0</v>
      </c>
      <c r="J3069">
        <v>0</v>
      </c>
      <c r="K3069">
        <v>0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26</v>
      </c>
      <c r="C3070" t="s">
        <v>23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27</v>
      </c>
      <c r="C3071" t="s">
        <v>20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>
        <v>0</v>
      </c>
      <c r="J3071">
        <v>0</v>
      </c>
      <c r="K3071">
        <v>0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28</v>
      </c>
      <c r="C3072" t="s">
        <v>18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29</v>
      </c>
      <c r="C3073" t="s">
        <v>16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30</v>
      </c>
      <c r="C3074" t="s">
        <v>20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>
        <v>0</v>
      </c>
      <c r="J3074">
        <v>0</v>
      </c>
      <c r="K3074">
        <v>0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31</v>
      </c>
      <c r="C3075" t="s">
        <v>18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32</v>
      </c>
      <c r="C3076" t="s">
        <v>23</v>
      </c>
      <c r="D3076">
        <v>9</v>
      </c>
      <c r="E3076">
        <v>8</v>
      </c>
      <c r="F3076">
        <v>43.36</v>
      </c>
      <c r="G3076">
        <v>0</v>
      </c>
      <c r="H3076">
        <v>0</v>
      </c>
      <c r="I3076">
        <v>0</v>
      </c>
      <c r="J3076">
        <v>0</v>
      </c>
      <c r="K3076">
        <v>0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33</v>
      </c>
      <c r="C3077" t="s">
        <v>16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>
        <v>0</v>
      </c>
      <c r="J3077">
        <v>0</v>
      </c>
      <c r="K3077">
        <v>0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34</v>
      </c>
      <c r="C3078" t="s">
        <v>18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>
        <v>0</v>
      </c>
      <c r="J3078">
        <v>0</v>
      </c>
      <c r="K3078">
        <v>0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35</v>
      </c>
      <c r="C3079" t="s">
        <v>16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>
        <v>0</v>
      </c>
      <c r="J3079">
        <v>0</v>
      </c>
      <c r="K3079">
        <v>0</v>
      </c>
      <c r="N3079">
        <v>98.02</v>
      </c>
      <c r="O3079">
        <v>23.484848484848481</v>
      </c>
    </row>
    <row r="3080" spans="1:15" x14ac:dyDescent="0.25">
      <c r="A3080" s="11">
        <v>46132</v>
      </c>
      <c r="B3080" t="s">
        <v>36</v>
      </c>
      <c r="C3080" t="s">
        <v>20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>E3080+G3080+H3080</f>
        <v>9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12</v>
      </c>
      <c r="K3080" s="3">
        <f>I3080-J3080</f>
        <v>-3</v>
      </c>
      <c r="L3080" s="3" t="str">
        <f>IF(K3080&lt;-5,"CRÍTICO",IF(K3080&lt;0,"ATENÇÃO",IF(K3080&lt;=5,"OPORTUNO","MUITO BOM")))</f>
        <v>ATENÇÃO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37</v>
      </c>
      <c r="C3081" t="s">
        <v>16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>
        <v>0</v>
      </c>
      <c r="J3081">
        <v>0</v>
      </c>
      <c r="K3081">
        <v>0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38</v>
      </c>
      <c r="C3082" t="s">
        <v>18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>
        <v>0</v>
      </c>
      <c r="J3082">
        <v>0</v>
      </c>
      <c r="K3082">
        <v>0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39</v>
      </c>
      <c r="C3083" t="s">
        <v>18</v>
      </c>
      <c r="D3083">
        <v>9</v>
      </c>
      <c r="E3083">
        <v>8</v>
      </c>
      <c r="F3083">
        <v>18.23</v>
      </c>
      <c r="G3083">
        <v>0</v>
      </c>
      <c r="H3083">
        <v>0</v>
      </c>
      <c r="I3083">
        <v>0</v>
      </c>
      <c r="J3083">
        <v>0</v>
      </c>
      <c r="K3083">
        <v>0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40</v>
      </c>
      <c r="C3084" t="s">
        <v>16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>
        <v>0</v>
      </c>
      <c r="J3084">
        <v>0</v>
      </c>
      <c r="K3084">
        <v>0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41</v>
      </c>
      <c r="C3085" t="s">
        <v>18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42</v>
      </c>
      <c r="C3086" t="s">
        <v>43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>
        <v>0</v>
      </c>
      <c r="J3086">
        <v>0</v>
      </c>
      <c r="K3086">
        <v>0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44</v>
      </c>
      <c r="C3087" t="s">
        <v>18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>
        <v>0</v>
      </c>
      <c r="J3087">
        <v>0</v>
      </c>
      <c r="K3087">
        <v>0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45</v>
      </c>
      <c r="C3088" t="s">
        <v>43</v>
      </c>
      <c r="D3088">
        <v>10</v>
      </c>
      <c r="E3088">
        <v>9</v>
      </c>
      <c r="F3088">
        <v>35.33</v>
      </c>
      <c r="G3088">
        <v>0</v>
      </c>
      <c r="H3088">
        <v>0</v>
      </c>
      <c r="I3088">
        <v>0</v>
      </c>
      <c r="J3088">
        <v>0</v>
      </c>
      <c r="K3088">
        <v>0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46</v>
      </c>
      <c r="C3089" t="s">
        <v>18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>
        <v>0</v>
      </c>
      <c r="J3089">
        <v>0</v>
      </c>
      <c r="K3089">
        <v>0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47</v>
      </c>
      <c r="C3090" t="s">
        <v>16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>
        <v>0</v>
      </c>
      <c r="J3090">
        <v>0</v>
      </c>
      <c r="K3090">
        <v>0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48</v>
      </c>
      <c r="C3091" t="s">
        <v>16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49</v>
      </c>
      <c r="C3092" t="s">
        <v>18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50</v>
      </c>
      <c r="C3093" t="s">
        <v>20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>
        <v>0</v>
      </c>
      <c r="J3093">
        <v>0</v>
      </c>
      <c r="K3093">
        <v>0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51</v>
      </c>
      <c r="C3094" t="s">
        <v>23</v>
      </c>
      <c r="D3094">
        <v>8</v>
      </c>
      <c r="E3094">
        <v>8</v>
      </c>
      <c r="F3094">
        <v>38.31</v>
      </c>
      <c r="G3094">
        <v>0</v>
      </c>
      <c r="H3094">
        <v>0</v>
      </c>
      <c r="I3094">
        <v>0</v>
      </c>
      <c r="J3094">
        <v>0</v>
      </c>
      <c r="K3094">
        <v>0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52</v>
      </c>
      <c r="C3095" t="s">
        <v>18</v>
      </c>
      <c r="D3095">
        <v>34</v>
      </c>
      <c r="E3095">
        <v>32</v>
      </c>
      <c r="F3095">
        <v>17</v>
      </c>
      <c r="G3095">
        <v>0</v>
      </c>
      <c r="H3095">
        <v>0</v>
      </c>
      <c r="I3095">
        <v>0</v>
      </c>
      <c r="J3095">
        <v>0</v>
      </c>
      <c r="K3095">
        <v>0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53</v>
      </c>
      <c r="C3096" t="s">
        <v>18</v>
      </c>
      <c r="D3096">
        <v>2</v>
      </c>
      <c r="E3096">
        <v>2</v>
      </c>
      <c r="F3096">
        <v>5.24</v>
      </c>
      <c r="G3096">
        <v>0</v>
      </c>
      <c r="H3096">
        <v>0</v>
      </c>
      <c r="I3096">
        <v>0</v>
      </c>
      <c r="J3096">
        <v>0</v>
      </c>
      <c r="K3096">
        <v>0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54</v>
      </c>
      <c r="C3097" t="s">
        <v>23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55</v>
      </c>
      <c r="C3098" t="s">
        <v>43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56</v>
      </c>
      <c r="C3099" t="s">
        <v>16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>
        <v>0</v>
      </c>
      <c r="J3099">
        <v>0</v>
      </c>
      <c r="K3099">
        <v>0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57</v>
      </c>
      <c r="C3100" t="s">
        <v>43</v>
      </c>
      <c r="D3100">
        <v>14</v>
      </c>
      <c r="E3100">
        <v>14</v>
      </c>
      <c r="F3100">
        <v>25.2</v>
      </c>
      <c r="G3100">
        <v>0</v>
      </c>
      <c r="H3100">
        <v>0</v>
      </c>
      <c r="I3100">
        <v>0</v>
      </c>
      <c r="J3100">
        <v>0</v>
      </c>
      <c r="K3100">
        <v>0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58</v>
      </c>
      <c r="C3101" t="s">
        <v>43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>
        <v>0</v>
      </c>
      <c r="J3101">
        <v>0</v>
      </c>
      <c r="K3101">
        <v>0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59</v>
      </c>
      <c r="C3102" t="s">
        <v>23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60</v>
      </c>
      <c r="C3103" t="s">
        <v>20</v>
      </c>
      <c r="D3103">
        <v>19</v>
      </c>
      <c r="E3103">
        <v>19</v>
      </c>
      <c r="F3103">
        <v>33.4</v>
      </c>
      <c r="G3103">
        <v>0</v>
      </c>
      <c r="H3103">
        <v>0</v>
      </c>
      <c r="I3103">
        <v>0</v>
      </c>
      <c r="J3103">
        <v>0</v>
      </c>
      <c r="K3103">
        <v>0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61</v>
      </c>
      <c r="C3104" t="s">
        <v>18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>
        <v>0</v>
      </c>
      <c r="J3104">
        <v>0</v>
      </c>
      <c r="K3104">
        <v>0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62</v>
      </c>
      <c r="C3105" t="s">
        <v>20</v>
      </c>
      <c r="D3105">
        <v>10</v>
      </c>
      <c r="E3105">
        <v>10</v>
      </c>
      <c r="F3105">
        <v>48.4</v>
      </c>
      <c r="G3105">
        <v>0</v>
      </c>
      <c r="H3105">
        <v>0</v>
      </c>
      <c r="I3105">
        <v>0</v>
      </c>
      <c r="J3105">
        <v>0</v>
      </c>
      <c r="K3105">
        <v>0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63</v>
      </c>
      <c r="C3106" t="s">
        <v>18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>
        <v>0</v>
      </c>
      <c r="J3106">
        <v>0</v>
      </c>
      <c r="K3106">
        <v>0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15</v>
      </c>
      <c r="C3107" t="s">
        <v>16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>
        <v>0</v>
      </c>
      <c r="J3107">
        <v>0</v>
      </c>
      <c r="K3107">
        <v>0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17</v>
      </c>
      <c r="C3108" t="s">
        <v>18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19</v>
      </c>
      <c r="C3109" t="s">
        <v>20</v>
      </c>
      <c r="D3109">
        <v>7</v>
      </c>
      <c r="E3109">
        <v>7</v>
      </c>
      <c r="F3109">
        <v>36.57</v>
      </c>
      <c r="G3109">
        <v>0</v>
      </c>
      <c r="H3109">
        <v>0</v>
      </c>
      <c r="I3109">
        <v>0</v>
      </c>
      <c r="J3109">
        <v>0</v>
      </c>
      <c r="K3109">
        <v>0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21</v>
      </c>
      <c r="C3110" t="s">
        <v>18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>
        <v>0</v>
      </c>
      <c r="J3110">
        <v>0</v>
      </c>
      <c r="K3110">
        <v>0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22</v>
      </c>
      <c r="C3111" t="s">
        <v>23</v>
      </c>
      <c r="D3111">
        <v>8</v>
      </c>
      <c r="E3111">
        <v>8</v>
      </c>
      <c r="F3111">
        <v>45.29</v>
      </c>
      <c r="G3111">
        <v>0</v>
      </c>
      <c r="H3111">
        <v>0</v>
      </c>
      <c r="I3111">
        <v>0</v>
      </c>
      <c r="J3111">
        <v>0</v>
      </c>
      <c r="K3111">
        <v>0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24</v>
      </c>
      <c r="C3112" t="s">
        <v>16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>
        <v>0</v>
      </c>
      <c r="J3112">
        <v>0</v>
      </c>
      <c r="K3112">
        <v>0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25</v>
      </c>
      <c r="C3113" t="s">
        <v>16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>
        <v>0</v>
      </c>
      <c r="J3113">
        <v>0</v>
      </c>
      <c r="K3113">
        <v>0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26</v>
      </c>
      <c r="C3114" t="s">
        <v>23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27</v>
      </c>
      <c r="C3115" t="s">
        <v>20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>
        <v>0</v>
      </c>
      <c r="J3115">
        <v>0</v>
      </c>
      <c r="K3115">
        <v>0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28</v>
      </c>
      <c r="C3116" t="s">
        <v>18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29</v>
      </c>
      <c r="C3117" t="s">
        <v>16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30</v>
      </c>
      <c r="C3118" t="s">
        <v>20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>
        <v>0</v>
      </c>
      <c r="J3118">
        <v>0</v>
      </c>
      <c r="K3118">
        <v>0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31</v>
      </c>
      <c r="C3119" t="s">
        <v>18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32</v>
      </c>
      <c r="C3120" t="s">
        <v>23</v>
      </c>
      <c r="D3120">
        <v>6</v>
      </c>
      <c r="E3120">
        <v>6</v>
      </c>
      <c r="F3120">
        <v>52.09</v>
      </c>
      <c r="G3120">
        <v>0</v>
      </c>
      <c r="H3120">
        <v>0</v>
      </c>
      <c r="I3120">
        <v>0</v>
      </c>
      <c r="J3120">
        <v>0</v>
      </c>
      <c r="K3120">
        <v>0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33</v>
      </c>
      <c r="C3121" t="s">
        <v>16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>
        <v>0</v>
      </c>
      <c r="J3121">
        <v>0</v>
      </c>
      <c r="K3121">
        <v>0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34</v>
      </c>
      <c r="C3122" t="s">
        <v>18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>
        <v>0</v>
      </c>
      <c r="J3122">
        <v>0</v>
      </c>
      <c r="K3122">
        <v>0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35</v>
      </c>
      <c r="C3123" t="s">
        <v>16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>
        <v>0</v>
      </c>
      <c r="J3123">
        <v>0</v>
      </c>
      <c r="K3123">
        <v>0</v>
      </c>
      <c r="N3123">
        <v>98.02</v>
      </c>
      <c r="O3123">
        <v>23.484848484848481</v>
      </c>
    </row>
    <row r="3124" spans="1:15" x14ac:dyDescent="0.25">
      <c r="A3124" s="11">
        <v>46134</v>
      </c>
      <c r="B3124" t="s">
        <v>36</v>
      </c>
      <c r="C3124" t="s">
        <v>20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>E3124+G3124+H3124</f>
        <v>18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14</v>
      </c>
      <c r="K3124" s="3">
        <f>I3124-J3124</f>
        <v>4</v>
      </c>
      <c r="L3124" s="3" t="str">
        <f>IF(K3124&lt;-5,"CRÍTICO",IF(K3124&lt;0,"ATENÇÃO",IF(K3124&lt;=5,"OPORTUNO","MUITO BOM")))</f>
        <v>OPORTUNO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37</v>
      </c>
      <c r="C3125" t="s">
        <v>16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>
        <v>0</v>
      </c>
      <c r="J3125">
        <v>0</v>
      </c>
      <c r="K3125">
        <v>0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38</v>
      </c>
      <c r="C3126" t="s">
        <v>18</v>
      </c>
      <c r="D3126">
        <v>43</v>
      </c>
      <c r="E3126">
        <v>40</v>
      </c>
      <c r="F3126">
        <v>16.5</v>
      </c>
      <c r="G3126">
        <v>0</v>
      </c>
      <c r="H3126">
        <v>0</v>
      </c>
      <c r="I3126">
        <v>0</v>
      </c>
      <c r="J3126">
        <v>0</v>
      </c>
      <c r="K3126">
        <v>0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39</v>
      </c>
      <c r="C3127" t="s">
        <v>18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40</v>
      </c>
      <c r="C3128" t="s">
        <v>16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>
        <v>0</v>
      </c>
      <c r="J3128">
        <v>0</v>
      </c>
      <c r="K3128">
        <v>0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41</v>
      </c>
      <c r="C3129" t="s">
        <v>18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42</v>
      </c>
      <c r="C3130" t="s">
        <v>43</v>
      </c>
      <c r="D3130">
        <v>19</v>
      </c>
      <c r="E3130">
        <v>18</v>
      </c>
      <c r="F3130">
        <v>30.2</v>
      </c>
      <c r="G3130">
        <v>0</v>
      </c>
      <c r="H3130">
        <v>0</v>
      </c>
      <c r="I3130">
        <v>0</v>
      </c>
      <c r="J3130">
        <v>0</v>
      </c>
      <c r="K3130">
        <v>0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44</v>
      </c>
      <c r="C3131" t="s">
        <v>18</v>
      </c>
      <c r="D3131">
        <v>11</v>
      </c>
      <c r="E3131">
        <v>7</v>
      </c>
      <c r="F3131">
        <v>14</v>
      </c>
      <c r="G3131">
        <v>0</v>
      </c>
      <c r="H3131">
        <v>0</v>
      </c>
      <c r="I3131">
        <v>0</v>
      </c>
      <c r="J3131">
        <v>0</v>
      </c>
      <c r="K3131">
        <v>0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45</v>
      </c>
      <c r="C3132" t="s">
        <v>43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>
        <v>0</v>
      </c>
      <c r="J3132">
        <v>0</v>
      </c>
      <c r="K3132">
        <v>0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46</v>
      </c>
      <c r="C3133" t="s">
        <v>18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>
        <v>0</v>
      </c>
      <c r="J3133">
        <v>0</v>
      </c>
      <c r="K3133">
        <v>0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47</v>
      </c>
      <c r="C3134" t="s">
        <v>16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>
        <v>0</v>
      </c>
      <c r="J3134">
        <v>0</v>
      </c>
      <c r="K3134">
        <v>0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48</v>
      </c>
      <c r="C3135" t="s">
        <v>16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49</v>
      </c>
      <c r="C3136" t="s">
        <v>18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50</v>
      </c>
      <c r="C3137" t="s">
        <v>20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>
        <v>0</v>
      </c>
      <c r="J3137">
        <v>0</v>
      </c>
      <c r="K3137">
        <v>0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51</v>
      </c>
      <c r="C3138" t="s">
        <v>23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>
        <v>0</v>
      </c>
      <c r="J3138">
        <v>0</v>
      </c>
      <c r="K3138">
        <v>0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52</v>
      </c>
      <c r="C3139" t="s">
        <v>18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>
        <v>0</v>
      </c>
      <c r="J3139">
        <v>0</v>
      </c>
      <c r="K3139">
        <v>0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53</v>
      </c>
      <c r="C3140" t="s">
        <v>18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>
        <v>0</v>
      </c>
      <c r="J3140">
        <v>0</v>
      </c>
      <c r="K3140">
        <v>0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54</v>
      </c>
      <c r="C3141" t="s">
        <v>23</v>
      </c>
      <c r="D3141">
        <v>6</v>
      </c>
      <c r="E3141">
        <v>6</v>
      </c>
      <c r="F3141">
        <v>94.02</v>
      </c>
      <c r="G3141">
        <v>0</v>
      </c>
      <c r="H3141">
        <v>0</v>
      </c>
      <c r="I3141">
        <v>0</v>
      </c>
      <c r="J3141">
        <v>0</v>
      </c>
      <c r="K3141">
        <v>0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55</v>
      </c>
      <c r="C3142" t="s">
        <v>43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56</v>
      </c>
      <c r="C3143" t="s">
        <v>16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>
        <v>0</v>
      </c>
      <c r="J3143">
        <v>0</v>
      </c>
      <c r="K3143">
        <v>0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57</v>
      </c>
      <c r="C3144" t="s">
        <v>43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>
        <v>0</v>
      </c>
      <c r="J3144">
        <v>0</v>
      </c>
      <c r="K3144">
        <v>0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58</v>
      </c>
      <c r="C3145" t="s">
        <v>43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>
        <v>0</v>
      </c>
      <c r="J3145">
        <v>0</v>
      </c>
      <c r="K3145">
        <v>0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59</v>
      </c>
      <c r="C3146" t="s">
        <v>23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60</v>
      </c>
      <c r="C3147" t="s">
        <v>20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>
        <v>0</v>
      </c>
      <c r="J3147">
        <v>0</v>
      </c>
      <c r="K3147">
        <v>0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61</v>
      </c>
      <c r="C3148" t="s">
        <v>18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>
        <v>0</v>
      </c>
      <c r="J3148">
        <v>0</v>
      </c>
      <c r="K3148">
        <v>0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62</v>
      </c>
      <c r="C3149" t="s">
        <v>20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>
        <v>0</v>
      </c>
      <c r="J3149">
        <v>0</v>
      </c>
      <c r="K3149">
        <v>0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63</v>
      </c>
      <c r="C3150" t="s">
        <v>18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>
        <v>0</v>
      </c>
      <c r="J3150">
        <v>0</v>
      </c>
      <c r="K3150">
        <v>0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15</v>
      </c>
      <c r="C3151" t="s">
        <v>16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>
        <v>0</v>
      </c>
      <c r="J3151">
        <v>0</v>
      </c>
      <c r="K3151">
        <v>0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17</v>
      </c>
      <c r="C3152" t="s">
        <v>18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19</v>
      </c>
      <c r="C3153" t="s">
        <v>20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>
        <v>0</v>
      </c>
      <c r="J3153">
        <v>0</v>
      </c>
      <c r="K3153">
        <v>0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21</v>
      </c>
      <c r="C3154" t="s">
        <v>18</v>
      </c>
      <c r="D3154">
        <v>9</v>
      </c>
      <c r="E3154">
        <v>8</v>
      </c>
      <c r="F3154">
        <v>18.37</v>
      </c>
      <c r="G3154">
        <v>0</v>
      </c>
      <c r="H3154">
        <v>0</v>
      </c>
      <c r="I3154">
        <v>0</v>
      </c>
      <c r="J3154">
        <v>0</v>
      </c>
      <c r="K3154">
        <v>0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22</v>
      </c>
      <c r="C3155" t="s">
        <v>23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>
        <v>0</v>
      </c>
      <c r="J3155">
        <v>0</v>
      </c>
      <c r="K3155">
        <v>0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24</v>
      </c>
      <c r="C3156" t="s">
        <v>16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>
        <v>0</v>
      </c>
      <c r="J3156">
        <v>0</v>
      </c>
      <c r="K3156">
        <v>0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25</v>
      </c>
      <c r="C3157" t="s">
        <v>16</v>
      </c>
      <c r="D3157">
        <v>27</v>
      </c>
      <c r="E3157">
        <v>24</v>
      </c>
      <c r="F3157">
        <v>25.5</v>
      </c>
      <c r="G3157">
        <v>0</v>
      </c>
      <c r="H3157">
        <v>0</v>
      </c>
      <c r="I3157">
        <v>0</v>
      </c>
      <c r="J3157">
        <v>0</v>
      </c>
      <c r="K3157">
        <v>0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26</v>
      </c>
      <c r="C3158" t="s">
        <v>23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27</v>
      </c>
      <c r="C3159" t="s">
        <v>20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>
        <v>0</v>
      </c>
      <c r="J3159">
        <v>0</v>
      </c>
      <c r="K3159">
        <v>0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28</v>
      </c>
      <c r="C3160" t="s">
        <v>18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29</v>
      </c>
      <c r="C3161" t="s">
        <v>16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30</v>
      </c>
      <c r="C3162" t="s">
        <v>20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>
        <v>0</v>
      </c>
      <c r="J3162">
        <v>0</v>
      </c>
      <c r="K3162">
        <v>0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31</v>
      </c>
      <c r="C3163" t="s">
        <v>18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32</v>
      </c>
      <c r="C3164" t="s">
        <v>23</v>
      </c>
      <c r="D3164">
        <v>8</v>
      </c>
      <c r="E3164">
        <v>8</v>
      </c>
      <c r="F3164">
        <v>46.58</v>
      </c>
      <c r="G3164">
        <v>0</v>
      </c>
      <c r="H3164">
        <v>0</v>
      </c>
      <c r="I3164">
        <v>0</v>
      </c>
      <c r="J3164">
        <v>0</v>
      </c>
      <c r="K3164">
        <v>0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33</v>
      </c>
      <c r="C3165" t="s">
        <v>16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>
        <v>0</v>
      </c>
      <c r="J3165">
        <v>0</v>
      </c>
      <c r="K3165">
        <v>0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34</v>
      </c>
      <c r="C3166" t="s">
        <v>18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>
        <v>0</v>
      </c>
      <c r="J3166">
        <v>0</v>
      </c>
      <c r="K3166">
        <v>0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35</v>
      </c>
      <c r="C3167" t="s">
        <v>16</v>
      </c>
      <c r="D3167">
        <v>17</v>
      </c>
      <c r="E3167">
        <v>15</v>
      </c>
      <c r="F3167">
        <v>22</v>
      </c>
      <c r="G3167">
        <v>0</v>
      </c>
      <c r="H3167">
        <v>0</v>
      </c>
      <c r="I3167">
        <v>0</v>
      </c>
      <c r="J3167">
        <v>0</v>
      </c>
      <c r="K3167">
        <v>0</v>
      </c>
      <c r="N3167">
        <v>98.02</v>
      </c>
      <c r="O3167">
        <v>23.484848484848481</v>
      </c>
    </row>
    <row r="3168" spans="1:15" x14ac:dyDescent="0.25">
      <c r="A3168" s="11">
        <v>46135</v>
      </c>
      <c r="B3168" t="s">
        <v>36</v>
      </c>
      <c r="C3168" t="s">
        <v>20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>E3168+G3168+H3168</f>
        <v>21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15</v>
      </c>
      <c r="K3168" s="3">
        <f>I3168-J3168</f>
        <v>6</v>
      </c>
      <c r="L3168" s="3" t="str">
        <f>IF(K3168&lt;-5,"CRÍTICO",IF(K3168&lt;0,"ATENÇÃO",IF(K3168&lt;=5,"OPORTUNO","MUITO BOM")))</f>
        <v>MUITO BOM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37</v>
      </c>
      <c r="C3169" t="s">
        <v>16</v>
      </c>
      <c r="D3169">
        <v>23</v>
      </c>
      <c r="E3169">
        <v>22</v>
      </c>
      <c r="F3169">
        <v>27.1</v>
      </c>
      <c r="G3169">
        <v>0</v>
      </c>
      <c r="H3169">
        <v>0</v>
      </c>
      <c r="I3169">
        <v>0</v>
      </c>
      <c r="J3169">
        <v>0</v>
      </c>
      <c r="K3169">
        <v>0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38</v>
      </c>
      <c r="C3170" t="s">
        <v>18</v>
      </c>
      <c r="D3170">
        <v>45</v>
      </c>
      <c r="E3170">
        <v>41</v>
      </c>
      <c r="F3170">
        <v>14</v>
      </c>
      <c r="G3170">
        <v>0</v>
      </c>
      <c r="H3170">
        <v>0</v>
      </c>
      <c r="I3170">
        <v>0</v>
      </c>
      <c r="J3170">
        <v>0</v>
      </c>
      <c r="K3170">
        <v>0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39</v>
      </c>
      <c r="C3171" t="s">
        <v>18</v>
      </c>
      <c r="D3171">
        <v>1</v>
      </c>
      <c r="E3171">
        <v>1</v>
      </c>
      <c r="F3171">
        <v>20.21</v>
      </c>
      <c r="G3171">
        <v>0</v>
      </c>
      <c r="H3171">
        <v>0</v>
      </c>
      <c r="I3171">
        <v>0</v>
      </c>
      <c r="J3171">
        <v>0</v>
      </c>
      <c r="K3171">
        <v>0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40</v>
      </c>
      <c r="C3172" t="s">
        <v>16</v>
      </c>
      <c r="D3172">
        <v>2</v>
      </c>
      <c r="E3172">
        <v>2</v>
      </c>
      <c r="F3172">
        <v>20.13</v>
      </c>
      <c r="G3172">
        <v>0</v>
      </c>
      <c r="H3172">
        <v>0</v>
      </c>
      <c r="I3172">
        <v>0</v>
      </c>
      <c r="J3172">
        <v>0</v>
      </c>
      <c r="K3172">
        <v>0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41</v>
      </c>
      <c r="C3173" t="s">
        <v>18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42</v>
      </c>
      <c r="C3174" t="s">
        <v>43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>
        <v>0</v>
      </c>
      <c r="J3174">
        <v>0</v>
      </c>
      <c r="K3174">
        <v>0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44</v>
      </c>
      <c r="C3175" t="s">
        <v>18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>
        <v>0</v>
      </c>
      <c r="J3175">
        <v>0</v>
      </c>
      <c r="K3175">
        <v>0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45</v>
      </c>
      <c r="C3176" t="s">
        <v>43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>
        <v>0</v>
      </c>
      <c r="J3176">
        <v>0</v>
      </c>
      <c r="K3176">
        <v>0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46</v>
      </c>
      <c r="C3177" t="s">
        <v>18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>
        <v>0</v>
      </c>
      <c r="J3177">
        <v>0</v>
      </c>
      <c r="K3177">
        <v>0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47</v>
      </c>
      <c r="C3178" t="s">
        <v>16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>
        <v>0</v>
      </c>
      <c r="J3178">
        <v>0</v>
      </c>
      <c r="K3178">
        <v>0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48</v>
      </c>
      <c r="C3179" t="s">
        <v>16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49</v>
      </c>
      <c r="C3180" t="s">
        <v>18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50</v>
      </c>
      <c r="C3181" t="s">
        <v>20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>
        <v>0</v>
      </c>
      <c r="J3181">
        <v>0</v>
      </c>
      <c r="K3181">
        <v>0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51</v>
      </c>
      <c r="C3182" t="s">
        <v>23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52</v>
      </c>
      <c r="C3183" t="s">
        <v>18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>
        <v>0</v>
      </c>
      <c r="J3183">
        <v>0</v>
      </c>
      <c r="K3183">
        <v>0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53</v>
      </c>
      <c r="C3184" t="s">
        <v>18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54</v>
      </c>
      <c r="C3185" t="s">
        <v>23</v>
      </c>
      <c r="D3185">
        <v>6</v>
      </c>
      <c r="E3185">
        <v>6</v>
      </c>
      <c r="F3185">
        <v>48.35</v>
      </c>
      <c r="G3185">
        <v>0</v>
      </c>
      <c r="H3185">
        <v>0</v>
      </c>
      <c r="I3185">
        <v>0</v>
      </c>
      <c r="J3185">
        <v>0</v>
      </c>
      <c r="K3185">
        <v>0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55</v>
      </c>
      <c r="C3186" t="s">
        <v>43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56</v>
      </c>
      <c r="C3187" t="s">
        <v>16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57</v>
      </c>
      <c r="C3188" t="s">
        <v>43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>
        <v>0</v>
      </c>
      <c r="J3188">
        <v>0</v>
      </c>
      <c r="K3188">
        <v>0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58</v>
      </c>
      <c r="C3189" t="s">
        <v>43</v>
      </c>
      <c r="D3189">
        <v>8</v>
      </c>
      <c r="E3189">
        <v>8</v>
      </c>
      <c r="F3189">
        <v>52.08</v>
      </c>
      <c r="G3189">
        <v>0</v>
      </c>
      <c r="H3189">
        <v>0</v>
      </c>
      <c r="I3189">
        <v>0</v>
      </c>
      <c r="J3189">
        <v>0</v>
      </c>
      <c r="K3189">
        <v>0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59</v>
      </c>
      <c r="C3190" t="s">
        <v>23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60</v>
      </c>
      <c r="C3191" t="s">
        <v>20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>
        <v>0</v>
      </c>
      <c r="J3191">
        <v>0</v>
      </c>
      <c r="K3191">
        <v>0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61</v>
      </c>
      <c r="C3192" t="s">
        <v>18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>
        <v>0</v>
      </c>
      <c r="J3192">
        <v>0</v>
      </c>
      <c r="K3192">
        <v>0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62</v>
      </c>
      <c r="C3193" t="s">
        <v>20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>
        <v>0</v>
      </c>
      <c r="J3193">
        <v>0</v>
      </c>
      <c r="K3193">
        <v>0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63</v>
      </c>
      <c r="C3194" t="s">
        <v>18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>
        <v>0</v>
      </c>
      <c r="J3194">
        <v>0</v>
      </c>
      <c r="K3194">
        <v>0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15</v>
      </c>
      <c r="C3195" t="s">
        <v>16</v>
      </c>
      <c r="D3195">
        <v>18</v>
      </c>
      <c r="E3195">
        <v>12</v>
      </c>
      <c r="F3195">
        <v>15.4</v>
      </c>
      <c r="G3195">
        <v>0</v>
      </c>
      <c r="H3195">
        <v>0</v>
      </c>
      <c r="I3195">
        <v>0</v>
      </c>
      <c r="J3195">
        <v>0</v>
      </c>
      <c r="K3195">
        <v>0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17</v>
      </c>
      <c r="C3196" t="s">
        <v>18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19</v>
      </c>
      <c r="C3197" t="s">
        <v>20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>
        <v>0</v>
      </c>
      <c r="J3197">
        <v>0</v>
      </c>
      <c r="K3197">
        <v>0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21</v>
      </c>
      <c r="C3198" t="s">
        <v>18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>
        <v>0</v>
      </c>
      <c r="J3198">
        <v>0</v>
      </c>
      <c r="K3198">
        <v>0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22</v>
      </c>
      <c r="C3199" t="s">
        <v>23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>
        <v>0</v>
      </c>
      <c r="J3199">
        <v>0</v>
      </c>
      <c r="K3199">
        <v>0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24</v>
      </c>
      <c r="C3200" t="s">
        <v>16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>
        <v>0</v>
      </c>
      <c r="J3200">
        <v>0</v>
      </c>
      <c r="K3200">
        <v>0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25</v>
      </c>
      <c r="C3201" t="s">
        <v>16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>
        <v>0</v>
      </c>
      <c r="J3201">
        <v>0</v>
      </c>
      <c r="K3201">
        <v>0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26</v>
      </c>
      <c r="C3202" t="s">
        <v>23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27</v>
      </c>
      <c r="C3203" t="s">
        <v>20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>
        <v>0</v>
      </c>
      <c r="J3203">
        <v>0</v>
      </c>
      <c r="K3203">
        <v>0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28</v>
      </c>
      <c r="C3204" t="s">
        <v>18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29</v>
      </c>
      <c r="C3205" t="s">
        <v>16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30</v>
      </c>
      <c r="C3206" t="s">
        <v>20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>
        <v>0</v>
      </c>
      <c r="J3206">
        <v>0</v>
      </c>
      <c r="K3206">
        <v>0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31</v>
      </c>
      <c r="C3207" t="s">
        <v>18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32</v>
      </c>
      <c r="C3208" t="s">
        <v>23</v>
      </c>
      <c r="D3208">
        <v>8</v>
      </c>
      <c r="E3208">
        <v>8</v>
      </c>
      <c r="F3208">
        <v>44.17</v>
      </c>
      <c r="G3208">
        <v>0</v>
      </c>
      <c r="H3208">
        <v>0</v>
      </c>
      <c r="I3208">
        <v>0</v>
      </c>
      <c r="J3208">
        <v>0</v>
      </c>
      <c r="K3208">
        <v>0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33</v>
      </c>
      <c r="C3209" t="s">
        <v>16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>
        <v>0</v>
      </c>
      <c r="J3209">
        <v>0</v>
      </c>
      <c r="K3209">
        <v>0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34</v>
      </c>
      <c r="C3210" t="s">
        <v>18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>
        <v>0</v>
      </c>
      <c r="J3210">
        <v>0</v>
      </c>
      <c r="K3210">
        <v>0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35</v>
      </c>
      <c r="C3211" t="s">
        <v>16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>
        <v>0</v>
      </c>
      <c r="J3211">
        <v>0</v>
      </c>
      <c r="K3211">
        <v>0</v>
      </c>
      <c r="N3211">
        <v>98.02</v>
      </c>
      <c r="O3211">
        <v>23.484848484848481</v>
      </c>
    </row>
    <row r="3212" spans="1:15" x14ac:dyDescent="0.25">
      <c r="A3212" s="11">
        <v>46136</v>
      </c>
      <c r="B3212" t="s">
        <v>36</v>
      </c>
      <c r="C3212" t="s">
        <v>20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>E3212+G3212+H3212</f>
        <v>15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14</v>
      </c>
      <c r="K3212" s="3">
        <f>I3212-J3212</f>
        <v>1</v>
      </c>
      <c r="L3212" s="3" t="str">
        <f>IF(K3212&lt;-5,"CRÍTICO",IF(K3212&lt;0,"ATENÇÃO",IF(K3212&lt;=5,"OPORTUNO","MUITO BOM")))</f>
        <v>OPORTUNO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37</v>
      </c>
      <c r="C3213" t="s">
        <v>16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>
        <v>0</v>
      </c>
      <c r="J3213">
        <v>0</v>
      </c>
      <c r="K3213">
        <v>0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38</v>
      </c>
      <c r="C3214" t="s">
        <v>18</v>
      </c>
      <c r="D3214">
        <v>39</v>
      </c>
      <c r="E3214">
        <v>38</v>
      </c>
      <c r="F3214">
        <v>16.5</v>
      </c>
      <c r="G3214">
        <v>0</v>
      </c>
      <c r="H3214">
        <v>0</v>
      </c>
      <c r="I3214">
        <v>0</v>
      </c>
      <c r="J3214">
        <v>0</v>
      </c>
      <c r="K3214">
        <v>0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39</v>
      </c>
      <c r="C3215" t="s">
        <v>18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>
        <v>0</v>
      </c>
      <c r="J3215">
        <v>0</v>
      </c>
      <c r="K3215">
        <v>0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40</v>
      </c>
      <c r="C3216" t="s">
        <v>16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41</v>
      </c>
      <c r="C3217" t="s">
        <v>18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42</v>
      </c>
      <c r="C3218" t="s">
        <v>43</v>
      </c>
      <c r="D3218">
        <v>23</v>
      </c>
      <c r="E3218">
        <v>22</v>
      </c>
      <c r="F3218">
        <v>26.4</v>
      </c>
      <c r="G3218">
        <v>0</v>
      </c>
      <c r="H3218">
        <v>0</v>
      </c>
      <c r="I3218">
        <v>0</v>
      </c>
      <c r="J3218">
        <v>0</v>
      </c>
      <c r="K3218">
        <v>0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44</v>
      </c>
      <c r="C3219" t="s">
        <v>18</v>
      </c>
      <c r="D3219">
        <v>5</v>
      </c>
      <c r="E3219">
        <v>5</v>
      </c>
      <c r="F3219">
        <v>44.14</v>
      </c>
      <c r="G3219">
        <v>0</v>
      </c>
      <c r="H3219">
        <v>0</v>
      </c>
      <c r="I3219">
        <v>0</v>
      </c>
      <c r="J3219">
        <v>0</v>
      </c>
      <c r="K3219">
        <v>0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45</v>
      </c>
      <c r="C3220" t="s">
        <v>43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>
        <v>0</v>
      </c>
      <c r="J3220">
        <v>0</v>
      </c>
      <c r="K3220">
        <v>0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46</v>
      </c>
      <c r="C3221" t="s">
        <v>18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>
        <v>0</v>
      </c>
      <c r="J3221">
        <v>0</v>
      </c>
      <c r="K3221">
        <v>0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47</v>
      </c>
      <c r="C3222" t="s">
        <v>16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>
        <v>0</v>
      </c>
      <c r="J3222">
        <v>0</v>
      </c>
      <c r="K3222">
        <v>0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48</v>
      </c>
      <c r="C3223" t="s">
        <v>16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49</v>
      </c>
      <c r="C3224" t="s">
        <v>18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50</v>
      </c>
      <c r="C3225" t="s">
        <v>20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>
        <v>0</v>
      </c>
      <c r="J3225">
        <v>0</v>
      </c>
      <c r="K3225">
        <v>0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51</v>
      </c>
      <c r="C3226" t="s">
        <v>23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>
        <v>0</v>
      </c>
      <c r="J3226">
        <v>0</v>
      </c>
      <c r="K3226">
        <v>0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52</v>
      </c>
      <c r="C3227" t="s">
        <v>18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>
        <v>0</v>
      </c>
      <c r="J3227">
        <v>0</v>
      </c>
      <c r="K3227">
        <v>0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53</v>
      </c>
      <c r="C3228" t="s">
        <v>18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54</v>
      </c>
      <c r="C3229" t="s">
        <v>23</v>
      </c>
      <c r="D3229">
        <v>4</v>
      </c>
      <c r="E3229">
        <v>4</v>
      </c>
      <c r="F3229">
        <v>63.47</v>
      </c>
      <c r="G3229">
        <v>0</v>
      </c>
      <c r="H3229">
        <v>0</v>
      </c>
      <c r="I3229">
        <v>0</v>
      </c>
      <c r="J3229">
        <v>0</v>
      </c>
      <c r="K3229">
        <v>0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55</v>
      </c>
      <c r="C3230" t="s">
        <v>43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56</v>
      </c>
      <c r="C3231" t="s">
        <v>16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>
        <v>0</v>
      </c>
      <c r="J3231">
        <v>0</v>
      </c>
      <c r="K3231">
        <v>0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57</v>
      </c>
      <c r="C3232" t="s">
        <v>43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>
        <v>0</v>
      </c>
      <c r="J3232">
        <v>0</v>
      </c>
      <c r="K3232">
        <v>0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58</v>
      </c>
      <c r="C3233" t="s">
        <v>43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>
        <v>0</v>
      </c>
      <c r="J3233">
        <v>0</v>
      </c>
      <c r="K3233">
        <v>0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59</v>
      </c>
      <c r="C3234" t="s">
        <v>23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60</v>
      </c>
      <c r="C3235" t="s">
        <v>20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>
        <v>0</v>
      </c>
      <c r="J3235">
        <v>0</v>
      </c>
      <c r="K3235">
        <v>0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61</v>
      </c>
      <c r="C3236" t="s">
        <v>18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>
        <v>0</v>
      </c>
      <c r="J3236">
        <v>0</v>
      </c>
      <c r="K3236">
        <v>0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62</v>
      </c>
      <c r="C3237" t="s">
        <v>20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>
        <v>0</v>
      </c>
      <c r="J3237">
        <v>0</v>
      </c>
      <c r="K3237">
        <v>0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63</v>
      </c>
      <c r="C3238" t="s">
        <v>18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>
        <v>0</v>
      </c>
      <c r="J3238">
        <v>0</v>
      </c>
      <c r="K3238">
        <v>0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15</v>
      </c>
      <c r="C3239" t="s">
        <v>16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>
        <v>0</v>
      </c>
      <c r="J3239">
        <v>0</v>
      </c>
      <c r="K3239">
        <v>0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17</v>
      </c>
      <c r="C3240" t="s">
        <v>18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19</v>
      </c>
      <c r="C3241" t="s">
        <v>20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>
        <v>0</v>
      </c>
      <c r="J3241">
        <v>0</v>
      </c>
      <c r="K3241">
        <v>0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21</v>
      </c>
      <c r="C3242" t="s">
        <v>18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>
        <v>0</v>
      </c>
      <c r="J3242">
        <v>0</v>
      </c>
      <c r="K3242">
        <v>0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22</v>
      </c>
      <c r="C3243" t="s">
        <v>23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>
        <v>0</v>
      </c>
      <c r="J3243">
        <v>0</v>
      </c>
      <c r="K3243">
        <v>0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24</v>
      </c>
      <c r="C3244" t="s">
        <v>16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>
        <v>0</v>
      </c>
      <c r="J3244">
        <v>0</v>
      </c>
      <c r="K3244">
        <v>0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25</v>
      </c>
      <c r="C3245" t="s">
        <v>16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>
        <v>0</v>
      </c>
      <c r="J3245">
        <v>0</v>
      </c>
      <c r="K3245">
        <v>0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26</v>
      </c>
      <c r="C3246" t="s">
        <v>23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27</v>
      </c>
      <c r="C3247" t="s">
        <v>20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>
        <v>0</v>
      </c>
      <c r="J3247">
        <v>0</v>
      </c>
      <c r="K3247">
        <v>0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28</v>
      </c>
      <c r="C3248" t="s">
        <v>18</v>
      </c>
      <c r="D3248">
        <v>6</v>
      </c>
      <c r="E3248">
        <v>6</v>
      </c>
      <c r="F3248">
        <v>25.29</v>
      </c>
      <c r="G3248">
        <v>0</v>
      </c>
      <c r="H3248">
        <v>0</v>
      </c>
      <c r="I3248">
        <v>0</v>
      </c>
      <c r="J3248">
        <v>0</v>
      </c>
      <c r="K3248">
        <v>0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29</v>
      </c>
      <c r="C3249" t="s">
        <v>16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30</v>
      </c>
      <c r="C3250" t="s">
        <v>20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>
        <v>0</v>
      </c>
      <c r="J3250">
        <v>0</v>
      </c>
      <c r="K3250">
        <v>0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31</v>
      </c>
      <c r="C3251" t="s">
        <v>18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32</v>
      </c>
      <c r="C3252" t="s">
        <v>23</v>
      </c>
      <c r="D3252">
        <v>6</v>
      </c>
      <c r="E3252">
        <v>6</v>
      </c>
      <c r="F3252">
        <v>42.25</v>
      </c>
      <c r="G3252">
        <v>0</v>
      </c>
      <c r="H3252">
        <v>0</v>
      </c>
      <c r="I3252">
        <v>0</v>
      </c>
      <c r="J3252">
        <v>0</v>
      </c>
      <c r="K3252">
        <v>0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33</v>
      </c>
      <c r="C3253" t="s">
        <v>16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>
        <v>0</v>
      </c>
      <c r="J3253">
        <v>0</v>
      </c>
      <c r="K3253">
        <v>0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34</v>
      </c>
      <c r="C3254" t="s">
        <v>18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>
        <v>0</v>
      </c>
      <c r="J3254">
        <v>0</v>
      </c>
      <c r="K3254">
        <v>0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35</v>
      </c>
      <c r="C3255" t="s">
        <v>16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>
        <v>0</v>
      </c>
      <c r="J3255">
        <v>0</v>
      </c>
      <c r="K3255">
        <v>0</v>
      </c>
      <c r="N3255">
        <v>98.02</v>
      </c>
      <c r="O3255">
        <v>23.484848484848481</v>
      </c>
    </row>
    <row r="3256" spans="1:15" x14ac:dyDescent="0.25">
      <c r="A3256" s="11">
        <v>46139</v>
      </c>
      <c r="B3256" t="s">
        <v>36</v>
      </c>
      <c r="C3256" t="s">
        <v>20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>E3256+G3256+H3256</f>
        <v>12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9</v>
      </c>
      <c r="K3256" s="3">
        <f>I3256-J3256</f>
        <v>3</v>
      </c>
      <c r="L3256" s="3" t="str">
        <f>IF(K3256&lt;-5,"CRÍTICO",IF(K3256&lt;0,"ATENÇÃO",IF(K3256&lt;=5,"OPORTUNO","MUITO BOM")))</f>
        <v>OPORTUNO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37</v>
      </c>
      <c r="C3257" t="s">
        <v>16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>
        <v>0</v>
      </c>
      <c r="J3257">
        <v>0</v>
      </c>
      <c r="K3257">
        <v>0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38</v>
      </c>
      <c r="C3258" t="s">
        <v>18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>
        <v>0</v>
      </c>
      <c r="J3258">
        <v>0</v>
      </c>
      <c r="K3258">
        <v>0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39</v>
      </c>
      <c r="C3259" t="s">
        <v>18</v>
      </c>
      <c r="D3259">
        <v>7</v>
      </c>
      <c r="E3259">
        <v>6</v>
      </c>
      <c r="F3259">
        <v>15.49</v>
      </c>
      <c r="G3259">
        <v>0</v>
      </c>
      <c r="H3259">
        <v>0</v>
      </c>
      <c r="I3259">
        <v>0</v>
      </c>
      <c r="J3259">
        <v>0</v>
      </c>
      <c r="K3259">
        <v>0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40</v>
      </c>
      <c r="C3260" t="s">
        <v>16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41</v>
      </c>
      <c r="C3261" t="s">
        <v>18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42</v>
      </c>
      <c r="C3262" t="s">
        <v>43</v>
      </c>
      <c r="D3262">
        <v>10</v>
      </c>
      <c r="E3262">
        <v>9</v>
      </c>
      <c r="F3262">
        <v>42.22</v>
      </c>
      <c r="G3262">
        <v>0</v>
      </c>
      <c r="H3262">
        <v>0</v>
      </c>
      <c r="I3262">
        <v>0</v>
      </c>
      <c r="J3262">
        <v>0</v>
      </c>
      <c r="K3262">
        <v>0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44</v>
      </c>
      <c r="C3263" t="s">
        <v>18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>
        <v>0</v>
      </c>
      <c r="J3263">
        <v>0</v>
      </c>
      <c r="K3263">
        <v>0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45</v>
      </c>
      <c r="C3264" t="s">
        <v>43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>
        <v>0</v>
      </c>
      <c r="J3264">
        <v>0</v>
      </c>
      <c r="K3264">
        <v>0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46</v>
      </c>
      <c r="C3265" t="s">
        <v>18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>
        <v>0</v>
      </c>
      <c r="J3265">
        <v>0</v>
      </c>
      <c r="K3265">
        <v>0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47</v>
      </c>
      <c r="C3266" t="s">
        <v>16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>
        <v>0</v>
      </c>
      <c r="J3266">
        <v>0</v>
      </c>
      <c r="K3266">
        <v>0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48</v>
      </c>
      <c r="C3267" t="s">
        <v>16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49</v>
      </c>
      <c r="C3268" t="s">
        <v>18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50</v>
      </c>
      <c r="C3269" t="s">
        <v>20</v>
      </c>
      <c r="D3269">
        <v>21</v>
      </c>
      <c r="E3269">
        <v>21</v>
      </c>
      <c r="F3269">
        <v>23.4</v>
      </c>
      <c r="G3269">
        <v>0</v>
      </c>
      <c r="H3269">
        <v>0</v>
      </c>
      <c r="I3269">
        <v>0</v>
      </c>
      <c r="J3269">
        <v>0</v>
      </c>
      <c r="K3269">
        <v>0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51</v>
      </c>
      <c r="C3270" t="s">
        <v>23</v>
      </c>
      <c r="D3270">
        <v>8</v>
      </c>
      <c r="E3270">
        <v>8</v>
      </c>
      <c r="F3270">
        <v>42.12</v>
      </c>
      <c r="G3270">
        <v>0</v>
      </c>
      <c r="H3270">
        <v>0</v>
      </c>
      <c r="I3270">
        <v>0</v>
      </c>
      <c r="J3270">
        <v>0</v>
      </c>
      <c r="K3270">
        <v>0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52</v>
      </c>
      <c r="C3271" t="s">
        <v>18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>
        <v>0</v>
      </c>
      <c r="J3271">
        <v>0</v>
      </c>
      <c r="K3271">
        <v>0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53</v>
      </c>
      <c r="C3272" t="s">
        <v>18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>
        <v>0</v>
      </c>
      <c r="J3272">
        <v>0</v>
      </c>
      <c r="K3272">
        <v>0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54</v>
      </c>
      <c r="C3273" t="s">
        <v>23</v>
      </c>
      <c r="D3273">
        <v>4</v>
      </c>
      <c r="E3273">
        <v>4</v>
      </c>
      <c r="F3273">
        <v>60.03</v>
      </c>
      <c r="G3273">
        <v>0</v>
      </c>
      <c r="H3273">
        <v>0</v>
      </c>
      <c r="I3273">
        <v>0</v>
      </c>
      <c r="J3273">
        <v>0</v>
      </c>
      <c r="K3273">
        <v>0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55</v>
      </c>
      <c r="C3274" t="s">
        <v>43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56</v>
      </c>
      <c r="C3275" t="s">
        <v>16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>
        <v>0</v>
      </c>
      <c r="J3275">
        <v>0</v>
      </c>
      <c r="K3275">
        <v>0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57</v>
      </c>
      <c r="C3276" t="s">
        <v>43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>
        <v>0</v>
      </c>
      <c r="J3276">
        <v>0</v>
      </c>
      <c r="K3276">
        <v>0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58</v>
      </c>
      <c r="C3277" t="s">
        <v>43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>
        <v>0</v>
      </c>
      <c r="J3277">
        <v>0</v>
      </c>
      <c r="K3277">
        <v>0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59</v>
      </c>
      <c r="C3278" t="s">
        <v>23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60</v>
      </c>
      <c r="C3279" t="s">
        <v>20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>
        <v>0</v>
      </c>
      <c r="J3279">
        <v>0</v>
      </c>
      <c r="K3279">
        <v>0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61</v>
      </c>
      <c r="C3280" t="s">
        <v>18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>
        <v>0</v>
      </c>
      <c r="J3280">
        <v>0</v>
      </c>
      <c r="K3280">
        <v>0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62</v>
      </c>
      <c r="C3281" t="s">
        <v>20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>
        <v>0</v>
      </c>
      <c r="J3281">
        <v>0</v>
      </c>
      <c r="K3281">
        <v>0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63</v>
      </c>
      <c r="C3282" t="s">
        <v>18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>
        <v>0</v>
      </c>
      <c r="J3282">
        <v>0</v>
      </c>
      <c r="K3282">
        <v>0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15</v>
      </c>
      <c r="C3283" t="s">
        <v>16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>
        <v>0</v>
      </c>
      <c r="J3283">
        <v>0</v>
      </c>
      <c r="K3283">
        <v>0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17</v>
      </c>
      <c r="C3284" t="s">
        <v>18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19</v>
      </c>
      <c r="C3285" t="s">
        <v>20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>
        <v>0</v>
      </c>
      <c r="J3285">
        <v>0</v>
      </c>
      <c r="K3285">
        <v>0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21</v>
      </c>
      <c r="C3286" t="s">
        <v>18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>
        <v>0</v>
      </c>
      <c r="J3286">
        <v>0</v>
      </c>
      <c r="K3286">
        <v>0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22</v>
      </c>
      <c r="C3287" t="s">
        <v>23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>
        <v>0</v>
      </c>
      <c r="J3287">
        <v>0</v>
      </c>
      <c r="K3287">
        <v>0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24</v>
      </c>
      <c r="C3288" t="s">
        <v>16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>
        <v>0</v>
      </c>
      <c r="J3288">
        <v>0</v>
      </c>
      <c r="K3288">
        <v>0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25</v>
      </c>
      <c r="C3289" t="s">
        <v>16</v>
      </c>
      <c r="D3289">
        <v>23</v>
      </c>
      <c r="E3289">
        <v>22</v>
      </c>
      <c r="F3289">
        <v>23.4</v>
      </c>
      <c r="G3289">
        <v>0</v>
      </c>
      <c r="H3289">
        <v>0</v>
      </c>
      <c r="I3289">
        <v>0</v>
      </c>
      <c r="J3289">
        <v>0</v>
      </c>
      <c r="K3289">
        <v>0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26</v>
      </c>
      <c r="C3290" t="s">
        <v>23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>
        <v>0</v>
      </c>
      <c r="J3290">
        <v>0</v>
      </c>
      <c r="K3290">
        <v>0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27</v>
      </c>
      <c r="C3291" t="s">
        <v>20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>
        <v>0</v>
      </c>
      <c r="J3291">
        <v>0</v>
      </c>
      <c r="K3291">
        <v>0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28</v>
      </c>
      <c r="C3292" t="s">
        <v>18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>
        <v>0</v>
      </c>
      <c r="J3292">
        <v>0</v>
      </c>
      <c r="K3292">
        <v>0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29</v>
      </c>
      <c r="C3293" t="s">
        <v>16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30</v>
      </c>
      <c r="C3294" t="s">
        <v>20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>
        <v>0</v>
      </c>
      <c r="J3294">
        <v>0</v>
      </c>
      <c r="K3294">
        <v>0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31</v>
      </c>
      <c r="C3295" t="s">
        <v>18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32</v>
      </c>
      <c r="C3296" t="s">
        <v>23</v>
      </c>
      <c r="D3296">
        <v>4</v>
      </c>
      <c r="E3296">
        <v>4</v>
      </c>
      <c r="F3296">
        <v>82.38</v>
      </c>
      <c r="G3296">
        <v>0</v>
      </c>
      <c r="H3296">
        <v>0</v>
      </c>
      <c r="I3296">
        <v>0</v>
      </c>
      <c r="J3296">
        <v>0</v>
      </c>
      <c r="K3296">
        <v>0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33</v>
      </c>
      <c r="C3297" t="s">
        <v>16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>
        <v>0</v>
      </c>
      <c r="J3297">
        <v>0</v>
      </c>
      <c r="K3297">
        <v>0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34</v>
      </c>
      <c r="C3298" t="s">
        <v>18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>
        <v>0</v>
      </c>
      <c r="J3298">
        <v>0</v>
      </c>
      <c r="K3298">
        <v>0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35</v>
      </c>
      <c r="C3299" t="s">
        <v>16</v>
      </c>
      <c r="D3299">
        <v>25</v>
      </c>
      <c r="E3299">
        <v>22</v>
      </c>
      <c r="F3299">
        <v>18.2</v>
      </c>
      <c r="G3299">
        <v>0</v>
      </c>
      <c r="H3299">
        <v>0</v>
      </c>
      <c r="I3299">
        <v>0</v>
      </c>
      <c r="J3299">
        <v>0</v>
      </c>
      <c r="K3299">
        <v>0</v>
      </c>
      <c r="N3299">
        <v>98.02</v>
      </c>
      <c r="O3299">
        <v>23.484848484848481</v>
      </c>
    </row>
    <row r="3300" spans="1:15" x14ac:dyDescent="0.25">
      <c r="A3300" s="11">
        <v>46140</v>
      </c>
      <c r="B3300" t="s">
        <v>36</v>
      </c>
      <c r="C3300" t="s">
        <v>20</v>
      </c>
      <c r="D3300">
        <v>9</v>
      </c>
      <c r="E3300">
        <v>5</v>
      </c>
      <c r="F3300">
        <v>10.29</v>
      </c>
      <c r="G3300">
        <v>0</v>
      </c>
      <c r="H3300">
        <v>0</v>
      </c>
      <c r="I3300" s="3">
        <f>E3300+G3300+H3300</f>
        <v>5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-16</v>
      </c>
      <c r="L3300" s="3" t="str">
        <f>IF(K3300&lt;-5,"CRÍTICO",IF(K3300&lt;0,"ATENÇÃO",IF(K3300&lt;=5,"OPORTUNO","MUITO BOM")))</f>
        <v>CRÍTICO</v>
      </c>
      <c r="N3300">
        <v>99.28</v>
      </c>
      <c r="O3300">
        <v>27.689243027888441</v>
      </c>
    </row>
    <row r="3301" spans="1:15" hidden="1" x14ac:dyDescent="0.25">
      <c r="A3301" s="11">
        <v>46105</v>
      </c>
      <c r="B3301" t="s">
        <v>37</v>
      </c>
      <c r="C3301" t="s">
        <v>16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>
        <v>0</v>
      </c>
      <c r="J3301">
        <v>0</v>
      </c>
      <c r="K3301">
        <v>0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38</v>
      </c>
      <c r="C3302" t="s">
        <v>18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>
        <v>0</v>
      </c>
      <c r="J3302">
        <v>0</v>
      </c>
      <c r="K3302">
        <v>0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39</v>
      </c>
      <c r="C3303" t="s">
        <v>18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>
        <v>0</v>
      </c>
      <c r="J3303">
        <v>0</v>
      </c>
      <c r="K3303">
        <v>0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40</v>
      </c>
      <c r="C3304" t="s">
        <v>16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41</v>
      </c>
      <c r="C3305" t="s">
        <v>18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42</v>
      </c>
      <c r="C3306" t="s">
        <v>43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>
        <v>0</v>
      </c>
      <c r="J3306">
        <v>0</v>
      </c>
      <c r="K3306">
        <v>0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44</v>
      </c>
      <c r="C3307" t="s">
        <v>18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>
        <v>0</v>
      </c>
      <c r="J3307">
        <v>0</v>
      </c>
      <c r="K3307">
        <v>0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45</v>
      </c>
      <c r="C3308" t="s">
        <v>43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>
        <v>0</v>
      </c>
      <c r="J3308">
        <v>0</v>
      </c>
      <c r="K3308">
        <v>0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46</v>
      </c>
      <c r="C3309" t="s">
        <v>18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>
        <v>0</v>
      </c>
      <c r="J3309">
        <v>0</v>
      </c>
      <c r="K3309">
        <v>0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47</v>
      </c>
      <c r="C3310" t="s">
        <v>16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>
        <v>0</v>
      </c>
      <c r="J3310">
        <v>0</v>
      </c>
      <c r="K3310">
        <v>0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48</v>
      </c>
      <c r="C3311" t="s">
        <v>16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49</v>
      </c>
      <c r="C3312" t="s">
        <v>18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50</v>
      </c>
      <c r="C3313" t="s">
        <v>20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>
        <v>0</v>
      </c>
      <c r="J3313">
        <v>0</v>
      </c>
      <c r="K3313">
        <v>0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51</v>
      </c>
      <c r="C3314" t="s">
        <v>23</v>
      </c>
      <c r="D3314">
        <v>6</v>
      </c>
      <c r="E3314">
        <v>6</v>
      </c>
      <c r="F3314">
        <v>50.07</v>
      </c>
      <c r="G3314">
        <v>0</v>
      </c>
      <c r="H3314">
        <v>0</v>
      </c>
      <c r="I3314">
        <v>0</v>
      </c>
      <c r="J3314">
        <v>0</v>
      </c>
      <c r="K3314">
        <v>0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52</v>
      </c>
      <c r="C3315" t="s">
        <v>18</v>
      </c>
      <c r="D3315">
        <v>24</v>
      </c>
      <c r="E3315">
        <v>22</v>
      </c>
      <c r="F3315">
        <v>15.5</v>
      </c>
      <c r="G3315">
        <v>0</v>
      </c>
      <c r="H3315">
        <v>0</v>
      </c>
      <c r="I3315">
        <v>0</v>
      </c>
      <c r="J3315">
        <v>0</v>
      </c>
      <c r="K3315">
        <v>0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53</v>
      </c>
      <c r="C3316" t="s">
        <v>18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>
        <v>0</v>
      </c>
      <c r="J3316">
        <v>0</v>
      </c>
      <c r="K3316">
        <v>0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54</v>
      </c>
      <c r="C3317" t="s">
        <v>23</v>
      </c>
      <c r="D3317">
        <v>17</v>
      </c>
      <c r="E3317">
        <v>16</v>
      </c>
      <c r="F3317">
        <v>23.5</v>
      </c>
      <c r="G3317">
        <v>0</v>
      </c>
      <c r="H3317">
        <v>0</v>
      </c>
      <c r="I3317">
        <v>0</v>
      </c>
      <c r="J3317">
        <v>0</v>
      </c>
      <c r="K3317">
        <v>0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55</v>
      </c>
      <c r="C3318" t="s">
        <v>43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56</v>
      </c>
      <c r="C3319" t="s">
        <v>16</v>
      </c>
      <c r="D3319">
        <v>25</v>
      </c>
      <c r="E3319">
        <v>21</v>
      </c>
      <c r="F3319">
        <v>15</v>
      </c>
      <c r="G3319">
        <v>0</v>
      </c>
      <c r="H3319">
        <v>0</v>
      </c>
      <c r="I3319">
        <v>0</v>
      </c>
      <c r="J3319">
        <v>0</v>
      </c>
      <c r="K3319">
        <v>0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57</v>
      </c>
      <c r="C3320" t="s">
        <v>43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>
        <v>0</v>
      </c>
      <c r="J3320">
        <v>0</v>
      </c>
      <c r="K3320">
        <v>0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58</v>
      </c>
      <c r="C3321" t="s">
        <v>43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>
        <v>0</v>
      </c>
      <c r="J3321">
        <v>0</v>
      </c>
      <c r="K3321">
        <v>0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59</v>
      </c>
      <c r="C3322" t="s">
        <v>23</v>
      </c>
      <c r="D3322">
        <v>3</v>
      </c>
      <c r="E3322">
        <v>3</v>
      </c>
      <c r="F3322">
        <v>23.28</v>
      </c>
      <c r="G3322">
        <v>0</v>
      </c>
      <c r="H3322">
        <v>0</v>
      </c>
      <c r="I3322">
        <v>0</v>
      </c>
      <c r="J3322">
        <v>0</v>
      </c>
      <c r="K3322">
        <v>0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60</v>
      </c>
      <c r="C3323" t="s">
        <v>20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>
        <v>0</v>
      </c>
      <c r="J3323">
        <v>0</v>
      </c>
      <c r="K3323">
        <v>0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61</v>
      </c>
      <c r="C3324" t="s">
        <v>18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>
        <v>0</v>
      </c>
      <c r="J3324">
        <v>0</v>
      </c>
      <c r="K3324">
        <v>0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62</v>
      </c>
      <c r="C3325" t="s">
        <v>20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>
        <v>0</v>
      </c>
      <c r="J3325">
        <v>0</v>
      </c>
      <c r="K3325">
        <v>0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63</v>
      </c>
      <c r="C3326" t="s">
        <v>18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>
        <v>0</v>
      </c>
      <c r="J3326">
        <v>0</v>
      </c>
      <c r="K3326">
        <v>0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15</v>
      </c>
      <c r="C3327" t="s">
        <v>16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>
        <v>0</v>
      </c>
      <c r="J3327">
        <v>0</v>
      </c>
      <c r="K3327">
        <v>0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17</v>
      </c>
      <c r="C3328" t="s">
        <v>18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19</v>
      </c>
      <c r="C3329" t="s">
        <v>20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>
        <v>0</v>
      </c>
      <c r="J3329">
        <v>0</v>
      </c>
      <c r="K3329">
        <v>0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21</v>
      </c>
      <c r="C3330" t="s">
        <v>18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>
        <v>0</v>
      </c>
      <c r="J3330">
        <v>0</v>
      </c>
      <c r="K3330">
        <v>0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22</v>
      </c>
      <c r="C3331" t="s">
        <v>23</v>
      </c>
      <c r="D3331">
        <v>10</v>
      </c>
      <c r="E3331">
        <v>9</v>
      </c>
      <c r="F3331">
        <v>33.36</v>
      </c>
      <c r="G3331">
        <v>0</v>
      </c>
      <c r="H3331">
        <v>0</v>
      </c>
      <c r="I3331">
        <v>0</v>
      </c>
      <c r="J3331">
        <v>0</v>
      </c>
      <c r="K3331">
        <v>0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24</v>
      </c>
      <c r="C3332" t="s">
        <v>16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>
        <v>0</v>
      </c>
      <c r="J3332">
        <v>0</v>
      </c>
      <c r="K3332">
        <v>0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25</v>
      </c>
      <c r="C3333" t="s">
        <v>16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>
        <v>0</v>
      </c>
      <c r="J3333">
        <v>0</v>
      </c>
      <c r="K3333">
        <v>0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26</v>
      </c>
      <c r="C3334" t="s">
        <v>23</v>
      </c>
      <c r="D3334">
        <v>4</v>
      </c>
      <c r="E3334">
        <v>4</v>
      </c>
      <c r="F3334">
        <v>24.17</v>
      </c>
      <c r="G3334">
        <v>0</v>
      </c>
      <c r="H3334">
        <v>0</v>
      </c>
      <c r="I3334">
        <v>0</v>
      </c>
      <c r="J3334">
        <v>0</v>
      </c>
      <c r="K3334">
        <v>0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27</v>
      </c>
      <c r="C3335" t="s">
        <v>20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>
        <v>0</v>
      </c>
      <c r="J3335">
        <v>0</v>
      </c>
      <c r="K3335">
        <v>0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28</v>
      </c>
      <c r="C3336" t="s">
        <v>18</v>
      </c>
      <c r="D3336">
        <v>30</v>
      </c>
      <c r="E3336">
        <v>27</v>
      </c>
      <c r="F3336">
        <v>12.2</v>
      </c>
      <c r="G3336">
        <v>0</v>
      </c>
      <c r="H3336">
        <v>0</v>
      </c>
      <c r="I3336">
        <v>0</v>
      </c>
      <c r="J3336">
        <v>0</v>
      </c>
      <c r="K3336">
        <v>0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29</v>
      </c>
      <c r="C3337" t="s">
        <v>16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30</v>
      </c>
      <c r="C3338" t="s">
        <v>20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>
        <v>0</v>
      </c>
      <c r="J3338">
        <v>0</v>
      </c>
      <c r="K3338">
        <v>0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31</v>
      </c>
      <c r="C3339" t="s">
        <v>18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32</v>
      </c>
      <c r="C3340" t="s">
        <v>23</v>
      </c>
      <c r="D3340">
        <v>7</v>
      </c>
      <c r="E3340">
        <v>7</v>
      </c>
      <c r="F3340">
        <v>43.54</v>
      </c>
      <c r="G3340">
        <v>0</v>
      </c>
      <c r="H3340">
        <v>0</v>
      </c>
      <c r="I3340">
        <v>0</v>
      </c>
      <c r="J3340">
        <v>0</v>
      </c>
      <c r="K3340">
        <v>0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33</v>
      </c>
      <c r="C3341" t="s">
        <v>16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>
        <v>0</v>
      </c>
      <c r="J3341">
        <v>0</v>
      </c>
      <c r="K3341">
        <v>0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34</v>
      </c>
      <c r="C3342" t="s">
        <v>18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>
        <v>0</v>
      </c>
      <c r="J3342">
        <v>0</v>
      </c>
      <c r="K3342">
        <v>0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35</v>
      </c>
      <c r="C3343" t="s">
        <v>16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>
        <v>0</v>
      </c>
      <c r="J3343">
        <v>0</v>
      </c>
      <c r="K3343">
        <v>0</v>
      </c>
      <c r="N3343">
        <v>98.02</v>
      </c>
      <c r="O3343">
        <v>23.484848484848481</v>
      </c>
    </row>
    <row r="3344" spans="1:15" x14ac:dyDescent="0.25">
      <c r="A3344" s="11">
        <v>46141</v>
      </c>
      <c r="B3344" t="s">
        <v>36</v>
      </c>
      <c r="C3344" t="s">
        <v>20</v>
      </c>
      <c r="D3344">
        <v>0</v>
      </c>
      <c r="E3344">
        <v>0</v>
      </c>
      <c r="F3344">
        <v>0</v>
      </c>
      <c r="G3344">
        <v>0</v>
      </c>
      <c r="H3344">
        <v>0</v>
      </c>
      <c r="I3344" s="3">
        <f>E3344+G3344+H3344</f>
        <v>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22</v>
      </c>
      <c r="K3344" s="3">
        <f>I3344-J3344</f>
        <v>-22</v>
      </c>
      <c r="L3344" s="3" t="str">
        <f>IF(K3344&lt;-5,"CRÍTICO",IF(K3344&lt;0,"ATENÇÃO",IF(K3344&lt;=5,"OPORTUNO","MUITO BOM")))</f>
        <v>CRÍTICO</v>
      </c>
      <c r="N3344">
        <v>99.28</v>
      </c>
      <c r="O3344">
        <v>27.689243027888441</v>
      </c>
    </row>
    <row r="3345" spans="1:15" hidden="1" x14ac:dyDescent="0.25">
      <c r="A3345" s="11">
        <v>46106</v>
      </c>
      <c r="B3345" t="s">
        <v>37</v>
      </c>
      <c r="C3345" t="s">
        <v>16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>
        <v>0</v>
      </c>
      <c r="J3345">
        <v>0</v>
      </c>
      <c r="K3345">
        <v>0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38</v>
      </c>
      <c r="C3346" t="s">
        <v>18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>
        <v>0</v>
      </c>
      <c r="J3346">
        <v>0</v>
      </c>
      <c r="K3346">
        <v>0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39</v>
      </c>
      <c r="C3347" t="s">
        <v>18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>
        <v>0</v>
      </c>
      <c r="J3347">
        <v>0</v>
      </c>
      <c r="K3347">
        <v>0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40</v>
      </c>
      <c r="C3348" t="s">
        <v>16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41</v>
      </c>
      <c r="C3349" t="s">
        <v>18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42</v>
      </c>
      <c r="C3350" t="s">
        <v>43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>
        <v>0</v>
      </c>
      <c r="J3350">
        <v>0</v>
      </c>
      <c r="K3350">
        <v>0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44</v>
      </c>
      <c r="C3351" t="s">
        <v>18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>
        <v>0</v>
      </c>
      <c r="J3351">
        <v>0</v>
      </c>
      <c r="K3351">
        <v>0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45</v>
      </c>
      <c r="C3352" t="s">
        <v>43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>
        <v>0</v>
      </c>
      <c r="J3352">
        <v>0</v>
      </c>
      <c r="K3352">
        <v>0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46</v>
      </c>
      <c r="C3353" t="s">
        <v>18</v>
      </c>
      <c r="D3353">
        <v>28</v>
      </c>
      <c r="E3353">
        <v>24</v>
      </c>
      <c r="F3353">
        <v>15.3</v>
      </c>
      <c r="G3353">
        <v>0</v>
      </c>
      <c r="H3353">
        <v>0</v>
      </c>
      <c r="I3353">
        <v>0</v>
      </c>
      <c r="J3353">
        <v>0</v>
      </c>
      <c r="K3353">
        <v>0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47</v>
      </c>
      <c r="C3354" t="s">
        <v>16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>
        <v>0</v>
      </c>
      <c r="J3354">
        <v>0</v>
      </c>
      <c r="K3354">
        <v>0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48</v>
      </c>
      <c r="C3355" t="s">
        <v>16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49</v>
      </c>
      <c r="C3356" t="s">
        <v>18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50</v>
      </c>
      <c r="C3357" t="s">
        <v>20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>
        <v>0</v>
      </c>
      <c r="J3357">
        <v>0</v>
      </c>
      <c r="K3357">
        <v>0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51</v>
      </c>
      <c r="C3358" t="s">
        <v>23</v>
      </c>
      <c r="D3358">
        <v>8</v>
      </c>
      <c r="E3358">
        <v>7</v>
      </c>
      <c r="F3358">
        <v>40.06</v>
      </c>
      <c r="G3358">
        <v>0</v>
      </c>
      <c r="H3358">
        <v>0</v>
      </c>
      <c r="I3358">
        <v>0</v>
      </c>
      <c r="J3358">
        <v>0</v>
      </c>
      <c r="K3358">
        <v>0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52</v>
      </c>
      <c r="C3359" t="s">
        <v>18</v>
      </c>
      <c r="D3359">
        <v>32</v>
      </c>
      <c r="E3359">
        <v>30</v>
      </c>
      <c r="F3359">
        <v>14</v>
      </c>
      <c r="G3359">
        <v>0</v>
      </c>
      <c r="H3359">
        <v>0</v>
      </c>
      <c r="I3359">
        <v>0</v>
      </c>
      <c r="J3359">
        <v>0</v>
      </c>
      <c r="K3359">
        <v>0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53</v>
      </c>
      <c r="C3360" t="s">
        <v>18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>
        <v>0</v>
      </c>
      <c r="J3360">
        <v>0</v>
      </c>
      <c r="K3360">
        <v>0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54</v>
      </c>
      <c r="C3361" t="s">
        <v>23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>
        <v>0</v>
      </c>
      <c r="J3361">
        <v>0</v>
      </c>
      <c r="K3361">
        <v>0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55</v>
      </c>
      <c r="C3362" t="s">
        <v>43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56</v>
      </c>
      <c r="C3363" t="s">
        <v>16</v>
      </c>
      <c r="D3363">
        <v>6</v>
      </c>
      <c r="E3363">
        <v>5</v>
      </c>
      <c r="F3363">
        <v>27.19</v>
      </c>
      <c r="G3363">
        <v>0</v>
      </c>
      <c r="H3363">
        <v>0</v>
      </c>
      <c r="I3363">
        <v>0</v>
      </c>
      <c r="J3363">
        <v>0</v>
      </c>
      <c r="K3363">
        <v>0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57</v>
      </c>
      <c r="C3364" t="s">
        <v>43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>
        <v>0</v>
      </c>
      <c r="J3364">
        <v>0</v>
      </c>
      <c r="K3364">
        <v>0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58</v>
      </c>
      <c r="C3365" t="s">
        <v>43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>
        <v>0</v>
      </c>
      <c r="J3365">
        <v>0</v>
      </c>
      <c r="K3365">
        <v>0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59</v>
      </c>
      <c r="C3366" t="s">
        <v>23</v>
      </c>
      <c r="D3366">
        <v>5</v>
      </c>
      <c r="E3366">
        <v>5</v>
      </c>
      <c r="F3366">
        <v>17.02</v>
      </c>
      <c r="G3366">
        <v>0</v>
      </c>
      <c r="H3366">
        <v>0</v>
      </c>
      <c r="I3366">
        <v>0</v>
      </c>
      <c r="J3366">
        <v>0</v>
      </c>
      <c r="K3366">
        <v>0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60</v>
      </c>
      <c r="C3367" t="s">
        <v>20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>
        <v>0</v>
      </c>
      <c r="J3367">
        <v>0</v>
      </c>
      <c r="K3367">
        <v>0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61</v>
      </c>
      <c r="C3368" t="s">
        <v>18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>
        <v>0</v>
      </c>
      <c r="J3368">
        <v>0</v>
      </c>
      <c r="K3368">
        <v>0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62</v>
      </c>
      <c r="C3369" t="s">
        <v>20</v>
      </c>
      <c r="D3369">
        <v>12</v>
      </c>
      <c r="E3369">
        <v>12</v>
      </c>
      <c r="F3369">
        <v>46.5</v>
      </c>
      <c r="G3369">
        <v>0</v>
      </c>
      <c r="H3369">
        <v>0</v>
      </c>
      <c r="I3369">
        <v>0</v>
      </c>
      <c r="J3369">
        <v>0</v>
      </c>
      <c r="K3369">
        <v>0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63</v>
      </c>
      <c r="C3370" t="s">
        <v>18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>
        <v>0</v>
      </c>
      <c r="J3370">
        <v>0</v>
      </c>
      <c r="K3370">
        <v>0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15</v>
      </c>
      <c r="C3371" t="s">
        <v>16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>
        <v>0</v>
      </c>
      <c r="J3371">
        <v>0</v>
      </c>
      <c r="K3371">
        <v>0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17</v>
      </c>
      <c r="C3372" t="s">
        <v>18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19</v>
      </c>
      <c r="C3373" t="s">
        <v>20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>
        <v>0</v>
      </c>
      <c r="J3373">
        <v>0</v>
      </c>
      <c r="K3373">
        <v>0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21</v>
      </c>
      <c r="C3374" t="s">
        <v>18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>
        <v>0</v>
      </c>
      <c r="J3374">
        <v>0</v>
      </c>
      <c r="K3374">
        <v>0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22</v>
      </c>
      <c r="C3375" t="s">
        <v>23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>
        <v>0</v>
      </c>
      <c r="J3375">
        <v>0</v>
      </c>
      <c r="K3375">
        <v>0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24</v>
      </c>
      <c r="C3376" t="s">
        <v>16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>
        <v>0</v>
      </c>
      <c r="J3376">
        <v>0</v>
      </c>
      <c r="K3376">
        <v>0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25</v>
      </c>
      <c r="C3377" t="s">
        <v>16</v>
      </c>
      <c r="D3377">
        <v>18</v>
      </c>
      <c r="E3377">
        <v>18</v>
      </c>
      <c r="F3377">
        <v>27</v>
      </c>
      <c r="G3377">
        <v>0</v>
      </c>
      <c r="H3377">
        <v>0</v>
      </c>
      <c r="I3377">
        <v>0</v>
      </c>
      <c r="J3377">
        <v>0</v>
      </c>
      <c r="K3377">
        <v>0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26</v>
      </c>
      <c r="C3378" t="s">
        <v>23</v>
      </c>
      <c r="D3378">
        <v>8</v>
      </c>
      <c r="E3378">
        <v>7</v>
      </c>
      <c r="F3378">
        <v>25.28</v>
      </c>
      <c r="G3378">
        <v>0</v>
      </c>
      <c r="H3378">
        <v>0</v>
      </c>
      <c r="I3378">
        <v>0</v>
      </c>
      <c r="J3378">
        <v>0</v>
      </c>
      <c r="K3378">
        <v>0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27</v>
      </c>
      <c r="C3379" t="s">
        <v>20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>
        <v>0</v>
      </c>
      <c r="J3379">
        <v>0</v>
      </c>
      <c r="K3379">
        <v>0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28</v>
      </c>
      <c r="C3380" t="s">
        <v>18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>
        <v>0</v>
      </c>
      <c r="J3380">
        <v>0</v>
      </c>
      <c r="K3380">
        <v>0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29</v>
      </c>
      <c r="C3381" t="s">
        <v>16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30</v>
      </c>
      <c r="C3382" t="s">
        <v>20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>
        <v>0</v>
      </c>
      <c r="J3382">
        <v>0</v>
      </c>
      <c r="K3382">
        <v>0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31</v>
      </c>
      <c r="C3383" t="s">
        <v>18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32</v>
      </c>
      <c r="C3384" t="s">
        <v>23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>
        <v>0</v>
      </c>
      <c r="J3384">
        <v>0</v>
      </c>
      <c r="K3384">
        <v>0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33</v>
      </c>
      <c r="C3385" t="s">
        <v>16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>
        <v>0</v>
      </c>
      <c r="J3385">
        <v>0</v>
      </c>
      <c r="K3385">
        <v>0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34</v>
      </c>
      <c r="C3386" t="s">
        <v>18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>
        <v>0</v>
      </c>
      <c r="J3386">
        <v>0</v>
      </c>
      <c r="K3386">
        <v>0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35</v>
      </c>
      <c r="C3387" t="s">
        <v>16</v>
      </c>
      <c r="D3387">
        <v>23</v>
      </c>
      <c r="E3387">
        <v>23</v>
      </c>
      <c r="F3387">
        <v>24.1</v>
      </c>
      <c r="G3387">
        <v>0</v>
      </c>
      <c r="H3387">
        <v>0</v>
      </c>
      <c r="I3387">
        <v>0</v>
      </c>
      <c r="J3387">
        <v>0</v>
      </c>
      <c r="K3387">
        <v>0</v>
      </c>
      <c r="N3387">
        <v>98.02</v>
      </c>
      <c r="O3387">
        <v>23.484848484848481</v>
      </c>
    </row>
    <row r="3388" spans="1:15" x14ac:dyDescent="0.25">
      <c r="A3388" s="11">
        <v>46142</v>
      </c>
      <c r="B3388" t="s">
        <v>36</v>
      </c>
      <c r="C3388" t="s">
        <v>20</v>
      </c>
      <c r="D3388">
        <v>3</v>
      </c>
      <c r="E3388">
        <v>3</v>
      </c>
      <c r="F3388">
        <v>15.05</v>
      </c>
      <c r="G3388">
        <v>0</v>
      </c>
      <c r="H3388">
        <v>0</v>
      </c>
      <c r="I3388" s="3">
        <f>E3388+G3388+H3388</f>
        <v>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20</v>
      </c>
      <c r="K3388" s="3">
        <f>I3388-J3388</f>
        <v>-17</v>
      </c>
      <c r="L3388" s="3" t="str">
        <f>IF(K3388&lt;-5,"CRÍTICO",IF(K3388&lt;0,"ATENÇÃO",IF(K3388&lt;=5,"OPORTUNO","MUITO BOM")))</f>
        <v>CRÍTICO</v>
      </c>
      <c r="N3388">
        <v>99.28</v>
      </c>
      <c r="O3388">
        <v>27.689243027888441</v>
      </c>
    </row>
    <row r="3389" spans="1:15" hidden="1" x14ac:dyDescent="0.25">
      <c r="A3389" s="11">
        <v>46107</v>
      </c>
      <c r="B3389" t="s">
        <v>37</v>
      </c>
      <c r="C3389" t="s">
        <v>16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>
        <v>0</v>
      </c>
      <c r="J3389">
        <v>0</v>
      </c>
      <c r="K3389">
        <v>0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38</v>
      </c>
      <c r="C3390" t="s">
        <v>18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>
        <v>0</v>
      </c>
      <c r="J3390">
        <v>0</v>
      </c>
      <c r="K3390">
        <v>0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39</v>
      </c>
      <c r="C3391" t="s">
        <v>18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>
        <v>0</v>
      </c>
      <c r="J3391">
        <v>0</v>
      </c>
      <c r="K3391">
        <v>0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40</v>
      </c>
      <c r="C3392" t="s">
        <v>16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41</v>
      </c>
      <c r="C3393" t="s">
        <v>18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42</v>
      </c>
      <c r="C3394" t="s">
        <v>43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>
        <v>0</v>
      </c>
      <c r="J3394">
        <v>0</v>
      </c>
      <c r="K3394">
        <v>0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44</v>
      </c>
      <c r="C3395" t="s">
        <v>18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>
        <v>0</v>
      </c>
      <c r="J3395">
        <v>0</v>
      </c>
      <c r="K3395">
        <v>0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45</v>
      </c>
      <c r="C3396" t="s">
        <v>43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>
        <v>0</v>
      </c>
      <c r="J3396">
        <v>0</v>
      </c>
      <c r="K3396">
        <v>0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46</v>
      </c>
      <c r="C3397" t="s">
        <v>18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>
        <v>0</v>
      </c>
      <c r="J3397">
        <v>0</v>
      </c>
      <c r="K3397">
        <v>0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47</v>
      </c>
      <c r="C3398" t="s">
        <v>16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>
        <v>0</v>
      </c>
      <c r="J3398">
        <v>0</v>
      </c>
      <c r="K3398">
        <v>0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48</v>
      </c>
      <c r="C3399" t="s">
        <v>16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49</v>
      </c>
      <c r="C3400" t="s">
        <v>18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50</v>
      </c>
      <c r="C3401" t="s">
        <v>20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>
        <v>0</v>
      </c>
      <c r="J3401">
        <v>0</v>
      </c>
      <c r="K3401">
        <v>0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51</v>
      </c>
      <c r="C3402" t="s">
        <v>23</v>
      </c>
      <c r="D3402">
        <v>8</v>
      </c>
      <c r="E3402">
        <v>7</v>
      </c>
      <c r="F3402">
        <v>42.36</v>
      </c>
      <c r="G3402">
        <v>0</v>
      </c>
      <c r="H3402">
        <v>0</v>
      </c>
      <c r="I3402">
        <v>0</v>
      </c>
      <c r="J3402">
        <v>0</v>
      </c>
      <c r="K3402">
        <v>0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52</v>
      </c>
      <c r="C3403" t="s">
        <v>18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>
        <v>0</v>
      </c>
      <c r="J3403">
        <v>0</v>
      </c>
      <c r="K3403">
        <v>0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53</v>
      </c>
      <c r="C3404" t="s">
        <v>18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>
        <v>0</v>
      </c>
      <c r="J3404">
        <v>0</v>
      </c>
      <c r="K3404">
        <v>0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54</v>
      </c>
      <c r="C3405" t="s">
        <v>23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>
        <v>0</v>
      </c>
      <c r="J3405">
        <v>0</v>
      </c>
      <c r="K3405">
        <v>0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55</v>
      </c>
      <c r="C3406" t="s">
        <v>43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56</v>
      </c>
      <c r="C3407" t="s">
        <v>16</v>
      </c>
      <c r="D3407">
        <v>7</v>
      </c>
      <c r="E3407">
        <v>6</v>
      </c>
      <c r="F3407">
        <v>8.5</v>
      </c>
      <c r="G3407">
        <v>0</v>
      </c>
      <c r="H3407">
        <v>0</v>
      </c>
      <c r="I3407">
        <v>0</v>
      </c>
      <c r="J3407">
        <v>0</v>
      </c>
      <c r="K3407">
        <v>0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57</v>
      </c>
      <c r="C3408" t="s">
        <v>43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>
        <v>0</v>
      </c>
      <c r="J3408">
        <v>0</v>
      </c>
      <c r="K3408">
        <v>0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58</v>
      </c>
      <c r="C3409" t="s">
        <v>43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>
        <v>0</v>
      </c>
      <c r="J3409">
        <v>0</v>
      </c>
      <c r="K3409">
        <v>0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59</v>
      </c>
      <c r="C3410" t="s">
        <v>23</v>
      </c>
      <c r="D3410">
        <v>5</v>
      </c>
      <c r="E3410">
        <v>5</v>
      </c>
      <c r="F3410">
        <v>29.06</v>
      </c>
      <c r="G3410">
        <v>0</v>
      </c>
      <c r="H3410">
        <v>0</v>
      </c>
      <c r="I3410">
        <v>0</v>
      </c>
      <c r="J3410">
        <v>0</v>
      </c>
      <c r="K3410">
        <v>0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60</v>
      </c>
      <c r="C3411" t="s">
        <v>20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>
        <v>0</v>
      </c>
      <c r="J3411">
        <v>0</v>
      </c>
      <c r="K3411">
        <v>0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61</v>
      </c>
      <c r="C3412" t="s">
        <v>18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>
        <v>0</v>
      </c>
      <c r="J3412">
        <v>0</v>
      </c>
      <c r="K3412">
        <v>0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62</v>
      </c>
      <c r="C3413" t="s">
        <v>20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>
        <v>0</v>
      </c>
      <c r="J3413">
        <v>0</v>
      </c>
      <c r="K3413">
        <v>0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63</v>
      </c>
      <c r="C3414" t="s">
        <v>18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>
        <v>0</v>
      </c>
      <c r="J3414">
        <v>0</v>
      </c>
      <c r="K3414">
        <v>0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15</v>
      </c>
      <c r="C3415" t="s">
        <v>16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>
        <v>0</v>
      </c>
      <c r="J3415">
        <v>0</v>
      </c>
      <c r="K3415">
        <v>0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17</v>
      </c>
      <c r="C3416" t="s">
        <v>18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19</v>
      </c>
      <c r="C3417" t="s">
        <v>20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>
        <v>0</v>
      </c>
      <c r="J3417">
        <v>0</v>
      </c>
      <c r="K3417">
        <v>0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21</v>
      </c>
      <c r="C3418" t="s">
        <v>18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>
        <v>0</v>
      </c>
      <c r="J3418">
        <v>0</v>
      </c>
      <c r="K3418">
        <v>0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22</v>
      </c>
      <c r="C3419" t="s">
        <v>23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>
        <v>0</v>
      </c>
      <c r="J3419">
        <v>0</v>
      </c>
      <c r="K3419">
        <v>0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24</v>
      </c>
      <c r="C3420" t="s">
        <v>16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>
        <v>0</v>
      </c>
      <c r="J3420">
        <v>0</v>
      </c>
      <c r="K3420">
        <v>0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25</v>
      </c>
      <c r="C3421" t="s">
        <v>16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>
        <v>0</v>
      </c>
      <c r="J3421">
        <v>0</v>
      </c>
      <c r="K3421">
        <v>0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26</v>
      </c>
      <c r="C3422" t="s">
        <v>23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>
        <v>0</v>
      </c>
      <c r="J3422">
        <v>0</v>
      </c>
      <c r="K3422">
        <v>0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27</v>
      </c>
      <c r="C3423" t="s">
        <v>20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>
        <v>0</v>
      </c>
      <c r="J3423">
        <v>0</v>
      </c>
      <c r="K3423">
        <v>0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28</v>
      </c>
      <c r="C3424" t="s">
        <v>18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>
        <v>0</v>
      </c>
      <c r="J3424">
        <v>0</v>
      </c>
      <c r="K3424">
        <v>0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29</v>
      </c>
      <c r="C3425" t="s">
        <v>16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30</v>
      </c>
      <c r="C3426" t="s">
        <v>20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>
        <v>0</v>
      </c>
      <c r="J3426">
        <v>0</v>
      </c>
      <c r="K3426">
        <v>0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31</v>
      </c>
      <c r="C3427" t="s">
        <v>18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32</v>
      </c>
      <c r="C3428" t="s">
        <v>23</v>
      </c>
      <c r="D3428">
        <v>10</v>
      </c>
      <c r="E3428">
        <v>8</v>
      </c>
      <c r="F3428">
        <v>27.39</v>
      </c>
      <c r="G3428">
        <v>0</v>
      </c>
      <c r="H3428">
        <v>0</v>
      </c>
      <c r="I3428">
        <v>0</v>
      </c>
      <c r="J3428">
        <v>0</v>
      </c>
      <c r="K3428">
        <v>0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33</v>
      </c>
      <c r="C3429" t="s">
        <v>16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>
        <v>0</v>
      </c>
      <c r="J3429">
        <v>0</v>
      </c>
      <c r="K3429">
        <v>0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34</v>
      </c>
      <c r="C3430" t="s">
        <v>18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>
        <v>0</v>
      </c>
      <c r="J3430">
        <v>0</v>
      </c>
      <c r="K3430">
        <v>0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35</v>
      </c>
      <c r="C3431" t="s">
        <v>16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>
        <v>0</v>
      </c>
      <c r="J3431">
        <v>0</v>
      </c>
      <c r="K3431">
        <v>0</v>
      </c>
      <c r="N3431">
        <v>98.02</v>
      </c>
      <c r="O3431">
        <v>23.484848484848481</v>
      </c>
    </row>
    <row r="3432" spans="1:15" x14ac:dyDescent="0.25">
      <c r="A3432" s="5">
        <v>46146</v>
      </c>
      <c r="B3432" s="6" t="s">
        <v>36</v>
      </c>
      <c r="C3432" s="3" t="s">
        <v>20</v>
      </c>
      <c r="D3432" s="3">
        <v>24</v>
      </c>
      <c r="E3432" s="3">
        <v>20</v>
      </c>
      <c r="F3432" s="3">
        <v>13.05</v>
      </c>
      <c r="G3432" s="3">
        <v>7</v>
      </c>
      <c r="H3432" s="3">
        <v>0</v>
      </c>
      <c r="I3432" s="3">
        <f>E3432+G3432+H3432</f>
        <v>27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23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9">
        <v>22</v>
      </c>
      <c r="N3432" s="9">
        <v>98.8</v>
      </c>
      <c r="O3432" s="9">
        <v>15.41353383458646</v>
      </c>
    </row>
    <row r="3433" spans="1:15" hidden="1" x14ac:dyDescent="0.25">
      <c r="A3433" s="11">
        <v>46108</v>
      </c>
      <c r="B3433" t="s">
        <v>37</v>
      </c>
      <c r="C3433" t="s">
        <v>16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>
        <v>0</v>
      </c>
      <c r="J3433">
        <v>0</v>
      </c>
      <c r="K3433">
        <v>0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38</v>
      </c>
      <c r="C3434" t="s">
        <v>18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>
        <v>0</v>
      </c>
      <c r="J3434">
        <v>0</v>
      </c>
      <c r="K3434">
        <v>0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39</v>
      </c>
      <c r="C3435" t="s">
        <v>18</v>
      </c>
      <c r="D3435">
        <v>6</v>
      </c>
      <c r="E3435">
        <v>6</v>
      </c>
      <c r="F3435">
        <v>13.41</v>
      </c>
      <c r="G3435">
        <v>0</v>
      </c>
      <c r="H3435">
        <v>0</v>
      </c>
      <c r="I3435">
        <v>0</v>
      </c>
      <c r="J3435">
        <v>0</v>
      </c>
      <c r="K3435">
        <v>0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40</v>
      </c>
      <c r="C3436" t="s">
        <v>16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41</v>
      </c>
      <c r="C3437" t="s">
        <v>18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42</v>
      </c>
      <c r="C3438" t="s">
        <v>43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>
        <v>0</v>
      </c>
      <c r="J3438">
        <v>0</v>
      </c>
      <c r="K3438">
        <v>0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44</v>
      </c>
      <c r="C3439" t="s">
        <v>18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>
        <v>0</v>
      </c>
      <c r="J3439">
        <v>0</v>
      </c>
      <c r="K3439">
        <v>0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45</v>
      </c>
      <c r="C3440" t="s">
        <v>43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>
        <v>0</v>
      </c>
      <c r="J3440">
        <v>0</v>
      </c>
      <c r="K3440">
        <v>0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46</v>
      </c>
      <c r="C3441" t="s">
        <v>18</v>
      </c>
      <c r="D3441">
        <v>30</v>
      </c>
      <c r="E3441">
        <v>28</v>
      </c>
      <c r="F3441">
        <v>20.5</v>
      </c>
      <c r="G3441">
        <v>0</v>
      </c>
      <c r="H3441">
        <v>0</v>
      </c>
      <c r="I3441">
        <v>0</v>
      </c>
      <c r="J3441">
        <v>0</v>
      </c>
      <c r="K3441">
        <v>0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47</v>
      </c>
      <c r="C3442" t="s">
        <v>16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>
        <v>0</v>
      </c>
      <c r="J3442">
        <v>0</v>
      </c>
      <c r="K3442">
        <v>0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48</v>
      </c>
      <c r="C3443" t="s">
        <v>16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49</v>
      </c>
      <c r="C3444" t="s">
        <v>18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50</v>
      </c>
      <c r="C3445" t="s">
        <v>20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>
        <v>0</v>
      </c>
      <c r="J3445">
        <v>0</v>
      </c>
      <c r="K3445">
        <v>0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51</v>
      </c>
      <c r="C3446" t="s">
        <v>23</v>
      </c>
      <c r="D3446">
        <v>8</v>
      </c>
      <c r="E3446">
        <v>7</v>
      </c>
      <c r="F3446">
        <v>33.32</v>
      </c>
      <c r="G3446">
        <v>0</v>
      </c>
      <c r="H3446">
        <v>0</v>
      </c>
      <c r="I3446">
        <v>0</v>
      </c>
      <c r="J3446">
        <v>0</v>
      </c>
      <c r="K3446">
        <v>0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52</v>
      </c>
      <c r="C3447" t="s">
        <v>18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>
        <v>0</v>
      </c>
      <c r="J3447">
        <v>0</v>
      </c>
      <c r="K3447">
        <v>0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53</v>
      </c>
      <c r="C3448" t="s">
        <v>18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54</v>
      </c>
      <c r="C3449" t="s">
        <v>23</v>
      </c>
      <c r="D3449">
        <v>9</v>
      </c>
      <c r="E3449">
        <v>9</v>
      </c>
      <c r="F3449">
        <v>27.12</v>
      </c>
      <c r="G3449">
        <v>0</v>
      </c>
      <c r="H3449">
        <v>0</v>
      </c>
      <c r="I3449">
        <v>0</v>
      </c>
      <c r="J3449">
        <v>0</v>
      </c>
      <c r="K3449">
        <v>0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55</v>
      </c>
      <c r="C3450" t="s">
        <v>43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56</v>
      </c>
      <c r="C3451" t="s">
        <v>16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57</v>
      </c>
      <c r="C3452" t="s">
        <v>43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>
        <v>0</v>
      </c>
      <c r="J3452">
        <v>0</v>
      </c>
      <c r="K3452">
        <v>0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58</v>
      </c>
      <c r="C3453" t="s">
        <v>43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>
        <v>0</v>
      </c>
      <c r="J3453">
        <v>0</v>
      </c>
      <c r="K3453">
        <v>0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59</v>
      </c>
      <c r="C3454" t="s">
        <v>23</v>
      </c>
      <c r="D3454">
        <v>6</v>
      </c>
      <c r="E3454">
        <v>6</v>
      </c>
      <c r="F3454">
        <v>32.29</v>
      </c>
      <c r="G3454">
        <v>0</v>
      </c>
      <c r="H3454">
        <v>0</v>
      </c>
      <c r="I3454">
        <v>0</v>
      </c>
      <c r="J3454">
        <v>0</v>
      </c>
      <c r="K3454">
        <v>0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60</v>
      </c>
      <c r="C3455" t="s">
        <v>20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>
        <v>0</v>
      </c>
      <c r="J3455">
        <v>0</v>
      </c>
      <c r="K3455">
        <v>0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61</v>
      </c>
      <c r="C3456" t="s">
        <v>18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>
        <v>0</v>
      </c>
      <c r="J3456">
        <v>0</v>
      </c>
      <c r="K3456">
        <v>0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62</v>
      </c>
      <c r="C3457" t="s">
        <v>20</v>
      </c>
      <c r="D3457">
        <v>18</v>
      </c>
      <c r="E3457">
        <v>17</v>
      </c>
      <c r="F3457">
        <v>29</v>
      </c>
      <c r="G3457">
        <v>0</v>
      </c>
      <c r="H3457">
        <v>0</v>
      </c>
      <c r="I3457">
        <v>0</v>
      </c>
      <c r="J3457">
        <v>0</v>
      </c>
      <c r="K3457">
        <v>0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63</v>
      </c>
      <c r="C3458" t="s">
        <v>18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>
        <v>0</v>
      </c>
      <c r="J3458">
        <v>0</v>
      </c>
      <c r="K3458">
        <v>0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15</v>
      </c>
      <c r="C3459" t="s">
        <v>16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>
        <v>0</v>
      </c>
      <c r="J3459">
        <v>0</v>
      </c>
      <c r="K3459">
        <v>0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17</v>
      </c>
      <c r="C3460" t="s">
        <v>18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19</v>
      </c>
      <c r="C3461" t="s">
        <v>20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>
        <v>0</v>
      </c>
      <c r="J3461">
        <v>0</v>
      </c>
      <c r="K3461">
        <v>0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21</v>
      </c>
      <c r="C3462" t="s">
        <v>18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>
        <v>0</v>
      </c>
      <c r="J3462">
        <v>0</v>
      </c>
      <c r="K3462">
        <v>0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22</v>
      </c>
      <c r="C3463" t="s">
        <v>23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>
        <v>0</v>
      </c>
      <c r="J3463">
        <v>0</v>
      </c>
      <c r="K3463">
        <v>0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24</v>
      </c>
      <c r="C3464" t="s">
        <v>16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>
        <v>0</v>
      </c>
      <c r="J3464">
        <v>0</v>
      </c>
      <c r="K3464">
        <v>0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25</v>
      </c>
      <c r="C3465" t="s">
        <v>16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>
        <v>0</v>
      </c>
      <c r="J3465">
        <v>0</v>
      </c>
      <c r="K3465">
        <v>0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26</v>
      </c>
      <c r="C3466" t="s">
        <v>23</v>
      </c>
      <c r="D3466">
        <v>2</v>
      </c>
      <c r="E3466">
        <v>2</v>
      </c>
      <c r="F3466">
        <v>35.36</v>
      </c>
      <c r="G3466">
        <v>0</v>
      </c>
      <c r="H3466">
        <v>0</v>
      </c>
      <c r="I3466">
        <v>0</v>
      </c>
      <c r="J3466">
        <v>0</v>
      </c>
      <c r="K3466">
        <v>0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27</v>
      </c>
      <c r="C3467" t="s">
        <v>20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>
        <v>0</v>
      </c>
      <c r="J3467">
        <v>0</v>
      </c>
      <c r="K3467">
        <v>0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28</v>
      </c>
      <c r="C3468" t="s">
        <v>18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29</v>
      </c>
      <c r="C3469" t="s">
        <v>16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30</v>
      </c>
      <c r="C3470" t="s">
        <v>20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>
        <v>0</v>
      </c>
      <c r="J3470">
        <v>0</v>
      </c>
      <c r="K3470">
        <v>0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31</v>
      </c>
      <c r="C3471" t="s">
        <v>18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32</v>
      </c>
      <c r="C3472" t="s">
        <v>23</v>
      </c>
      <c r="D3472">
        <v>11</v>
      </c>
      <c r="E3472">
        <v>10</v>
      </c>
      <c r="F3472">
        <v>26.5</v>
      </c>
      <c r="G3472">
        <v>0</v>
      </c>
      <c r="H3472">
        <v>0</v>
      </c>
      <c r="I3472">
        <v>0</v>
      </c>
      <c r="J3472">
        <v>0</v>
      </c>
      <c r="K3472">
        <v>0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33</v>
      </c>
      <c r="C3473" t="s">
        <v>16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>
        <v>0</v>
      </c>
      <c r="J3473">
        <v>0</v>
      </c>
      <c r="K3473">
        <v>0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34</v>
      </c>
      <c r="C3474" t="s">
        <v>18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35</v>
      </c>
      <c r="C3475" t="s">
        <v>16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N3475">
        <v>98.02</v>
      </c>
      <c r="O3475">
        <v>23.484848484848481</v>
      </c>
    </row>
    <row r="3476" spans="1:15" x14ac:dyDescent="0.25">
      <c r="A3476" s="5">
        <v>46147</v>
      </c>
      <c r="B3476" s="6" t="s">
        <v>36</v>
      </c>
      <c r="C3476" s="3" t="s">
        <v>20</v>
      </c>
      <c r="D3476" s="3">
        <v>13</v>
      </c>
      <c r="E3476" s="3">
        <v>12</v>
      </c>
      <c r="F3476" s="3">
        <v>8.06</v>
      </c>
      <c r="G3476" s="3">
        <v>9</v>
      </c>
      <c r="H3476" s="3">
        <v>0</v>
      </c>
      <c r="I3476" s="3">
        <f>E3476+G3476+H3476</f>
        <v>21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23</v>
      </c>
      <c r="K3476" s="3">
        <f>I3476-J3476</f>
        <v>-2</v>
      </c>
      <c r="L3476" s="3" t="str">
        <f>IF(K3476&lt;-5,"CRÍTICO",IF(K3476&lt;0,"ATENÇÃO",IF(K3476&lt;=5,"OPORTUNO","MUITO BOM")))</f>
        <v>ATENÇÃO</v>
      </c>
      <c r="M3476" s="3">
        <v>12</v>
      </c>
      <c r="N3476" s="3">
        <v>98.8</v>
      </c>
      <c r="O3476" s="3">
        <v>15.41353383458646</v>
      </c>
    </row>
    <row r="3477" spans="1:15" hidden="1" x14ac:dyDescent="0.25">
      <c r="A3477" s="11">
        <v>46111</v>
      </c>
      <c r="B3477" t="s">
        <v>37</v>
      </c>
      <c r="C3477" t="s">
        <v>16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>
        <v>0</v>
      </c>
      <c r="J3477">
        <v>0</v>
      </c>
      <c r="K3477">
        <v>0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38</v>
      </c>
      <c r="C3478" t="s">
        <v>18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>
        <v>0</v>
      </c>
      <c r="J3478">
        <v>0</v>
      </c>
      <c r="K3478">
        <v>0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39</v>
      </c>
      <c r="C3479" t="s">
        <v>18</v>
      </c>
      <c r="D3479">
        <v>8</v>
      </c>
      <c r="E3479">
        <v>8</v>
      </c>
      <c r="F3479">
        <v>23.44</v>
      </c>
      <c r="G3479">
        <v>0</v>
      </c>
      <c r="H3479">
        <v>0</v>
      </c>
      <c r="I3479">
        <v>0</v>
      </c>
      <c r="J3479">
        <v>0</v>
      </c>
      <c r="K3479">
        <v>0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40</v>
      </c>
      <c r="C3480" t="s">
        <v>16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41</v>
      </c>
      <c r="C3481" t="s">
        <v>18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42</v>
      </c>
      <c r="C3482" t="s">
        <v>43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>
        <v>0</v>
      </c>
      <c r="J3482">
        <v>0</v>
      </c>
      <c r="K3482">
        <v>0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44</v>
      </c>
      <c r="C3483" t="s">
        <v>18</v>
      </c>
      <c r="D3483">
        <v>4</v>
      </c>
      <c r="E3483">
        <v>4</v>
      </c>
      <c r="F3483">
        <v>35.58</v>
      </c>
      <c r="G3483">
        <v>0</v>
      </c>
      <c r="H3483">
        <v>0</v>
      </c>
      <c r="I3483">
        <v>0</v>
      </c>
      <c r="J3483">
        <v>0</v>
      </c>
      <c r="K3483">
        <v>0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45</v>
      </c>
      <c r="C3484" t="s">
        <v>43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>
        <v>0</v>
      </c>
      <c r="J3484">
        <v>0</v>
      </c>
      <c r="K3484">
        <v>0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46</v>
      </c>
      <c r="C3485" t="s">
        <v>18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>
        <v>0</v>
      </c>
      <c r="J3485">
        <v>0</v>
      </c>
      <c r="K3485">
        <v>0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47</v>
      </c>
      <c r="C3486" t="s">
        <v>16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>
        <v>0</v>
      </c>
      <c r="J3486">
        <v>0</v>
      </c>
      <c r="K3486">
        <v>0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48</v>
      </c>
      <c r="C3487" t="s">
        <v>16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49</v>
      </c>
      <c r="C3488" t="s">
        <v>18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50</v>
      </c>
      <c r="C3489" t="s">
        <v>20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>
        <v>0</v>
      </c>
      <c r="J3489">
        <v>0</v>
      </c>
      <c r="K3489">
        <v>0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51</v>
      </c>
      <c r="C3490" t="s">
        <v>23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>
        <v>0</v>
      </c>
      <c r="J3490">
        <v>0</v>
      </c>
      <c r="K3490">
        <v>0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52</v>
      </c>
      <c r="C3491" t="s">
        <v>18</v>
      </c>
      <c r="D3491">
        <v>35</v>
      </c>
      <c r="E3491">
        <v>31</v>
      </c>
      <c r="F3491">
        <v>15.5</v>
      </c>
      <c r="G3491">
        <v>0</v>
      </c>
      <c r="H3491">
        <v>0</v>
      </c>
      <c r="I3491">
        <v>0</v>
      </c>
      <c r="J3491">
        <v>0</v>
      </c>
      <c r="K3491">
        <v>0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53</v>
      </c>
      <c r="C3492" t="s">
        <v>18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>
        <v>0</v>
      </c>
      <c r="J3492">
        <v>0</v>
      </c>
      <c r="K3492">
        <v>0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54</v>
      </c>
      <c r="C3493" t="s">
        <v>23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>
        <v>0</v>
      </c>
      <c r="J3493">
        <v>0</v>
      </c>
      <c r="K3493">
        <v>0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55</v>
      </c>
      <c r="C3494" t="s">
        <v>43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>
        <v>0</v>
      </c>
      <c r="J3494">
        <v>0</v>
      </c>
      <c r="K3494">
        <v>0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56</v>
      </c>
      <c r="C3495" t="s">
        <v>16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>
        <v>0</v>
      </c>
      <c r="J3495">
        <v>0</v>
      </c>
      <c r="K3495">
        <v>0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57</v>
      </c>
      <c r="C3496" t="s">
        <v>43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>
        <v>0</v>
      </c>
      <c r="J3496">
        <v>0</v>
      </c>
      <c r="K3496">
        <v>0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58</v>
      </c>
      <c r="C3497" t="s">
        <v>43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>
        <v>0</v>
      </c>
      <c r="J3497">
        <v>0</v>
      </c>
      <c r="K3497">
        <v>0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59</v>
      </c>
      <c r="C3498" t="s">
        <v>23</v>
      </c>
      <c r="D3498">
        <v>4</v>
      </c>
      <c r="E3498">
        <v>4</v>
      </c>
      <c r="F3498">
        <v>24.03</v>
      </c>
      <c r="G3498">
        <v>0</v>
      </c>
      <c r="H3498">
        <v>0</v>
      </c>
      <c r="I3498">
        <v>0</v>
      </c>
      <c r="J3498">
        <v>0</v>
      </c>
      <c r="K3498">
        <v>0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60</v>
      </c>
      <c r="C3499" t="s">
        <v>20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>
        <v>0</v>
      </c>
      <c r="J3499">
        <v>0</v>
      </c>
      <c r="K3499">
        <v>0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61</v>
      </c>
      <c r="C3500" t="s">
        <v>18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>
        <v>0</v>
      </c>
      <c r="J3500">
        <v>0</v>
      </c>
      <c r="K3500">
        <v>0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62</v>
      </c>
      <c r="C3501" t="s">
        <v>20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>
        <v>0</v>
      </c>
      <c r="J3501">
        <v>0</v>
      </c>
      <c r="K3501">
        <v>0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63</v>
      </c>
      <c r="C3502" t="s">
        <v>18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>
        <v>0</v>
      </c>
      <c r="J3502">
        <v>0</v>
      </c>
      <c r="K3502">
        <v>0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15</v>
      </c>
      <c r="C3503" t="s">
        <v>16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>
        <v>0</v>
      </c>
      <c r="J3503">
        <v>0</v>
      </c>
      <c r="K3503">
        <v>0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17</v>
      </c>
      <c r="C3504" t="s">
        <v>18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19</v>
      </c>
      <c r="C3505" t="s">
        <v>20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>
        <v>0</v>
      </c>
      <c r="J3505">
        <v>0</v>
      </c>
      <c r="K3505">
        <v>0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21</v>
      </c>
      <c r="C3506" t="s">
        <v>18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>
        <v>0</v>
      </c>
      <c r="J3506">
        <v>0</v>
      </c>
      <c r="K3506">
        <v>0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22</v>
      </c>
      <c r="C3507" t="s">
        <v>23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>
        <v>0</v>
      </c>
      <c r="J3507">
        <v>0</v>
      </c>
      <c r="K3507">
        <v>0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24</v>
      </c>
      <c r="C3508" t="s">
        <v>16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>
        <v>0</v>
      </c>
      <c r="J3508">
        <v>0</v>
      </c>
      <c r="K3508">
        <v>0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25</v>
      </c>
      <c r="C3509" t="s">
        <v>16</v>
      </c>
      <c r="D3509">
        <v>28</v>
      </c>
      <c r="E3509">
        <v>27</v>
      </c>
      <c r="F3509">
        <v>21.4</v>
      </c>
      <c r="G3509">
        <v>0</v>
      </c>
      <c r="H3509">
        <v>0</v>
      </c>
      <c r="I3509">
        <v>0</v>
      </c>
      <c r="J3509">
        <v>0</v>
      </c>
      <c r="K3509">
        <v>0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26</v>
      </c>
      <c r="C3510" t="s">
        <v>23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>
        <v>0</v>
      </c>
      <c r="J3510">
        <v>0</v>
      </c>
      <c r="K3510">
        <v>0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27</v>
      </c>
      <c r="C3511" t="s">
        <v>20</v>
      </c>
      <c r="D3511">
        <v>12</v>
      </c>
      <c r="E3511">
        <v>12</v>
      </c>
      <c r="F3511">
        <v>18.3</v>
      </c>
      <c r="G3511">
        <v>0</v>
      </c>
      <c r="H3511">
        <v>0</v>
      </c>
      <c r="I3511">
        <v>0</v>
      </c>
      <c r="J3511">
        <v>0</v>
      </c>
      <c r="K3511">
        <v>0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28</v>
      </c>
      <c r="C3512" t="s">
        <v>18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>
        <v>0</v>
      </c>
      <c r="J3512">
        <v>0</v>
      </c>
      <c r="K3512">
        <v>0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29</v>
      </c>
      <c r="C3513" t="s">
        <v>16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30</v>
      </c>
      <c r="C3514" t="s">
        <v>20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>
        <v>0</v>
      </c>
      <c r="J3514">
        <v>0</v>
      </c>
      <c r="K3514">
        <v>0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31</v>
      </c>
      <c r="C3515" t="s">
        <v>18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32</v>
      </c>
      <c r="C3516" t="s">
        <v>23</v>
      </c>
      <c r="D3516">
        <v>8</v>
      </c>
      <c r="E3516">
        <v>5</v>
      </c>
      <c r="F3516">
        <v>35.32</v>
      </c>
      <c r="G3516">
        <v>0</v>
      </c>
      <c r="H3516">
        <v>0</v>
      </c>
      <c r="I3516">
        <v>0</v>
      </c>
      <c r="J3516">
        <v>0</v>
      </c>
      <c r="K3516">
        <v>0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33</v>
      </c>
      <c r="C3517" t="s">
        <v>16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>
        <v>0</v>
      </c>
      <c r="J3517">
        <v>0</v>
      </c>
      <c r="K3517">
        <v>0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34</v>
      </c>
      <c r="C3518" t="s">
        <v>18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35</v>
      </c>
      <c r="C3519" t="s">
        <v>16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>
        <v>0</v>
      </c>
      <c r="J3519">
        <v>0</v>
      </c>
      <c r="K3519">
        <v>0</v>
      </c>
      <c r="N3519">
        <v>98.02</v>
      </c>
      <c r="O3519">
        <v>23.484848484848481</v>
      </c>
    </row>
    <row r="3520" spans="1:15" x14ac:dyDescent="0.25">
      <c r="A3520" s="5">
        <v>46148</v>
      </c>
      <c r="B3520" s="6" t="s">
        <v>36</v>
      </c>
      <c r="C3520" s="3" t="s">
        <v>20</v>
      </c>
      <c r="D3520" s="3">
        <v>23</v>
      </c>
      <c r="E3520" s="3">
        <v>22</v>
      </c>
      <c r="G3520" s="3">
        <v>9</v>
      </c>
      <c r="H3520" s="3">
        <v>0</v>
      </c>
      <c r="I3520" s="3">
        <f>E3520+G3520+H3520</f>
        <v>31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23</v>
      </c>
      <c r="K3520" s="3">
        <f>I3520-J3520</f>
        <v>8</v>
      </c>
      <c r="L3520" s="3" t="str">
        <f>IF(K3520&lt;-5,"CRÍTICO",IF(K3520&lt;0,"ATENÇÃO",IF(K3520&lt;=5,"OPORTUNO","MUITO BOM")))</f>
        <v>MUITO BOM</v>
      </c>
      <c r="M3520" s="3">
        <v>24</v>
      </c>
      <c r="N3520" s="3">
        <v>98.8</v>
      </c>
      <c r="O3520" s="3">
        <v>15.41353383458646</v>
      </c>
    </row>
    <row r="3521" spans="1:15" hidden="1" x14ac:dyDescent="0.25">
      <c r="A3521" s="11">
        <v>46112</v>
      </c>
      <c r="B3521" t="s">
        <v>37</v>
      </c>
      <c r="C3521" t="s">
        <v>16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>
        <v>0</v>
      </c>
      <c r="J3521">
        <v>0</v>
      </c>
      <c r="K3521">
        <v>0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38</v>
      </c>
      <c r="C3522" t="s">
        <v>18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>
        <v>0</v>
      </c>
      <c r="J3522">
        <v>0</v>
      </c>
      <c r="K3522">
        <v>0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39</v>
      </c>
      <c r="C3523" t="s">
        <v>18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40</v>
      </c>
      <c r="C3524" t="s">
        <v>16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>
        <v>0</v>
      </c>
      <c r="J3524">
        <v>0</v>
      </c>
      <c r="K3524">
        <v>0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41</v>
      </c>
      <c r="C3525" t="s">
        <v>18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42</v>
      </c>
      <c r="C3526" t="s">
        <v>43</v>
      </c>
      <c r="D3526">
        <v>23</v>
      </c>
      <c r="E3526">
        <v>21</v>
      </c>
      <c r="F3526">
        <v>21.5</v>
      </c>
      <c r="G3526">
        <v>0</v>
      </c>
      <c r="H3526">
        <v>0</v>
      </c>
      <c r="I3526">
        <v>0</v>
      </c>
      <c r="J3526">
        <v>0</v>
      </c>
      <c r="K3526">
        <v>0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44</v>
      </c>
      <c r="C3527" t="s">
        <v>18</v>
      </c>
      <c r="D3527">
        <v>6</v>
      </c>
      <c r="E3527">
        <v>6</v>
      </c>
      <c r="F3527">
        <v>53.36</v>
      </c>
      <c r="G3527">
        <v>0</v>
      </c>
      <c r="H3527">
        <v>0</v>
      </c>
      <c r="I3527">
        <v>0</v>
      </c>
      <c r="J3527">
        <v>0</v>
      </c>
      <c r="K3527">
        <v>0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45</v>
      </c>
      <c r="C3528" t="s">
        <v>43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>
        <v>0</v>
      </c>
      <c r="J3528">
        <v>0</v>
      </c>
      <c r="K3528">
        <v>0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46</v>
      </c>
      <c r="C3529" t="s">
        <v>18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>
        <v>0</v>
      </c>
      <c r="J3529">
        <v>0</v>
      </c>
      <c r="K3529">
        <v>0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47</v>
      </c>
      <c r="C3530" t="s">
        <v>16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>
        <v>0</v>
      </c>
      <c r="J3530">
        <v>0</v>
      </c>
      <c r="K3530">
        <v>0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48</v>
      </c>
      <c r="C3531" t="s">
        <v>16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49</v>
      </c>
      <c r="C3532" t="s">
        <v>18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>
        <v>0</v>
      </c>
      <c r="J3532">
        <v>0</v>
      </c>
      <c r="K3532">
        <v>0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50</v>
      </c>
      <c r="C3533" t="s">
        <v>20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>
        <v>0</v>
      </c>
      <c r="J3533">
        <v>0</v>
      </c>
      <c r="K3533">
        <v>0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51</v>
      </c>
      <c r="C3534" t="s">
        <v>23</v>
      </c>
      <c r="D3534">
        <v>8</v>
      </c>
      <c r="E3534">
        <v>8</v>
      </c>
      <c r="F3534">
        <v>40.1</v>
      </c>
      <c r="G3534">
        <v>0</v>
      </c>
      <c r="H3534">
        <v>0</v>
      </c>
      <c r="I3534">
        <v>0</v>
      </c>
      <c r="J3534">
        <v>0</v>
      </c>
      <c r="K3534">
        <v>0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52</v>
      </c>
      <c r="C3535" t="s">
        <v>18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>
        <v>0</v>
      </c>
      <c r="J3535">
        <v>0</v>
      </c>
      <c r="K3535">
        <v>0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53</v>
      </c>
      <c r="C3536" t="s">
        <v>18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>
        <v>0</v>
      </c>
      <c r="J3536">
        <v>0</v>
      </c>
      <c r="K3536">
        <v>0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54</v>
      </c>
      <c r="C3537" t="s">
        <v>23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>
        <v>0</v>
      </c>
      <c r="J3537">
        <v>0</v>
      </c>
      <c r="K3537">
        <v>0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55</v>
      </c>
      <c r="C3538" t="s">
        <v>43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>
        <v>0</v>
      </c>
      <c r="J3538">
        <v>0</v>
      </c>
      <c r="K3538">
        <v>0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56</v>
      </c>
      <c r="C3539" t="s">
        <v>16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>
        <v>0</v>
      </c>
      <c r="J3539">
        <v>0</v>
      </c>
      <c r="K3539">
        <v>0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57</v>
      </c>
      <c r="C3540" t="s">
        <v>43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>
        <v>0</v>
      </c>
      <c r="J3540">
        <v>0</v>
      </c>
      <c r="K3540">
        <v>0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58</v>
      </c>
      <c r="C3541" t="s">
        <v>43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>
        <v>0</v>
      </c>
      <c r="J3541">
        <v>0</v>
      </c>
      <c r="K3541">
        <v>0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59</v>
      </c>
      <c r="C3542" t="s">
        <v>23</v>
      </c>
      <c r="D3542">
        <v>8</v>
      </c>
      <c r="E3542">
        <v>6</v>
      </c>
      <c r="F3542">
        <v>34.04</v>
      </c>
      <c r="G3542">
        <v>0</v>
      </c>
      <c r="H3542">
        <v>0</v>
      </c>
      <c r="I3542">
        <v>0</v>
      </c>
      <c r="J3542">
        <v>0</v>
      </c>
      <c r="K3542">
        <v>0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60</v>
      </c>
      <c r="C3543" t="s">
        <v>20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>
        <v>0</v>
      </c>
      <c r="J3543">
        <v>0</v>
      </c>
      <c r="K3543">
        <v>0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61</v>
      </c>
      <c r="C3544" t="s">
        <v>18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>
        <v>0</v>
      </c>
      <c r="J3544">
        <v>0</v>
      </c>
      <c r="K3544">
        <v>0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62</v>
      </c>
      <c r="C3545" t="s">
        <v>20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>
        <v>0</v>
      </c>
      <c r="J3545">
        <v>0</v>
      </c>
      <c r="K3545">
        <v>0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63</v>
      </c>
      <c r="C3546" t="s">
        <v>18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>
        <v>0</v>
      </c>
      <c r="J3546">
        <v>0</v>
      </c>
      <c r="K3546">
        <v>0</v>
      </c>
      <c r="N3546">
        <v>98.39</v>
      </c>
      <c r="O3546">
        <v>25.563909774436091</v>
      </c>
    </row>
    <row r="3547" spans="1:15" x14ac:dyDescent="0.25">
      <c r="A3547" s="11">
        <v>46113</v>
      </c>
      <c r="B3547" t="s">
        <v>15</v>
      </c>
      <c r="C3547" t="s">
        <v>16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ref="I3547:I3610" si="30">E3547+G3547+H3547</f>
        <v>15</v>
      </c>
      <c r="J3547" s="3">
        <f t="shared" ref="J3547:J3610" si="31"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>24</v>
      </c>
      <c r="K3547" s="3">
        <f t="shared" ref="K3547:K3610" si="32">I3547-J3547</f>
        <v>-9</v>
      </c>
      <c r="L3547" s="3" t="str">
        <f t="shared" ref="L3547:L3610" si="33">IF(K3547&lt;-5,"CRÍTICO",IF(K3547&lt;0,"ATENÇÃO",IF(K3547&lt;=5,"OPORTUNO","MUITO BOM")))</f>
        <v>CRÍTICO</v>
      </c>
      <c r="N3547">
        <v>100</v>
      </c>
      <c r="O3547">
        <v>32.764505119453922</v>
      </c>
    </row>
    <row r="3548" spans="1:15" x14ac:dyDescent="0.25">
      <c r="A3548" s="11">
        <v>46113</v>
      </c>
      <c r="B3548" t="s">
        <v>17</v>
      </c>
      <c r="C3548" t="s">
        <v>18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f t="shared" si="30"/>
        <v>0</v>
      </c>
      <c r="J3548" s="3">
        <f t="shared" si="31"/>
        <v>30</v>
      </c>
      <c r="K3548" s="3">
        <f t="shared" si="32"/>
        <v>-30</v>
      </c>
      <c r="L3548" s="3" t="str">
        <f t="shared" si="33"/>
        <v>CRÍTICO</v>
      </c>
      <c r="N3548">
        <v>98.66</v>
      </c>
      <c r="O3548">
        <v>35.15625</v>
      </c>
    </row>
    <row r="3549" spans="1:15" x14ac:dyDescent="0.25">
      <c r="A3549" s="11">
        <v>46113</v>
      </c>
      <c r="B3549" t="s">
        <v>19</v>
      </c>
      <c r="C3549" t="s">
        <v>20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si="30"/>
        <v>26</v>
      </c>
      <c r="J3549" s="3">
        <f t="shared" si="31"/>
        <v>19</v>
      </c>
      <c r="K3549" s="3">
        <f t="shared" si="32"/>
        <v>7</v>
      </c>
      <c r="L3549" s="3" t="str">
        <f t="shared" si="33"/>
        <v>MUITO BOM</v>
      </c>
      <c r="N3549">
        <v>99.32</v>
      </c>
      <c r="O3549">
        <v>30.45186640471513</v>
      </c>
    </row>
    <row r="3550" spans="1:15" x14ac:dyDescent="0.25">
      <c r="A3550" s="11">
        <v>46113</v>
      </c>
      <c r="B3550" t="s">
        <v>21</v>
      </c>
      <c r="C3550" t="s">
        <v>18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30"/>
        <v>21</v>
      </c>
      <c r="J3550" s="3">
        <f t="shared" si="31"/>
        <v>30</v>
      </c>
      <c r="K3550" s="3">
        <f t="shared" si="32"/>
        <v>-9</v>
      </c>
      <c r="L3550" s="3" t="str">
        <f t="shared" si="33"/>
        <v>CRÍTICO</v>
      </c>
      <c r="N3550">
        <v>100</v>
      </c>
      <c r="O3550">
        <v>27.803738317757009</v>
      </c>
    </row>
    <row r="3551" spans="1:15" x14ac:dyDescent="0.25">
      <c r="A3551" s="11">
        <v>46113</v>
      </c>
      <c r="B3551" t="s">
        <v>22</v>
      </c>
      <c r="C3551" t="s">
        <v>23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30"/>
        <v>16</v>
      </c>
      <c r="J3551" s="3">
        <f t="shared" si="31"/>
        <v>8</v>
      </c>
      <c r="K3551" s="3">
        <f t="shared" si="32"/>
        <v>8</v>
      </c>
      <c r="L3551" s="3" t="str">
        <f t="shared" si="33"/>
        <v>MUITO BOM</v>
      </c>
      <c r="N3551">
        <v>96.74</v>
      </c>
      <c r="O3551">
        <v>28.43137254901961</v>
      </c>
    </row>
    <row r="3552" spans="1:15" x14ac:dyDescent="0.25">
      <c r="A3552" s="11">
        <v>46113</v>
      </c>
      <c r="B3552" t="s">
        <v>24</v>
      </c>
      <c r="C3552" t="s">
        <v>16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30"/>
        <v>36</v>
      </c>
      <c r="J3552" s="3">
        <f t="shared" si="31"/>
        <v>24</v>
      </c>
      <c r="K3552" s="3">
        <f t="shared" si="32"/>
        <v>12</v>
      </c>
      <c r="L3552" s="3" t="str">
        <f t="shared" si="33"/>
        <v>MUITO BOM</v>
      </c>
      <c r="N3552">
        <v>98.82</v>
      </c>
      <c r="O3552">
        <v>30.741410488245929</v>
      </c>
    </row>
    <row r="3553" spans="1:15" x14ac:dyDescent="0.25">
      <c r="A3553" s="11">
        <v>46113</v>
      </c>
      <c r="B3553" t="s">
        <v>25</v>
      </c>
      <c r="C3553" t="s">
        <v>16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30"/>
        <v>20</v>
      </c>
      <c r="J3553" s="3">
        <f t="shared" si="31"/>
        <v>24</v>
      </c>
      <c r="K3553" s="3">
        <f t="shared" si="32"/>
        <v>-4</v>
      </c>
      <c r="L3553" s="3" t="str">
        <f t="shared" si="33"/>
        <v>ATENÇÃO</v>
      </c>
      <c r="N3553">
        <v>98.2</v>
      </c>
      <c r="O3553">
        <v>26.890756302521009</v>
      </c>
    </row>
    <row r="3554" spans="1:15" x14ac:dyDescent="0.25">
      <c r="A3554" s="11">
        <v>46113</v>
      </c>
      <c r="B3554" t="s">
        <v>26</v>
      </c>
      <c r="C3554" t="s">
        <v>23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30"/>
        <v>9</v>
      </c>
      <c r="J3554" s="3">
        <f t="shared" si="31"/>
        <v>8</v>
      </c>
      <c r="K3554" s="3">
        <f t="shared" si="32"/>
        <v>1</v>
      </c>
      <c r="L3554" s="3" t="str">
        <f t="shared" si="33"/>
        <v>OPORTUNO</v>
      </c>
      <c r="N3554">
        <v>100</v>
      </c>
      <c r="O3554">
        <v>23.134328358208951</v>
      </c>
    </row>
    <row r="3555" spans="1:15" x14ac:dyDescent="0.25">
      <c r="A3555" s="11">
        <v>46113</v>
      </c>
      <c r="B3555" t="s">
        <v>27</v>
      </c>
      <c r="C3555" t="s">
        <v>20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30"/>
        <v>26</v>
      </c>
      <c r="J3555" s="3">
        <f t="shared" si="31"/>
        <v>19</v>
      </c>
      <c r="K3555" s="3">
        <f t="shared" si="32"/>
        <v>7</v>
      </c>
      <c r="L3555" s="3" t="str">
        <f t="shared" si="33"/>
        <v>MUITO BOM</v>
      </c>
      <c r="N3555">
        <v>96.3</v>
      </c>
      <c r="O3555">
        <v>31.980906921241051</v>
      </c>
    </row>
    <row r="3556" spans="1:15" x14ac:dyDescent="0.25">
      <c r="A3556" s="11">
        <v>46113</v>
      </c>
      <c r="B3556" t="s">
        <v>28</v>
      </c>
      <c r="C3556" t="s">
        <v>18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30"/>
        <v>28</v>
      </c>
      <c r="J3556" s="3">
        <f t="shared" si="31"/>
        <v>30</v>
      </c>
      <c r="K3556" s="3">
        <f t="shared" si="32"/>
        <v>-2</v>
      </c>
      <c r="L3556" s="3" t="str">
        <f t="shared" si="33"/>
        <v>ATENÇÃO</v>
      </c>
      <c r="N3556">
        <v>93.75</v>
      </c>
      <c r="O3556">
        <v>26.628352490421459</v>
      </c>
    </row>
    <row r="3557" spans="1:15" x14ac:dyDescent="0.25">
      <c r="A3557" s="11">
        <v>46113</v>
      </c>
      <c r="B3557" t="s">
        <v>29</v>
      </c>
      <c r="C3557" t="s">
        <v>16</v>
      </c>
      <c r="D3557">
        <v>0</v>
      </c>
      <c r="E3557">
        <v>0</v>
      </c>
      <c r="F3557">
        <v>0</v>
      </c>
      <c r="G3557">
        <v>0</v>
      </c>
      <c r="H3557">
        <v>0</v>
      </c>
      <c r="I3557" s="3">
        <f t="shared" si="30"/>
        <v>0</v>
      </c>
      <c r="J3557" s="3">
        <f t="shared" si="31"/>
        <v>24</v>
      </c>
      <c r="K3557" s="3">
        <f t="shared" si="32"/>
        <v>-24</v>
      </c>
      <c r="L3557" s="3" t="str">
        <f t="shared" si="33"/>
        <v>CRÍTICO</v>
      </c>
      <c r="N3557">
        <v>97.86</v>
      </c>
      <c r="O3557">
        <v>31.018518518518519</v>
      </c>
    </row>
    <row r="3558" spans="1:15" x14ac:dyDescent="0.25">
      <c r="A3558" s="11">
        <v>46113</v>
      </c>
      <c r="B3558" t="s">
        <v>30</v>
      </c>
      <c r="C3558" t="s">
        <v>20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 t="shared" si="30"/>
        <v>25</v>
      </c>
      <c r="J3558" s="3">
        <f t="shared" si="31"/>
        <v>19</v>
      </c>
      <c r="K3558" s="3">
        <f t="shared" si="32"/>
        <v>6</v>
      </c>
      <c r="L3558" s="3" t="str">
        <f t="shared" si="33"/>
        <v>MUITO BOM</v>
      </c>
      <c r="N3558">
        <v>100</v>
      </c>
      <c r="O3558">
        <v>36.231884057971023</v>
      </c>
    </row>
    <row r="3559" spans="1:15" x14ac:dyDescent="0.25">
      <c r="A3559" s="11">
        <v>46113</v>
      </c>
      <c r="B3559" t="s">
        <v>31</v>
      </c>
      <c r="C3559" t="s">
        <v>18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f t="shared" si="30"/>
        <v>0</v>
      </c>
      <c r="J3559" s="3">
        <f t="shared" si="31"/>
        <v>30</v>
      </c>
      <c r="K3559" s="3">
        <f t="shared" si="32"/>
        <v>-30</v>
      </c>
      <c r="L3559" s="3" t="str">
        <f t="shared" si="33"/>
        <v>CRÍTICO</v>
      </c>
      <c r="N3559">
        <v>100</v>
      </c>
      <c r="O3559">
        <v>38.269230769230766</v>
      </c>
    </row>
    <row r="3560" spans="1:15" x14ac:dyDescent="0.25">
      <c r="A3560" s="11">
        <v>46113</v>
      </c>
      <c r="B3560" t="s">
        <v>32</v>
      </c>
      <c r="C3560" t="s">
        <v>23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f t="shared" si="30"/>
        <v>0</v>
      </c>
      <c r="J3560" s="3">
        <f t="shared" si="31"/>
        <v>8</v>
      </c>
      <c r="K3560" s="3">
        <f t="shared" si="32"/>
        <v>-8</v>
      </c>
      <c r="L3560" s="3" t="str">
        <f t="shared" si="33"/>
        <v>CRÍTICO</v>
      </c>
      <c r="N3560">
        <v>100</v>
      </c>
      <c r="O3560">
        <v>27.368421052631579</v>
      </c>
    </row>
    <row r="3561" spans="1:15" x14ac:dyDescent="0.25">
      <c r="A3561" s="11">
        <v>46113</v>
      </c>
      <c r="B3561" t="s">
        <v>33</v>
      </c>
      <c r="C3561" t="s">
        <v>16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 t="shared" si="30"/>
        <v>21</v>
      </c>
      <c r="J3561" s="3">
        <f t="shared" si="31"/>
        <v>24</v>
      </c>
      <c r="K3561" s="3">
        <f t="shared" si="32"/>
        <v>-3</v>
      </c>
      <c r="L3561" s="3" t="str">
        <f t="shared" si="33"/>
        <v>ATENÇÃO</v>
      </c>
      <c r="N3561">
        <v>97.83</v>
      </c>
      <c r="O3561">
        <v>28.131868131868131</v>
      </c>
    </row>
    <row r="3562" spans="1:15" x14ac:dyDescent="0.25">
      <c r="A3562" s="11">
        <v>46113</v>
      </c>
      <c r="B3562" t="s">
        <v>34</v>
      </c>
      <c r="C3562" t="s">
        <v>18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 t="shared" si="30"/>
        <v>25</v>
      </c>
      <c r="J3562" s="3">
        <f t="shared" si="31"/>
        <v>30</v>
      </c>
      <c r="K3562" s="3">
        <f t="shared" si="32"/>
        <v>-5</v>
      </c>
      <c r="L3562" s="3" t="str">
        <f t="shared" si="33"/>
        <v>ATENÇÃO</v>
      </c>
      <c r="N3562">
        <v>99.26</v>
      </c>
      <c r="O3562">
        <v>29.57198443579767</v>
      </c>
    </row>
    <row r="3563" spans="1:15" x14ac:dyDescent="0.25">
      <c r="A3563" s="11">
        <v>46113</v>
      </c>
      <c r="B3563" t="s">
        <v>35</v>
      </c>
      <c r="C3563" t="s">
        <v>16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 t="shared" si="30"/>
        <v>35</v>
      </c>
      <c r="J3563" s="3">
        <f t="shared" si="31"/>
        <v>24</v>
      </c>
      <c r="K3563" s="3">
        <f t="shared" si="32"/>
        <v>11</v>
      </c>
      <c r="L3563" s="3" t="str">
        <f t="shared" si="33"/>
        <v>MUITO BOM</v>
      </c>
      <c r="N3563">
        <v>99.19</v>
      </c>
      <c r="O3563">
        <v>29.462365591397852</v>
      </c>
    </row>
    <row r="3564" spans="1:15" x14ac:dyDescent="0.25">
      <c r="A3564" s="5">
        <v>46149</v>
      </c>
      <c r="B3564" s="6" t="s">
        <v>36</v>
      </c>
      <c r="C3564" s="3" t="s">
        <v>20</v>
      </c>
      <c r="D3564" s="3">
        <v>26</v>
      </c>
      <c r="E3564" s="3">
        <v>26</v>
      </c>
      <c r="G3564" s="3">
        <v>2</v>
      </c>
      <c r="H3564" s="3">
        <v>0</v>
      </c>
      <c r="I3564" s="3">
        <f t="shared" si="30"/>
        <v>28</v>
      </c>
      <c r="J3564" s="3">
        <f t="shared" si="31"/>
        <v>22</v>
      </c>
      <c r="K3564" s="3">
        <f t="shared" si="32"/>
        <v>6</v>
      </c>
      <c r="L3564" s="3" t="str">
        <f t="shared" si="33"/>
        <v>MUITO BOM</v>
      </c>
      <c r="M3564" s="3">
        <v>24</v>
      </c>
      <c r="N3564" s="3">
        <v>98.8</v>
      </c>
      <c r="O3564" s="3">
        <v>15.41353383458646</v>
      </c>
    </row>
    <row r="3565" spans="1:15" x14ac:dyDescent="0.25">
      <c r="A3565" s="11">
        <v>46113</v>
      </c>
      <c r="B3565" t="s">
        <v>37</v>
      </c>
      <c r="C3565" t="s">
        <v>16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 t="shared" si="30"/>
        <v>35</v>
      </c>
      <c r="J3565" s="3">
        <f t="shared" si="31"/>
        <v>24</v>
      </c>
      <c r="K3565" s="3">
        <f t="shared" si="32"/>
        <v>11</v>
      </c>
      <c r="L3565" s="3" t="str">
        <f t="shared" si="33"/>
        <v>MUITO BOM</v>
      </c>
      <c r="N3565">
        <v>100</v>
      </c>
      <c r="O3565">
        <v>27.941176470588239</v>
      </c>
    </row>
    <row r="3566" spans="1:15" x14ac:dyDescent="0.25">
      <c r="A3566" s="11">
        <v>46113</v>
      </c>
      <c r="B3566" t="s">
        <v>38</v>
      </c>
      <c r="C3566" t="s">
        <v>18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 t="shared" si="30"/>
        <v>41</v>
      </c>
      <c r="J3566" s="3">
        <f t="shared" si="31"/>
        <v>30</v>
      </c>
      <c r="K3566" s="3">
        <f t="shared" si="32"/>
        <v>11</v>
      </c>
      <c r="L3566" s="3" t="str">
        <f t="shared" si="33"/>
        <v>MUITO BOM</v>
      </c>
      <c r="N3566">
        <v>99.57</v>
      </c>
      <c r="O3566">
        <v>29.913294797687861</v>
      </c>
    </row>
    <row r="3567" spans="1:15" x14ac:dyDescent="0.25">
      <c r="A3567" s="11">
        <v>46113</v>
      </c>
      <c r="B3567" t="s">
        <v>39</v>
      </c>
      <c r="C3567" t="s">
        <v>18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 t="shared" si="30"/>
        <v>2</v>
      </c>
      <c r="J3567" s="3">
        <f t="shared" si="31"/>
        <v>30</v>
      </c>
      <c r="K3567" s="3">
        <f t="shared" si="32"/>
        <v>-28</v>
      </c>
      <c r="L3567" s="3" t="str">
        <f t="shared" si="33"/>
        <v>CRÍTICO</v>
      </c>
      <c r="N3567">
        <v>95.65</v>
      </c>
      <c r="O3567">
        <v>31.081081081081081</v>
      </c>
    </row>
    <row r="3568" spans="1:15" x14ac:dyDescent="0.25">
      <c r="A3568" s="11">
        <v>46113</v>
      </c>
      <c r="B3568" t="s">
        <v>40</v>
      </c>
      <c r="C3568" t="s">
        <v>16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 t="shared" si="30"/>
        <v>25</v>
      </c>
      <c r="J3568" s="3">
        <f t="shared" si="31"/>
        <v>24</v>
      </c>
      <c r="K3568" s="3">
        <f t="shared" si="32"/>
        <v>1</v>
      </c>
      <c r="L3568" s="3" t="str">
        <f t="shared" si="33"/>
        <v>OPORTUNO</v>
      </c>
      <c r="N3568">
        <v>98.81</v>
      </c>
      <c r="O3568">
        <v>26.256983240223459</v>
      </c>
    </row>
    <row r="3569" spans="1:15" x14ac:dyDescent="0.25">
      <c r="A3569" s="11">
        <v>46113</v>
      </c>
      <c r="B3569" t="s">
        <v>41</v>
      </c>
      <c r="C3569" t="s">
        <v>18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f t="shared" si="30"/>
        <v>0</v>
      </c>
      <c r="J3569" s="3">
        <f t="shared" si="31"/>
        <v>30</v>
      </c>
      <c r="K3569" s="3">
        <f t="shared" si="32"/>
        <v>-30</v>
      </c>
      <c r="L3569" s="3" t="str">
        <f t="shared" si="33"/>
        <v>CRÍTICO</v>
      </c>
      <c r="N3569">
        <v>0</v>
      </c>
      <c r="O3569">
        <v>0</v>
      </c>
    </row>
    <row r="3570" spans="1:15" x14ac:dyDescent="0.25">
      <c r="A3570" s="11">
        <v>46113</v>
      </c>
      <c r="B3570" t="s">
        <v>42</v>
      </c>
      <c r="C3570" t="s">
        <v>43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 t="shared" si="30"/>
        <v>18</v>
      </c>
      <c r="J3570" s="3">
        <f t="shared" si="31"/>
        <v>17</v>
      </c>
      <c r="K3570" s="3">
        <f t="shared" si="32"/>
        <v>1</v>
      </c>
      <c r="L3570" s="3" t="str">
        <f t="shared" si="33"/>
        <v>OPORTUNO</v>
      </c>
      <c r="N3570">
        <v>97.17</v>
      </c>
      <c r="O3570">
        <v>28.81844380403458</v>
      </c>
    </row>
    <row r="3571" spans="1:15" x14ac:dyDescent="0.25">
      <c r="A3571" s="11">
        <v>46113</v>
      </c>
      <c r="B3571" t="s">
        <v>44</v>
      </c>
      <c r="C3571" t="s">
        <v>18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 t="shared" si="30"/>
        <v>19</v>
      </c>
      <c r="J3571" s="3">
        <f t="shared" si="31"/>
        <v>30</v>
      </c>
      <c r="K3571" s="3">
        <f t="shared" si="32"/>
        <v>-11</v>
      </c>
      <c r="L3571" s="3" t="str">
        <f t="shared" si="33"/>
        <v>CRÍTICO</v>
      </c>
      <c r="N3571">
        <v>96.81</v>
      </c>
      <c r="O3571">
        <v>48.018648018648022</v>
      </c>
    </row>
    <row r="3572" spans="1:15" x14ac:dyDescent="0.25">
      <c r="A3572" s="11">
        <v>46113</v>
      </c>
      <c r="B3572" t="s">
        <v>45</v>
      </c>
      <c r="C3572" t="s">
        <v>43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 t="shared" si="30"/>
        <v>14</v>
      </c>
      <c r="J3572" s="3">
        <f t="shared" si="31"/>
        <v>17</v>
      </c>
      <c r="K3572" s="3">
        <f t="shared" si="32"/>
        <v>-3</v>
      </c>
      <c r="L3572" s="3" t="str">
        <f t="shared" si="33"/>
        <v>ATENÇÃO</v>
      </c>
      <c r="N3572">
        <v>98.15</v>
      </c>
      <c r="O3572">
        <v>27.1551724137931</v>
      </c>
    </row>
    <row r="3573" spans="1:15" x14ac:dyDescent="0.25">
      <c r="A3573" s="11">
        <v>46113</v>
      </c>
      <c r="B3573" t="s">
        <v>46</v>
      </c>
      <c r="C3573" t="s">
        <v>18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 t="shared" si="30"/>
        <v>24</v>
      </c>
      <c r="J3573" s="3">
        <f t="shared" si="31"/>
        <v>30</v>
      </c>
      <c r="K3573" s="3">
        <f t="shared" si="32"/>
        <v>-6</v>
      </c>
      <c r="L3573" s="3" t="str">
        <f t="shared" si="33"/>
        <v>CRÍTICO</v>
      </c>
      <c r="N3573">
        <v>99.15</v>
      </c>
      <c r="O3573">
        <v>27.370689655172409</v>
      </c>
    </row>
    <row r="3574" spans="1:15" x14ac:dyDescent="0.25">
      <c r="A3574" s="11">
        <v>46113</v>
      </c>
      <c r="B3574" t="s">
        <v>47</v>
      </c>
      <c r="C3574" t="s">
        <v>16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 t="shared" si="30"/>
        <v>24</v>
      </c>
      <c r="J3574" s="3">
        <f t="shared" si="31"/>
        <v>24</v>
      </c>
      <c r="K3574" s="3">
        <f t="shared" si="32"/>
        <v>0</v>
      </c>
      <c r="L3574" s="3" t="str">
        <f t="shared" si="33"/>
        <v>OPORTUNO</v>
      </c>
      <c r="N3574">
        <v>99.17</v>
      </c>
      <c r="O3574">
        <v>29.75206611570248</v>
      </c>
    </row>
    <row r="3575" spans="1:15" x14ac:dyDescent="0.25">
      <c r="A3575" s="11">
        <v>46113</v>
      </c>
      <c r="B3575" t="s">
        <v>48</v>
      </c>
      <c r="C3575" t="s">
        <v>16</v>
      </c>
      <c r="D3575">
        <v>0</v>
      </c>
      <c r="E3575">
        <v>0</v>
      </c>
      <c r="F3575">
        <v>0</v>
      </c>
      <c r="G3575">
        <v>0</v>
      </c>
      <c r="H3575">
        <v>0</v>
      </c>
      <c r="I3575" s="3">
        <f t="shared" si="30"/>
        <v>0</v>
      </c>
      <c r="J3575" s="3">
        <f t="shared" si="31"/>
        <v>24</v>
      </c>
      <c r="K3575" s="3">
        <f t="shared" si="32"/>
        <v>-24</v>
      </c>
      <c r="L3575" s="3" t="str">
        <f t="shared" si="33"/>
        <v>CRÍTICO</v>
      </c>
      <c r="N3575">
        <v>98.73</v>
      </c>
      <c r="O3575">
        <v>28.961748633879779</v>
      </c>
    </row>
    <row r="3576" spans="1:15" x14ac:dyDescent="0.25">
      <c r="A3576" s="11">
        <v>46113</v>
      </c>
      <c r="B3576" t="s">
        <v>49</v>
      </c>
      <c r="C3576" t="s">
        <v>18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 t="shared" si="30"/>
        <v>48</v>
      </c>
      <c r="J3576" s="3">
        <f t="shared" si="31"/>
        <v>30</v>
      </c>
      <c r="K3576" s="3">
        <f t="shared" si="32"/>
        <v>18</v>
      </c>
      <c r="L3576" s="3" t="str">
        <f t="shared" si="33"/>
        <v>MUITO BOM</v>
      </c>
      <c r="N3576">
        <v>88.68</v>
      </c>
      <c r="O3576">
        <v>22.03389830508474</v>
      </c>
    </row>
    <row r="3577" spans="1:15" x14ac:dyDescent="0.25">
      <c r="A3577" s="11">
        <v>46113</v>
      </c>
      <c r="B3577" t="s">
        <v>50</v>
      </c>
      <c r="C3577" t="s">
        <v>20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 t="shared" si="30"/>
        <v>24</v>
      </c>
      <c r="J3577" s="3">
        <f t="shared" si="31"/>
        <v>19</v>
      </c>
      <c r="K3577" s="3">
        <f t="shared" si="32"/>
        <v>5</v>
      </c>
      <c r="L3577" s="3" t="str">
        <f t="shared" si="33"/>
        <v>OPORTUNO</v>
      </c>
      <c r="N3577">
        <v>97.37</v>
      </c>
      <c r="O3577">
        <v>25.76530612244898</v>
      </c>
    </row>
    <row r="3578" spans="1:15" x14ac:dyDescent="0.25">
      <c r="A3578" s="11">
        <v>46113</v>
      </c>
      <c r="B3578" t="s">
        <v>51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f t="shared" si="30"/>
        <v>0</v>
      </c>
      <c r="J3578" s="3">
        <f t="shared" si="31"/>
        <v>8</v>
      </c>
      <c r="K3578" s="3">
        <f t="shared" si="32"/>
        <v>-8</v>
      </c>
      <c r="L3578" s="3" t="str">
        <f t="shared" si="33"/>
        <v>CRÍTICO</v>
      </c>
      <c r="N3578">
        <v>100</v>
      </c>
      <c r="O3578">
        <v>25</v>
      </c>
    </row>
    <row r="3579" spans="1:15" x14ac:dyDescent="0.25">
      <c r="A3579" s="11">
        <v>46113</v>
      </c>
      <c r="B3579" t="s">
        <v>52</v>
      </c>
      <c r="C3579" t="s">
        <v>18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si="30"/>
        <v>48</v>
      </c>
      <c r="J3579" s="3">
        <f t="shared" si="31"/>
        <v>30</v>
      </c>
      <c r="K3579" s="3">
        <f t="shared" si="32"/>
        <v>18</v>
      </c>
      <c r="L3579" s="3" t="str">
        <f t="shared" si="33"/>
        <v>MUITO BOM</v>
      </c>
      <c r="N3579">
        <v>100</v>
      </c>
      <c r="O3579">
        <v>23.9870340356564</v>
      </c>
    </row>
    <row r="3580" spans="1:15" x14ac:dyDescent="0.25">
      <c r="A3580" s="11">
        <v>46113</v>
      </c>
      <c r="B3580" t="s">
        <v>53</v>
      </c>
      <c r="C3580" t="s">
        <v>18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30"/>
        <v>31</v>
      </c>
      <c r="J3580" s="3">
        <f t="shared" si="31"/>
        <v>30</v>
      </c>
      <c r="K3580" s="3">
        <f t="shared" si="32"/>
        <v>1</v>
      </c>
      <c r="L3580" s="3" t="str">
        <f t="shared" si="33"/>
        <v>OPORTUNO</v>
      </c>
      <c r="N3580">
        <v>95.49</v>
      </c>
      <c r="O3580">
        <v>28.16901408450704</v>
      </c>
    </row>
    <row r="3581" spans="1:15" x14ac:dyDescent="0.25">
      <c r="A3581" s="11">
        <v>46113</v>
      </c>
      <c r="B3581" t="s">
        <v>54</v>
      </c>
      <c r="C3581" t="s">
        <v>23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30"/>
        <v>16</v>
      </c>
      <c r="J3581" s="3">
        <f t="shared" si="31"/>
        <v>8</v>
      </c>
      <c r="K3581" s="3">
        <f t="shared" si="32"/>
        <v>8</v>
      </c>
      <c r="L3581" s="3" t="str">
        <f t="shared" si="33"/>
        <v>MUITO BOM</v>
      </c>
      <c r="N3581">
        <v>100</v>
      </c>
      <c r="O3581">
        <v>23.77622377622378</v>
      </c>
    </row>
    <row r="3582" spans="1:15" x14ac:dyDescent="0.25">
      <c r="A3582" s="11">
        <v>46113</v>
      </c>
      <c r="B3582" t="s">
        <v>55</v>
      </c>
      <c r="C3582" t="s">
        <v>43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30"/>
        <v>23</v>
      </c>
      <c r="J3582" s="3">
        <f t="shared" si="31"/>
        <v>17</v>
      </c>
      <c r="K3582" s="3">
        <f t="shared" si="32"/>
        <v>6</v>
      </c>
      <c r="L3582" s="3" t="str">
        <f t="shared" si="33"/>
        <v>MUITO BOM</v>
      </c>
      <c r="N3582">
        <v>96.15</v>
      </c>
      <c r="O3582">
        <v>24.045801526717561</v>
      </c>
    </row>
    <row r="3583" spans="1:15" x14ac:dyDescent="0.25">
      <c r="A3583" s="11">
        <v>46113</v>
      </c>
      <c r="B3583" t="s">
        <v>56</v>
      </c>
      <c r="C3583" t="s">
        <v>16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30"/>
        <v>21</v>
      </c>
      <c r="J3583" s="3">
        <f t="shared" si="31"/>
        <v>24</v>
      </c>
      <c r="K3583" s="3">
        <f t="shared" si="32"/>
        <v>-3</v>
      </c>
      <c r="L3583" s="3" t="str">
        <f t="shared" si="33"/>
        <v>ATENÇÃO</v>
      </c>
      <c r="N3583">
        <v>99.02</v>
      </c>
      <c r="O3583">
        <v>34.797297297297298</v>
      </c>
    </row>
    <row r="3584" spans="1:15" x14ac:dyDescent="0.25">
      <c r="A3584" s="11">
        <v>46113</v>
      </c>
      <c r="B3584" t="s">
        <v>57</v>
      </c>
      <c r="C3584" t="s">
        <v>43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30"/>
        <v>21</v>
      </c>
      <c r="J3584" s="3">
        <f t="shared" si="31"/>
        <v>17</v>
      </c>
      <c r="K3584" s="3">
        <f t="shared" si="32"/>
        <v>4</v>
      </c>
      <c r="L3584" s="3" t="str">
        <f t="shared" si="33"/>
        <v>OPORTUNO</v>
      </c>
      <c r="N3584">
        <v>98.84</v>
      </c>
      <c r="O3584">
        <v>31.5018315018315</v>
      </c>
    </row>
    <row r="3585" spans="1:15" x14ac:dyDescent="0.25">
      <c r="A3585" s="11">
        <v>46113</v>
      </c>
      <c r="B3585" t="s">
        <v>58</v>
      </c>
      <c r="C3585" t="s">
        <v>43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30"/>
        <v>19</v>
      </c>
      <c r="J3585" s="3">
        <f t="shared" si="31"/>
        <v>17</v>
      </c>
      <c r="K3585" s="3">
        <f t="shared" si="32"/>
        <v>2</v>
      </c>
      <c r="L3585" s="3" t="str">
        <f t="shared" si="33"/>
        <v>OPORTUNO</v>
      </c>
      <c r="N3585">
        <v>100</v>
      </c>
      <c r="O3585">
        <v>34.666666666666671</v>
      </c>
    </row>
    <row r="3586" spans="1:15" x14ac:dyDescent="0.25">
      <c r="A3586" s="11">
        <v>46113</v>
      </c>
      <c r="B3586" t="s">
        <v>59</v>
      </c>
      <c r="C3586" t="s">
        <v>23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30"/>
        <v>10</v>
      </c>
      <c r="J3586" s="3">
        <f t="shared" si="31"/>
        <v>8</v>
      </c>
      <c r="K3586" s="3">
        <f t="shared" si="32"/>
        <v>2</v>
      </c>
      <c r="L3586" s="3" t="str">
        <f t="shared" si="33"/>
        <v>OPORTUNO</v>
      </c>
      <c r="N3586">
        <v>94.12</v>
      </c>
      <c r="O3586">
        <v>32.799999999999997</v>
      </c>
    </row>
    <row r="3587" spans="1:15" x14ac:dyDescent="0.25">
      <c r="A3587" s="11">
        <v>46113</v>
      </c>
      <c r="B3587" t="s">
        <v>60</v>
      </c>
      <c r="C3587" t="s">
        <v>20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30"/>
        <v>32</v>
      </c>
      <c r="J3587" s="3">
        <f t="shared" si="31"/>
        <v>19</v>
      </c>
      <c r="K3587" s="3">
        <f t="shared" si="32"/>
        <v>13</v>
      </c>
      <c r="L3587" s="3" t="str">
        <f t="shared" si="33"/>
        <v>MUITO BOM</v>
      </c>
      <c r="N3587">
        <v>98.32</v>
      </c>
      <c r="O3587">
        <v>26.618705035971221</v>
      </c>
    </row>
    <row r="3588" spans="1:15" x14ac:dyDescent="0.25">
      <c r="A3588" s="11">
        <v>46113</v>
      </c>
      <c r="B3588" t="s">
        <v>61</v>
      </c>
      <c r="C3588" t="s">
        <v>18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30"/>
        <v>42</v>
      </c>
      <c r="J3588" s="3">
        <f t="shared" si="31"/>
        <v>30</v>
      </c>
      <c r="K3588" s="3">
        <f t="shared" si="32"/>
        <v>12</v>
      </c>
      <c r="L3588" s="3" t="str">
        <f t="shared" si="33"/>
        <v>MUITO BOM</v>
      </c>
      <c r="N3588">
        <v>100</v>
      </c>
      <c r="O3588">
        <v>31.135531135531139</v>
      </c>
    </row>
    <row r="3589" spans="1:15" x14ac:dyDescent="0.25">
      <c r="A3589" s="11">
        <v>46113</v>
      </c>
      <c r="B3589" t="s">
        <v>62</v>
      </c>
      <c r="C3589" t="s">
        <v>20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30"/>
        <v>24</v>
      </c>
      <c r="J3589" s="3">
        <f t="shared" si="31"/>
        <v>19</v>
      </c>
      <c r="K3589" s="3">
        <f t="shared" si="32"/>
        <v>5</v>
      </c>
      <c r="L3589" s="3" t="str">
        <f t="shared" si="33"/>
        <v>OPORTUNO</v>
      </c>
      <c r="N3589">
        <v>100</v>
      </c>
      <c r="O3589">
        <v>26.027397260273968</v>
      </c>
    </row>
    <row r="3590" spans="1:15" x14ac:dyDescent="0.25">
      <c r="A3590" s="11">
        <v>46113</v>
      </c>
      <c r="B3590" t="s">
        <v>63</v>
      </c>
      <c r="C3590" t="s">
        <v>18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30"/>
        <v>31</v>
      </c>
      <c r="J3590" s="3">
        <f t="shared" si="31"/>
        <v>30</v>
      </c>
      <c r="K3590" s="3">
        <f t="shared" si="32"/>
        <v>1</v>
      </c>
      <c r="L3590" s="3" t="str">
        <f t="shared" si="33"/>
        <v>OPORTUNO</v>
      </c>
      <c r="N3590">
        <v>99.21</v>
      </c>
      <c r="O3590">
        <v>24.937027707808561</v>
      </c>
    </row>
    <row r="3591" spans="1:15" x14ac:dyDescent="0.25">
      <c r="A3591" s="11">
        <v>46114</v>
      </c>
      <c r="B3591" t="s">
        <v>15</v>
      </c>
      <c r="C3591" t="s">
        <v>16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30"/>
        <v>8</v>
      </c>
      <c r="J3591" s="3">
        <f t="shared" si="31"/>
        <v>25</v>
      </c>
      <c r="K3591" s="3">
        <f t="shared" si="32"/>
        <v>-17</v>
      </c>
      <c r="L3591" s="3" t="str">
        <f t="shared" si="33"/>
        <v>CRÍTICO</v>
      </c>
      <c r="N3591">
        <v>100</v>
      </c>
      <c r="O3591">
        <v>32.764505119453922</v>
      </c>
    </row>
    <row r="3592" spans="1:15" x14ac:dyDescent="0.25">
      <c r="A3592" s="11">
        <v>46114</v>
      </c>
      <c r="B3592" t="s">
        <v>17</v>
      </c>
      <c r="C3592" t="s">
        <v>18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f t="shared" si="30"/>
        <v>0</v>
      </c>
      <c r="J3592" s="3">
        <f t="shared" si="31"/>
        <v>32</v>
      </c>
      <c r="K3592" s="3">
        <f t="shared" si="32"/>
        <v>-32</v>
      </c>
      <c r="L3592" s="3" t="str">
        <f t="shared" si="33"/>
        <v>CRÍTICO</v>
      </c>
      <c r="N3592">
        <v>98.66</v>
      </c>
      <c r="O3592">
        <v>35.15625</v>
      </c>
    </row>
    <row r="3593" spans="1:15" x14ac:dyDescent="0.25">
      <c r="A3593" s="11">
        <v>46114</v>
      </c>
      <c r="B3593" t="s">
        <v>19</v>
      </c>
      <c r="C3593" t="s">
        <v>20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si="30"/>
        <v>35</v>
      </c>
      <c r="J3593" s="3">
        <f t="shared" si="31"/>
        <v>21</v>
      </c>
      <c r="K3593" s="3">
        <f t="shared" si="32"/>
        <v>14</v>
      </c>
      <c r="L3593" s="3" t="str">
        <f t="shared" si="33"/>
        <v>MUITO BOM</v>
      </c>
      <c r="N3593">
        <v>99.32</v>
      </c>
      <c r="O3593">
        <v>30.45186640471513</v>
      </c>
    </row>
    <row r="3594" spans="1:15" x14ac:dyDescent="0.25">
      <c r="A3594" s="11">
        <v>46114</v>
      </c>
      <c r="B3594" t="s">
        <v>21</v>
      </c>
      <c r="C3594" t="s">
        <v>18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30"/>
        <v>28</v>
      </c>
      <c r="J3594" s="3">
        <f t="shared" si="31"/>
        <v>32</v>
      </c>
      <c r="K3594" s="3">
        <f t="shared" si="32"/>
        <v>-4</v>
      </c>
      <c r="L3594" s="3" t="str">
        <f t="shared" si="33"/>
        <v>ATENÇÃO</v>
      </c>
      <c r="N3594">
        <v>100</v>
      </c>
      <c r="O3594">
        <v>27.803738317757009</v>
      </c>
    </row>
    <row r="3595" spans="1:15" x14ac:dyDescent="0.25">
      <c r="A3595" s="11">
        <v>46114</v>
      </c>
      <c r="B3595" t="s">
        <v>22</v>
      </c>
      <c r="C3595" t="s">
        <v>23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30"/>
        <v>13</v>
      </c>
      <c r="J3595" s="3">
        <f t="shared" si="31"/>
        <v>9</v>
      </c>
      <c r="K3595" s="3">
        <f t="shared" si="32"/>
        <v>4</v>
      </c>
      <c r="L3595" s="3" t="str">
        <f t="shared" si="33"/>
        <v>OPORTUNO</v>
      </c>
      <c r="N3595">
        <v>96.74</v>
      </c>
      <c r="O3595">
        <v>28.43137254901961</v>
      </c>
    </row>
    <row r="3596" spans="1:15" x14ac:dyDescent="0.25">
      <c r="A3596" s="11">
        <v>46114</v>
      </c>
      <c r="B3596" t="s">
        <v>24</v>
      </c>
      <c r="C3596" t="s">
        <v>16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30"/>
        <v>31</v>
      </c>
      <c r="J3596" s="3">
        <f t="shared" si="31"/>
        <v>25</v>
      </c>
      <c r="K3596" s="3">
        <f t="shared" si="32"/>
        <v>6</v>
      </c>
      <c r="L3596" s="3" t="str">
        <f t="shared" si="33"/>
        <v>MUITO BOM</v>
      </c>
      <c r="N3596">
        <v>98.82</v>
      </c>
      <c r="O3596">
        <v>30.741410488245929</v>
      </c>
    </row>
    <row r="3597" spans="1:15" x14ac:dyDescent="0.25">
      <c r="A3597" s="11">
        <v>46114</v>
      </c>
      <c r="B3597" t="s">
        <v>25</v>
      </c>
      <c r="C3597" t="s">
        <v>16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30"/>
        <v>28</v>
      </c>
      <c r="J3597" s="3">
        <f t="shared" si="31"/>
        <v>25</v>
      </c>
      <c r="K3597" s="3">
        <f t="shared" si="32"/>
        <v>3</v>
      </c>
      <c r="L3597" s="3" t="str">
        <f t="shared" si="33"/>
        <v>OPORTUNO</v>
      </c>
      <c r="N3597">
        <v>98.2</v>
      </c>
      <c r="O3597">
        <v>26.890756302521009</v>
      </c>
    </row>
    <row r="3598" spans="1:15" x14ac:dyDescent="0.25">
      <c r="A3598" s="11">
        <v>46114</v>
      </c>
      <c r="B3598" t="s">
        <v>26</v>
      </c>
      <c r="C3598" t="s">
        <v>23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30"/>
        <v>10</v>
      </c>
      <c r="J3598" s="3">
        <f t="shared" si="31"/>
        <v>9</v>
      </c>
      <c r="K3598" s="3">
        <f t="shared" si="32"/>
        <v>1</v>
      </c>
      <c r="L3598" s="3" t="str">
        <f t="shared" si="33"/>
        <v>OPORTUNO</v>
      </c>
      <c r="N3598">
        <v>100</v>
      </c>
      <c r="O3598">
        <v>23.134328358208951</v>
      </c>
    </row>
    <row r="3599" spans="1:15" x14ac:dyDescent="0.25">
      <c r="A3599" s="11">
        <v>46114</v>
      </c>
      <c r="B3599" t="s">
        <v>27</v>
      </c>
      <c r="C3599" t="s">
        <v>20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30"/>
        <v>21</v>
      </c>
      <c r="J3599" s="3">
        <f t="shared" si="31"/>
        <v>21</v>
      </c>
      <c r="K3599" s="3">
        <f t="shared" si="32"/>
        <v>0</v>
      </c>
      <c r="L3599" s="3" t="str">
        <f t="shared" si="33"/>
        <v>OPORTUNO</v>
      </c>
      <c r="N3599">
        <v>96.3</v>
      </c>
      <c r="O3599">
        <v>31.980906921241051</v>
      </c>
    </row>
    <row r="3600" spans="1:15" x14ac:dyDescent="0.25">
      <c r="A3600" s="11">
        <v>46114</v>
      </c>
      <c r="B3600" t="s">
        <v>28</v>
      </c>
      <c r="C3600" t="s">
        <v>18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30"/>
        <v>42</v>
      </c>
      <c r="J3600" s="3">
        <f t="shared" si="31"/>
        <v>32</v>
      </c>
      <c r="K3600" s="3">
        <f t="shared" si="32"/>
        <v>10</v>
      </c>
      <c r="L3600" s="3" t="str">
        <f t="shared" si="33"/>
        <v>MUITO BOM</v>
      </c>
      <c r="N3600">
        <v>93.75</v>
      </c>
      <c r="O3600">
        <v>26.628352490421459</v>
      </c>
    </row>
    <row r="3601" spans="1:15" x14ac:dyDescent="0.25">
      <c r="A3601" s="11">
        <v>46114</v>
      </c>
      <c r="B3601" t="s">
        <v>29</v>
      </c>
      <c r="C3601" t="s">
        <v>16</v>
      </c>
      <c r="D3601">
        <v>0</v>
      </c>
      <c r="E3601">
        <v>0</v>
      </c>
      <c r="F3601">
        <v>0</v>
      </c>
      <c r="G3601">
        <v>0</v>
      </c>
      <c r="H3601">
        <v>0</v>
      </c>
      <c r="I3601" s="3">
        <f t="shared" si="30"/>
        <v>0</v>
      </c>
      <c r="J3601" s="3">
        <f t="shared" si="31"/>
        <v>25</v>
      </c>
      <c r="K3601" s="3">
        <f t="shared" si="32"/>
        <v>-25</v>
      </c>
      <c r="L3601" s="3" t="str">
        <f t="shared" si="33"/>
        <v>CRÍTICO</v>
      </c>
      <c r="N3601">
        <v>97.86</v>
      </c>
      <c r="O3601">
        <v>31.018518518518519</v>
      </c>
    </row>
    <row r="3602" spans="1:15" x14ac:dyDescent="0.25">
      <c r="A3602" s="11">
        <v>46114</v>
      </c>
      <c r="B3602" t="s">
        <v>30</v>
      </c>
      <c r="C3602" t="s">
        <v>20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 t="shared" si="30"/>
        <v>18</v>
      </c>
      <c r="J3602" s="3">
        <f t="shared" si="31"/>
        <v>21</v>
      </c>
      <c r="K3602" s="3">
        <f t="shared" si="32"/>
        <v>-3</v>
      </c>
      <c r="L3602" s="3" t="str">
        <f t="shared" si="33"/>
        <v>ATENÇÃO</v>
      </c>
      <c r="N3602">
        <v>100</v>
      </c>
      <c r="O3602">
        <v>36.231884057971023</v>
      </c>
    </row>
    <row r="3603" spans="1:15" x14ac:dyDescent="0.25">
      <c r="A3603" s="11">
        <v>46114</v>
      </c>
      <c r="B3603" t="s">
        <v>31</v>
      </c>
      <c r="C3603" t="s">
        <v>18</v>
      </c>
      <c r="D3603">
        <v>0</v>
      </c>
      <c r="E3603">
        <v>0</v>
      </c>
      <c r="F3603">
        <v>0</v>
      </c>
      <c r="G3603">
        <v>0</v>
      </c>
      <c r="H3603">
        <v>0</v>
      </c>
      <c r="I3603" s="3">
        <f t="shared" si="30"/>
        <v>0</v>
      </c>
      <c r="J3603" s="3">
        <f t="shared" si="31"/>
        <v>32</v>
      </c>
      <c r="K3603" s="3">
        <f t="shared" si="32"/>
        <v>-32</v>
      </c>
      <c r="L3603" s="3" t="str">
        <f t="shared" si="33"/>
        <v>CRÍTICO</v>
      </c>
      <c r="N3603">
        <v>100</v>
      </c>
      <c r="O3603">
        <v>38.269230769230766</v>
      </c>
    </row>
    <row r="3604" spans="1:15" x14ac:dyDescent="0.25">
      <c r="A3604" s="11">
        <v>46114</v>
      </c>
      <c r="B3604" t="s">
        <v>32</v>
      </c>
      <c r="C3604" t="s">
        <v>23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 t="shared" si="30"/>
        <v>6</v>
      </c>
      <c r="J3604" s="3">
        <f t="shared" si="31"/>
        <v>9</v>
      </c>
      <c r="K3604" s="3">
        <f t="shared" si="32"/>
        <v>-3</v>
      </c>
      <c r="L3604" s="3" t="str">
        <f t="shared" si="33"/>
        <v>ATENÇÃO</v>
      </c>
      <c r="N3604">
        <v>100</v>
      </c>
      <c r="O3604">
        <v>27.368421052631579</v>
      </c>
    </row>
    <row r="3605" spans="1:15" x14ac:dyDescent="0.25">
      <c r="A3605" s="11">
        <v>46114</v>
      </c>
      <c r="B3605" t="s">
        <v>33</v>
      </c>
      <c r="C3605" t="s">
        <v>16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 t="shared" si="30"/>
        <v>31</v>
      </c>
      <c r="J3605" s="3">
        <f t="shared" si="31"/>
        <v>25</v>
      </c>
      <c r="K3605" s="3">
        <f t="shared" si="32"/>
        <v>6</v>
      </c>
      <c r="L3605" s="3" t="str">
        <f t="shared" si="33"/>
        <v>MUITO BOM</v>
      </c>
      <c r="N3605">
        <v>97.83</v>
      </c>
      <c r="O3605">
        <v>28.131868131868131</v>
      </c>
    </row>
    <row r="3606" spans="1:15" x14ac:dyDescent="0.25">
      <c r="A3606" s="11">
        <v>46114</v>
      </c>
      <c r="B3606" t="s">
        <v>34</v>
      </c>
      <c r="C3606" t="s">
        <v>18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 t="shared" si="30"/>
        <v>26</v>
      </c>
      <c r="J3606" s="3">
        <f t="shared" si="31"/>
        <v>32</v>
      </c>
      <c r="K3606" s="3">
        <f t="shared" si="32"/>
        <v>-6</v>
      </c>
      <c r="L3606" s="3" t="str">
        <f t="shared" si="33"/>
        <v>CRÍTICO</v>
      </c>
      <c r="N3606">
        <v>99.26</v>
      </c>
      <c r="O3606">
        <v>29.57198443579767</v>
      </c>
    </row>
    <row r="3607" spans="1:15" x14ac:dyDescent="0.25">
      <c r="A3607" s="11">
        <v>46114</v>
      </c>
      <c r="B3607" t="s">
        <v>35</v>
      </c>
      <c r="C3607" t="s">
        <v>16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 t="shared" si="30"/>
        <v>33</v>
      </c>
      <c r="J3607" s="3">
        <f t="shared" si="31"/>
        <v>25</v>
      </c>
      <c r="K3607" s="3">
        <f t="shared" si="32"/>
        <v>8</v>
      </c>
      <c r="L3607" s="3" t="str">
        <f t="shared" si="33"/>
        <v>MUITO BOM</v>
      </c>
      <c r="N3607">
        <v>99.19</v>
      </c>
      <c r="O3607">
        <v>29.462365591397852</v>
      </c>
    </row>
    <row r="3608" spans="1:15" x14ac:dyDescent="0.25">
      <c r="A3608" s="5">
        <v>46150</v>
      </c>
      <c r="B3608" s="6" t="s">
        <v>64</v>
      </c>
      <c r="C3608" s="3" t="s">
        <v>23</v>
      </c>
      <c r="D3608" s="3">
        <v>46</v>
      </c>
      <c r="E3608" s="3">
        <v>42</v>
      </c>
      <c r="G3608" s="3">
        <v>0</v>
      </c>
      <c r="H3608" s="3">
        <v>0</v>
      </c>
      <c r="I3608" s="3">
        <f t="shared" si="30"/>
        <v>42</v>
      </c>
      <c r="J3608" s="3">
        <f t="shared" si="31"/>
        <v>8</v>
      </c>
      <c r="K3608" s="3">
        <f t="shared" si="32"/>
        <v>34</v>
      </c>
      <c r="L3608" s="3" t="str">
        <f t="shared" si="33"/>
        <v>MUITO BOM</v>
      </c>
      <c r="M3608">
        <v>0</v>
      </c>
      <c r="N3608">
        <v>100</v>
      </c>
      <c r="O3608">
        <v>14.285714285714279</v>
      </c>
    </row>
    <row r="3609" spans="1:15" x14ac:dyDescent="0.25">
      <c r="A3609" s="11">
        <v>46114</v>
      </c>
      <c r="B3609" t="s">
        <v>37</v>
      </c>
      <c r="C3609" t="s">
        <v>16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 t="shared" si="30"/>
        <v>34</v>
      </c>
      <c r="J3609" s="3">
        <f t="shared" si="31"/>
        <v>25</v>
      </c>
      <c r="K3609" s="3">
        <f t="shared" si="32"/>
        <v>9</v>
      </c>
      <c r="L3609" s="3" t="str">
        <f t="shared" si="33"/>
        <v>MUITO BOM</v>
      </c>
      <c r="N3609">
        <v>100</v>
      </c>
      <c r="O3609">
        <v>27.941176470588239</v>
      </c>
    </row>
    <row r="3610" spans="1:15" x14ac:dyDescent="0.25">
      <c r="A3610" s="11">
        <v>46114</v>
      </c>
      <c r="B3610" t="s">
        <v>38</v>
      </c>
      <c r="C3610" t="s">
        <v>18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 t="shared" si="30"/>
        <v>50</v>
      </c>
      <c r="J3610" s="3">
        <f t="shared" si="31"/>
        <v>32</v>
      </c>
      <c r="K3610" s="3">
        <f t="shared" si="32"/>
        <v>18</v>
      </c>
      <c r="L3610" s="3" t="str">
        <f t="shared" si="33"/>
        <v>MUITO BOM</v>
      </c>
      <c r="N3610">
        <v>99.57</v>
      </c>
      <c r="O3610">
        <v>29.913294797687861</v>
      </c>
    </row>
    <row r="3611" spans="1:15" x14ac:dyDescent="0.25">
      <c r="A3611" s="11">
        <v>46114</v>
      </c>
      <c r="B3611" t="s">
        <v>39</v>
      </c>
      <c r="C3611" t="s">
        <v>18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 t="shared" ref="I3611:I3674" si="34">E3611+G3611+H3611</f>
        <v>12</v>
      </c>
      <c r="J3611" s="3">
        <f t="shared" ref="J3611:J3674" si="35"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32</v>
      </c>
      <c r="K3611" s="3">
        <f t="shared" ref="K3611:K3674" si="36">I3611-J3611</f>
        <v>-20</v>
      </c>
      <c r="L3611" s="3" t="str">
        <f t="shared" ref="L3611:L3674" si="37">IF(K3611&lt;-5,"CRÍTICO",IF(K3611&lt;0,"ATENÇÃO",IF(K3611&lt;=5,"OPORTUNO","MUITO BOM")))</f>
        <v>CRÍTICO</v>
      </c>
      <c r="N3611">
        <v>95.65</v>
      </c>
      <c r="O3611">
        <v>31.081081081081081</v>
      </c>
    </row>
    <row r="3612" spans="1:15" x14ac:dyDescent="0.25">
      <c r="A3612" s="11">
        <v>46114</v>
      </c>
      <c r="B3612" t="s">
        <v>40</v>
      </c>
      <c r="C3612" t="s">
        <v>16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 t="shared" si="34"/>
        <v>18</v>
      </c>
      <c r="J3612" s="3">
        <f t="shared" si="35"/>
        <v>25</v>
      </c>
      <c r="K3612" s="3">
        <f t="shared" si="36"/>
        <v>-7</v>
      </c>
      <c r="L3612" s="3" t="str">
        <f t="shared" si="37"/>
        <v>CRÍTICO</v>
      </c>
      <c r="N3612">
        <v>98.81</v>
      </c>
      <c r="O3612">
        <v>26.256983240223459</v>
      </c>
    </row>
    <row r="3613" spans="1:15" x14ac:dyDescent="0.25">
      <c r="A3613" s="11">
        <v>46114</v>
      </c>
      <c r="B3613" t="s">
        <v>41</v>
      </c>
      <c r="C3613" t="s">
        <v>18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f t="shared" si="34"/>
        <v>0</v>
      </c>
      <c r="J3613" s="3">
        <f t="shared" si="35"/>
        <v>32</v>
      </c>
      <c r="K3613" s="3">
        <f t="shared" si="36"/>
        <v>-32</v>
      </c>
      <c r="L3613" s="3" t="str">
        <f t="shared" si="37"/>
        <v>CRÍTICO</v>
      </c>
      <c r="N3613">
        <v>0</v>
      </c>
      <c r="O3613">
        <v>0</v>
      </c>
    </row>
    <row r="3614" spans="1:15" x14ac:dyDescent="0.25">
      <c r="A3614" s="11">
        <v>46114</v>
      </c>
      <c r="B3614" t="s">
        <v>42</v>
      </c>
      <c r="C3614" t="s">
        <v>43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 t="shared" si="34"/>
        <v>22</v>
      </c>
      <c r="J3614" s="3">
        <f t="shared" si="35"/>
        <v>18</v>
      </c>
      <c r="K3614" s="3">
        <f t="shared" si="36"/>
        <v>4</v>
      </c>
      <c r="L3614" s="3" t="str">
        <f t="shared" si="37"/>
        <v>OPORTUNO</v>
      </c>
      <c r="N3614">
        <v>97.17</v>
      </c>
      <c r="O3614">
        <v>28.81844380403458</v>
      </c>
    </row>
    <row r="3615" spans="1:15" x14ac:dyDescent="0.25">
      <c r="A3615" s="11">
        <v>46114</v>
      </c>
      <c r="B3615" t="s">
        <v>44</v>
      </c>
      <c r="C3615" t="s">
        <v>18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 t="shared" si="34"/>
        <v>6</v>
      </c>
      <c r="J3615" s="3">
        <f t="shared" si="35"/>
        <v>32</v>
      </c>
      <c r="K3615" s="3">
        <f t="shared" si="36"/>
        <v>-26</v>
      </c>
      <c r="L3615" s="3" t="str">
        <f t="shared" si="37"/>
        <v>CRÍTICO</v>
      </c>
      <c r="N3615">
        <v>96.81</v>
      </c>
      <c r="O3615">
        <v>48.018648018648022</v>
      </c>
    </row>
    <row r="3616" spans="1:15" x14ac:dyDescent="0.25">
      <c r="A3616" s="11">
        <v>46114</v>
      </c>
      <c r="B3616" t="s">
        <v>45</v>
      </c>
      <c r="C3616" t="s">
        <v>43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 t="shared" si="34"/>
        <v>21</v>
      </c>
      <c r="J3616" s="3">
        <f t="shared" si="35"/>
        <v>18</v>
      </c>
      <c r="K3616" s="3">
        <f t="shared" si="36"/>
        <v>3</v>
      </c>
      <c r="L3616" s="3" t="str">
        <f t="shared" si="37"/>
        <v>OPORTUNO</v>
      </c>
      <c r="N3616">
        <v>98.15</v>
      </c>
      <c r="O3616">
        <v>27.1551724137931</v>
      </c>
    </row>
    <row r="3617" spans="1:15" x14ac:dyDescent="0.25">
      <c r="A3617" s="11">
        <v>46114</v>
      </c>
      <c r="B3617" t="s">
        <v>46</v>
      </c>
      <c r="C3617" t="s">
        <v>18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 t="shared" si="34"/>
        <v>38</v>
      </c>
      <c r="J3617" s="3">
        <f t="shared" si="35"/>
        <v>32</v>
      </c>
      <c r="K3617" s="3">
        <f t="shared" si="36"/>
        <v>6</v>
      </c>
      <c r="L3617" s="3" t="str">
        <f t="shared" si="37"/>
        <v>MUITO BOM</v>
      </c>
      <c r="N3617">
        <v>99.15</v>
      </c>
      <c r="O3617">
        <v>27.370689655172409</v>
      </c>
    </row>
    <row r="3618" spans="1:15" x14ac:dyDescent="0.25">
      <c r="A3618" s="11">
        <v>46114</v>
      </c>
      <c r="B3618" t="s">
        <v>47</v>
      </c>
      <c r="C3618" t="s">
        <v>16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 t="shared" si="34"/>
        <v>35</v>
      </c>
      <c r="J3618" s="3">
        <f t="shared" si="35"/>
        <v>25</v>
      </c>
      <c r="K3618" s="3">
        <f t="shared" si="36"/>
        <v>10</v>
      </c>
      <c r="L3618" s="3" t="str">
        <f t="shared" si="37"/>
        <v>MUITO BOM</v>
      </c>
      <c r="N3618">
        <v>99.17</v>
      </c>
      <c r="O3618">
        <v>29.75206611570248</v>
      </c>
    </row>
    <row r="3619" spans="1:15" x14ac:dyDescent="0.25">
      <c r="A3619" s="11">
        <v>46114</v>
      </c>
      <c r="B3619" t="s">
        <v>48</v>
      </c>
      <c r="C3619" t="s">
        <v>16</v>
      </c>
      <c r="D3619">
        <v>0</v>
      </c>
      <c r="E3619">
        <v>0</v>
      </c>
      <c r="F3619">
        <v>0</v>
      </c>
      <c r="G3619">
        <v>0</v>
      </c>
      <c r="H3619">
        <v>0</v>
      </c>
      <c r="I3619" s="3">
        <f t="shared" si="34"/>
        <v>0</v>
      </c>
      <c r="J3619" s="3">
        <f t="shared" si="35"/>
        <v>25</v>
      </c>
      <c r="K3619" s="3">
        <f t="shared" si="36"/>
        <v>-25</v>
      </c>
      <c r="L3619" s="3" t="str">
        <f t="shared" si="37"/>
        <v>CRÍTICO</v>
      </c>
      <c r="N3619">
        <v>98.73</v>
      </c>
      <c r="O3619">
        <v>28.961748633879779</v>
      </c>
    </row>
    <row r="3620" spans="1:15" x14ac:dyDescent="0.25">
      <c r="A3620" s="11">
        <v>46114</v>
      </c>
      <c r="B3620" t="s">
        <v>49</v>
      </c>
      <c r="C3620" t="s">
        <v>18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si="34"/>
        <v>32</v>
      </c>
      <c r="J3620" s="3">
        <f t="shared" si="35"/>
        <v>32</v>
      </c>
      <c r="K3620" s="3">
        <f t="shared" si="36"/>
        <v>0</v>
      </c>
      <c r="L3620" s="3" t="str">
        <f t="shared" si="37"/>
        <v>OPORTUNO</v>
      </c>
      <c r="N3620">
        <v>88.68</v>
      </c>
      <c r="O3620">
        <v>22.03389830508474</v>
      </c>
    </row>
    <row r="3621" spans="1:15" x14ac:dyDescent="0.25">
      <c r="A3621" s="11">
        <v>46114</v>
      </c>
      <c r="B3621" t="s">
        <v>50</v>
      </c>
      <c r="C3621" t="s">
        <v>20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34"/>
        <v>27</v>
      </c>
      <c r="J3621" s="3">
        <f t="shared" si="35"/>
        <v>21</v>
      </c>
      <c r="K3621" s="3">
        <f t="shared" si="36"/>
        <v>6</v>
      </c>
      <c r="L3621" s="3" t="str">
        <f t="shared" si="37"/>
        <v>MUITO BOM</v>
      </c>
      <c r="N3621">
        <v>97.37</v>
      </c>
      <c r="O3621">
        <v>25.76530612244898</v>
      </c>
    </row>
    <row r="3622" spans="1:15" x14ac:dyDescent="0.25">
      <c r="A3622" s="11">
        <v>46114</v>
      </c>
      <c r="B3622" t="s">
        <v>51</v>
      </c>
      <c r="C3622" t="s">
        <v>23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34"/>
        <v>10</v>
      </c>
      <c r="J3622" s="3">
        <f t="shared" si="35"/>
        <v>9</v>
      </c>
      <c r="K3622" s="3">
        <f t="shared" si="36"/>
        <v>1</v>
      </c>
      <c r="L3622" s="3" t="str">
        <f t="shared" si="37"/>
        <v>OPORTUNO</v>
      </c>
      <c r="N3622">
        <v>100</v>
      </c>
      <c r="O3622">
        <v>25</v>
      </c>
    </row>
    <row r="3623" spans="1:15" x14ac:dyDescent="0.25">
      <c r="A3623" s="11">
        <v>46114</v>
      </c>
      <c r="B3623" t="s">
        <v>52</v>
      </c>
      <c r="C3623" t="s">
        <v>18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34"/>
        <v>41</v>
      </c>
      <c r="J3623" s="3">
        <f t="shared" si="35"/>
        <v>32</v>
      </c>
      <c r="K3623" s="3">
        <f t="shared" si="36"/>
        <v>9</v>
      </c>
      <c r="L3623" s="3" t="str">
        <f t="shared" si="37"/>
        <v>MUITO BOM</v>
      </c>
      <c r="N3623">
        <v>100</v>
      </c>
      <c r="O3623">
        <v>23.9870340356564</v>
      </c>
    </row>
    <row r="3624" spans="1:15" x14ac:dyDescent="0.25">
      <c r="A3624" s="11">
        <v>46114</v>
      </c>
      <c r="B3624" t="s">
        <v>53</v>
      </c>
      <c r="C3624" t="s">
        <v>18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34"/>
        <v>32</v>
      </c>
      <c r="J3624" s="3">
        <f t="shared" si="35"/>
        <v>32</v>
      </c>
      <c r="K3624" s="3">
        <f t="shared" si="36"/>
        <v>0</v>
      </c>
      <c r="L3624" s="3" t="str">
        <f t="shared" si="37"/>
        <v>OPORTUNO</v>
      </c>
      <c r="N3624">
        <v>95.49</v>
      </c>
      <c r="O3624">
        <v>28.16901408450704</v>
      </c>
    </row>
    <row r="3625" spans="1:15" x14ac:dyDescent="0.25">
      <c r="A3625" s="11">
        <v>46114</v>
      </c>
      <c r="B3625" t="s">
        <v>54</v>
      </c>
      <c r="C3625" t="s">
        <v>23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34"/>
        <v>18</v>
      </c>
      <c r="J3625" s="3">
        <f t="shared" si="35"/>
        <v>9</v>
      </c>
      <c r="K3625" s="3">
        <f t="shared" si="36"/>
        <v>9</v>
      </c>
      <c r="L3625" s="3" t="str">
        <f t="shared" si="37"/>
        <v>MUITO BOM</v>
      </c>
      <c r="N3625">
        <v>100</v>
      </c>
      <c r="O3625">
        <v>23.77622377622378</v>
      </c>
    </row>
    <row r="3626" spans="1:15" x14ac:dyDescent="0.25">
      <c r="A3626" s="11">
        <v>46114</v>
      </c>
      <c r="B3626" t="s">
        <v>55</v>
      </c>
      <c r="C3626" t="s">
        <v>43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34"/>
        <v>17</v>
      </c>
      <c r="J3626" s="3">
        <f t="shared" si="35"/>
        <v>18</v>
      </c>
      <c r="K3626" s="3">
        <f t="shared" si="36"/>
        <v>-1</v>
      </c>
      <c r="L3626" s="3" t="str">
        <f t="shared" si="37"/>
        <v>ATENÇÃO</v>
      </c>
      <c r="N3626">
        <v>96.15</v>
      </c>
      <c r="O3626">
        <v>24.045801526717561</v>
      </c>
    </row>
    <row r="3627" spans="1:15" x14ac:dyDescent="0.25">
      <c r="A3627" s="11">
        <v>46114</v>
      </c>
      <c r="B3627" t="s">
        <v>56</v>
      </c>
      <c r="C3627" t="s">
        <v>16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34"/>
        <v>18</v>
      </c>
      <c r="J3627" s="3">
        <f t="shared" si="35"/>
        <v>25</v>
      </c>
      <c r="K3627" s="3">
        <f t="shared" si="36"/>
        <v>-7</v>
      </c>
      <c r="L3627" s="3" t="str">
        <f t="shared" si="37"/>
        <v>CRÍTICO</v>
      </c>
      <c r="N3627">
        <v>99.02</v>
      </c>
      <c r="O3627">
        <v>34.797297297297298</v>
      </c>
    </row>
    <row r="3628" spans="1:15" x14ac:dyDescent="0.25">
      <c r="A3628" s="11">
        <v>46114</v>
      </c>
      <c r="B3628" t="s">
        <v>57</v>
      </c>
      <c r="C3628" t="s">
        <v>43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34"/>
        <v>21</v>
      </c>
      <c r="J3628" s="3">
        <f t="shared" si="35"/>
        <v>18</v>
      </c>
      <c r="K3628" s="3">
        <f t="shared" si="36"/>
        <v>3</v>
      </c>
      <c r="L3628" s="3" t="str">
        <f t="shared" si="37"/>
        <v>OPORTUNO</v>
      </c>
      <c r="N3628">
        <v>98.84</v>
      </c>
      <c r="O3628">
        <v>31.5018315018315</v>
      </c>
    </row>
    <row r="3629" spans="1:15" x14ac:dyDescent="0.25">
      <c r="A3629" s="11">
        <v>46114</v>
      </c>
      <c r="B3629" t="s">
        <v>58</v>
      </c>
      <c r="C3629" t="s">
        <v>43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34"/>
        <v>17</v>
      </c>
      <c r="J3629" s="3">
        <f t="shared" si="35"/>
        <v>18</v>
      </c>
      <c r="K3629" s="3">
        <f t="shared" si="36"/>
        <v>-1</v>
      </c>
      <c r="L3629" s="3" t="str">
        <f t="shared" si="37"/>
        <v>ATENÇÃO</v>
      </c>
      <c r="N3629">
        <v>100</v>
      </c>
      <c r="O3629">
        <v>34.666666666666671</v>
      </c>
    </row>
    <row r="3630" spans="1:15" x14ac:dyDescent="0.25">
      <c r="A3630" s="11">
        <v>46114</v>
      </c>
      <c r="B3630" t="s">
        <v>59</v>
      </c>
      <c r="C3630" t="s">
        <v>23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34"/>
        <v>7</v>
      </c>
      <c r="J3630" s="3">
        <f t="shared" si="35"/>
        <v>9</v>
      </c>
      <c r="K3630" s="3">
        <f t="shared" si="36"/>
        <v>-2</v>
      </c>
      <c r="L3630" s="3" t="str">
        <f t="shared" si="37"/>
        <v>ATENÇÃO</v>
      </c>
      <c r="N3630">
        <v>94.12</v>
      </c>
      <c r="O3630">
        <v>32.799999999999997</v>
      </c>
    </row>
    <row r="3631" spans="1:15" x14ac:dyDescent="0.25">
      <c r="A3631" s="11">
        <v>46114</v>
      </c>
      <c r="B3631" t="s">
        <v>60</v>
      </c>
      <c r="C3631" t="s">
        <v>20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34"/>
        <v>29</v>
      </c>
      <c r="J3631" s="3">
        <f t="shared" si="35"/>
        <v>21</v>
      </c>
      <c r="K3631" s="3">
        <f t="shared" si="36"/>
        <v>8</v>
      </c>
      <c r="L3631" s="3" t="str">
        <f t="shared" si="37"/>
        <v>MUITO BOM</v>
      </c>
      <c r="N3631">
        <v>98.32</v>
      </c>
      <c r="O3631">
        <v>26.618705035971221</v>
      </c>
    </row>
    <row r="3632" spans="1:15" x14ac:dyDescent="0.25">
      <c r="A3632" s="11">
        <v>46114</v>
      </c>
      <c r="B3632" t="s">
        <v>61</v>
      </c>
      <c r="C3632" t="s">
        <v>18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34"/>
        <v>38</v>
      </c>
      <c r="J3632" s="3">
        <f t="shared" si="35"/>
        <v>32</v>
      </c>
      <c r="K3632" s="3">
        <f t="shared" si="36"/>
        <v>6</v>
      </c>
      <c r="L3632" s="3" t="str">
        <f t="shared" si="37"/>
        <v>MUITO BOM</v>
      </c>
      <c r="N3632">
        <v>100</v>
      </c>
      <c r="O3632">
        <v>31.135531135531139</v>
      </c>
    </row>
    <row r="3633" spans="1:15" x14ac:dyDescent="0.25">
      <c r="A3633" s="11">
        <v>46114</v>
      </c>
      <c r="B3633" t="s">
        <v>62</v>
      </c>
      <c r="C3633" t="s">
        <v>20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34"/>
        <v>18</v>
      </c>
      <c r="J3633" s="3">
        <f t="shared" si="35"/>
        <v>21</v>
      </c>
      <c r="K3633" s="3">
        <f t="shared" si="36"/>
        <v>-3</v>
      </c>
      <c r="L3633" s="3" t="str">
        <f t="shared" si="37"/>
        <v>ATENÇÃO</v>
      </c>
      <c r="N3633">
        <v>100</v>
      </c>
      <c r="O3633">
        <v>26.027397260273968</v>
      </c>
    </row>
    <row r="3634" spans="1:15" x14ac:dyDescent="0.25">
      <c r="A3634" s="11">
        <v>46114</v>
      </c>
      <c r="B3634" t="s">
        <v>63</v>
      </c>
      <c r="C3634" t="s">
        <v>18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34"/>
        <v>32</v>
      </c>
      <c r="J3634" s="3">
        <f t="shared" si="35"/>
        <v>32</v>
      </c>
      <c r="K3634" s="3">
        <f t="shared" si="36"/>
        <v>0</v>
      </c>
      <c r="L3634" s="3" t="str">
        <f t="shared" si="37"/>
        <v>OPORTUNO</v>
      </c>
      <c r="N3634">
        <v>99.21</v>
      </c>
      <c r="O3634">
        <v>24.937027707808561</v>
      </c>
    </row>
    <row r="3635" spans="1:15" x14ac:dyDescent="0.25">
      <c r="A3635" s="11">
        <v>46115</v>
      </c>
      <c r="B3635" t="s">
        <v>15</v>
      </c>
      <c r="C3635" t="s">
        <v>16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f t="shared" si="34"/>
        <v>0</v>
      </c>
      <c r="J3635" s="3">
        <f t="shared" si="35"/>
        <v>0</v>
      </c>
      <c r="K3635" s="3">
        <f t="shared" si="36"/>
        <v>0</v>
      </c>
      <c r="L3635" s="3" t="str">
        <f t="shared" si="37"/>
        <v>OPORTUNO</v>
      </c>
      <c r="N3635">
        <v>100</v>
      </c>
      <c r="O3635">
        <v>32.764505119453922</v>
      </c>
    </row>
    <row r="3636" spans="1:15" x14ac:dyDescent="0.25">
      <c r="A3636" s="11">
        <v>46115</v>
      </c>
      <c r="B3636" t="s">
        <v>17</v>
      </c>
      <c r="C3636" t="s">
        <v>18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f t="shared" si="34"/>
        <v>0</v>
      </c>
      <c r="J3636" s="3">
        <f t="shared" si="35"/>
        <v>0</v>
      </c>
      <c r="K3636" s="3">
        <f t="shared" si="36"/>
        <v>0</v>
      </c>
      <c r="L3636" s="3" t="str">
        <f t="shared" si="37"/>
        <v>OPORTUNO</v>
      </c>
      <c r="N3636">
        <v>98.66</v>
      </c>
      <c r="O3636">
        <v>35.15625</v>
      </c>
    </row>
    <row r="3637" spans="1:15" x14ac:dyDescent="0.25">
      <c r="A3637" s="11">
        <v>46115</v>
      </c>
      <c r="B3637" t="s">
        <v>19</v>
      </c>
      <c r="C3637" t="s">
        <v>20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f t="shared" si="34"/>
        <v>0</v>
      </c>
      <c r="J3637" s="3">
        <f t="shared" si="35"/>
        <v>0</v>
      </c>
      <c r="K3637" s="3">
        <f t="shared" si="36"/>
        <v>0</v>
      </c>
      <c r="L3637" s="3" t="str">
        <f t="shared" si="37"/>
        <v>OPORTUNO</v>
      </c>
      <c r="N3637">
        <v>99.32</v>
      </c>
      <c r="O3637">
        <v>30.45186640471513</v>
      </c>
    </row>
    <row r="3638" spans="1:15" x14ac:dyDescent="0.25">
      <c r="A3638" s="11">
        <v>46115</v>
      </c>
      <c r="B3638" t="s">
        <v>21</v>
      </c>
      <c r="C3638" t="s">
        <v>18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f t="shared" si="34"/>
        <v>0</v>
      </c>
      <c r="J3638" s="3">
        <f t="shared" si="35"/>
        <v>0</v>
      </c>
      <c r="K3638" s="3">
        <f t="shared" si="36"/>
        <v>0</v>
      </c>
      <c r="L3638" s="3" t="str">
        <f t="shared" si="37"/>
        <v>OPORTUNO</v>
      </c>
      <c r="N3638">
        <v>100</v>
      </c>
      <c r="O3638">
        <v>27.803738317757009</v>
      </c>
    </row>
    <row r="3639" spans="1:15" x14ac:dyDescent="0.25">
      <c r="A3639" s="11">
        <v>46115</v>
      </c>
      <c r="B3639" t="s">
        <v>22</v>
      </c>
      <c r="C3639" t="s">
        <v>23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f t="shared" si="34"/>
        <v>0</v>
      </c>
      <c r="J3639" s="3">
        <f t="shared" si="35"/>
        <v>0</v>
      </c>
      <c r="K3639" s="3">
        <f t="shared" si="36"/>
        <v>0</v>
      </c>
      <c r="L3639" s="3" t="str">
        <f t="shared" si="37"/>
        <v>OPORTUNO</v>
      </c>
      <c r="N3639">
        <v>96.74</v>
      </c>
      <c r="O3639">
        <v>28.43137254901961</v>
      </c>
    </row>
    <row r="3640" spans="1:15" x14ac:dyDescent="0.25">
      <c r="A3640" s="11">
        <v>46115</v>
      </c>
      <c r="B3640" t="s">
        <v>24</v>
      </c>
      <c r="C3640" t="s">
        <v>16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f t="shared" si="34"/>
        <v>0</v>
      </c>
      <c r="J3640" s="3">
        <f t="shared" si="35"/>
        <v>0</v>
      </c>
      <c r="K3640" s="3">
        <f t="shared" si="36"/>
        <v>0</v>
      </c>
      <c r="L3640" s="3" t="str">
        <f t="shared" si="37"/>
        <v>OPORTUNO</v>
      </c>
      <c r="N3640">
        <v>98.82</v>
      </c>
      <c r="O3640">
        <v>30.741410488245929</v>
      </c>
    </row>
    <row r="3641" spans="1:15" x14ac:dyDescent="0.25">
      <c r="A3641" s="11">
        <v>46115</v>
      </c>
      <c r="B3641" t="s">
        <v>25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f t="shared" si="34"/>
        <v>0</v>
      </c>
      <c r="J3641" s="3">
        <f t="shared" si="35"/>
        <v>0</v>
      </c>
      <c r="K3641" s="3">
        <f t="shared" si="36"/>
        <v>0</v>
      </c>
      <c r="L3641" s="3" t="str">
        <f t="shared" si="37"/>
        <v>OPORTUNO</v>
      </c>
      <c r="N3641">
        <v>98.2</v>
      </c>
      <c r="O3641">
        <v>26.890756302521009</v>
      </c>
    </row>
    <row r="3642" spans="1:15" x14ac:dyDescent="0.25">
      <c r="A3642" s="11">
        <v>46115</v>
      </c>
      <c r="B3642" t="s">
        <v>26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f t="shared" si="34"/>
        <v>0</v>
      </c>
      <c r="J3642" s="3">
        <f t="shared" si="35"/>
        <v>0</v>
      </c>
      <c r="K3642" s="3">
        <f t="shared" si="36"/>
        <v>0</v>
      </c>
      <c r="L3642" s="3" t="str">
        <f t="shared" si="37"/>
        <v>OPORTUNO</v>
      </c>
      <c r="N3642">
        <v>100</v>
      </c>
      <c r="O3642">
        <v>23.134328358208951</v>
      </c>
    </row>
    <row r="3643" spans="1:15" x14ac:dyDescent="0.25">
      <c r="A3643" s="11">
        <v>46115</v>
      </c>
      <c r="B3643" t="s">
        <v>27</v>
      </c>
      <c r="C3643" t="s">
        <v>20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f t="shared" si="34"/>
        <v>0</v>
      </c>
      <c r="J3643" s="3">
        <f t="shared" si="35"/>
        <v>0</v>
      </c>
      <c r="K3643" s="3">
        <f t="shared" si="36"/>
        <v>0</v>
      </c>
      <c r="L3643" s="3" t="str">
        <f t="shared" si="37"/>
        <v>OPORTUNO</v>
      </c>
      <c r="N3643">
        <v>96.3</v>
      </c>
      <c r="O3643">
        <v>31.980906921241051</v>
      </c>
    </row>
    <row r="3644" spans="1:15" x14ac:dyDescent="0.25">
      <c r="A3644" s="11">
        <v>46115</v>
      </c>
      <c r="B3644" t="s">
        <v>28</v>
      </c>
      <c r="C3644" t="s">
        <v>18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f t="shared" si="34"/>
        <v>0</v>
      </c>
      <c r="J3644" s="3">
        <f t="shared" si="35"/>
        <v>0</v>
      </c>
      <c r="K3644" s="3">
        <f t="shared" si="36"/>
        <v>0</v>
      </c>
      <c r="L3644" s="3" t="str">
        <f t="shared" si="37"/>
        <v>OPORTUNO</v>
      </c>
      <c r="N3644">
        <v>93.75</v>
      </c>
      <c r="O3644">
        <v>26.628352490421459</v>
      </c>
    </row>
    <row r="3645" spans="1:15" x14ac:dyDescent="0.25">
      <c r="A3645" s="11">
        <v>46115</v>
      </c>
      <c r="B3645" t="s">
        <v>29</v>
      </c>
      <c r="C3645" t="s">
        <v>16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f t="shared" si="34"/>
        <v>0</v>
      </c>
      <c r="J3645" s="3">
        <f t="shared" si="35"/>
        <v>0</v>
      </c>
      <c r="K3645" s="3">
        <f t="shared" si="36"/>
        <v>0</v>
      </c>
      <c r="L3645" s="3" t="str">
        <f t="shared" si="37"/>
        <v>OPORTUNO</v>
      </c>
      <c r="N3645">
        <v>97.86</v>
      </c>
      <c r="O3645">
        <v>31.018518518518519</v>
      </c>
    </row>
    <row r="3646" spans="1:15" x14ac:dyDescent="0.25">
      <c r="A3646" s="11">
        <v>46115</v>
      </c>
      <c r="B3646" t="s">
        <v>30</v>
      </c>
      <c r="C3646" t="s">
        <v>20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f t="shared" si="34"/>
        <v>0</v>
      </c>
      <c r="J3646" s="3">
        <f t="shared" si="35"/>
        <v>0</v>
      </c>
      <c r="K3646" s="3">
        <f t="shared" si="36"/>
        <v>0</v>
      </c>
      <c r="L3646" s="3" t="str">
        <f t="shared" si="37"/>
        <v>OPORTUNO</v>
      </c>
      <c r="N3646">
        <v>100</v>
      </c>
      <c r="O3646">
        <v>36.231884057971023</v>
      </c>
    </row>
    <row r="3647" spans="1:15" x14ac:dyDescent="0.25">
      <c r="A3647" s="11">
        <v>46115</v>
      </c>
      <c r="B3647" t="s">
        <v>31</v>
      </c>
      <c r="C3647" t="s">
        <v>18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f t="shared" si="34"/>
        <v>0</v>
      </c>
      <c r="J3647" s="3">
        <f t="shared" si="35"/>
        <v>0</v>
      </c>
      <c r="K3647" s="3">
        <f t="shared" si="36"/>
        <v>0</v>
      </c>
      <c r="L3647" s="3" t="str">
        <f t="shared" si="37"/>
        <v>OPORTUNO</v>
      </c>
      <c r="N3647">
        <v>100</v>
      </c>
      <c r="O3647">
        <v>38.269230769230766</v>
      </c>
    </row>
    <row r="3648" spans="1:15" x14ac:dyDescent="0.25">
      <c r="A3648" s="11">
        <v>46115</v>
      </c>
      <c r="B3648" t="s">
        <v>32</v>
      </c>
      <c r="C3648" t="s">
        <v>23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f t="shared" si="34"/>
        <v>0</v>
      </c>
      <c r="J3648" s="3">
        <f t="shared" si="35"/>
        <v>0</v>
      </c>
      <c r="K3648" s="3">
        <f t="shared" si="36"/>
        <v>0</v>
      </c>
      <c r="L3648" s="3" t="str">
        <f t="shared" si="37"/>
        <v>OPORTUNO</v>
      </c>
      <c r="N3648">
        <v>100</v>
      </c>
      <c r="O3648">
        <v>27.368421052631579</v>
      </c>
    </row>
    <row r="3649" spans="1:15" x14ac:dyDescent="0.25">
      <c r="A3649" s="11">
        <v>46115</v>
      </c>
      <c r="B3649" t="s">
        <v>33</v>
      </c>
      <c r="C3649" t="s">
        <v>16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f t="shared" si="34"/>
        <v>0</v>
      </c>
      <c r="J3649" s="3">
        <f t="shared" si="35"/>
        <v>0</v>
      </c>
      <c r="K3649" s="3">
        <f t="shared" si="36"/>
        <v>0</v>
      </c>
      <c r="L3649" s="3" t="str">
        <f t="shared" si="37"/>
        <v>OPORTUNO</v>
      </c>
      <c r="N3649">
        <v>97.83</v>
      </c>
      <c r="O3649">
        <v>28.131868131868131</v>
      </c>
    </row>
    <row r="3650" spans="1:15" x14ac:dyDescent="0.25">
      <c r="A3650" s="11">
        <v>46115</v>
      </c>
      <c r="B3650" t="s">
        <v>34</v>
      </c>
      <c r="C3650" t="s">
        <v>18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f t="shared" si="34"/>
        <v>0</v>
      </c>
      <c r="J3650" s="3">
        <f t="shared" si="35"/>
        <v>0</v>
      </c>
      <c r="K3650" s="3">
        <f t="shared" si="36"/>
        <v>0</v>
      </c>
      <c r="L3650" s="3" t="str">
        <f t="shared" si="37"/>
        <v>OPORTUNO</v>
      </c>
      <c r="N3650">
        <v>99.26</v>
      </c>
      <c r="O3650">
        <v>29.57198443579767</v>
      </c>
    </row>
    <row r="3651" spans="1:15" x14ac:dyDescent="0.25">
      <c r="A3651" s="11">
        <v>46115</v>
      </c>
      <c r="B3651" t="s">
        <v>35</v>
      </c>
      <c r="C3651" t="s">
        <v>16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f t="shared" si="34"/>
        <v>0</v>
      </c>
      <c r="J3651" s="3">
        <f t="shared" si="35"/>
        <v>0</v>
      </c>
      <c r="K3651" s="3">
        <f t="shared" si="36"/>
        <v>0</v>
      </c>
      <c r="L3651" s="3" t="str">
        <f t="shared" si="37"/>
        <v>OPORTUNO</v>
      </c>
      <c r="N3651">
        <v>99.19</v>
      </c>
      <c r="O3651">
        <v>29.462365591397852</v>
      </c>
    </row>
    <row r="3652" spans="1:15" x14ac:dyDescent="0.25">
      <c r="A3652" s="5">
        <v>46150</v>
      </c>
      <c r="B3652" s="6" t="s">
        <v>36</v>
      </c>
      <c r="C3652" s="3" t="s">
        <v>20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f t="shared" si="34"/>
        <v>0</v>
      </c>
      <c r="J3652" s="3">
        <f t="shared" si="35"/>
        <v>19</v>
      </c>
      <c r="K3652" s="3">
        <f t="shared" si="36"/>
        <v>-19</v>
      </c>
      <c r="L3652" s="3" t="str">
        <f t="shared" si="37"/>
        <v>CRÍTICO</v>
      </c>
      <c r="M3652" s="9">
        <v>0</v>
      </c>
      <c r="N3652" s="9">
        <v>98.8</v>
      </c>
      <c r="O3652" s="9">
        <v>15.41353383458646</v>
      </c>
    </row>
    <row r="3653" spans="1:15" x14ac:dyDescent="0.25">
      <c r="A3653" s="11">
        <v>46115</v>
      </c>
      <c r="B3653" t="s">
        <v>37</v>
      </c>
      <c r="C3653" t="s">
        <v>16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f t="shared" si="34"/>
        <v>0</v>
      </c>
      <c r="J3653" s="3">
        <f t="shared" si="35"/>
        <v>0</v>
      </c>
      <c r="K3653" s="3">
        <f t="shared" si="36"/>
        <v>0</v>
      </c>
      <c r="L3653" s="3" t="str">
        <f t="shared" si="37"/>
        <v>OPORTUNO</v>
      </c>
      <c r="N3653">
        <v>100</v>
      </c>
      <c r="O3653">
        <v>27.941176470588239</v>
      </c>
    </row>
    <row r="3654" spans="1:15" x14ac:dyDescent="0.25">
      <c r="A3654" s="11">
        <v>46115</v>
      </c>
      <c r="B3654" t="s">
        <v>38</v>
      </c>
      <c r="C3654" t="s">
        <v>18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f t="shared" si="34"/>
        <v>0</v>
      </c>
      <c r="J3654" s="3">
        <f t="shared" si="35"/>
        <v>0</v>
      </c>
      <c r="K3654" s="3">
        <f t="shared" si="36"/>
        <v>0</v>
      </c>
      <c r="L3654" s="3" t="str">
        <f t="shared" si="37"/>
        <v>OPORTUNO</v>
      </c>
      <c r="N3654">
        <v>99.57</v>
      </c>
      <c r="O3654">
        <v>29.913294797687861</v>
      </c>
    </row>
    <row r="3655" spans="1:15" x14ac:dyDescent="0.25">
      <c r="A3655" s="11">
        <v>46115</v>
      </c>
      <c r="B3655" t="s">
        <v>39</v>
      </c>
      <c r="C3655" t="s">
        <v>18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f t="shared" si="34"/>
        <v>0</v>
      </c>
      <c r="J3655" s="3">
        <f t="shared" si="35"/>
        <v>0</v>
      </c>
      <c r="K3655" s="3">
        <f t="shared" si="36"/>
        <v>0</v>
      </c>
      <c r="L3655" s="3" t="str">
        <f t="shared" si="37"/>
        <v>OPORTUNO</v>
      </c>
      <c r="N3655">
        <v>95.65</v>
      </c>
      <c r="O3655">
        <v>31.081081081081081</v>
      </c>
    </row>
    <row r="3656" spans="1:15" x14ac:dyDescent="0.25">
      <c r="A3656" s="11">
        <v>46115</v>
      </c>
      <c r="B3656" t="s">
        <v>40</v>
      </c>
      <c r="C3656" t="s">
        <v>16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f t="shared" si="34"/>
        <v>0</v>
      </c>
      <c r="J3656" s="3">
        <f t="shared" si="35"/>
        <v>0</v>
      </c>
      <c r="K3656" s="3">
        <f t="shared" si="36"/>
        <v>0</v>
      </c>
      <c r="L3656" s="3" t="str">
        <f t="shared" si="37"/>
        <v>OPORTUNO</v>
      </c>
      <c r="N3656">
        <v>98.81</v>
      </c>
      <c r="O3656">
        <v>26.256983240223459</v>
      </c>
    </row>
    <row r="3657" spans="1:15" x14ac:dyDescent="0.25">
      <c r="A3657" s="11">
        <v>46115</v>
      </c>
      <c r="B3657" t="s">
        <v>41</v>
      </c>
      <c r="C3657" t="s">
        <v>18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f t="shared" si="34"/>
        <v>0</v>
      </c>
      <c r="J3657" s="3">
        <f t="shared" si="35"/>
        <v>0</v>
      </c>
      <c r="K3657" s="3">
        <f t="shared" si="36"/>
        <v>0</v>
      </c>
      <c r="L3657" s="3" t="str">
        <f t="shared" si="37"/>
        <v>OPORTUNO</v>
      </c>
      <c r="N3657">
        <v>0</v>
      </c>
      <c r="O3657">
        <v>0</v>
      </c>
    </row>
    <row r="3658" spans="1:15" x14ac:dyDescent="0.25">
      <c r="A3658" s="11">
        <v>46115</v>
      </c>
      <c r="B3658" t="s">
        <v>42</v>
      </c>
      <c r="C3658" t="s">
        <v>43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f t="shared" si="34"/>
        <v>0</v>
      </c>
      <c r="J3658" s="3">
        <f t="shared" si="35"/>
        <v>0</v>
      </c>
      <c r="K3658" s="3">
        <f t="shared" si="36"/>
        <v>0</v>
      </c>
      <c r="L3658" s="3" t="str">
        <f t="shared" si="37"/>
        <v>OPORTUNO</v>
      </c>
      <c r="N3658">
        <v>97.17</v>
      </c>
      <c r="O3658">
        <v>28.81844380403458</v>
      </c>
    </row>
    <row r="3659" spans="1:15" x14ac:dyDescent="0.25">
      <c r="A3659" s="11">
        <v>46115</v>
      </c>
      <c r="B3659" t="s">
        <v>44</v>
      </c>
      <c r="C3659" t="s">
        <v>18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f t="shared" si="34"/>
        <v>0</v>
      </c>
      <c r="J3659" s="3">
        <f t="shared" si="35"/>
        <v>0</v>
      </c>
      <c r="K3659" s="3">
        <f t="shared" si="36"/>
        <v>0</v>
      </c>
      <c r="L3659" s="3" t="str">
        <f t="shared" si="37"/>
        <v>OPORTUNO</v>
      </c>
      <c r="N3659">
        <v>96.81</v>
      </c>
      <c r="O3659">
        <v>48.018648018648022</v>
      </c>
    </row>
    <row r="3660" spans="1:15" x14ac:dyDescent="0.25">
      <c r="A3660" s="11">
        <v>46115</v>
      </c>
      <c r="B3660" t="s">
        <v>45</v>
      </c>
      <c r="C3660" t="s">
        <v>43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f t="shared" si="34"/>
        <v>0</v>
      </c>
      <c r="J3660" s="3">
        <f t="shared" si="35"/>
        <v>0</v>
      </c>
      <c r="K3660" s="3">
        <f t="shared" si="36"/>
        <v>0</v>
      </c>
      <c r="L3660" s="3" t="str">
        <f t="shared" si="37"/>
        <v>OPORTUNO</v>
      </c>
      <c r="N3660">
        <v>98.15</v>
      </c>
      <c r="O3660">
        <v>27.1551724137931</v>
      </c>
    </row>
    <row r="3661" spans="1:15" x14ac:dyDescent="0.25">
      <c r="A3661" s="11">
        <v>46115</v>
      </c>
      <c r="B3661" t="s">
        <v>46</v>
      </c>
      <c r="C3661" t="s">
        <v>18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f t="shared" si="34"/>
        <v>0</v>
      </c>
      <c r="J3661" s="3">
        <f t="shared" si="35"/>
        <v>0</v>
      </c>
      <c r="K3661" s="3">
        <f t="shared" si="36"/>
        <v>0</v>
      </c>
      <c r="L3661" s="3" t="str">
        <f t="shared" si="37"/>
        <v>OPORTUNO</v>
      </c>
      <c r="N3661">
        <v>99.15</v>
      </c>
      <c r="O3661">
        <v>27.370689655172409</v>
      </c>
    </row>
    <row r="3662" spans="1:15" x14ac:dyDescent="0.25">
      <c r="A3662" s="11">
        <v>46115</v>
      </c>
      <c r="B3662" t="s">
        <v>47</v>
      </c>
      <c r="C3662" t="s">
        <v>16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f t="shared" si="34"/>
        <v>0</v>
      </c>
      <c r="J3662" s="3">
        <f t="shared" si="35"/>
        <v>0</v>
      </c>
      <c r="K3662" s="3">
        <f t="shared" si="36"/>
        <v>0</v>
      </c>
      <c r="L3662" s="3" t="str">
        <f t="shared" si="37"/>
        <v>OPORTUNO</v>
      </c>
      <c r="N3662">
        <v>99.17</v>
      </c>
      <c r="O3662">
        <v>29.75206611570248</v>
      </c>
    </row>
    <row r="3663" spans="1:15" x14ac:dyDescent="0.25">
      <c r="A3663" s="11">
        <v>46115</v>
      </c>
      <c r="B3663" t="s">
        <v>48</v>
      </c>
      <c r="C3663" t="s">
        <v>16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f t="shared" si="34"/>
        <v>0</v>
      </c>
      <c r="J3663" s="3">
        <f t="shared" si="35"/>
        <v>0</v>
      </c>
      <c r="K3663" s="3">
        <f t="shared" si="36"/>
        <v>0</v>
      </c>
      <c r="L3663" s="3" t="str">
        <f t="shared" si="37"/>
        <v>OPORTUNO</v>
      </c>
      <c r="N3663">
        <v>98.73</v>
      </c>
      <c r="O3663">
        <v>28.961748633879779</v>
      </c>
    </row>
    <row r="3664" spans="1:15" x14ac:dyDescent="0.25">
      <c r="A3664" s="11">
        <v>46115</v>
      </c>
      <c r="B3664" t="s">
        <v>49</v>
      </c>
      <c r="C3664" t="s">
        <v>18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f t="shared" si="34"/>
        <v>0</v>
      </c>
      <c r="J3664" s="3">
        <f t="shared" si="35"/>
        <v>0</v>
      </c>
      <c r="K3664" s="3">
        <f t="shared" si="36"/>
        <v>0</v>
      </c>
      <c r="L3664" s="3" t="str">
        <f t="shared" si="37"/>
        <v>OPORTUNO</v>
      </c>
      <c r="N3664">
        <v>88.68</v>
      </c>
      <c r="O3664">
        <v>22.03389830508474</v>
      </c>
    </row>
    <row r="3665" spans="1:15" x14ac:dyDescent="0.25">
      <c r="A3665" s="11">
        <v>46115</v>
      </c>
      <c r="B3665" t="s">
        <v>50</v>
      </c>
      <c r="C3665" t="s">
        <v>20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f t="shared" si="34"/>
        <v>0</v>
      </c>
      <c r="J3665" s="3">
        <f t="shared" si="35"/>
        <v>0</v>
      </c>
      <c r="K3665" s="3">
        <f t="shared" si="36"/>
        <v>0</v>
      </c>
      <c r="L3665" s="3" t="str">
        <f t="shared" si="37"/>
        <v>OPORTUNO</v>
      </c>
      <c r="N3665">
        <v>97.37</v>
      </c>
      <c r="O3665">
        <v>25.76530612244898</v>
      </c>
    </row>
    <row r="3666" spans="1:15" x14ac:dyDescent="0.25">
      <c r="A3666" s="11">
        <v>46115</v>
      </c>
      <c r="B3666" t="s">
        <v>51</v>
      </c>
      <c r="C3666" t="s">
        <v>23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f t="shared" si="34"/>
        <v>0</v>
      </c>
      <c r="J3666" s="3">
        <f t="shared" si="35"/>
        <v>0</v>
      </c>
      <c r="K3666" s="3">
        <f t="shared" si="36"/>
        <v>0</v>
      </c>
      <c r="L3666" s="3" t="str">
        <f t="shared" si="37"/>
        <v>OPORTUNO</v>
      </c>
      <c r="N3666">
        <v>100</v>
      </c>
      <c r="O3666">
        <v>25</v>
      </c>
    </row>
    <row r="3667" spans="1:15" x14ac:dyDescent="0.25">
      <c r="A3667" s="11">
        <v>46115</v>
      </c>
      <c r="B3667" t="s">
        <v>52</v>
      </c>
      <c r="C3667" t="s">
        <v>18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f t="shared" si="34"/>
        <v>0</v>
      </c>
      <c r="J3667" s="3">
        <f t="shared" si="35"/>
        <v>0</v>
      </c>
      <c r="K3667" s="3">
        <f t="shared" si="36"/>
        <v>0</v>
      </c>
      <c r="L3667" s="3" t="str">
        <f t="shared" si="37"/>
        <v>OPORTUNO</v>
      </c>
      <c r="N3667">
        <v>100</v>
      </c>
      <c r="O3667">
        <v>23.9870340356564</v>
      </c>
    </row>
    <row r="3668" spans="1:15" x14ac:dyDescent="0.25">
      <c r="A3668" s="11">
        <v>46115</v>
      </c>
      <c r="B3668" t="s">
        <v>53</v>
      </c>
      <c r="C3668" t="s">
        <v>18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f t="shared" si="34"/>
        <v>0</v>
      </c>
      <c r="J3668" s="3">
        <f t="shared" si="35"/>
        <v>0</v>
      </c>
      <c r="K3668" s="3">
        <f t="shared" si="36"/>
        <v>0</v>
      </c>
      <c r="L3668" s="3" t="str">
        <f t="shared" si="37"/>
        <v>OPORTUNO</v>
      </c>
      <c r="N3668">
        <v>95.49</v>
      </c>
      <c r="O3668">
        <v>28.16901408450704</v>
      </c>
    </row>
    <row r="3669" spans="1:15" x14ac:dyDescent="0.25">
      <c r="A3669" s="11">
        <v>46115</v>
      </c>
      <c r="B3669" t="s">
        <v>54</v>
      </c>
      <c r="C3669" t="s">
        <v>23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f t="shared" si="34"/>
        <v>0</v>
      </c>
      <c r="J3669" s="3">
        <f t="shared" si="35"/>
        <v>0</v>
      </c>
      <c r="K3669" s="3">
        <f t="shared" si="36"/>
        <v>0</v>
      </c>
      <c r="L3669" s="3" t="str">
        <f t="shared" si="37"/>
        <v>OPORTUNO</v>
      </c>
      <c r="N3669">
        <v>100</v>
      </c>
      <c r="O3669">
        <v>23.77622377622378</v>
      </c>
    </row>
    <row r="3670" spans="1:15" x14ac:dyDescent="0.25">
      <c r="A3670" s="11">
        <v>46115</v>
      </c>
      <c r="B3670" t="s">
        <v>55</v>
      </c>
      <c r="C3670" t="s">
        <v>43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f t="shared" si="34"/>
        <v>0</v>
      </c>
      <c r="J3670" s="3">
        <f t="shared" si="35"/>
        <v>0</v>
      </c>
      <c r="K3670" s="3">
        <f t="shared" si="36"/>
        <v>0</v>
      </c>
      <c r="L3670" s="3" t="str">
        <f t="shared" si="37"/>
        <v>OPORTUNO</v>
      </c>
      <c r="N3670">
        <v>96.15</v>
      </c>
      <c r="O3670">
        <v>24.045801526717561</v>
      </c>
    </row>
    <row r="3671" spans="1:15" x14ac:dyDescent="0.25">
      <c r="A3671" s="11">
        <v>46115</v>
      </c>
      <c r="B3671" t="s">
        <v>56</v>
      </c>
      <c r="C3671" t="s">
        <v>16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f t="shared" si="34"/>
        <v>0</v>
      </c>
      <c r="J3671" s="3">
        <f t="shared" si="35"/>
        <v>0</v>
      </c>
      <c r="K3671" s="3">
        <f t="shared" si="36"/>
        <v>0</v>
      </c>
      <c r="L3671" s="3" t="str">
        <f t="shared" si="37"/>
        <v>OPORTUNO</v>
      </c>
      <c r="N3671">
        <v>99.02</v>
      </c>
      <c r="O3671">
        <v>34.797297297297298</v>
      </c>
    </row>
    <row r="3672" spans="1:15" x14ac:dyDescent="0.25">
      <c r="A3672" s="11">
        <v>46115</v>
      </c>
      <c r="B3672" t="s">
        <v>57</v>
      </c>
      <c r="C3672" t="s">
        <v>43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f t="shared" si="34"/>
        <v>0</v>
      </c>
      <c r="J3672" s="3">
        <f t="shared" si="35"/>
        <v>0</v>
      </c>
      <c r="K3672" s="3">
        <f t="shared" si="36"/>
        <v>0</v>
      </c>
      <c r="L3672" s="3" t="str">
        <f t="shared" si="37"/>
        <v>OPORTUNO</v>
      </c>
      <c r="N3672">
        <v>98.84</v>
      </c>
      <c r="O3672">
        <v>31.5018315018315</v>
      </c>
    </row>
    <row r="3673" spans="1:15" x14ac:dyDescent="0.25">
      <c r="A3673" s="11">
        <v>46115</v>
      </c>
      <c r="B3673" t="s">
        <v>58</v>
      </c>
      <c r="C3673" t="s">
        <v>43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f t="shared" si="34"/>
        <v>0</v>
      </c>
      <c r="J3673" s="3">
        <f t="shared" si="35"/>
        <v>0</v>
      </c>
      <c r="K3673" s="3">
        <f t="shared" si="36"/>
        <v>0</v>
      </c>
      <c r="L3673" s="3" t="str">
        <f t="shared" si="37"/>
        <v>OPORTUNO</v>
      </c>
      <c r="N3673">
        <v>100</v>
      </c>
      <c r="O3673">
        <v>34.666666666666671</v>
      </c>
    </row>
    <row r="3674" spans="1:15" x14ac:dyDescent="0.25">
      <c r="A3674" s="11">
        <v>46115</v>
      </c>
      <c r="B3674" t="s">
        <v>59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f t="shared" si="34"/>
        <v>0</v>
      </c>
      <c r="J3674" s="3">
        <f t="shared" si="35"/>
        <v>0</v>
      </c>
      <c r="K3674" s="3">
        <f t="shared" si="36"/>
        <v>0</v>
      </c>
      <c r="L3674" s="3" t="str">
        <f t="shared" si="37"/>
        <v>OPORTUNO</v>
      </c>
      <c r="N3674">
        <v>94.12</v>
      </c>
      <c r="O3674">
        <v>32.799999999999997</v>
      </c>
    </row>
    <row r="3675" spans="1:15" x14ac:dyDescent="0.25">
      <c r="A3675" s="11">
        <v>46115</v>
      </c>
      <c r="B3675" t="s">
        <v>60</v>
      </c>
      <c r="C3675" t="s">
        <v>20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f t="shared" ref="I3675:I3738" si="38">E3675+G3675+H3675</f>
        <v>0</v>
      </c>
      <c r="J3675" s="3">
        <f t="shared" ref="J3675:J3738" si="39">ROUND(MIN(IF(C3675="Técnico III",35,IF(C3675="Técnico II",28,IF(C3675="Técnico I",23,IF(C3675="JR",20,IF(C3675="Estágio",10,0))))),IF(C3675="Técnico III",SUMIFS($D:$D,$A:$A,$A3675,$B:$B,"&lt;&gt;Patrícia Karla de Sousa Araújo",$B:$B,"&lt;&gt;Lorena Dias de Araujo",$B:$B,"&lt;&gt;Lucas Luiz Romero")*(35/1083),IF(C3675="Técnico II",SUMIFS($D:$D,$A:$A,$A3675,$B:$B,"&lt;&gt;Patrícia Karla de Sousa Araújo",$B:$B,"&lt;&gt;Lorena Dias de Araujo",$B:$B,"&lt;&gt;Lucas Luiz Romero")*(28/1083),IF(C3675="Técnico I",SUMIFS($D:$D,$A:$A,$A3675,$B:$B,"&lt;&gt;Patrícia Karla de Sousa Araújo",$B:$B,"&lt;&gt;Lorena Dias de Araujo",$B:$B,"&lt;&gt;Lucas Luiz Romero")*(23/1083),IF(C3675="JR",SUMIFS($D:$D,$A:$A,$A3675,$B:$B,"&lt;&gt;Patrícia Karla de Sousa Araújo",$B:$B,"&lt;&gt;Lorena Dias de Araujo",$B:$B,"&lt;&gt;Lucas Luiz Romero")*(20/1083),IF(C3675="Estágio",SUMIFS($D:$D,$A:$A,$A3675,$B:$B,"&lt;&gt;Patrícia Karla de Sousa Araújo",$B:$B,"&lt;&gt;Lorena Dias de Araujo",$B:$B,"&lt;&gt;Lucas Luiz Romero")*(10/1083),0)))))),0)</f>
        <v>0</v>
      </c>
      <c r="K3675" s="3">
        <f t="shared" ref="K3675:K3738" si="40">I3675-J3675</f>
        <v>0</v>
      </c>
      <c r="L3675" s="3" t="str">
        <f t="shared" ref="L3675:L3738" si="41">IF(K3675&lt;-5,"CRÍTICO",IF(K3675&lt;0,"ATENÇÃO",IF(K3675&lt;=5,"OPORTUNO","MUITO BOM")))</f>
        <v>OPORTUNO</v>
      </c>
      <c r="N3675">
        <v>98.32</v>
      </c>
      <c r="O3675">
        <v>26.618705035971221</v>
      </c>
    </row>
    <row r="3676" spans="1:15" x14ac:dyDescent="0.25">
      <c r="A3676" s="11">
        <v>46115</v>
      </c>
      <c r="B3676" t="s">
        <v>61</v>
      </c>
      <c r="C3676" t="s">
        <v>18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f t="shared" si="38"/>
        <v>0</v>
      </c>
      <c r="J3676" s="3">
        <f t="shared" si="39"/>
        <v>0</v>
      </c>
      <c r="K3676" s="3">
        <f t="shared" si="40"/>
        <v>0</v>
      </c>
      <c r="L3676" s="3" t="str">
        <f t="shared" si="41"/>
        <v>OPORTUNO</v>
      </c>
      <c r="N3676">
        <v>100</v>
      </c>
      <c r="O3676">
        <v>31.135531135531139</v>
      </c>
    </row>
    <row r="3677" spans="1:15" x14ac:dyDescent="0.25">
      <c r="A3677" s="11">
        <v>46115</v>
      </c>
      <c r="B3677" t="s">
        <v>62</v>
      </c>
      <c r="C3677" t="s">
        <v>20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f t="shared" si="38"/>
        <v>0</v>
      </c>
      <c r="J3677" s="3">
        <f t="shared" si="39"/>
        <v>0</v>
      </c>
      <c r="K3677" s="3">
        <f t="shared" si="40"/>
        <v>0</v>
      </c>
      <c r="L3677" s="3" t="str">
        <f t="shared" si="41"/>
        <v>OPORTUNO</v>
      </c>
      <c r="N3677">
        <v>100</v>
      </c>
      <c r="O3677">
        <v>26.027397260273968</v>
      </c>
    </row>
    <row r="3678" spans="1:15" x14ac:dyDescent="0.25">
      <c r="A3678" s="11">
        <v>46115</v>
      </c>
      <c r="B3678" t="s">
        <v>63</v>
      </c>
      <c r="C3678" t="s">
        <v>18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f t="shared" si="38"/>
        <v>0</v>
      </c>
      <c r="J3678" s="3">
        <f t="shared" si="39"/>
        <v>0</v>
      </c>
      <c r="K3678" s="3">
        <f t="shared" si="40"/>
        <v>0</v>
      </c>
      <c r="L3678" s="3" t="str">
        <f t="shared" si="41"/>
        <v>OPORTUNO</v>
      </c>
      <c r="N3678">
        <v>99.21</v>
      </c>
      <c r="O3678">
        <v>24.937027707808561</v>
      </c>
    </row>
    <row r="3679" spans="1:15" x14ac:dyDescent="0.25">
      <c r="A3679" s="11">
        <v>46118</v>
      </c>
      <c r="B3679" t="s">
        <v>15</v>
      </c>
      <c r="C3679" t="s">
        <v>16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 t="shared" si="38"/>
        <v>14</v>
      </c>
      <c r="J3679" s="3">
        <f t="shared" si="39"/>
        <v>23</v>
      </c>
      <c r="K3679" s="3">
        <f t="shared" si="40"/>
        <v>-9</v>
      </c>
      <c r="L3679" s="3" t="str">
        <f t="shared" si="41"/>
        <v>CRÍTICO</v>
      </c>
      <c r="N3679">
        <v>100</v>
      </c>
      <c r="O3679">
        <v>32.764505119453922</v>
      </c>
    </row>
    <row r="3680" spans="1:15" x14ac:dyDescent="0.25">
      <c r="A3680" s="11">
        <v>46118</v>
      </c>
      <c r="B3680" t="s">
        <v>17</v>
      </c>
      <c r="C3680" t="s">
        <v>18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f t="shared" si="38"/>
        <v>0</v>
      </c>
      <c r="J3680" s="3">
        <f t="shared" si="39"/>
        <v>29</v>
      </c>
      <c r="K3680" s="3">
        <f t="shared" si="40"/>
        <v>-29</v>
      </c>
      <c r="L3680" s="3" t="str">
        <f t="shared" si="41"/>
        <v>CRÍTICO</v>
      </c>
      <c r="N3680">
        <v>98.66</v>
      </c>
      <c r="O3680">
        <v>35.15625</v>
      </c>
    </row>
    <row r="3681" spans="1:15" x14ac:dyDescent="0.25">
      <c r="A3681" s="11">
        <v>46118</v>
      </c>
      <c r="B3681" t="s">
        <v>19</v>
      </c>
      <c r="C3681" t="s">
        <v>20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si="38"/>
        <v>25</v>
      </c>
      <c r="J3681" s="3">
        <f t="shared" si="39"/>
        <v>19</v>
      </c>
      <c r="K3681" s="3">
        <f t="shared" si="40"/>
        <v>6</v>
      </c>
      <c r="L3681" s="3" t="str">
        <f t="shared" si="41"/>
        <v>MUITO BOM</v>
      </c>
      <c r="N3681">
        <v>99.32</v>
      </c>
      <c r="O3681">
        <v>30.45186640471513</v>
      </c>
    </row>
    <row r="3682" spans="1:15" x14ac:dyDescent="0.25">
      <c r="A3682" s="11">
        <v>46118</v>
      </c>
      <c r="B3682" t="s">
        <v>21</v>
      </c>
      <c r="C3682" t="s">
        <v>18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38"/>
        <v>41</v>
      </c>
      <c r="J3682" s="3">
        <f t="shared" si="39"/>
        <v>29</v>
      </c>
      <c r="K3682" s="3">
        <f t="shared" si="40"/>
        <v>12</v>
      </c>
      <c r="L3682" s="3" t="str">
        <f t="shared" si="41"/>
        <v>MUITO BOM</v>
      </c>
      <c r="N3682">
        <v>100</v>
      </c>
      <c r="O3682">
        <v>27.803738317757009</v>
      </c>
    </row>
    <row r="3683" spans="1:15" x14ac:dyDescent="0.25">
      <c r="A3683" s="11">
        <v>46118</v>
      </c>
      <c r="B3683" t="s">
        <v>22</v>
      </c>
      <c r="C3683" t="s">
        <v>23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38"/>
        <v>21</v>
      </c>
      <c r="J3683" s="3">
        <f t="shared" si="39"/>
        <v>8</v>
      </c>
      <c r="K3683" s="3">
        <f t="shared" si="40"/>
        <v>13</v>
      </c>
      <c r="L3683" s="3" t="str">
        <f t="shared" si="41"/>
        <v>MUITO BOM</v>
      </c>
      <c r="N3683">
        <v>96.74</v>
      </c>
      <c r="O3683">
        <v>28.43137254901961</v>
      </c>
    </row>
    <row r="3684" spans="1:15" x14ac:dyDescent="0.25">
      <c r="A3684" s="11">
        <v>46118</v>
      </c>
      <c r="B3684" t="s">
        <v>24</v>
      </c>
      <c r="C3684" t="s">
        <v>16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38"/>
        <v>36</v>
      </c>
      <c r="J3684" s="3">
        <f t="shared" si="39"/>
        <v>23</v>
      </c>
      <c r="K3684" s="3">
        <f t="shared" si="40"/>
        <v>13</v>
      </c>
      <c r="L3684" s="3" t="str">
        <f t="shared" si="41"/>
        <v>MUITO BOM</v>
      </c>
      <c r="N3684">
        <v>98.82</v>
      </c>
      <c r="O3684">
        <v>30.741410488245929</v>
      </c>
    </row>
    <row r="3685" spans="1:15" x14ac:dyDescent="0.25">
      <c r="A3685" s="11">
        <v>46118</v>
      </c>
      <c r="B3685" t="s">
        <v>25</v>
      </c>
      <c r="C3685" t="s">
        <v>16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38"/>
        <v>31</v>
      </c>
      <c r="J3685" s="3">
        <f t="shared" si="39"/>
        <v>23</v>
      </c>
      <c r="K3685" s="3">
        <f t="shared" si="40"/>
        <v>8</v>
      </c>
      <c r="L3685" s="3" t="str">
        <f t="shared" si="41"/>
        <v>MUITO BOM</v>
      </c>
      <c r="N3685">
        <v>98.2</v>
      </c>
      <c r="O3685">
        <v>26.890756302521009</v>
      </c>
    </row>
    <row r="3686" spans="1:15" x14ac:dyDescent="0.25">
      <c r="A3686" s="11">
        <v>46118</v>
      </c>
      <c r="B3686" t="s">
        <v>26</v>
      </c>
      <c r="C3686" t="s">
        <v>23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38"/>
        <v>11</v>
      </c>
      <c r="J3686" s="3">
        <f t="shared" si="39"/>
        <v>8</v>
      </c>
      <c r="K3686" s="3">
        <f t="shared" si="40"/>
        <v>3</v>
      </c>
      <c r="L3686" s="3" t="str">
        <f t="shared" si="41"/>
        <v>OPORTUNO</v>
      </c>
      <c r="N3686">
        <v>100</v>
      </c>
      <c r="O3686">
        <v>23.134328358208951</v>
      </c>
    </row>
    <row r="3687" spans="1:15" x14ac:dyDescent="0.25">
      <c r="A3687" s="11">
        <v>46118</v>
      </c>
      <c r="B3687" t="s">
        <v>27</v>
      </c>
      <c r="C3687" t="s">
        <v>20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38"/>
        <v>32</v>
      </c>
      <c r="J3687" s="3">
        <f t="shared" si="39"/>
        <v>19</v>
      </c>
      <c r="K3687" s="3">
        <f t="shared" si="40"/>
        <v>13</v>
      </c>
      <c r="L3687" s="3" t="str">
        <f t="shared" si="41"/>
        <v>MUITO BOM</v>
      </c>
      <c r="N3687">
        <v>96.3</v>
      </c>
      <c r="O3687">
        <v>31.980906921241051</v>
      </c>
    </row>
    <row r="3688" spans="1:15" x14ac:dyDescent="0.25">
      <c r="A3688" s="11">
        <v>46118</v>
      </c>
      <c r="B3688" t="s">
        <v>28</v>
      </c>
      <c r="C3688" t="s">
        <v>18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38"/>
        <v>34</v>
      </c>
      <c r="J3688" s="3">
        <f t="shared" si="39"/>
        <v>29</v>
      </c>
      <c r="K3688" s="3">
        <f t="shared" si="40"/>
        <v>5</v>
      </c>
      <c r="L3688" s="3" t="str">
        <f t="shared" si="41"/>
        <v>OPORTUNO</v>
      </c>
      <c r="N3688">
        <v>93.75</v>
      </c>
      <c r="O3688">
        <v>26.628352490421459</v>
      </c>
    </row>
    <row r="3689" spans="1:15" x14ac:dyDescent="0.25">
      <c r="A3689" s="11">
        <v>46118</v>
      </c>
      <c r="B3689" t="s">
        <v>29</v>
      </c>
      <c r="C3689" t="s">
        <v>16</v>
      </c>
      <c r="D3689">
        <v>0</v>
      </c>
      <c r="E3689">
        <v>0</v>
      </c>
      <c r="F3689">
        <v>0</v>
      </c>
      <c r="G3689">
        <v>0</v>
      </c>
      <c r="H3689">
        <v>0</v>
      </c>
      <c r="I3689" s="3">
        <f t="shared" si="38"/>
        <v>0</v>
      </c>
      <c r="J3689" s="3">
        <f t="shared" si="39"/>
        <v>23</v>
      </c>
      <c r="K3689" s="3">
        <f t="shared" si="40"/>
        <v>-23</v>
      </c>
      <c r="L3689" s="3" t="str">
        <f t="shared" si="41"/>
        <v>CRÍTICO</v>
      </c>
      <c r="N3689">
        <v>97.86</v>
      </c>
      <c r="O3689">
        <v>31.018518518518519</v>
      </c>
    </row>
    <row r="3690" spans="1:15" x14ac:dyDescent="0.25">
      <c r="A3690" s="11">
        <v>46118</v>
      </c>
      <c r="B3690" t="s">
        <v>30</v>
      </c>
      <c r="C3690" t="s">
        <v>20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 t="shared" si="38"/>
        <v>22</v>
      </c>
      <c r="J3690" s="3">
        <f t="shared" si="39"/>
        <v>19</v>
      </c>
      <c r="K3690" s="3">
        <f t="shared" si="40"/>
        <v>3</v>
      </c>
      <c r="L3690" s="3" t="str">
        <f t="shared" si="41"/>
        <v>OPORTUNO</v>
      </c>
      <c r="N3690">
        <v>100</v>
      </c>
      <c r="O3690">
        <v>36.231884057971023</v>
      </c>
    </row>
    <row r="3691" spans="1:15" x14ac:dyDescent="0.25">
      <c r="A3691" s="11">
        <v>46118</v>
      </c>
      <c r="B3691" t="s">
        <v>31</v>
      </c>
      <c r="C3691" t="s">
        <v>18</v>
      </c>
      <c r="D3691">
        <v>0</v>
      </c>
      <c r="E3691">
        <v>0</v>
      </c>
      <c r="F3691">
        <v>0</v>
      </c>
      <c r="G3691">
        <v>0</v>
      </c>
      <c r="H3691">
        <v>0</v>
      </c>
      <c r="I3691" s="3">
        <f t="shared" si="38"/>
        <v>0</v>
      </c>
      <c r="J3691" s="3">
        <f t="shared" si="39"/>
        <v>29</v>
      </c>
      <c r="K3691" s="3">
        <f t="shared" si="40"/>
        <v>-29</v>
      </c>
      <c r="L3691" s="3" t="str">
        <f t="shared" si="41"/>
        <v>CRÍTICO</v>
      </c>
      <c r="N3691">
        <v>100</v>
      </c>
      <c r="O3691">
        <v>38.269230769230766</v>
      </c>
    </row>
    <row r="3692" spans="1:15" x14ac:dyDescent="0.25">
      <c r="A3692" s="11">
        <v>46118</v>
      </c>
      <c r="B3692" t="s">
        <v>32</v>
      </c>
      <c r="C3692" t="s">
        <v>23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 t="shared" si="38"/>
        <v>8</v>
      </c>
      <c r="J3692" s="3">
        <f t="shared" si="39"/>
        <v>8</v>
      </c>
      <c r="K3692" s="3">
        <f t="shared" si="40"/>
        <v>0</v>
      </c>
      <c r="L3692" s="3" t="str">
        <f t="shared" si="41"/>
        <v>OPORTUNO</v>
      </c>
      <c r="N3692">
        <v>100</v>
      </c>
      <c r="O3692">
        <v>27.368421052631579</v>
      </c>
    </row>
    <row r="3693" spans="1:15" x14ac:dyDescent="0.25">
      <c r="A3693" s="11">
        <v>46118</v>
      </c>
      <c r="B3693" t="s">
        <v>33</v>
      </c>
      <c r="C3693" t="s">
        <v>16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 t="shared" si="38"/>
        <v>33</v>
      </c>
      <c r="J3693" s="3">
        <f t="shared" si="39"/>
        <v>23</v>
      </c>
      <c r="K3693" s="3">
        <f t="shared" si="40"/>
        <v>10</v>
      </c>
      <c r="L3693" s="3" t="str">
        <f t="shared" si="41"/>
        <v>MUITO BOM</v>
      </c>
      <c r="N3693">
        <v>97.83</v>
      </c>
      <c r="O3693">
        <v>28.131868131868131</v>
      </c>
    </row>
    <row r="3694" spans="1:15" x14ac:dyDescent="0.25">
      <c r="A3694" s="11">
        <v>46118</v>
      </c>
      <c r="B3694" t="s">
        <v>34</v>
      </c>
      <c r="C3694" t="s">
        <v>18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 t="shared" si="38"/>
        <v>28</v>
      </c>
      <c r="J3694" s="3">
        <f t="shared" si="39"/>
        <v>29</v>
      </c>
      <c r="K3694" s="3">
        <f t="shared" si="40"/>
        <v>-1</v>
      </c>
      <c r="L3694" s="3" t="str">
        <f t="shared" si="41"/>
        <v>ATENÇÃO</v>
      </c>
      <c r="N3694">
        <v>99.26</v>
      </c>
      <c r="O3694">
        <v>29.57198443579767</v>
      </c>
    </row>
    <row r="3695" spans="1:15" x14ac:dyDescent="0.25">
      <c r="A3695" s="11">
        <v>46118</v>
      </c>
      <c r="B3695" t="s">
        <v>35</v>
      </c>
      <c r="C3695" t="s">
        <v>16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 t="shared" si="38"/>
        <v>30</v>
      </c>
      <c r="J3695" s="3">
        <f t="shared" si="39"/>
        <v>23</v>
      </c>
      <c r="K3695" s="3">
        <f t="shared" si="40"/>
        <v>7</v>
      </c>
      <c r="L3695" s="3" t="str">
        <f t="shared" si="41"/>
        <v>MUITO BOM</v>
      </c>
      <c r="N3695">
        <v>99.19</v>
      </c>
      <c r="O3695">
        <v>29.462365591397852</v>
      </c>
    </row>
    <row r="3696" spans="1:15" x14ac:dyDescent="0.25">
      <c r="A3696" s="5">
        <v>46153</v>
      </c>
      <c r="B3696" s="6" t="s">
        <v>36</v>
      </c>
      <c r="C3696" s="3" t="s">
        <v>20</v>
      </c>
      <c r="D3696" s="3">
        <v>25</v>
      </c>
      <c r="E3696" s="3">
        <v>22</v>
      </c>
      <c r="G3696" s="3">
        <v>5</v>
      </c>
      <c r="H3696" s="3">
        <v>0</v>
      </c>
      <c r="I3696" s="3">
        <f t="shared" si="38"/>
        <v>27</v>
      </c>
      <c r="J3696" s="3">
        <f t="shared" si="39"/>
        <v>20</v>
      </c>
      <c r="K3696" s="3">
        <f t="shared" si="40"/>
        <v>7</v>
      </c>
      <c r="L3696" s="3" t="str">
        <f t="shared" si="41"/>
        <v>MUITO BOM</v>
      </c>
      <c r="M3696">
        <v>23</v>
      </c>
      <c r="N3696">
        <v>98.8</v>
      </c>
      <c r="O3696">
        <v>15.41353383458646</v>
      </c>
    </row>
    <row r="3697" spans="1:15" x14ac:dyDescent="0.25">
      <c r="A3697" s="11">
        <v>46118</v>
      </c>
      <c r="B3697" t="s">
        <v>37</v>
      </c>
      <c r="C3697" t="s">
        <v>16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f t="shared" si="38"/>
        <v>0</v>
      </c>
      <c r="J3697" s="3">
        <f t="shared" si="39"/>
        <v>23</v>
      </c>
      <c r="K3697" s="3">
        <f t="shared" si="40"/>
        <v>-23</v>
      </c>
      <c r="L3697" s="3" t="str">
        <f t="shared" si="41"/>
        <v>CRÍTICO</v>
      </c>
      <c r="N3697">
        <v>100</v>
      </c>
      <c r="O3697">
        <v>27.941176470588239</v>
      </c>
    </row>
    <row r="3698" spans="1:15" x14ac:dyDescent="0.25">
      <c r="A3698" s="11">
        <v>46118</v>
      </c>
      <c r="B3698" t="s">
        <v>38</v>
      </c>
      <c r="C3698" t="s">
        <v>18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 t="shared" si="38"/>
        <v>46</v>
      </c>
      <c r="J3698" s="3">
        <f t="shared" si="39"/>
        <v>29</v>
      </c>
      <c r="K3698" s="3">
        <f t="shared" si="40"/>
        <v>17</v>
      </c>
      <c r="L3698" s="3" t="str">
        <f t="shared" si="41"/>
        <v>MUITO BOM</v>
      </c>
      <c r="N3698">
        <v>99.57</v>
      </c>
      <c r="O3698">
        <v>29.913294797687861</v>
      </c>
    </row>
    <row r="3699" spans="1:15" x14ac:dyDescent="0.25">
      <c r="A3699" s="11">
        <v>46118</v>
      </c>
      <c r="B3699" t="s">
        <v>39</v>
      </c>
      <c r="C3699" t="s">
        <v>18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f t="shared" si="38"/>
        <v>0</v>
      </c>
      <c r="J3699" s="3">
        <f t="shared" si="39"/>
        <v>29</v>
      </c>
      <c r="K3699" s="3">
        <f t="shared" si="40"/>
        <v>-29</v>
      </c>
      <c r="L3699" s="3" t="str">
        <f t="shared" si="41"/>
        <v>CRÍTICO</v>
      </c>
      <c r="N3699">
        <v>95.65</v>
      </c>
      <c r="O3699">
        <v>31.081081081081081</v>
      </c>
    </row>
    <row r="3700" spans="1:15" x14ac:dyDescent="0.25">
      <c r="A3700" s="11">
        <v>46118</v>
      </c>
      <c r="B3700" t="s">
        <v>40</v>
      </c>
      <c r="C3700" t="s">
        <v>16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 t="shared" si="38"/>
        <v>12</v>
      </c>
      <c r="J3700" s="3">
        <f t="shared" si="39"/>
        <v>23</v>
      </c>
      <c r="K3700" s="3">
        <f t="shared" si="40"/>
        <v>-11</v>
      </c>
      <c r="L3700" s="3" t="str">
        <f t="shared" si="41"/>
        <v>CRÍTICO</v>
      </c>
      <c r="N3700">
        <v>98.81</v>
      </c>
      <c r="O3700">
        <v>26.256983240223459</v>
      </c>
    </row>
    <row r="3701" spans="1:15" x14ac:dyDescent="0.25">
      <c r="A3701" s="11">
        <v>46118</v>
      </c>
      <c r="B3701" t="s">
        <v>41</v>
      </c>
      <c r="C3701" t="s">
        <v>18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f t="shared" si="38"/>
        <v>0</v>
      </c>
      <c r="J3701" s="3">
        <f t="shared" si="39"/>
        <v>29</v>
      </c>
      <c r="K3701" s="3">
        <f t="shared" si="40"/>
        <v>-29</v>
      </c>
      <c r="L3701" s="3" t="str">
        <f t="shared" si="41"/>
        <v>CRÍTICO</v>
      </c>
      <c r="N3701">
        <v>0</v>
      </c>
      <c r="O3701">
        <v>0</v>
      </c>
    </row>
    <row r="3702" spans="1:15" x14ac:dyDescent="0.25">
      <c r="A3702" s="11">
        <v>46118</v>
      </c>
      <c r="B3702" t="s">
        <v>42</v>
      </c>
      <c r="C3702" t="s">
        <v>43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 t="shared" si="38"/>
        <v>17</v>
      </c>
      <c r="J3702" s="3">
        <f t="shared" si="39"/>
        <v>17</v>
      </c>
      <c r="K3702" s="3">
        <f t="shared" si="40"/>
        <v>0</v>
      </c>
      <c r="L3702" s="3" t="str">
        <f t="shared" si="41"/>
        <v>OPORTUNO</v>
      </c>
      <c r="N3702">
        <v>97.17</v>
      </c>
      <c r="O3702">
        <v>28.81844380403458</v>
      </c>
    </row>
    <row r="3703" spans="1:15" x14ac:dyDescent="0.25">
      <c r="A3703" s="11">
        <v>46118</v>
      </c>
      <c r="B3703" t="s">
        <v>44</v>
      </c>
      <c r="C3703" t="s">
        <v>18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 t="shared" si="38"/>
        <v>9</v>
      </c>
      <c r="J3703" s="3">
        <f t="shared" si="39"/>
        <v>29</v>
      </c>
      <c r="K3703" s="3">
        <f t="shared" si="40"/>
        <v>-20</v>
      </c>
      <c r="L3703" s="3" t="str">
        <f t="shared" si="41"/>
        <v>CRÍTICO</v>
      </c>
      <c r="N3703">
        <v>96.81</v>
      </c>
      <c r="O3703">
        <v>48.018648018648022</v>
      </c>
    </row>
    <row r="3704" spans="1:15" x14ac:dyDescent="0.25">
      <c r="A3704" s="11">
        <v>46118</v>
      </c>
      <c r="B3704" t="s">
        <v>45</v>
      </c>
      <c r="C3704" t="s">
        <v>43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 t="shared" si="38"/>
        <v>12</v>
      </c>
      <c r="J3704" s="3">
        <f t="shared" si="39"/>
        <v>17</v>
      </c>
      <c r="K3704" s="3">
        <f t="shared" si="40"/>
        <v>-5</v>
      </c>
      <c r="L3704" s="3" t="str">
        <f t="shared" si="41"/>
        <v>ATENÇÃO</v>
      </c>
      <c r="N3704">
        <v>98.15</v>
      </c>
      <c r="O3704">
        <v>27.1551724137931</v>
      </c>
    </row>
    <row r="3705" spans="1:15" x14ac:dyDescent="0.25">
      <c r="A3705" s="11">
        <v>46118</v>
      </c>
      <c r="B3705" t="s">
        <v>46</v>
      </c>
      <c r="C3705" t="s">
        <v>18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 t="shared" si="38"/>
        <v>29</v>
      </c>
      <c r="J3705" s="3">
        <f t="shared" si="39"/>
        <v>29</v>
      </c>
      <c r="K3705" s="3">
        <f t="shared" si="40"/>
        <v>0</v>
      </c>
      <c r="L3705" s="3" t="str">
        <f t="shared" si="41"/>
        <v>OPORTUNO</v>
      </c>
      <c r="N3705">
        <v>99.15</v>
      </c>
      <c r="O3705">
        <v>27.370689655172409</v>
      </c>
    </row>
    <row r="3706" spans="1:15" x14ac:dyDescent="0.25">
      <c r="A3706" s="11">
        <v>46118</v>
      </c>
      <c r="B3706" t="s">
        <v>47</v>
      </c>
      <c r="C3706" t="s">
        <v>16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 t="shared" si="38"/>
        <v>23</v>
      </c>
      <c r="J3706" s="3">
        <f t="shared" si="39"/>
        <v>23</v>
      </c>
      <c r="K3706" s="3">
        <f t="shared" si="40"/>
        <v>0</v>
      </c>
      <c r="L3706" s="3" t="str">
        <f t="shared" si="41"/>
        <v>OPORTUNO</v>
      </c>
      <c r="N3706">
        <v>99.17</v>
      </c>
      <c r="O3706">
        <v>29.75206611570248</v>
      </c>
    </row>
    <row r="3707" spans="1:15" x14ac:dyDescent="0.25">
      <c r="A3707" s="11">
        <v>46118</v>
      </c>
      <c r="B3707" t="s">
        <v>48</v>
      </c>
      <c r="C3707" t="s">
        <v>16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f t="shared" si="38"/>
        <v>0</v>
      </c>
      <c r="J3707" s="3">
        <f t="shared" si="39"/>
        <v>23</v>
      </c>
      <c r="K3707" s="3">
        <f t="shared" si="40"/>
        <v>-23</v>
      </c>
      <c r="L3707" s="3" t="str">
        <f t="shared" si="41"/>
        <v>CRÍTICO</v>
      </c>
      <c r="N3707">
        <v>98.73</v>
      </c>
      <c r="O3707">
        <v>28.961748633879779</v>
      </c>
    </row>
    <row r="3708" spans="1:15" x14ac:dyDescent="0.25">
      <c r="A3708" s="11">
        <v>46118</v>
      </c>
      <c r="B3708" t="s">
        <v>49</v>
      </c>
      <c r="C3708" t="s">
        <v>18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f t="shared" si="38"/>
        <v>0</v>
      </c>
      <c r="J3708" s="3">
        <f t="shared" si="39"/>
        <v>29</v>
      </c>
      <c r="K3708" s="3">
        <f t="shared" si="40"/>
        <v>-29</v>
      </c>
      <c r="L3708" s="3" t="str">
        <f t="shared" si="41"/>
        <v>CRÍTICO</v>
      </c>
      <c r="N3708">
        <v>88.68</v>
      </c>
      <c r="O3708">
        <v>22.03389830508474</v>
      </c>
    </row>
    <row r="3709" spans="1:15" x14ac:dyDescent="0.25">
      <c r="A3709" s="11">
        <v>46118</v>
      </c>
      <c r="B3709" t="s">
        <v>50</v>
      </c>
      <c r="C3709" t="s">
        <v>20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si="38"/>
        <v>23</v>
      </c>
      <c r="J3709" s="3">
        <f t="shared" si="39"/>
        <v>19</v>
      </c>
      <c r="K3709" s="3">
        <f t="shared" si="40"/>
        <v>4</v>
      </c>
      <c r="L3709" s="3" t="str">
        <f t="shared" si="41"/>
        <v>OPORTUNO</v>
      </c>
      <c r="N3709">
        <v>97.37</v>
      </c>
      <c r="O3709">
        <v>25.76530612244898</v>
      </c>
    </row>
    <row r="3710" spans="1:15" x14ac:dyDescent="0.25">
      <c r="A3710" s="11">
        <v>46118</v>
      </c>
      <c r="B3710" t="s">
        <v>51</v>
      </c>
      <c r="C3710" t="s">
        <v>23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38"/>
        <v>10</v>
      </c>
      <c r="J3710" s="3">
        <f t="shared" si="39"/>
        <v>8</v>
      </c>
      <c r="K3710" s="3">
        <f t="shared" si="40"/>
        <v>2</v>
      </c>
      <c r="L3710" s="3" t="str">
        <f t="shared" si="41"/>
        <v>OPORTUNO</v>
      </c>
      <c r="N3710">
        <v>100</v>
      </c>
      <c r="O3710">
        <v>25</v>
      </c>
    </row>
    <row r="3711" spans="1:15" x14ac:dyDescent="0.25">
      <c r="A3711" s="11">
        <v>46118</v>
      </c>
      <c r="B3711" t="s">
        <v>52</v>
      </c>
      <c r="C3711" t="s">
        <v>18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38"/>
        <v>42</v>
      </c>
      <c r="J3711" s="3">
        <f t="shared" si="39"/>
        <v>29</v>
      </c>
      <c r="K3711" s="3">
        <f t="shared" si="40"/>
        <v>13</v>
      </c>
      <c r="L3711" s="3" t="str">
        <f t="shared" si="41"/>
        <v>MUITO BOM</v>
      </c>
      <c r="N3711">
        <v>100</v>
      </c>
      <c r="O3711">
        <v>23.9870340356564</v>
      </c>
    </row>
    <row r="3712" spans="1:15" x14ac:dyDescent="0.25">
      <c r="A3712" s="11">
        <v>46118</v>
      </c>
      <c r="B3712" t="s">
        <v>53</v>
      </c>
      <c r="C3712" t="s">
        <v>18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38"/>
        <v>25</v>
      </c>
      <c r="J3712" s="3">
        <f t="shared" si="39"/>
        <v>29</v>
      </c>
      <c r="K3712" s="3">
        <f t="shared" si="40"/>
        <v>-4</v>
      </c>
      <c r="L3712" s="3" t="str">
        <f t="shared" si="41"/>
        <v>ATENÇÃO</v>
      </c>
      <c r="N3712">
        <v>95.49</v>
      </c>
      <c r="O3712">
        <v>28.16901408450704</v>
      </c>
    </row>
    <row r="3713" spans="1:15" x14ac:dyDescent="0.25">
      <c r="A3713" s="11">
        <v>46118</v>
      </c>
      <c r="B3713" t="s">
        <v>54</v>
      </c>
      <c r="C3713" t="s">
        <v>23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38"/>
        <v>5</v>
      </c>
      <c r="J3713" s="3">
        <f t="shared" si="39"/>
        <v>8</v>
      </c>
      <c r="K3713" s="3">
        <f t="shared" si="40"/>
        <v>-3</v>
      </c>
      <c r="L3713" s="3" t="str">
        <f t="shared" si="41"/>
        <v>ATENÇÃO</v>
      </c>
      <c r="N3713">
        <v>100</v>
      </c>
      <c r="O3713">
        <v>23.77622377622378</v>
      </c>
    </row>
    <row r="3714" spans="1:15" x14ac:dyDescent="0.25">
      <c r="A3714" s="11">
        <v>46118</v>
      </c>
      <c r="B3714" t="s">
        <v>55</v>
      </c>
      <c r="C3714" t="s">
        <v>43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38"/>
        <v>23</v>
      </c>
      <c r="J3714" s="3">
        <f t="shared" si="39"/>
        <v>17</v>
      </c>
      <c r="K3714" s="3">
        <f t="shared" si="40"/>
        <v>6</v>
      </c>
      <c r="L3714" s="3" t="str">
        <f t="shared" si="41"/>
        <v>MUITO BOM</v>
      </c>
      <c r="N3714">
        <v>96.15</v>
      </c>
      <c r="O3714">
        <v>24.045801526717561</v>
      </c>
    </row>
    <row r="3715" spans="1:15" x14ac:dyDescent="0.25">
      <c r="A3715" s="11">
        <v>46118</v>
      </c>
      <c r="B3715" t="s">
        <v>56</v>
      </c>
      <c r="C3715" t="s">
        <v>16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38"/>
        <v>27</v>
      </c>
      <c r="J3715" s="3">
        <f t="shared" si="39"/>
        <v>23</v>
      </c>
      <c r="K3715" s="3">
        <f t="shared" si="40"/>
        <v>4</v>
      </c>
      <c r="L3715" s="3" t="str">
        <f t="shared" si="41"/>
        <v>OPORTUNO</v>
      </c>
      <c r="N3715">
        <v>99.02</v>
      </c>
      <c r="O3715">
        <v>34.797297297297298</v>
      </c>
    </row>
    <row r="3716" spans="1:15" x14ac:dyDescent="0.25">
      <c r="A3716" s="11">
        <v>46118</v>
      </c>
      <c r="B3716" t="s">
        <v>57</v>
      </c>
      <c r="C3716" t="s">
        <v>43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38"/>
        <v>17</v>
      </c>
      <c r="J3716" s="3">
        <f t="shared" si="39"/>
        <v>17</v>
      </c>
      <c r="K3716" s="3">
        <f t="shared" si="40"/>
        <v>0</v>
      </c>
      <c r="L3716" s="3" t="str">
        <f t="shared" si="41"/>
        <v>OPORTUNO</v>
      </c>
      <c r="N3716">
        <v>98.84</v>
      </c>
      <c r="O3716">
        <v>31.5018315018315</v>
      </c>
    </row>
    <row r="3717" spans="1:15" x14ac:dyDescent="0.25">
      <c r="A3717" s="11">
        <v>46118</v>
      </c>
      <c r="B3717" t="s">
        <v>58</v>
      </c>
      <c r="C3717" t="s">
        <v>43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38"/>
        <v>20</v>
      </c>
      <c r="J3717" s="3">
        <f t="shared" si="39"/>
        <v>17</v>
      </c>
      <c r="K3717" s="3">
        <f t="shared" si="40"/>
        <v>3</v>
      </c>
      <c r="L3717" s="3" t="str">
        <f t="shared" si="41"/>
        <v>OPORTUNO</v>
      </c>
      <c r="N3717">
        <v>100</v>
      </c>
      <c r="O3717">
        <v>34.666666666666671</v>
      </c>
    </row>
    <row r="3718" spans="1:15" x14ac:dyDescent="0.25">
      <c r="A3718" s="11">
        <v>46118</v>
      </c>
      <c r="B3718" t="s">
        <v>59</v>
      </c>
      <c r="C3718" t="s">
        <v>23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38"/>
        <v>9</v>
      </c>
      <c r="J3718" s="3">
        <f t="shared" si="39"/>
        <v>8</v>
      </c>
      <c r="K3718" s="3">
        <f t="shared" si="40"/>
        <v>1</v>
      </c>
      <c r="L3718" s="3" t="str">
        <f t="shared" si="41"/>
        <v>OPORTUNO</v>
      </c>
      <c r="N3718">
        <v>94.12</v>
      </c>
      <c r="O3718">
        <v>32.799999999999997</v>
      </c>
    </row>
    <row r="3719" spans="1:15" x14ac:dyDescent="0.25">
      <c r="A3719" s="11">
        <v>46118</v>
      </c>
      <c r="B3719" t="s">
        <v>60</v>
      </c>
      <c r="C3719" t="s">
        <v>20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38"/>
        <v>20</v>
      </c>
      <c r="J3719" s="3">
        <f t="shared" si="39"/>
        <v>19</v>
      </c>
      <c r="K3719" s="3">
        <f t="shared" si="40"/>
        <v>1</v>
      </c>
      <c r="L3719" s="3" t="str">
        <f t="shared" si="41"/>
        <v>OPORTUNO</v>
      </c>
      <c r="N3719">
        <v>98.32</v>
      </c>
      <c r="O3719">
        <v>26.618705035971221</v>
      </c>
    </row>
    <row r="3720" spans="1:15" x14ac:dyDescent="0.25">
      <c r="A3720" s="11">
        <v>46118</v>
      </c>
      <c r="B3720" t="s">
        <v>61</v>
      </c>
      <c r="C3720" t="s">
        <v>18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38"/>
        <v>37</v>
      </c>
      <c r="J3720" s="3">
        <f t="shared" si="39"/>
        <v>29</v>
      </c>
      <c r="K3720" s="3">
        <f t="shared" si="40"/>
        <v>8</v>
      </c>
      <c r="L3720" s="3" t="str">
        <f t="shared" si="41"/>
        <v>MUITO BOM</v>
      </c>
      <c r="N3720">
        <v>100</v>
      </c>
      <c r="O3720">
        <v>31.135531135531139</v>
      </c>
    </row>
    <row r="3721" spans="1:15" x14ac:dyDescent="0.25">
      <c r="A3721" s="11">
        <v>46118</v>
      </c>
      <c r="B3721" t="s">
        <v>62</v>
      </c>
      <c r="C3721" t="s">
        <v>20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38"/>
        <v>17</v>
      </c>
      <c r="J3721" s="3">
        <f t="shared" si="39"/>
        <v>19</v>
      </c>
      <c r="K3721" s="3">
        <f t="shared" si="40"/>
        <v>-2</v>
      </c>
      <c r="L3721" s="3" t="str">
        <f t="shared" si="41"/>
        <v>ATENÇÃO</v>
      </c>
      <c r="N3721">
        <v>100</v>
      </c>
      <c r="O3721">
        <v>26.027397260273968</v>
      </c>
    </row>
    <row r="3722" spans="1:15" x14ac:dyDescent="0.25">
      <c r="A3722" s="11">
        <v>46118</v>
      </c>
      <c r="B3722" t="s">
        <v>63</v>
      </c>
      <c r="C3722" t="s">
        <v>18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38"/>
        <v>28</v>
      </c>
      <c r="J3722" s="3">
        <f t="shared" si="39"/>
        <v>29</v>
      </c>
      <c r="K3722" s="3">
        <f t="shared" si="40"/>
        <v>-1</v>
      </c>
      <c r="L3722" s="3" t="str">
        <f t="shared" si="41"/>
        <v>ATENÇÃO</v>
      </c>
      <c r="N3722">
        <v>99.21</v>
      </c>
      <c r="O3722">
        <v>24.937027707808561</v>
      </c>
    </row>
    <row r="3723" spans="1:15" x14ac:dyDescent="0.25">
      <c r="A3723" s="11">
        <v>46119</v>
      </c>
      <c r="B3723" t="s">
        <v>15</v>
      </c>
      <c r="C3723" t="s">
        <v>16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38"/>
        <v>6</v>
      </c>
      <c r="J3723" s="3">
        <f t="shared" si="39"/>
        <v>23</v>
      </c>
      <c r="K3723" s="3">
        <f t="shared" si="40"/>
        <v>-17</v>
      </c>
      <c r="L3723" s="3" t="str">
        <f t="shared" si="41"/>
        <v>CRÍTICO</v>
      </c>
      <c r="N3723">
        <v>100</v>
      </c>
      <c r="O3723">
        <v>32.764505119453922</v>
      </c>
    </row>
    <row r="3724" spans="1:15" x14ac:dyDescent="0.25">
      <c r="A3724" s="11">
        <v>46119</v>
      </c>
      <c r="B3724" t="s">
        <v>17</v>
      </c>
      <c r="C3724" t="s">
        <v>18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f t="shared" si="38"/>
        <v>0</v>
      </c>
      <c r="J3724" s="3">
        <f t="shared" si="39"/>
        <v>29</v>
      </c>
      <c r="K3724" s="3">
        <f t="shared" si="40"/>
        <v>-29</v>
      </c>
      <c r="L3724" s="3" t="str">
        <f t="shared" si="41"/>
        <v>CRÍTICO</v>
      </c>
      <c r="N3724">
        <v>98.66</v>
      </c>
      <c r="O3724">
        <v>35.15625</v>
      </c>
    </row>
    <row r="3725" spans="1:15" x14ac:dyDescent="0.25">
      <c r="A3725" s="11">
        <v>46119</v>
      </c>
      <c r="B3725" t="s">
        <v>19</v>
      </c>
      <c r="C3725" t="s">
        <v>20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si="38"/>
        <v>33</v>
      </c>
      <c r="J3725" s="3">
        <f t="shared" si="39"/>
        <v>19</v>
      </c>
      <c r="K3725" s="3">
        <f t="shared" si="40"/>
        <v>14</v>
      </c>
      <c r="L3725" s="3" t="str">
        <f t="shared" si="41"/>
        <v>MUITO BOM</v>
      </c>
      <c r="N3725">
        <v>99.32</v>
      </c>
      <c r="O3725">
        <v>30.45186640471513</v>
      </c>
    </row>
    <row r="3726" spans="1:15" x14ac:dyDescent="0.25">
      <c r="A3726" s="11">
        <v>46119</v>
      </c>
      <c r="B3726" t="s">
        <v>21</v>
      </c>
      <c r="C3726" t="s">
        <v>18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38"/>
        <v>28</v>
      </c>
      <c r="J3726" s="3">
        <f t="shared" si="39"/>
        <v>29</v>
      </c>
      <c r="K3726" s="3">
        <f t="shared" si="40"/>
        <v>-1</v>
      </c>
      <c r="L3726" s="3" t="str">
        <f t="shared" si="41"/>
        <v>ATENÇÃO</v>
      </c>
      <c r="N3726">
        <v>100</v>
      </c>
      <c r="O3726">
        <v>27.803738317757009</v>
      </c>
    </row>
    <row r="3727" spans="1:15" x14ac:dyDescent="0.25">
      <c r="A3727" s="11">
        <v>46119</v>
      </c>
      <c r="B3727" t="s">
        <v>22</v>
      </c>
      <c r="C3727" t="s">
        <v>23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38"/>
        <v>23</v>
      </c>
      <c r="J3727" s="3">
        <f t="shared" si="39"/>
        <v>8</v>
      </c>
      <c r="K3727" s="3">
        <f t="shared" si="40"/>
        <v>15</v>
      </c>
      <c r="L3727" s="3" t="str">
        <f t="shared" si="41"/>
        <v>MUITO BOM</v>
      </c>
      <c r="N3727">
        <v>96.74</v>
      </c>
      <c r="O3727">
        <v>28.43137254901961</v>
      </c>
    </row>
    <row r="3728" spans="1:15" x14ac:dyDescent="0.25">
      <c r="A3728" s="11">
        <v>46119</v>
      </c>
      <c r="B3728" t="s">
        <v>24</v>
      </c>
      <c r="C3728" t="s">
        <v>16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38"/>
        <v>38</v>
      </c>
      <c r="J3728" s="3">
        <f t="shared" si="39"/>
        <v>23</v>
      </c>
      <c r="K3728" s="3">
        <f t="shared" si="40"/>
        <v>15</v>
      </c>
      <c r="L3728" s="3" t="str">
        <f t="shared" si="41"/>
        <v>MUITO BOM</v>
      </c>
      <c r="N3728">
        <v>98.82</v>
      </c>
      <c r="O3728">
        <v>30.741410488245929</v>
      </c>
    </row>
    <row r="3729" spans="1:15" x14ac:dyDescent="0.25">
      <c r="A3729" s="11">
        <v>46119</v>
      </c>
      <c r="B3729" t="s">
        <v>25</v>
      </c>
      <c r="C3729" t="s">
        <v>16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38"/>
        <v>28</v>
      </c>
      <c r="J3729" s="3">
        <f t="shared" si="39"/>
        <v>23</v>
      </c>
      <c r="K3729" s="3">
        <f t="shared" si="40"/>
        <v>5</v>
      </c>
      <c r="L3729" s="3" t="str">
        <f t="shared" si="41"/>
        <v>OPORTUNO</v>
      </c>
      <c r="N3729">
        <v>98.2</v>
      </c>
      <c r="O3729">
        <v>26.890756302521009</v>
      </c>
    </row>
    <row r="3730" spans="1:15" x14ac:dyDescent="0.25">
      <c r="A3730" s="11">
        <v>46119</v>
      </c>
      <c r="B3730" t="s">
        <v>26</v>
      </c>
      <c r="C3730" t="s">
        <v>23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38"/>
        <v>10</v>
      </c>
      <c r="J3730" s="3">
        <f t="shared" si="39"/>
        <v>8</v>
      </c>
      <c r="K3730" s="3">
        <f t="shared" si="40"/>
        <v>2</v>
      </c>
      <c r="L3730" s="3" t="str">
        <f t="shared" si="41"/>
        <v>OPORTUNO</v>
      </c>
      <c r="N3730">
        <v>100</v>
      </c>
      <c r="O3730">
        <v>23.134328358208951</v>
      </c>
    </row>
    <row r="3731" spans="1:15" x14ac:dyDescent="0.25">
      <c r="A3731" s="11">
        <v>46119</v>
      </c>
      <c r="B3731" t="s">
        <v>27</v>
      </c>
      <c r="C3731" t="s">
        <v>20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38"/>
        <v>24</v>
      </c>
      <c r="J3731" s="3">
        <f t="shared" si="39"/>
        <v>19</v>
      </c>
      <c r="K3731" s="3">
        <f t="shared" si="40"/>
        <v>5</v>
      </c>
      <c r="L3731" s="3" t="str">
        <f t="shared" si="41"/>
        <v>OPORTUNO</v>
      </c>
      <c r="N3731">
        <v>96.3</v>
      </c>
      <c r="O3731">
        <v>31.980906921241051</v>
      </c>
    </row>
    <row r="3732" spans="1:15" x14ac:dyDescent="0.25">
      <c r="A3732" s="11">
        <v>46119</v>
      </c>
      <c r="B3732" t="s">
        <v>28</v>
      </c>
      <c r="C3732" t="s">
        <v>18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38"/>
        <v>39</v>
      </c>
      <c r="J3732" s="3">
        <f t="shared" si="39"/>
        <v>29</v>
      </c>
      <c r="K3732" s="3">
        <f t="shared" si="40"/>
        <v>10</v>
      </c>
      <c r="L3732" s="3" t="str">
        <f t="shared" si="41"/>
        <v>MUITO BOM</v>
      </c>
      <c r="N3732">
        <v>93.75</v>
      </c>
      <c r="O3732">
        <v>26.628352490421459</v>
      </c>
    </row>
    <row r="3733" spans="1:15" x14ac:dyDescent="0.25">
      <c r="A3733" s="11">
        <v>46119</v>
      </c>
      <c r="B3733" t="s">
        <v>29</v>
      </c>
      <c r="C3733" t="s">
        <v>16</v>
      </c>
      <c r="D3733">
        <v>0</v>
      </c>
      <c r="E3733">
        <v>0</v>
      </c>
      <c r="F3733">
        <v>0</v>
      </c>
      <c r="G3733">
        <v>0</v>
      </c>
      <c r="H3733">
        <v>0</v>
      </c>
      <c r="I3733" s="3">
        <f t="shared" si="38"/>
        <v>0</v>
      </c>
      <c r="J3733" s="3">
        <f t="shared" si="39"/>
        <v>23</v>
      </c>
      <c r="K3733" s="3">
        <f t="shared" si="40"/>
        <v>-23</v>
      </c>
      <c r="L3733" s="3" t="str">
        <f t="shared" si="41"/>
        <v>CRÍTICO</v>
      </c>
      <c r="N3733">
        <v>97.86</v>
      </c>
      <c r="O3733">
        <v>31.018518518518519</v>
      </c>
    </row>
    <row r="3734" spans="1:15" x14ac:dyDescent="0.25">
      <c r="A3734" s="11">
        <v>46119</v>
      </c>
      <c r="B3734" t="s">
        <v>30</v>
      </c>
      <c r="C3734" t="s">
        <v>20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 t="shared" si="38"/>
        <v>28</v>
      </c>
      <c r="J3734" s="3">
        <f t="shared" si="39"/>
        <v>19</v>
      </c>
      <c r="K3734" s="3">
        <f t="shared" si="40"/>
        <v>9</v>
      </c>
      <c r="L3734" s="3" t="str">
        <f t="shared" si="41"/>
        <v>MUITO BOM</v>
      </c>
      <c r="N3734">
        <v>100</v>
      </c>
      <c r="O3734">
        <v>36.231884057971023</v>
      </c>
    </row>
    <row r="3735" spans="1:15" x14ac:dyDescent="0.25">
      <c r="A3735" s="11">
        <v>46119</v>
      </c>
      <c r="B3735" t="s">
        <v>31</v>
      </c>
      <c r="C3735" t="s">
        <v>18</v>
      </c>
      <c r="D3735">
        <v>0</v>
      </c>
      <c r="E3735">
        <v>0</v>
      </c>
      <c r="F3735">
        <v>0</v>
      </c>
      <c r="G3735">
        <v>0</v>
      </c>
      <c r="H3735">
        <v>0</v>
      </c>
      <c r="I3735" s="3">
        <f t="shared" si="38"/>
        <v>0</v>
      </c>
      <c r="J3735" s="3">
        <f t="shared" si="39"/>
        <v>29</v>
      </c>
      <c r="K3735" s="3">
        <f t="shared" si="40"/>
        <v>-29</v>
      </c>
      <c r="L3735" s="3" t="str">
        <f t="shared" si="41"/>
        <v>CRÍTICO</v>
      </c>
      <c r="N3735">
        <v>100</v>
      </c>
      <c r="O3735">
        <v>38.269230769230766</v>
      </c>
    </row>
    <row r="3736" spans="1:15" x14ac:dyDescent="0.25">
      <c r="A3736" s="11">
        <v>46119</v>
      </c>
      <c r="B3736" t="s">
        <v>32</v>
      </c>
      <c r="C3736" t="s">
        <v>23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 t="shared" si="38"/>
        <v>5</v>
      </c>
      <c r="J3736" s="3">
        <f t="shared" si="39"/>
        <v>8</v>
      </c>
      <c r="K3736" s="3">
        <f t="shared" si="40"/>
        <v>-3</v>
      </c>
      <c r="L3736" s="3" t="str">
        <f t="shared" si="41"/>
        <v>ATENÇÃO</v>
      </c>
      <c r="N3736">
        <v>100</v>
      </c>
      <c r="O3736">
        <v>27.368421052631579</v>
      </c>
    </row>
    <row r="3737" spans="1:15" x14ac:dyDescent="0.25">
      <c r="A3737" s="11">
        <v>46119</v>
      </c>
      <c r="B3737" t="s">
        <v>33</v>
      </c>
      <c r="C3737" t="s">
        <v>16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 t="shared" si="38"/>
        <v>18</v>
      </c>
      <c r="J3737" s="3">
        <f t="shared" si="39"/>
        <v>23</v>
      </c>
      <c r="K3737" s="3">
        <f t="shared" si="40"/>
        <v>-5</v>
      </c>
      <c r="L3737" s="3" t="str">
        <f t="shared" si="41"/>
        <v>ATENÇÃO</v>
      </c>
      <c r="N3737">
        <v>97.83</v>
      </c>
      <c r="O3737">
        <v>28.131868131868131</v>
      </c>
    </row>
    <row r="3738" spans="1:15" x14ac:dyDescent="0.25">
      <c r="A3738" s="11">
        <v>46119</v>
      </c>
      <c r="B3738" t="s">
        <v>34</v>
      </c>
      <c r="C3738" t="s">
        <v>18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 t="shared" si="38"/>
        <v>29</v>
      </c>
      <c r="J3738" s="3">
        <f t="shared" si="39"/>
        <v>29</v>
      </c>
      <c r="K3738" s="3">
        <f t="shared" si="40"/>
        <v>0</v>
      </c>
      <c r="L3738" s="3" t="str">
        <f t="shared" si="41"/>
        <v>OPORTUNO</v>
      </c>
      <c r="N3738">
        <v>99.26</v>
      </c>
      <c r="O3738">
        <v>29.57198443579767</v>
      </c>
    </row>
    <row r="3739" spans="1:15" x14ac:dyDescent="0.25">
      <c r="A3739" s="11">
        <v>46119</v>
      </c>
      <c r="B3739" t="s">
        <v>35</v>
      </c>
      <c r="C3739" t="s">
        <v>16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 t="shared" ref="I3739:I3802" si="42">E3739+G3739+H3739</f>
        <v>26</v>
      </c>
      <c r="J3739" s="3">
        <f t="shared" ref="J3739:J3802" si="43"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23</v>
      </c>
      <c r="K3739" s="3">
        <f t="shared" ref="K3739:K3802" si="44">I3739-J3739</f>
        <v>3</v>
      </c>
      <c r="L3739" s="3" t="str">
        <f t="shared" ref="L3739:L3802" si="45">IF(K3739&lt;-5,"CRÍTICO",IF(K3739&lt;0,"ATENÇÃO",IF(K3739&lt;=5,"OPORTUNO","MUITO BOM")))</f>
        <v>OPORTUNO</v>
      </c>
      <c r="N3739">
        <v>99.19</v>
      </c>
      <c r="O3739">
        <v>29.462365591397852</v>
      </c>
    </row>
    <row r="3740" spans="1:15" x14ac:dyDescent="0.25">
      <c r="A3740" s="5">
        <v>46154</v>
      </c>
      <c r="B3740" s="6" t="s">
        <v>36</v>
      </c>
      <c r="C3740" s="3" t="s">
        <v>20</v>
      </c>
      <c r="D3740" s="3">
        <v>17</v>
      </c>
      <c r="E3740" s="3">
        <v>17</v>
      </c>
      <c r="H3740" s="3">
        <v>7</v>
      </c>
      <c r="I3740" s="3">
        <f t="shared" si="42"/>
        <v>24</v>
      </c>
      <c r="J3740" s="3">
        <f t="shared" si="43"/>
        <v>21</v>
      </c>
      <c r="K3740" s="3">
        <f t="shared" si="44"/>
        <v>3</v>
      </c>
      <c r="L3740" s="3" t="str">
        <f t="shared" si="45"/>
        <v>OPORTUNO</v>
      </c>
      <c r="M3740">
        <v>24</v>
      </c>
      <c r="N3740">
        <v>98.8</v>
      </c>
      <c r="O3740">
        <v>15.41353383458646</v>
      </c>
    </row>
    <row r="3741" spans="1:15" x14ac:dyDescent="0.25">
      <c r="A3741" s="11">
        <v>46119</v>
      </c>
      <c r="B3741" t="s">
        <v>37</v>
      </c>
      <c r="C3741" t="s">
        <v>16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f t="shared" si="42"/>
        <v>0</v>
      </c>
      <c r="J3741" s="3">
        <f t="shared" si="43"/>
        <v>23</v>
      </c>
      <c r="K3741" s="3">
        <f t="shared" si="44"/>
        <v>-23</v>
      </c>
      <c r="L3741" s="3" t="str">
        <f t="shared" si="45"/>
        <v>CRÍTICO</v>
      </c>
      <c r="N3741">
        <v>100</v>
      </c>
      <c r="O3741">
        <v>27.941176470588239</v>
      </c>
    </row>
    <row r="3742" spans="1:15" x14ac:dyDescent="0.25">
      <c r="A3742" s="11">
        <v>46119</v>
      </c>
      <c r="B3742" t="s">
        <v>38</v>
      </c>
      <c r="C3742" t="s">
        <v>18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 t="shared" si="42"/>
        <v>43</v>
      </c>
      <c r="J3742" s="3">
        <f t="shared" si="43"/>
        <v>29</v>
      </c>
      <c r="K3742" s="3">
        <f t="shared" si="44"/>
        <v>14</v>
      </c>
      <c r="L3742" s="3" t="str">
        <f t="shared" si="45"/>
        <v>MUITO BOM</v>
      </c>
      <c r="N3742">
        <v>99.57</v>
      </c>
      <c r="O3742">
        <v>29.913294797687861</v>
      </c>
    </row>
    <row r="3743" spans="1:15" x14ac:dyDescent="0.25">
      <c r="A3743" s="11">
        <v>46119</v>
      </c>
      <c r="B3743" t="s">
        <v>39</v>
      </c>
      <c r="C3743" t="s">
        <v>18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f t="shared" si="42"/>
        <v>0</v>
      </c>
      <c r="J3743" s="3">
        <f t="shared" si="43"/>
        <v>29</v>
      </c>
      <c r="K3743" s="3">
        <f t="shared" si="44"/>
        <v>-29</v>
      </c>
      <c r="L3743" s="3" t="str">
        <f t="shared" si="45"/>
        <v>CRÍTICO</v>
      </c>
      <c r="N3743">
        <v>95.65</v>
      </c>
      <c r="O3743">
        <v>31.081081081081081</v>
      </c>
    </row>
    <row r="3744" spans="1:15" x14ac:dyDescent="0.25">
      <c r="A3744" s="11">
        <v>46119</v>
      </c>
      <c r="B3744" t="s">
        <v>40</v>
      </c>
      <c r="C3744" t="s">
        <v>16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 t="shared" si="42"/>
        <v>24</v>
      </c>
      <c r="J3744" s="3">
        <f t="shared" si="43"/>
        <v>23</v>
      </c>
      <c r="K3744" s="3">
        <f t="shared" si="44"/>
        <v>1</v>
      </c>
      <c r="L3744" s="3" t="str">
        <f t="shared" si="45"/>
        <v>OPORTUNO</v>
      </c>
      <c r="N3744">
        <v>98.81</v>
      </c>
      <c r="O3744">
        <v>26.256983240223459</v>
      </c>
    </row>
    <row r="3745" spans="1:15" x14ac:dyDescent="0.25">
      <c r="A3745" s="11">
        <v>46119</v>
      </c>
      <c r="B3745" t="s">
        <v>41</v>
      </c>
      <c r="C3745" t="s">
        <v>18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f t="shared" si="42"/>
        <v>0</v>
      </c>
      <c r="J3745" s="3">
        <f t="shared" si="43"/>
        <v>29</v>
      </c>
      <c r="K3745" s="3">
        <f t="shared" si="44"/>
        <v>-29</v>
      </c>
      <c r="L3745" s="3" t="str">
        <f t="shared" si="45"/>
        <v>CRÍTICO</v>
      </c>
      <c r="N3745">
        <v>0</v>
      </c>
      <c r="O3745">
        <v>0</v>
      </c>
    </row>
    <row r="3746" spans="1:15" x14ac:dyDescent="0.25">
      <c r="A3746" s="11">
        <v>46119</v>
      </c>
      <c r="B3746" t="s">
        <v>42</v>
      </c>
      <c r="C3746" t="s">
        <v>43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 t="shared" si="42"/>
        <v>24</v>
      </c>
      <c r="J3746" s="3">
        <f t="shared" si="43"/>
        <v>17</v>
      </c>
      <c r="K3746" s="3">
        <f t="shared" si="44"/>
        <v>7</v>
      </c>
      <c r="L3746" s="3" t="str">
        <f t="shared" si="45"/>
        <v>MUITO BOM</v>
      </c>
      <c r="N3746">
        <v>97.17</v>
      </c>
      <c r="O3746">
        <v>28.81844380403458</v>
      </c>
    </row>
    <row r="3747" spans="1:15" x14ac:dyDescent="0.25">
      <c r="A3747" s="11">
        <v>46119</v>
      </c>
      <c r="B3747" t="s">
        <v>44</v>
      </c>
      <c r="C3747" t="s">
        <v>18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 t="shared" si="42"/>
        <v>24</v>
      </c>
      <c r="J3747" s="3">
        <f t="shared" si="43"/>
        <v>29</v>
      </c>
      <c r="K3747" s="3">
        <f t="shared" si="44"/>
        <v>-5</v>
      </c>
      <c r="L3747" s="3" t="str">
        <f t="shared" si="45"/>
        <v>ATENÇÃO</v>
      </c>
      <c r="N3747">
        <v>96.81</v>
      </c>
      <c r="O3747">
        <v>48.018648018648022</v>
      </c>
    </row>
    <row r="3748" spans="1:15" x14ac:dyDescent="0.25">
      <c r="A3748" s="11">
        <v>46119</v>
      </c>
      <c r="B3748" t="s">
        <v>45</v>
      </c>
      <c r="C3748" t="s">
        <v>43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 t="shared" si="42"/>
        <v>16</v>
      </c>
      <c r="J3748" s="3">
        <f t="shared" si="43"/>
        <v>17</v>
      </c>
      <c r="K3748" s="3">
        <f t="shared" si="44"/>
        <v>-1</v>
      </c>
      <c r="L3748" s="3" t="str">
        <f t="shared" si="45"/>
        <v>ATENÇÃO</v>
      </c>
      <c r="N3748">
        <v>98.15</v>
      </c>
      <c r="O3748">
        <v>27.1551724137931</v>
      </c>
    </row>
    <row r="3749" spans="1:15" x14ac:dyDescent="0.25">
      <c r="A3749" s="11">
        <v>46119</v>
      </c>
      <c r="B3749" t="s">
        <v>46</v>
      </c>
      <c r="C3749" t="s">
        <v>18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 t="shared" si="42"/>
        <v>25</v>
      </c>
      <c r="J3749" s="3">
        <f t="shared" si="43"/>
        <v>29</v>
      </c>
      <c r="K3749" s="3">
        <f t="shared" si="44"/>
        <v>-4</v>
      </c>
      <c r="L3749" s="3" t="str">
        <f t="shared" si="45"/>
        <v>ATENÇÃO</v>
      </c>
      <c r="N3749">
        <v>99.15</v>
      </c>
      <c r="O3749">
        <v>27.370689655172409</v>
      </c>
    </row>
    <row r="3750" spans="1:15" x14ac:dyDescent="0.25">
      <c r="A3750" s="11">
        <v>46119</v>
      </c>
      <c r="B3750" t="s">
        <v>47</v>
      </c>
      <c r="C3750" t="s">
        <v>16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 t="shared" si="42"/>
        <v>29</v>
      </c>
      <c r="J3750" s="3">
        <f t="shared" si="43"/>
        <v>23</v>
      </c>
      <c r="K3750" s="3">
        <f t="shared" si="44"/>
        <v>6</v>
      </c>
      <c r="L3750" s="3" t="str">
        <f t="shared" si="45"/>
        <v>MUITO BOM</v>
      </c>
      <c r="N3750">
        <v>99.17</v>
      </c>
      <c r="O3750">
        <v>29.75206611570248</v>
      </c>
    </row>
    <row r="3751" spans="1:15" x14ac:dyDescent="0.25">
      <c r="A3751" s="11">
        <v>46119</v>
      </c>
      <c r="B3751" t="s">
        <v>48</v>
      </c>
      <c r="C3751" t="s">
        <v>16</v>
      </c>
      <c r="D3751">
        <v>0</v>
      </c>
      <c r="E3751">
        <v>0</v>
      </c>
      <c r="F3751">
        <v>0</v>
      </c>
      <c r="G3751">
        <v>0</v>
      </c>
      <c r="H3751">
        <v>0</v>
      </c>
      <c r="I3751" s="3">
        <f t="shared" si="42"/>
        <v>0</v>
      </c>
      <c r="J3751" s="3">
        <f t="shared" si="43"/>
        <v>23</v>
      </c>
      <c r="K3751" s="3">
        <f t="shared" si="44"/>
        <v>-23</v>
      </c>
      <c r="L3751" s="3" t="str">
        <f t="shared" si="45"/>
        <v>CRÍTICO</v>
      </c>
      <c r="N3751">
        <v>98.73</v>
      </c>
      <c r="O3751">
        <v>28.961748633879779</v>
      </c>
    </row>
    <row r="3752" spans="1:15" x14ac:dyDescent="0.25">
      <c r="A3752" s="11">
        <v>46119</v>
      </c>
      <c r="B3752" t="s">
        <v>49</v>
      </c>
      <c r="C3752" t="s">
        <v>18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si="42"/>
        <v>30</v>
      </c>
      <c r="J3752" s="3">
        <f t="shared" si="43"/>
        <v>29</v>
      </c>
      <c r="K3752" s="3">
        <f t="shared" si="44"/>
        <v>1</v>
      </c>
      <c r="L3752" s="3" t="str">
        <f t="shared" si="45"/>
        <v>OPORTUNO</v>
      </c>
      <c r="N3752">
        <v>88.68</v>
      </c>
      <c r="O3752">
        <v>22.03389830508474</v>
      </c>
    </row>
    <row r="3753" spans="1:15" x14ac:dyDescent="0.25">
      <c r="A3753" s="11">
        <v>46119</v>
      </c>
      <c r="B3753" t="s">
        <v>50</v>
      </c>
      <c r="C3753" t="s">
        <v>20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42"/>
        <v>12</v>
      </c>
      <c r="J3753" s="3">
        <f t="shared" si="43"/>
        <v>19</v>
      </c>
      <c r="K3753" s="3">
        <f t="shared" si="44"/>
        <v>-7</v>
      </c>
      <c r="L3753" s="3" t="str">
        <f t="shared" si="45"/>
        <v>CRÍTICO</v>
      </c>
      <c r="N3753">
        <v>97.37</v>
      </c>
      <c r="O3753">
        <v>25.76530612244898</v>
      </c>
    </row>
    <row r="3754" spans="1:15" x14ac:dyDescent="0.25">
      <c r="A3754" s="11">
        <v>46119</v>
      </c>
      <c r="B3754" t="s">
        <v>51</v>
      </c>
      <c r="C3754" t="s">
        <v>23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42"/>
        <v>10</v>
      </c>
      <c r="J3754" s="3">
        <f t="shared" si="43"/>
        <v>8</v>
      </c>
      <c r="K3754" s="3">
        <f t="shared" si="44"/>
        <v>2</v>
      </c>
      <c r="L3754" s="3" t="str">
        <f t="shared" si="45"/>
        <v>OPORTUNO</v>
      </c>
      <c r="N3754">
        <v>100</v>
      </c>
      <c r="O3754">
        <v>25</v>
      </c>
    </row>
    <row r="3755" spans="1:15" x14ac:dyDescent="0.25">
      <c r="A3755" s="11">
        <v>46119</v>
      </c>
      <c r="B3755" t="s">
        <v>52</v>
      </c>
      <c r="C3755" t="s">
        <v>18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42"/>
        <v>43</v>
      </c>
      <c r="J3755" s="3">
        <f t="shared" si="43"/>
        <v>29</v>
      </c>
      <c r="K3755" s="3">
        <f t="shared" si="44"/>
        <v>14</v>
      </c>
      <c r="L3755" s="3" t="str">
        <f t="shared" si="45"/>
        <v>MUITO BOM</v>
      </c>
      <c r="N3755">
        <v>100</v>
      </c>
      <c r="O3755">
        <v>23.9870340356564</v>
      </c>
    </row>
    <row r="3756" spans="1:15" x14ac:dyDescent="0.25">
      <c r="A3756" s="11">
        <v>46119</v>
      </c>
      <c r="B3756" t="s">
        <v>53</v>
      </c>
      <c r="C3756" t="s">
        <v>18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42"/>
        <v>35</v>
      </c>
      <c r="J3756" s="3">
        <f t="shared" si="43"/>
        <v>29</v>
      </c>
      <c r="K3756" s="3">
        <f t="shared" si="44"/>
        <v>6</v>
      </c>
      <c r="L3756" s="3" t="str">
        <f t="shared" si="45"/>
        <v>MUITO BOM</v>
      </c>
      <c r="N3756">
        <v>95.49</v>
      </c>
      <c r="O3756">
        <v>28.16901408450704</v>
      </c>
    </row>
    <row r="3757" spans="1:15" x14ac:dyDescent="0.25">
      <c r="A3757" s="11">
        <v>46119</v>
      </c>
      <c r="B3757" t="s">
        <v>54</v>
      </c>
      <c r="C3757" t="s">
        <v>23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42"/>
        <v>10</v>
      </c>
      <c r="J3757" s="3">
        <f t="shared" si="43"/>
        <v>8</v>
      </c>
      <c r="K3757" s="3">
        <f t="shared" si="44"/>
        <v>2</v>
      </c>
      <c r="L3757" s="3" t="str">
        <f t="shared" si="45"/>
        <v>OPORTUNO</v>
      </c>
      <c r="N3757">
        <v>100</v>
      </c>
      <c r="O3757">
        <v>23.77622377622378</v>
      </c>
    </row>
    <row r="3758" spans="1:15" x14ac:dyDescent="0.25">
      <c r="A3758" s="11">
        <v>46119</v>
      </c>
      <c r="B3758" t="s">
        <v>55</v>
      </c>
      <c r="C3758" t="s">
        <v>43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42"/>
        <v>19</v>
      </c>
      <c r="J3758" s="3">
        <f t="shared" si="43"/>
        <v>17</v>
      </c>
      <c r="K3758" s="3">
        <f t="shared" si="44"/>
        <v>2</v>
      </c>
      <c r="L3758" s="3" t="str">
        <f t="shared" si="45"/>
        <v>OPORTUNO</v>
      </c>
      <c r="N3758">
        <v>96.15</v>
      </c>
      <c r="O3758">
        <v>24.045801526717561</v>
      </c>
    </row>
    <row r="3759" spans="1:15" x14ac:dyDescent="0.25">
      <c r="A3759" s="11">
        <v>46119</v>
      </c>
      <c r="B3759" t="s">
        <v>56</v>
      </c>
      <c r="C3759" t="s">
        <v>16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42"/>
        <v>19</v>
      </c>
      <c r="J3759" s="3">
        <f t="shared" si="43"/>
        <v>23</v>
      </c>
      <c r="K3759" s="3">
        <f t="shared" si="44"/>
        <v>-4</v>
      </c>
      <c r="L3759" s="3" t="str">
        <f t="shared" si="45"/>
        <v>ATENÇÃO</v>
      </c>
      <c r="N3759">
        <v>99.02</v>
      </c>
      <c r="O3759">
        <v>34.797297297297298</v>
      </c>
    </row>
    <row r="3760" spans="1:15" x14ac:dyDescent="0.25">
      <c r="A3760" s="11">
        <v>46119</v>
      </c>
      <c r="B3760" t="s">
        <v>57</v>
      </c>
      <c r="C3760" t="s">
        <v>43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42"/>
        <v>16</v>
      </c>
      <c r="J3760" s="3">
        <f t="shared" si="43"/>
        <v>17</v>
      </c>
      <c r="K3760" s="3">
        <f t="shared" si="44"/>
        <v>-1</v>
      </c>
      <c r="L3760" s="3" t="str">
        <f t="shared" si="45"/>
        <v>ATENÇÃO</v>
      </c>
      <c r="N3760">
        <v>98.84</v>
      </c>
      <c r="O3760">
        <v>31.5018315018315</v>
      </c>
    </row>
    <row r="3761" spans="1:15" x14ac:dyDescent="0.25">
      <c r="A3761" s="11">
        <v>46119</v>
      </c>
      <c r="B3761" t="s">
        <v>58</v>
      </c>
      <c r="C3761" t="s">
        <v>43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42"/>
        <v>16</v>
      </c>
      <c r="J3761" s="3">
        <f t="shared" si="43"/>
        <v>17</v>
      </c>
      <c r="K3761" s="3">
        <f t="shared" si="44"/>
        <v>-1</v>
      </c>
      <c r="L3761" s="3" t="str">
        <f t="shared" si="45"/>
        <v>ATENÇÃO</v>
      </c>
      <c r="N3761">
        <v>100</v>
      </c>
      <c r="O3761">
        <v>34.666666666666671</v>
      </c>
    </row>
    <row r="3762" spans="1:15" x14ac:dyDescent="0.25">
      <c r="A3762" s="11">
        <v>46119</v>
      </c>
      <c r="B3762" t="s">
        <v>59</v>
      </c>
      <c r="C3762" t="s">
        <v>23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42"/>
        <v>9</v>
      </c>
      <c r="J3762" s="3">
        <f t="shared" si="43"/>
        <v>8</v>
      </c>
      <c r="K3762" s="3">
        <f t="shared" si="44"/>
        <v>1</v>
      </c>
      <c r="L3762" s="3" t="str">
        <f t="shared" si="45"/>
        <v>OPORTUNO</v>
      </c>
      <c r="N3762">
        <v>94.12</v>
      </c>
      <c r="O3762">
        <v>32.799999999999997</v>
      </c>
    </row>
    <row r="3763" spans="1:15" x14ac:dyDescent="0.25">
      <c r="A3763" s="11">
        <v>46119</v>
      </c>
      <c r="B3763" t="s">
        <v>60</v>
      </c>
      <c r="C3763" t="s">
        <v>20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42"/>
        <v>31</v>
      </c>
      <c r="J3763" s="3">
        <f t="shared" si="43"/>
        <v>19</v>
      </c>
      <c r="K3763" s="3">
        <f t="shared" si="44"/>
        <v>12</v>
      </c>
      <c r="L3763" s="3" t="str">
        <f t="shared" si="45"/>
        <v>MUITO BOM</v>
      </c>
      <c r="N3763">
        <v>98.32</v>
      </c>
      <c r="O3763">
        <v>26.618705035971221</v>
      </c>
    </row>
    <row r="3764" spans="1:15" x14ac:dyDescent="0.25">
      <c r="A3764" s="11">
        <v>46119</v>
      </c>
      <c r="B3764" t="s">
        <v>61</v>
      </c>
      <c r="C3764" t="s">
        <v>18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42"/>
        <v>39</v>
      </c>
      <c r="J3764" s="3">
        <f t="shared" si="43"/>
        <v>29</v>
      </c>
      <c r="K3764" s="3">
        <f t="shared" si="44"/>
        <v>10</v>
      </c>
      <c r="L3764" s="3" t="str">
        <f t="shared" si="45"/>
        <v>MUITO BOM</v>
      </c>
      <c r="N3764">
        <v>100</v>
      </c>
      <c r="O3764">
        <v>31.135531135531139</v>
      </c>
    </row>
    <row r="3765" spans="1:15" x14ac:dyDescent="0.25">
      <c r="A3765" s="11">
        <v>46119</v>
      </c>
      <c r="B3765" t="s">
        <v>62</v>
      </c>
      <c r="C3765" t="s">
        <v>20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42"/>
        <v>21</v>
      </c>
      <c r="J3765" s="3">
        <f t="shared" si="43"/>
        <v>19</v>
      </c>
      <c r="K3765" s="3">
        <f t="shared" si="44"/>
        <v>2</v>
      </c>
      <c r="L3765" s="3" t="str">
        <f t="shared" si="45"/>
        <v>OPORTUNO</v>
      </c>
      <c r="N3765">
        <v>100</v>
      </c>
      <c r="O3765">
        <v>26.027397260273968</v>
      </c>
    </row>
    <row r="3766" spans="1:15" x14ac:dyDescent="0.25">
      <c r="A3766" s="11">
        <v>46119</v>
      </c>
      <c r="B3766" t="s">
        <v>63</v>
      </c>
      <c r="C3766" t="s">
        <v>18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42"/>
        <v>31</v>
      </c>
      <c r="J3766" s="3">
        <f t="shared" si="43"/>
        <v>29</v>
      </c>
      <c r="K3766" s="3">
        <f t="shared" si="44"/>
        <v>2</v>
      </c>
      <c r="L3766" s="3" t="str">
        <f t="shared" si="45"/>
        <v>OPORTUNO</v>
      </c>
      <c r="N3766">
        <v>99.21</v>
      </c>
      <c r="O3766">
        <v>24.937027707808561</v>
      </c>
    </row>
    <row r="3767" spans="1:15" x14ac:dyDescent="0.25">
      <c r="A3767" s="11">
        <v>46120</v>
      </c>
      <c r="B3767" t="s">
        <v>15</v>
      </c>
      <c r="C3767" t="s">
        <v>16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42"/>
        <v>25</v>
      </c>
      <c r="J3767" s="3">
        <f t="shared" si="43"/>
        <v>22</v>
      </c>
      <c r="K3767" s="3">
        <f t="shared" si="44"/>
        <v>3</v>
      </c>
      <c r="L3767" s="3" t="str">
        <f t="shared" si="45"/>
        <v>OPORTUNO</v>
      </c>
      <c r="N3767">
        <v>100</v>
      </c>
      <c r="O3767">
        <v>32.764505119453922</v>
      </c>
    </row>
    <row r="3768" spans="1:15" x14ac:dyDescent="0.25">
      <c r="A3768" s="11">
        <v>46120</v>
      </c>
      <c r="B3768" t="s">
        <v>17</v>
      </c>
      <c r="C3768" t="s">
        <v>18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f t="shared" si="42"/>
        <v>0</v>
      </c>
      <c r="J3768" s="3">
        <f t="shared" si="43"/>
        <v>28</v>
      </c>
      <c r="K3768" s="3">
        <f t="shared" si="44"/>
        <v>-28</v>
      </c>
      <c r="L3768" s="3" t="str">
        <f t="shared" si="45"/>
        <v>CRÍTICO</v>
      </c>
      <c r="N3768">
        <v>98.66</v>
      </c>
      <c r="O3768">
        <v>35.15625</v>
      </c>
    </row>
    <row r="3769" spans="1:15" x14ac:dyDescent="0.25">
      <c r="A3769" s="11">
        <v>46120</v>
      </c>
      <c r="B3769" t="s">
        <v>19</v>
      </c>
      <c r="C3769" t="s">
        <v>20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si="42"/>
        <v>33</v>
      </c>
      <c r="J3769" s="3">
        <f t="shared" si="43"/>
        <v>18</v>
      </c>
      <c r="K3769" s="3">
        <f t="shared" si="44"/>
        <v>15</v>
      </c>
      <c r="L3769" s="3" t="str">
        <f t="shared" si="45"/>
        <v>MUITO BOM</v>
      </c>
      <c r="N3769">
        <v>99.32</v>
      </c>
      <c r="O3769">
        <v>30.45186640471513</v>
      </c>
    </row>
    <row r="3770" spans="1:15" x14ac:dyDescent="0.25">
      <c r="A3770" s="11">
        <v>46120</v>
      </c>
      <c r="B3770" t="s">
        <v>21</v>
      </c>
      <c r="C3770" t="s">
        <v>18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42"/>
        <v>35</v>
      </c>
      <c r="J3770" s="3">
        <f t="shared" si="43"/>
        <v>28</v>
      </c>
      <c r="K3770" s="3">
        <f t="shared" si="44"/>
        <v>7</v>
      </c>
      <c r="L3770" s="3" t="str">
        <f t="shared" si="45"/>
        <v>MUITO BOM</v>
      </c>
      <c r="N3770">
        <v>100</v>
      </c>
      <c r="O3770">
        <v>27.803738317757009</v>
      </c>
    </row>
    <row r="3771" spans="1:15" x14ac:dyDescent="0.25">
      <c r="A3771" s="11">
        <v>46120</v>
      </c>
      <c r="B3771" t="s">
        <v>22</v>
      </c>
      <c r="C3771" t="s">
        <v>23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42"/>
        <v>15</v>
      </c>
      <c r="J3771" s="3">
        <f t="shared" si="43"/>
        <v>8</v>
      </c>
      <c r="K3771" s="3">
        <f t="shared" si="44"/>
        <v>7</v>
      </c>
      <c r="L3771" s="3" t="str">
        <f t="shared" si="45"/>
        <v>MUITO BOM</v>
      </c>
      <c r="N3771">
        <v>96.74</v>
      </c>
      <c r="O3771">
        <v>28.43137254901961</v>
      </c>
    </row>
    <row r="3772" spans="1:15" x14ac:dyDescent="0.25">
      <c r="A3772" s="11">
        <v>46120</v>
      </c>
      <c r="B3772" t="s">
        <v>24</v>
      </c>
      <c r="C3772" t="s">
        <v>16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42"/>
        <v>27</v>
      </c>
      <c r="J3772" s="3">
        <f t="shared" si="43"/>
        <v>22</v>
      </c>
      <c r="K3772" s="3">
        <f t="shared" si="44"/>
        <v>5</v>
      </c>
      <c r="L3772" s="3" t="str">
        <f t="shared" si="45"/>
        <v>OPORTUNO</v>
      </c>
      <c r="N3772">
        <v>98.82</v>
      </c>
      <c r="O3772">
        <v>30.741410488245929</v>
      </c>
    </row>
    <row r="3773" spans="1:15" x14ac:dyDescent="0.25">
      <c r="A3773" s="11">
        <v>46120</v>
      </c>
      <c r="B3773" t="s">
        <v>25</v>
      </c>
      <c r="C3773" t="s">
        <v>16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42"/>
        <v>14</v>
      </c>
      <c r="J3773" s="3">
        <f t="shared" si="43"/>
        <v>22</v>
      </c>
      <c r="K3773" s="3">
        <f t="shared" si="44"/>
        <v>-8</v>
      </c>
      <c r="L3773" s="3" t="str">
        <f t="shared" si="45"/>
        <v>CRÍTICO</v>
      </c>
      <c r="N3773">
        <v>98.2</v>
      </c>
      <c r="O3773">
        <v>26.890756302521009</v>
      </c>
    </row>
    <row r="3774" spans="1:15" x14ac:dyDescent="0.25">
      <c r="A3774" s="11">
        <v>46120</v>
      </c>
      <c r="B3774" t="s">
        <v>26</v>
      </c>
      <c r="C3774" t="s">
        <v>23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42"/>
        <v>4</v>
      </c>
      <c r="J3774" s="3">
        <f t="shared" si="43"/>
        <v>8</v>
      </c>
      <c r="K3774" s="3">
        <f t="shared" si="44"/>
        <v>-4</v>
      </c>
      <c r="L3774" s="3" t="str">
        <f t="shared" si="45"/>
        <v>ATENÇÃO</v>
      </c>
      <c r="N3774">
        <v>100</v>
      </c>
      <c r="O3774">
        <v>23.134328358208951</v>
      </c>
    </row>
    <row r="3775" spans="1:15" x14ac:dyDescent="0.25">
      <c r="A3775" s="11">
        <v>46120</v>
      </c>
      <c r="B3775" t="s">
        <v>27</v>
      </c>
      <c r="C3775" t="s">
        <v>20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42"/>
        <v>22</v>
      </c>
      <c r="J3775" s="3">
        <f t="shared" si="43"/>
        <v>18</v>
      </c>
      <c r="K3775" s="3">
        <f t="shared" si="44"/>
        <v>4</v>
      </c>
      <c r="L3775" s="3" t="str">
        <f t="shared" si="45"/>
        <v>OPORTUNO</v>
      </c>
      <c r="N3775">
        <v>96.3</v>
      </c>
      <c r="O3775">
        <v>31.980906921241051</v>
      </c>
    </row>
    <row r="3776" spans="1:15" x14ac:dyDescent="0.25">
      <c r="A3776" s="11">
        <v>46120</v>
      </c>
      <c r="B3776" t="s">
        <v>28</v>
      </c>
      <c r="C3776" t="s">
        <v>18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42"/>
        <v>21</v>
      </c>
      <c r="J3776" s="3">
        <f t="shared" si="43"/>
        <v>28</v>
      </c>
      <c r="K3776" s="3">
        <f t="shared" si="44"/>
        <v>-7</v>
      </c>
      <c r="L3776" s="3" t="str">
        <f t="shared" si="45"/>
        <v>CRÍTICO</v>
      </c>
      <c r="N3776">
        <v>93.75</v>
      </c>
      <c r="O3776">
        <v>26.628352490421459</v>
      </c>
    </row>
    <row r="3777" spans="1:15" x14ac:dyDescent="0.25">
      <c r="A3777" s="11">
        <v>46120</v>
      </c>
      <c r="B3777" t="s">
        <v>29</v>
      </c>
      <c r="C3777" t="s">
        <v>16</v>
      </c>
      <c r="D3777">
        <v>0</v>
      </c>
      <c r="E3777">
        <v>0</v>
      </c>
      <c r="F3777">
        <v>0</v>
      </c>
      <c r="G3777">
        <v>0</v>
      </c>
      <c r="H3777">
        <v>0</v>
      </c>
      <c r="I3777" s="3">
        <f t="shared" si="42"/>
        <v>0</v>
      </c>
      <c r="J3777" s="3">
        <f t="shared" si="43"/>
        <v>22</v>
      </c>
      <c r="K3777" s="3">
        <f t="shared" si="44"/>
        <v>-22</v>
      </c>
      <c r="L3777" s="3" t="str">
        <f t="shared" si="45"/>
        <v>CRÍTICO</v>
      </c>
      <c r="N3777">
        <v>97.86</v>
      </c>
      <c r="O3777">
        <v>31.018518518518519</v>
      </c>
    </row>
    <row r="3778" spans="1:15" x14ac:dyDescent="0.25">
      <c r="A3778" s="11">
        <v>46120</v>
      </c>
      <c r="B3778" t="s">
        <v>30</v>
      </c>
      <c r="C3778" t="s">
        <v>20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 t="shared" si="42"/>
        <v>28</v>
      </c>
      <c r="J3778" s="3">
        <f t="shared" si="43"/>
        <v>18</v>
      </c>
      <c r="K3778" s="3">
        <f t="shared" si="44"/>
        <v>10</v>
      </c>
      <c r="L3778" s="3" t="str">
        <f t="shared" si="45"/>
        <v>MUITO BOM</v>
      </c>
      <c r="N3778">
        <v>100</v>
      </c>
      <c r="O3778">
        <v>36.231884057971023</v>
      </c>
    </row>
    <row r="3779" spans="1:15" x14ac:dyDescent="0.25">
      <c r="A3779" s="11">
        <v>46120</v>
      </c>
      <c r="B3779" t="s">
        <v>31</v>
      </c>
      <c r="C3779" t="s">
        <v>18</v>
      </c>
      <c r="D3779">
        <v>0</v>
      </c>
      <c r="E3779">
        <v>0</v>
      </c>
      <c r="F3779">
        <v>0</v>
      </c>
      <c r="G3779">
        <v>0</v>
      </c>
      <c r="H3779">
        <v>0</v>
      </c>
      <c r="I3779" s="3">
        <f t="shared" si="42"/>
        <v>0</v>
      </c>
      <c r="J3779" s="3">
        <f t="shared" si="43"/>
        <v>28</v>
      </c>
      <c r="K3779" s="3">
        <f t="shared" si="44"/>
        <v>-28</v>
      </c>
      <c r="L3779" s="3" t="str">
        <f t="shared" si="45"/>
        <v>CRÍTICO</v>
      </c>
      <c r="N3779">
        <v>100</v>
      </c>
      <c r="O3779">
        <v>38.269230769230766</v>
      </c>
    </row>
    <row r="3780" spans="1:15" x14ac:dyDescent="0.25">
      <c r="A3780" s="11">
        <v>46120</v>
      </c>
      <c r="B3780" t="s">
        <v>32</v>
      </c>
      <c r="C3780" t="s">
        <v>23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 t="shared" si="42"/>
        <v>4</v>
      </c>
      <c r="J3780" s="3">
        <f t="shared" si="43"/>
        <v>8</v>
      </c>
      <c r="K3780" s="3">
        <f t="shared" si="44"/>
        <v>-4</v>
      </c>
      <c r="L3780" s="3" t="str">
        <f t="shared" si="45"/>
        <v>ATENÇÃO</v>
      </c>
      <c r="N3780">
        <v>100</v>
      </c>
      <c r="O3780">
        <v>27.368421052631579</v>
      </c>
    </row>
    <row r="3781" spans="1:15" x14ac:dyDescent="0.25">
      <c r="A3781" s="11">
        <v>46120</v>
      </c>
      <c r="B3781" t="s">
        <v>33</v>
      </c>
      <c r="C3781" t="s">
        <v>16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 t="shared" si="42"/>
        <v>27</v>
      </c>
      <c r="J3781" s="3">
        <f t="shared" si="43"/>
        <v>22</v>
      </c>
      <c r="K3781" s="3">
        <f t="shared" si="44"/>
        <v>5</v>
      </c>
      <c r="L3781" s="3" t="str">
        <f t="shared" si="45"/>
        <v>OPORTUNO</v>
      </c>
      <c r="N3781">
        <v>97.83</v>
      </c>
      <c r="O3781">
        <v>28.131868131868131</v>
      </c>
    </row>
    <row r="3782" spans="1:15" x14ac:dyDescent="0.25">
      <c r="A3782" s="11">
        <v>46120</v>
      </c>
      <c r="B3782" t="s">
        <v>34</v>
      </c>
      <c r="C3782" t="s">
        <v>18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 t="shared" si="42"/>
        <v>26</v>
      </c>
      <c r="J3782" s="3">
        <f t="shared" si="43"/>
        <v>28</v>
      </c>
      <c r="K3782" s="3">
        <f t="shared" si="44"/>
        <v>-2</v>
      </c>
      <c r="L3782" s="3" t="str">
        <f t="shared" si="45"/>
        <v>ATENÇÃO</v>
      </c>
      <c r="N3782">
        <v>99.26</v>
      </c>
      <c r="O3782">
        <v>29.57198443579767</v>
      </c>
    </row>
    <row r="3783" spans="1:15" x14ac:dyDescent="0.25">
      <c r="A3783" s="11">
        <v>46120</v>
      </c>
      <c r="B3783" t="s">
        <v>35</v>
      </c>
      <c r="C3783" t="s">
        <v>16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 t="shared" si="42"/>
        <v>33</v>
      </c>
      <c r="J3783" s="3">
        <f t="shared" si="43"/>
        <v>22</v>
      </c>
      <c r="K3783" s="3">
        <f t="shared" si="44"/>
        <v>11</v>
      </c>
      <c r="L3783" s="3" t="str">
        <f t="shared" si="45"/>
        <v>MUITO BOM</v>
      </c>
      <c r="N3783">
        <v>99.19</v>
      </c>
      <c r="O3783">
        <v>29.462365591397852</v>
      </c>
    </row>
    <row r="3784" spans="1:15" x14ac:dyDescent="0.25">
      <c r="A3784" s="5">
        <v>46155</v>
      </c>
      <c r="B3784" s="6" t="s">
        <v>36</v>
      </c>
      <c r="C3784" s="3" t="s">
        <v>20</v>
      </c>
      <c r="D3784" s="3">
        <v>20</v>
      </c>
      <c r="E3784" s="3">
        <v>16</v>
      </c>
      <c r="G3784" s="3">
        <v>11</v>
      </c>
      <c r="H3784" s="3">
        <v>7</v>
      </c>
      <c r="I3784" s="3">
        <f t="shared" si="42"/>
        <v>34</v>
      </c>
      <c r="J3784" s="3">
        <f t="shared" si="43"/>
        <v>19</v>
      </c>
      <c r="K3784" s="3">
        <f t="shared" si="44"/>
        <v>15</v>
      </c>
      <c r="L3784" s="3" t="str">
        <f t="shared" si="45"/>
        <v>MUITO BOM</v>
      </c>
      <c r="M3784">
        <v>18</v>
      </c>
      <c r="N3784">
        <v>98.8</v>
      </c>
      <c r="O3784">
        <v>15.41353383458646</v>
      </c>
    </row>
    <row r="3785" spans="1:15" x14ac:dyDescent="0.25">
      <c r="A3785" s="11">
        <v>46120</v>
      </c>
      <c r="B3785" t="s">
        <v>37</v>
      </c>
      <c r="C3785" t="s">
        <v>16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f t="shared" si="42"/>
        <v>0</v>
      </c>
      <c r="J3785" s="3">
        <f t="shared" si="43"/>
        <v>22</v>
      </c>
      <c r="K3785" s="3">
        <f t="shared" si="44"/>
        <v>-22</v>
      </c>
      <c r="L3785" s="3" t="str">
        <f t="shared" si="45"/>
        <v>CRÍTICO</v>
      </c>
      <c r="N3785">
        <v>100</v>
      </c>
      <c r="O3785">
        <v>27.941176470588239</v>
      </c>
    </row>
    <row r="3786" spans="1:15" x14ac:dyDescent="0.25">
      <c r="A3786" s="11">
        <v>46120</v>
      </c>
      <c r="B3786" t="s">
        <v>38</v>
      </c>
      <c r="C3786" t="s">
        <v>18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 t="shared" si="42"/>
        <v>37</v>
      </c>
      <c r="J3786" s="3">
        <f t="shared" si="43"/>
        <v>28</v>
      </c>
      <c r="K3786" s="3">
        <f t="shared" si="44"/>
        <v>9</v>
      </c>
      <c r="L3786" s="3" t="str">
        <f t="shared" si="45"/>
        <v>MUITO BOM</v>
      </c>
      <c r="N3786">
        <v>99.57</v>
      </c>
      <c r="O3786">
        <v>29.913294797687861</v>
      </c>
    </row>
    <row r="3787" spans="1:15" x14ac:dyDescent="0.25">
      <c r="A3787" s="11">
        <v>46120</v>
      </c>
      <c r="B3787" t="s">
        <v>39</v>
      </c>
      <c r="C3787" t="s">
        <v>18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f t="shared" si="42"/>
        <v>0</v>
      </c>
      <c r="J3787" s="3">
        <f t="shared" si="43"/>
        <v>28</v>
      </c>
      <c r="K3787" s="3">
        <f t="shared" si="44"/>
        <v>-28</v>
      </c>
      <c r="L3787" s="3" t="str">
        <f t="shared" si="45"/>
        <v>CRÍTICO</v>
      </c>
      <c r="N3787">
        <v>95.65</v>
      </c>
      <c r="O3787">
        <v>31.081081081081081</v>
      </c>
    </row>
    <row r="3788" spans="1:15" x14ac:dyDescent="0.25">
      <c r="A3788" s="11">
        <v>46120</v>
      </c>
      <c r="B3788" t="s">
        <v>40</v>
      </c>
      <c r="C3788" t="s">
        <v>16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 t="shared" si="42"/>
        <v>25</v>
      </c>
      <c r="J3788" s="3">
        <f t="shared" si="43"/>
        <v>22</v>
      </c>
      <c r="K3788" s="3">
        <f t="shared" si="44"/>
        <v>3</v>
      </c>
      <c r="L3788" s="3" t="str">
        <f t="shared" si="45"/>
        <v>OPORTUNO</v>
      </c>
      <c r="N3788">
        <v>98.81</v>
      </c>
      <c r="O3788">
        <v>26.256983240223459</v>
      </c>
    </row>
    <row r="3789" spans="1:15" x14ac:dyDescent="0.25">
      <c r="A3789" s="11">
        <v>46120</v>
      </c>
      <c r="B3789" t="s">
        <v>41</v>
      </c>
      <c r="C3789" t="s">
        <v>18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f t="shared" si="42"/>
        <v>0</v>
      </c>
      <c r="J3789" s="3">
        <f t="shared" si="43"/>
        <v>28</v>
      </c>
      <c r="K3789" s="3">
        <f t="shared" si="44"/>
        <v>-28</v>
      </c>
      <c r="L3789" s="3" t="str">
        <f t="shared" si="45"/>
        <v>CRÍTICO</v>
      </c>
      <c r="N3789">
        <v>0</v>
      </c>
      <c r="O3789">
        <v>0</v>
      </c>
    </row>
    <row r="3790" spans="1:15" x14ac:dyDescent="0.25">
      <c r="A3790" s="11">
        <v>46120</v>
      </c>
      <c r="B3790" t="s">
        <v>42</v>
      </c>
      <c r="C3790" t="s">
        <v>43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 t="shared" si="42"/>
        <v>22</v>
      </c>
      <c r="J3790" s="3">
        <f t="shared" si="43"/>
        <v>16</v>
      </c>
      <c r="K3790" s="3">
        <f t="shared" si="44"/>
        <v>6</v>
      </c>
      <c r="L3790" s="3" t="str">
        <f t="shared" si="45"/>
        <v>MUITO BOM</v>
      </c>
      <c r="N3790">
        <v>97.17</v>
      </c>
      <c r="O3790">
        <v>28.81844380403458</v>
      </c>
    </row>
    <row r="3791" spans="1:15" x14ac:dyDescent="0.25">
      <c r="A3791" s="11">
        <v>46120</v>
      </c>
      <c r="B3791" t="s">
        <v>44</v>
      </c>
      <c r="C3791" t="s">
        <v>18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 t="shared" si="42"/>
        <v>17</v>
      </c>
      <c r="J3791" s="3">
        <f t="shared" si="43"/>
        <v>28</v>
      </c>
      <c r="K3791" s="3">
        <f t="shared" si="44"/>
        <v>-11</v>
      </c>
      <c r="L3791" s="3" t="str">
        <f t="shared" si="45"/>
        <v>CRÍTICO</v>
      </c>
      <c r="N3791">
        <v>96.81</v>
      </c>
      <c r="O3791">
        <v>48.018648018648022</v>
      </c>
    </row>
    <row r="3792" spans="1:15" x14ac:dyDescent="0.25">
      <c r="A3792" s="11">
        <v>46120</v>
      </c>
      <c r="B3792" t="s">
        <v>45</v>
      </c>
      <c r="C3792" t="s">
        <v>43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 t="shared" si="42"/>
        <v>17</v>
      </c>
      <c r="J3792" s="3">
        <f t="shared" si="43"/>
        <v>16</v>
      </c>
      <c r="K3792" s="3">
        <f t="shared" si="44"/>
        <v>1</v>
      </c>
      <c r="L3792" s="3" t="str">
        <f t="shared" si="45"/>
        <v>OPORTUNO</v>
      </c>
      <c r="N3792">
        <v>98.15</v>
      </c>
      <c r="O3792">
        <v>27.1551724137931</v>
      </c>
    </row>
    <row r="3793" spans="1:15" x14ac:dyDescent="0.25">
      <c r="A3793" s="11">
        <v>46120</v>
      </c>
      <c r="B3793" t="s">
        <v>46</v>
      </c>
      <c r="C3793" t="s">
        <v>18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 t="shared" si="42"/>
        <v>29</v>
      </c>
      <c r="J3793" s="3">
        <f t="shared" si="43"/>
        <v>28</v>
      </c>
      <c r="K3793" s="3">
        <f t="shared" si="44"/>
        <v>1</v>
      </c>
      <c r="L3793" s="3" t="str">
        <f t="shared" si="45"/>
        <v>OPORTUNO</v>
      </c>
      <c r="N3793">
        <v>99.15</v>
      </c>
      <c r="O3793">
        <v>27.370689655172409</v>
      </c>
    </row>
    <row r="3794" spans="1:15" x14ac:dyDescent="0.25">
      <c r="A3794" s="11">
        <v>46120</v>
      </c>
      <c r="B3794" t="s">
        <v>47</v>
      </c>
      <c r="C3794" t="s">
        <v>16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 t="shared" si="42"/>
        <v>24</v>
      </c>
      <c r="J3794" s="3">
        <f t="shared" si="43"/>
        <v>22</v>
      </c>
      <c r="K3794" s="3">
        <f t="shared" si="44"/>
        <v>2</v>
      </c>
      <c r="L3794" s="3" t="str">
        <f t="shared" si="45"/>
        <v>OPORTUNO</v>
      </c>
      <c r="N3794">
        <v>99.17</v>
      </c>
      <c r="O3794">
        <v>29.75206611570248</v>
      </c>
    </row>
    <row r="3795" spans="1:15" x14ac:dyDescent="0.25">
      <c r="A3795" s="11">
        <v>46120</v>
      </c>
      <c r="B3795" t="s">
        <v>48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>
        <v>0</v>
      </c>
      <c r="I3795" s="3">
        <f t="shared" si="42"/>
        <v>0</v>
      </c>
      <c r="J3795" s="3">
        <f t="shared" si="43"/>
        <v>22</v>
      </c>
      <c r="K3795" s="3">
        <f t="shared" si="44"/>
        <v>-22</v>
      </c>
      <c r="L3795" s="3" t="str">
        <f t="shared" si="45"/>
        <v>CRÍTICO</v>
      </c>
      <c r="N3795">
        <v>98.73</v>
      </c>
      <c r="O3795">
        <v>28.961748633879779</v>
      </c>
    </row>
    <row r="3796" spans="1:15" x14ac:dyDescent="0.25">
      <c r="A3796" s="11">
        <v>46120</v>
      </c>
      <c r="B3796" t="s">
        <v>49</v>
      </c>
      <c r="C3796" t="s">
        <v>18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 t="shared" si="42"/>
        <v>36</v>
      </c>
      <c r="J3796" s="3">
        <f t="shared" si="43"/>
        <v>28</v>
      </c>
      <c r="K3796" s="3">
        <f t="shared" si="44"/>
        <v>8</v>
      </c>
      <c r="L3796" s="3" t="str">
        <f t="shared" si="45"/>
        <v>MUITO BOM</v>
      </c>
      <c r="N3796">
        <v>88.68</v>
      </c>
      <c r="O3796">
        <v>22.03389830508474</v>
      </c>
    </row>
    <row r="3797" spans="1:15" x14ac:dyDescent="0.25">
      <c r="A3797" s="11">
        <v>46120</v>
      </c>
      <c r="B3797" t="s">
        <v>50</v>
      </c>
      <c r="C3797" t="s">
        <v>20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 t="shared" si="42"/>
        <v>26</v>
      </c>
      <c r="J3797" s="3">
        <f t="shared" si="43"/>
        <v>18</v>
      </c>
      <c r="K3797" s="3">
        <f t="shared" si="44"/>
        <v>8</v>
      </c>
      <c r="L3797" s="3" t="str">
        <f t="shared" si="45"/>
        <v>MUITO BOM</v>
      </c>
      <c r="N3797">
        <v>97.37</v>
      </c>
      <c r="O3797">
        <v>25.76530612244898</v>
      </c>
    </row>
    <row r="3798" spans="1:15" x14ac:dyDescent="0.25">
      <c r="A3798" s="11">
        <v>46120</v>
      </c>
      <c r="B3798" t="s">
        <v>51</v>
      </c>
      <c r="C3798" t="s">
        <v>23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f t="shared" si="42"/>
        <v>0</v>
      </c>
      <c r="J3798" s="3">
        <f t="shared" si="43"/>
        <v>8</v>
      </c>
      <c r="K3798" s="3">
        <f t="shared" si="44"/>
        <v>-8</v>
      </c>
      <c r="L3798" s="3" t="str">
        <f t="shared" si="45"/>
        <v>CRÍTICO</v>
      </c>
      <c r="N3798">
        <v>100</v>
      </c>
      <c r="O3798">
        <v>25</v>
      </c>
    </row>
    <row r="3799" spans="1:15" x14ac:dyDescent="0.25">
      <c r="A3799" s="11">
        <v>46120</v>
      </c>
      <c r="B3799" t="s">
        <v>52</v>
      </c>
      <c r="C3799" t="s">
        <v>18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si="42"/>
        <v>18</v>
      </c>
      <c r="J3799" s="3">
        <f t="shared" si="43"/>
        <v>28</v>
      </c>
      <c r="K3799" s="3">
        <f t="shared" si="44"/>
        <v>-10</v>
      </c>
      <c r="L3799" s="3" t="str">
        <f t="shared" si="45"/>
        <v>CRÍTICO</v>
      </c>
      <c r="N3799">
        <v>100</v>
      </c>
      <c r="O3799">
        <v>23.9870340356564</v>
      </c>
    </row>
    <row r="3800" spans="1:15" x14ac:dyDescent="0.25">
      <c r="A3800" s="11">
        <v>46120</v>
      </c>
      <c r="B3800" t="s">
        <v>53</v>
      </c>
      <c r="C3800" t="s">
        <v>18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42"/>
        <v>37</v>
      </c>
      <c r="J3800" s="3">
        <f t="shared" si="43"/>
        <v>28</v>
      </c>
      <c r="K3800" s="3">
        <f t="shared" si="44"/>
        <v>9</v>
      </c>
      <c r="L3800" s="3" t="str">
        <f t="shared" si="45"/>
        <v>MUITO BOM</v>
      </c>
      <c r="N3800">
        <v>95.49</v>
      </c>
      <c r="O3800">
        <v>28.16901408450704</v>
      </c>
    </row>
    <row r="3801" spans="1:15" x14ac:dyDescent="0.25">
      <c r="A3801" s="11">
        <v>46120</v>
      </c>
      <c r="B3801" t="s">
        <v>54</v>
      </c>
      <c r="C3801" t="s">
        <v>23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42"/>
        <v>5</v>
      </c>
      <c r="J3801" s="3">
        <f t="shared" si="43"/>
        <v>8</v>
      </c>
      <c r="K3801" s="3">
        <f t="shared" si="44"/>
        <v>-3</v>
      </c>
      <c r="L3801" s="3" t="str">
        <f t="shared" si="45"/>
        <v>ATENÇÃO</v>
      </c>
      <c r="N3801">
        <v>100</v>
      </c>
      <c r="O3801">
        <v>23.77622377622378</v>
      </c>
    </row>
    <row r="3802" spans="1:15" x14ac:dyDescent="0.25">
      <c r="A3802" s="11">
        <v>46120</v>
      </c>
      <c r="B3802" t="s">
        <v>55</v>
      </c>
      <c r="C3802" t="s">
        <v>43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42"/>
        <v>30</v>
      </c>
      <c r="J3802" s="3">
        <f t="shared" si="43"/>
        <v>16</v>
      </c>
      <c r="K3802" s="3">
        <f t="shared" si="44"/>
        <v>14</v>
      </c>
      <c r="L3802" s="3" t="str">
        <f t="shared" si="45"/>
        <v>MUITO BOM</v>
      </c>
      <c r="N3802">
        <v>96.15</v>
      </c>
      <c r="O3802">
        <v>24.045801526717561</v>
      </c>
    </row>
    <row r="3803" spans="1:15" x14ac:dyDescent="0.25">
      <c r="A3803" s="11">
        <v>46120</v>
      </c>
      <c r="B3803" t="s">
        <v>56</v>
      </c>
      <c r="C3803" t="s">
        <v>16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ref="I3803:I3866" si="46">E3803+G3803+H3803</f>
        <v>8</v>
      </c>
      <c r="J3803" s="3">
        <f t="shared" ref="J3803:J3866" si="47"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22</v>
      </c>
      <c r="K3803" s="3">
        <f t="shared" ref="K3803:K3866" si="48">I3803-J3803</f>
        <v>-14</v>
      </c>
      <c r="L3803" s="3" t="str">
        <f t="shared" ref="L3803:L3866" si="49">IF(K3803&lt;-5,"CRÍTICO",IF(K3803&lt;0,"ATENÇÃO",IF(K3803&lt;=5,"OPORTUNO","MUITO BOM")))</f>
        <v>CRÍTICO</v>
      </c>
      <c r="N3803">
        <v>99.02</v>
      </c>
      <c r="O3803">
        <v>34.797297297297298</v>
      </c>
    </row>
    <row r="3804" spans="1:15" x14ac:dyDescent="0.25">
      <c r="A3804" s="11">
        <v>46120</v>
      </c>
      <c r="B3804" t="s">
        <v>57</v>
      </c>
      <c r="C3804" t="s">
        <v>43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46"/>
        <v>17</v>
      </c>
      <c r="J3804" s="3">
        <f t="shared" si="47"/>
        <v>16</v>
      </c>
      <c r="K3804" s="3">
        <f t="shared" si="48"/>
        <v>1</v>
      </c>
      <c r="L3804" s="3" t="str">
        <f t="shared" si="49"/>
        <v>OPORTUNO</v>
      </c>
      <c r="N3804">
        <v>98.84</v>
      </c>
      <c r="O3804">
        <v>31.5018315018315</v>
      </c>
    </row>
    <row r="3805" spans="1:15" x14ac:dyDescent="0.25">
      <c r="A3805" s="11">
        <v>46120</v>
      </c>
      <c r="B3805" t="s">
        <v>58</v>
      </c>
      <c r="C3805" t="s">
        <v>43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46"/>
        <v>18</v>
      </c>
      <c r="J3805" s="3">
        <f t="shared" si="47"/>
        <v>16</v>
      </c>
      <c r="K3805" s="3">
        <f t="shared" si="48"/>
        <v>2</v>
      </c>
      <c r="L3805" s="3" t="str">
        <f t="shared" si="49"/>
        <v>OPORTUNO</v>
      </c>
      <c r="N3805">
        <v>100</v>
      </c>
      <c r="O3805">
        <v>34.666666666666671</v>
      </c>
    </row>
    <row r="3806" spans="1:15" x14ac:dyDescent="0.25">
      <c r="A3806" s="11">
        <v>46120</v>
      </c>
      <c r="B3806" t="s">
        <v>59</v>
      </c>
      <c r="C3806" t="s">
        <v>23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46"/>
        <v>6</v>
      </c>
      <c r="J3806" s="3">
        <f t="shared" si="47"/>
        <v>8</v>
      </c>
      <c r="K3806" s="3">
        <f t="shared" si="48"/>
        <v>-2</v>
      </c>
      <c r="L3806" s="3" t="str">
        <f t="shared" si="49"/>
        <v>ATENÇÃO</v>
      </c>
      <c r="N3806">
        <v>94.12</v>
      </c>
      <c r="O3806">
        <v>32.799999999999997</v>
      </c>
    </row>
    <row r="3807" spans="1:15" x14ac:dyDescent="0.25">
      <c r="A3807" s="11">
        <v>46120</v>
      </c>
      <c r="B3807" t="s">
        <v>60</v>
      </c>
      <c r="C3807" t="s">
        <v>20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46"/>
        <v>29</v>
      </c>
      <c r="J3807" s="3">
        <f t="shared" si="47"/>
        <v>18</v>
      </c>
      <c r="K3807" s="3">
        <f t="shared" si="48"/>
        <v>11</v>
      </c>
      <c r="L3807" s="3" t="str">
        <f t="shared" si="49"/>
        <v>MUITO BOM</v>
      </c>
      <c r="N3807">
        <v>98.32</v>
      </c>
      <c r="O3807">
        <v>26.618705035971221</v>
      </c>
    </row>
    <row r="3808" spans="1:15" x14ac:dyDescent="0.25">
      <c r="A3808" s="11">
        <v>46120</v>
      </c>
      <c r="B3808" t="s">
        <v>61</v>
      </c>
      <c r="C3808" t="s">
        <v>18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46"/>
        <v>39</v>
      </c>
      <c r="J3808" s="3">
        <f t="shared" si="47"/>
        <v>28</v>
      </c>
      <c r="K3808" s="3">
        <f t="shared" si="48"/>
        <v>11</v>
      </c>
      <c r="L3808" s="3" t="str">
        <f t="shared" si="49"/>
        <v>MUITO BOM</v>
      </c>
      <c r="N3808">
        <v>100</v>
      </c>
      <c r="O3808">
        <v>31.135531135531139</v>
      </c>
    </row>
    <row r="3809" spans="1:15" x14ac:dyDescent="0.25">
      <c r="A3809" s="11">
        <v>46120</v>
      </c>
      <c r="B3809" t="s">
        <v>62</v>
      </c>
      <c r="C3809" t="s">
        <v>20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46"/>
        <v>23</v>
      </c>
      <c r="J3809" s="3">
        <f t="shared" si="47"/>
        <v>18</v>
      </c>
      <c r="K3809" s="3">
        <f t="shared" si="48"/>
        <v>5</v>
      </c>
      <c r="L3809" s="3" t="str">
        <f t="shared" si="49"/>
        <v>OPORTUNO</v>
      </c>
      <c r="N3809">
        <v>100</v>
      </c>
      <c r="O3809">
        <v>26.027397260273968</v>
      </c>
    </row>
    <row r="3810" spans="1:15" x14ac:dyDescent="0.25">
      <c r="A3810" s="11">
        <v>46120</v>
      </c>
      <c r="B3810" t="s">
        <v>63</v>
      </c>
      <c r="C3810" t="s">
        <v>18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46"/>
        <v>25</v>
      </c>
      <c r="J3810" s="3">
        <f t="shared" si="47"/>
        <v>28</v>
      </c>
      <c r="K3810" s="3">
        <f t="shared" si="48"/>
        <v>-3</v>
      </c>
      <c r="L3810" s="3" t="str">
        <f t="shared" si="49"/>
        <v>ATENÇÃO</v>
      </c>
      <c r="N3810">
        <v>99.21</v>
      </c>
      <c r="O3810">
        <v>24.937027707808561</v>
      </c>
    </row>
    <row r="3811" spans="1:15" x14ac:dyDescent="0.25">
      <c r="A3811" s="11">
        <v>46121</v>
      </c>
      <c r="B3811" t="s">
        <v>15</v>
      </c>
      <c r="C3811" t="s">
        <v>16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46"/>
        <v>11</v>
      </c>
      <c r="J3811" s="3">
        <f t="shared" si="47"/>
        <v>20</v>
      </c>
      <c r="K3811" s="3">
        <f t="shared" si="48"/>
        <v>-9</v>
      </c>
      <c r="L3811" s="3" t="str">
        <f t="shared" si="49"/>
        <v>CRÍTICO</v>
      </c>
      <c r="N3811">
        <v>100</v>
      </c>
      <c r="O3811">
        <v>32.764505119453922</v>
      </c>
    </row>
    <row r="3812" spans="1:15" x14ac:dyDescent="0.25">
      <c r="A3812" s="11">
        <v>46121</v>
      </c>
      <c r="B3812" t="s">
        <v>17</v>
      </c>
      <c r="C3812" t="s">
        <v>18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f t="shared" si="46"/>
        <v>0</v>
      </c>
      <c r="J3812" s="3">
        <f t="shared" si="47"/>
        <v>24</v>
      </c>
      <c r="K3812" s="3">
        <f t="shared" si="48"/>
        <v>-24</v>
      </c>
      <c r="L3812" s="3" t="str">
        <f t="shared" si="49"/>
        <v>CRÍTICO</v>
      </c>
      <c r="N3812">
        <v>98.66</v>
      </c>
      <c r="O3812">
        <v>35.15625</v>
      </c>
    </row>
    <row r="3813" spans="1:15" x14ac:dyDescent="0.25">
      <c r="A3813" s="11">
        <v>46121</v>
      </c>
      <c r="B3813" t="s">
        <v>19</v>
      </c>
      <c r="C3813" t="s">
        <v>20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si="46"/>
        <v>20</v>
      </c>
      <c r="J3813" s="3">
        <f t="shared" si="47"/>
        <v>16</v>
      </c>
      <c r="K3813" s="3">
        <f t="shared" si="48"/>
        <v>4</v>
      </c>
      <c r="L3813" s="3" t="str">
        <f t="shared" si="49"/>
        <v>OPORTUNO</v>
      </c>
      <c r="N3813">
        <v>99.32</v>
      </c>
      <c r="O3813">
        <v>30.45186640471513</v>
      </c>
    </row>
    <row r="3814" spans="1:15" x14ac:dyDescent="0.25">
      <c r="A3814" s="11">
        <v>46121</v>
      </c>
      <c r="B3814" t="s">
        <v>21</v>
      </c>
      <c r="C3814" t="s">
        <v>18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46"/>
        <v>21</v>
      </c>
      <c r="J3814" s="3">
        <f t="shared" si="47"/>
        <v>24</v>
      </c>
      <c r="K3814" s="3">
        <f t="shared" si="48"/>
        <v>-3</v>
      </c>
      <c r="L3814" s="3" t="str">
        <f t="shared" si="49"/>
        <v>ATENÇÃO</v>
      </c>
      <c r="N3814">
        <v>100</v>
      </c>
      <c r="O3814">
        <v>27.803738317757009</v>
      </c>
    </row>
    <row r="3815" spans="1:15" x14ac:dyDescent="0.25">
      <c r="A3815" s="11">
        <v>46121</v>
      </c>
      <c r="B3815" t="s">
        <v>22</v>
      </c>
      <c r="C3815" t="s">
        <v>23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46"/>
        <v>17</v>
      </c>
      <c r="J3815" s="3">
        <f t="shared" si="47"/>
        <v>7</v>
      </c>
      <c r="K3815" s="3">
        <f t="shared" si="48"/>
        <v>10</v>
      </c>
      <c r="L3815" s="3" t="str">
        <f t="shared" si="49"/>
        <v>MUITO BOM</v>
      </c>
      <c r="N3815">
        <v>96.74</v>
      </c>
      <c r="O3815">
        <v>28.43137254901961</v>
      </c>
    </row>
    <row r="3816" spans="1:15" x14ac:dyDescent="0.25">
      <c r="A3816" s="11">
        <v>46121</v>
      </c>
      <c r="B3816" t="s">
        <v>24</v>
      </c>
      <c r="C3816" t="s">
        <v>16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46"/>
        <v>34</v>
      </c>
      <c r="J3816" s="3">
        <f t="shared" si="47"/>
        <v>20</v>
      </c>
      <c r="K3816" s="3">
        <f t="shared" si="48"/>
        <v>14</v>
      </c>
      <c r="L3816" s="3" t="str">
        <f t="shared" si="49"/>
        <v>MUITO BOM</v>
      </c>
      <c r="N3816">
        <v>98.82</v>
      </c>
      <c r="O3816">
        <v>30.741410488245929</v>
      </c>
    </row>
    <row r="3817" spans="1:15" x14ac:dyDescent="0.25">
      <c r="A3817" s="11">
        <v>46121</v>
      </c>
      <c r="B3817" t="s">
        <v>25</v>
      </c>
      <c r="C3817" t="s">
        <v>16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46"/>
        <v>19</v>
      </c>
      <c r="J3817" s="3">
        <f t="shared" si="47"/>
        <v>20</v>
      </c>
      <c r="K3817" s="3">
        <f t="shared" si="48"/>
        <v>-1</v>
      </c>
      <c r="L3817" s="3" t="str">
        <f t="shared" si="49"/>
        <v>ATENÇÃO</v>
      </c>
      <c r="N3817">
        <v>98.2</v>
      </c>
      <c r="O3817">
        <v>26.890756302521009</v>
      </c>
    </row>
    <row r="3818" spans="1:15" x14ac:dyDescent="0.25">
      <c r="A3818" s="11">
        <v>46121</v>
      </c>
      <c r="B3818" t="s">
        <v>26</v>
      </c>
      <c r="C3818" t="s">
        <v>23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46"/>
        <v>6</v>
      </c>
      <c r="J3818" s="3">
        <f t="shared" si="47"/>
        <v>7</v>
      </c>
      <c r="K3818" s="3">
        <f t="shared" si="48"/>
        <v>-1</v>
      </c>
      <c r="L3818" s="3" t="str">
        <f t="shared" si="49"/>
        <v>ATENÇÃO</v>
      </c>
      <c r="N3818">
        <v>100</v>
      </c>
      <c r="O3818">
        <v>23.134328358208951</v>
      </c>
    </row>
    <row r="3819" spans="1:15" x14ac:dyDescent="0.25">
      <c r="A3819" s="11">
        <v>46121</v>
      </c>
      <c r="B3819" t="s">
        <v>27</v>
      </c>
      <c r="C3819" t="s">
        <v>20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46"/>
        <v>22</v>
      </c>
      <c r="J3819" s="3">
        <f t="shared" si="47"/>
        <v>16</v>
      </c>
      <c r="K3819" s="3">
        <f t="shared" si="48"/>
        <v>6</v>
      </c>
      <c r="L3819" s="3" t="str">
        <f t="shared" si="49"/>
        <v>MUITO BOM</v>
      </c>
      <c r="N3819">
        <v>96.3</v>
      </c>
      <c r="O3819">
        <v>31.980906921241051</v>
      </c>
    </row>
    <row r="3820" spans="1:15" x14ac:dyDescent="0.25">
      <c r="A3820" s="11">
        <v>46121</v>
      </c>
      <c r="B3820" t="s">
        <v>28</v>
      </c>
      <c r="C3820" t="s">
        <v>18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46"/>
        <v>17</v>
      </c>
      <c r="J3820" s="3">
        <f t="shared" si="47"/>
        <v>24</v>
      </c>
      <c r="K3820" s="3">
        <f t="shared" si="48"/>
        <v>-7</v>
      </c>
      <c r="L3820" s="3" t="str">
        <f t="shared" si="49"/>
        <v>CRÍTICO</v>
      </c>
      <c r="N3820">
        <v>93.75</v>
      </c>
      <c r="O3820">
        <v>26.628352490421459</v>
      </c>
    </row>
    <row r="3821" spans="1:15" x14ac:dyDescent="0.25">
      <c r="A3821" s="11">
        <v>46121</v>
      </c>
      <c r="B3821" t="s">
        <v>29</v>
      </c>
      <c r="C3821" t="s">
        <v>16</v>
      </c>
      <c r="D3821">
        <v>0</v>
      </c>
      <c r="E3821">
        <v>0</v>
      </c>
      <c r="F3821">
        <v>0</v>
      </c>
      <c r="G3821">
        <v>0</v>
      </c>
      <c r="H3821">
        <v>0</v>
      </c>
      <c r="I3821" s="3">
        <f t="shared" si="46"/>
        <v>0</v>
      </c>
      <c r="J3821" s="3">
        <f t="shared" si="47"/>
        <v>20</v>
      </c>
      <c r="K3821" s="3">
        <f t="shared" si="48"/>
        <v>-20</v>
      </c>
      <c r="L3821" s="3" t="str">
        <f t="shared" si="49"/>
        <v>CRÍTICO</v>
      </c>
      <c r="N3821">
        <v>97.86</v>
      </c>
      <c r="O3821">
        <v>31.018518518518519</v>
      </c>
    </row>
    <row r="3822" spans="1:15" x14ac:dyDescent="0.25">
      <c r="A3822" s="11">
        <v>46121</v>
      </c>
      <c r="B3822" t="s">
        <v>30</v>
      </c>
      <c r="C3822" t="s">
        <v>20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 t="shared" si="46"/>
        <v>22</v>
      </c>
      <c r="J3822" s="3">
        <f t="shared" si="47"/>
        <v>16</v>
      </c>
      <c r="K3822" s="3">
        <f t="shared" si="48"/>
        <v>6</v>
      </c>
      <c r="L3822" s="3" t="str">
        <f t="shared" si="49"/>
        <v>MUITO BOM</v>
      </c>
      <c r="N3822">
        <v>100</v>
      </c>
      <c r="O3822">
        <v>36.231884057971023</v>
      </c>
    </row>
    <row r="3823" spans="1:15" x14ac:dyDescent="0.25">
      <c r="A3823" s="11">
        <v>46121</v>
      </c>
      <c r="B3823" t="s">
        <v>31</v>
      </c>
      <c r="C3823" t="s">
        <v>18</v>
      </c>
      <c r="D3823">
        <v>0</v>
      </c>
      <c r="E3823">
        <v>0</v>
      </c>
      <c r="F3823">
        <v>0</v>
      </c>
      <c r="G3823">
        <v>0</v>
      </c>
      <c r="H3823">
        <v>0</v>
      </c>
      <c r="I3823" s="3">
        <f t="shared" si="46"/>
        <v>0</v>
      </c>
      <c r="J3823" s="3">
        <f t="shared" si="47"/>
        <v>24</v>
      </c>
      <c r="K3823" s="3">
        <f t="shared" si="48"/>
        <v>-24</v>
      </c>
      <c r="L3823" s="3" t="str">
        <f t="shared" si="49"/>
        <v>CRÍTICO</v>
      </c>
      <c r="N3823">
        <v>100</v>
      </c>
      <c r="O3823">
        <v>38.269230769230766</v>
      </c>
    </row>
    <row r="3824" spans="1:15" x14ac:dyDescent="0.25">
      <c r="A3824" s="11">
        <v>46121</v>
      </c>
      <c r="B3824" t="s">
        <v>32</v>
      </c>
      <c r="C3824" t="s">
        <v>23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 t="shared" si="46"/>
        <v>13</v>
      </c>
      <c r="J3824" s="3">
        <f t="shared" si="47"/>
        <v>7</v>
      </c>
      <c r="K3824" s="3">
        <f t="shared" si="48"/>
        <v>6</v>
      </c>
      <c r="L3824" s="3" t="str">
        <f t="shared" si="49"/>
        <v>MUITO BOM</v>
      </c>
      <c r="N3824">
        <v>100</v>
      </c>
      <c r="O3824">
        <v>27.368421052631579</v>
      </c>
    </row>
    <row r="3825" spans="1:15" x14ac:dyDescent="0.25">
      <c r="A3825" s="11">
        <v>46121</v>
      </c>
      <c r="B3825" t="s">
        <v>33</v>
      </c>
      <c r="C3825" t="s">
        <v>16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 t="shared" si="46"/>
        <v>22</v>
      </c>
      <c r="J3825" s="3">
        <f t="shared" si="47"/>
        <v>20</v>
      </c>
      <c r="K3825" s="3">
        <f t="shared" si="48"/>
        <v>2</v>
      </c>
      <c r="L3825" s="3" t="str">
        <f t="shared" si="49"/>
        <v>OPORTUNO</v>
      </c>
      <c r="N3825">
        <v>97.83</v>
      </c>
      <c r="O3825">
        <v>28.131868131868131</v>
      </c>
    </row>
    <row r="3826" spans="1:15" x14ac:dyDescent="0.25">
      <c r="A3826" s="11">
        <v>46121</v>
      </c>
      <c r="B3826" t="s">
        <v>34</v>
      </c>
      <c r="C3826" t="s">
        <v>18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 t="shared" si="46"/>
        <v>22</v>
      </c>
      <c r="J3826" s="3">
        <f t="shared" si="47"/>
        <v>24</v>
      </c>
      <c r="K3826" s="3">
        <f t="shared" si="48"/>
        <v>-2</v>
      </c>
      <c r="L3826" s="3" t="str">
        <f t="shared" si="49"/>
        <v>ATENÇÃO</v>
      </c>
      <c r="N3826">
        <v>99.26</v>
      </c>
      <c r="O3826">
        <v>29.57198443579767</v>
      </c>
    </row>
    <row r="3827" spans="1:15" x14ac:dyDescent="0.25">
      <c r="A3827" s="11">
        <v>46121</v>
      </c>
      <c r="B3827" t="s">
        <v>35</v>
      </c>
      <c r="C3827" t="s">
        <v>16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 t="shared" si="46"/>
        <v>12</v>
      </c>
      <c r="J3827" s="3">
        <f t="shared" si="47"/>
        <v>20</v>
      </c>
      <c r="K3827" s="3">
        <f t="shared" si="48"/>
        <v>-8</v>
      </c>
      <c r="L3827" s="3" t="str">
        <f t="shared" si="49"/>
        <v>CRÍTICO</v>
      </c>
      <c r="N3827">
        <v>99.19</v>
      </c>
      <c r="O3827">
        <v>29.462365591397852</v>
      </c>
    </row>
    <row r="3828" spans="1:15" x14ac:dyDescent="0.25">
      <c r="A3828" s="5">
        <v>46156</v>
      </c>
      <c r="B3828" s="6" t="s">
        <v>36</v>
      </c>
      <c r="C3828" s="3" t="s">
        <v>20</v>
      </c>
      <c r="D3828" s="3">
        <v>19</v>
      </c>
      <c r="E3828" s="3">
        <v>18</v>
      </c>
      <c r="G3828" s="3">
        <v>0</v>
      </c>
      <c r="H3828" s="3">
        <v>5</v>
      </c>
      <c r="I3828" s="3">
        <f t="shared" si="46"/>
        <v>23</v>
      </c>
      <c r="J3828" s="3">
        <f t="shared" si="47"/>
        <v>19</v>
      </c>
      <c r="K3828" s="3">
        <f t="shared" si="48"/>
        <v>4</v>
      </c>
      <c r="L3828" s="3" t="str">
        <f t="shared" si="49"/>
        <v>OPORTUNO</v>
      </c>
      <c r="M3828">
        <v>23</v>
      </c>
      <c r="N3828">
        <v>98.8</v>
      </c>
      <c r="O3828">
        <v>15.41353383458646</v>
      </c>
    </row>
    <row r="3829" spans="1:15" x14ac:dyDescent="0.25">
      <c r="A3829" s="11">
        <v>46121</v>
      </c>
      <c r="B3829" t="s">
        <v>37</v>
      </c>
      <c r="C3829" t="s">
        <v>16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f t="shared" si="46"/>
        <v>0</v>
      </c>
      <c r="J3829" s="3">
        <f t="shared" si="47"/>
        <v>20</v>
      </c>
      <c r="K3829" s="3">
        <f t="shared" si="48"/>
        <v>-20</v>
      </c>
      <c r="L3829" s="3" t="str">
        <f t="shared" si="49"/>
        <v>CRÍTICO</v>
      </c>
      <c r="N3829">
        <v>100</v>
      </c>
      <c r="O3829">
        <v>27.941176470588239</v>
      </c>
    </row>
    <row r="3830" spans="1:15" x14ac:dyDescent="0.25">
      <c r="A3830" s="11">
        <v>46121</v>
      </c>
      <c r="B3830" t="s">
        <v>38</v>
      </c>
      <c r="C3830" t="s">
        <v>18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 t="shared" si="46"/>
        <v>32</v>
      </c>
      <c r="J3830" s="3">
        <f t="shared" si="47"/>
        <v>24</v>
      </c>
      <c r="K3830" s="3">
        <f t="shared" si="48"/>
        <v>8</v>
      </c>
      <c r="L3830" s="3" t="str">
        <f t="shared" si="49"/>
        <v>MUITO BOM</v>
      </c>
      <c r="N3830">
        <v>99.57</v>
      </c>
      <c r="O3830">
        <v>29.913294797687861</v>
      </c>
    </row>
    <row r="3831" spans="1:15" x14ac:dyDescent="0.25">
      <c r="A3831" s="11">
        <v>46121</v>
      </c>
      <c r="B3831" t="s">
        <v>39</v>
      </c>
      <c r="C3831" t="s">
        <v>18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f t="shared" si="46"/>
        <v>0</v>
      </c>
      <c r="J3831" s="3">
        <f t="shared" si="47"/>
        <v>24</v>
      </c>
      <c r="K3831" s="3">
        <f t="shared" si="48"/>
        <v>-24</v>
      </c>
      <c r="L3831" s="3" t="str">
        <f t="shared" si="49"/>
        <v>CRÍTICO</v>
      </c>
      <c r="N3831">
        <v>95.65</v>
      </c>
      <c r="O3831">
        <v>31.081081081081081</v>
      </c>
    </row>
    <row r="3832" spans="1:15" x14ac:dyDescent="0.25">
      <c r="A3832" s="11">
        <v>46121</v>
      </c>
      <c r="B3832" t="s">
        <v>40</v>
      </c>
      <c r="C3832" t="s">
        <v>16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 t="shared" si="46"/>
        <v>21</v>
      </c>
      <c r="J3832" s="3">
        <f t="shared" si="47"/>
        <v>20</v>
      </c>
      <c r="K3832" s="3">
        <f t="shared" si="48"/>
        <v>1</v>
      </c>
      <c r="L3832" s="3" t="str">
        <f t="shared" si="49"/>
        <v>OPORTUNO</v>
      </c>
      <c r="N3832">
        <v>98.81</v>
      </c>
      <c r="O3832">
        <v>26.256983240223459</v>
      </c>
    </row>
    <row r="3833" spans="1:15" x14ac:dyDescent="0.25">
      <c r="A3833" s="11">
        <v>46121</v>
      </c>
      <c r="B3833" t="s">
        <v>41</v>
      </c>
      <c r="C3833" t="s">
        <v>18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f t="shared" si="46"/>
        <v>0</v>
      </c>
      <c r="J3833" s="3">
        <f t="shared" si="47"/>
        <v>24</v>
      </c>
      <c r="K3833" s="3">
        <f t="shared" si="48"/>
        <v>-24</v>
      </c>
      <c r="L3833" s="3" t="str">
        <f t="shared" si="49"/>
        <v>CRÍTICO</v>
      </c>
      <c r="N3833">
        <v>0</v>
      </c>
      <c r="O3833">
        <v>0</v>
      </c>
    </row>
    <row r="3834" spans="1:15" x14ac:dyDescent="0.25">
      <c r="A3834" s="11">
        <v>46121</v>
      </c>
      <c r="B3834" t="s">
        <v>42</v>
      </c>
      <c r="C3834" t="s">
        <v>43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 t="shared" si="46"/>
        <v>28</v>
      </c>
      <c r="J3834" s="3">
        <f t="shared" si="47"/>
        <v>14</v>
      </c>
      <c r="K3834" s="3">
        <f t="shared" si="48"/>
        <v>14</v>
      </c>
      <c r="L3834" s="3" t="str">
        <f t="shared" si="49"/>
        <v>MUITO BOM</v>
      </c>
      <c r="N3834">
        <v>97.17</v>
      </c>
      <c r="O3834">
        <v>28.81844380403458</v>
      </c>
    </row>
    <row r="3835" spans="1:15" x14ac:dyDescent="0.25">
      <c r="A3835" s="11">
        <v>46121</v>
      </c>
      <c r="B3835" t="s">
        <v>44</v>
      </c>
      <c r="C3835" t="s">
        <v>18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 t="shared" si="46"/>
        <v>15</v>
      </c>
      <c r="J3835" s="3">
        <f t="shared" si="47"/>
        <v>24</v>
      </c>
      <c r="K3835" s="3">
        <f t="shared" si="48"/>
        <v>-9</v>
      </c>
      <c r="L3835" s="3" t="str">
        <f t="shared" si="49"/>
        <v>CRÍTICO</v>
      </c>
      <c r="N3835">
        <v>96.81</v>
      </c>
      <c r="O3835">
        <v>48.018648018648022</v>
      </c>
    </row>
    <row r="3836" spans="1:15" x14ac:dyDescent="0.25">
      <c r="A3836" s="11">
        <v>46121</v>
      </c>
      <c r="B3836" t="s">
        <v>45</v>
      </c>
      <c r="C3836" t="s">
        <v>43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 t="shared" si="46"/>
        <v>15</v>
      </c>
      <c r="J3836" s="3">
        <f t="shared" si="47"/>
        <v>14</v>
      </c>
      <c r="K3836" s="3">
        <f t="shared" si="48"/>
        <v>1</v>
      </c>
      <c r="L3836" s="3" t="str">
        <f t="shared" si="49"/>
        <v>OPORTUNO</v>
      </c>
      <c r="N3836">
        <v>98.15</v>
      </c>
      <c r="O3836">
        <v>27.1551724137931</v>
      </c>
    </row>
    <row r="3837" spans="1:15" x14ac:dyDescent="0.25">
      <c r="A3837" s="11">
        <v>46121</v>
      </c>
      <c r="B3837" t="s">
        <v>46</v>
      </c>
      <c r="C3837" t="s">
        <v>18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 t="shared" si="46"/>
        <v>12</v>
      </c>
      <c r="J3837" s="3">
        <f t="shared" si="47"/>
        <v>24</v>
      </c>
      <c r="K3837" s="3">
        <f t="shared" si="48"/>
        <v>-12</v>
      </c>
      <c r="L3837" s="3" t="str">
        <f t="shared" si="49"/>
        <v>CRÍTICO</v>
      </c>
      <c r="N3837">
        <v>99.15</v>
      </c>
      <c r="O3837">
        <v>27.370689655172409</v>
      </c>
    </row>
    <row r="3838" spans="1:15" x14ac:dyDescent="0.25">
      <c r="A3838" s="11">
        <v>46121</v>
      </c>
      <c r="B3838" t="s">
        <v>47</v>
      </c>
      <c r="C3838" t="s">
        <v>16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 t="shared" si="46"/>
        <v>18</v>
      </c>
      <c r="J3838" s="3">
        <f t="shared" si="47"/>
        <v>20</v>
      </c>
      <c r="K3838" s="3">
        <f t="shared" si="48"/>
        <v>-2</v>
      </c>
      <c r="L3838" s="3" t="str">
        <f t="shared" si="49"/>
        <v>ATENÇÃO</v>
      </c>
      <c r="N3838">
        <v>99.17</v>
      </c>
      <c r="O3838">
        <v>29.75206611570248</v>
      </c>
    </row>
    <row r="3839" spans="1:15" x14ac:dyDescent="0.25">
      <c r="A3839" s="11">
        <v>46121</v>
      </c>
      <c r="B3839" t="s">
        <v>48</v>
      </c>
      <c r="C3839" t="s">
        <v>16</v>
      </c>
      <c r="D3839">
        <v>0</v>
      </c>
      <c r="E3839">
        <v>0</v>
      </c>
      <c r="F3839">
        <v>0</v>
      </c>
      <c r="G3839">
        <v>0</v>
      </c>
      <c r="H3839">
        <v>0</v>
      </c>
      <c r="I3839" s="3">
        <f t="shared" si="46"/>
        <v>0</v>
      </c>
      <c r="J3839" s="3">
        <f t="shared" si="47"/>
        <v>20</v>
      </c>
      <c r="K3839" s="3">
        <f t="shared" si="48"/>
        <v>-20</v>
      </c>
      <c r="L3839" s="3" t="str">
        <f t="shared" si="49"/>
        <v>CRÍTICO</v>
      </c>
      <c r="N3839">
        <v>98.73</v>
      </c>
      <c r="O3839">
        <v>28.961748633879779</v>
      </c>
    </row>
    <row r="3840" spans="1:15" x14ac:dyDescent="0.25">
      <c r="A3840" s="11">
        <v>46121</v>
      </c>
      <c r="B3840" t="s">
        <v>49</v>
      </c>
      <c r="C3840" t="s">
        <v>18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si="46"/>
        <v>30</v>
      </c>
      <c r="J3840" s="3">
        <f t="shared" si="47"/>
        <v>24</v>
      </c>
      <c r="K3840" s="3">
        <f t="shared" si="48"/>
        <v>6</v>
      </c>
      <c r="L3840" s="3" t="str">
        <f t="shared" si="49"/>
        <v>MUITO BOM</v>
      </c>
      <c r="N3840">
        <v>88.68</v>
      </c>
      <c r="O3840">
        <v>22.03389830508474</v>
      </c>
    </row>
    <row r="3841" spans="1:15" x14ac:dyDescent="0.25">
      <c r="A3841" s="11">
        <v>46121</v>
      </c>
      <c r="B3841" t="s">
        <v>50</v>
      </c>
      <c r="C3841" t="s">
        <v>20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46"/>
        <v>23</v>
      </c>
      <c r="J3841" s="3">
        <f t="shared" si="47"/>
        <v>16</v>
      </c>
      <c r="K3841" s="3">
        <f t="shared" si="48"/>
        <v>7</v>
      </c>
      <c r="L3841" s="3" t="str">
        <f t="shared" si="49"/>
        <v>MUITO BOM</v>
      </c>
      <c r="N3841">
        <v>97.37</v>
      </c>
      <c r="O3841">
        <v>25.76530612244898</v>
      </c>
    </row>
    <row r="3842" spans="1:15" x14ac:dyDescent="0.25">
      <c r="A3842" s="11">
        <v>46121</v>
      </c>
      <c r="B3842" t="s">
        <v>51</v>
      </c>
      <c r="C3842" t="s">
        <v>23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46"/>
        <v>9</v>
      </c>
      <c r="J3842" s="3">
        <f t="shared" si="47"/>
        <v>7</v>
      </c>
      <c r="K3842" s="3">
        <f t="shared" si="48"/>
        <v>2</v>
      </c>
      <c r="L3842" s="3" t="str">
        <f t="shared" si="49"/>
        <v>OPORTUNO</v>
      </c>
      <c r="N3842">
        <v>100</v>
      </c>
      <c r="O3842">
        <v>25</v>
      </c>
    </row>
    <row r="3843" spans="1:15" x14ac:dyDescent="0.25">
      <c r="A3843" s="11">
        <v>46121</v>
      </c>
      <c r="B3843" t="s">
        <v>52</v>
      </c>
      <c r="C3843" t="s">
        <v>18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46"/>
        <v>27</v>
      </c>
      <c r="J3843" s="3">
        <f t="shared" si="47"/>
        <v>24</v>
      </c>
      <c r="K3843" s="3">
        <f t="shared" si="48"/>
        <v>3</v>
      </c>
      <c r="L3843" s="3" t="str">
        <f t="shared" si="49"/>
        <v>OPORTUNO</v>
      </c>
      <c r="N3843">
        <v>100</v>
      </c>
      <c r="O3843">
        <v>23.9870340356564</v>
      </c>
    </row>
    <row r="3844" spans="1:15" x14ac:dyDescent="0.25">
      <c r="A3844" s="11">
        <v>46121</v>
      </c>
      <c r="B3844" t="s">
        <v>53</v>
      </c>
      <c r="C3844" t="s">
        <v>18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46"/>
        <v>30</v>
      </c>
      <c r="J3844" s="3">
        <f t="shared" si="47"/>
        <v>24</v>
      </c>
      <c r="K3844" s="3">
        <f t="shared" si="48"/>
        <v>6</v>
      </c>
      <c r="L3844" s="3" t="str">
        <f t="shared" si="49"/>
        <v>MUITO BOM</v>
      </c>
      <c r="N3844">
        <v>95.49</v>
      </c>
      <c r="O3844">
        <v>28.16901408450704</v>
      </c>
    </row>
    <row r="3845" spans="1:15" x14ac:dyDescent="0.25">
      <c r="A3845" s="11">
        <v>46121</v>
      </c>
      <c r="B3845" t="s">
        <v>54</v>
      </c>
      <c r="C3845" t="s">
        <v>23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46"/>
        <v>12</v>
      </c>
      <c r="J3845" s="3">
        <f t="shared" si="47"/>
        <v>7</v>
      </c>
      <c r="K3845" s="3">
        <f t="shared" si="48"/>
        <v>5</v>
      </c>
      <c r="L3845" s="3" t="str">
        <f t="shared" si="49"/>
        <v>OPORTUNO</v>
      </c>
      <c r="N3845">
        <v>100</v>
      </c>
      <c r="O3845">
        <v>23.77622377622378</v>
      </c>
    </row>
    <row r="3846" spans="1:15" x14ac:dyDescent="0.25">
      <c r="A3846" s="11">
        <v>46121</v>
      </c>
      <c r="B3846" t="s">
        <v>55</v>
      </c>
      <c r="C3846" t="s">
        <v>43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46"/>
        <v>15</v>
      </c>
      <c r="J3846" s="3">
        <f t="shared" si="47"/>
        <v>14</v>
      </c>
      <c r="K3846" s="3">
        <f t="shared" si="48"/>
        <v>1</v>
      </c>
      <c r="L3846" s="3" t="str">
        <f t="shared" si="49"/>
        <v>OPORTUNO</v>
      </c>
      <c r="N3846">
        <v>96.15</v>
      </c>
      <c r="O3846">
        <v>24.045801526717561</v>
      </c>
    </row>
    <row r="3847" spans="1:15" x14ac:dyDescent="0.25">
      <c r="A3847" s="11">
        <v>46121</v>
      </c>
      <c r="B3847" t="s">
        <v>56</v>
      </c>
      <c r="C3847" t="s">
        <v>16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46"/>
        <v>25</v>
      </c>
      <c r="J3847" s="3">
        <f t="shared" si="47"/>
        <v>20</v>
      </c>
      <c r="K3847" s="3">
        <f t="shared" si="48"/>
        <v>5</v>
      </c>
      <c r="L3847" s="3" t="str">
        <f t="shared" si="49"/>
        <v>OPORTUNO</v>
      </c>
      <c r="N3847">
        <v>99.02</v>
      </c>
      <c r="O3847">
        <v>34.797297297297298</v>
      </c>
    </row>
    <row r="3848" spans="1:15" x14ac:dyDescent="0.25">
      <c r="A3848" s="11">
        <v>46121</v>
      </c>
      <c r="B3848" t="s">
        <v>57</v>
      </c>
      <c r="C3848" t="s">
        <v>43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46"/>
        <v>18</v>
      </c>
      <c r="J3848" s="3">
        <f t="shared" si="47"/>
        <v>14</v>
      </c>
      <c r="K3848" s="3">
        <f t="shared" si="48"/>
        <v>4</v>
      </c>
      <c r="L3848" s="3" t="str">
        <f t="shared" si="49"/>
        <v>OPORTUNO</v>
      </c>
      <c r="N3848">
        <v>98.84</v>
      </c>
      <c r="O3848">
        <v>31.5018315018315</v>
      </c>
    </row>
    <row r="3849" spans="1:15" x14ac:dyDescent="0.25">
      <c r="A3849" s="11">
        <v>46121</v>
      </c>
      <c r="B3849" t="s">
        <v>58</v>
      </c>
      <c r="C3849" t="s">
        <v>43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46"/>
        <v>21</v>
      </c>
      <c r="J3849" s="3">
        <f t="shared" si="47"/>
        <v>14</v>
      </c>
      <c r="K3849" s="3">
        <f t="shared" si="48"/>
        <v>7</v>
      </c>
      <c r="L3849" s="3" t="str">
        <f t="shared" si="49"/>
        <v>MUITO BOM</v>
      </c>
      <c r="N3849">
        <v>100</v>
      </c>
      <c r="O3849">
        <v>34.666666666666671</v>
      </c>
    </row>
    <row r="3850" spans="1:15" x14ac:dyDescent="0.25">
      <c r="A3850" s="11">
        <v>46121</v>
      </c>
      <c r="B3850" t="s">
        <v>59</v>
      </c>
      <c r="C3850" t="s">
        <v>23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46"/>
        <v>6</v>
      </c>
      <c r="J3850" s="3">
        <f t="shared" si="47"/>
        <v>7</v>
      </c>
      <c r="K3850" s="3">
        <f t="shared" si="48"/>
        <v>-1</v>
      </c>
      <c r="L3850" s="3" t="str">
        <f t="shared" si="49"/>
        <v>ATENÇÃO</v>
      </c>
      <c r="N3850">
        <v>94.12</v>
      </c>
      <c r="O3850">
        <v>32.799999999999997</v>
      </c>
    </row>
    <row r="3851" spans="1:15" x14ac:dyDescent="0.25">
      <c r="A3851" s="11">
        <v>46121</v>
      </c>
      <c r="B3851" t="s">
        <v>60</v>
      </c>
      <c r="C3851" t="s">
        <v>20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46"/>
        <v>31</v>
      </c>
      <c r="J3851" s="3">
        <f t="shared" si="47"/>
        <v>16</v>
      </c>
      <c r="K3851" s="3">
        <f t="shared" si="48"/>
        <v>15</v>
      </c>
      <c r="L3851" s="3" t="str">
        <f t="shared" si="49"/>
        <v>MUITO BOM</v>
      </c>
      <c r="N3851">
        <v>98.32</v>
      </c>
      <c r="O3851">
        <v>26.618705035971221</v>
      </c>
    </row>
    <row r="3852" spans="1:15" x14ac:dyDescent="0.25">
      <c r="A3852" s="11">
        <v>46121</v>
      </c>
      <c r="B3852" t="s">
        <v>61</v>
      </c>
      <c r="C3852" t="s">
        <v>18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46"/>
        <v>30</v>
      </c>
      <c r="J3852" s="3">
        <f t="shared" si="47"/>
        <v>24</v>
      </c>
      <c r="K3852" s="3">
        <f t="shared" si="48"/>
        <v>6</v>
      </c>
      <c r="L3852" s="3" t="str">
        <f t="shared" si="49"/>
        <v>MUITO BOM</v>
      </c>
      <c r="N3852">
        <v>100</v>
      </c>
      <c r="O3852">
        <v>31.135531135531139</v>
      </c>
    </row>
    <row r="3853" spans="1:15" x14ac:dyDescent="0.25">
      <c r="A3853" s="11">
        <v>46121</v>
      </c>
      <c r="B3853" t="s">
        <v>62</v>
      </c>
      <c r="C3853" t="s">
        <v>20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46"/>
        <v>15</v>
      </c>
      <c r="J3853" s="3">
        <f t="shared" si="47"/>
        <v>16</v>
      </c>
      <c r="K3853" s="3">
        <f t="shared" si="48"/>
        <v>-1</v>
      </c>
      <c r="L3853" s="3" t="str">
        <f t="shared" si="49"/>
        <v>ATENÇÃO</v>
      </c>
      <c r="N3853">
        <v>100</v>
      </c>
      <c r="O3853">
        <v>26.027397260273968</v>
      </c>
    </row>
    <row r="3854" spans="1:15" x14ac:dyDescent="0.25">
      <c r="A3854" s="11">
        <v>46121</v>
      </c>
      <c r="B3854" t="s">
        <v>63</v>
      </c>
      <c r="C3854" t="s">
        <v>18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46"/>
        <v>30</v>
      </c>
      <c r="J3854" s="3">
        <f t="shared" si="47"/>
        <v>24</v>
      </c>
      <c r="K3854" s="3">
        <f t="shared" si="48"/>
        <v>6</v>
      </c>
      <c r="L3854" s="3" t="str">
        <f t="shared" si="49"/>
        <v>MUITO BOM</v>
      </c>
      <c r="N3854">
        <v>99.21</v>
      </c>
      <c r="O3854">
        <v>24.937027707808561</v>
      </c>
    </row>
    <row r="3855" spans="1:15" x14ac:dyDescent="0.25">
      <c r="A3855" s="11">
        <v>46122</v>
      </c>
      <c r="B3855" t="s">
        <v>15</v>
      </c>
      <c r="C3855" t="s">
        <v>16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46"/>
        <v>8</v>
      </c>
      <c r="J3855" s="3">
        <f t="shared" si="47"/>
        <v>19</v>
      </c>
      <c r="K3855" s="3">
        <f t="shared" si="48"/>
        <v>-11</v>
      </c>
      <c r="L3855" s="3" t="str">
        <f t="shared" si="49"/>
        <v>CRÍTICO</v>
      </c>
      <c r="N3855">
        <v>100</v>
      </c>
      <c r="O3855">
        <v>32.764505119453922</v>
      </c>
    </row>
    <row r="3856" spans="1:15" x14ac:dyDescent="0.25">
      <c r="A3856" s="11">
        <v>46122</v>
      </c>
      <c r="B3856" t="s">
        <v>17</v>
      </c>
      <c r="C3856" t="s">
        <v>18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f t="shared" si="46"/>
        <v>0</v>
      </c>
      <c r="J3856" s="3">
        <f t="shared" si="47"/>
        <v>24</v>
      </c>
      <c r="K3856" s="3">
        <f t="shared" si="48"/>
        <v>-24</v>
      </c>
      <c r="L3856" s="3" t="str">
        <f t="shared" si="49"/>
        <v>CRÍTICO</v>
      </c>
      <c r="N3856">
        <v>98.66</v>
      </c>
      <c r="O3856">
        <v>35.15625</v>
      </c>
    </row>
    <row r="3857" spans="1:15" x14ac:dyDescent="0.25">
      <c r="A3857" s="11">
        <v>46122</v>
      </c>
      <c r="B3857" t="s">
        <v>19</v>
      </c>
      <c r="C3857" t="s">
        <v>20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si="46"/>
        <v>34</v>
      </c>
      <c r="J3857" s="3">
        <f t="shared" si="47"/>
        <v>16</v>
      </c>
      <c r="K3857" s="3">
        <f t="shared" si="48"/>
        <v>18</v>
      </c>
      <c r="L3857" s="3" t="str">
        <f t="shared" si="49"/>
        <v>MUITO BOM</v>
      </c>
      <c r="N3857">
        <v>99.32</v>
      </c>
      <c r="O3857">
        <v>30.45186640471513</v>
      </c>
    </row>
    <row r="3858" spans="1:15" x14ac:dyDescent="0.25">
      <c r="A3858" s="11">
        <v>46122</v>
      </c>
      <c r="B3858" t="s">
        <v>21</v>
      </c>
      <c r="C3858" t="s">
        <v>18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46"/>
        <v>31</v>
      </c>
      <c r="J3858" s="3">
        <f t="shared" si="47"/>
        <v>24</v>
      </c>
      <c r="K3858" s="3">
        <f t="shared" si="48"/>
        <v>7</v>
      </c>
      <c r="L3858" s="3" t="str">
        <f t="shared" si="49"/>
        <v>MUITO BOM</v>
      </c>
      <c r="N3858">
        <v>100</v>
      </c>
      <c r="O3858">
        <v>27.803738317757009</v>
      </c>
    </row>
    <row r="3859" spans="1:15" x14ac:dyDescent="0.25">
      <c r="A3859" s="11">
        <v>46122</v>
      </c>
      <c r="B3859" t="s">
        <v>22</v>
      </c>
      <c r="C3859" t="s">
        <v>23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46"/>
        <v>14</v>
      </c>
      <c r="J3859" s="3">
        <f t="shared" si="47"/>
        <v>7</v>
      </c>
      <c r="K3859" s="3">
        <f t="shared" si="48"/>
        <v>7</v>
      </c>
      <c r="L3859" s="3" t="str">
        <f t="shared" si="49"/>
        <v>MUITO BOM</v>
      </c>
      <c r="N3859">
        <v>96.74</v>
      </c>
      <c r="O3859">
        <v>28.43137254901961</v>
      </c>
    </row>
    <row r="3860" spans="1:15" x14ac:dyDescent="0.25">
      <c r="A3860" s="11">
        <v>46122</v>
      </c>
      <c r="B3860" t="s">
        <v>24</v>
      </c>
      <c r="C3860" t="s">
        <v>16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46"/>
        <v>32</v>
      </c>
      <c r="J3860" s="3">
        <f t="shared" si="47"/>
        <v>19</v>
      </c>
      <c r="K3860" s="3">
        <f t="shared" si="48"/>
        <v>13</v>
      </c>
      <c r="L3860" s="3" t="str">
        <f t="shared" si="49"/>
        <v>MUITO BOM</v>
      </c>
      <c r="N3860">
        <v>98.82</v>
      </c>
      <c r="O3860">
        <v>30.741410488245929</v>
      </c>
    </row>
    <row r="3861" spans="1:15" x14ac:dyDescent="0.25">
      <c r="A3861" s="11">
        <v>46122</v>
      </c>
      <c r="B3861" t="s">
        <v>25</v>
      </c>
      <c r="C3861" t="s">
        <v>16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46"/>
        <v>21</v>
      </c>
      <c r="J3861" s="3">
        <f t="shared" si="47"/>
        <v>19</v>
      </c>
      <c r="K3861" s="3">
        <f t="shared" si="48"/>
        <v>2</v>
      </c>
      <c r="L3861" s="3" t="str">
        <f t="shared" si="49"/>
        <v>OPORTUNO</v>
      </c>
      <c r="N3861">
        <v>98.2</v>
      </c>
      <c r="O3861">
        <v>26.890756302521009</v>
      </c>
    </row>
    <row r="3862" spans="1:15" x14ac:dyDescent="0.25">
      <c r="A3862" s="11">
        <v>46122</v>
      </c>
      <c r="B3862" t="s">
        <v>26</v>
      </c>
      <c r="C3862" t="s">
        <v>23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46"/>
        <v>6</v>
      </c>
      <c r="J3862" s="3">
        <f t="shared" si="47"/>
        <v>7</v>
      </c>
      <c r="K3862" s="3">
        <f t="shared" si="48"/>
        <v>-1</v>
      </c>
      <c r="L3862" s="3" t="str">
        <f t="shared" si="49"/>
        <v>ATENÇÃO</v>
      </c>
      <c r="N3862">
        <v>100</v>
      </c>
      <c r="O3862">
        <v>23.134328358208951</v>
      </c>
    </row>
    <row r="3863" spans="1:15" x14ac:dyDescent="0.25">
      <c r="A3863" s="11">
        <v>46122</v>
      </c>
      <c r="B3863" t="s">
        <v>27</v>
      </c>
      <c r="C3863" t="s">
        <v>20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46"/>
        <v>30</v>
      </c>
      <c r="J3863" s="3">
        <f t="shared" si="47"/>
        <v>16</v>
      </c>
      <c r="K3863" s="3">
        <f t="shared" si="48"/>
        <v>14</v>
      </c>
      <c r="L3863" s="3" t="str">
        <f t="shared" si="49"/>
        <v>MUITO BOM</v>
      </c>
      <c r="N3863">
        <v>96.3</v>
      </c>
      <c r="O3863">
        <v>31.980906921241051</v>
      </c>
    </row>
    <row r="3864" spans="1:15" x14ac:dyDescent="0.25">
      <c r="A3864" s="11">
        <v>46122</v>
      </c>
      <c r="B3864" t="s">
        <v>28</v>
      </c>
      <c r="C3864" t="s">
        <v>18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46"/>
        <v>21</v>
      </c>
      <c r="J3864" s="3">
        <f t="shared" si="47"/>
        <v>24</v>
      </c>
      <c r="K3864" s="3">
        <f t="shared" si="48"/>
        <v>-3</v>
      </c>
      <c r="L3864" s="3" t="str">
        <f t="shared" si="49"/>
        <v>ATENÇÃO</v>
      </c>
      <c r="N3864">
        <v>93.75</v>
      </c>
      <c r="O3864">
        <v>26.628352490421459</v>
      </c>
    </row>
    <row r="3865" spans="1:15" x14ac:dyDescent="0.25">
      <c r="A3865" s="11">
        <v>46122</v>
      </c>
      <c r="B3865" t="s">
        <v>29</v>
      </c>
      <c r="C3865" t="s">
        <v>16</v>
      </c>
      <c r="D3865">
        <v>0</v>
      </c>
      <c r="E3865">
        <v>0</v>
      </c>
      <c r="F3865">
        <v>0</v>
      </c>
      <c r="G3865">
        <v>0</v>
      </c>
      <c r="H3865">
        <v>0</v>
      </c>
      <c r="I3865" s="3">
        <f t="shared" si="46"/>
        <v>0</v>
      </c>
      <c r="J3865" s="3">
        <f t="shared" si="47"/>
        <v>19</v>
      </c>
      <c r="K3865" s="3">
        <f t="shared" si="48"/>
        <v>-19</v>
      </c>
      <c r="L3865" s="3" t="str">
        <f t="shared" si="49"/>
        <v>CRÍTICO</v>
      </c>
      <c r="N3865">
        <v>97.86</v>
      </c>
      <c r="O3865">
        <v>31.018518518518519</v>
      </c>
    </row>
    <row r="3866" spans="1:15" x14ac:dyDescent="0.25">
      <c r="A3866" s="11">
        <v>46122</v>
      </c>
      <c r="B3866" t="s">
        <v>30</v>
      </c>
      <c r="C3866" t="s">
        <v>20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 t="shared" si="46"/>
        <v>18</v>
      </c>
      <c r="J3866" s="3">
        <f t="shared" si="47"/>
        <v>16</v>
      </c>
      <c r="K3866" s="3">
        <f t="shared" si="48"/>
        <v>2</v>
      </c>
      <c r="L3866" s="3" t="str">
        <f t="shared" si="49"/>
        <v>OPORTUNO</v>
      </c>
      <c r="N3866">
        <v>100</v>
      </c>
      <c r="O3866">
        <v>36.231884057971023</v>
      </c>
    </row>
    <row r="3867" spans="1:15" x14ac:dyDescent="0.25">
      <c r="A3867" s="11">
        <v>46122</v>
      </c>
      <c r="B3867" t="s">
        <v>31</v>
      </c>
      <c r="C3867" t="s">
        <v>18</v>
      </c>
      <c r="D3867">
        <v>0</v>
      </c>
      <c r="E3867">
        <v>0</v>
      </c>
      <c r="F3867">
        <v>0</v>
      </c>
      <c r="G3867">
        <v>0</v>
      </c>
      <c r="H3867">
        <v>0</v>
      </c>
      <c r="I3867" s="3">
        <f t="shared" ref="I3867:I3930" si="50">E3867+G3867+H3867</f>
        <v>0</v>
      </c>
      <c r="J3867" s="3">
        <f t="shared" ref="J3867:J3930" si="51"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24</v>
      </c>
      <c r="K3867" s="3">
        <f t="shared" ref="K3867:K3930" si="52">I3867-J3867</f>
        <v>-24</v>
      </c>
      <c r="L3867" s="3" t="str">
        <f t="shared" ref="L3867:L3930" si="53">IF(K3867&lt;-5,"CRÍTICO",IF(K3867&lt;0,"ATENÇÃO",IF(K3867&lt;=5,"OPORTUNO","MUITO BOM")))</f>
        <v>CRÍTICO</v>
      </c>
      <c r="N3867">
        <v>100</v>
      </c>
      <c r="O3867">
        <v>38.269230769230766</v>
      </c>
    </row>
    <row r="3868" spans="1:15" x14ac:dyDescent="0.25">
      <c r="A3868" s="11">
        <v>46122</v>
      </c>
      <c r="B3868" t="s">
        <v>32</v>
      </c>
      <c r="C3868" t="s">
        <v>23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 t="shared" si="50"/>
        <v>4</v>
      </c>
      <c r="J3868" s="3">
        <f t="shared" si="51"/>
        <v>7</v>
      </c>
      <c r="K3868" s="3">
        <f t="shared" si="52"/>
        <v>-3</v>
      </c>
      <c r="L3868" s="3" t="str">
        <f t="shared" si="53"/>
        <v>ATENÇÃO</v>
      </c>
      <c r="N3868">
        <v>100</v>
      </c>
      <c r="O3868">
        <v>27.368421052631579</v>
      </c>
    </row>
    <row r="3869" spans="1:15" x14ac:dyDescent="0.25">
      <c r="A3869" s="11">
        <v>46122</v>
      </c>
      <c r="B3869" t="s">
        <v>33</v>
      </c>
      <c r="C3869" t="s">
        <v>16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 t="shared" si="50"/>
        <v>23</v>
      </c>
      <c r="J3869" s="3">
        <f t="shared" si="51"/>
        <v>19</v>
      </c>
      <c r="K3869" s="3">
        <f t="shared" si="52"/>
        <v>4</v>
      </c>
      <c r="L3869" s="3" t="str">
        <f t="shared" si="53"/>
        <v>OPORTUNO</v>
      </c>
      <c r="N3869">
        <v>97.83</v>
      </c>
      <c r="O3869">
        <v>28.131868131868131</v>
      </c>
    </row>
    <row r="3870" spans="1:15" x14ac:dyDescent="0.25">
      <c r="A3870" s="11">
        <v>46122</v>
      </c>
      <c r="B3870" t="s">
        <v>34</v>
      </c>
      <c r="C3870" t="s">
        <v>18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 t="shared" si="50"/>
        <v>31</v>
      </c>
      <c r="J3870" s="3">
        <f t="shared" si="51"/>
        <v>24</v>
      </c>
      <c r="K3870" s="3">
        <f t="shared" si="52"/>
        <v>7</v>
      </c>
      <c r="L3870" s="3" t="str">
        <f t="shared" si="53"/>
        <v>MUITO BOM</v>
      </c>
      <c r="N3870">
        <v>99.26</v>
      </c>
      <c r="O3870">
        <v>29.57198443579767</v>
      </c>
    </row>
    <row r="3871" spans="1:15" x14ac:dyDescent="0.25">
      <c r="A3871" s="11">
        <v>46122</v>
      </c>
      <c r="B3871" t="s">
        <v>35</v>
      </c>
      <c r="C3871" t="s">
        <v>16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 t="shared" si="50"/>
        <v>21</v>
      </c>
      <c r="J3871" s="3">
        <f t="shared" si="51"/>
        <v>19</v>
      </c>
      <c r="K3871" s="3">
        <f t="shared" si="52"/>
        <v>2</v>
      </c>
      <c r="L3871" s="3" t="str">
        <f t="shared" si="53"/>
        <v>OPORTUNO</v>
      </c>
      <c r="N3871">
        <v>99.19</v>
      </c>
      <c r="O3871">
        <v>29.462365591397852</v>
      </c>
    </row>
    <row r="3872" spans="1:15" x14ac:dyDescent="0.25">
      <c r="A3872" s="5">
        <v>46157</v>
      </c>
      <c r="B3872" s="6" t="s">
        <v>36</v>
      </c>
      <c r="C3872" s="3" t="s">
        <v>20</v>
      </c>
      <c r="D3872" s="3">
        <v>19</v>
      </c>
      <c r="E3872" s="3">
        <v>16</v>
      </c>
      <c r="G3872" s="3">
        <v>6</v>
      </c>
      <c r="H3872" s="3">
        <v>1</v>
      </c>
      <c r="I3872" s="3">
        <f t="shared" si="50"/>
        <v>23</v>
      </c>
      <c r="J3872" s="3">
        <f t="shared" si="51"/>
        <v>19</v>
      </c>
      <c r="K3872" s="3">
        <f t="shared" si="52"/>
        <v>4</v>
      </c>
      <c r="L3872" s="3" t="str">
        <f t="shared" si="53"/>
        <v>OPORTUNO</v>
      </c>
      <c r="M3872">
        <v>15</v>
      </c>
      <c r="N3872">
        <v>98.8</v>
      </c>
      <c r="O3872">
        <v>15.41353383458646</v>
      </c>
    </row>
    <row r="3873" spans="1:15" x14ac:dyDescent="0.25">
      <c r="A3873" s="11">
        <v>46122</v>
      </c>
      <c r="B3873" t="s">
        <v>37</v>
      </c>
      <c r="C3873" t="s">
        <v>16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f t="shared" si="50"/>
        <v>0</v>
      </c>
      <c r="J3873" s="3">
        <f t="shared" si="51"/>
        <v>19</v>
      </c>
      <c r="K3873" s="3">
        <f t="shared" si="52"/>
        <v>-19</v>
      </c>
      <c r="L3873" s="3" t="str">
        <f t="shared" si="53"/>
        <v>CRÍTICO</v>
      </c>
      <c r="N3873">
        <v>100</v>
      </c>
      <c r="O3873">
        <v>27.941176470588239</v>
      </c>
    </row>
    <row r="3874" spans="1:15" x14ac:dyDescent="0.25">
      <c r="A3874" s="11">
        <v>46122</v>
      </c>
      <c r="B3874" t="s">
        <v>38</v>
      </c>
      <c r="C3874" t="s">
        <v>18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 t="shared" si="50"/>
        <v>32</v>
      </c>
      <c r="J3874" s="3">
        <f t="shared" si="51"/>
        <v>24</v>
      </c>
      <c r="K3874" s="3">
        <f t="shared" si="52"/>
        <v>8</v>
      </c>
      <c r="L3874" s="3" t="str">
        <f t="shared" si="53"/>
        <v>MUITO BOM</v>
      </c>
      <c r="N3874">
        <v>99.57</v>
      </c>
      <c r="O3874">
        <v>29.913294797687861</v>
      </c>
    </row>
    <row r="3875" spans="1:15" x14ac:dyDescent="0.25">
      <c r="A3875" s="11">
        <v>46122</v>
      </c>
      <c r="B3875" t="s">
        <v>39</v>
      </c>
      <c r="C3875" t="s">
        <v>18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f t="shared" si="50"/>
        <v>0</v>
      </c>
      <c r="J3875" s="3">
        <f t="shared" si="51"/>
        <v>24</v>
      </c>
      <c r="K3875" s="3">
        <f t="shared" si="52"/>
        <v>-24</v>
      </c>
      <c r="L3875" s="3" t="str">
        <f t="shared" si="53"/>
        <v>CRÍTICO</v>
      </c>
      <c r="N3875">
        <v>95.65</v>
      </c>
      <c r="O3875">
        <v>31.081081081081081</v>
      </c>
    </row>
    <row r="3876" spans="1:15" x14ac:dyDescent="0.25">
      <c r="A3876" s="11">
        <v>46122</v>
      </c>
      <c r="B3876" t="s">
        <v>40</v>
      </c>
      <c r="C3876" t="s">
        <v>16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 t="shared" si="50"/>
        <v>17</v>
      </c>
      <c r="J3876" s="3">
        <f t="shared" si="51"/>
        <v>19</v>
      </c>
      <c r="K3876" s="3">
        <f t="shared" si="52"/>
        <v>-2</v>
      </c>
      <c r="L3876" s="3" t="str">
        <f t="shared" si="53"/>
        <v>ATENÇÃO</v>
      </c>
      <c r="N3876">
        <v>98.81</v>
      </c>
      <c r="O3876">
        <v>26.256983240223459</v>
      </c>
    </row>
    <row r="3877" spans="1:15" x14ac:dyDescent="0.25">
      <c r="A3877" s="11">
        <v>46122</v>
      </c>
      <c r="B3877" t="s">
        <v>41</v>
      </c>
      <c r="C3877" t="s">
        <v>18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f t="shared" si="50"/>
        <v>0</v>
      </c>
      <c r="J3877" s="3">
        <f t="shared" si="51"/>
        <v>24</v>
      </c>
      <c r="K3877" s="3">
        <f t="shared" si="52"/>
        <v>-24</v>
      </c>
      <c r="L3877" s="3" t="str">
        <f t="shared" si="53"/>
        <v>CRÍTICO</v>
      </c>
      <c r="N3877">
        <v>0</v>
      </c>
      <c r="O3877">
        <v>0</v>
      </c>
    </row>
    <row r="3878" spans="1:15" x14ac:dyDescent="0.25">
      <c r="A3878" s="11">
        <v>46122</v>
      </c>
      <c r="B3878" t="s">
        <v>42</v>
      </c>
      <c r="C3878" t="s">
        <v>43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 t="shared" si="50"/>
        <v>16</v>
      </c>
      <c r="J3878" s="3">
        <f t="shared" si="51"/>
        <v>14</v>
      </c>
      <c r="K3878" s="3">
        <f t="shared" si="52"/>
        <v>2</v>
      </c>
      <c r="L3878" s="3" t="str">
        <f t="shared" si="53"/>
        <v>OPORTUNO</v>
      </c>
      <c r="N3878">
        <v>97.17</v>
      </c>
      <c r="O3878">
        <v>28.81844380403458</v>
      </c>
    </row>
    <row r="3879" spans="1:15" x14ac:dyDescent="0.25">
      <c r="A3879" s="11">
        <v>46122</v>
      </c>
      <c r="B3879" t="s">
        <v>44</v>
      </c>
      <c r="C3879" t="s">
        <v>18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 t="shared" si="50"/>
        <v>15</v>
      </c>
      <c r="J3879" s="3">
        <f t="shared" si="51"/>
        <v>24</v>
      </c>
      <c r="K3879" s="3">
        <f t="shared" si="52"/>
        <v>-9</v>
      </c>
      <c r="L3879" s="3" t="str">
        <f t="shared" si="53"/>
        <v>CRÍTICO</v>
      </c>
      <c r="N3879">
        <v>96.81</v>
      </c>
      <c r="O3879">
        <v>48.018648018648022</v>
      </c>
    </row>
    <row r="3880" spans="1:15" x14ac:dyDescent="0.25">
      <c r="A3880" s="11">
        <v>46122</v>
      </c>
      <c r="B3880" t="s">
        <v>45</v>
      </c>
      <c r="C3880" t="s">
        <v>43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 t="shared" si="50"/>
        <v>11</v>
      </c>
      <c r="J3880" s="3">
        <f t="shared" si="51"/>
        <v>14</v>
      </c>
      <c r="K3880" s="3">
        <f t="shared" si="52"/>
        <v>-3</v>
      </c>
      <c r="L3880" s="3" t="str">
        <f t="shared" si="53"/>
        <v>ATENÇÃO</v>
      </c>
      <c r="N3880">
        <v>98.15</v>
      </c>
      <c r="O3880">
        <v>27.1551724137931</v>
      </c>
    </row>
    <row r="3881" spans="1:15" x14ac:dyDescent="0.25">
      <c r="A3881" s="11">
        <v>46122</v>
      </c>
      <c r="B3881" t="s">
        <v>46</v>
      </c>
      <c r="C3881" t="s">
        <v>18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 t="shared" si="50"/>
        <v>26</v>
      </c>
      <c r="J3881" s="3">
        <f t="shared" si="51"/>
        <v>24</v>
      </c>
      <c r="K3881" s="3">
        <f t="shared" si="52"/>
        <v>2</v>
      </c>
      <c r="L3881" s="3" t="str">
        <f t="shared" si="53"/>
        <v>OPORTUNO</v>
      </c>
      <c r="N3881">
        <v>99.15</v>
      </c>
      <c r="O3881">
        <v>27.370689655172409</v>
      </c>
    </row>
    <row r="3882" spans="1:15" x14ac:dyDescent="0.25">
      <c r="A3882" s="11">
        <v>46122</v>
      </c>
      <c r="B3882" t="s">
        <v>47</v>
      </c>
      <c r="C3882" t="s">
        <v>16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 t="shared" si="50"/>
        <v>19</v>
      </c>
      <c r="J3882" s="3">
        <f t="shared" si="51"/>
        <v>19</v>
      </c>
      <c r="K3882" s="3">
        <f t="shared" si="52"/>
        <v>0</v>
      </c>
      <c r="L3882" s="3" t="str">
        <f t="shared" si="53"/>
        <v>OPORTUNO</v>
      </c>
      <c r="N3882">
        <v>99.17</v>
      </c>
      <c r="O3882">
        <v>29.75206611570248</v>
      </c>
    </row>
    <row r="3883" spans="1:15" x14ac:dyDescent="0.25">
      <c r="A3883" s="11">
        <v>46122</v>
      </c>
      <c r="B3883" t="s">
        <v>48</v>
      </c>
      <c r="C3883" t="s">
        <v>16</v>
      </c>
      <c r="D3883">
        <v>0</v>
      </c>
      <c r="E3883">
        <v>0</v>
      </c>
      <c r="F3883">
        <v>0</v>
      </c>
      <c r="G3883">
        <v>0</v>
      </c>
      <c r="H3883">
        <v>0</v>
      </c>
      <c r="I3883" s="3">
        <f t="shared" si="50"/>
        <v>0</v>
      </c>
      <c r="J3883" s="3">
        <f t="shared" si="51"/>
        <v>19</v>
      </c>
      <c r="K3883" s="3">
        <f t="shared" si="52"/>
        <v>-19</v>
      </c>
      <c r="L3883" s="3" t="str">
        <f t="shared" si="53"/>
        <v>CRÍTICO</v>
      </c>
      <c r="N3883">
        <v>98.73</v>
      </c>
      <c r="O3883">
        <v>28.961748633879779</v>
      </c>
    </row>
    <row r="3884" spans="1:15" x14ac:dyDescent="0.25">
      <c r="A3884" s="11">
        <v>46122</v>
      </c>
      <c r="B3884" t="s">
        <v>49</v>
      </c>
      <c r="C3884" t="s">
        <v>18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si="50"/>
        <v>37</v>
      </c>
      <c r="J3884" s="3">
        <f t="shared" si="51"/>
        <v>24</v>
      </c>
      <c r="K3884" s="3">
        <f t="shared" si="52"/>
        <v>13</v>
      </c>
      <c r="L3884" s="3" t="str">
        <f t="shared" si="53"/>
        <v>MUITO BOM</v>
      </c>
      <c r="N3884">
        <v>88.68</v>
      </c>
      <c r="O3884">
        <v>22.03389830508474</v>
      </c>
    </row>
    <row r="3885" spans="1:15" x14ac:dyDescent="0.25">
      <c r="A3885" s="11">
        <v>46122</v>
      </c>
      <c r="B3885" t="s">
        <v>50</v>
      </c>
      <c r="C3885" t="s">
        <v>20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50"/>
        <v>18</v>
      </c>
      <c r="J3885" s="3">
        <f t="shared" si="51"/>
        <v>16</v>
      </c>
      <c r="K3885" s="3">
        <f t="shared" si="52"/>
        <v>2</v>
      </c>
      <c r="L3885" s="3" t="str">
        <f t="shared" si="53"/>
        <v>OPORTUNO</v>
      </c>
      <c r="N3885">
        <v>97.37</v>
      </c>
      <c r="O3885">
        <v>25.76530612244898</v>
      </c>
    </row>
    <row r="3886" spans="1:15" x14ac:dyDescent="0.25">
      <c r="A3886" s="11">
        <v>46122</v>
      </c>
      <c r="B3886" t="s">
        <v>51</v>
      </c>
      <c r="C3886" t="s">
        <v>23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50"/>
        <v>18</v>
      </c>
      <c r="J3886" s="3">
        <f t="shared" si="51"/>
        <v>7</v>
      </c>
      <c r="K3886" s="3">
        <f t="shared" si="52"/>
        <v>11</v>
      </c>
      <c r="L3886" s="3" t="str">
        <f t="shared" si="53"/>
        <v>MUITO BOM</v>
      </c>
      <c r="N3886">
        <v>100</v>
      </c>
      <c r="O3886">
        <v>25</v>
      </c>
    </row>
    <row r="3887" spans="1:15" x14ac:dyDescent="0.25">
      <c r="A3887" s="11">
        <v>46122</v>
      </c>
      <c r="B3887" t="s">
        <v>52</v>
      </c>
      <c r="C3887" t="s">
        <v>18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50"/>
        <v>11</v>
      </c>
      <c r="J3887" s="3">
        <f t="shared" si="51"/>
        <v>24</v>
      </c>
      <c r="K3887" s="3">
        <f t="shared" si="52"/>
        <v>-13</v>
      </c>
      <c r="L3887" s="3" t="str">
        <f t="shared" si="53"/>
        <v>CRÍTICO</v>
      </c>
      <c r="N3887">
        <v>100</v>
      </c>
      <c r="O3887">
        <v>23.9870340356564</v>
      </c>
    </row>
    <row r="3888" spans="1:15" x14ac:dyDescent="0.25">
      <c r="A3888" s="11">
        <v>46122</v>
      </c>
      <c r="B3888" t="s">
        <v>53</v>
      </c>
      <c r="C3888" t="s">
        <v>18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50"/>
        <v>23</v>
      </c>
      <c r="J3888" s="3">
        <f t="shared" si="51"/>
        <v>24</v>
      </c>
      <c r="K3888" s="3">
        <f t="shared" si="52"/>
        <v>-1</v>
      </c>
      <c r="L3888" s="3" t="str">
        <f t="shared" si="53"/>
        <v>ATENÇÃO</v>
      </c>
      <c r="N3888">
        <v>95.49</v>
      </c>
      <c r="O3888">
        <v>28.16901408450704</v>
      </c>
    </row>
    <row r="3889" spans="1:15" x14ac:dyDescent="0.25">
      <c r="A3889" s="11">
        <v>46122</v>
      </c>
      <c r="B3889" t="s">
        <v>54</v>
      </c>
      <c r="C3889" t="s">
        <v>23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50"/>
        <v>16</v>
      </c>
      <c r="J3889" s="3">
        <f t="shared" si="51"/>
        <v>7</v>
      </c>
      <c r="K3889" s="3">
        <f t="shared" si="52"/>
        <v>9</v>
      </c>
      <c r="L3889" s="3" t="str">
        <f t="shared" si="53"/>
        <v>MUITO BOM</v>
      </c>
      <c r="N3889">
        <v>100</v>
      </c>
      <c r="O3889">
        <v>23.77622377622378</v>
      </c>
    </row>
    <row r="3890" spans="1:15" x14ac:dyDescent="0.25">
      <c r="A3890" s="11">
        <v>46122</v>
      </c>
      <c r="B3890" t="s">
        <v>55</v>
      </c>
      <c r="C3890" t="s">
        <v>43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50"/>
        <v>31</v>
      </c>
      <c r="J3890" s="3">
        <f t="shared" si="51"/>
        <v>14</v>
      </c>
      <c r="K3890" s="3">
        <f t="shared" si="52"/>
        <v>17</v>
      </c>
      <c r="L3890" s="3" t="str">
        <f t="shared" si="53"/>
        <v>MUITO BOM</v>
      </c>
      <c r="N3890">
        <v>96.15</v>
      </c>
      <c r="O3890">
        <v>24.045801526717561</v>
      </c>
    </row>
    <row r="3891" spans="1:15" x14ac:dyDescent="0.25">
      <c r="A3891" s="11">
        <v>46122</v>
      </c>
      <c r="B3891" t="s">
        <v>56</v>
      </c>
      <c r="C3891" t="s">
        <v>16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50"/>
        <v>18</v>
      </c>
      <c r="J3891" s="3">
        <f t="shared" si="51"/>
        <v>19</v>
      </c>
      <c r="K3891" s="3">
        <f t="shared" si="52"/>
        <v>-1</v>
      </c>
      <c r="L3891" s="3" t="str">
        <f t="shared" si="53"/>
        <v>ATENÇÃO</v>
      </c>
      <c r="N3891">
        <v>99.02</v>
      </c>
      <c r="O3891">
        <v>34.797297297297298</v>
      </c>
    </row>
    <row r="3892" spans="1:15" x14ac:dyDescent="0.25">
      <c r="A3892" s="11">
        <v>46122</v>
      </c>
      <c r="B3892" t="s">
        <v>57</v>
      </c>
      <c r="C3892" t="s">
        <v>43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50"/>
        <v>12</v>
      </c>
      <c r="J3892" s="3">
        <f t="shared" si="51"/>
        <v>14</v>
      </c>
      <c r="K3892" s="3">
        <f t="shared" si="52"/>
        <v>-2</v>
      </c>
      <c r="L3892" s="3" t="str">
        <f t="shared" si="53"/>
        <v>ATENÇÃO</v>
      </c>
      <c r="N3892">
        <v>98.84</v>
      </c>
      <c r="O3892">
        <v>31.5018315018315</v>
      </c>
    </row>
    <row r="3893" spans="1:15" x14ac:dyDescent="0.25">
      <c r="A3893" s="11">
        <v>46122</v>
      </c>
      <c r="B3893" t="s">
        <v>58</v>
      </c>
      <c r="C3893" t="s">
        <v>43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50"/>
        <v>20</v>
      </c>
      <c r="J3893" s="3">
        <f t="shared" si="51"/>
        <v>14</v>
      </c>
      <c r="K3893" s="3">
        <f t="shared" si="52"/>
        <v>6</v>
      </c>
      <c r="L3893" s="3" t="str">
        <f t="shared" si="53"/>
        <v>MUITO BOM</v>
      </c>
      <c r="N3893">
        <v>100</v>
      </c>
      <c r="O3893">
        <v>34.666666666666671</v>
      </c>
    </row>
    <row r="3894" spans="1:15" x14ac:dyDescent="0.25">
      <c r="A3894" s="11">
        <v>46122</v>
      </c>
      <c r="B3894" t="s">
        <v>59</v>
      </c>
      <c r="C3894" t="s">
        <v>23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50"/>
        <v>7</v>
      </c>
      <c r="J3894" s="3">
        <f t="shared" si="51"/>
        <v>7</v>
      </c>
      <c r="K3894" s="3">
        <f t="shared" si="52"/>
        <v>0</v>
      </c>
      <c r="L3894" s="3" t="str">
        <f t="shared" si="53"/>
        <v>OPORTUNO</v>
      </c>
      <c r="N3894">
        <v>94.12</v>
      </c>
      <c r="O3894">
        <v>32.799999999999997</v>
      </c>
    </row>
    <row r="3895" spans="1:15" x14ac:dyDescent="0.25">
      <c r="A3895" s="11">
        <v>46122</v>
      </c>
      <c r="B3895" t="s">
        <v>60</v>
      </c>
      <c r="C3895" t="s">
        <v>20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50"/>
        <v>25</v>
      </c>
      <c r="J3895" s="3">
        <f t="shared" si="51"/>
        <v>16</v>
      </c>
      <c r="K3895" s="3">
        <f t="shared" si="52"/>
        <v>9</v>
      </c>
      <c r="L3895" s="3" t="str">
        <f t="shared" si="53"/>
        <v>MUITO BOM</v>
      </c>
      <c r="N3895">
        <v>98.32</v>
      </c>
      <c r="O3895">
        <v>26.618705035971221</v>
      </c>
    </row>
    <row r="3896" spans="1:15" x14ac:dyDescent="0.25">
      <c r="A3896" s="11">
        <v>46122</v>
      </c>
      <c r="B3896" t="s">
        <v>61</v>
      </c>
      <c r="C3896" t="s">
        <v>18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50"/>
        <v>34</v>
      </c>
      <c r="J3896" s="3">
        <f t="shared" si="51"/>
        <v>24</v>
      </c>
      <c r="K3896" s="3">
        <f t="shared" si="52"/>
        <v>10</v>
      </c>
      <c r="L3896" s="3" t="str">
        <f t="shared" si="53"/>
        <v>MUITO BOM</v>
      </c>
      <c r="N3896">
        <v>100</v>
      </c>
      <c r="O3896">
        <v>31.135531135531139</v>
      </c>
    </row>
    <row r="3897" spans="1:15" x14ac:dyDescent="0.25">
      <c r="A3897" s="11">
        <v>46122</v>
      </c>
      <c r="B3897" t="s">
        <v>62</v>
      </c>
      <c r="C3897" t="s">
        <v>20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50"/>
        <v>13</v>
      </c>
      <c r="J3897" s="3">
        <f t="shared" si="51"/>
        <v>16</v>
      </c>
      <c r="K3897" s="3">
        <f t="shared" si="52"/>
        <v>-3</v>
      </c>
      <c r="L3897" s="3" t="str">
        <f t="shared" si="53"/>
        <v>ATENÇÃO</v>
      </c>
      <c r="N3897">
        <v>100</v>
      </c>
      <c r="O3897">
        <v>26.027397260273968</v>
      </c>
    </row>
    <row r="3898" spans="1:15" x14ac:dyDescent="0.25">
      <c r="A3898" s="11">
        <v>46122</v>
      </c>
      <c r="B3898" t="s">
        <v>63</v>
      </c>
      <c r="C3898" t="s">
        <v>18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50"/>
        <v>11</v>
      </c>
      <c r="J3898" s="3">
        <f t="shared" si="51"/>
        <v>24</v>
      </c>
      <c r="K3898" s="3">
        <f t="shared" si="52"/>
        <v>-13</v>
      </c>
      <c r="L3898" s="3" t="str">
        <f t="shared" si="53"/>
        <v>CRÍTICO</v>
      </c>
      <c r="N3898">
        <v>99.21</v>
      </c>
      <c r="O3898">
        <v>24.937027707808561</v>
      </c>
    </row>
    <row r="3899" spans="1:15" x14ac:dyDescent="0.25">
      <c r="A3899" s="11">
        <v>46125</v>
      </c>
      <c r="B3899" t="s">
        <v>15</v>
      </c>
      <c r="C3899" t="s">
        <v>16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50"/>
        <v>15</v>
      </c>
      <c r="J3899" s="3">
        <f t="shared" si="51"/>
        <v>19</v>
      </c>
      <c r="K3899" s="3">
        <f t="shared" si="52"/>
        <v>-4</v>
      </c>
      <c r="L3899" s="3" t="str">
        <f t="shared" si="53"/>
        <v>ATENÇÃO</v>
      </c>
      <c r="N3899">
        <v>100</v>
      </c>
      <c r="O3899">
        <v>32.764505119453922</v>
      </c>
    </row>
    <row r="3900" spans="1:15" x14ac:dyDescent="0.25">
      <c r="A3900" s="11">
        <v>46125</v>
      </c>
      <c r="B3900" t="s">
        <v>17</v>
      </c>
      <c r="C3900" t="s">
        <v>18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f t="shared" si="50"/>
        <v>0</v>
      </c>
      <c r="J3900" s="3">
        <f t="shared" si="51"/>
        <v>24</v>
      </c>
      <c r="K3900" s="3">
        <f t="shared" si="52"/>
        <v>-24</v>
      </c>
      <c r="L3900" s="3" t="str">
        <f t="shared" si="53"/>
        <v>CRÍTICO</v>
      </c>
      <c r="N3900">
        <v>98.66</v>
      </c>
      <c r="O3900">
        <v>35.15625</v>
      </c>
    </row>
    <row r="3901" spans="1:15" x14ac:dyDescent="0.25">
      <c r="A3901" s="11">
        <v>46125</v>
      </c>
      <c r="B3901" t="s">
        <v>19</v>
      </c>
      <c r="C3901" t="s">
        <v>20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si="50"/>
        <v>29</v>
      </c>
      <c r="J3901" s="3">
        <f t="shared" si="51"/>
        <v>16</v>
      </c>
      <c r="K3901" s="3">
        <f t="shared" si="52"/>
        <v>13</v>
      </c>
      <c r="L3901" s="3" t="str">
        <f t="shared" si="53"/>
        <v>MUITO BOM</v>
      </c>
      <c r="N3901">
        <v>99.32</v>
      </c>
      <c r="O3901">
        <v>30.45186640471513</v>
      </c>
    </row>
    <row r="3902" spans="1:15" x14ac:dyDescent="0.25">
      <c r="A3902" s="11">
        <v>46125</v>
      </c>
      <c r="B3902" t="s">
        <v>21</v>
      </c>
      <c r="C3902" t="s">
        <v>18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50"/>
        <v>13</v>
      </c>
      <c r="J3902" s="3">
        <f t="shared" si="51"/>
        <v>24</v>
      </c>
      <c r="K3902" s="3">
        <f t="shared" si="52"/>
        <v>-11</v>
      </c>
      <c r="L3902" s="3" t="str">
        <f t="shared" si="53"/>
        <v>CRÍTICO</v>
      </c>
      <c r="N3902">
        <v>100</v>
      </c>
      <c r="O3902">
        <v>27.803738317757009</v>
      </c>
    </row>
    <row r="3903" spans="1:15" x14ac:dyDescent="0.25">
      <c r="A3903" s="11">
        <v>46125</v>
      </c>
      <c r="B3903" t="s">
        <v>22</v>
      </c>
      <c r="C3903" t="s">
        <v>23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50"/>
        <v>25</v>
      </c>
      <c r="J3903" s="3">
        <f t="shared" si="51"/>
        <v>7</v>
      </c>
      <c r="K3903" s="3">
        <f t="shared" si="52"/>
        <v>18</v>
      </c>
      <c r="L3903" s="3" t="str">
        <f t="shared" si="53"/>
        <v>MUITO BOM</v>
      </c>
      <c r="N3903">
        <v>96.74</v>
      </c>
      <c r="O3903">
        <v>28.43137254901961</v>
      </c>
    </row>
    <row r="3904" spans="1:15" x14ac:dyDescent="0.25">
      <c r="A3904" s="11">
        <v>46125</v>
      </c>
      <c r="B3904" t="s">
        <v>24</v>
      </c>
      <c r="C3904" t="s">
        <v>16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50"/>
        <v>27</v>
      </c>
      <c r="J3904" s="3">
        <f t="shared" si="51"/>
        <v>19</v>
      </c>
      <c r="K3904" s="3">
        <f t="shared" si="52"/>
        <v>8</v>
      </c>
      <c r="L3904" s="3" t="str">
        <f t="shared" si="53"/>
        <v>MUITO BOM</v>
      </c>
      <c r="N3904">
        <v>98.82</v>
      </c>
      <c r="O3904">
        <v>30.741410488245929</v>
      </c>
    </row>
    <row r="3905" spans="1:15" x14ac:dyDescent="0.25">
      <c r="A3905" s="11">
        <v>46125</v>
      </c>
      <c r="B3905" t="s">
        <v>25</v>
      </c>
      <c r="C3905" t="s">
        <v>16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50"/>
        <v>14</v>
      </c>
      <c r="J3905" s="3">
        <f t="shared" si="51"/>
        <v>19</v>
      </c>
      <c r="K3905" s="3">
        <f t="shared" si="52"/>
        <v>-5</v>
      </c>
      <c r="L3905" s="3" t="str">
        <f t="shared" si="53"/>
        <v>ATENÇÃO</v>
      </c>
      <c r="N3905">
        <v>98.2</v>
      </c>
      <c r="O3905">
        <v>26.890756302521009</v>
      </c>
    </row>
    <row r="3906" spans="1:15" x14ac:dyDescent="0.25">
      <c r="A3906" s="11">
        <v>46125</v>
      </c>
      <c r="B3906" t="s">
        <v>26</v>
      </c>
      <c r="C3906" t="s">
        <v>23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50"/>
        <v>10</v>
      </c>
      <c r="J3906" s="3">
        <f t="shared" si="51"/>
        <v>7</v>
      </c>
      <c r="K3906" s="3">
        <f t="shared" si="52"/>
        <v>3</v>
      </c>
      <c r="L3906" s="3" t="str">
        <f t="shared" si="53"/>
        <v>OPORTUNO</v>
      </c>
      <c r="N3906">
        <v>100</v>
      </c>
      <c r="O3906">
        <v>23.134328358208951</v>
      </c>
    </row>
    <row r="3907" spans="1:15" x14ac:dyDescent="0.25">
      <c r="A3907" s="11">
        <v>46125</v>
      </c>
      <c r="B3907" t="s">
        <v>27</v>
      </c>
      <c r="C3907" t="s">
        <v>20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50"/>
        <v>28</v>
      </c>
      <c r="J3907" s="3">
        <f t="shared" si="51"/>
        <v>16</v>
      </c>
      <c r="K3907" s="3">
        <f t="shared" si="52"/>
        <v>12</v>
      </c>
      <c r="L3907" s="3" t="str">
        <f t="shared" si="53"/>
        <v>MUITO BOM</v>
      </c>
      <c r="N3907">
        <v>96.3</v>
      </c>
      <c r="O3907">
        <v>31.980906921241051</v>
      </c>
    </row>
    <row r="3908" spans="1:15" x14ac:dyDescent="0.25">
      <c r="A3908" s="11">
        <v>46125</v>
      </c>
      <c r="B3908" t="s">
        <v>28</v>
      </c>
      <c r="C3908" t="s">
        <v>18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50"/>
        <v>28</v>
      </c>
      <c r="J3908" s="3">
        <f t="shared" si="51"/>
        <v>24</v>
      </c>
      <c r="K3908" s="3">
        <f t="shared" si="52"/>
        <v>4</v>
      </c>
      <c r="L3908" s="3" t="str">
        <f t="shared" si="53"/>
        <v>OPORTUNO</v>
      </c>
      <c r="N3908">
        <v>93.75</v>
      </c>
      <c r="O3908">
        <v>26.628352490421459</v>
      </c>
    </row>
    <row r="3909" spans="1:15" x14ac:dyDescent="0.25">
      <c r="A3909" s="11">
        <v>46125</v>
      </c>
      <c r="B3909" t="s">
        <v>29</v>
      </c>
      <c r="C3909" t="s">
        <v>16</v>
      </c>
      <c r="D3909">
        <v>0</v>
      </c>
      <c r="E3909">
        <v>0</v>
      </c>
      <c r="F3909">
        <v>0</v>
      </c>
      <c r="G3909">
        <v>0</v>
      </c>
      <c r="H3909">
        <v>0</v>
      </c>
      <c r="I3909" s="3">
        <f t="shared" si="50"/>
        <v>0</v>
      </c>
      <c r="J3909" s="3">
        <f t="shared" si="51"/>
        <v>19</v>
      </c>
      <c r="K3909" s="3">
        <f t="shared" si="52"/>
        <v>-19</v>
      </c>
      <c r="L3909" s="3" t="str">
        <f t="shared" si="53"/>
        <v>CRÍTICO</v>
      </c>
      <c r="N3909">
        <v>97.86</v>
      </c>
      <c r="O3909">
        <v>31.018518518518519</v>
      </c>
    </row>
    <row r="3910" spans="1:15" x14ac:dyDescent="0.25">
      <c r="A3910" s="11">
        <v>46125</v>
      </c>
      <c r="B3910" t="s">
        <v>30</v>
      </c>
      <c r="C3910" t="s">
        <v>20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 t="shared" si="50"/>
        <v>7</v>
      </c>
      <c r="J3910" s="3">
        <f t="shared" si="51"/>
        <v>16</v>
      </c>
      <c r="K3910" s="3">
        <f t="shared" si="52"/>
        <v>-9</v>
      </c>
      <c r="L3910" s="3" t="str">
        <f t="shared" si="53"/>
        <v>CRÍTICO</v>
      </c>
      <c r="N3910">
        <v>100</v>
      </c>
      <c r="O3910">
        <v>36.231884057971023</v>
      </c>
    </row>
    <row r="3911" spans="1:15" x14ac:dyDescent="0.25">
      <c r="A3911" s="11">
        <v>46125</v>
      </c>
      <c r="B3911" t="s">
        <v>31</v>
      </c>
      <c r="C3911" t="s">
        <v>18</v>
      </c>
      <c r="D3911">
        <v>0</v>
      </c>
      <c r="E3911">
        <v>0</v>
      </c>
      <c r="F3911">
        <v>0</v>
      </c>
      <c r="G3911">
        <v>0</v>
      </c>
      <c r="H3911">
        <v>0</v>
      </c>
      <c r="I3911" s="3">
        <f t="shared" si="50"/>
        <v>0</v>
      </c>
      <c r="J3911" s="3">
        <f t="shared" si="51"/>
        <v>24</v>
      </c>
      <c r="K3911" s="3">
        <f t="shared" si="52"/>
        <v>-24</v>
      </c>
      <c r="L3911" s="3" t="str">
        <f t="shared" si="53"/>
        <v>CRÍTICO</v>
      </c>
      <c r="N3911">
        <v>100</v>
      </c>
      <c r="O3911">
        <v>38.269230769230766</v>
      </c>
    </row>
    <row r="3912" spans="1:15" x14ac:dyDescent="0.25">
      <c r="A3912" s="11">
        <v>46125</v>
      </c>
      <c r="B3912" t="s">
        <v>32</v>
      </c>
      <c r="C3912" t="s">
        <v>23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 t="shared" si="50"/>
        <v>4</v>
      </c>
      <c r="J3912" s="3">
        <f t="shared" si="51"/>
        <v>7</v>
      </c>
      <c r="K3912" s="3">
        <f t="shared" si="52"/>
        <v>-3</v>
      </c>
      <c r="L3912" s="3" t="str">
        <f t="shared" si="53"/>
        <v>ATENÇÃO</v>
      </c>
      <c r="N3912">
        <v>100</v>
      </c>
      <c r="O3912">
        <v>27.368421052631579</v>
      </c>
    </row>
    <row r="3913" spans="1:15" x14ac:dyDescent="0.25">
      <c r="A3913" s="11">
        <v>46125</v>
      </c>
      <c r="B3913" t="s">
        <v>33</v>
      </c>
      <c r="C3913" t="s">
        <v>16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 t="shared" si="50"/>
        <v>26</v>
      </c>
      <c r="J3913" s="3">
        <f t="shared" si="51"/>
        <v>19</v>
      </c>
      <c r="K3913" s="3">
        <f t="shared" si="52"/>
        <v>7</v>
      </c>
      <c r="L3913" s="3" t="str">
        <f t="shared" si="53"/>
        <v>MUITO BOM</v>
      </c>
      <c r="N3913">
        <v>97.83</v>
      </c>
      <c r="O3913">
        <v>28.131868131868131</v>
      </c>
    </row>
    <row r="3914" spans="1:15" x14ac:dyDescent="0.25">
      <c r="A3914" s="11">
        <v>46125</v>
      </c>
      <c r="B3914" t="s">
        <v>34</v>
      </c>
      <c r="C3914" t="s">
        <v>18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 t="shared" si="50"/>
        <v>28</v>
      </c>
      <c r="J3914" s="3">
        <f t="shared" si="51"/>
        <v>24</v>
      </c>
      <c r="K3914" s="3">
        <f t="shared" si="52"/>
        <v>4</v>
      </c>
      <c r="L3914" s="3" t="str">
        <f t="shared" si="53"/>
        <v>OPORTUNO</v>
      </c>
      <c r="N3914">
        <v>99.26</v>
      </c>
      <c r="O3914">
        <v>29.57198443579767</v>
      </c>
    </row>
    <row r="3915" spans="1:15" x14ac:dyDescent="0.25">
      <c r="A3915" s="11">
        <v>46125</v>
      </c>
      <c r="B3915" t="s">
        <v>35</v>
      </c>
      <c r="C3915" t="s">
        <v>16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 t="shared" si="50"/>
        <v>18</v>
      </c>
      <c r="J3915" s="3">
        <f t="shared" si="51"/>
        <v>19</v>
      </c>
      <c r="K3915" s="3">
        <f t="shared" si="52"/>
        <v>-1</v>
      </c>
      <c r="L3915" s="3" t="str">
        <f t="shared" si="53"/>
        <v>ATENÇÃO</v>
      </c>
      <c r="N3915">
        <v>99.19</v>
      </c>
      <c r="O3915">
        <v>29.462365591397852</v>
      </c>
    </row>
    <row r="3916" spans="1:15" x14ac:dyDescent="0.25">
      <c r="A3916" s="5">
        <v>46157</v>
      </c>
      <c r="B3916" s="6" t="s">
        <v>64</v>
      </c>
      <c r="C3916" s="3" t="s">
        <v>23</v>
      </c>
      <c r="D3916" s="3">
        <v>4</v>
      </c>
      <c r="E3916" s="3">
        <v>4</v>
      </c>
      <c r="G3916" s="3">
        <v>0</v>
      </c>
      <c r="H3916" s="3">
        <v>0</v>
      </c>
      <c r="I3916" s="3">
        <f t="shared" si="50"/>
        <v>4</v>
      </c>
      <c r="J3916" s="3">
        <f t="shared" si="51"/>
        <v>8</v>
      </c>
      <c r="K3916" s="3">
        <f t="shared" si="52"/>
        <v>-4</v>
      </c>
      <c r="L3916" s="3" t="str">
        <f t="shared" si="53"/>
        <v>ATENÇÃO</v>
      </c>
      <c r="M3916">
        <v>3</v>
      </c>
      <c r="N3916">
        <v>100</v>
      </c>
      <c r="O3916">
        <v>14.285714285714279</v>
      </c>
    </row>
    <row r="3917" spans="1:15" x14ac:dyDescent="0.25">
      <c r="A3917" s="11">
        <v>46125</v>
      </c>
      <c r="B3917" t="s">
        <v>37</v>
      </c>
      <c r="C3917" t="s">
        <v>16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f t="shared" si="50"/>
        <v>0</v>
      </c>
      <c r="J3917" s="3">
        <f t="shared" si="51"/>
        <v>19</v>
      </c>
      <c r="K3917" s="3">
        <f t="shared" si="52"/>
        <v>-19</v>
      </c>
      <c r="L3917" s="3" t="str">
        <f t="shared" si="53"/>
        <v>CRÍTICO</v>
      </c>
      <c r="N3917">
        <v>100</v>
      </c>
      <c r="O3917">
        <v>27.941176470588239</v>
      </c>
    </row>
    <row r="3918" spans="1:15" x14ac:dyDescent="0.25">
      <c r="A3918" s="11">
        <v>46125</v>
      </c>
      <c r="B3918" t="s">
        <v>38</v>
      </c>
      <c r="C3918" t="s">
        <v>18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 t="shared" si="50"/>
        <v>35</v>
      </c>
      <c r="J3918" s="3">
        <f t="shared" si="51"/>
        <v>24</v>
      </c>
      <c r="K3918" s="3">
        <f t="shared" si="52"/>
        <v>11</v>
      </c>
      <c r="L3918" s="3" t="str">
        <f t="shared" si="53"/>
        <v>MUITO BOM</v>
      </c>
      <c r="N3918">
        <v>99.57</v>
      </c>
      <c r="O3918">
        <v>29.913294797687861</v>
      </c>
    </row>
    <row r="3919" spans="1:15" x14ac:dyDescent="0.25">
      <c r="A3919" s="11">
        <v>46125</v>
      </c>
      <c r="B3919" t="s">
        <v>39</v>
      </c>
      <c r="C3919" t="s">
        <v>18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f t="shared" si="50"/>
        <v>0</v>
      </c>
      <c r="J3919" s="3">
        <f t="shared" si="51"/>
        <v>24</v>
      </c>
      <c r="K3919" s="3">
        <f t="shared" si="52"/>
        <v>-24</v>
      </c>
      <c r="L3919" s="3" t="str">
        <f t="shared" si="53"/>
        <v>CRÍTICO</v>
      </c>
      <c r="N3919">
        <v>95.65</v>
      </c>
      <c r="O3919">
        <v>31.081081081081081</v>
      </c>
    </row>
    <row r="3920" spans="1:15" x14ac:dyDescent="0.25">
      <c r="A3920" s="11">
        <v>46125</v>
      </c>
      <c r="B3920" t="s">
        <v>40</v>
      </c>
      <c r="C3920" t="s">
        <v>16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 t="shared" si="50"/>
        <v>22</v>
      </c>
      <c r="J3920" s="3">
        <f t="shared" si="51"/>
        <v>19</v>
      </c>
      <c r="K3920" s="3">
        <f t="shared" si="52"/>
        <v>3</v>
      </c>
      <c r="L3920" s="3" t="str">
        <f t="shared" si="53"/>
        <v>OPORTUNO</v>
      </c>
      <c r="N3920">
        <v>98.81</v>
      </c>
      <c r="O3920">
        <v>26.256983240223459</v>
      </c>
    </row>
    <row r="3921" spans="1:15" x14ac:dyDescent="0.25">
      <c r="A3921" s="11">
        <v>46125</v>
      </c>
      <c r="B3921" t="s">
        <v>41</v>
      </c>
      <c r="C3921" t="s">
        <v>18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f t="shared" si="50"/>
        <v>0</v>
      </c>
      <c r="J3921" s="3">
        <f t="shared" si="51"/>
        <v>24</v>
      </c>
      <c r="K3921" s="3">
        <f t="shared" si="52"/>
        <v>-24</v>
      </c>
      <c r="L3921" s="3" t="str">
        <f t="shared" si="53"/>
        <v>CRÍTICO</v>
      </c>
      <c r="N3921">
        <v>0</v>
      </c>
      <c r="O3921">
        <v>0</v>
      </c>
    </row>
    <row r="3922" spans="1:15" x14ac:dyDescent="0.25">
      <c r="A3922" s="11">
        <v>46125</v>
      </c>
      <c r="B3922" t="s">
        <v>42</v>
      </c>
      <c r="C3922" t="s">
        <v>43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 t="shared" si="50"/>
        <v>21</v>
      </c>
      <c r="J3922" s="3">
        <f t="shared" si="51"/>
        <v>14</v>
      </c>
      <c r="K3922" s="3">
        <f t="shared" si="52"/>
        <v>7</v>
      </c>
      <c r="L3922" s="3" t="str">
        <f t="shared" si="53"/>
        <v>MUITO BOM</v>
      </c>
      <c r="N3922">
        <v>97.17</v>
      </c>
      <c r="O3922">
        <v>28.81844380403458</v>
      </c>
    </row>
    <row r="3923" spans="1:15" x14ac:dyDescent="0.25">
      <c r="A3923" s="11">
        <v>46125</v>
      </c>
      <c r="B3923" t="s">
        <v>44</v>
      </c>
      <c r="C3923" t="s">
        <v>18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 t="shared" si="50"/>
        <v>15</v>
      </c>
      <c r="J3923" s="3">
        <f t="shared" si="51"/>
        <v>24</v>
      </c>
      <c r="K3923" s="3">
        <f t="shared" si="52"/>
        <v>-9</v>
      </c>
      <c r="L3923" s="3" t="str">
        <f t="shared" si="53"/>
        <v>CRÍTICO</v>
      </c>
      <c r="N3923">
        <v>96.81</v>
      </c>
      <c r="O3923">
        <v>48.018648018648022</v>
      </c>
    </row>
    <row r="3924" spans="1:15" x14ac:dyDescent="0.25">
      <c r="A3924" s="11">
        <v>46125</v>
      </c>
      <c r="B3924" t="s">
        <v>45</v>
      </c>
      <c r="C3924" t="s">
        <v>43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 t="shared" si="50"/>
        <v>17</v>
      </c>
      <c r="J3924" s="3">
        <f t="shared" si="51"/>
        <v>14</v>
      </c>
      <c r="K3924" s="3">
        <f t="shared" si="52"/>
        <v>3</v>
      </c>
      <c r="L3924" s="3" t="str">
        <f t="shared" si="53"/>
        <v>OPORTUNO</v>
      </c>
      <c r="N3924">
        <v>98.15</v>
      </c>
      <c r="O3924">
        <v>27.1551724137931</v>
      </c>
    </row>
    <row r="3925" spans="1:15" x14ac:dyDescent="0.25">
      <c r="A3925" s="11">
        <v>46125</v>
      </c>
      <c r="B3925" t="s">
        <v>46</v>
      </c>
      <c r="C3925" t="s">
        <v>18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 t="shared" si="50"/>
        <v>21</v>
      </c>
      <c r="J3925" s="3">
        <f t="shared" si="51"/>
        <v>24</v>
      </c>
      <c r="K3925" s="3">
        <f t="shared" si="52"/>
        <v>-3</v>
      </c>
      <c r="L3925" s="3" t="str">
        <f t="shared" si="53"/>
        <v>ATENÇÃO</v>
      </c>
      <c r="N3925">
        <v>99.15</v>
      </c>
      <c r="O3925">
        <v>27.370689655172409</v>
      </c>
    </row>
    <row r="3926" spans="1:15" x14ac:dyDescent="0.25">
      <c r="A3926" s="11">
        <v>46125</v>
      </c>
      <c r="B3926" t="s">
        <v>47</v>
      </c>
      <c r="C3926" t="s">
        <v>16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 t="shared" si="50"/>
        <v>22</v>
      </c>
      <c r="J3926" s="3">
        <f t="shared" si="51"/>
        <v>19</v>
      </c>
      <c r="K3926" s="3">
        <f t="shared" si="52"/>
        <v>3</v>
      </c>
      <c r="L3926" s="3" t="str">
        <f t="shared" si="53"/>
        <v>OPORTUNO</v>
      </c>
      <c r="N3926">
        <v>99.17</v>
      </c>
      <c r="O3926">
        <v>29.75206611570248</v>
      </c>
    </row>
    <row r="3927" spans="1:15" x14ac:dyDescent="0.25">
      <c r="A3927" s="11">
        <v>46125</v>
      </c>
      <c r="B3927" t="s">
        <v>48</v>
      </c>
      <c r="C3927" t="s">
        <v>16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f t="shared" si="50"/>
        <v>0</v>
      </c>
      <c r="J3927" s="3">
        <f t="shared" si="51"/>
        <v>19</v>
      </c>
      <c r="K3927" s="3">
        <f t="shared" si="52"/>
        <v>-19</v>
      </c>
      <c r="L3927" s="3" t="str">
        <f t="shared" si="53"/>
        <v>CRÍTICO</v>
      </c>
      <c r="N3927">
        <v>98.73</v>
      </c>
      <c r="O3927">
        <v>28.961748633879779</v>
      </c>
    </row>
    <row r="3928" spans="1:15" x14ac:dyDescent="0.25">
      <c r="A3928" s="11">
        <v>46125</v>
      </c>
      <c r="B3928" t="s">
        <v>49</v>
      </c>
      <c r="C3928" t="s">
        <v>18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 t="shared" si="50"/>
        <v>31</v>
      </c>
      <c r="J3928" s="3">
        <f t="shared" si="51"/>
        <v>24</v>
      </c>
      <c r="K3928" s="3">
        <f t="shared" si="52"/>
        <v>7</v>
      </c>
      <c r="L3928" s="3" t="str">
        <f t="shared" si="53"/>
        <v>MUITO BOM</v>
      </c>
      <c r="N3928">
        <v>88.68</v>
      </c>
      <c r="O3928">
        <v>22.03389830508474</v>
      </c>
    </row>
    <row r="3929" spans="1:15" x14ac:dyDescent="0.25">
      <c r="A3929" s="11">
        <v>46125</v>
      </c>
      <c r="B3929" t="s">
        <v>50</v>
      </c>
      <c r="C3929" t="s">
        <v>20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 t="shared" si="50"/>
        <v>25</v>
      </c>
      <c r="J3929" s="3">
        <f t="shared" si="51"/>
        <v>16</v>
      </c>
      <c r="K3929" s="3">
        <f t="shared" si="52"/>
        <v>9</v>
      </c>
      <c r="L3929" s="3" t="str">
        <f t="shared" si="53"/>
        <v>MUITO BOM</v>
      </c>
      <c r="N3929">
        <v>97.37</v>
      </c>
      <c r="O3929">
        <v>25.76530612244898</v>
      </c>
    </row>
    <row r="3930" spans="1:15" x14ac:dyDescent="0.25">
      <c r="A3930" s="11">
        <v>46125</v>
      </c>
      <c r="B3930" t="s">
        <v>51</v>
      </c>
      <c r="C3930" t="s">
        <v>23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f t="shared" si="50"/>
        <v>0</v>
      </c>
      <c r="J3930" s="3">
        <f t="shared" si="51"/>
        <v>7</v>
      </c>
      <c r="K3930" s="3">
        <f t="shared" si="52"/>
        <v>-7</v>
      </c>
      <c r="L3930" s="3" t="str">
        <f t="shared" si="53"/>
        <v>CRÍTICO</v>
      </c>
      <c r="N3930">
        <v>100</v>
      </c>
      <c r="O3930">
        <v>25</v>
      </c>
    </row>
    <row r="3931" spans="1:15" x14ac:dyDescent="0.25">
      <c r="A3931" s="11">
        <v>46125</v>
      </c>
      <c r="B3931" t="s">
        <v>52</v>
      </c>
      <c r="C3931" t="s">
        <v>18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94" si="54">E3931+G3931+H3931</f>
        <v>21</v>
      </c>
      <c r="J3931" s="3">
        <f t="shared" ref="J3931:J3994" si="55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24</v>
      </c>
      <c r="K3931" s="3">
        <f t="shared" ref="K3931:K3994" si="56">I3931-J3931</f>
        <v>-3</v>
      </c>
      <c r="L3931" s="3" t="str">
        <f t="shared" ref="L3931:L3994" si="57">IF(K3931&lt;-5,"CRÍTICO",IF(K3931&lt;0,"ATENÇÃO",IF(K3931&lt;=5,"OPORTUNO","MUITO BOM")))</f>
        <v>ATENÇÃO</v>
      </c>
      <c r="N3931">
        <v>100</v>
      </c>
      <c r="O3931">
        <v>23.9870340356564</v>
      </c>
    </row>
    <row r="3932" spans="1:15" x14ac:dyDescent="0.25">
      <c r="A3932" s="11">
        <v>46125</v>
      </c>
      <c r="B3932" t="s">
        <v>53</v>
      </c>
      <c r="C3932" t="s">
        <v>18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54"/>
        <v>29</v>
      </c>
      <c r="J3932" s="3">
        <f t="shared" si="55"/>
        <v>24</v>
      </c>
      <c r="K3932" s="3">
        <f t="shared" si="56"/>
        <v>5</v>
      </c>
      <c r="L3932" s="3" t="str">
        <f t="shared" si="57"/>
        <v>OPORTUNO</v>
      </c>
      <c r="N3932">
        <v>95.49</v>
      </c>
      <c r="O3932">
        <v>28.16901408450704</v>
      </c>
    </row>
    <row r="3933" spans="1:15" x14ac:dyDescent="0.25">
      <c r="A3933" s="11">
        <v>46125</v>
      </c>
      <c r="B3933" t="s">
        <v>54</v>
      </c>
      <c r="C3933" t="s">
        <v>23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54"/>
        <v>13</v>
      </c>
      <c r="J3933" s="3">
        <f t="shared" si="55"/>
        <v>7</v>
      </c>
      <c r="K3933" s="3">
        <f t="shared" si="56"/>
        <v>6</v>
      </c>
      <c r="L3933" s="3" t="str">
        <f t="shared" si="57"/>
        <v>MUITO BOM</v>
      </c>
      <c r="N3933">
        <v>100</v>
      </c>
      <c r="O3933">
        <v>23.77622377622378</v>
      </c>
    </row>
    <row r="3934" spans="1:15" x14ac:dyDescent="0.25">
      <c r="A3934" s="11">
        <v>46125</v>
      </c>
      <c r="B3934" t="s">
        <v>55</v>
      </c>
      <c r="C3934" t="s">
        <v>43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54"/>
        <v>22</v>
      </c>
      <c r="J3934" s="3">
        <f t="shared" si="55"/>
        <v>14</v>
      </c>
      <c r="K3934" s="3">
        <f t="shared" si="56"/>
        <v>8</v>
      </c>
      <c r="L3934" s="3" t="str">
        <f t="shared" si="57"/>
        <v>MUITO BOM</v>
      </c>
      <c r="N3934">
        <v>96.15</v>
      </c>
      <c r="O3934">
        <v>24.045801526717561</v>
      </c>
    </row>
    <row r="3935" spans="1:15" x14ac:dyDescent="0.25">
      <c r="A3935" s="11">
        <v>46125</v>
      </c>
      <c r="B3935" t="s">
        <v>56</v>
      </c>
      <c r="C3935" t="s">
        <v>16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54"/>
        <v>19</v>
      </c>
      <c r="J3935" s="3">
        <f t="shared" si="55"/>
        <v>19</v>
      </c>
      <c r="K3935" s="3">
        <f t="shared" si="56"/>
        <v>0</v>
      </c>
      <c r="L3935" s="3" t="str">
        <f t="shared" si="57"/>
        <v>OPORTUNO</v>
      </c>
      <c r="N3935">
        <v>99.02</v>
      </c>
      <c r="O3935">
        <v>34.797297297297298</v>
      </c>
    </row>
    <row r="3936" spans="1:15" x14ac:dyDescent="0.25">
      <c r="A3936" s="11">
        <v>46125</v>
      </c>
      <c r="B3936" t="s">
        <v>57</v>
      </c>
      <c r="C3936" t="s">
        <v>43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54"/>
        <v>17</v>
      </c>
      <c r="J3936" s="3">
        <f t="shared" si="55"/>
        <v>14</v>
      </c>
      <c r="K3936" s="3">
        <f t="shared" si="56"/>
        <v>3</v>
      </c>
      <c r="L3936" s="3" t="str">
        <f t="shared" si="57"/>
        <v>OPORTUNO</v>
      </c>
      <c r="N3936">
        <v>98.84</v>
      </c>
      <c r="O3936">
        <v>31.5018315018315</v>
      </c>
    </row>
    <row r="3937" spans="1:15" x14ac:dyDescent="0.25">
      <c r="A3937" s="11">
        <v>46125</v>
      </c>
      <c r="B3937" t="s">
        <v>58</v>
      </c>
      <c r="C3937" t="s">
        <v>43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54"/>
        <v>22</v>
      </c>
      <c r="J3937" s="3">
        <f t="shared" si="55"/>
        <v>14</v>
      </c>
      <c r="K3937" s="3">
        <f t="shared" si="56"/>
        <v>8</v>
      </c>
      <c r="L3937" s="3" t="str">
        <f t="shared" si="57"/>
        <v>MUITO BOM</v>
      </c>
      <c r="N3937">
        <v>100</v>
      </c>
      <c r="O3937">
        <v>34.666666666666671</v>
      </c>
    </row>
    <row r="3938" spans="1:15" x14ac:dyDescent="0.25">
      <c r="A3938" s="11">
        <v>46125</v>
      </c>
      <c r="B3938" t="s">
        <v>59</v>
      </c>
      <c r="C3938" t="s">
        <v>23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54"/>
        <v>3</v>
      </c>
      <c r="J3938" s="3">
        <f t="shared" si="55"/>
        <v>7</v>
      </c>
      <c r="K3938" s="3">
        <f t="shared" si="56"/>
        <v>-4</v>
      </c>
      <c r="L3938" s="3" t="str">
        <f t="shared" si="57"/>
        <v>ATENÇÃO</v>
      </c>
      <c r="N3938">
        <v>94.12</v>
      </c>
      <c r="O3938">
        <v>32.799999999999997</v>
      </c>
    </row>
    <row r="3939" spans="1:15" x14ac:dyDescent="0.25">
      <c r="A3939" s="11">
        <v>46125</v>
      </c>
      <c r="B3939" t="s">
        <v>60</v>
      </c>
      <c r="C3939" t="s">
        <v>20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54"/>
        <v>20</v>
      </c>
      <c r="J3939" s="3">
        <f t="shared" si="55"/>
        <v>16</v>
      </c>
      <c r="K3939" s="3">
        <f t="shared" si="56"/>
        <v>4</v>
      </c>
      <c r="L3939" s="3" t="str">
        <f t="shared" si="57"/>
        <v>OPORTUNO</v>
      </c>
      <c r="N3939">
        <v>98.32</v>
      </c>
      <c r="O3939">
        <v>26.618705035971221</v>
      </c>
    </row>
    <row r="3940" spans="1:15" x14ac:dyDescent="0.25">
      <c r="A3940" s="11">
        <v>46125</v>
      </c>
      <c r="B3940" t="s">
        <v>61</v>
      </c>
      <c r="C3940" t="s">
        <v>18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54"/>
        <v>25</v>
      </c>
      <c r="J3940" s="3">
        <f t="shared" si="55"/>
        <v>24</v>
      </c>
      <c r="K3940" s="3">
        <f t="shared" si="56"/>
        <v>1</v>
      </c>
      <c r="L3940" s="3" t="str">
        <f t="shared" si="57"/>
        <v>OPORTUNO</v>
      </c>
      <c r="N3940">
        <v>100</v>
      </c>
      <c r="O3940">
        <v>31.135531135531139</v>
      </c>
    </row>
    <row r="3941" spans="1:15" x14ac:dyDescent="0.25">
      <c r="A3941" s="11">
        <v>46125</v>
      </c>
      <c r="B3941" t="s">
        <v>62</v>
      </c>
      <c r="C3941" t="s">
        <v>20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54"/>
        <v>13</v>
      </c>
      <c r="J3941" s="3">
        <f t="shared" si="55"/>
        <v>16</v>
      </c>
      <c r="K3941" s="3">
        <f t="shared" si="56"/>
        <v>-3</v>
      </c>
      <c r="L3941" s="3" t="str">
        <f t="shared" si="57"/>
        <v>ATENÇÃO</v>
      </c>
      <c r="N3941">
        <v>100</v>
      </c>
      <c r="O3941">
        <v>26.027397260273968</v>
      </c>
    </row>
    <row r="3942" spans="1:15" x14ac:dyDescent="0.25">
      <c r="A3942" s="11">
        <v>46125</v>
      </c>
      <c r="B3942" t="s">
        <v>63</v>
      </c>
      <c r="C3942" t="s">
        <v>18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54"/>
        <v>20</v>
      </c>
      <c r="J3942" s="3">
        <f t="shared" si="55"/>
        <v>24</v>
      </c>
      <c r="K3942" s="3">
        <f t="shared" si="56"/>
        <v>-4</v>
      </c>
      <c r="L3942" s="3" t="str">
        <f t="shared" si="57"/>
        <v>ATENÇÃO</v>
      </c>
      <c r="N3942">
        <v>99.21</v>
      </c>
      <c r="O3942">
        <v>24.937027707808561</v>
      </c>
    </row>
    <row r="3943" spans="1:15" x14ac:dyDescent="0.25">
      <c r="A3943" s="11">
        <v>46126</v>
      </c>
      <c r="B3943" t="s">
        <v>15</v>
      </c>
      <c r="C3943" t="s">
        <v>16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54"/>
        <v>12</v>
      </c>
      <c r="J3943" s="3">
        <f t="shared" si="55"/>
        <v>23</v>
      </c>
      <c r="K3943" s="3">
        <f t="shared" si="56"/>
        <v>-11</v>
      </c>
      <c r="L3943" s="3" t="str">
        <f t="shared" si="57"/>
        <v>CRÍTICO</v>
      </c>
      <c r="N3943">
        <v>100</v>
      </c>
      <c r="O3943">
        <v>32.764505119453922</v>
      </c>
    </row>
    <row r="3944" spans="1:15" x14ac:dyDescent="0.25">
      <c r="A3944" s="11">
        <v>46126</v>
      </c>
      <c r="B3944" t="s">
        <v>17</v>
      </c>
      <c r="C3944" t="s">
        <v>18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f t="shared" si="54"/>
        <v>0</v>
      </c>
      <c r="J3944" s="3">
        <f t="shared" si="55"/>
        <v>28</v>
      </c>
      <c r="K3944" s="3">
        <f t="shared" si="56"/>
        <v>-28</v>
      </c>
      <c r="L3944" s="3" t="str">
        <f t="shared" si="57"/>
        <v>CRÍTICO</v>
      </c>
      <c r="N3944">
        <v>98.66</v>
      </c>
      <c r="O3944">
        <v>35.15625</v>
      </c>
    </row>
    <row r="3945" spans="1:15" x14ac:dyDescent="0.25">
      <c r="A3945" s="11">
        <v>46126</v>
      </c>
      <c r="B3945" t="s">
        <v>19</v>
      </c>
      <c r="C3945" t="s">
        <v>20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si="54"/>
        <v>15</v>
      </c>
      <c r="J3945" s="3">
        <f t="shared" si="55"/>
        <v>19</v>
      </c>
      <c r="K3945" s="3">
        <f t="shared" si="56"/>
        <v>-4</v>
      </c>
      <c r="L3945" s="3" t="str">
        <f t="shared" si="57"/>
        <v>ATENÇÃO</v>
      </c>
      <c r="N3945">
        <v>99.32</v>
      </c>
      <c r="O3945">
        <v>30.45186640471513</v>
      </c>
    </row>
    <row r="3946" spans="1:15" x14ac:dyDescent="0.25">
      <c r="A3946" s="11">
        <v>46126</v>
      </c>
      <c r="B3946" t="s">
        <v>21</v>
      </c>
      <c r="C3946" t="s">
        <v>18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54"/>
        <v>34</v>
      </c>
      <c r="J3946" s="3">
        <f t="shared" si="55"/>
        <v>28</v>
      </c>
      <c r="K3946" s="3">
        <f t="shared" si="56"/>
        <v>6</v>
      </c>
      <c r="L3946" s="3" t="str">
        <f t="shared" si="57"/>
        <v>MUITO BOM</v>
      </c>
      <c r="N3946">
        <v>100</v>
      </c>
      <c r="O3946">
        <v>27.803738317757009</v>
      </c>
    </row>
    <row r="3947" spans="1:15" x14ac:dyDescent="0.25">
      <c r="A3947" s="11">
        <v>46126</v>
      </c>
      <c r="B3947" t="s">
        <v>22</v>
      </c>
      <c r="C3947" t="s">
        <v>23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54"/>
        <v>32</v>
      </c>
      <c r="J3947" s="3">
        <f t="shared" si="55"/>
        <v>8</v>
      </c>
      <c r="K3947" s="3">
        <f t="shared" si="56"/>
        <v>24</v>
      </c>
      <c r="L3947" s="3" t="str">
        <f t="shared" si="57"/>
        <v>MUITO BOM</v>
      </c>
      <c r="N3947">
        <v>96.74</v>
      </c>
      <c r="O3947">
        <v>28.43137254901961</v>
      </c>
    </row>
    <row r="3948" spans="1:15" x14ac:dyDescent="0.25">
      <c r="A3948" s="11">
        <v>46126</v>
      </c>
      <c r="B3948" t="s">
        <v>24</v>
      </c>
      <c r="C3948" t="s">
        <v>16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54"/>
        <v>31</v>
      </c>
      <c r="J3948" s="3">
        <f t="shared" si="55"/>
        <v>23</v>
      </c>
      <c r="K3948" s="3">
        <f t="shared" si="56"/>
        <v>8</v>
      </c>
      <c r="L3948" s="3" t="str">
        <f t="shared" si="57"/>
        <v>MUITO BOM</v>
      </c>
      <c r="N3948">
        <v>98.82</v>
      </c>
      <c r="O3948">
        <v>30.741410488245929</v>
      </c>
    </row>
    <row r="3949" spans="1:15" x14ac:dyDescent="0.25">
      <c r="A3949" s="11">
        <v>46126</v>
      </c>
      <c r="B3949" t="s">
        <v>25</v>
      </c>
      <c r="C3949" t="s">
        <v>16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54"/>
        <v>16</v>
      </c>
      <c r="J3949" s="3">
        <f t="shared" si="55"/>
        <v>23</v>
      </c>
      <c r="K3949" s="3">
        <f t="shared" si="56"/>
        <v>-7</v>
      </c>
      <c r="L3949" s="3" t="str">
        <f t="shared" si="57"/>
        <v>CRÍTICO</v>
      </c>
      <c r="N3949">
        <v>98.2</v>
      </c>
      <c r="O3949">
        <v>26.890756302521009</v>
      </c>
    </row>
    <row r="3950" spans="1:15" x14ac:dyDescent="0.25">
      <c r="A3950" s="11">
        <v>46126</v>
      </c>
      <c r="B3950" t="s">
        <v>26</v>
      </c>
      <c r="C3950" t="s">
        <v>23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54"/>
        <v>6</v>
      </c>
      <c r="J3950" s="3">
        <f t="shared" si="55"/>
        <v>8</v>
      </c>
      <c r="K3950" s="3">
        <f t="shared" si="56"/>
        <v>-2</v>
      </c>
      <c r="L3950" s="3" t="str">
        <f t="shared" si="57"/>
        <v>ATENÇÃO</v>
      </c>
      <c r="N3950">
        <v>100</v>
      </c>
      <c r="O3950">
        <v>23.134328358208951</v>
      </c>
    </row>
    <row r="3951" spans="1:15" x14ac:dyDescent="0.25">
      <c r="A3951" s="11">
        <v>46126</v>
      </c>
      <c r="B3951" t="s">
        <v>27</v>
      </c>
      <c r="C3951" t="s">
        <v>20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54"/>
        <v>25</v>
      </c>
      <c r="J3951" s="3">
        <f t="shared" si="55"/>
        <v>19</v>
      </c>
      <c r="K3951" s="3">
        <f t="shared" si="56"/>
        <v>6</v>
      </c>
      <c r="L3951" s="3" t="str">
        <f t="shared" si="57"/>
        <v>MUITO BOM</v>
      </c>
      <c r="N3951">
        <v>96.3</v>
      </c>
      <c r="O3951">
        <v>31.980906921241051</v>
      </c>
    </row>
    <row r="3952" spans="1:15" x14ac:dyDescent="0.25">
      <c r="A3952" s="11">
        <v>46126</v>
      </c>
      <c r="B3952" t="s">
        <v>28</v>
      </c>
      <c r="C3952" t="s">
        <v>18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54"/>
        <v>38</v>
      </c>
      <c r="J3952" s="3">
        <f t="shared" si="55"/>
        <v>28</v>
      </c>
      <c r="K3952" s="3">
        <f t="shared" si="56"/>
        <v>10</v>
      </c>
      <c r="L3952" s="3" t="str">
        <f t="shared" si="57"/>
        <v>MUITO BOM</v>
      </c>
      <c r="N3952">
        <v>93.75</v>
      </c>
      <c r="O3952">
        <v>26.628352490421459</v>
      </c>
    </row>
    <row r="3953" spans="1:15" x14ac:dyDescent="0.25">
      <c r="A3953" s="11">
        <v>46126</v>
      </c>
      <c r="B3953" t="s">
        <v>29</v>
      </c>
      <c r="C3953" t="s">
        <v>16</v>
      </c>
      <c r="D3953">
        <v>0</v>
      </c>
      <c r="E3953">
        <v>0</v>
      </c>
      <c r="F3953">
        <v>0</v>
      </c>
      <c r="G3953">
        <v>0</v>
      </c>
      <c r="H3953">
        <v>0</v>
      </c>
      <c r="I3953" s="3">
        <f t="shared" si="54"/>
        <v>0</v>
      </c>
      <c r="J3953" s="3">
        <f t="shared" si="55"/>
        <v>23</v>
      </c>
      <c r="K3953" s="3">
        <f t="shared" si="56"/>
        <v>-23</v>
      </c>
      <c r="L3953" s="3" t="str">
        <f t="shared" si="57"/>
        <v>CRÍTICO</v>
      </c>
      <c r="N3953">
        <v>97.86</v>
      </c>
      <c r="O3953">
        <v>31.018518518518519</v>
      </c>
    </row>
    <row r="3954" spans="1:15" x14ac:dyDescent="0.25">
      <c r="A3954" s="11">
        <v>46126</v>
      </c>
      <c r="B3954" t="s">
        <v>30</v>
      </c>
      <c r="C3954" t="s">
        <v>20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 t="shared" si="54"/>
        <v>17</v>
      </c>
      <c r="J3954" s="3">
        <f t="shared" si="55"/>
        <v>19</v>
      </c>
      <c r="K3954" s="3">
        <f t="shared" si="56"/>
        <v>-2</v>
      </c>
      <c r="L3954" s="3" t="str">
        <f t="shared" si="57"/>
        <v>ATENÇÃO</v>
      </c>
      <c r="N3954">
        <v>100</v>
      </c>
      <c r="O3954">
        <v>36.231884057971023</v>
      </c>
    </row>
    <row r="3955" spans="1:15" x14ac:dyDescent="0.25">
      <c r="A3955" s="11">
        <v>46126</v>
      </c>
      <c r="B3955" t="s">
        <v>31</v>
      </c>
      <c r="C3955" t="s">
        <v>18</v>
      </c>
      <c r="D3955">
        <v>0</v>
      </c>
      <c r="E3955">
        <v>0</v>
      </c>
      <c r="F3955">
        <v>0</v>
      </c>
      <c r="G3955">
        <v>0</v>
      </c>
      <c r="H3955">
        <v>0</v>
      </c>
      <c r="I3955" s="3">
        <f t="shared" si="54"/>
        <v>0</v>
      </c>
      <c r="J3955" s="3">
        <f t="shared" si="55"/>
        <v>28</v>
      </c>
      <c r="K3955" s="3">
        <f t="shared" si="56"/>
        <v>-28</v>
      </c>
      <c r="L3955" s="3" t="str">
        <f t="shared" si="57"/>
        <v>CRÍTICO</v>
      </c>
      <c r="N3955">
        <v>100</v>
      </c>
      <c r="O3955">
        <v>38.269230769230766</v>
      </c>
    </row>
    <row r="3956" spans="1:15" x14ac:dyDescent="0.25">
      <c r="A3956" s="11">
        <v>46126</v>
      </c>
      <c r="B3956" t="s">
        <v>32</v>
      </c>
      <c r="C3956" t="s">
        <v>23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 t="shared" si="54"/>
        <v>10</v>
      </c>
      <c r="J3956" s="3">
        <f t="shared" si="55"/>
        <v>8</v>
      </c>
      <c r="K3956" s="3">
        <f t="shared" si="56"/>
        <v>2</v>
      </c>
      <c r="L3956" s="3" t="str">
        <f t="shared" si="57"/>
        <v>OPORTUNO</v>
      </c>
      <c r="N3956">
        <v>100</v>
      </c>
      <c r="O3956">
        <v>27.368421052631579</v>
      </c>
    </row>
    <row r="3957" spans="1:15" x14ac:dyDescent="0.25">
      <c r="A3957" s="11">
        <v>46126</v>
      </c>
      <c r="B3957" t="s">
        <v>33</v>
      </c>
      <c r="C3957" t="s">
        <v>16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 t="shared" si="54"/>
        <v>18</v>
      </c>
      <c r="J3957" s="3">
        <f t="shared" si="55"/>
        <v>23</v>
      </c>
      <c r="K3957" s="3">
        <f t="shared" si="56"/>
        <v>-5</v>
      </c>
      <c r="L3957" s="3" t="str">
        <f t="shared" si="57"/>
        <v>ATENÇÃO</v>
      </c>
      <c r="N3957">
        <v>97.83</v>
      </c>
      <c r="O3957">
        <v>28.131868131868131</v>
      </c>
    </row>
    <row r="3958" spans="1:15" x14ac:dyDescent="0.25">
      <c r="A3958" s="11">
        <v>46126</v>
      </c>
      <c r="B3958" t="s">
        <v>34</v>
      </c>
      <c r="C3958" t="s">
        <v>18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 t="shared" si="54"/>
        <v>31</v>
      </c>
      <c r="J3958" s="3">
        <f t="shared" si="55"/>
        <v>28</v>
      </c>
      <c r="K3958" s="3">
        <f t="shared" si="56"/>
        <v>3</v>
      </c>
      <c r="L3958" s="3" t="str">
        <f t="shared" si="57"/>
        <v>OPORTUNO</v>
      </c>
      <c r="N3958">
        <v>99.26</v>
      </c>
      <c r="O3958">
        <v>29.57198443579767</v>
      </c>
    </row>
    <row r="3959" spans="1:15" x14ac:dyDescent="0.25">
      <c r="A3959" s="11">
        <v>46126</v>
      </c>
      <c r="B3959" t="s">
        <v>35</v>
      </c>
      <c r="C3959" t="s">
        <v>16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 t="shared" si="54"/>
        <v>31</v>
      </c>
      <c r="J3959" s="3">
        <f t="shared" si="55"/>
        <v>23</v>
      </c>
      <c r="K3959" s="3">
        <f t="shared" si="56"/>
        <v>8</v>
      </c>
      <c r="L3959" s="3" t="str">
        <f t="shared" si="57"/>
        <v>MUITO BOM</v>
      </c>
      <c r="N3959">
        <v>99.19</v>
      </c>
      <c r="O3959">
        <v>29.462365591397852</v>
      </c>
    </row>
    <row r="3960" spans="1:15" x14ac:dyDescent="0.25">
      <c r="A3960" s="5">
        <v>46160</v>
      </c>
      <c r="B3960" s="6" t="s">
        <v>36</v>
      </c>
      <c r="C3960" s="3" t="s">
        <v>20</v>
      </c>
      <c r="D3960" s="3">
        <v>21</v>
      </c>
      <c r="E3960" s="3">
        <v>18</v>
      </c>
      <c r="G3960" s="3">
        <v>6</v>
      </c>
      <c r="H3960" s="3">
        <v>1</v>
      </c>
      <c r="I3960" s="3">
        <f t="shared" si="54"/>
        <v>25</v>
      </c>
      <c r="J3960" s="3">
        <f t="shared" si="55"/>
        <v>18</v>
      </c>
      <c r="K3960" s="3">
        <f t="shared" si="56"/>
        <v>7</v>
      </c>
      <c r="L3960" s="3" t="str">
        <f t="shared" si="57"/>
        <v>MUITO BOM</v>
      </c>
      <c r="M3960">
        <v>18</v>
      </c>
      <c r="N3960">
        <v>98.8</v>
      </c>
      <c r="O3960">
        <v>15.41353383458646</v>
      </c>
    </row>
    <row r="3961" spans="1:15" x14ac:dyDescent="0.25">
      <c r="A3961" s="11">
        <v>46126</v>
      </c>
      <c r="B3961" t="s">
        <v>37</v>
      </c>
      <c r="C3961" t="s">
        <v>16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f t="shared" si="54"/>
        <v>0</v>
      </c>
      <c r="J3961" s="3">
        <f t="shared" si="55"/>
        <v>23</v>
      </c>
      <c r="K3961" s="3">
        <f t="shared" si="56"/>
        <v>-23</v>
      </c>
      <c r="L3961" s="3" t="str">
        <f t="shared" si="57"/>
        <v>CRÍTICO</v>
      </c>
      <c r="N3961">
        <v>100</v>
      </c>
      <c r="O3961">
        <v>27.941176470588239</v>
      </c>
    </row>
    <row r="3962" spans="1:15" x14ac:dyDescent="0.25">
      <c r="A3962" s="11">
        <v>46126</v>
      </c>
      <c r="B3962" t="s">
        <v>38</v>
      </c>
      <c r="C3962" t="s">
        <v>18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 t="shared" si="54"/>
        <v>30</v>
      </c>
      <c r="J3962" s="3">
        <f t="shared" si="55"/>
        <v>28</v>
      </c>
      <c r="K3962" s="3">
        <f t="shared" si="56"/>
        <v>2</v>
      </c>
      <c r="L3962" s="3" t="str">
        <f t="shared" si="57"/>
        <v>OPORTUNO</v>
      </c>
      <c r="N3962">
        <v>99.57</v>
      </c>
      <c r="O3962">
        <v>29.913294797687861</v>
      </c>
    </row>
    <row r="3963" spans="1:15" x14ac:dyDescent="0.25">
      <c r="A3963" s="11">
        <v>46126</v>
      </c>
      <c r="B3963" t="s">
        <v>39</v>
      </c>
      <c r="C3963" t="s">
        <v>18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f t="shared" si="54"/>
        <v>0</v>
      </c>
      <c r="J3963" s="3">
        <f t="shared" si="55"/>
        <v>28</v>
      </c>
      <c r="K3963" s="3">
        <f t="shared" si="56"/>
        <v>-28</v>
      </c>
      <c r="L3963" s="3" t="str">
        <f t="shared" si="57"/>
        <v>CRÍTICO</v>
      </c>
      <c r="N3963">
        <v>95.65</v>
      </c>
      <c r="O3963">
        <v>31.081081081081081</v>
      </c>
    </row>
    <row r="3964" spans="1:15" x14ac:dyDescent="0.25">
      <c r="A3964" s="11">
        <v>46126</v>
      </c>
      <c r="B3964" t="s">
        <v>40</v>
      </c>
      <c r="C3964" t="s">
        <v>16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 t="shared" si="54"/>
        <v>12</v>
      </c>
      <c r="J3964" s="3">
        <f t="shared" si="55"/>
        <v>23</v>
      </c>
      <c r="K3964" s="3">
        <f t="shared" si="56"/>
        <v>-11</v>
      </c>
      <c r="L3964" s="3" t="str">
        <f t="shared" si="57"/>
        <v>CRÍTICO</v>
      </c>
      <c r="N3964">
        <v>98.81</v>
      </c>
      <c r="O3964">
        <v>26.256983240223459</v>
      </c>
    </row>
    <row r="3965" spans="1:15" x14ac:dyDescent="0.25">
      <c r="A3965" s="11">
        <v>46126</v>
      </c>
      <c r="B3965" t="s">
        <v>41</v>
      </c>
      <c r="C3965" t="s">
        <v>18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f t="shared" si="54"/>
        <v>0</v>
      </c>
      <c r="J3965" s="3">
        <f t="shared" si="55"/>
        <v>28</v>
      </c>
      <c r="K3965" s="3">
        <f t="shared" si="56"/>
        <v>-28</v>
      </c>
      <c r="L3965" s="3" t="str">
        <f t="shared" si="57"/>
        <v>CRÍTICO</v>
      </c>
      <c r="N3965">
        <v>0</v>
      </c>
      <c r="O3965">
        <v>0</v>
      </c>
    </row>
    <row r="3966" spans="1:15" x14ac:dyDescent="0.25">
      <c r="A3966" s="11">
        <v>46126</v>
      </c>
      <c r="B3966" t="s">
        <v>42</v>
      </c>
      <c r="C3966" t="s">
        <v>43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 t="shared" si="54"/>
        <v>25</v>
      </c>
      <c r="J3966" s="3">
        <f t="shared" si="55"/>
        <v>16</v>
      </c>
      <c r="K3966" s="3">
        <f t="shared" si="56"/>
        <v>9</v>
      </c>
      <c r="L3966" s="3" t="str">
        <f t="shared" si="57"/>
        <v>MUITO BOM</v>
      </c>
      <c r="N3966">
        <v>97.17</v>
      </c>
      <c r="O3966">
        <v>28.81844380403458</v>
      </c>
    </row>
    <row r="3967" spans="1:15" x14ac:dyDescent="0.25">
      <c r="A3967" s="11">
        <v>46126</v>
      </c>
      <c r="B3967" t="s">
        <v>44</v>
      </c>
      <c r="C3967" t="s">
        <v>18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 t="shared" si="54"/>
        <v>22</v>
      </c>
      <c r="J3967" s="3">
        <f t="shared" si="55"/>
        <v>28</v>
      </c>
      <c r="K3967" s="3">
        <f t="shared" si="56"/>
        <v>-6</v>
      </c>
      <c r="L3967" s="3" t="str">
        <f t="shared" si="57"/>
        <v>CRÍTICO</v>
      </c>
      <c r="N3967">
        <v>96.81</v>
      </c>
      <c r="O3967">
        <v>48.018648018648022</v>
      </c>
    </row>
    <row r="3968" spans="1:15" x14ac:dyDescent="0.25">
      <c r="A3968" s="11">
        <v>46126</v>
      </c>
      <c r="B3968" t="s">
        <v>45</v>
      </c>
      <c r="C3968" t="s">
        <v>43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 t="shared" si="54"/>
        <v>15</v>
      </c>
      <c r="J3968" s="3">
        <f t="shared" si="55"/>
        <v>16</v>
      </c>
      <c r="K3968" s="3">
        <f t="shared" si="56"/>
        <v>-1</v>
      </c>
      <c r="L3968" s="3" t="str">
        <f t="shared" si="57"/>
        <v>ATENÇÃO</v>
      </c>
      <c r="N3968">
        <v>98.15</v>
      </c>
      <c r="O3968">
        <v>27.1551724137931</v>
      </c>
    </row>
    <row r="3969" spans="1:15" x14ac:dyDescent="0.25">
      <c r="A3969" s="11">
        <v>46126</v>
      </c>
      <c r="B3969" t="s">
        <v>46</v>
      </c>
      <c r="C3969" t="s">
        <v>18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 t="shared" si="54"/>
        <v>28</v>
      </c>
      <c r="J3969" s="3">
        <f t="shared" si="55"/>
        <v>28</v>
      </c>
      <c r="K3969" s="3">
        <f t="shared" si="56"/>
        <v>0</v>
      </c>
      <c r="L3969" s="3" t="str">
        <f t="shared" si="57"/>
        <v>OPORTUNO</v>
      </c>
      <c r="N3969">
        <v>99.15</v>
      </c>
      <c r="O3969">
        <v>27.370689655172409</v>
      </c>
    </row>
    <row r="3970" spans="1:15" x14ac:dyDescent="0.25">
      <c r="A3970" s="11">
        <v>46126</v>
      </c>
      <c r="B3970" t="s">
        <v>47</v>
      </c>
      <c r="C3970" t="s">
        <v>16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 t="shared" si="54"/>
        <v>30</v>
      </c>
      <c r="J3970" s="3">
        <f t="shared" si="55"/>
        <v>23</v>
      </c>
      <c r="K3970" s="3">
        <f t="shared" si="56"/>
        <v>7</v>
      </c>
      <c r="L3970" s="3" t="str">
        <f t="shared" si="57"/>
        <v>MUITO BOM</v>
      </c>
      <c r="N3970">
        <v>99.17</v>
      </c>
      <c r="O3970">
        <v>29.75206611570248</v>
      </c>
    </row>
    <row r="3971" spans="1:15" x14ac:dyDescent="0.25">
      <c r="A3971" s="11">
        <v>46126</v>
      </c>
      <c r="B3971" t="s">
        <v>48</v>
      </c>
      <c r="C3971" t="s">
        <v>16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f t="shared" si="54"/>
        <v>0</v>
      </c>
      <c r="J3971" s="3">
        <f t="shared" si="55"/>
        <v>23</v>
      </c>
      <c r="K3971" s="3">
        <f t="shared" si="56"/>
        <v>-23</v>
      </c>
      <c r="L3971" s="3" t="str">
        <f t="shared" si="57"/>
        <v>CRÍTICO</v>
      </c>
      <c r="N3971">
        <v>98.73</v>
      </c>
      <c r="O3971">
        <v>28.961748633879779</v>
      </c>
    </row>
    <row r="3972" spans="1:15" x14ac:dyDescent="0.25">
      <c r="A3972" s="11">
        <v>46126</v>
      </c>
      <c r="B3972" t="s">
        <v>49</v>
      </c>
      <c r="C3972" t="s">
        <v>18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 t="shared" si="54"/>
        <v>25</v>
      </c>
      <c r="J3972" s="3">
        <f t="shared" si="55"/>
        <v>28</v>
      </c>
      <c r="K3972" s="3">
        <f t="shared" si="56"/>
        <v>-3</v>
      </c>
      <c r="L3972" s="3" t="str">
        <f t="shared" si="57"/>
        <v>ATENÇÃO</v>
      </c>
      <c r="N3972">
        <v>88.68</v>
      </c>
      <c r="O3972">
        <v>22.03389830508474</v>
      </c>
    </row>
    <row r="3973" spans="1:15" x14ac:dyDescent="0.25">
      <c r="A3973" s="11">
        <v>46126</v>
      </c>
      <c r="B3973" t="s">
        <v>50</v>
      </c>
      <c r="C3973" t="s">
        <v>20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 t="shared" si="54"/>
        <v>20</v>
      </c>
      <c r="J3973" s="3">
        <f t="shared" si="55"/>
        <v>19</v>
      </c>
      <c r="K3973" s="3">
        <f t="shared" si="56"/>
        <v>1</v>
      </c>
      <c r="L3973" s="3" t="str">
        <f t="shared" si="57"/>
        <v>OPORTUNO</v>
      </c>
      <c r="N3973">
        <v>97.37</v>
      </c>
      <c r="O3973">
        <v>25.76530612244898</v>
      </c>
    </row>
    <row r="3974" spans="1:15" x14ac:dyDescent="0.25">
      <c r="A3974" s="11">
        <v>46126</v>
      </c>
      <c r="B3974" t="s">
        <v>51</v>
      </c>
      <c r="C3974" t="s">
        <v>23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 t="shared" si="54"/>
        <v>10</v>
      </c>
      <c r="J3974" s="3">
        <f t="shared" si="55"/>
        <v>8</v>
      </c>
      <c r="K3974" s="3">
        <f t="shared" si="56"/>
        <v>2</v>
      </c>
      <c r="L3974" s="3" t="str">
        <f t="shared" si="57"/>
        <v>OPORTUNO</v>
      </c>
      <c r="N3974">
        <v>100</v>
      </c>
      <c r="O3974">
        <v>25</v>
      </c>
    </row>
    <row r="3975" spans="1:15" x14ac:dyDescent="0.25">
      <c r="A3975" s="11">
        <v>46126</v>
      </c>
      <c r="B3975" t="s">
        <v>52</v>
      </c>
      <c r="C3975" t="s">
        <v>18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 t="shared" si="54"/>
        <v>25</v>
      </c>
      <c r="J3975" s="3">
        <f t="shared" si="55"/>
        <v>28</v>
      </c>
      <c r="K3975" s="3">
        <f t="shared" si="56"/>
        <v>-3</v>
      </c>
      <c r="L3975" s="3" t="str">
        <f t="shared" si="57"/>
        <v>ATENÇÃO</v>
      </c>
      <c r="N3975">
        <v>100</v>
      </c>
      <c r="O3975">
        <v>23.9870340356564</v>
      </c>
    </row>
    <row r="3976" spans="1:15" x14ac:dyDescent="0.25">
      <c r="A3976" s="11">
        <v>46126</v>
      </c>
      <c r="B3976" t="s">
        <v>53</v>
      </c>
      <c r="C3976" t="s">
        <v>18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 t="shared" si="54"/>
        <v>37</v>
      </c>
      <c r="J3976" s="3">
        <f t="shared" si="55"/>
        <v>28</v>
      </c>
      <c r="K3976" s="3">
        <f t="shared" si="56"/>
        <v>9</v>
      </c>
      <c r="L3976" s="3" t="str">
        <f t="shared" si="57"/>
        <v>MUITO BOM</v>
      </c>
      <c r="N3976">
        <v>95.49</v>
      </c>
      <c r="O3976">
        <v>28.16901408450704</v>
      </c>
    </row>
    <row r="3977" spans="1:15" x14ac:dyDescent="0.25">
      <c r="A3977" s="11">
        <v>46126</v>
      </c>
      <c r="B3977" t="s">
        <v>54</v>
      </c>
      <c r="C3977" t="s">
        <v>23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f t="shared" si="54"/>
        <v>0</v>
      </c>
      <c r="J3977" s="3">
        <f t="shared" si="55"/>
        <v>8</v>
      </c>
      <c r="K3977" s="3">
        <f t="shared" si="56"/>
        <v>-8</v>
      </c>
      <c r="L3977" s="3" t="str">
        <f t="shared" si="57"/>
        <v>CRÍTICO</v>
      </c>
      <c r="N3977">
        <v>100</v>
      </c>
      <c r="O3977">
        <v>23.77622377622378</v>
      </c>
    </row>
    <row r="3978" spans="1:15" x14ac:dyDescent="0.25">
      <c r="A3978" s="11">
        <v>46126</v>
      </c>
      <c r="B3978" t="s">
        <v>55</v>
      </c>
      <c r="C3978" t="s">
        <v>43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 t="shared" si="54"/>
        <v>35</v>
      </c>
      <c r="J3978" s="3">
        <f t="shared" si="55"/>
        <v>16</v>
      </c>
      <c r="K3978" s="3">
        <f t="shared" si="56"/>
        <v>19</v>
      </c>
      <c r="L3978" s="3" t="str">
        <f t="shared" si="57"/>
        <v>MUITO BOM</v>
      </c>
      <c r="N3978">
        <v>96.15</v>
      </c>
      <c r="O3978">
        <v>24.045801526717561</v>
      </c>
    </row>
    <row r="3979" spans="1:15" x14ac:dyDescent="0.25">
      <c r="A3979" s="11">
        <v>46126</v>
      </c>
      <c r="B3979" t="s">
        <v>56</v>
      </c>
      <c r="C3979" t="s">
        <v>16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 t="shared" si="54"/>
        <v>30</v>
      </c>
      <c r="J3979" s="3">
        <f t="shared" si="55"/>
        <v>23</v>
      </c>
      <c r="K3979" s="3">
        <f t="shared" si="56"/>
        <v>7</v>
      </c>
      <c r="L3979" s="3" t="str">
        <f t="shared" si="57"/>
        <v>MUITO BOM</v>
      </c>
      <c r="N3979">
        <v>99.02</v>
      </c>
      <c r="O3979">
        <v>34.797297297297298</v>
      </c>
    </row>
    <row r="3980" spans="1:15" x14ac:dyDescent="0.25">
      <c r="A3980" s="11">
        <v>46126</v>
      </c>
      <c r="B3980" t="s">
        <v>57</v>
      </c>
      <c r="C3980" t="s">
        <v>43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 t="shared" si="54"/>
        <v>24</v>
      </c>
      <c r="J3980" s="3">
        <f t="shared" si="55"/>
        <v>16</v>
      </c>
      <c r="K3980" s="3">
        <f t="shared" si="56"/>
        <v>8</v>
      </c>
      <c r="L3980" s="3" t="str">
        <f t="shared" si="57"/>
        <v>MUITO BOM</v>
      </c>
      <c r="N3980">
        <v>98.84</v>
      </c>
      <c r="O3980">
        <v>31.5018315018315</v>
      </c>
    </row>
    <row r="3981" spans="1:15" x14ac:dyDescent="0.25">
      <c r="A3981" s="11">
        <v>46126</v>
      </c>
      <c r="B3981" t="s">
        <v>58</v>
      </c>
      <c r="C3981" t="s">
        <v>43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 t="shared" si="54"/>
        <v>19</v>
      </c>
      <c r="J3981" s="3">
        <f t="shared" si="55"/>
        <v>16</v>
      </c>
      <c r="K3981" s="3">
        <f t="shared" si="56"/>
        <v>3</v>
      </c>
      <c r="L3981" s="3" t="str">
        <f t="shared" si="57"/>
        <v>OPORTUNO</v>
      </c>
      <c r="N3981">
        <v>100</v>
      </c>
      <c r="O3981">
        <v>34.666666666666671</v>
      </c>
    </row>
    <row r="3982" spans="1:15" x14ac:dyDescent="0.25">
      <c r="A3982" s="11">
        <v>46126</v>
      </c>
      <c r="B3982" t="s">
        <v>59</v>
      </c>
      <c r="C3982" t="s">
        <v>23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f t="shared" si="54"/>
        <v>0</v>
      </c>
      <c r="J3982" s="3">
        <f t="shared" si="55"/>
        <v>8</v>
      </c>
      <c r="K3982" s="3">
        <f t="shared" si="56"/>
        <v>-8</v>
      </c>
      <c r="L3982" s="3" t="str">
        <f t="shared" si="57"/>
        <v>CRÍTICO</v>
      </c>
      <c r="N3982">
        <v>94.12</v>
      </c>
      <c r="O3982">
        <v>32.799999999999997</v>
      </c>
    </row>
    <row r="3983" spans="1:15" x14ac:dyDescent="0.25">
      <c r="A3983" s="11">
        <v>46126</v>
      </c>
      <c r="B3983" t="s">
        <v>60</v>
      </c>
      <c r="C3983" t="s">
        <v>20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 t="shared" si="54"/>
        <v>29</v>
      </c>
      <c r="J3983" s="3">
        <f t="shared" si="55"/>
        <v>19</v>
      </c>
      <c r="K3983" s="3">
        <f t="shared" si="56"/>
        <v>10</v>
      </c>
      <c r="L3983" s="3" t="str">
        <f t="shared" si="57"/>
        <v>MUITO BOM</v>
      </c>
      <c r="N3983">
        <v>98.32</v>
      </c>
      <c r="O3983">
        <v>26.618705035971221</v>
      </c>
    </row>
    <row r="3984" spans="1:15" x14ac:dyDescent="0.25">
      <c r="A3984" s="11">
        <v>46126</v>
      </c>
      <c r="B3984" t="s">
        <v>61</v>
      </c>
      <c r="C3984" t="s">
        <v>18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 t="shared" si="54"/>
        <v>36</v>
      </c>
      <c r="J3984" s="3">
        <f t="shared" si="55"/>
        <v>28</v>
      </c>
      <c r="K3984" s="3">
        <f t="shared" si="56"/>
        <v>8</v>
      </c>
      <c r="L3984" s="3" t="str">
        <f t="shared" si="57"/>
        <v>MUITO BOM</v>
      </c>
      <c r="N3984">
        <v>100</v>
      </c>
      <c r="O3984">
        <v>31.135531135531139</v>
      </c>
    </row>
    <row r="3985" spans="1:15" x14ac:dyDescent="0.25">
      <c r="A3985" s="11">
        <v>46126</v>
      </c>
      <c r="B3985" t="s">
        <v>62</v>
      </c>
      <c r="C3985" t="s">
        <v>20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 t="shared" si="54"/>
        <v>19</v>
      </c>
      <c r="J3985" s="3">
        <f t="shared" si="55"/>
        <v>19</v>
      </c>
      <c r="K3985" s="3">
        <f t="shared" si="56"/>
        <v>0</v>
      </c>
      <c r="L3985" s="3" t="str">
        <f t="shared" si="57"/>
        <v>OPORTUNO</v>
      </c>
      <c r="N3985">
        <v>100</v>
      </c>
      <c r="O3985">
        <v>26.027397260273968</v>
      </c>
    </row>
    <row r="3986" spans="1:15" x14ac:dyDescent="0.25">
      <c r="A3986" s="11">
        <v>46126</v>
      </c>
      <c r="B3986" t="s">
        <v>63</v>
      </c>
      <c r="C3986" t="s">
        <v>18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 t="shared" si="54"/>
        <v>22</v>
      </c>
      <c r="J3986" s="3">
        <f t="shared" si="55"/>
        <v>28</v>
      </c>
      <c r="K3986" s="3">
        <f t="shared" si="56"/>
        <v>-6</v>
      </c>
      <c r="L3986" s="3" t="str">
        <f t="shared" si="57"/>
        <v>CRÍTICO</v>
      </c>
      <c r="N3986">
        <v>99.21</v>
      </c>
      <c r="O3986">
        <v>24.937027707808561</v>
      </c>
    </row>
    <row r="3987" spans="1:15" x14ac:dyDescent="0.25">
      <c r="A3987" s="11">
        <v>46127</v>
      </c>
      <c r="B3987" t="s">
        <v>15</v>
      </c>
      <c r="C3987" t="s">
        <v>16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 t="shared" si="54"/>
        <v>26</v>
      </c>
      <c r="J3987" s="3">
        <f t="shared" si="55"/>
        <v>24</v>
      </c>
      <c r="K3987" s="3">
        <f t="shared" si="56"/>
        <v>2</v>
      </c>
      <c r="L3987" s="3" t="str">
        <f t="shared" si="57"/>
        <v>OPORTUNO</v>
      </c>
      <c r="N3987">
        <v>100</v>
      </c>
      <c r="O3987">
        <v>32.764505119453922</v>
      </c>
    </row>
    <row r="3988" spans="1:15" x14ac:dyDescent="0.25">
      <c r="A3988" s="11">
        <v>46127</v>
      </c>
      <c r="B3988" t="s">
        <v>17</v>
      </c>
      <c r="C3988" t="s">
        <v>18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f t="shared" si="54"/>
        <v>0</v>
      </c>
      <c r="J3988" s="3">
        <f t="shared" si="55"/>
        <v>30</v>
      </c>
      <c r="K3988" s="3">
        <f t="shared" si="56"/>
        <v>-30</v>
      </c>
      <c r="L3988" s="3" t="str">
        <f t="shared" si="57"/>
        <v>CRÍTICO</v>
      </c>
      <c r="N3988">
        <v>98.66</v>
      </c>
      <c r="O3988">
        <v>35.15625</v>
      </c>
    </row>
    <row r="3989" spans="1:15" x14ac:dyDescent="0.25">
      <c r="A3989" s="11">
        <v>46127</v>
      </c>
      <c r="B3989" t="s">
        <v>19</v>
      </c>
      <c r="C3989" t="s">
        <v>20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si="54"/>
        <v>31</v>
      </c>
      <c r="J3989" s="3">
        <f t="shared" si="55"/>
        <v>20</v>
      </c>
      <c r="K3989" s="3">
        <f t="shared" si="56"/>
        <v>11</v>
      </c>
      <c r="L3989" s="3" t="str">
        <f t="shared" si="57"/>
        <v>MUITO BOM</v>
      </c>
      <c r="N3989">
        <v>99.32</v>
      </c>
      <c r="O3989">
        <v>30.45186640471513</v>
      </c>
    </row>
    <row r="3990" spans="1:15" x14ac:dyDescent="0.25">
      <c r="A3990" s="11">
        <v>46127</v>
      </c>
      <c r="B3990" t="s">
        <v>21</v>
      </c>
      <c r="C3990" t="s">
        <v>18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54"/>
        <v>32</v>
      </c>
      <c r="J3990" s="3">
        <f t="shared" si="55"/>
        <v>30</v>
      </c>
      <c r="K3990" s="3">
        <f t="shared" si="56"/>
        <v>2</v>
      </c>
      <c r="L3990" s="3" t="str">
        <f t="shared" si="57"/>
        <v>OPORTUNO</v>
      </c>
      <c r="N3990">
        <v>100</v>
      </c>
      <c r="O3990">
        <v>27.803738317757009</v>
      </c>
    </row>
    <row r="3991" spans="1:15" x14ac:dyDescent="0.25">
      <c r="A3991" s="11">
        <v>46127</v>
      </c>
      <c r="B3991" t="s">
        <v>22</v>
      </c>
      <c r="C3991" t="s">
        <v>23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54"/>
        <v>32</v>
      </c>
      <c r="J3991" s="3">
        <f t="shared" si="55"/>
        <v>9</v>
      </c>
      <c r="K3991" s="3">
        <f t="shared" si="56"/>
        <v>23</v>
      </c>
      <c r="L3991" s="3" t="str">
        <f t="shared" si="57"/>
        <v>MUITO BOM</v>
      </c>
      <c r="N3991">
        <v>96.74</v>
      </c>
      <c r="O3991">
        <v>28.43137254901961</v>
      </c>
    </row>
    <row r="3992" spans="1:15" x14ac:dyDescent="0.25">
      <c r="A3992" s="11">
        <v>46127</v>
      </c>
      <c r="B3992" t="s">
        <v>24</v>
      </c>
      <c r="C3992" t="s">
        <v>16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54"/>
        <v>36</v>
      </c>
      <c r="J3992" s="3">
        <f t="shared" si="55"/>
        <v>24</v>
      </c>
      <c r="K3992" s="3">
        <f t="shared" si="56"/>
        <v>12</v>
      </c>
      <c r="L3992" s="3" t="str">
        <f t="shared" si="57"/>
        <v>MUITO BOM</v>
      </c>
      <c r="N3992">
        <v>98.82</v>
      </c>
      <c r="O3992">
        <v>30.741410488245929</v>
      </c>
    </row>
    <row r="3993" spans="1:15" x14ac:dyDescent="0.25">
      <c r="A3993" s="11">
        <v>46127</v>
      </c>
      <c r="B3993" t="s">
        <v>25</v>
      </c>
      <c r="C3993" t="s">
        <v>16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54"/>
        <v>20</v>
      </c>
      <c r="J3993" s="3">
        <f t="shared" si="55"/>
        <v>24</v>
      </c>
      <c r="K3993" s="3">
        <f t="shared" si="56"/>
        <v>-4</v>
      </c>
      <c r="L3993" s="3" t="str">
        <f t="shared" si="57"/>
        <v>ATENÇÃO</v>
      </c>
      <c r="N3993">
        <v>98.2</v>
      </c>
      <c r="O3993">
        <v>26.890756302521009</v>
      </c>
    </row>
    <row r="3994" spans="1:15" x14ac:dyDescent="0.25">
      <c r="A3994" s="11">
        <v>46127</v>
      </c>
      <c r="B3994" t="s">
        <v>26</v>
      </c>
      <c r="C3994" t="s">
        <v>23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54"/>
        <v>8</v>
      </c>
      <c r="J3994" s="3">
        <f t="shared" si="55"/>
        <v>9</v>
      </c>
      <c r="K3994" s="3">
        <f t="shared" si="56"/>
        <v>-1</v>
      </c>
      <c r="L3994" s="3" t="str">
        <f t="shared" si="57"/>
        <v>ATENÇÃO</v>
      </c>
      <c r="N3994">
        <v>100</v>
      </c>
      <c r="O3994">
        <v>23.134328358208951</v>
      </c>
    </row>
    <row r="3995" spans="1:15" x14ac:dyDescent="0.25">
      <c r="A3995" s="11">
        <v>46127</v>
      </c>
      <c r="B3995" t="s">
        <v>27</v>
      </c>
      <c r="C3995" t="s">
        <v>20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ref="I3995:I4058" si="58">E3995+G3995+H3995</f>
        <v>22</v>
      </c>
      <c r="J3995" s="3">
        <f t="shared" ref="J3995:J4058" si="59"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20</v>
      </c>
      <c r="K3995" s="3">
        <f t="shared" ref="K3995:K4058" si="60">I3995-J3995</f>
        <v>2</v>
      </c>
      <c r="L3995" s="3" t="str">
        <f t="shared" ref="L3995:L4058" si="61">IF(K3995&lt;-5,"CRÍTICO",IF(K3995&lt;0,"ATENÇÃO",IF(K3995&lt;=5,"OPORTUNO","MUITO BOM")))</f>
        <v>OPORTUNO</v>
      </c>
      <c r="N3995">
        <v>96.3</v>
      </c>
      <c r="O3995">
        <v>31.980906921241051</v>
      </c>
    </row>
    <row r="3996" spans="1:15" x14ac:dyDescent="0.25">
      <c r="A3996" s="11">
        <v>46127</v>
      </c>
      <c r="B3996" t="s">
        <v>28</v>
      </c>
      <c r="C3996" t="s">
        <v>18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58"/>
        <v>41</v>
      </c>
      <c r="J3996" s="3">
        <f t="shared" si="59"/>
        <v>30</v>
      </c>
      <c r="K3996" s="3">
        <f t="shared" si="60"/>
        <v>11</v>
      </c>
      <c r="L3996" s="3" t="str">
        <f t="shared" si="61"/>
        <v>MUITO BOM</v>
      </c>
      <c r="N3996">
        <v>93.75</v>
      </c>
      <c r="O3996">
        <v>26.628352490421459</v>
      </c>
    </row>
    <row r="3997" spans="1:15" x14ac:dyDescent="0.25">
      <c r="A3997" s="11">
        <v>46127</v>
      </c>
      <c r="B3997" t="s">
        <v>29</v>
      </c>
      <c r="C3997" t="s">
        <v>16</v>
      </c>
      <c r="D3997">
        <v>0</v>
      </c>
      <c r="E3997">
        <v>0</v>
      </c>
      <c r="F3997">
        <v>0</v>
      </c>
      <c r="G3997">
        <v>0</v>
      </c>
      <c r="H3997">
        <v>0</v>
      </c>
      <c r="I3997" s="3">
        <f t="shared" si="58"/>
        <v>0</v>
      </c>
      <c r="J3997" s="3">
        <f t="shared" si="59"/>
        <v>24</v>
      </c>
      <c r="K3997" s="3">
        <f t="shared" si="60"/>
        <v>-24</v>
      </c>
      <c r="L3997" s="3" t="str">
        <f t="shared" si="61"/>
        <v>CRÍTICO</v>
      </c>
      <c r="N3997">
        <v>97.86</v>
      </c>
      <c r="O3997">
        <v>31.018518518518519</v>
      </c>
    </row>
    <row r="3998" spans="1:15" x14ac:dyDescent="0.25">
      <c r="A3998" s="11">
        <v>46127</v>
      </c>
      <c r="B3998" t="s">
        <v>30</v>
      </c>
      <c r="C3998" t="s">
        <v>20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 t="shared" si="58"/>
        <v>28</v>
      </c>
      <c r="J3998" s="3">
        <f t="shared" si="59"/>
        <v>20</v>
      </c>
      <c r="K3998" s="3">
        <f t="shared" si="60"/>
        <v>8</v>
      </c>
      <c r="L3998" s="3" t="str">
        <f t="shared" si="61"/>
        <v>MUITO BOM</v>
      </c>
      <c r="N3998">
        <v>100</v>
      </c>
      <c r="O3998">
        <v>36.231884057971023</v>
      </c>
    </row>
    <row r="3999" spans="1:15" x14ac:dyDescent="0.25">
      <c r="A3999" s="11">
        <v>46127</v>
      </c>
      <c r="B3999" t="s">
        <v>31</v>
      </c>
      <c r="C3999" t="s">
        <v>18</v>
      </c>
      <c r="D3999">
        <v>0</v>
      </c>
      <c r="E3999">
        <v>0</v>
      </c>
      <c r="F3999">
        <v>0</v>
      </c>
      <c r="G3999">
        <v>0</v>
      </c>
      <c r="H3999">
        <v>0</v>
      </c>
      <c r="I3999" s="3">
        <f t="shared" si="58"/>
        <v>0</v>
      </c>
      <c r="J3999" s="3">
        <f t="shared" si="59"/>
        <v>30</v>
      </c>
      <c r="K3999" s="3">
        <f t="shared" si="60"/>
        <v>-30</v>
      </c>
      <c r="L3999" s="3" t="str">
        <f t="shared" si="61"/>
        <v>CRÍTICO</v>
      </c>
      <c r="N3999">
        <v>100</v>
      </c>
      <c r="O3999">
        <v>38.269230769230766</v>
      </c>
    </row>
    <row r="4000" spans="1:15" x14ac:dyDescent="0.25">
      <c r="A4000" s="11">
        <v>46127</v>
      </c>
      <c r="B4000" t="s">
        <v>32</v>
      </c>
      <c r="C4000" t="s">
        <v>23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 t="shared" si="58"/>
        <v>8</v>
      </c>
      <c r="J4000" s="3">
        <f t="shared" si="59"/>
        <v>9</v>
      </c>
      <c r="K4000" s="3">
        <f t="shared" si="60"/>
        <v>-1</v>
      </c>
      <c r="L4000" s="3" t="str">
        <f t="shared" si="61"/>
        <v>ATENÇÃO</v>
      </c>
      <c r="N4000">
        <v>100</v>
      </c>
      <c r="O4000">
        <v>27.368421052631579</v>
      </c>
    </row>
    <row r="4001" spans="1:15" x14ac:dyDescent="0.25">
      <c r="A4001" s="11">
        <v>46127</v>
      </c>
      <c r="B4001" t="s">
        <v>33</v>
      </c>
      <c r="C4001" t="s">
        <v>16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 t="shared" si="58"/>
        <v>24</v>
      </c>
      <c r="J4001" s="3">
        <f t="shared" si="59"/>
        <v>24</v>
      </c>
      <c r="K4001" s="3">
        <f t="shared" si="60"/>
        <v>0</v>
      </c>
      <c r="L4001" s="3" t="str">
        <f t="shared" si="61"/>
        <v>OPORTUNO</v>
      </c>
      <c r="N4001">
        <v>97.83</v>
      </c>
      <c r="O4001">
        <v>28.131868131868131</v>
      </c>
    </row>
    <row r="4002" spans="1:15" x14ac:dyDescent="0.25">
      <c r="A4002" s="11">
        <v>46127</v>
      </c>
      <c r="B4002" t="s">
        <v>34</v>
      </c>
      <c r="C4002" t="s">
        <v>18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 t="shared" si="58"/>
        <v>27</v>
      </c>
      <c r="J4002" s="3">
        <f t="shared" si="59"/>
        <v>30</v>
      </c>
      <c r="K4002" s="3">
        <f t="shared" si="60"/>
        <v>-3</v>
      </c>
      <c r="L4002" s="3" t="str">
        <f t="shared" si="61"/>
        <v>ATENÇÃO</v>
      </c>
      <c r="N4002">
        <v>99.26</v>
      </c>
      <c r="O4002">
        <v>29.57198443579767</v>
      </c>
    </row>
    <row r="4003" spans="1:15" x14ac:dyDescent="0.25">
      <c r="A4003" s="11">
        <v>46127</v>
      </c>
      <c r="B4003" t="s">
        <v>35</v>
      </c>
      <c r="C4003" t="s">
        <v>16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 t="shared" si="58"/>
        <v>26</v>
      </c>
      <c r="J4003" s="3">
        <f t="shared" si="59"/>
        <v>24</v>
      </c>
      <c r="K4003" s="3">
        <f t="shared" si="60"/>
        <v>2</v>
      </c>
      <c r="L4003" s="3" t="str">
        <f t="shared" si="61"/>
        <v>OPORTUNO</v>
      </c>
      <c r="N4003">
        <v>99.19</v>
      </c>
      <c r="O4003">
        <v>29.462365591397852</v>
      </c>
    </row>
    <row r="4004" spans="1:15" x14ac:dyDescent="0.25">
      <c r="A4004" s="5">
        <v>46160</v>
      </c>
      <c r="B4004" s="6" t="s">
        <v>64</v>
      </c>
      <c r="C4004" s="3" t="s">
        <v>23</v>
      </c>
      <c r="D4004" s="3">
        <v>2</v>
      </c>
      <c r="E4004" s="3">
        <v>2</v>
      </c>
      <c r="G4004" s="3">
        <v>0</v>
      </c>
      <c r="H4004" s="3">
        <v>0</v>
      </c>
      <c r="I4004" s="3">
        <f t="shared" si="58"/>
        <v>2</v>
      </c>
      <c r="J4004" s="3">
        <f t="shared" si="59"/>
        <v>8</v>
      </c>
      <c r="K4004" s="3">
        <f t="shared" si="60"/>
        <v>-6</v>
      </c>
      <c r="L4004" s="3" t="str">
        <f t="shared" si="61"/>
        <v>CRÍTICO</v>
      </c>
      <c r="M4004">
        <v>2</v>
      </c>
      <c r="N4004">
        <v>100</v>
      </c>
      <c r="O4004">
        <v>14.285714285714279</v>
      </c>
    </row>
    <row r="4005" spans="1:15" x14ac:dyDescent="0.25">
      <c r="A4005" s="11">
        <v>46127</v>
      </c>
      <c r="B4005" t="s">
        <v>37</v>
      </c>
      <c r="C4005" t="s">
        <v>16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f t="shared" si="58"/>
        <v>0</v>
      </c>
      <c r="J4005" s="3">
        <f t="shared" si="59"/>
        <v>24</v>
      </c>
      <c r="K4005" s="3">
        <f t="shared" si="60"/>
        <v>-24</v>
      </c>
      <c r="L4005" s="3" t="str">
        <f t="shared" si="61"/>
        <v>CRÍTICO</v>
      </c>
      <c r="N4005">
        <v>100</v>
      </c>
      <c r="O4005">
        <v>27.941176470588239</v>
      </c>
    </row>
    <row r="4006" spans="1:15" x14ac:dyDescent="0.25">
      <c r="A4006" s="11">
        <v>46127</v>
      </c>
      <c r="B4006" t="s">
        <v>38</v>
      </c>
      <c r="C4006" t="s">
        <v>18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 t="shared" si="58"/>
        <v>42</v>
      </c>
      <c r="J4006" s="3">
        <f t="shared" si="59"/>
        <v>30</v>
      </c>
      <c r="K4006" s="3">
        <f t="shared" si="60"/>
        <v>12</v>
      </c>
      <c r="L4006" s="3" t="str">
        <f t="shared" si="61"/>
        <v>MUITO BOM</v>
      </c>
      <c r="N4006">
        <v>99.57</v>
      </c>
      <c r="O4006">
        <v>29.913294797687861</v>
      </c>
    </row>
    <row r="4007" spans="1:15" x14ac:dyDescent="0.25">
      <c r="A4007" s="11">
        <v>46127</v>
      </c>
      <c r="B4007" t="s">
        <v>39</v>
      </c>
      <c r="C4007" t="s">
        <v>18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f t="shared" si="58"/>
        <v>0</v>
      </c>
      <c r="J4007" s="3">
        <f t="shared" si="59"/>
        <v>30</v>
      </c>
      <c r="K4007" s="3">
        <f t="shared" si="60"/>
        <v>-30</v>
      </c>
      <c r="L4007" s="3" t="str">
        <f t="shared" si="61"/>
        <v>CRÍTICO</v>
      </c>
      <c r="N4007">
        <v>95.65</v>
      </c>
      <c r="O4007">
        <v>31.081081081081081</v>
      </c>
    </row>
    <row r="4008" spans="1:15" x14ac:dyDescent="0.25">
      <c r="A4008" s="11">
        <v>46127</v>
      </c>
      <c r="B4008" t="s">
        <v>40</v>
      </c>
      <c r="C4008" t="s">
        <v>16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 t="shared" si="58"/>
        <v>24</v>
      </c>
      <c r="J4008" s="3">
        <f t="shared" si="59"/>
        <v>24</v>
      </c>
      <c r="K4008" s="3">
        <f t="shared" si="60"/>
        <v>0</v>
      </c>
      <c r="L4008" s="3" t="str">
        <f t="shared" si="61"/>
        <v>OPORTUNO</v>
      </c>
      <c r="N4008">
        <v>98.81</v>
      </c>
      <c r="O4008">
        <v>26.256983240223459</v>
      </c>
    </row>
    <row r="4009" spans="1:15" x14ac:dyDescent="0.25">
      <c r="A4009" s="11">
        <v>46127</v>
      </c>
      <c r="B4009" t="s">
        <v>41</v>
      </c>
      <c r="C4009" t="s">
        <v>18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f t="shared" si="58"/>
        <v>0</v>
      </c>
      <c r="J4009" s="3">
        <f t="shared" si="59"/>
        <v>30</v>
      </c>
      <c r="K4009" s="3">
        <f t="shared" si="60"/>
        <v>-30</v>
      </c>
      <c r="L4009" s="3" t="str">
        <f t="shared" si="61"/>
        <v>CRÍTICO</v>
      </c>
      <c r="N4009">
        <v>0</v>
      </c>
      <c r="O4009">
        <v>0</v>
      </c>
    </row>
    <row r="4010" spans="1:15" x14ac:dyDescent="0.25">
      <c r="A4010" s="11">
        <v>46127</v>
      </c>
      <c r="B4010" t="s">
        <v>42</v>
      </c>
      <c r="C4010" t="s">
        <v>43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 t="shared" si="58"/>
        <v>21</v>
      </c>
      <c r="J4010" s="3">
        <f t="shared" si="59"/>
        <v>17</v>
      </c>
      <c r="K4010" s="3">
        <f t="shared" si="60"/>
        <v>4</v>
      </c>
      <c r="L4010" s="3" t="str">
        <f t="shared" si="61"/>
        <v>OPORTUNO</v>
      </c>
      <c r="N4010">
        <v>97.17</v>
      </c>
      <c r="O4010">
        <v>28.81844380403458</v>
      </c>
    </row>
    <row r="4011" spans="1:15" x14ac:dyDescent="0.25">
      <c r="A4011" s="11">
        <v>46127</v>
      </c>
      <c r="B4011" t="s">
        <v>44</v>
      </c>
      <c r="C4011" t="s">
        <v>18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f t="shared" si="58"/>
        <v>0</v>
      </c>
      <c r="J4011" s="3">
        <f t="shared" si="59"/>
        <v>30</v>
      </c>
      <c r="K4011" s="3">
        <f t="shared" si="60"/>
        <v>-30</v>
      </c>
      <c r="L4011" s="3" t="str">
        <f t="shared" si="61"/>
        <v>CRÍTICO</v>
      </c>
      <c r="N4011">
        <v>96.81</v>
      </c>
      <c r="O4011">
        <v>48.018648018648022</v>
      </c>
    </row>
    <row r="4012" spans="1:15" x14ac:dyDescent="0.25">
      <c r="A4012" s="11">
        <v>46127</v>
      </c>
      <c r="B4012" t="s">
        <v>45</v>
      </c>
      <c r="C4012" t="s">
        <v>43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 t="shared" si="58"/>
        <v>13</v>
      </c>
      <c r="J4012" s="3">
        <f t="shared" si="59"/>
        <v>17</v>
      </c>
      <c r="K4012" s="3">
        <f t="shared" si="60"/>
        <v>-4</v>
      </c>
      <c r="L4012" s="3" t="str">
        <f t="shared" si="61"/>
        <v>ATENÇÃO</v>
      </c>
      <c r="N4012">
        <v>98.15</v>
      </c>
      <c r="O4012">
        <v>27.1551724137931</v>
      </c>
    </row>
    <row r="4013" spans="1:15" x14ac:dyDescent="0.25">
      <c r="A4013" s="11">
        <v>46127</v>
      </c>
      <c r="B4013" t="s">
        <v>46</v>
      </c>
      <c r="C4013" t="s">
        <v>18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 t="shared" si="58"/>
        <v>28</v>
      </c>
      <c r="J4013" s="3">
        <f t="shared" si="59"/>
        <v>30</v>
      </c>
      <c r="K4013" s="3">
        <f t="shared" si="60"/>
        <v>-2</v>
      </c>
      <c r="L4013" s="3" t="str">
        <f t="shared" si="61"/>
        <v>ATENÇÃO</v>
      </c>
      <c r="N4013">
        <v>99.15</v>
      </c>
      <c r="O4013">
        <v>27.370689655172409</v>
      </c>
    </row>
    <row r="4014" spans="1:15" x14ac:dyDescent="0.25">
      <c r="A4014" s="11">
        <v>46127</v>
      </c>
      <c r="B4014" t="s">
        <v>47</v>
      </c>
      <c r="C4014" t="s">
        <v>16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 t="shared" si="58"/>
        <v>27</v>
      </c>
      <c r="J4014" s="3">
        <f t="shared" si="59"/>
        <v>24</v>
      </c>
      <c r="K4014" s="3">
        <f t="shared" si="60"/>
        <v>3</v>
      </c>
      <c r="L4014" s="3" t="str">
        <f t="shared" si="61"/>
        <v>OPORTUNO</v>
      </c>
      <c r="N4014">
        <v>99.17</v>
      </c>
      <c r="O4014">
        <v>29.75206611570248</v>
      </c>
    </row>
    <row r="4015" spans="1:15" x14ac:dyDescent="0.25">
      <c r="A4015" s="11">
        <v>46127</v>
      </c>
      <c r="B4015" t="s">
        <v>48</v>
      </c>
      <c r="C4015" t="s">
        <v>16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f t="shared" si="58"/>
        <v>0</v>
      </c>
      <c r="J4015" s="3">
        <f t="shared" si="59"/>
        <v>24</v>
      </c>
      <c r="K4015" s="3">
        <f t="shared" si="60"/>
        <v>-24</v>
      </c>
      <c r="L4015" s="3" t="str">
        <f t="shared" si="61"/>
        <v>CRÍTICO</v>
      </c>
      <c r="N4015">
        <v>98.73</v>
      </c>
      <c r="O4015">
        <v>28.961748633879779</v>
      </c>
    </row>
    <row r="4016" spans="1:15" x14ac:dyDescent="0.25">
      <c r="A4016" s="11">
        <v>46127</v>
      </c>
      <c r="B4016" t="s">
        <v>49</v>
      </c>
      <c r="C4016" t="s">
        <v>18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si="58"/>
        <v>33</v>
      </c>
      <c r="J4016" s="3">
        <f t="shared" si="59"/>
        <v>30</v>
      </c>
      <c r="K4016" s="3">
        <f t="shared" si="60"/>
        <v>3</v>
      </c>
      <c r="L4016" s="3" t="str">
        <f t="shared" si="61"/>
        <v>OPORTUNO</v>
      </c>
      <c r="N4016">
        <v>88.68</v>
      </c>
      <c r="O4016">
        <v>22.03389830508474</v>
      </c>
    </row>
    <row r="4017" spans="1:15" x14ac:dyDescent="0.25">
      <c r="A4017" s="11">
        <v>46127</v>
      </c>
      <c r="B4017" t="s">
        <v>50</v>
      </c>
      <c r="C4017" t="s">
        <v>20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58"/>
        <v>20</v>
      </c>
      <c r="J4017" s="3">
        <f t="shared" si="59"/>
        <v>20</v>
      </c>
      <c r="K4017" s="3">
        <f t="shared" si="60"/>
        <v>0</v>
      </c>
      <c r="L4017" s="3" t="str">
        <f t="shared" si="61"/>
        <v>OPORTUNO</v>
      </c>
      <c r="N4017">
        <v>97.37</v>
      </c>
      <c r="O4017">
        <v>25.76530612244898</v>
      </c>
    </row>
    <row r="4018" spans="1:15" x14ac:dyDescent="0.25">
      <c r="A4018" s="11">
        <v>46127</v>
      </c>
      <c r="B4018" t="s">
        <v>51</v>
      </c>
      <c r="C4018" t="s">
        <v>23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58"/>
        <v>18</v>
      </c>
      <c r="J4018" s="3">
        <f t="shared" si="59"/>
        <v>9</v>
      </c>
      <c r="K4018" s="3">
        <f t="shared" si="60"/>
        <v>9</v>
      </c>
      <c r="L4018" s="3" t="str">
        <f t="shared" si="61"/>
        <v>MUITO BOM</v>
      </c>
      <c r="N4018">
        <v>100</v>
      </c>
      <c r="O4018">
        <v>25</v>
      </c>
    </row>
    <row r="4019" spans="1:15" x14ac:dyDescent="0.25">
      <c r="A4019" s="11">
        <v>46127</v>
      </c>
      <c r="B4019" t="s">
        <v>52</v>
      </c>
      <c r="C4019" t="s">
        <v>18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58"/>
        <v>28</v>
      </c>
      <c r="J4019" s="3">
        <f t="shared" si="59"/>
        <v>30</v>
      </c>
      <c r="K4019" s="3">
        <f t="shared" si="60"/>
        <v>-2</v>
      </c>
      <c r="L4019" s="3" t="str">
        <f t="shared" si="61"/>
        <v>ATENÇÃO</v>
      </c>
      <c r="N4019">
        <v>100</v>
      </c>
      <c r="O4019">
        <v>23.9870340356564</v>
      </c>
    </row>
    <row r="4020" spans="1:15" x14ac:dyDescent="0.25">
      <c r="A4020" s="11">
        <v>46127</v>
      </c>
      <c r="B4020" t="s">
        <v>53</v>
      </c>
      <c r="C4020" t="s">
        <v>18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58"/>
        <v>34</v>
      </c>
      <c r="J4020" s="3">
        <f t="shared" si="59"/>
        <v>30</v>
      </c>
      <c r="K4020" s="3">
        <f t="shared" si="60"/>
        <v>4</v>
      </c>
      <c r="L4020" s="3" t="str">
        <f t="shared" si="61"/>
        <v>OPORTUNO</v>
      </c>
      <c r="N4020">
        <v>95.49</v>
      </c>
      <c r="O4020">
        <v>28.16901408450704</v>
      </c>
    </row>
    <row r="4021" spans="1:15" x14ac:dyDescent="0.25">
      <c r="A4021" s="11">
        <v>46127</v>
      </c>
      <c r="B4021" t="s">
        <v>54</v>
      </c>
      <c r="C4021" t="s">
        <v>23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58"/>
        <v>19</v>
      </c>
      <c r="J4021" s="3">
        <f t="shared" si="59"/>
        <v>9</v>
      </c>
      <c r="K4021" s="3">
        <f t="shared" si="60"/>
        <v>10</v>
      </c>
      <c r="L4021" s="3" t="str">
        <f t="shared" si="61"/>
        <v>MUITO BOM</v>
      </c>
      <c r="N4021">
        <v>100</v>
      </c>
      <c r="O4021">
        <v>23.77622377622378</v>
      </c>
    </row>
    <row r="4022" spans="1:15" x14ac:dyDescent="0.25">
      <c r="A4022" s="11">
        <v>46127</v>
      </c>
      <c r="B4022" t="s">
        <v>55</v>
      </c>
      <c r="C4022" t="s">
        <v>43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58"/>
        <v>22</v>
      </c>
      <c r="J4022" s="3">
        <f t="shared" si="59"/>
        <v>17</v>
      </c>
      <c r="K4022" s="3">
        <f t="shared" si="60"/>
        <v>5</v>
      </c>
      <c r="L4022" s="3" t="str">
        <f t="shared" si="61"/>
        <v>OPORTUNO</v>
      </c>
      <c r="N4022">
        <v>96.15</v>
      </c>
      <c r="O4022">
        <v>24.045801526717561</v>
      </c>
    </row>
    <row r="4023" spans="1:15" x14ac:dyDescent="0.25">
      <c r="A4023" s="11">
        <v>46127</v>
      </c>
      <c r="B4023" t="s">
        <v>56</v>
      </c>
      <c r="C4023" t="s">
        <v>16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58"/>
        <v>25</v>
      </c>
      <c r="J4023" s="3">
        <f t="shared" si="59"/>
        <v>24</v>
      </c>
      <c r="K4023" s="3">
        <f t="shared" si="60"/>
        <v>1</v>
      </c>
      <c r="L4023" s="3" t="str">
        <f t="shared" si="61"/>
        <v>OPORTUNO</v>
      </c>
      <c r="N4023">
        <v>99.02</v>
      </c>
      <c r="O4023">
        <v>34.797297297297298</v>
      </c>
    </row>
    <row r="4024" spans="1:15" x14ac:dyDescent="0.25">
      <c r="A4024" s="11">
        <v>46127</v>
      </c>
      <c r="B4024" t="s">
        <v>57</v>
      </c>
      <c r="C4024" t="s">
        <v>43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58"/>
        <v>26</v>
      </c>
      <c r="J4024" s="3">
        <f t="shared" si="59"/>
        <v>17</v>
      </c>
      <c r="K4024" s="3">
        <f t="shared" si="60"/>
        <v>9</v>
      </c>
      <c r="L4024" s="3" t="str">
        <f t="shared" si="61"/>
        <v>MUITO BOM</v>
      </c>
      <c r="N4024">
        <v>98.84</v>
      </c>
      <c r="O4024">
        <v>31.5018315018315</v>
      </c>
    </row>
    <row r="4025" spans="1:15" x14ac:dyDescent="0.25">
      <c r="A4025" s="11">
        <v>46127</v>
      </c>
      <c r="B4025" t="s">
        <v>58</v>
      </c>
      <c r="C4025" t="s">
        <v>43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58"/>
        <v>22</v>
      </c>
      <c r="J4025" s="3">
        <f t="shared" si="59"/>
        <v>17</v>
      </c>
      <c r="K4025" s="3">
        <f t="shared" si="60"/>
        <v>5</v>
      </c>
      <c r="L4025" s="3" t="str">
        <f t="shared" si="61"/>
        <v>OPORTUNO</v>
      </c>
      <c r="N4025">
        <v>100</v>
      </c>
      <c r="O4025">
        <v>34.666666666666671</v>
      </c>
    </row>
    <row r="4026" spans="1:15" x14ac:dyDescent="0.25">
      <c r="A4026" s="11">
        <v>46127</v>
      </c>
      <c r="B4026" t="s">
        <v>59</v>
      </c>
      <c r="C4026" t="s">
        <v>23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58"/>
        <v>11</v>
      </c>
      <c r="J4026" s="3">
        <f t="shared" si="59"/>
        <v>9</v>
      </c>
      <c r="K4026" s="3">
        <f t="shared" si="60"/>
        <v>2</v>
      </c>
      <c r="L4026" s="3" t="str">
        <f t="shared" si="61"/>
        <v>OPORTUNO</v>
      </c>
      <c r="N4026">
        <v>94.12</v>
      </c>
      <c r="O4026">
        <v>32.799999999999997</v>
      </c>
    </row>
    <row r="4027" spans="1:15" x14ac:dyDescent="0.25">
      <c r="A4027" s="11">
        <v>46127</v>
      </c>
      <c r="B4027" t="s">
        <v>60</v>
      </c>
      <c r="C4027" t="s">
        <v>20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58"/>
        <v>23</v>
      </c>
      <c r="J4027" s="3">
        <f t="shared" si="59"/>
        <v>20</v>
      </c>
      <c r="K4027" s="3">
        <f t="shared" si="60"/>
        <v>3</v>
      </c>
      <c r="L4027" s="3" t="str">
        <f t="shared" si="61"/>
        <v>OPORTUNO</v>
      </c>
      <c r="N4027">
        <v>98.32</v>
      </c>
      <c r="O4027">
        <v>26.618705035971221</v>
      </c>
    </row>
    <row r="4028" spans="1:15" x14ac:dyDescent="0.25">
      <c r="A4028" s="11">
        <v>46127</v>
      </c>
      <c r="B4028" t="s">
        <v>61</v>
      </c>
      <c r="C4028" t="s">
        <v>18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58"/>
        <v>24</v>
      </c>
      <c r="J4028" s="3">
        <f t="shared" si="59"/>
        <v>30</v>
      </c>
      <c r="K4028" s="3">
        <f t="shared" si="60"/>
        <v>-6</v>
      </c>
      <c r="L4028" s="3" t="str">
        <f t="shared" si="61"/>
        <v>CRÍTICO</v>
      </c>
      <c r="N4028">
        <v>100</v>
      </c>
      <c r="O4028">
        <v>31.135531135531139</v>
      </c>
    </row>
    <row r="4029" spans="1:15" x14ac:dyDescent="0.25">
      <c r="A4029" s="11">
        <v>46127</v>
      </c>
      <c r="B4029" t="s">
        <v>62</v>
      </c>
      <c r="C4029" t="s">
        <v>20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58"/>
        <v>12</v>
      </c>
      <c r="J4029" s="3">
        <f t="shared" si="59"/>
        <v>20</v>
      </c>
      <c r="K4029" s="3">
        <f t="shared" si="60"/>
        <v>-8</v>
      </c>
      <c r="L4029" s="3" t="str">
        <f t="shared" si="61"/>
        <v>CRÍTICO</v>
      </c>
      <c r="N4029">
        <v>100</v>
      </c>
      <c r="O4029">
        <v>26.027397260273968</v>
      </c>
    </row>
    <row r="4030" spans="1:15" x14ac:dyDescent="0.25">
      <c r="A4030" s="11">
        <v>46127</v>
      </c>
      <c r="B4030" t="s">
        <v>63</v>
      </c>
      <c r="C4030" t="s">
        <v>18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58"/>
        <v>33</v>
      </c>
      <c r="J4030" s="3">
        <f t="shared" si="59"/>
        <v>30</v>
      </c>
      <c r="K4030" s="3">
        <f t="shared" si="60"/>
        <v>3</v>
      </c>
      <c r="L4030" s="3" t="str">
        <f t="shared" si="61"/>
        <v>OPORTUNO</v>
      </c>
      <c r="N4030">
        <v>99.21</v>
      </c>
      <c r="O4030">
        <v>24.937027707808561</v>
      </c>
    </row>
    <row r="4031" spans="1:15" x14ac:dyDescent="0.25">
      <c r="A4031" s="11">
        <v>46128</v>
      </c>
      <c r="B4031" t="s">
        <v>15</v>
      </c>
      <c r="C4031" t="s">
        <v>16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58"/>
        <v>13</v>
      </c>
      <c r="J4031" s="3">
        <f t="shared" si="59"/>
        <v>22</v>
      </c>
      <c r="K4031" s="3">
        <f t="shared" si="60"/>
        <v>-9</v>
      </c>
      <c r="L4031" s="3" t="str">
        <f t="shared" si="61"/>
        <v>CRÍTICO</v>
      </c>
      <c r="N4031">
        <v>100</v>
      </c>
      <c r="O4031">
        <v>32.764505119453922</v>
      </c>
    </row>
    <row r="4032" spans="1:15" x14ac:dyDescent="0.25">
      <c r="A4032" s="11">
        <v>46128</v>
      </c>
      <c r="B4032" t="s">
        <v>17</v>
      </c>
      <c r="C4032" t="s">
        <v>18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f t="shared" si="58"/>
        <v>0</v>
      </c>
      <c r="J4032" s="3">
        <f t="shared" si="59"/>
        <v>28</v>
      </c>
      <c r="K4032" s="3">
        <f t="shared" si="60"/>
        <v>-28</v>
      </c>
      <c r="L4032" s="3" t="str">
        <f t="shared" si="61"/>
        <v>CRÍTICO</v>
      </c>
      <c r="N4032">
        <v>98.66</v>
      </c>
      <c r="O4032">
        <v>35.15625</v>
      </c>
    </row>
    <row r="4033" spans="1:15" x14ac:dyDescent="0.25">
      <c r="A4033" s="11">
        <v>46128</v>
      </c>
      <c r="B4033" t="s">
        <v>19</v>
      </c>
      <c r="C4033" t="s">
        <v>20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si="58"/>
        <v>22</v>
      </c>
      <c r="J4033" s="3">
        <f t="shared" si="59"/>
        <v>18</v>
      </c>
      <c r="K4033" s="3">
        <f t="shared" si="60"/>
        <v>4</v>
      </c>
      <c r="L4033" s="3" t="str">
        <f t="shared" si="61"/>
        <v>OPORTUNO</v>
      </c>
      <c r="N4033">
        <v>99.32</v>
      </c>
      <c r="O4033">
        <v>30.45186640471513</v>
      </c>
    </row>
    <row r="4034" spans="1:15" x14ac:dyDescent="0.25">
      <c r="A4034" s="11">
        <v>46128</v>
      </c>
      <c r="B4034" t="s">
        <v>21</v>
      </c>
      <c r="C4034" t="s">
        <v>18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58"/>
        <v>16</v>
      </c>
      <c r="J4034" s="3">
        <f t="shared" si="59"/>
        <v>28</v>
      </c>
      <c r="K4034" s="3">
        <f t="shared" si="60"/>
        <v>-12</v>
      </c>
      <c r="L4034" s="3" t="str">
        <f t="shared" si="61"/>
        <v>CRÍTICO</v>
      </c>
      <c r="N4034">
        <v>100</v>
      </c>
      <c r="O4034">
        <v>27.803738317757009</v>
      </c>
    </row>
    <row r="4035" spans="1:15" x14ac:dyDescent="0.25">
      <c r="A4035" s="11">
        <v>46128</v>
      </c>
      <c r="B4035" t="s">
        <v>22</v>
      </c>
      <c r="C4035" t="s">
        <v>23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58"/>
        <v>27</v>
      </c>
      <c r="J4035" s="3">
        <f t="shared" si="59"/>
        <v>8</v>
      </c>
      <c r="K4035" s="3">
        <f t="shared" si="60"/>
        <v>19</v>
      </c>
      <c r="L4035" s="3" t="str">
        <f t="shared" si="61"/>
        <v>MUITO BOM</v>
      </c>
      <c r="N4035">
        <v>96.74</v>
      </c>
      <c r="O4035">
        <v>28.43137254901961</v>
      </c>
    </row>
    <row r="4036" spans="1:15" x14ac:dyDescent="0.25">
      <c r="A4036" s="11">
        <v>46128</v>
      </c>
      <c r="B4036" t="s">
        <v>24</v>
      </c>
      <c r="C4036" t="s">
        <v>16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58"/>
        <v>42</v>
      </c>
      <c r="J4036" s="3">
        <f t="shared" si="59"/>
        <v>22</v>
      </c>
      <c r="K4036" s="3">
        <f t="shared" si="60"/>
        <v>20</v>
      </c>
      <c r="L4036" s="3" t="str">
        <f t="shared" si="61"/>
        <v>MUITO BOM</v>
      </c>
      <c r="N4036">
        <v>98.82</v>
      </c>
      <c r="O4036">
        <v>30.741410488245929</v>
      </c>
    </row>
    <row r="4037" spans="1:15" x14ac:dyDescent="0.25">
      <c r="A4037" s="11">
        <v>46128</v>
      </c>
      <c r="B4037" t="s">
        <v>25</v>
      </c>
      <c r="C4037" t="s">
        <v>16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58"/>
        <v>24</v>
      </c>
      <c r="J4037" s="3">
        <f t="shared" si="59"/>
        <v>22</v>
      </c>
      <c r="K4037" s="3">
        <f t="shared" si="60"/>
        <v>2</v>
      </c>
      <c r="L4037" s="3" t="str">
        <f t="shared" si="61"/>
        <v>OPORTUNO</v>
      </c>
      <c r="N4037">
        <v>98.2</v>
      </c>
      <c r="O4037">
        <v>26.890756302521009</v>
      </c>
    </row>
    <row r="4038" spans="1:15" x14ac:dyDescent="0.25">
      <c r="A4038" s="11">
        <v>46128</v>
      </c>
      <c r="B4038" t="s">
        <v>26</v>
      </c>
      <c r="C4038" t="s">
        <v>23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58"/>
        <v>9</v>
      </c>
      <c r="J4038" s="3">
        <f t="shared" si="59"/>
        <v>8</v>
      </c>
      <c r="K4038" s="3">
        <f t="shared" si="60"/>
        <v>1</v>
      </c>
      <c r="L4038" s="3" t="str">
        <f t="shared" si="61"/>
        <v>OPORTUNO</v>
      </c>
      <c r="N4038">
        <v>100</v>
      </c>
      <c r="O4038">
        <v>23.134328358208951</v>
      </c>
    </row>
    <row r="4039" spans="1:15" x14ac:dyDescent="0.25">
      <c r="A4039" s="11">
        <v>46128</v>
      </c>
      <c r="B4039" t="s">
        <v>27</v>
      </c>
      <c r="C4039" t="s">
        <v>20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58"/>
        <v>11</v>
      </c>
      <c r="J4039" s="3">
        <f t="shared" si="59"/>
        <v>18</v>
      </c>
      <c r="K4039" s="3">
        <f t="shared" si="60"/>
        <v>-7</v>
      </c>
      <c r="L4039" s="3" t="str">
        <f t="shared" si="61"/>
        <v>CRÍTICO</v>
      </c>
      <c r="N4039">
        <v>96.3</v>
      </c>
      <c r="O4039">
        <v>31.980906921241051</v>
      </c>
    </row>
    <row r="4040" spans="1:15" x14ac:dyDescent="0.25">
      <c r="A4040" s="11">
        <v>46128</v>
      </c>
      <c r="B4040" t="s">
        <v>28</v>
      </c>
      <c r="C4040" t="s">
        <v>18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58"/>
        <v>26</v>
      </c>
      <c r="J4040" s="3">
        <f t="shared" si="59"/>
        <v>28</v>
      </c>
      <c r="K4040" s="3">
        <f t="shared" si="60"/>
        <v>-2</v>
      </c>
      <c r="L4040" s="3" t="str">
        <f t="shared" si="61"/>
        <v>ATENÇÃO</v>
      </c>
      <c r="N4040">
        <v>93.75</v>
      </c>
      <c r="O4040">
        <v>26.628352490421459</v>
      </c>
    </row>
    <row r="4041" spans="1:15" x14ac:dyDescent="0.25">
      <c r="A4041" s="11">
        <v>46128</v>
      </c>
      <c r="B4041" t="s">
        <v>29</v>
      </c>
      <c r="C4041" t="s">
        <v>16</v>
      </c>
      <c r="D4041">
        <v>0</v>
      </c>
      <c r="E4041">
        <v>0</v>
      </c>
      <c r="F4041">
        <v>0</v>
      </c>
      <c r="G4041">
        <v>0</v>
      </c>
      <c r="H4041">
        <v>0</v>
      </c>
      <c r="I4041" s="3">
        <f t="shared" si="58"/>
        <v>0</v>
      </c>
      <c r="J4041" s="3">
        <f t="shared" si="59"/>
        <v>22</v>
      </c>
      <c r="K4041" s="3">
        <f t="shared" si="60"/>
        <v>-22</v>
      </c>
      <c r="L4041" s="3" t="str">
        <f t="shared" si="61"/>
        <v>CRÍTICO</v>
      </c>
      <c r="N4041">
        <v>97.86</v>
      </c>
      <c r="O4041">
        <v>31.018518518518519</v>
      </c>
    </row>
    <row r="4042" spans="1:15" x14ac:dyDescent="0.25">
      <c r="A4042" s="11">
        <v>46128</v>
      </c>
      <c r="B4042" t="s">
        <v>30</v>
      </c>
      <c r="C4042" t="s">
        <v>20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 t="shared" si="58"/>
        <v>22</v>
      </c>
      <c r="J4042" s="3">
        <f t="shared" si="59"/>
        <v>18</v>
      </c>
      <c r="K4042" s="3">
        <f t="shared" si="60"/>
        <v>4</v>
      </c>
      <c r="L4042" s="3" t="str">
        <f t="shared" si="61"/>
        <v>OPORTUNO</v>
      </c>
      <c r="N4042">
        <v>100</v>
      </c>
      <c r="O4042">
        <v>36.231884057971023</v>
      </c>
    </row>
    <row r="4043" spans="1:15" x14ac:dyDescent="0.25">
      <c r="A4043" s="11">
        <v>46128</v>
      </c>
      <c r="B4043" t="s">
        <v>31</v>
      </c>
      <c r="C4043" t="s">
        <v>18</v>
      </c>
      <c r="D4043">
        <v>0</v>
      </c>
      <c r="E4043">
        <v>0</v>
      </c>
      <c r="F4043">
        <v>0</v>
      </c>
      <c r="G4043">
        <v>0</v>
      </c>
      <c r="H4043">
        <v>0</v>
      </c>
      <c r="I4043" s="3">
        <f t="shared" si="58"/>
        <v>0</v>
      </c>
      <c r="J4043" s="3">
        <f t="shared" si="59"/>
        <v>28</v>
      </c>
      <c r="K4043" s="3">
        <f t="shared" si="60"/>
        <v>-28</v>
      </c>
      <c r="L4043" s="3" t="str">
        <f t="shared" si="61"/>
        <v>CRÍTICO</v>
      </c>
      <c r="N4043">
        <v>100</v>
      </c>
      <c r="O4043">
        <v>38.269230769230766</v>
      </c>
    </row>
    <row r="4044" spans="1:15" x14ac:dyDescent="0.25">
      <c r="A4044" s="11">
        <v>46128</v>
      </c>
      <c r="B4044" t="s">
        <v>32</v>
      </c>
      <c r="C4044" t="s">
        <v>23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 t="shared" si="58"/>
        <v>5</v>
      </c>
      <c r="J4044" s="3">
        <f t="shared" si="59"/>
        <v>8</v>
      </c>
      <c r="K4044" s="3">
        <f t="shared" si="60"/>
        <v>-3</v>
      </c>
      <c r="L4044" s="3" t="str">
        <f t="shared" si="61"/>
        <v>ATENÇÃO</v>
      </c>
      <c r="N4044">
        <v>100</v>
      </c>
      <c r="O4044">
        <v>27.368421052631579</v>
      </c>
    </row>
    <row r="4045" spans="1:15" x14ac:dyDescent="0.25">
      <c r="A4045" s="11">
        <v>46128</v>
      </c>
      <c r="B4045" t="s">
        <v>33</v>
      </c>
      <c r="C4045" t="s">
        <v>16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 t="shared" si="58"/>
        <v>25</v>
      </c>
      <c r="J4045" s="3">
        <f t="shared" si="59"/>
        <v>22</v>
      </c>
      <c r="K4045" s="3">
        <f t="shared" si="60"/>
        <v>3</v>
      </c>
      <c r="L4045" s="3" t="str">
        <f t="shared" si="61"/>
        <v>OPORTUNO</v>
      </c>
      <c r="N4045">
        <v>97.83</v>
      </c>
      <c r="O4045">
        <v>28.131868131868131</v>
      </c>
    </row>
    <row r="4046" spans="1:15" x14ac:dyDescent="0.25">
      <c r="A4046" s="11">
        <v>46128</v>
      </c>
      <c r="B4046" t="s">
        <v>34</v>
      </c>
      <c r="C4046" t="s">
        <v>18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 t="shared" si="58"/>
        <v>19</v>
      </c>
      <c r="J4046" s="3">
        <f t="shared" si="59"/>
        <v>28</v>
      </c>
      <c r="K4046" s="3">
        <f t="shared" si="60"/>
        <v>-9</v>
      </c>
      <c r="L4046" s="3" t="str">
        <f t="shared" si="61"/>
        <v>CRÍTICO</v>
      </c>
      <c r="N4046">
        <v>99.26</v>
      </c>
      <c r="O4046">
        <v>29.57198443579767</v>
      </c>
    </row>
    <row r="4047" spans="1:15" x14ac:dyDescent="0.25">
      <c r="A4047" s="11">
        <v>46128</v>
      </c>
      <c r="B4047" t="s">
        <v>35</v>
      </c>
      <c r="C4047" t="s">
        <v>16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 t="shared" si="58"/>
        <v>26</v>
      </c>
      <c r="J4047" s="3">
        <f t="shared" si="59"/>
        <v>22</v>
      </c>
      <c r="K4047" s="3">
        <f t="shared" si="60"/>
        <v>4</v>
      </c>
      <c r="L4047" s="3" t="str">
        <f t="shared" si="61"/>
        <v>OPORTUNO</v>
      </c>
      <c r="N4047">
        <v>99.19</v>
      </c>
      <c r="O4047">
        <v>29.462365591397852</v>
      </c>
    </row>
    <row r="4048" spans="1:15" x14ac:dyDescent="0.25">
      <c r="A4048" s="7">
        <v>46161</v>
      </c>
      <c r="B4048" s="8" t="s">
        <v>64</v>
      </c>
      <c r="C4048" s="9" t="s">
        <v>23</v>
      </c>
      <c r="D4048" s="3">
        <v>4</v>
      </c>
      <c r="E4048" s="3">
        <v>4</v>
      </c>
      <c r="G4048" s="3">
        <v>0</v>
      </c>
      <c r="H4048" s="3">
        <v>0</v>
      </c>
      <c r="I4048" s="3">
        <f t="shared" si="58"/>
        <v>4</v>
      </c>
      <c r="J4048" s="3">
        <f t="shared" si="59"/>
        <v>8</v>
      </c>
      <c r="K4048" s="3">
        <f t="shared" si="60"/>
        <v>-4</v>
      </c>
      <c r="L4048" s="3" t="str">
        <f t="shared" si="61"/>
        <v>ATENÇÃO</v>
      </c>
      <c r="M4048">
        <v>3</v>
      </c>
      <c r="N4048">
        <v>100</v>
      </c>
      <c r="O4048">
        <v>14.285714285714279</v>
      </c>
    </row>
    <row r="4049" spans="1:15" x14ac:dyDescent="0.25">
      <c r="A4049" s="11">
        <v>46128</v>
      </c>
      <c r="B4049" t="s">
        <v>37</v>
      </c>
      <c r="C4049" t="s">
        <v>16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f t="shared" si="58"/>
        <v>0</v>
      </c>
      <c r="J4049" s="3">
        <f t="shared" si="59"/>
        <v>22</v>
      </c>
      <c r="K4049" s="3">
        <f t="shared" si="60"/>
        <v>-22</v>
      </c>
      <c r="L4049" s="3" t="str">
        <f t="shared" si="61"/>
        <v>CRÍTICO</v>
      </c>
      <c r="N4049">
        <v>100</v>
      </c>
      <c r="O4049">
        <v>27.941176470588239</v>
      </c>
    </row>
    <row r="4050" spans="1:15" x14ac:dyDescent="0.25">
      <c r="A4050" s="11">
        <v>46128</v>
      </c>
      <c r="B4050" t="s">
        <v>38</v>
      </c>
      <c r="C4050" t="s">
        <v>18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 t="shared" si="58"/>
        <v>34</v>
      </c>
      <c r="J4050" s="3">
        <f t="shared" si="59"/>
        <v>28</v>
      </c>
      <c r="K4050" s="3">
        <f t="shared" si="60"/>
        <v>6</v>
      </c>
      <c r="L4050" s="3" t="str">
        <f t="shared" si="61"/>
        <v>MUITO BOM</v>
      </c>
      <c r="N4050">
        <v>99.57</v>
      </c>
      <c r="O4050">
        <v>29.913294797687861</v>
      </c>
    </row>
    <row r="4051" spans="1:15" x14ac:dyDescent="0.25">
      <c r="A4051" s="11">
        <v>46128</v>
      </c>
      <c r="B4051" t="s">
        <v>39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f t="shared" si="58"/>
        <v>0</v>
      </c>
      <c r="J4051" s="3">
        <f t="shared" si="59"/>
        <v>28</v>
      </c>
      <c r="K4051" s="3">
        <f t="shared" si="60"/>
        <v>-28</v>
      </c>
      <c r="L4051" s="3" t="str">
        <f t="shared" si="61"/>
        <v>CRÍTICO</v>
      </c>
      <c r="N4051">
        <v>95.65</v>
      </c>
      <c r="O4051">
        <v>31.081081081081081</v>
      </c>
    </row>
    <row r="4052" spans="1:15" x14ac:dyDescent="0.25">
      <c r="A4052" s="11">
        <v>46128</v>
      </c>
      <c r="B4052" t="s">
        <v>40</v>
      </c>
      <c r="C4052" t="s">
        <v>16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 t="shared" si="58"/>
        <v>10</v>
      </c>
      <c r="J4052" s="3">
        <f t="shared" si="59"/>
        <v>22</v>
      </c>
      <c r="K4052" s="3">
        <f t="shared" si="60"/>
        <v>-12</v>
      </c>
      <c r="L4052" s="3" t="str">
        <f t="shared" si="61"/>
        <v>CRÍTICO</v>
      </c>
      <c r="N4052">
        <v>98.81</v>
      </c>
      <c r="O4052">
        <v>26.256983240223459</v>
      </c>
    </row>
    <row r="4053" spans="1:15" x14ac:dyDescent="0.25">
      <c r="A4053" s="11">
        <v>46128</v>
      </c>
      <c r="B4053" t="s">
        <v>41</v>
      </c>
      <c r="C4053" t="s">
        <v>18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f t="shared" si="58"/>
        <v>0</v>
      </c>
      <c r="J4053" s="3">
        <f t="shared" si="59"/>
        <v>28</v>
      </c>
      <c r="K4053" s="3">
        <f t="shared" si="60"/>
        <v>-28</v>
      </c>
      <c r="L4053" s="3" t="str">
        <f t="shared" si="61"/>
        <v>CRÍTICO</v>
      </c>
      <c r="N4053">
        <v>0</v>
      </c>
      <c r="O4053">
        <v>0</v>
      </c>
    </row>
    <row r="4054" spans="1:15" x14ac:dyDescent="0.25">
      <c r="A4054" s="11">
        <v>46128</v>
      </c>
      <c r="B4054" t="s">
        <v>42</v>
      </c>
      <c r="C4054" t="s">
        <v>43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 t="shared" si="58"/>
        <v>19</v>
      </c>
      <c r="J4054" s="3">
        <f t="shared" si="59"/>
        <v>16</v>
      </c>
      <c r="K4054" s="3">
        <f t="shared" si="60"/>
        <v>3</v>
      </c>
      <c r="L4054" s="3" t="str">
        <f t="shared" si="61"/>
        <v>OPORTUNO</v>
      </c>
      <c r="N4054">
        <v>97.17</v>
      </c>
      <c r="O4054">
        <v>28.81844380403458</v>
      </c>
    </row>
    <row r="4055" spans="1:15" x14ac:dyDescent="0.25">
      <c r="A4055" s="11">
        <v>46128</v>
      </c>
      <c r="B4055" t="s">
        <v>44</v>
      </c>
      <c r="C4055" t="s">
        <v>18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f t="shared" si="58"/>
        <v>0</v>
      </c>
      <c r="J4055" s="3">
        <f t="shared" si="59"/>
        <v>28</v>
      </c>
      <c r="K4055" s="3">
        <f t="shared" si="60"/>
        <v>-28</v>
      </c>
      <c r="L4055" s="3" t="str">
        <f t="shared" si="61"/>
        <v>CRÍTICO</v>
      </c>
      <c r="N4055">
        <v>96.81</v>
      </c>
      <c r="O4055">
        <v>48.018648018648022</v>
      </c>
    </row>
    <row r="4056" spans="1:15" x14ac:dyDescent="0.25">
      <c r="A4056" s="11">
        <v>46128</v>
      </c>
      <c r="B4056" t="s">
        <v>45</v>
      </c>
      <c r="C4056" t="s">
        <v>43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 t="shared" si="58"/>
        <v>13</v>
      </c>
      <c r="J4056" s="3">
        <f t="shared" si="59"/>
        <v>16</v>
      </c>
      <c r="K4056" s="3">
        <f t="shared" si="60"/>
        <v>-3</v>
      </c>
      <c r="L4056" s="3" t="str">
        <f t="shared" si="61"/>
        <v>ATENÇÃO</v>
      </c>
      <c r="N4056">
        <v>98.15</v>
      </c>
      <c r="O4056">
        <v>27.1551724137931</v>
      </c>
    </row>
    <row r="4057" spans="1:15" x14ac:dyDescent="0.25">
      <c r="A4057" s="11">
        <v>46128</v>
      </c>
      <c r="B4057" t="s">
        <v>46</v>
      </c>
      <c r="C4057" t="s">
        <v>18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 t="shared" si="58"/>
        <v>19</v>
      </c>
      <c r="J4057" s="3">
        <f t="shared" si="59"/>
        <v>28</v>
      </c>
      <c r="K4057" s="3">
        <f t="shared" si="60"/>
        <v>-9</v>
      </c>
      <c r="L4057" s="3" t="str">
        <f t="shared" si="61"/>
        <v>CRÍTICO</v>
      </c>
      <c r="N4057">
        <v>99.15</v>
      </c>
      <c r="O4057">
        <v>27.370689655172409</v>
      </c>
    </row>
    <row r="4058" spans="1:15" x14ac:dyDescent="0.25">
      <c r="A4058" s="11">
        <v>46128</v>
      </c>
      <c r="B4058" t="s">
        <v>47</v>
      </c>
      <c r="C4058" t="s">
        <v>16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 t="shared" si="58"/>
        <v>29</v>
      </c>
      <c r="J4058" s="3">
        <f t="shared" si="59"/>
        <v>22</v>
      </c>
      <c r="K4058" s="3">
        <f t="shared" si="60"/>
        <v>7</v>
      </c>
      <c r="L4058" s="3" t="str">
        <f t="shared" si="61"/>
        <v>MUITO BOM</v>
      </c>
      <c r="N4058">
        <v>99.17</v>
      </c>
      <c r="O4058">
        <v>29.75206611570248</v>
      </c>
    </row>
    <row r="4059" spans="1:15" x14ac:dyDescent="0.25">
      <c r="A4059" s="11">
        <v>46128</v>
      </c>
      <c r="B4059" t="s">
        <v>48</v>
      </c>
      <c r="C4059" t="s">
        <v>16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f t="shared" ref="I4059:I4122" si="62">E4059+G4059+H4059</f>
        <v>0</v>
      </c>
      <c r="J4059" s="3">
        <f t="shared" ref="J4059:J4122" si="63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22</v>
      </c>
      <c r="K4059" s="3">
        <f t="shared" ref="K4059:K4122" si="64">I4059-J4059</f>
        <v>-22</v>
      </c>
      <c r="L4059" s="3" t="str">
        <f t="shared" ref="L4059:L4122" si="65">IF(K4059&lt;-5,"CRÍTICO",IF(K4059&lt;0,"ATENÇÃO",IF(K4059&lt;=5,"OPORTUNO","MUITO BOM")))</f>
        <v>CRÍTICO</v>
      </c>
      <c r="N4059">
        <v>98.73</v>
      </c>
      <c r="O4059">
        <v>28.961748633879779</v>
      </c>
    </row>
    <row r="4060" spans="1:15" x14ac:dyDescent="0.25">
      <c r="A4060" s="11">
        <v>46128</v>
      </c>
      <c r="B4060" t="s">
        <v>49</v>
      </c>
      <c r="C4060" t="s">
        <v>18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si="62"/>
        <v>14</v>
      </c>
      <c r="J4060" s="3">
        <f t="shared" si="63"/>
        <v>28</v>
      </c>
      <c r="K4060" s="3">
        <f t="shared" si="64"/>
        <v>-14</v>
      </c>
      <c r="L4060" s="3" t="str">
        <f t="shared" si="65"/>
        <v>CRÍTICO</v>
      </c>
      <c r="N4060">
        <v>88.68</v>
      </c>
      <c r="O4060">
        <v>22.03389830508474</v>
      </c>
    </row>
    <row r="4061" spans="1:15" x14ac:dyDescent="0.25">
      <c r="A4061" s="11">
        <v>46128</v>
      </c>
      <c r="B4061" t="s">
        <v>50</v>
      </c>
      <c r="C4061" t="s">
        <v>20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62"/>
        <v>18</v>
      </c>
      <c r="J4061" s="3">
        <f t="shared" si="63"/>
        <v>18</v>
      </c>
      <c r="K4061" s="3">
        <f t="shared" si="64"/>
        <v>0</v>
      </c>
      <c r="L4061" s="3" t="str">
        <f t="shared" si="65"/>
        <v>OPORTUNO</v>
      </c>
      <c r="N4061">
        <v>97.37</v>
      </c>
      <c r="O4061">
        <v>25.76530612244898</v>
      </c>
    </row>
    <row r="4062" spans="1:15" x14ac:dyDescent="0.25">
      <c r="A4062" s="11">
        <v>46128</v>
      </c>
      <c r="B4062" t="s">
        <v>51</v>
      </c>
      <c r="C4062" t="s">
        <v>23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62"/>
        <v>29</v>
      </c>
      <c r="J4062" s="3">
        <f t="shared" si="63"/>
        <v>8</v>
      </c>
      <c r="K4062" s="3">
        <f t="shared" si="64"/>
        <v>21</v>
      </c>
      <c r="L4062" s="3" t="str">
        <f t="shared" si="65"/>
        <v>MUITO BOM</v>
      </c>
      <c r="N4062">
        <v>100</v>
      </c>
      <c r="O4062">
        <v>25</v>
      </c>
    </row>
    <row r="4063" spans="1:15" x14ac:dyDescent="0.25">
      <c r="A4063" s="11">
        <v>46128</v>
      </c>
      <c r="B4063" t="s">
        <v>52</v>
      </c>
      <c r="C4063" t="s">
        <v>18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62"/>
        <v>24</v>
      </c>
      <c r="J4063" s="3">
        <f t="shared" si="63"/>
        <v>28</v>
      </c>
      <c r="K4063" s="3">
        <f t="shared" si="64"/>
        <v>-4</v>
      </c>
      <c r="L4063" s="3" t="str">
        <f t="shared" si="65"/>
        <v>ATENÇÃO</v>
      </c>
      <c r="N4063">
        <v>100</v>
      </c>
      <c r="O4063">
        <v>23.9870340356564</v>
      </c>
    </row>
    <row r="4064" spans="1:15" x14ac:dyDescent="0.25">
      <c r="A4064" s="11">
        <v>46128</v>
      </c>
      <c r="B4064" t="s">
        <v>53</v>
      </c>
      <c r="C4064" t="s">
        <v>18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62"/>
        <v>34</v>
      </c>
      <c r="J4064" s="3">
        <f t="shared" si="63"/>
        <v>28</v>
      </c>
      <c r="K4064" s="3">
        <f t="shared" si="64"/>
        <v>6</v>
      </c>
      <c r="L4064" s="3" t="str">
        <f t="shared" si="65"/>
        <v>MUITO BOM</v>
      </c>
      <c r="N4064">
        <v>95.49</v>
      </c>
      <c r="O4064">
        <v>28.16901408450704</v>
      </c>
    </row>
    <row r="4065" spans="1:15" x14ac:dyDescent="0.25">
      <c r="A4065" s="11">
        <v>46128</v>
      </c>
      <c r="B4065" t="s">
        <v>54</v>
      </c>
      <c r="C4065" t="s">
        <v>23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62"/>
        <v>16</v>
      </c>
      <c r="J4065" s="3">
        <f t="shared" si="63"/>
        <v>8</v>
      </c>
      <c r="K4065" s="3">
        <f t="shared" si="64"/>
        <v>8</v>
      </c>
      <c r="L4065" s="3" t="str">
        <f t="shared" si="65"/>
        <v>MUITO BOM</v>
      </c>
      <c r="N4065">
        <v>100</v>
      </c>
      <c r="O4065">
        <v>23.77622377622378</v>
      </c>
    </row>
    <row r="4066" spans="1:15" x14ac:dyDescent="0.25">
      <c r="A4066" s="11">
        <v>46128</v>
      </c>
      <c r="B4066" t="s">
        <v>55</v>
      </c>
      <c r="C4066" t="s">
        <v>43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62"/>
        <v>25</v>
      </c>
      <c r="J4066" s="3">
        <f t="shared" si="63"/>
        <v>16</v>
      </c>
      <c r="K4066" s="3">
        <f t="shared" si="64"/>
        <v>9</v>
      </c>
      <c r="L4066" s="3" t="str">
        <f t="shared" si="65"/>
        <v>MUITO BOM</v>
      </c>
      <c r="N4066">
        <v>96.15</v>
      </c>
      <c r="O4066">
        <v>24.045801526717561</v>
      </c>
    </row>
    <row r="4067" spans="1:15" x14ac:dyDescent="0.25">
      <c r="A4067" s="11">
        <v>46128</v>
      </c>
      <c r="B4067" t="s">
        <v>56</v>
      </c>
      <c r="C4067" t="s">
        <v>16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62"/>
        <v>19</v>
      </c>
      <c r="J4067" s="3">
        <f t="shared" si="63"/>
        <v>22</v>
      </c>
      <c r="K4067" s="3">
        <f t="shared" si="64"/>
        <v>-3</v>
      </c>
      <c r="L4067" s="3" t="str">
        <f t="shared" si="65"/>
        <v>ATENÇÃO</v>
      </c>
      <c r="N4067">
        <v>99.02</v>
      </c>
      <c r="O4067">
        <v>34.797297297297298</v>
      </c>
    </row>
    <row r="4068" spans="1:15" x14ac:dyDescent="0.25">
      <c r="A4068" s="11">
        <v>46128</v>
      </c>
      <c r="B4068" t="s">
        <v>57</v>
      </c>
      <c r="C4068" t="s">
        <v>43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62"/>
        <v>11</v>
      </c>
      <c r="J4068" s="3">
        <f t="shared" si="63"/>
        <v>16</v>
      </c>
      <c r="K4068" s="3">
        <f t="shared" si="64"/>
        <v>-5</v>
      </c>
      <c r="L4068" s="3" t="str">
        <f t="shared" si="65"/>
        <v>ATENÇÃO</v>
      </c>
      <c r="N4068">
        <v>98.84</v>
      </c>
      <c r="O4068">
        <v>31.5018315018315</v>
      </c>
    </row>
    <row r="4069" spans="1:15" x14ac:dyDescent="0.25">
      <c r="A4069" s="11">
        <v>46128</v>
      </c>
      <c r="B4069" t="s">
        <v>58</v>
      </c>
      <c r="C4069" t="s">
        <v>43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62"/>
        <v>14</v>
      </c>
      <c r="J4069" s="3">
        <f t="shared" si="63"/>
        <v>16</v>
      </c>
      <c r="K4069" s="3">
        <f t="shared" si="64"/>
        <v>-2</v>
      </c>
      <c r="L4069" s="3" t="str">
        <f t="shared" si="65"/>
        <v>ATENÇÃO</v>
      </c>
      <c r="N4069">
        <v>100</v>
      </c>
      <c r="O4069">
        <v>34.666666666666671</v>
      </c>
    </row>
    <row r="4070" spans="1:15" x14ac:dyDescent="0.25">
      <c r="A4070" s="11">
        <v>46128</v>
      </c>
      <c r="B4070" t="s">
        <v>59</v>
      </c>
      <c r="C4070" t="s">
        <v>23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62"/>
        <v>13</v>
      </c>
      <c r="J4070" s="3">
        <f t="shared" si="63"/>
        <v>8</v>
      </c>
      <c r="K4070" s="3">
        <f t="shared" si="64"/>
        <v>5</v>
      </c>
      <c r="L4070" s="3" t="str">
        <f t="shared" si="65"/>
        <v>OPORTUNO</v>
      </c>
      <c r="N4070">
        <v>94.12</v>
      </c>
      <c r="O4070">
        <v>32.799999999999997</v>
      </c>
    </row>
    <row r="4071" spans="1:15" x14ac:dyDescent="0.25">
      <c r="A4071" s="11">
        <v>46128</v>
      </c>
      <c r="B4071" t="s">
        <v>60</v>
      </c>
      <c r="C4071" t="s">
        <v>20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62"/>
        <v>36</v>
      </c>
      <c r="J4071" s="3">
        <f t="shared" si="63"/>
        <v>18</v>
      </c>
      <c r="K4071" s="3">
        <f t="shared" si="64"/>
        <v>18</v>
      </c>
      <c r="L4071" s="3" t="str">
        <f t="shared" si="65"/>
        <v>MUITO BOM</v>
      </c>
      <c r="N4071">
        <v>98.32</v>
      </c>
      <c r="O4071">
        <v>26.618705035971221</v>
      </c>
    </row>
    <row r="4072" spans="1:15" x14ac:dyDescent="0.25">
      <c r="A4072" s="11">
        <v>46128</v>
      </c>
      <c r="B4072" t="s">
        <v>61</v>
      </c>
      <c r="C4072" t="s">
        <v>18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62"/>
        <v>34</v>
      </c>
      <c r="J4072" s="3">
        <f t="shared" si="63"/>
        <v>28</v>
      </c>
      <c r="K4072" s="3">
        <f t="shared" si="64"/>
        <v>6</v>
      </c>
      <c r="L4072" s="3" t="str">
        <f t="shared" si="65"/>
        <v>MUITO BOM</v>
      </c>
      <c r="N4072">
        <v>100</v>
      </c>
      <c r="O4072">
        <v>31.135531135531139</v>
      </c>
    </row>
    <row r="4073" spans="1:15" x14ac:dyDescent="0.25">
      <c r="A4073" s="11">
        <v>46128</v>
      </c>
      <c r="B4073" t="s">
        <v>62</v>
      </c>
      <c r="C4073" t="s">
        <v>20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62"/>
        <v>18</v>
      </c>
      <c r="J4073" s="3">
        <f t="shared" si="63"/>
        <v>18</v>
      </c>
      <c r="K4073" s="3">
        <f t="shared" si="64"/>
        <v>0</v>
      </c>
      <c r="L4073" s="3" t="str">
        <f t="shared" si="65"/>
        <v>OPORTUNO</v>
      </c>
      <c r="N4073">
        <v>100</v>
      </c>
      <c r="O4073">
        <v>26.027397260273968</v>
      </c>
    </row>
    <row r="4074" spans="1:15" x14ac:dyDescent="0.25">
      <c r="A4074" s="11">
        <v>46128</v>
      </c>
      <c r="B4074" t="s">
        <v>63</v>
      </c>
      <c r="C4074" t="s">
        <v>18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62"/>
        <v>28</v>
      </c>
      <c r="J4074" s="3">
        <f t="shared" si="63"/>
        <v>28</v>
      </c>
      <c r="K4074" s="3">
        <f t="shared" si="64"/>
        <v>0</v>
      </c>
      <c r="L4074" s="3" t="str">
        <f t="shared" si="65"/>
        <v>OPORTUNO</v>
      </c>
      <c r="N4074">
        <v>99.21</v>
      </c>
      <c r="O4074">
        <v>24.937027707808561</v>
      </c>
    </row>
    <row r="4075" spans="1:15" x14ac:dyDescent="0.25">
      <c r="A4075" s="11">
        <v>46129</v>
      </c>
      <c r="B4075" t="s">
        <v>15</v>
      </c>
      <c r="C4075" t="s">
        <v>16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62"/>
        <v>21</v>
      </c>
      <c r="J4075" s="3">
        <f t="shared" si="63"/>
        <v>20</v>
      </c>
      <c r="K4075" s="3">
        <f t="shared" si="64"/>
        <v>1</v>
      </c>
      <c r="L4075" s="3" t="str">
        <f t="shared" si="65"/>
        <v>OPORTUNO</v>
      </c>
      <c r="N4075">
        <v>100</v>
      </c>
      <c r="O4075">
        <v>32.764505119453922</v>
      </c>
    </row>
    <row r="4076" spans="1:15" x14ac:dyDescent="0.25">
      <c r="A4076" s="11">
        <v>46129</v>
      </c>
      <c r="B4076" t="s">
        <v>17</v>
      </c>
      <c r="C4076" t="s">
        <v>18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f t="shared" si="62"/>
        <v>0</v>
      </c>
      <c r="J4076" s="3">
        <f t="shared" si="63"/>
        <v>25</v>
      </c>
      <c r="K4076" s="3">
        <f t="shared" si="64"/>
        <v>-25</v>
      </c>
      <c r="L4076" s="3" t="str">
        <f t="shared" si="65"/>
        <v>CRÍTICO</v>
      </c>
      <c r="N4076">
        <v>98.66</v>
      </c>
      <c r="O4076">
        <v>35.15625</v>
      </c>
    </row>
    <row r="4077" spans="1:15" x14ac:dyDescent="0.25">
      <c r="A4077" s="11">
        <v>46129</v>
      </c>
      <c r="B4077" t="s">
        <v>19</v>
      </c>
      <c r="C4077" t="s">
        <v>20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 t="shared" si="62"/>
        <v>22</v>
      </c>
      <c r="J4077" s="3">
        <f t="shared" si="63"/>
        <v>17</v>
      </c>
      <c r="K4077" s="3">
        <f t="shared" si="64"/>
        <v>5</v>
      </c>
      <c r="L4077" s="3" t="str">
        <f t="shared" si="65"/>
        <v>OPORTUNO</v>
      </c>
      <c r="N4077">
        <v>99.32</v>
      </c>
      <c r="O4077">
        <v>30.45186640471513</v>
      </c>
    </row>
    <row r="4078" spans="1:15" x14ac:dyDescent="0.25">
      <c r="A4078" s="11">
        <v>46129</v>
      </c>
      <c r="B4078" t="s">
        <v>21</v>
      </c>
      <c r="C4078" t="s">
        <v>18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 t="shared" si="62"/>
        <v>23</v>
      </c>
      <c r="J4078" s="3">
        <f t="shared" si="63"/>
        <v>25</v>
      </c>
      <c r="K4078" s="3">
        <f t="shared" si="64"/>
        <v>-2</v>
      </c>
      <c r="L4078" s="3" t="str">
        <f t="shared" si="65"/>
        <v>ATENÇÃO</v>
      </c>
      <c r="N4078">
        <v>100</v>
      </c>
      <c r="O4078">
        <v>27.803738317757009</v>
      </c>
    </row>
    <row r="4079" spans="1:15" x14ac:dyDescent="0.25">
      <c r="A4079" s="11">
        <v>46129</v>
      </c>
      <c r="B4079" t="s">
        <v>22</v>
      </c>
      <c r="C4079" t="s">
        <v>23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f t="shared" si="62"/>
        <v>0</v>
      </c>
      <c r="J4079" s="3">
        <f t="shared" si="63"/>
        <v>7</v>
      </c>
      <c r="K4079" s="3">
        <f t="shared" si="64"/>
        <v>-7</v>
      </c>
      <c r="L4079" s="3" t="str">
        <f t="shared" si="65"/>
        <v>CRÍTICO</v>
      </c>
      <c r="N4079">
        <v>96.74</v>
      </c>
      <c r="O4079">
        <v>28.43137254901961</v>
      </c>
    </row>
    <row r="4080" spans="1:15" x14ac:dyDescent="0.25">
      <c r="A4080" s="11">
        <v>46129</v>
      </c>
      <c r="B4080" t="s">
        <v>24</v>
      </c>
      <c r="C4080" t="s">
        <v>16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 t="shared" si="62"/>
        <v>32</v>
      </c>
      <c r="J4080" s="3">
        <f t="shared" si="63"/>
        <v>20</v>
      </c>
      <c r="K4080" s="3">
        <f t="shared" si="64"/>
        <v>12</v>
      </c>
      <c r="L4080" s="3" t="str">
        <f t="shared" si="65"/>
        <v>MUITO BOM</v>
      </c>
      <c r="N4080">
        <v>98.82</v>
      </c>
      <c r="O4080">
        <v>30.741410488245929</v>
      </c>
    </row>
    <row r="4081" spans="1:15" x14ac:dyDescent="0.25">
      <c r="A4081" s="11">
        <v>46129</v>
      </c>
      <c r="B4081" t="s">
        <v>25</v>
      </c>
      <c r="C4081" t="s">
        <v>16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 t="shared" si="62"/>
        <v>16</v>
      </c>
      <c r="J4081" s="3">
        <f t="shared" si="63"/>
        <v>20</v>
      </c>
      <c r="K4081" s="3">
        <f t="shared" si="64"/>
        <v>-4</v>
      </c>
      <c r="L4081" s="3" t="str">
        <f t="shared" si="65"/>
        <v>ATENÇÃO</v>
      </c>
      <c r="N4081">
        <v>98.2</v>
      </c>
      <c r="O4081">
        <v>26.890756302521009</v>
      </c>
    </row>
    <row r="4082" spans="1:15" x14ac:dyDescent="0.25">
      <c r="A4082" s="11">
        <v>46129</v>
      </c>
      <c r="B4082" t="s">
        <v>26</v>
      </c>
      <c r="C4082" t="s">
        <v>23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 t="shared" si="62"/>
        <v>6</v>
      </c>
      <c r="J4082" s="3">
        <f t="shared" si="63"/>
        <v>7</v>
      </c>
      <c r="K4082" s="3">
        <f t="shared" si="64"/>
        <v>-1</v>
      </c>
      <c r="L4082" s="3" t="str">
        <f t="shared" si="65"/>
        <v>ATENÇÃO</v>
      </c>
      <c r="N4082">
        <v>100</v>
      </c>
      <c r="O4082">
        <v>23.134328358208951</v>
      </c>
    </row>
    <row r="4083" spans="1:15" x14ac:dyDescent="0.25">
      <c r="A4083" s="11">
        <v>46129</v>
      </c>
      <c r="B4083" t="s">
        <v>27</v>
      </c>
      <c r="C4083" t="s">
        <v>20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 t="shared" si="62"/>
        <v>26</v>
      </c>
      <c r="J4083" s="3">
        <f t="shared" si="63"/>
        <v>17</v>
      </c>
      <c r="K4083" s="3">
        <f t="shared" si="64"/>
        <v>9</v>
      </c>
      <c r="L4083" s="3" t="str">
        <f t="shared" si="65"/>
        <v>MUITO BOM</v>
      </c>
      <c r="N4083">
        <v>96.3</v>
      </c>
      <c r="O4083">
        <v>31.980906921241051</v>
      </c>
    </row>
    <row r="4084" spans="1:15" x14ac:dyDescent="0.25">
      <c r="A4084" s="11">
        <v>46129</v>
      </c>
      <c r="B4084" t="s">
        <v>28</v>
      </c>
      <c r="C4084" t="s">
        <v>18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 t="shared" si="62"/>
        <v>27</v>
      </c>
      <c r="J4084" s="3">
        <f t="shared" si="63"/>
        <v>25</v>
      </c>
      <c r="K4084" s="3">
        <f t="shared" si="64"/>
        <v>2</v>
      </c>
      <c r="L4084" s="3" t="str">
        <f t="shared" si="65"/>
        <v>OPORTUNO</v>
      </c>
      <c r="N4084">
        <v>93.75</v>
      </c>
      <c r="O4084">
        <v>26.628352490421459</v>
      </c>
    </row>
    <row r="4085" spans="1:15" x14ac:dyDescent="0.25">
      <c r="A4085" s="11">
        <v>46129</v>
      </c>
      <c r="B4085" t="s">
        <v>29</v>
      </c>
      <c r="C4085" t="s">
        <v>16</v>
      </c>
      <c r="D4085">
        <v>0</v>
      </c>
      <c r="E4085">
        <v>0</v>
      </c>
      <c r="F4085">
        <v>0</v>
      </c>
      <c r="G4085">
        <v>0</v>
      </c>
      <c r="H4085">
        <v>0</v>
      </c>
      <c r="I4085" s="3">
        <f t="shared" si="62"/>
        <v>0</v>
      </c>
      <c r="J4085" s="3">
        <f t="shared" si="63"/>
        <v>20</v>
      </c>
      <c r="K4085" s="3">
        <f t="shared" si="64"/>
        <v>-20</v>
      </c>
      <c r="L4085" s="3" t="str">
        <f t="shared" si="65"/>
        <v>CRÍTICO</v>
      </c>
      <c r="N4085">
        <v>97.86</v>
      </c>
      <c r="O4085">
        <v>31.018518518518519</v>
      </c>
    </row>
    <row r="4086" spans="1:15" x14ac:dyDescent="0.25">
      <c r="A4086" s="11">
        <v>46129</v>
      </c>
      <c r="B4086" t="s">
        <v>30</v>
      </c>
      <c r="C4086" t="s">
        <v>20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 t="shared" si="62"/>
        <v>23</v>
      </c>
      <c r="J4086" s="3">
        <f t="shared" si="63"/>
        <v>17</v>
      </c>
      <c r="K4086" s="3">
        <f t="shared" si="64"/>
        <v>6</v>
      </c>
      <c r="L4086" s="3" t="str">
        <f t="shared" si="65"/>
        <v>MUITO BOM</v>
      </c>
      <c r="N4086">
        <v>100</v>
      </c>
      <c r="O4086">
        <v>36.231884057971023</v>
      </c>
    </row>
    <row r="4087" spans="1:15" x14ac:dyDescent="0.25">
      <c r="A4087" s="11">
        <v>46129</v>
      </c>
      <c r="B4087" t="s">
        <v>31</v>
      </c>
      <c r="C4087" t="s">
        <v>18</v>
      </c>
      <c r="D4087">
        <v>0</v>
      </c>
      <c r="E4087">
        <v>0</v>
      </c>
      <c r="F4087">
        <v>0</v>
      </c>
      <c r="G4087">
        <v>0</v>
      </c>
      <c r="H4087">
        <v>0</v>
      </c>
      <c r="I4087" s="3">
        <f t="shared" si="62"/>
        <v>0</v>
      </c>
      <c r="J4087" s="3">
        <f t="shared" si="63"/>
        <v>25</v>
      </c>
      <c r="K4087" s="3">
        <f t="shared" si="64"/>
        <v>-25</v>
      </c>
      <c r="L4087" s="3" t="str">
        <f t="shared" si="65"/>
        <v>CRÍTICO</v>
      </c>
      <c r="N4087">
        <v>100</v>
      </c>
      <c r="O4087">
        <v>38.269230769230766</v>
      </c>
    </row>
    <row r="4088" spans="1:15" x14ac:dyDescent="0.25">
      <c r="A4088" s="11">
        <v>46129</v>
      </c>
      <c r="B4088" t="s">
        <v>32</v>
      </c>
      <c r="C4088" t="s">
        <v>23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 t="shared" si="62"/>
        <v>11</v>
      </c>
      <c r="J4088" s="3">
        <f t="shared" si="63"/>
        <v>7</v>
      </c>
      <c r="K4088" s="3">
        <f t="shared" si="64"/>
        <v>4</v>
      </c>
      <c r="L4088" s="3" t="str">
        <f t="shared" si="65"/>
        <v>OPORTUNO</v>
      </c>
      <c r="N4088">
        <v>100</v>
      </c>
      <c r="O4088">
        <v>27.368421052631579</v>
      </c>
    </row>
    <row r="4089" spans="1:15" x14ac:dyDescent="0.25">
      <c r="A4089" s="11">
        <v>46129</v>
      </c>
      <c r="B4089" t="s">
        <v>33</v>
      </c>
      <c r="C4089" t="s">
        <v>16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 t="shared" si="62"/>
        <v>25</v>
      </c>
      <c r="J4089" s="3">
        <f t="shared" si="63"/>
        <v>20</v>
      </c>
      <c r="K4089" s="3">
        <f t="shared" si="64"/>
        <v>5</v>
      </c>
      <c r="L4089" s="3" t="str">
        <f t="shared" si="65"/>
        <v>OPORTUNO</v>
      </c>
      <c r="N4089">
        <v>97.83</v>
      </c>
      <c r="O4089">
        <v>28.131868131868131</v>
      </c>
    </row>
    <row r="4090" spans="1:15" x14ac:dyDescent="0.25">
      <c r="A4090" s="11">
        <v>46129</v>
      </c>
      <c r="B4090" t="s">
        <v>34</v>
      </c>
      <c r="C4090" t="s">
        <v>18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 t="shared" si="62"/>
        <v>27</v>
      </c>
      <c r="J4090" s="3">
        <f t="shared" si="63"/>
        <v>25</v>
      </c>
      <c r="K4090" s="3">
        <f t="shared" si="64"/>
        <v>2</v>
      </c>
      <c r="L4090" s="3" t="str">
        <f t="shared" si="65"/>
        <v>OPORTUNO</v>
      </c>
      <c r="N4090">
        <v>99.26</v>
      </c>
      <c r="O4090">
        <v>29.57198443579767</v>
      </c>
    </row>
    <row r="4091" spans="1:15" x14ac:dyDescent="0.25">
      <c r="A4091" s="11">
        <v>46129</v>
      </c>
      <c r="B4091" t="s">
        <v>35</v>
      </c>
      <c r="C4091" t="s">
        <v>16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 t="shared" si="62"/>
        <v>28</v>
      </c>
      <c r="J4091" s="3">
        <f t="shared" si="63"/>
        <v>20</v>
      </c>
      <c r="K4091" s="3">
        <f t="shared" si="64"/>
        <v>8</v>
      </c>
      <c r="L4091" s="3" t="str">
        <f t="shared" si="65"/>
        <v>MUITO BOM</v>
      </c>
      <c r="N4091">
        <v>99.19</v>
      </c>
      <c r="O4091">
        <v>29.462365591397852</v>
      </c>
    </row>
    <row r="4092" spans="1:15" x14ac:dyDescent="0.25">
      <c r="A4092" s="7">
        <v>46161</v>
      </c>
      <c r="B4092" s="8" t="s">
        <v>36</v>
      </c>
      <c r="C4092" s="9" t="s">
        <v>20</v>
      </c>
      <c r="D4092" s="3">
        <v>19</v>
      </c>
      <c r="E4092" s="3">
        <v>18</v>
      </c>
      <c r="G4092" s="3">
        <v>3</v>
      </c>
      <c r="H4092" s="3">
        <v>3</v>
      </c>
      <c r="I4092" s="3">
        <f t="shared" si="62"/>
        <v>24</v>
      </c>
      <c r="J4092" s="3">
        <f t="shared" si="63"/>
        <v>19</v>
      </c>
      <c r="K4092" s="3">
        <f t="shared" si="64"/>
        <v>5</v>
      </c>
      <c r="L4092" s="3" t="str">
        <f t="shared" si="65"/>
        <v>OPORTUNO</v>
      </c>
      <c r="M4092">
        <v>20</v>
      </c>
      <c r="N4092">
        <v>98.8</v>
      </c>
      <c r="O4092">
        <v>15.41353383458646</v>
      </c>
    </row>
    <row r="4093" spans="1:15" x14ac:dyDescent="0.25">
      <c r="A4093" s="11">
        <v>46129</v>
      </c>
      <c r="B4093" t="s">
        <v>37</v>
      </c>
      <c r="C4093" t="s">
        <v>16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f t="shared" si="62"/>
        <v>0</v>
      </c>
      <c r="J4093" s="3">
        <f t="shared" si="63"/>
        <v>20</v>
      </c>
      <c r="K4093" s="3">
        <f t="shared" si="64"/>
        <v>-20</v>
      </c>
      <c r="L4093" s="3" t="str">
        <f t="shared" si="65"/>
        <v>CRÍTICO</v>
      </c>
      <c r="N4093">
        <v>100</v>
      </c>
      <c r="O4093">
        <v>27.941176470588239</v>
      </c>
    </row>
    <row r="4094" spans="1:15" x14ac:dyDescent="0.25">
      <c r="A4094" s="11">
        <v>46129</v>
      </c>
      <c r="B4094" t="s">
        <v>38</v>
      </c>
      <c r="C4094" t="s">
        <v>18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 t="shared" si="62"/>
        <v>28</v>
      </c>
      <c r="J4094" s="3">
        <f t="shared" si="63"/>
        <v>25</v>
      </c>
      <c r="K4094" s="3">
        <f t="shared" si="64"/>
        <v>3</v>
      </c>
      <c r="L4094" s="3" t="str">
        <f t="shared" si="65"/>
        <v>OPORTUNO</v>
      </c>
      <c r="N4094">
        <v>99.57</v>
      </c>
      <c r="O4094">
        <v>29.913294797687861</v>
      </c>
    </row>
    <row r="4095" spans="1:15" x14ac:dyDescent="0.25">
      <c r="A4095" s="11">
        <v>46129</v>
      </c>
      <c r="B4095" t="s">
        <v>39</v>
      </c>
      <c r="C4095" t="s">
        <v>18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f t="shared" si="62"/>
        <v>0</v>
      </c>
      <c r="J4095" s="3">
        <f t="shared" si="63"/>
        <v>25</v>
      </c>
      <c r="K4095" s="3">
        <f t="shared" si="64"/>
        <v>-25</v>
      </c>
      <c r="L4095" s="3" t="str">
        <f t="shared" si="65"/>
        <v>CRÍTICO</v>
      </c>
      <c r="N4095">
        <v>95.65</v>
      </c>
      <c r="O4095">
        <v>31.081081081081081</v>
      </c>
    </row>
    <row r="4096" spans="1:15" x14ac:dyDescent="0.25">
      <c r="A4096" s="11">
        <v>46129</v>
      </c>
      <c r="B4096" t="s">
        <v>40</v>
      </c>
      <c r="C4096" t="s">
        <v>16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 t="shared" si="62"/>
        <v>21</v>
      </c>
      <c r="J4096" s="3">
        <f t="shared" si="63"/>
        <v>20</v>
      </c>
      <c r="K4096" s="3">
        <f t="shared" si="64"/>
        <v>1</v>
      </c>
      <c r="L4096" s="3" t="str">
        <f t="shared" si="65"/>
        <v>OPORTUNO</v>
      </c>
      <c r="N4096">
        <v>98.81</v>
      </c>
      <c r="O4096">
        <v>26.256983240223459</v>
      </c>
    </row>
    <row r="4097" spans="1:15" x14ac:dyDescent="0.25">
      <c r="A4097" s="11">
        <v>46129</v>
      </c>
      <c r="B4097" t="s">
        <v>41</v>
      </c>
      <c r="C4097" t="s">
        <v>18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f t="shared" si="62"/>
        <v>0</v>
      </c>
      <c r="J4097" s="3">
        <f t="shared" si="63"/>
        <v>25</v>
      </c>
      <c r="K4097" s="3">
        <f t="shared" si="64"/>
        <v>-25</v>
      </c>
      <c r="L4097" s="3" t="str">
        <f t="shared" si="65"/>
        <v>CRÍTICO</v>
      </c>
      <c r="N4097">
        <v>0</v>
      </c>
      <c r="O4097">
        <v>0</v>
      </c>
    </row>
    <row r="4098" spans="1:15" x14ac:dyDescent="0.25">
      <c r="A4098" s="11">
        <v>46129</v>
      </c>
      <c r="B4098" t="s">
        <v>42</v>
      </c>
      <c r="C4098" t="s">
        <v>43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 t="shared" si="62"/>
        <v>21</v>
      </c>
      <c r="J4098" s="3">
        <f t="shared" si="63"/>
        <v>14</v>
      </c>
      <c r="K4098" s="3">
        <f t="shared" si="64"/>
        <v>7</v>
      </c>
      <c r="L4098" s="3" t="str">
        <f t="shared" si="65"/>
        <v>MUITO BOM</v>
      </c>
      <c r="N4098">
        <v>97.17</v>
      </c>
      <c r="O4098">
        <v>28.81844380403458</v>
      </c>
    </row>
    <row r="4099" spans="1:15" x14ac:dyDescent="0.25">
      <c r="A4099" s="11">
        <v>46129</v>
      </c>
      <c r="B4099" t="s">
        <v>44</v>
      </c>
      <c r="C4099" t="s">
        <v>18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f t="shared" si="62"/>
        <v>0</v>
      </c>
      <c r="J4099" s="3">
        <f t="shared" si="63"/>
        <v>25</v>
      </c>
      <c r="K4099" s="3">
        <f t="shared" si="64"/>
        <v>-25</v>
      </c>
      <c r="L4099" s="3" t="str">
        <f t="shared" si="65"/>
        <v>CRÍTICO</v>
      </c>
      <c r="N4099">
        <v>96.81</v>
      </c>
      <c r="O4099">
        <v>48.018648018648022</v>
      </c>
    </row>
    <row r="4100" spans="1:15" x14ac:dyDescent="0.25">
      <c r="A4100" s="11">
        <v>46129</v>
      </c>
      <c r="B4100" t="s">
        <v>45</v>
      </c>
      <c r="C4100" t="s">
        <v>43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 t="shared" si="62"/>
        <v>8</v>
      </c>
      <c r="J4100" s="3">
        <f t="shared" si="63"/>
        <v>14</v>
      </c>
      <c r="K4100" s="3">
        <f t="shared" si="64"/>
        <v>-6</v>
      </c>
      <c r="L4100" s="3" t="str">
        <f t="shared" si="65"/>
        <v>CRÍTICO</v>
      </c>
      <c r="N4100">
        <v>98.15</v>
      </c>
      <c r="O4100">
        <v>27.1551724137931</v>
      </c>
    </row>
    <row r="4101" spans="1:15" x14ac:dyDescent="0.25">
      <c r="A4101" s="11">
        <v>46129</v>
      </c>
      <c r="B4101" t="s">
        <v>46</v>
      </c>
      <c r="C4101" t="s">
        <v>18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 t="shared" si="62"/>
        <v>22</v>
      </c>
      <c r="J4101" s="3">
        <f t="shared" si="63"/>
        <v>25</v>
      </c>
      <c r="K4101" s="3">
        <f t="shared" si="64"/>
        <v>-3</v>
      </c>
      <c r="L4101" s="3" t="str">
        <f t="shared" si="65"/>
        <v>ATENÇÃO</v>
      </c>
      <c r="N4101">
        <v>99.15</v>
      </c>
      <c r="O4101">
        <v>27.370689655172409</v>
      </c>
    </row>
    <row r="4102" spans="1:15" x14ac:dyDescent="0.25">
      <c r="A4102" s="11">
        <v>46129</v>
      </c>
      <c r="B4102" t="s">
        <v>47</v>
      </c>
      <c r="C4102" t="s">
        <v>16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 t="shared" si="62"/>
        <v>27</v>
      </c>
      <c r="J4102" s="3">
        <f t="shared" si="63"/>
        <v>20</v>
      </c>
      <c r="K4102" s="3">
        <f t="shared" si="64"/>
        <v>7</v>
      </c>
      <c r="L4102" s="3" t="str">
        <f t="shared" si="65"/>
        <v>MUITO BOM</v>
      </c>
      <c r="N4102">
        <v>99.17</v>
      </c>
      <c r="O4102">
        <v>29.75206611570248</v>
      </c>
    </row>
    <row r="4103" spans="1:15" x14ac:dyDescent="0.25">
      <c r="A4103" s="11">
        <v>46129</v>
      </c>
      <c r="B4103" t="s">
        <v>48</v>
      </c>
      <c r="C4103" t="s">
        <v>16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f t="shared" si="62"/>
        <v>0</v>
      </c>
      <c r="J4103" s="3">
        <f t="shared" si="63"/>
        <v>20</v>
      </c>
      <c r="K4103" s="3">
        <f t="shared" si="64"/>
        <v>-20</v>
      </c>
      <c r="L4103" s="3" t="str">
        <f t="shared" si="65"/>
        <v>CRÍTICO</v>
      </c>
      <c r="N4103">
        <v>98.73</v>
      </c>
      <c r="O4103">
        <v>28.961748633879779</v>
      </c>
    </row>
    <row r="4104" spans="1:15" x14ac:dyDescent="0.25">
      <c r="A4104" s="11">
        <v>46129</v>
      </c>
      <c r="B4104" t="s">
        <v>49</v>
      </c>
      <c r="C4104" t="s">
        <v>18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f t="shared" si="62"/>
        <v>0</v>
      </c>
      <c r="J4104" s="3">
        <f t="shared" si="63"/>
        <v>25</v>
      </c>
      <c r="K4104" s="3">
        <f t="shared" si="64"/>
        <v>-25</v>
      </c>
      <c r="L4104" s="3" t="str">
        <f t="shared" si="65"/>
        <v>CRÍTICO</v>
      </c>
      <c r="N4104">
        <v>88.68</v>
      </c>
      <c r="O4104">
        <v>22.03389830508474</v>
      </c>
    </row>
    <row r="4105" spans="1:15" x14ac:dyDescent="0.25">
      <c r="A4105" s="11">
        <v>46129</v>
      </c>
      <c r="B4105" t="s">
        <v>50</v>
      </c>
      <c r="C4105" t="s">
        <v>20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si="62"/>
        <v>20</v>
      </c>
      <c r="J4105" s="3">
        <f t="shared" si="63"/>
        <v>17</v>
      </c>
      <c r="K4105" s="3">
        <f t="shared" si="64"/>
        <v>3</v>
      </c>
      <c r="L4105" s="3" t="str">
        <f t="shared" si="65"/>
        <v>OPORTUNO</v>
      </c>
      <c r="N4105">
        <v>97.37</v>
      </c>
      <c r="O4105">
        <v>25.76530612244898</v>
      </c>
    </row>
    <row r="4106" spans="1:15" x14ac:dyDescent="0.25">
      <c r="A4106" s="11">
        <v>46129</v>
      </c>
      <c r="B4106" t="s">
        <v>51</v>
      </c>
      <c r="C4106" t="s">
        <v>23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62"/>
        <v>28</v>
      </c>
      <c r="J4106" s="3">
        <f t="shared" si="63"/>
        <v>7</v>
      </c>
      <c r="K4106" s="3">
        <f t="shared" si="64"/>
        <v>21</v>
      </c>
      <c r="L4106" s="3" t="str">
        <f t="shared" si="65"/>
        <v>MUITO BOM</v>
      </c>
      <c r="N4106">
        <v>100</v>
      </c>
      <c r="O4106">
        <v>25</v>
      </c>
    </row>
    <row r="4107" spans="1:15" x14ac:dyDescent="0.25">
      <c r="A4107" s="11">
        <v>46129</v>
      </c>
      <c r="B4107" t="s">
        <v>52</v>
      </c>
      <c r="C4107" t="s">
        <v>18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62"/>
        <v>29</v>
      </c>
      <c r="J4107" s="3">
        <f t="shared" si="63"/>
        <v>25</v>
      </c>
      <c r="K4107" s="3">
        <f t="shared" si="64"/>
        <v>4</v>
      </c>
      <c r="L4107" s="3" t="str">
        <f t="shared" si="65"/>
        <v>OPORTUNO</v>
      </c>
      <c r="N4107">
        <v>100</v>
      </c>
      <c r="O4107">
        <v>23.9870340356564</v>
      </c>
    </row>
    <row r="4108" spans="1:15" x14ac:dyDescent="0.25">
      <c r="A4108" s="11">
        <v>46129</v>
      </c>
      <c r="B4108" t="s">
        <v>53</v>
      </c>
      <c r="C4108" t="s">
        <v>18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62"/>
        <v>28</v>
      </c>
      <c r="J4108" s="3">
        <f t="shared" si="63"/>
        <v>25</v>
      </c>
      <c r="K4108" s="3">
        <f t="shared" si="64"/>
        <v>3</v>
      </c>
      <c r="L4108" s="3" t="str">
        <f t="shared" si="65"/>
        <v>OPORTUNO</v>
      </c>
      <c r="N4108">
        <v>95.49</v>
      </c>
      <c r="O4108">
        <v>28.16901408450704</v>
      </c>
    </row>
    <row r="4109" spans="1:15" x14ac:dyDescent="0.25">
      <c r="A4109" s="11">
        <v>46129</v>
      </c>
      <c r="B4109" t="s">
        <v>54</v>
      </c>
      <c r="C4109" t="s">
        <v>23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62"/>
        <v>12</v>
      </c>
      <c r="J4109" s="3">
        <f t="shared" si="63"/>
        <v>7</v>
      </c>
      <c r="K4109" s="3">
        <f t="shared" si="64"/>
        <v>5</v>
      </c>
      <c r="L4109" s="3" t="str">
        <f t="shared" si="65"/>
        <v>OPORTUNO</v>
      </c>
      <c r="N4109">
        <v>100</v>
      </c>
      <c r="O4109">
        <v>23.77622377622378</v>
      </c>
    </row>
    <row r="4110" spans="1:15" x14ac:dyDescent="0.25">
      <c r="A4110" s="11">
        <v>46129</v>
      </c>
      <c r="B4110" t="s">
        <v>55</v>
      </c>
      <c r="C4110" t="s">
        <v>43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62"/>
        <v>31</v>
      </c>
      <c r="J4110" s="3">
        <f t="shared" si="63"/>
        <v>14</v>
      </c>
      <c r="K4110" s="3">
        <f t="shared" si="64"/>
        <v>17</v>
      </c>
      <c r="L4110" s="3" t="str">
        <f t="shared" si="65"/>
        <v>MUITO BOM</v>
      </c>
      <c r="N4110">
        <v>96.15</v>
      </c>
      <c r="O4110">
        <v>24.045801526717561</v>
      </c>
    </row>
    <row r="4111" spans="1:15" x14ac:dyDescent="0.25">
      <c r="A4111" s="11">
        <v>46129</v>
      </c>
      <c r="B4111" t="s">
        <v>56</v>
      </c>
      <c r="C4111" t="s">
        <v>16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62"/>
        <v>25</v>
      </c>
      <c r="J4111" s="3">
        <f t="shared" si="63"/>
        <v>20</v>
      </c>
      <c r="K4111" s="3">
        <f t="shared" si="64"/>
        <v>5</v>
      </c>
      <c r="L4111" s="3" t="str">
        <f t="shared" si="65"/>
        <v>OPORTUNO</v>
      </c>
      <c r="N4111">
        <v>99.02</v>
      </c>
      <c r="O4111">
        <v>34.797297297297298</v>
      </c>
    </row>
    <row r="4112" spans="1:15" x14ac:dyDescent="0.25">
      <c r="A4112" s="11">
        <v>46129</v>
      </c>
      <c r="B4112" t="s">
        <v>57</v>
      </c>
      <c r="C4112" t="s">
        <v>43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62"/>
        <v>17</v>
      </c>
      <c r="J4112" s="3">
        <f t="shared" si="63"/>
        <v>14</v>
      </c>
      <c r="K4112" s="3">
        <f t="shared" si="64"/>
        <v>3</v>
      </c>
      <c r="L4112" s="3" t="str">
        <f t="shared" si="65"/>
        <v>OPORTUNO</v>
      </c>
      <c r="N4112">
        <v>98.84</v>
      </c>
      <c r="O4112">
        <v>31.5018315018315</v>
      </c>
    </row>
    <row r="4113" spans="1:15" x14ac:dyDescent="0.25">
      <c r="A4113" s="11">
        <v>46129</v>
      </c>
      <c r="B4113" t="s">
        <v>58</v>
      </c>
      <c r="C4113" t="s">
        <v>43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62"/>
        <v>14</v>
      </c>
      <c r="J4113" s="3">
        <f t="shared" si="63"/>
        <v>14</v>
      </c>
      <c r="K4113" s="3">
        <f t="shared" si="64"/>
        <v>0</v>
      </c>
      <c r="L4113" s="3" t="str">
        <f t="shared" si="65"/>
        <v>OPORTUNO</v>
      </c>
      <c r="N4113">
        <v>100</v>
      </c>
      <c r="O4113">
        <v>34.666666666666671</v>
      </c>
    </row>
    <row r="4114" spans="1:15" x14ac:dyDescent="0.25">
      <c r="A4114" s="11">
        <v>46129</v>
      </c>
      <c r="B4114" t="s">
        <v>59</v>
      </c>
      <c r="C4114" t="s">
        <v>23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62"/>
        <v>14</v>
      </c>
      <c r="J4114" s="3">
        <f t="shared" si="63"/>
        <v>7</v>
      </c>
      <c r="K4114" s="3">
        <f t="shared" si="64"/>
        <v>7</v>
      </c>
      <c r="L4114" s="3" t="str">
        <f t="shared" si="65"/>
        <v>MUITO BOM</v>
      </c>
      <c r="N4114">
        <v>94.12</v>
      </c>
      <c r="O4114">
        <v>32.799999999999997</v>
      </c>
    </row>
    <row r="4115" spans="1:15" x14ac:dyDescent="0.25">
      <c r="A4115" s="11">
        <v>46129</v>
      </c>
      <c r="B4115" t="s">
        <v>60</v>
      </c>
      <c r="C4115" t="s">
        <v>20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62"/>
        <v>26</v>
      </c>
      <c r="J4115" s="3">
        <f t="shared" si="63"/>
        <v>17</v>
      </c>
      <c r="K4115" s="3">
        <f t="shared" si="64"/>
        <v>9</v>
      </c>
      <c r="L4115" s="3" t="str">
        <f t="shared" si="65"/>
        <v>MUITO BOM</v>
      </c>
      <c r="N4115">
        <v>98.32</v>
      </c>
      <c r="O4115">
        <v>26.618705035971221</v>
      </c>
    </row>
    <row r="4116" spans="1:15" x14ac:dyDescent="0.25">
      <c r="A4116" s="11">
        <v>46129</v>
      </c>
      <c r="B4116" t="s">
        <v>61</v>
      </c>
      <c r="C4116" t="s">
        <v>18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62"/>
        <v>31</v>
      </c>
      <c r="J4116" s="3">
        <f t="shared" si="63"/>
        <v>25</v>
      </c>
      <c r="K4116" s="3">
        <f t="shared" si="64"/>
        <v>6</v>
      </c>
      <c r="L4116" s="3" t="str">
        <f t="shared" si="65"/>
        <v>MUITO BOM</v>
      </c>
      <c r="N4116">
        <v>100</v>
      </c>
      <c r="O4116">
        <v>31.135531135531139</v>
      </c>
    </row>
    <row r="4117" spans="1:15" x14ac:dyDescent="0.25">
      <c r="A4117" s="11">
        <v>46129</v>
      </c>
      <c r="B4117" t="s">
        <v>62</v>
      </c>
      <c r="C4117" t="s">
        <v>20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62"/>
        <v>17</v>
      </c>
      <c r="J4117" s="3">
        <f t="shared" si="63"/>
        <v>17</v>
      </c>
      <c r="K4117" s="3">
        <f t="shared" si="64"/>
        <v>0</v>
      </c>
      <c r="L4117" s="3" t="str">
        <f t="shared" si="65"/>
        <v>OPORTUNO</v>
      </c>
      <c r="N4117">
        <v>100</v>
      </c>
      <c r="O4117">
        <v>26.027397260273968</v>
      </c>
    </row>
    <row r="4118" spans="1:15" x14ac:dyDescent="0.25">
      <c r="A4118" s="11">
        <v>46129</v>
      </c>
      <c r="B4118" t="s">
        <v>63</v>
      </c>
      <c r="C4118" t="s">
        <v>18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f t="shared" si="62"/>
        <v>0</v>
      </c>
      <c r="J4118" s="3">
        <f t="shared" si="63"/>
        <v>25</v>
      </c>
      <c r="K4118" s="3">
        <f t="shared" si="64"/>
        <v>-25</v>
      </c>
      <c r="L4118" s="3" t="str">
        <f t="shared" si="65"/>
        <v>CRÍTICO</v>
      </c>
      <c r="N4118">
        <v>99.21</v>
      </c>
      <c r="O4118">
        <v>24.937027707808561</v>
      </c>
    </row>
    <row r="4119" spans="1:15" x14ac:dyDescent="0.25">
      <c r="A4119" s="11">
        <v>46132</v>
      </c>
      <c r="B4119" t="s">
        <v>15</v>
      </c>
      <c r="C4119" t="s">
        <v>16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 t="shared" si="62"/>
        <v>27</v>
      </c>
      <c r="J4119" s="3">
        <f t="shared" si="63"/>
        <v>15</v>
      </c>
      <c r="K4119" s="3">
        <f t="shared" si="64"/>
        <v>12</v>
      </c>
      <c r="L4119" s="3" t="str">
        <f t="shared" si="65"/>
        <v>MUITO BOM</v>
      </c>
      <c r="N4119">
        <v>100</v>
      </c>
      <c r="O4119">
        <v>32.764505119453922</v>
      </c>
    </row>
    <row r="4120" spans="1:15" x14ac:dyDescent="0.25">
      <c r="A4120" s="11">
        <v>46132</v>
      </c>
      <c r="B4120" t="s">
        <v>17</v>
      </c>
      <c r="C4120" t="s">
        <v>18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f t="shared" si="62"/>
        <v>0</v>
      </c>
      <c r="J4120" s="3">
        <f t="shared" si="63"/>
        <v>19</v>
      </c>
      <c r="K4120" s="3">
        <f t="shared" si="64"/>
        <v>-19</v>
      </c>
      <c r="L4120" s="3" t="str">
        <f t="shared" si="65"/>
        <v>CRÍTICO</v>
      </c>
      <c r="N4120">
        <v>98.66</v>
      </c>
      <c r="O4120">
        <v>35.15625</v>
      </c>
    </row>
    <row r="4121" spans="1:15" x14ac:dyDescent="0.25">
      <c r="A4121" s="11">
        <v>46132</v>
      </c>
      <c r="B4121" t="s">
        <v>19</v>
      </c>
      <c r="C4121" t="s">
        <v>20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si="62"/>
        <v>24</v>
      </c>
      <c r="J4121" s="3">
        <f t="shared" si="63"/>
        <v>12</v>
      </c>
      <c r="K4121" s="3">
        <f t="shared" si="64"/>
        <v>12</v>
      </c>
      <c r="L4121" s="3" t="str">
        <f t="shared" si="65"/>
        <v>MUITO BOM</v>
      </c>
      <c r="N4121">
        <v>99.32</v>
      </c>
      <c r="O4121">
        <v>30.45186640471513</v>
      </c>
    </row>
    <row r="4122" spans="1:15" x14ac:dyDescent="0.25">
      <c r="A4122" s="11">
        <v>46132</v>
      </c>
      <c r="B4122" t="s">
        <v>21</v>
      </c>
      <c r="C4122" t="s">
        <v>18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62"/>
        <v>15</v>
      </c>
      <c r="J4122" s="3">
        <f t="shared" si="63"/>
        <v>19</v>
      </c>
      <c r="K4122" s="3">
        <f t="shared" si="64"/>
        <v>-4</v>
      </c>
      <c r="L4122" s="3" t="str">
        <f t="shared" si="65"/>
        <v>ATENÇÃO</v>
      </c>
      <c r="N4122">
        <v>100</v>
      </c>
      <c r="O4122">
        <v>27.803738317757009</v>
      </c>
    </row>
    <row r="4123" spans="1:15" x14ac:dyDescent="0.25">
      <c r="A4123" s="11">
        <v>46132</v>
      </c>
      <c r="B4123" t="s">
        <v>22</v>
      </c>
      <c r="C4123" t="s">
        <v>23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ref="I4123:I4186" si="66">E4123+G4123+H4123</f>
        <v>11</v>
      </c>
      <c r="J4123" s="3">
        <f t="shared" ref="J4123:J4186" si="67"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5</v>
      </c>
      <c r="K4123" s="3">
        <f t="shared" ref="K4123:K4186" si="68">I4123-J4123</f>
        <v>6</v>
      </c>
      <c r="L4123" s="3" t="str">
        <f t="shared" ref="L4123:L4186" si="69">IF(K4123&lt;-5,"CRÍTICO",IF(K4123&lt;0,"ATENÇÃO",IF(K4123&lt;=5,"OPORTUNO","MUITO BOM")))</f>
        <v>MUITO BOM</v>
      </c>
      <c r="N4123">
        <v>96.74</v>
      </c>
      <c r="O4123">
        <v>28.43137254901961</v>
      </c>
    </row>
    <row r="4124" spans="1:15" x14ac:dyDescent="0.25">
      <c r="A4124" s="11">
        <v>46132</v>
      </c>
      <c r="B4124" t="s">
        <v>24</v>
      </c>
      <c r="C4124" t="s">
        <v>16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66"/>
        <v>30</v>
      </c>
      <c r="J4124" s="3">
        <f t="shared" si="67"/>
        <v>15</v>
      </c>
      <c r="K4124" s="3">
        <f t="shared" si="68"/>
        <v>15</v>
      </c>
      <c r="L4124" s="3" t="str">
        <f t="shared" si="69"/>
        <v>MUITO BOM</v>
      </c>
      <c r="N4124">
        <v>98.82</v>
      </c>
      <c r="O4124">
        <v>30.741410488245929</v>
      </c>
    </row>
    <row r="4125" spans="1:15" x14ac:dyDescent="0.25">
      <c r="A4125" s="11">
        <v>46132</v>
      </c>
      <c r="B4125" t="s">
        <v>25</v>
      </c>
      <c r="C4125" t="s">
        <v>16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66"/>
        <v>25</v>
      </c>
      <c r="J4125" s="3">
        <f t="shared" si="67"/>
        <v>15</v>
      </c>
      <c r="K4125" s="3">
        <f t="shared" si="68"/>
        <v>10</v>
      </c>
      <c r="L4125" s="3" t="str">
        <f t="shared" si="69"/>
        <v>MUITO BOM</v>
      </c>
      <c r="N4125">
        <v>98.2</v>
      </c>
      <c r="O4125">
        <v>26.890756302521009</v>
      </c>
    </row>
    <row r="4126" spans="1:15" x14ac:dyDescent="0.25">
      <c r="A4126" s="11">
        <v>46132</v>
      </c>
      <c r="B4126" t="s">
        <v>26</v>
      </c>
      <c r="C4126" t="s">
        <v>23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66"/>
        <v>1</v>
      </c>
      <c r="J4126" s="3">
        <f t="shared" si="67"/>
        <v>5</v>
      </c>
      <c r="K4126" s="3">
        <f t="shared" si="68"/>
        <v>-4</v>
      </c>
      <c r="L4126" s="3" t="str">
        <f t="shared" si="69"/>
        <v>ATENÇÃO</v>
      </c>
      <c r="N4126">
        <v>100</v>
      </c>
      <c r="O4126">
        <v>23.134328358208951</v>
      </c>
    </row>
    <row r="4127" spans="1:15" x14ac:dyDescent="0.25">
      <c r="A4127" s="11">
        <v>46132</v>
      </c>
      <c r="B4127" t="s">
        <v>27</v>
      </c>
      <c r="C4127" t="s">
        <v>20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66"/>
        <v>19</v>
      </c>
      <c r="J4127" s="3">
        <f t="shared" si="67"/>
        <v>12</v>
      </c>
      <c r="K4127" s="3">
        <f t="shared" si="68"/>
        <v>7</v>
      </c>
      <c r="L4127" s="3" t="str">
        <f t="shared" si="69"/>
        <v>MUITO BOM</v>
      </c>
      <c r="N4127">
        <v>96.3</v>
      </c>
      <c r="O4127">
        <v>31.980906921241051</v>
      </c>
    </row>
    <row r="4128" spans="1:15" x14ac:dyDescent="0.25">
      <c r="A4128" s="11">
        <v>46132</v>
      </c>
      <c r="B4128" t="s">
        <v>28</v>
      </c>
      <c r="C4128" t="s">
        <v>18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66"/>
        <v>21</v>
      </c>
      <c r="J4128" s="3">
        <f t="shared" si="67"/>
        <v>19</v>
      </c>
      <c r="K4128" s="3">
        <f t="shared" si="68"/>
        <v>2</v>
      </c>
      <c r="L4128" s="3" t="str">
        <f t="shared" si="69"/>
        <v>OPORTUNO</v>
      </c>
      <c r="N4128">
        <v>93.75</v>
      </c>
      <c r="O4128">
        <v>26.628352490421459</v>
      </c>
    </row>
    <row r="4129" spans="1:15" x14ac:dyDescent="0.25">
      <c r="A4129" s="11">
        <v>46132</v>
      </c>
      <c r="B4129" t="s">
        <v>29</v>
      </c>
      <c r="C4129" t="s">
        <v>16</v>
      </c>
      <c r="D4129">
        <v>0</v>
      </c>
      <c r="E4129">
        <v>0</v>
      </c>
      <c r="F4129">
        <v>0</v>
      </c>
      <c r="G4129">
        <v>0</v>
      </c>
      <c r="H4129">
        <v>0</v>
      </c>
      <c r="I4129" s="3">
        <f t="shared" si="66"/>
        <v>0</v>
      </c>
      <c r="J4129" s="3">
        <f t="shared" si="67"/>
        <v>15</v>
      </c>
      <c r="K4129" s="3">
        <f t="shared" si="68"/>
        <v>-15</v>
      </c>
      <c r="L4129" s="3" t="str">
        <f t="shared" si="69"/>
        <v>CRÍTICO</v>
      </c>
      <c r="N4129">
        <v>97.86</v>
      </c>
      <c r="O4129">
        <v>31.018518518518519</v>
      </c>
    </row>
    <row r="4130" spans="1:15" x14ac:dyDescent="0.25">
      <c r="A4130" s="11">
        <v>46132</v>
      </c>
      <c r="B4130" t="s">
        <v>30</v>
      </c>
      <c r="C4130" t="s">
        <v>20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 t="shared" si="66"/>
        <v>17</v>
      </c>
      <c r="J4130" s="3">
        <f t="shared" si="67"/>
        <v>12</v>
      </c>
      <c r="K4130" s="3">
        <f t="shared" si="68"/>
        <v>5</v>
      </c>
      <c r="L4130" s="3" t="str">
        <f t="shared" si="69"/>
        <v>OPORTUNO</v>
      </c>
      <c r="N4130">
        <v>100</v>
      </c>
      <c r="O4130">
        <v>36.231884057971023</v>
      </c>
    </row>
    <row r="4131" spans="1:15" x14ac:dyDescent="0.25">
      <c r="A4131" s="11">
        <v>46132</v>
      </c>
      <c r="B4131" t="s">
        <v>31</v>
      </c>
      <c r="C4131" t="s">
        <v>18</v>
      </c>
      <c r="D4131">
        <v>0</v>
      </c>
      <c r="E4131">
        <v>0</v>
      </c>
      <c r="F4131">
        <v>0</v>
      </c>
      <c r="G4131">
        <v>0</v>
      </c>
      <c r="H4131">
        <v>0</v>
      </c>
      <c r="I4131" s="3">
        <f t="shared" si="66"/>
        <v>0</v>
      </c>
      <c r="J4131" s="3">
        <f t="shared" si="67"/>
        <v>19</v>
      </c>
      <c r="K4131" s="3">
        <f t="shared" si="68"/>
        <v>-19</v>
      </c>
      <c r="L4131" s="3" t="str">
        <f t="shared" si="69"/>
        <v>CRÍTICO</v>
      </c>
      <c r="N4131">
        <v>100</v>
      </c>
      <c r="O4131">
        <v>38.269230769230766</v>
      </c>
    </row>
    <row r="4132" spans="1:15" x14ac:dyDescent="0.25">
      <c r="A4132" s="11">
        <v>46132</v>
      </c>
      <c r="B4132" t="s">
        <v>32</v>
      </c>
      <c r="C4132" t="s">
        <v>23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 t="shared" si="66"/>
        <v>6</v>
      </c>
      <c r="J4132" s="3">
        <f t="shared" si="67"/>
        <v>5</v>
      </c>
      <c r="K4132" s="3">
        <f t="shared" si="68"/>
        <v>1</v>
      </c>
      <c r="L4132" s="3" t="str">
        <f t="shared" si="69"/>
        <v>OPORTUNO</v>
      </c>
      <c r="N4132">
        <v>100</v>
      </c>
      <c r="O4132">
        <v>27.368421052631579</v>
      </c>
    </row>
    <row r="4133" spans="1:15" x14ac:dyDescent="0.25">
      <c r="A4133" s="11">
        <v>46132</v>
      </c>
      <c r="B4133" t="s">
        <v>33</v>
      </c>
      <c r="C4133" t="s">
        <v>16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 t="shared" si="66"/>
        <v>25</v>
      </c>
      <c r="J4133" s="3">
        <f t="shared" si="67"/>
        <v>15</v>
      </c>
      <c r="K4133" s="3">
        <f t="shared" si="68"/>
        <v>10</v>
      </c>
      <c r="L4133" s="3" t="str">
        <f t="shared" si="69"/>
        <v>MUITO BOM</v>
      </c>
      <c r="N4133">
        <v>97.83</v>
      </c>
      <c r="O4133">
        <v>28.131868131868131</v>
      </c>
    </row>
    <row r="4134" spans="1:15" x14ac:dyDescent="0.25">
      <c r="A4134" s="11">
        <v>46132</v>
      </c>
      <c r="B4134" t="s">
        <v>34</v>
      </c>
      <c r="C4134" t="s">
        <v>18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 t="shared" si="66"/>
        <v>23</v>
      </c>
      <c r="J4134" s="3">
        <f t="shared" si="67"/>
        <v>19</v>
      </c>
      <c r="K4134" s="3">
        <f t="shared" si="68"/>
        <v>4</v>
      </c>
      <c r="L4134" s="3" t="str">
        <f t="shared" si="69"/>
        <v>OPORTUNO</v>
      </c>
      <c r="N4134">
        <v>99.26</v>
      </c>
      <c r="O4134">
        <v>29.57198443579767</v>
      </c>
    </row>
    <row r="4135" spans="1:15" x14ac:dyDescent="0.25">
      <c r="A4135" s="11">
        <v>46132</v>
      </c>
      <c r="B4135" t="s">
        <v>35</v>
      </c>
      <c r="C4135" t="s">
        <v>16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 t="shared" si="66"/>
        <v>9</v>
      </c>
      <c r="J4135" s="3">
        <f t="shared" si="67"/>
        <v>15</v>
      </c>
      <c r="K4135" s="3">
        <f t="shared" si="68"/>
        <v>-6</v>
      </c>
      <c r="L4135" s="3" t="str">
        <f t="shared" si="69"/>
        <v>CRÍTICO</v>
      </c>
      <c r="N4135">
        <v>99.19</v>
      </c>
      <c r="O4135">
        <v>29.462365591397852</v>
      </c>
    </row>
    <row r="4136" spans="1:15" x14ac:dyDescent="0.25">
      <c r="A4136" s="7">
        <v>46162</v>
      </c>
      <c r="B4136" s="8" t="s">
        <v>64</v>
      </c>
      <c r="C4136" s="9" t="s">
        <v>23</v>
      </c>
      <c r="D4136" s="3">
        <v>7</v>
      </c>
      <c r="E4136" s="3">
        <v>7</v>
      </c>
      <c r="F4136" s="3">
        <v>22.26</v>
      </c>
      <c r="G4136" s="3">
        <v>0</v>
      </c>
      <c r="H4136" s="3">
        <v>0</v>
      </c>
      <c r="I4136" s="3">
        <f t="shared" si="66"/>
        <v>7</v>
      </c>
      <c r="J4136" s="3">
        <f t="shared" si="67"/>
        <v>7</v>
      </c>
      <c r="K4136" s="3">
        <f t="shared" si="68"/>
        <v>0</v>
      </c>
      <c r="L4136" s="3" t="str">
        <f t="shared" si="69"/>
        <v>OPORTUNO</v>
      </c>
      <c r="M4136" s="9">
        <v>6</v>
      </c>
      <c r="N4136" s="9">
        <v>100</v>
      </c>
      <c r="O4136" s="9">
        <v>14.285714285714279</v>
      </c>
    </row>
    <row r="4137" spans="1:15" x14ac:dyDescent="0.25">
      <c r="A4137" s="11">
        <v>46132</v>
      </c>
      <c r="B4137" t="s">
        <v>37</v>
      </c>
      <c r="C4137" t="s">
        <v>16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f t="shared" si="66"/>
        <v>0</v>
      </c>
      <c r="J4137" s="3">
        <f t="shared" si="67"/>
        <v>15</v>
      </c>
      <c r="K4137" s="3">
        <f t="shared" si="68"/>
        <v>-15</v>
      </c>
      <c r="L4137" s="3" t="str">
        <f t="shared" si="69"/>
        <v>CRÍTICO</v>
      </c>
      <c r="N4137">
        <v>100</v>
      </c>
      <c r="O4137">
        <v>27.941176470588239</v>
      </c>
    </row>
    <row r="4138" spans="1:15" x14ac:dyDescent="0.25">
      <c r="A4138" s="11">
        <v>46132</v>
      </c>
      <c r="B4138" t="s">
        <v>38</v>
      </c>
      <c r="C4138" t="s">
        <v>18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 t="shared" si="66"/>
        <v>30</v>
      </c>
      <c r="J4138" s="3">
        <f t="shared" si="67"/>
        <v>19</v>
      </c>
      <c r="K4138" s="3">
        <f t="shared" si="68"/>
        <v>11</v>
      </c>
      <c r="L4138" s="3" t="str">
        <f t="shared" si="69"/>
        <v>MUITO BOM</v>
      </c>
      <c r="N4138">
        <v>99.57</v>
      </c>
      <c r="O4138">
        <v>29.913294797687861</v>
      </c>
    </row>
    <row r="4139" spans="1:15" x14ac:dyDescent="0.25">
      <c r="A4139" s="11">
        <v>46132</v>
      </c>
      <c r="B4139" t="s">
        <v>39</v>
      </c>
      <c r="C4139" t="s">
        <v>18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f t="shared" si="66"/>
        <v>0</v>
      </c>
      <c r="J4139" s="3">
        <f t="shared" si="67"/>
        <v>19</v>
      </c>
      <c r="K4139" s="3">
        <f t="shared" si="68"/>
        <v>-19</v>
      </c>
      <c r="L4139" s="3" t="str">
        <f t="shared" si="69"/>
        <v>CRÍTICO</v>
      </c>
      <c r="N4139">
        <v>95.65</v>
      </c>
      <c r="O4139">
        <v>31.081081081081081</v>
      </c>
    </row>
    <row r="4140" spans="1:15" x14ac:dyDescent="0.25">
      <c r="A4140" s="11">
        <v>46132</v>
      </c>
      <c r="B4140" t="s">
        <v>40</v>
      </c>
      <c r="C4140" t="s">
        <v>16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 t="shared" si="66"/>
        <v>23</v>
      </c>
      <c r="J4140" s="3">
        <f t="shared" si="67"/>
        <v>15</v>
      </c>
      <c r="K4140" s="3">
        <f t="shared" si="68"/>
        <v>8</v>
      </c>
      <c r="L4140" s="3" t="str">
        <f t="shared" si="69"/>
        <v>MUITO BOM</v>
      </c>
      <c r="N4140">
        <v>98.81</v>
      </c>
      <c r="O4140">
        <v>26.256983240223459</v>
      </c>
    </row>
    <row r="4141" spans="1:15" x14ac:dyDescent="0.25">
      <c r="A4141" s="11">
        <v>46132</v>
      </c>
      <c r="B4141" t="s">
        <v>41</v>
      </c>
      <c r="C4141" t="s">
        <v>18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f t="shared" si="66"/>
        <v>0</v>
      </c>
      <c r="J4141" s="3">
        <f t="shared" si="67"/>
        <v>19</v>
      </c>
      <c r="K4141" s="3">
        <f t="shared" si="68"/>
        <v>-19</v>
      </c>
      <c r="L4141" s="3" t="str">
        <f t="shared" si="69"/>
        <v>CRÍTICO</v>
      </c>
      <c r="N4141">
        <v>0</v>
      </c>
      <c r="O4141">
        <v>0</v>
      </c>
    </row>
    <row r="4142" spans="1:15" x14ac:dyDescent="0.25">
      <c r="A4142" s="11">
        <v>46132</v>
      </c>
      <c r="B4142" t="s">
        <v>42</v>
      </c>
      <c r="C4142" t="s">
        <v>43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 t="shared" si="66"/>
        <v>6</v>
      </c>
      <c r="J4142" s="3">
        <f t="shared" si="67"/>
        <v>11</v>
      </c>
      <c r="K4142" s="3">
        <f t="shared" si="68"/>
        <v>-5</v>
      </c>
      <c r="L4142" s="3" t="str">
        <f t="shared" si="69"/>
        <v>ATENÇÃO</v>
      </c>
      <c r="N4142">
        <v>97.17</v>
      </c>
      <c r="O4142">
        <v>28.81844380403458</v>
      </c>
    </row>
    <row r="4143" spans="1:15" x14ac:dyDescent="0.25">
      <c r="A4143" s="11">
        <v>46132</v>
      </c>
      <c r="B4143" t="s">
        <v>44</v>
      </c>
      <c r="C4143" t="s">
        <v>18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f t="shared" si="66"/>
        <v>0</v>
      </c>
      <c r="J4143" s="3">
        <f t="shared" si="67"/>
        <v>19</v>
      </c>
      <c r="K4143" s="3">
        <f t="shared" si="68"/>
        <v>-19</v>
      </c>
      <c r="L4143" s="3" t="str">
        <f t="shared" si="69"/>
        <v>CRÍTICO</v>
      </c>
      <c r="N4143">
        <v>96.81</v>
      </c>
      <c r="O4143">
        <v>48.018648018648022</v>
      </c>
    </row>
    <row r="4144" spans="1:15" x14ac:dyDescent="0.25">
      <c r="A4144" s="11">
        <v>46132</v>
      </c>
      <c r="B4144" t="s">
        <v>45</v>
      </c>
      <c r="C4144" t="s">
        <v>43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 t="shared" si="66"/>
        <v>8</v>
      </c>
      <c r="J4144" s="3">
        <f t="shared" si="67"/>
        <v>11</v>
      </c>
      <c r="K4144" s="3">
        <f t="shared" si="68"/>
        <v>-3</v>
      </c>
      <c r="L4144" s="3" t="str">
        <f t="shared" si="69"/>
        <v>ATENÇÃO</v>
      </c>
      <c r="N4144">
        <v>98.15</v>
      </c>
      <c r="O4144">
        <v>27.1551724137931</v>
      </c>
    </row>
    <row r="4145" spans="1:15" x14ac:dyDescent="0.25">
      <c r="A4145" s="11">
        <v>46132</v>
      </c>
      <c r="B4145" t="s">
        <v>46</v>
      </c>
      <c r="C4145" t="s">
        <v>18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 t="shared" si="66"/>
        <v>23</v>
      </c>
      <c r="J4145" s="3">
        <f t="shared" si="67"/>
        <v>19</v>
      </c>
      <c r="K4145" s="3">
        <f t="shared" si="68"/>
        <v>4</v>
      </c>
      <c r="L4145" s="3" t="str">
        <f t="shared" si="69"/>
        <v>OPORTUNO</v>
      </c>
      <c r="N4145">
        <v>99.15</v>
      </c>
      <c r="O4145">
        <v>27.370689655172409</v>
      </c>
    </row>
    <row r="4146" spans="1:15" x14ac:dyDescent="0.25">
      <c r="A4146" s="11">
        <v>46132</v>
      </c>
      <c r="B4146" t="s">
        <v>47</v>
      </c>
      <c r="C4146" t="s">
        <v>16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 t="shared" si="66"/>
        <v>19</v>
      </c>
      <c r="J4146" s="3">
        <f t="shared" si="67"/>
        <v>15</v>
      </c>
      <c r="K4146" s="3">
        <f t="shared" si="68"/>
        <v>4</v>
      </c>
      <c r="L4146" s="3" t="str">
        <f t="shared" si="69"/>
        <v>OPORTUNO</v>
      </c>
      <c r="N4146">
        <v>99.17</v>
      </c>
      <c r="O4146">
        <v>29.75206611570248</v>
      </c>
    </row>
    <row r="4147" spans="1:15" x14ac:dyDescent="0.25">
      <c r="A4147" s="11">
        <v>46132</v>
      </c>
      <c r="B4147" t="s">
        <v>48</v>
      </c>
      <c r="C4147" t="s">
        <v>16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f t="shared" si="66"/>
        <v>0</v>
      </c>
      <c r="J4147" s="3">
        <f t="shared" si="67"/>
        <v>15</v>
      </c>
      <c r="K4147" s="3">
        <f t="shared" si="68"/>
        <v>-15</v>
      </c>
      <c r="L4147" s="3" t="str">
        <f t="shared" si="69"/>
        <v>CRÍTICO</v>
      </c>
      <c r="N4147">
        <v>98.73</v>
      </c>
      <c r="O4147">
        <v>28.961748633879779</v>
      </c>
    </row>
    <row r="4148" spans="1:15" x14ac:dyDescent="0.25">
      <c r="A4148" s="11">
        <v>46132</v>
      </c>
      <c r="B4148" t="s">
        <v>49</v>
      </c>
      <c r="C4148" t="s">
        <v>18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f t="shared" si="66"/>
        <v>0</v>
      </c>
      <c r="J4148" s="3">
        <f t="shared" si="67"/>
        <v>19</v>
      </c>
      <c r="K4148" s="3">
        <f t="shared" si="68"/>
        <v>-19</v>
      </c>
      <c r="L4148" s="3" t="str">
        <f t="shared" si="69"/>
        <v>CRÍTICO</v>
      </c>
      <c r="N4148">
        <v>88.68</v>
      </c>
      <c r="O4148">
        <v>22.03389830508474</v>
      </c>
    </row>
    <row r="4149" spans="1:15" x14ac:dyDescent="0.25">
      <c r="A4149" s="11">
        <v>46132</v>
      </c>
      <c r="B4149" t="s">
        <v>50</v>
      </c>
      <c r="C4149" t="s">
        <v>20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 t="shared" si="66"/>
        <v>11</v>
      </c>
      <c r="J4149" s="3">
        <f t="shared" si="67"/>
        <v>12</v>
      </c>
      <c r="K4149" s="3">
        <f t="shared" si="68"/>
        <v>-1</v>
      </c>
      <c r="L4149" s="3" t="str">
        <f t="shared" si="69"/>
        <v>ATENÇÃO</v>
      </c>
      <c r="N4149">
        <v>97.37</v>
      </c>
      <c r="O4149">
        <v>25.76530612244898</v>
      </c>
    </row>
    <row r="4150" spans="1:15" x14ac:dyDescent="0.25">
      <c r="A4150" s="11">
        <v>46132</v>
      </c>
      <c r="B4150" t="s">
        <v>51</v>
      </c>
      <c r="C4150" t="s">
        <v>23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 t="shared" si="66"/>
        <v>10</v>
      </c>
      <c r="J4150" s="3">
        <f t="shared" si="67"/>
        <v>5</v>
      </c>
      <c r="K4150" s="3">
        <f t="shared" si="68"/>
        <v>5</v>
      </c>
      <c r="L4150" s="3" t="str">
        <f t="shared" si="69"/>
        <v>OPORTUNO</v>
      </c>
      <c r="N4150">
        <v>100</v>
      </c>
      <c r="O4150">
        <v>25</v>
      </c>
    </row>
    <row r="4151" spans="1:15" x14ac:dyDescent="0.25">
      <c r="A4151" s="11">
        <v>46132</v>
      </c>
      <c r="B4151" t="s">
        <v>52</v>
      </c>
      <c r="C4151" t="s">
        <v>18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 t="shared" si="66"/>
        <v>21</v>
      </c>
      <c r="J4151" s="3">
        <f t="shared" si="67"/>
        <v>19</v>
      </c>
      <c r="K4151" s="3">
        <f t="shared" si="68"/>
        <v>2</v>
      </c>
      <c r="L4151" s="3" t="str">
        <f t="shared" si="69"/>
        <v>OPORTUNO</v>
      </c>
      <c r="N4151">
        <v>100</v>
      </c>
      <c r="O4151">
        <v>23.9870340356564</v>
      </c>
    </row>
    <row r="4152" spans="1:15" x14ac:dyDescent="0.25">
      <c r="A4152" s="11">
        <v>46132</v>
      </c>
      <c r="B4152" t="s">
        <v>53</v>
      </c>
      <c r="C4152" t="s">
        <v>18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 t="shared" si="66"/>
        <v>26</v>
      </c>
      <c r="J4152" s="3">
        <f t="shared" si="67"/>
        <v>19</v>
      </c>
      <c r="K4152" s="3">
        <f t="shared" si="68"/>
        <v>7</v>
      </c>
      <c r="L4152" s="3" t="str">
        <f t="shared" si="69"/>
        <v>MUITO BOM</v>
      </c>
      <c r="N4152">
        <v>95.49</v>
      </c>
      <c r="O4152">
        <v>28.16901408450704</v>
      </c>
    </row>
    <row r="4153" spans="1:15" x14ac:dyDescent="0.25">
      <c r="A4153" s="11">
        <v>46132</v>
      </c>
      <c r="B4153" t="s">
        <v>54</v>
      </c>
      <c r="C4153" t="s">
        <v>23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f t="shared" si="66"/>
        <v>0</v>
      </c>
      <c r="J4153" s="3">
        <f t="shared" si="67"/>
        <v>5</v>
      </c>
      <c r="K4153" s="3">
        <f t="shared" si="68"/>
        <v>-5</v>
      </c>
      <c r="L4153" s="3" t="str">
        <f t="shared" si="69"/>
        <v>ATENÇÃO</v>
      </c>
      <c r="N4153">
        <v>100</v>
      </c>
      <c r="O4153">
        <v>23.77622377622378</v>
      </c>
    </row>
    <row r="4154" spans="1:15" x14ac:dyDescent="0.25">
      <c r="A4154" s="11">
        <v>46132</v>
      </c>
      <c r="B4154" t="s">
        <v>55</v>
      </c>
      <c r="C4154" t="s">
        <v>43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si="66"/>
        <v>8</v>
      </c>
      <c r="J4154" s="3">
        <f t="shared" si="67"/>
        <v>11</v>
      </c>
      <c r="K4154" s="3">
        <f t="shared" si="68"/>
        <v>-3</v>
      </c>
      <c r="L4154" s="3" t="str">
        <f t="shared" si="69"/>
        <v>ATENÇÃO</v>
      </c>
      <c r="N4154">
        <v>96.15</v>
      </c>
      <c r="O4154">
        <v>24.045801526717561</v>
      </c>
    </row>
    <row r="4155" spans="1:15" x14ac:dyDescent="0.25">
      <c r="A4155" s="11">
        <v>46132</v>
      </c>
      <c r="B4155" t="s">
        <v>56</v>
      </c>
      <c r="C4155" t="s">
        <v>16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66"/>
        <v>12</v>
      </c>
      <c r="J4155" s="3">
        <f t="shared" si="67"/>
        <v>15</v>
      </c>
      <c r="K4155" s="3">
        <f t="shared" si="68"/>
        <v>-3</v>
      </c>
      <c r="L4155" s="3" t="str">
        <f t="shared" si="69"/>
        <v>ATENÇÃO</v>
      </c>
      <c r="N4155">
        <v>99.02</v>
      </c>
      <c r="O4155">
        <v>34.797297297297298</v>
      </c>
    </row>
    <row r="4156" spans="1:15" x14ac:dyDescent="0.25">
      <c r="A4156" s="11">
        <v>46132</v>
      </c>
      <c r="B4156" t="s">
        <v>57</v>
      </c>
      <c r="C4156" t="s">
        <v>43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66"/>
        <v>10</v>
      </c>
      <c r="J4156" s="3">
        <f t="shared" si="67"/>
        <v>11</v>
      </c>
      <c r="K4156" s="3">
        <f t="shared" si="68"/>
        <v>-1</v>
      </c>
      <c r="L4156" s="3" t="str">
        <f t="shared" si="69"/>
        <v>ATENÇÃO</v>
      </c>
      <c r="N4156">
        <v>98.84</v>
      </c>
      <c r="O4156">
        <v>31.5018315018315</v>
      </c>
    </row>
    <row r="4157" spans="1:15" x14ac:dyDescent="0.25">
      <c r="A4157" s="11">
        <v>46132</v>
      </c>
      <c r="B4157" t="s">
        <v>58</v>
      </c>
      <c r="C4157" t="s">
        <v>43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66"/>
        <v>9</v>
      </c>
      <c r="J4157" s="3">
        <f t="shared" si="67"/>
        <v>11</v>
      </c>
      <c r="K4157" s="3">
        <f t="shared" si="68"/>
        <v>-2</v>
      </c>
      <c r="L4157" s="3" t="str">
        <f t="shared" si="69"/>
        <v>ATENÇÃO</v>
      </c>
      <c r="N4157">
        <v>100</v>
      </c>
      <c r="O4157">
        <v>34.666666666666671</v>
      </c>
    </row>
    <row r="4158" spans="1:15" x14ac:dyDescent="0.25">
      <c r="A4158" s="11">
        <v>46132</v>
      </c>
      <c r="B4158" t="s">
        <v>59</v>
      </c>
      <c r="C4158" t="s">
        <v>23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66"/>
        <v>6</v>
      </c>
      <c r="J4158" s="3">
        <f t="shared" si="67"/>
        <v>5</v>
      </c>
      <c r="K4158" s="3">
        <f t="shared" si="68"/>
        <v>1</v>
      </c>
      <c r="L4158" s="3" t="str">
        <f t="shared" si="69"/>
        <v>OPORTUNO</v>
      </c>
      <c r="N4158">
        <v>94.12</v>
      </c>
      <c r="O4158">
        <v>32.799999999999997</v>
      </c>
    </row>
    <row r="4159" spans="1:15" x14ac:dyDescent="0.25">
      <c r="A4159" s="11">
        <v>46132</v>
      </c>
      <c r="B4159" t="s">
        <v>60</v>
      </c>
      <c r="C4159" t="s">
        <v>20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66"/>
        <v>11</v>
      </c>
      <c r="J4159" s="3">
        <f t="shared" si="67"/>
        <v>12</v>
      </c>
      <c r="K4159" s="3">
        <f t="shared" si="68"/>
        <v>-1</v>
      </c>
      <c r="L4159" s="3" t="str">
        <f t="shared" si="69"/>
        <v>ATENÇÃO</v>
      </c>
      <c r="N4159">
        <v>98.32</v>
      </c>
      <c r="O4159">
        <v>26.618705035971221</v>
      </c>
    </row>
    <row r="4160" spans="1:15" x14ac:dyDescent="0.25">
      <c r="A4160" s="11">
        <v>46132</v>
      </c>
      <c r="B4160" t="s">
        <v>61</v>
      </c>
      <c r="C4160" t="s">
        <v>18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66"/>
        <v>30</v>
      </c>
      <c r="J4160" s="3">
        <f t="shared" si="67"/>
        <v>19</v>
      </c>
      <c r="K4160" s="3">
        <f t="shared" si="68"/>
        <v>11</v>
      </c>
      <c r="L4160" s="3" t="str">
        <f t="shared" si="69"/>
        <v>MUITO BOM</v>
      </c>
      <c r="N4160">
        <v>100</v>
      </c>
      <c r="O4160">
        <v>31.135531135531139</v>
      </c>
    </row>
    <row r="4161" spans="1:15" x14ac:dyDescent="0.25">
      <c r="A4161" s="11">
        <v>46132</v>
      </c>
      <c r="B4161" t="s">
        <v>62</v>
      </c>
      <c r="C4161" t="s">
        <v>20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66"/>
        <v>7</v>
      </c>
      <c r="J4161" s="3">
        <f t="shared" si="67"/>
        <v>12</v>
      </c>
      <c r="K4161" s="3">
        <f t="shared" si="68"/>
        <v>-5</v>
      </c>
      <c r="L4161" s="3" t="str">
        <f t="shared" si="69"/>
        <v>ATENÇÃO</v>
      </c>
      <c r="N4161">
        <v>100</v>
      </c>
      <c r="O4161">
        <v>26.027397260273968</v>
      </c>
    </row>
    <row r="4162" spans="1:15" x14ac:dyDescent="0.25">
      <c r="A4162" s="11">
        <v>46132</v>
      </c>
      <c r="B4162" t="s">
        <v>63</v>
      </c>
      <c r="C4162" t="s">
        <v>18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66"/>
        <v>23</v>
      </c>
      <c r="J4162" s="3">
        <f t="shared" si="67"/>
        <v>19</v>
      </c>
      <c r="K4162" s="3">
        <f t="shared" si="68"/>
        <v>4</v>
      </c>
      <c r="L4162" s="3" t="str">
        <f t="shared" si="69"/>
        <v>OPORTUNO</v>
      </c>
      <c r="N4162">
        <v>99.21</v>
      </c>
      <c r="O4162">
        <v>24.937027707808561</v>
      </c>
    </row>
    <row r="4163" spans="1:15" x14ac:dyDescent="0.25">
      <c r="A4163" s="11">
        <v>46134</v>
      </c>
      <c r="B4163" t="s">
        <v>15</v>
      </c>
      <c r="C4163" t="s">
        <v>16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66"/>
        <v>38</v>
      </c>
      <c r="J4163" s="3">
        <f t="shared" si="67"/>
        <v>17</v>
      </c>
      <c r="K4163" s="3">
        <f t="shared" si="68"/>
        <v>21</v>
      </c>
      <c r="L4163" s="3" t="str">
        <f t="shared" si="69"/>
        <v>MUITO BOM</v>
      </c>
      <c r="N4163">
        <v>100</v>
      </c>
      <c r="O4163">
        <v>32.764505119453922</v>
      </c>
    </row>
    <row r="4164" spans="1:15" x14ac:dyDescent="0.25">
      <c r="A4164" s="11">
        <v>46134</v>
      </c>
      <c r="B4164" t="s">
        <v>17</v>
      </c>
      <c r="C4164" t="s">
        <v>18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f t="shared" si="66"/>
        <v>0</v>
      </c>
      <c r="J4164" s="3">
        <f t="shared" si="67"/>
        <v>21</v>
      </c>
      <c r="K4164" s="3">
        <f t="shared" si="68"/>
        <v>-21</v>
      </c>
      <c r="L4164" s="3" t="str">
        <f t="shared" si="69"/>
        <v>CRÍTICO</v>
      </c>
      <c r="N4164">
        <v>98.66</v>
      </c>
      <c r="O4164">
        <v>35.15625</v>
      </c>
    </row>
    <row r="4165" spans="1:15" x14ac:dyDescent="0.25">
      <c r="A4165" s="11">
        <v>46134</v>
      </c>
      <c r="B4165" t="s">
        <v>19</v>
      </c>
      <c r="C4165" t="s">
        <v>20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 t="shared" si="66"/>
        <v>30</v>
      </c>
      <c r="J4165" s="3">
        <f t="shared" si="67"/>
        <v>14</v>
      </c>
      <c r="K4165" s="3">
        <f t="shared" si="68"/>
        <v>16</v>
      </c>
      <c r="L4165" s="3" t="str">
        <f t="shared" si="69"/>
        <v>MUITO BOM</v>
      </c>
      <c r="N4165">
        <v>99.32</v>
      </c>
      <c r="O4165">
        <v>30.45186640471513</v>
      </c>
    </row>
    <row r="4166" spans="1:15" x14ac:dyDescent="0.25">
      <c r="A4166" s="11">
        <v>46134</v>
      </c>
      <c r="B4166" t="s">
        <v>21</v>
      </c>
      <c r="C4166" t="s">
        <v>18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 t="shared" si="66"/>
        <v>15</v>
      </c>
      <c r="J4166" s="3">
        <f t="shared" si="67"/>
        <v>21</v>
      </c>
      <c r="K4166" s="3">
        <f t="shared" si="68"/>
        <v>-6</v>
      </c>
      <c r="L4166" s="3" t="str">
        <f t="shared" si="69"/>
        <v>CRÍTICO</v>
      </c>
      <c r="N4166">
        <v>100</v>
      </c>
      <c r="O4166">
        <v>27.803738317757009</v>
      </c>
    </row>
    <row r="4167" spans="1:15" x14ac:dyDescent="0.25">
      <c r="A4167" s="11">
        <v>46134</v>
      </c>
      <c r="B4167" t="s">
        <v>22</v>
      </c>
      <c r="C4167" t="s">
        <v>23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 t="shared" si="66"/>
        <v>25</v>
      </c>
      <c r="J4167" s="3">
        <f t="shared" si="67"/>
        <v>6</v>
      </c>
      <c r="K4167" s="3">
        <f t="shared" si="68"/>
        <v>19</v>
      </c>
      <c r="L4167" s="3" t="str">
        <f t="shared" si="69"/>
        <v>MUITO BOM</v>
      </c>
      <c r="N4167">
        <v>96.74</v>
      </c>
      <c r="O4167">
        <v>28.43137254901961</v>
      </c>
    </row>
    <row r="4168" spans="1:15" x14ac:dyDescent="0.25">
      <c r="A4168" s="11">
        <v>46134</v>
      </c>
      <c r="B4168" t="s">
        <v>24</v>
      </c>
      <c r="C4168" t="s">
        <v>16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f t="shared" si="66"/>
        <v>0</v>
      </c>
      <c r="J4168" s="3">
        <f t="shared" si="67"/>
        <v>17</v>
      </c>
      <c r="K4168" s="3">
        <f t="shared" si="68"/>
        <v>-17</v>
      </c>
      <c r="L4168" s="3" t="str">
        <f t="shared" si="69"/>
        <v>CRÍTICO</v>
      </c>
      <c r="N4168">
        <v>98.82</v>
      </c>
      <c r="O4168">
        <v>30.741410488245929</v>
      </c>
    </row>
    <row r="4169" spans="1:15" x14ac:dyDescent="0.25">
      <c r="A4169" s="11">
        <v>46134</v>
      </c>
      <c r="B4169" t="s">
        <v>25</v>
      </c>
      <c r="C4169" t="s">
        <v>16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f t="shared" si="66"/>
        <v>0</v>
      </c>
      <c r="J4169" s="3">
        <f t="shared" si="67"/>
        <v>17</v>
      </c>
      <c r="K4169" s="3">
        <f t="shared" si="68"/>
        <v>-17</v>
      </c>
      <c r="L4169" s="3" t="str">
        <f t="shared" si="69"/>
        <v>CRÍTICO</v>
      </c>
      <c r="N4169">
        <v>98.2</v>
      </c>
      <c r="O4169">
        <v>26.890756302521009</v>
      </c>
    </row>
    <row r="4170" spans="1:15" x14ac:dyDescent="0.25">
      <c r="A4170" s="11">
        <v>46134</v>
      </c>
      <c r="B4170" t="s">
        <v>26</v>
      </c>
      <c r="C4170" t="s">
        <v>23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 t="shared" si="66"/>
        <v>5</v>
      </c>
      <c r="J4170" s="3">
        <f t="shared" si="67"/>
        <v>6</v>
      </c>
      <c r="K4170" s="3">
        <f t="shared" si="68"/>
        <v>-1</v>
      </c>
      <c r="L4170" s="3" t="str">
        <f t="shared" si="69"/>
        <v>ATENÇÃO</v>
      </c>
      <c r="N4170">
        <v>100</v>
      </c>
      <c r="O4170">
        <v>23.134328358208951</v>
      </c>
    </row>
    <row r="4171" spans="1:15" x14ac:dyDescent="0.25">
      <c r="A4171" s="11">
        <v>46134</v>
      </c>
      <c r="B4171" t="s">
        <v>27</v>
      </c>
      <c r="C4171" t="s">
        <v>20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 t="shared" si="66"/>
        <v>13</v>
      </c>
      <c r="J4171" s="3">
        <f t="shared" si="67"/>
        <v>14</v>
      </c>
      <c r="K4171" s="3">
        <f t="shared" si="68"/>
        <v>-1</v>
      </c>
      <c r="L4171" s="3" t="str">
        <f t="shared" si="69"/>
        <v>ATENÇÃO</v>
      </c>
      <c r="N4171">
        <v>96.3</v>
      </c>
      <c r="O4171">
        <v>31.980906921241051</v>
      </c>
    </row>
    <row r="4172" spans="1:15" x14ac:dyDescent="0.25">
      <c r="A4172" s="11">
        <v>46134</v>
      </c>
      <c r="B4172" t="s">
        <v>28</v>
      </c>
      <c r="C4172" t="s">
        <v>18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 t="shared" si="66"/>
        <v>23</v>
      </c>
      <c r="J4172" s="3">
        <f t="shared" si="67"/>
        <v>21</v>
      </c>
      <c r="K4172" s="3">
        <f t="shared" si="68"/>
        <v>2</v>
      </c>
      <c r="L4172" s="3" t="str">
        <f t="shared" si="69"/>
        <v>OPORTUNO</v>
      </c>
      <c r="N4172">
        <v>93.75</v>
      </c>
      <c r="O4172">
        <v>26.628352490421459</v>
      </c>
    </row>
    <row r="4173" spans="1:15" x14ac:dyDescent="0.25">
      <c r="A4173" s="11">
        <v>46134</v>
      </c>
      <c r="B4173" t="s">
        <v>29</v>
      </c>
      <c r="C4173" t="s">
        <v>16</v>
      </c>
      <c r="D4173">
        <v>0</v>
      </c>
      <c r="E4173">
        <v>0</v>
      </c>
      <c r="F4173">
        <v>0</v>
      </c>
      <c r="G4173">
        <v>0</v>
      </c>
      <c r="H4173">
        <v>0</v>
      </c>
      <c r="I4173" s="3">
        <f t="shared" si="66"/>
        <v>0</v>
      </c>
      <c r="J4173" s="3">
        <f t="shared" si="67"/>
        <v>17</v>
      </c>
      <c r="K4173" s="3">
        <f t="shared" si="68"/>
        <v>-17</v>
      </c>
      <c r="L4173" s="3" t="str">
        <f t="shared" si="69"/>
        <v>CRÍTICO</v>
      </c>
      <c r="N4173">
        <v>97.86</v>
      </c>
      <c r="O4173">
        <v>31.018518518518519</v>
      </c>
    </row>
    <row r="4174" spans="1:15" x14ac:dyDescent="0.25">
      <c r="A4174" s="11">
        <v>46134</v>
      </c>
      <c r="B4174" t="s">
        <v>30</v>
      </c>
      <c r="C4174" t="s">
        <v>20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 t="shared" si="66"/>
        <v>16</v>
      </c>
      <c r="J4174" s="3">
        <f t="shared" si="67"/>
        <v>14</v>
      </c>
      <c r="K4174" s="3">
        <f t="shared" si="68"/>
        <v>2</v>
      </c>
      <c r="L4174" s="3" t="str">
        <f t="shared" si="69"/>
        <v>OPORTUNO</v>
      </c>
      <c r="N4174">
        <v>100</v>
      </c>
      <c r="O4174">
        <v>36.231884057971023</v>
      </c>
    </row>
    <row r="4175" spans="1:15" x14ac:dyDescent="0.25">
      <c r="A4175" s="11">
        <v>46134</v>
      </c>
      <c r="B4175" t="s">
        <v>31</v>
      </c>
      <c r="C4175" t="s">
        <v>18</v>
      </c>
      <c r="D4175">
        <v>0</v>
      </c>
      <c r="E4175">
        <v>0</v>
      </c>
      <c r="F4175">
        <v>0</v>
      </c>
      <c r="G4175">
        <v>0</v>
      </c>
      <c r="H4175">
        <v>0</v>
      </c>
      <c r="I4175" s="3">
        <f t="shared" si="66"/>
        <v>0</v>
      </c>
      <c r="J4175" s="3">
        <f t="shared" si="67"/>
        <v>21</v>
      </c>
      <c r="K4175" s="3">
        <f t="shared" si="68"/>
        <v>-21</v>
      </c>
      <c r="L4175" s="3" t="str">
        <f t="shared" si="69"/>
        <v>CRÍTICO</v>
      </c>
      <c r="N4175">
        <v>100</v>
      </c>
      <c r="O4175">
        <v>38.269230769230766</v>
      </c>
    </row>
    <row r="4176" spans="1:15" x14ac:dyDescent="0.25">
      <c r="A4176" s="11">
        <v>46134</v>
      </c>
      <c r="B4176" t="s">
        <v>32</v>
      </c>
      <c r="C4176" t="s">
        <v>23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 t="shared" si="66"/>
        <v>7</v>
      </c>
      <c r="J4176" s="3">
        <f t="shared" si="67"/>
        <v>6</v>
      </c>
      <c r="K4176" s="3">
        <f t="shared" si="68"/>
        <v>1</v>
      </c>
      <c r="L4176" s="3" t="str">
        <f t="shared" si="69"/>
        <v>OPORTUNO</v>
      </c>
      <c r="N4176">
        <v>100</v>
      </c>
      <c r="O4176">
        <v>27.368421052631579</v>
      </c>
    </row>
    <row r="4177" spans="1:15" x14ac:dyDescent="0.25">
      <c r="A4177" s="11">
        <v>46134</v>
      </c>
      <c r="B4177" t="s">
        <v>33</v>
      </c>
      <c r="C4177" t="s">
        <v>16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 t="shared" si="66"/>
        <v>29</v>
      </c>
      <c r="J4177" s="3">
        <f t="shared" si="67"/>
        <v>17</v>
      </c>
      <c r="K4177" s="3">
        <f t="shared" si="68"/>
        <v>12</v>
      </c>
      <c r="L4177" s="3" t="str">
        <f t="shared" si="69"/>
        <v>MUITO BOM</v>
      </c>
      <c r="N4177">
        <v>97.83</v>
      </c>
      <c r="O4177">
        <v>28.131868131868131</v>
      </c>
    </row>
    <row r="4178" spans="1:15" x14ac:dyDescent="0.25">
      <c r="A4178" s="11">
        <v>46134</v>
      </c>
      <c r="B4178" t="s">
        <v>34</v>
      </c>
      <c r="C4178" t="s">
        <v>18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 t="shared" si="66"/>
        <v>19</v>
      </c>
      <c r="J4178" s="3">
        <f t="shared" si="67"/>
        <v>21</v>
      </c>
      <c r="K4178" s="3">
        <f t="shared" si="68"/>
        <v>-2</v>
      </c>
      <c r="L4178" s="3" t="str">
        <f t="shared" si="69"/>
        <v>ATENÇÃO</v>
      </c>
      <c r="N4178">
        <v>99.26</v>
      </c>
      <c r="O4178">
        <v>29.57198443579767</v>
      </c>
    </row>
    <row r="4179" spans="1:15" x14ac:dyDescent="0.25">
      <c r="A4179" s="11">
        <v>46134</v>
      </c>
      <c r="B4179" t="s">
        <v>35</v>
      </c>
      <c r="C4179" t="s">
        <v>16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 t="shared" si="66"/>
        <v>19</v>
      </c>
      <c r="J4179" s="3">
        <f t="shared" si="67"/>
        <v>17</v>
      </c>
      <c r="K4179" s="3">
        <f t="shared" si="68"/>
        <v>2</v>
      </c>
      <c r="L4179" s="3" t="str">
        <f t="shared" si="69"/>
        <v>OPORTUNO</v>
      </c>
      <c r="N4179">
        <v>99.19</v>
      </c>
      <c r="O4179">
        <v>29.462365591397852</v>
      </c>
    </row>
    <row r="4180" spans="1:15" x14ac:dyDescent="0.25">
      <c r="A4180" s="7">
        <v>46162</v>
      </c>
      <c r="B4180" s="8" t="s">
        <v>36</v>
      </c>
      <c r="C4180" s="9" t="s">
        <v>20</v>
      </c>
      <c r="D4180" s="3">
        <v>26</v>
      </c>
      <c r="E4180" s="3">
        <v>20</v>
      </c>
      <c r="F4180" s="3">
        <v>9.09</v>
      </c>
      <c r="G4180" s="3">
        <v>5</v>
      </c>
      <c r="H4180" s="3">
        <v>2</v>
      </c>
      <c r="I4180" s="3">
        <f t="shared" si="66"/>
        <v>27</v>
      </c>
      <c r="J4180" s="3">
        <f t="shared" si="67"/>
        <v>17</v>
      </c>
      <c r="K4180" s="3">
        <f t="shared" si="68"/>
        <v>10</v>
      </c>
      <c r="L4180" s="3" t="str">
        <f t="shared" si="69"/>
        <v>MUITO BOM</v>
      </c>
      <c r="M4180" s="9">
        <v>21</v>
      </c>
      <c r="N4180" s="9">
        <v>98.8</v>
      </c>
      <c r="O4180" s="9">
        <v>15.41353383458646</v>
      </c>
    </row>
    <row r="4181" spans="1:15" x14ac:dyDescent="0.25">
      <c r="A4181" s="11">
        <v>46134</v>
      </c>
      <c r="B4181" t="s">
        <v>37</v>
      </c>
      <c r="C4181" t="s">
        <v>16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 t="shared" si="66"/>
        <v>18</v>
      </c>
      <c r="J4181" s="3">
        <f t="shared" si="67"/>
        <v>17</v>
      </c>
      <c r="K4181" s="3">
        <f t="shared" si="68"/>
        <v>1</v>
      </c>
      <c r="L4181" s="3" t="str">
        <f t="shared" si="69"/>
        <v>OPORTUNO</v>
      </c>
      <c r="N4181">
        <v>100</v>
      </c>
      <c r="O4181">
        <v>27.941176470588239</v>
      </c>
    </row>
    <row r="4182" spans="1:15" x14ac:dyDescent="0.25">
      <c r="A4182" s="11">
        <v>46134</v>
      </c>
      <c r="B4182" t="s">
        <v>38</v>
      </c>
      <c r="C4182" t="s">
        <v>18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 t="shared" si="66"/>
        <v>30</v>
      </c>
      <c r="J4182" s="3">
        <f t="shared" si="67"/>
        <v>21</v>
      </c>
      <c r="K4182" s="3">
        <f t="shared" si="68"/>
        <v>9</v>
      </c>
      <c r="L4182" s="3" t="str">
        <f t="shared" si="69"/>
        <v>MUITO BOM</v>
      </c>
      <c r="N4182">
        <v>99.57</v>
      </c>
      <c r="O4182">
        <v>29.913294797687861</v>
      </c>
    </row>
    <row r="4183" spans="1:15" x14ac:dyDescent="0.25">
      <c r="A4183" s="11">
        <v>46134</v>
      </c>
      <c r="B4183" t="s">
        <v>39</v>
      </c>
      <c r="C4183" t="s">
        <v>18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f t="shared" si="66"/>
        <v>0</v>
      </c>
      <c r="J4183" s="3">
        <f t="shared" si="67"/>
        <v>21</v>
      </c>
      <c r="K4183" s="3">
        <f t="shared" si="68"/>
        <v>-21</v>
      </c>
      <c r="L4183" s="3" t="str">
        <f t="shared" si="69"/>
        <v>CRÍTICO</v>
      </c>
      <c r="N4183">
        <v>95.65</v>
      </c>
      <c r="O4183">
        <v>31.081081081081081</v>
      </c>
    </row>
    <row r="4184" spans="1:15" x14ac:dyDescent="0.25">
      <c r="A4184" s="11">
        <v>46134</v>
      </c>
      <c r="B4184" t="s">
        <v>40</v>
      </c>
      <c r="C4184" t="s">
        <v>16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 t="shared" si="66"/>
        <v>21</v>
      </c>
      <c r="J4184" s="3">
        <f t="shared" si="67"/>
        <v>17</v>
      </c>
      <c r="K4184" s="3">
        <f t="shared" si="68"/>
        <v>4</v>
      </c>
      <c r="L4184" s="3" t="str">
        <f t="shared" si="69"/>
        <v>OPORTUNO</v>
      </c>
      <c r="N4184">
        <v>98.81</v>
      </c>
      <c r="O4184">
        <v>26.256983240223459</v>
      </c>
    </row>
    <row r="4185" spans="1:15" x14ac:dyDescent="0.25">
      <c r="A4185" s="11">
        <v>46134</v>
      </c>
      <c r="B4185" t="s">
        <v>41</v>
      </c>
      <c r="C4185" t="s">
        <v>18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f t="shared" si="66"/>
        <v>0</v>
      </c>
      <c r="J4185" s="3">
        <f t="shared" si="67"/>
        <v>21</v>
      </c>
      <c r="K4185" s="3">
        <f t="shared" si="68"/>
        <v>-21</v>
      </c>
      <c r="L4185" s="3" t="str">
        <f t="shared" si="69"/>
        <v>CRÍTICO</v>
      </c>
      <c r="N4185">
        <v>0</v>
      </c>
      <c r="O4185">
        <v>0</v>
      </c>
    </row>
    <row r="4186" spans="1:15" x14ac:dyDescent="0.25">
      <c r="A4186" s="11">
        <v>46134</v>
      </c>
      <c r="B4186" t="s">
        <v>42</v>
      </c>
      <c r="C4186" t="s">
        <v>43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 t="shared" si="66"/>
        <v>9</v>
      </c>
      <c r="J4186" s="3">
        <f t="shared" si="67"/>
        <v>12</v>
      </c>
      <c r="K4186" s="3">
        <f t="shared" si="68"/>
        <v>-3</v>
      </c>
      <c r="L4186" s="3" t="str">
        <f t="shared" si="69"/>
        <v>ATENÇÃO</v>
      </c>
      <c r="N4186">
        <v>97.17</v>
      </c>
      <c r="O4186">
        <v>28.81844380403458</v>
      </c>
    </row>
    <row r="4187" spans="1:15" x14ac:dyDescent="0.25">
      <c r="A4187" s="11">
        <v>46134</v>
      </c>
      <c r="B4187" t="s">
        <v>44</v>
      </c>
      <c r="C4187" t="s">
        <v>18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f t="shared" ref="I4187:I4250" si="70">E4187+G4187+H4187</f>
        <v>0</v>
      </c>
      <c r="J4187" s="3">
        <f t="shared" ref="J4187:J4250" si="71"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21</v>
      </c>
      <c r="K4187" s="3">
        <f t="shared" ref="K4187:K4250" si="72">I4187-J4187</f>
        <v>-21</v>
      </c>
      <c r="L4187" s="3" t="str">
        <f t="shared" ref="L4187:L4250" si="73">IF(K4187&lt;-5,"CRÍTICO",IF(K4187&lt;0,"ATENÇÃO",IF(K4187&lt;=5,"OPORTUNO","MUITO BOM")))</f>
        <v>CRÍTICO</v>
      </c>
      <c r="N4187">
        <v>96.81</v>
      </c>
      <c r="O4187">
        <v>48.018648018648022</v>
      </c>
    </row>
    <row r="4188" spans="1:15" x14ac:dyDescent="0.25">
      <c r="A4188" s="11">
        <v>46134</v>
      </c>
      <c r="B4188" t="s">
        <v>45</v>
      </c>
      <c r="C4188" t="s">
        <v>43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 t="shared" si="70"/>
        <v>5</v>
      </c>
      <c r="J4188" s="3">
        <f t="shared" si="71"/>
        <v>12</v>
      </c>
      <c r="K4188" s="3">
        <f t="shared" si="72"/>
        <v>-7</v>
      </c>
      <c r="L4188" s="3" t="str">
        <f t="shared" si="73"/>
        <v>CRÍTICO</v>
      </c>
      <c r="N4188">
        <v>98.15</v>
      </c>
      <c r="O4188">
        <v>27.1551724137931</v>
      </c>
    </row>
    <row r="4189" spans="1:15" x14ac:dyDescent="0.25">
      <c r="A4189" s="11">
        <v>46134</v>
      </c>
      <c r="B4189" t="s">
        <v>46</v>
      </c>
      <c r="C4189" t="s">
        <v>18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 t="shared" si="70"/>
        <v>23</v>
      </c>
      <c r="J4189" s="3">
        <f t="shared" si="71"/>
        <v>21</v>
      </c>
      <c r="K4189" s="3">
        <f t="shared" si="72"/>
        <v>2</v>
      </c>
      <c r="L4189" s="3" t="str">
        <f t="shared" si="73"/>
        <v>OPORTUNO</v>
      </c>
      <c r="N4189">
        <v>99.15</v>
      </c>
      <c r="O4189">
        <v>27.370689655172409</v>
      </c>
    </row>
    <row r="4190" spans="1:15" x14ac:dyDescent="0.25">
      <c r="A4190" s="11">
        <v>46134</v>
      </c>
      <c r="B4190" t="s">
        <v>47</v>
      </c>
      <c r="C4190" t="s">
        <v>16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 t="shared" si="70"/>
        <v>21</v>
      </c>
      <c r="J4190" s="3">
        <f t="shared" si="71"/>
        <v>17</v>
      </c>
      <c r="K4190" s="3">
        <f t="shared" si="72"/>
        <v>4</v>
      </c>
      <c r="L4190" s="3" t="str">
        <f t="shared" si="73"/>
        <v>OPORTUNO</v>
      </c>
      <c r="N4190">
        <v>99.17</v>
      </c>
      <c r="O4190">
        <v>29.75206611570248</v>
      </c>
    </row>
    <row r="4191" spans="1:15" x14ac:dyDescent="0.25">
      <c r="A4191" s="11">
        <v>46134</v>
      </c>
      <c r="B4191" t="s">
        <v>48</v>
      </c>
      <c r="C4191" t="s">
        <v>16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f t="shared" si="70"/>
        <v>0</v>
      </c>
      <c r="J4191" s="3">
        <f t="shared" si="71"/>
        <v>17</v>
      </c>
      <c r="K4191" s="3">
        <f t="shared" si="72"/>
        <v>-17</v>
      </c>
      <c r="L4191" s="3" t="str">
        <f t="shared" si="73"/>
        <v>CRÍTICO</v>
      </c>
      <c r="N4191">
        <v>98.73</v>
      </c>
      <c r="O4191">
        <v>28.961748633879779</v>
      </c>
    </row>
    <row r="4192" spans="1:15" x14ac:dyDescent="0.25">
      <c r="A4192" s="11">
        <v>46134</v>
      </c>
      <c r="B4192" t="s">
        <v>49</v>
      </c>
      <c r="C4192" t="s">
        <v>18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f t="shared" si="70"/>
        <v>0</v>
      </c>
      <c r="J4192" s="3">
        <f t="shared" si="71"/>
        <v>21</v>
      </c>
      <c r="K4192" s="3">
        <f t="shared" si="72"/>
        <v>-21</v>
      </c>
      <c r="L4192" s="3" t="str">
        <f t="shared" si="73"/>
        <v>CRÍTICO</v>
      </c>
      <c r="N4192">
        <v>88.68</v>
      </c>
      <c r="O4192">
        <v>22.03389830508474</v>
      </c>
    </row>
    <row r="4193" spans="1:15" x14ac:dyDescent="0.25">
      <c r="A4193" s="11">
        <v>46134</v>
      </c>
      <c r="B4193" t="s">
        <v>50</v>
      </c>
      <c r="C4193" t="s">
        <v>20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si="70"/>
        <v>19</v>
      </c>
      <c r="J4193" s="3">
        <f t="shared" si="71"/>
        <v>14</v>
      </c>
      <c r="K4193" s="3">
        <f t="shared" si="72"/>
        <v>5</v>
      </c>
      <c r="L4193" s="3" t="str">
        <f t="shared" si="73"/>
        <v>OPORTUNO</v>
      </c>
      <c r="N4193">
        <v>97.37</v>
      </c>
      <c r="O4193">
        <v>25.76530612244898</v>
      </c>
    </row>
    <row r="4194" spans="1:15" x14ac:dyDescent="0.25">
      <c r="A4194" s="11">
        <v>46134</v>
      </c>
      <c r="B4194" t="s">
        <v>51</v>
      </c>
      <c r="C4194" t="s">
        <v>23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70"/>
        <v>2</v>
      </c>
      <c r="J4194" s="3">
        <f t="shared" si="71"/>
        <v>6</v>
      </c>
      <c r="K4194" s="3">
        <f t="shared" si="72"/>
        <v>-4</v>
      </c>
      <c r="L4194" s="3" t="str">
        <f t="shared" si="73"/>
        <v>ATENÇÃO</v>
      </c>
      <c r="N4194">
        <v>100</v>
      </c>
      <c r="O4194">
        <v>25</v>
      </c>
    </row>
    <row r="4195" spans="1:15" x14ac:dyDescent="0.25">
      <c r="A4195" s="11">
        <v>46134</v>
      </c>
      <c r="B4195" t="s">
        <v>52</v>
      </c>
      <c r="C4195" t="s">
        <v>18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70"/>
        <v>21</v>
      </c>
      <c r="J4195" s="3">
        <f t="shared" si="71"/>
        <v>21</v>
      </c>
      <c r="K4195" s="3">
        <f t="shared" si="72"/>
        <v>0</v>
      </c>
      <c r="L4195" s="3" t="str">
        <f t="shared" si="73"/>
        <v>OPORTUNO</v>
      </c>
      <c r="N4195">
        <v>100</v>
      </c>
      <c r="O4195">
        <v>23.9870340356564</v>
      </c>
    </row>
    <row r="4196" spans="1:15" x14ac:dyDescent="0.25">
      <c r="A4196" s="11">
        <v>46134</v>
      </c>
      <c r="B4196" t="s">
        <v>53</v>
      </c>
      <c r="C4196" t="s">
        <v>18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70"/>
        <v>23</v>
      </c>
      <c r="J4196" s="3">
        <f t="shared" si="71"/>
        <v>21</v>
      </c>
      <c r="K4196" s="3">
        <f t="shared" si="72"/>
        <v>2</v>
      </c>
      <c r="L4196" s="3" t="str">
        <f t="shared" si="73"/>
        <v>OPORTUNO</v>
      </c>
      <c r="N4196">
        <v>95.49</v>
      </c>
      <c r="O4196">
        <v>28.16901408450704</v>
      </c>
    </row>
    <row r="4197" spans="1:15" x14ac:dyDescent="0.25">
      <c r="A4197" s="11">
        <v>46134</v>
      </c>
      <c r="B4197" t="s">
        <v>54</v>
      </c>
      <c r="C4197" t="s">
        <v>23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70"/>
        <v>18</v>
      </c>
      <c r="J4197" s="3">
        <f t="shared" si="71"/>
        <v>6</v>
      </c>
      <c r="K4197" s="3">
        <f t="shared" si="72"/>
        <v>12</v>
      </c>
      <c r="L4197" s="3" t="str">
        <f t="shared" si="73"/>
        <v>MUITO BOM</v>
      </c>
      <c r="N4197">
        <v>100</v>
      </c>
      <c r="O4197">
        <v>23.77622377622378</v>
      </c>
    </row>
    <row r="4198" spans="1:15" x14ac:dyDescent="0.25">
      <c r="A4198" s="11">
        <v>46134</v>
      </c>
      <c r="B4198" t="s">
        <v>55</v>
      </c>
      <c r="C4198" t="s">
        <v>43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70"/>
        <v>18</v>
      </c>
      <c r="J4198" s="3">
        <f t="shared" si="71"/>
        <v>12</v>
      </c>
      <c r="K4198" s="3">
        <f t="shared" si="72"/>
        <v>6</v>
      </c>
      <c r="L4198" s="3" t="str">
        <f t="shared" si="73"/>
        <v>MUITO BOM</v>
      </c>
      <c r="N4198">
        <v>96.15</v>
      </c>
      <c r="O4198">
        <v>24.045801526717561</v>
      </c>
    </row>
    <row r="4199" spans="1:15" x14ac:dyDescent="0.25">
      <c r="A4199" s="11">
        <v>46134</v>
      </c>
      <c r="B4199" t="s">
        <v>56</v>
      </c>
      <c r="C4199" t="s">
        <v>16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70"/>
        <v>8</v>
      </c>
      <c r="J4199" s="3">
        <f t="shared" si="71"/>
        <v>17</v>
      </c>
      <c r="K4199" s="3">
        <f t="shared" si="72"/>
        <v>-9</v>
      </c>
      <c r="L4199" s="3" t="str">
        <f t="shared" si="73"/>
        <v>CRÍTICO</v>
      </c>
      <c r="N4199">
        <v>99.02</v>
      </c>
      <c r="O4199">
        <v>34.797297297297298</v>
      </c>
    </row>
    <row r="4200" spans="1:15" x14ac:dyDescent="0.25">
      <c r="A4200" s="11">
        <v>46134</v>
      </c>
      <c r="B4200" t="s">
        <v>57</v>
      </c>
      <c r="C4200" t="s">
        <v>43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70"/>
        <v>4</v>
      </c>
      <c r="J4200" s="3">
        <f t="shared" si="71"/>
        <v>12</v>
      </c>
      <c r="K4200" s="3">
        <f t="shared" si="72"/>
        <v>-8</v>
      </c>
      <c r="L4200" s="3" t="str">
        <f t="shared" si="73"/>
        <v>CRÍTICO</v>
      </c>
      <c r="N4200">
        <v>98.84</v>
      </c>
      <c r="O4200">
        <v>31.5018315018315</v>
      </c>
    </row>
    <row r="4201" spans="1:15" x14ac:dyDescent="0.25">
      <c r="A4201" s="11">
        <v>46134</v>
      </c>
      <c r="B4201" t="s">
        <v>58</v>
      </c>
      <c r="C4201" t="s">
        <v>43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70"/>
        <v>7</v>
      </c>
      <c r="J4201" s="3">
        <f t="shared" si="71"/>
        <v>12</v>
      </c>
      <c r="K4201" s="3">
        <f t="shared" si="72"/>
        <v>-5</v>
      </c>
      <c r="L4201" s="3" t="str">
        <f t="shared" si="73"/>
        <v>ATENÇÃO</v>
      </c>
      <c r="N4201">
        <v>100</v>
      </c>
      <c r="O4201">
        <v>34.666666666666671</v>
      </c>
    </row>
    <row r="4202" spans="1:15" x14ac:dyDescent="0.25">
      <c r="A4202" s="11">
        <v>46134</v>
      </c>
      <c r="B4202" t="s">
        <v>59</v>
      </c>
      <c r="C4202" t="s">
        <v>23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70"/>
        <v>7</v>
      </c>
      <c r="J4202" s="3">
        <f t="shared" si="71"/>
        <v>6</v>
      </c>
      <c r="K4202" s="3">
        <f t="shared" si="72"/>
        <v>1</v>
      </c>
      <c r="L4202" s="3" t="str">
        <f t="shared" si="73"/>
        <v>OPORTUNO</v>
      </c>
      <c r="N4202">
        <v>94.12</v>
      </c>
      <c r="O4202">
        <v>32.799999999999997</v>
      </c>
    </row>
    <row r="4203" spans="1:15" x14ac:dyDescent="0.25">
      <c r="A4203" s="11">
        <v>46134</v>
      </c>
      <c r="B4203" t="s">
        <v>60</v>
      </c>
      <c r="C4203" t="s">
        <v>20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70"/>
        <v>18</v>
      </c>
      <c r="J4203" s="3">
        <f t="shared" si="71"/>
        <v>14</v>
      </c>
      <c r="K4203" s="3">
        <f t="shared" si="72"/>
        <v>4</v>
      </c>
      <c r="L4203" s="3" t="str">
        <f t="shared" si="73"/>
        <v>OPORTUNO</v>
      </c>
      <c r="N4203">
        <v>98.32</v>
      </c>
      <c r="O4203">
        <v>26.618705035971221</v>
      </c>
    </row>
    <row r="4204" spans="1:15" x14ac:dyDescent="0.25">
      <c r="A4204" s="11">
        <v>46134</v>
      </c>
      <c r="B4204" t="s">
        <v>61</v>
      </c>
      <c r="C4204" t="s">
        <v>18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70"/>
        <v>28</v>
      </c>
      <c r="J4204" s="3">
        <f t="shared" si="71"/>
        <v>21</v>
      </c>
      <c r="K4204" s="3">
        <f t="shared" si="72"/>
        <v>7</v>
      </c>
      <c r="L4204" s="3" t="str">
        <f t="shared" si="73"/>
        <v>MUITO BOM</v>
      </c>
      <c r="N4204">
        <v>100</v>
      </c>
      <c r="O4204">
        <v>31.135531135531139</v>
      </c>
    </row>
    <row r="4205" spans="1:15" x14ac:dyDescent="0.25">
      <c r="A4205" s="11">
        <v>46134</v>
      </c>
      <c r="B4205" t="s">
        <v>62</v>
      </c>
      <c r="C4205" t="s">
        <v>20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70"/>
        <v>17</v>
      </c>
      <c r="J4205" s="3">
        <f t="shared" si="71"/>
        <v>14</v>
      </c>
      <c r="K4205" s="3">
        <f t="shared" si="72"/>
        <v>3</v>
      </c>
      <c r="L4205" s="3" t="str">
        <f t="shared" si="73"/>
        <v>OPORTUNO</v>
      </c>
      <c r="N4205">
        <v>100</v>
      </c>
      <c r="O4205">
        <v>26.027397260273968</v>
      </c>
    </row>
    <row r="4206" spans="1:15" x14ac:dyDescent="0.25">
      <c r="A4206" s="11">
        <v>46134</v>
      </c>
      <c r="B4206" t="s">
        <v>63</v>
      </c>
      <c r="C4206" t="s">
        <v>18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70"/>
        <v>23</v>
      </c>
      <c r="J4206" s="3">
        <f t="shared" si="71"/>
        <v>21</v>
      </c>
      <c r="K4206" s="3">
        <f t="shared" si="72"/>
        <v>2</v>
      </c>
      <c r="L4206" s="3" t="str">
        <f t="shared" si="73"/>
        <v>OPORTUNO</v>
      </c>
      <c r="N4206">
        <v>99.21</v>
      </c>
      <c r="O4206">
        <v>24.937027707808561</v>
      </c>
    </row>
    <row r="4207" spans="1:15" x14ac:dyDescent="0.25">
      <c r="A4207" s="11">
        <v>46135</v>
      </c>
      <c r="B4207" t="s">
        <v>15</v>
      </c>
      <c r="C4207" t="s">
        <v>16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70"/>
        <v>24</v>
      </c>
      <c r="J4207" s="3">
        <f t="shared" si="71"/>
        <v>19</v>
      </c>
      <c r="K4207" s="3">
        <f t="shared" si="72"/>
        <v>5</v>
      </c>
      <c r="L4207" s="3" t="str">
        <f t="shared" si="73"/>
        <v>OPORTUNO</v>
      </c>
      <c r="N4207">
        <v>100</v>
      </c>
      <c r="O4207">
        <v>32.764505119453922</v>
      </c>
    </row>
    <row r="4208" spans="1:15" x14ac:dyDescent="0.25">
      <c r="A4208" s="11">
        <v>46135</v>
      </c>
      <c r="B4208" t="s">
        <v>17</v>
      </c>
      <c r="C4208" t="s">
        <v>18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f t="shared" si="70"/>
        <v>0</v>
      </c>
      <c r="J4208" s="3">
        <f t="shared" si="71"/>
        <v>23</v>
      </c>
      <c r="K4208" s="3">
        <f t="shared" si="72"/>
        <v>-23</v>
      </c>
      <c r="L4208" s="3" t="str">
        <f t="shared" si="73"/>
        <v>CRÍTICO</v>
      </c>
      <c r="N4208">
        <v>98.66</v>
      </c>
      <c r="O4208">
        <v>35.15625</v>
      </c>
    </row>
    <row r="4209" spans="1:15" x14ac:dyDescent="0.25">
      <c r="A4209" s="11">
        <v>46135</v>
      </c>
      <c r="B4209" t="s">
        <v>19</v>
      </c>
      <c r="C4209" t="s">
        <v>20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 t="shared" si="70"/>
        <v>27</v>
      </c>
      <c r="J4209" s="3">
        <f t="shared" si="71"/>
        <v>15</v>
      </c>
      <c r="K4209" s="3">
        <f t="shared" si="72"/>
        <v>12</v>
      </c>
      <c r="L4209" s="3" t="str">
        <f t="shared" si="73"/>
        <v>MUITO BOM</v>
      </c>
      <c r="N4209">
        <v>99.32</v>
      </c>
      <c r="O4209">
        <v>30.45186640471513</v>
      </c>
    </row>
    <row r="4210" spans="1:15" x14ac:dyDescent="0.25">
      <c r="A4210" s="11">
        <v>46135</v>
      </c>
      <c r="B4210" t="s">
        <v>21</v>
      </c>
      <c r="C4210" t="s">
        <v>18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 t="shared" si="70"/>
        <v>19</v>
      </c>
      <c r="J4210" s="3">
        <f t="shared" si="71"/>
        <v>23</v>
      </c>
      <c r="K4210" s="3">
        <f t="shared" si="72"/>
        <v>-4</v>
      </c>
      <c r="L4210" s="3" t="str">
        <f t="shared" si="73"/>
        <v>ATENÇÃO</v>
      </c>
      <c r="N4210">
        <v>100</v>
      </c>
      <c r="O4210">
        <v>27.803738317757009</v>
      </c>
    </row>
    <row r="4211" spans="1:15" x14ac:dyDescent="0.25">
      <c r="A4211" s="11">
        <v>46135</v>
      </c>
      <c r="B4211" t="s">
        <v>22</v>
      </c>
      <c r="C4211" t="s">
        <v>23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 t="shared" si="70"/>
        <v>29</v>
      </c>
      <c r="J4211" s="3">
        <f t="shared" si="71"/>
        <v>7</v>
      </c>
      <c r="K4211" s="3">
        <f t="shared" si="72"/>
        <v>22</v>
      </c>
      <c r="L4211" s="3" t="str">
        <f t="shared" si="73"/>
        <v>MUITO BOM</v>
      </c>
      <c r="N4211">
        <v>96.74</v>
      </c>
      <c r="O4211">
        <v>28.43137254901961</v>
      </c>
    </row>
    <row r="4212" spans="1:15" x14ac:dyDescent="0.25">
      <c r="A4212" s="11">
        <v>46135</v>
      </c>
      <c r="B4212" t="s">
        <v>24</v>
      </c>
      <c r="C4212" t="s">
        <v>16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f t="shared" si="70"/>
        <v>0</v>
      </c>
      <c r="J4212" s="3">
        <f t="shared" si="71"/>
        <v>19</v>
      </c>
      <c r="K4212" s="3">
        <f t="shared" si="72"/>
        <v>-19</v>
      </c>
      <c r="L4212" s="3" t="str">
        <f t="shared" si="73"/>
        <v>CRÍTICO</v>
      </c>
      <c r="N4212">
        <v>98.82</v>
      </c>
      <c r="O4212">
        <v>30.741410488245929</v>
      </c>
    </row>
    <row r="4213" spans="1:15" x14ac:dyDescent="0.25">
      <c r="A4213" s="11">
        <v>46135</v>
      </c>
      <c r="B4213" t="s">
        <v>25</v>
      </c>
      <c r="C4213" t="s">
        <v>16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f t="shared" si="70"/>
        <v>0</v>
      </c>
      <c r="J4213" s="3">
        <f t="shared" si="71"/>
        <v>19</v>
      </c>
      <c r="K4213" s="3">
        <f t="shared" si="72"/>
        <v>-19</v>
      </c>
      <c r="L4213" s="3" t="str">
        <f t="shared" si="73"/>
        <v>CRÍTICO</v>
      </c>
      <c r="N4213">
        <v>98.2</v>
      </c>
      <c r="O4213">
        <v>26.890756302521009</v>
      </c>
    </row>
    <row r="4214" spans="1:15" x14ac:dyDescent="0.25">
      <c r="A4214" s="11">
        <v>46135</v>
      </c>
      <c r="B4214" t="s">
        <v>26</v>
      </c>
      <c r="C4214" t="s">
        <v>23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 t="shared" si="70"/>
        <v>7</v>
      </c>
      <c r="J4214" s="3">
        <f t="shared" si="71"/>
        <v>7</v>
      </c>
      <c r="K4214" s="3">
        <f t="shared" si="72"/>
        <v>0</v>
      </c>
      <c r="L4214" s="3" t="str">
        <f t="shared" si="73"/>
        <v>OPORTUNO</v>
      </c>
      <c r="N4214">
        <v>100</v>
      </c>
      <c r="O4214">
        <v>23.134328358208951</v>
      </c>
    </row>
    <row r="4215" spans="1:15" x14ac:dyDescent="0.25">
      <c r="A4215" s="11">
        <v>46135</v>
      </c>
      <c r="B4215" t="s">
        <v>27</v>
      </c>
      <c r="C4215" t="s">
        <v>20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 t="shared" si="70"/>
        <v>13</v>
      </c>
      <c r="J4215" s="3">
        <f t="shared" si="71"/>
        <v>15</v>
      </c>
      <c r="K4215" s="3">
        <f t="shared" si="72"/>
        <v>-2</v>
      </c>
      <c r="L4215" s="3" t="str">
        <f t="shared" si="73"/>
        <v>ATENÇÃO</v>
      </c>
      <c r="N4215">
        <v>96.3</v>
      </c>
      <c r="O4215">
        <v>31.980906921241051</v>
      </c>
    </row>
    <row r="4216" spans="1:15" x14ac:dyDescent="0.25">
      <c r="A4216" s="11">
        <v>46135</v>
      </c>
      <c r="B4216" t="s">
        <v>28</v>
      </c>
      <c r="C4216" t="s">
        <v>18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 t="shared" si="70"/>
        <v>21</v>
      </c>
      <c r="J4216" s="3">
        <f t="shared" si="71"/>
        <v>23</v>
      </c>
      <c r="K4216" s="3">
        <f t="shared" si="72"/>
        <v>-2</v>
      </c>
      <c r="L4216" s="3" t="str">
        <f t="shared" si="73"/>
        <v>ATENÇÃO</v>
      </c>
      <c r="N4216">
        <v>93.75</v>
      </c>
      <c r="O4216">
        <v>26.628352490421459</v>
      </c>
    </row>
    <row r="4217" spans="1:15" x14ac:dyDescent="0.25">
      <c r="A4217" s="11">
        <v>46135</v>
      </c>
      <c r="B4217" t="s">
        <v>29</v>
      </c>
      <c r="C4217" t="s">
        <v>16</v>
      </c>
      <c r="D4217">
        <v>0</v>
      </c>
      <c r="E4217">
        <v>0</v>
      </c>
      <c r="F4217">
        <v>0</v>
      </c>
      <c r="G4217">
        <v>0</v>
      </c>
      <c r="H4217">
        <v>0</v>
      </c>
      <c r="I4217" s="3">
        <f t="shared" si="70"/>
        <v>0</v>
      </c>
      <c r="J4217" s="3">
        <f t="shared" si="71"/>
        <v>19</v>
      </c>
      <c r="K4217" s="3">
        <f t="shared" si="72"/>
        <v>-19</v>
      </c>
      <c r="L4217" s="3" t="str">
        <f t="shared" si="73"/>
        <v>CRÍTICO</v>
      </c>
      <c r="N4217">
        <v>97.86</v>
      </c>
      <c r="O4217">
        <v>31.018518518518519</v>
      </c>
    </row>
    <row r="4218" spans="1:15" x14ac:dyDescent="0.25">
      <c r="A4218" s="11">
        <v>46135</v>
      </c>
      <c r="B4218" t="s">
        <v>30</v>
      </c>
      <c r="C4218" t="s">
        <v>20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 t="shared" si="70"/>
        <v>18</v>
      </c>
      <c r="J4218" s="3">
        <f t="shared" si="71"/>
        <v>15</v>
      </c>
      <c r="K4218" s="3">
        <f t="shared" si="72"/>
        <v>3</v>
      </c>
      <c r="L4218" s="3" t="str">
        <f t="shared" si="73"/>
        <v>OPORTUNO</v>
      </c>
      <c r="N4218">
        <v>100</v>
      </c>
      <c r="O4218">
        <v>36.231884057971023</v>
      </c>
    </row>
    <row r="4219" spans="1:15" x14ac:dyDescent="0.25">
      <c r="A4219" s="11">
        <v>46135</v>
      </c>
      <c r="B4219" t="s">
        <v>31</v>
      </c>
      <c r="C4219" t="s">
        <v>18</v>
      </c>
      <c r="D4219">
        <v>0</v>
      </c>
      <c r="E4219">
        <v>0</v>
      </c>
      <c r="F4219">
        <v>0</v>
      </c>
      <c r="G4219">
        <v>0</v>
      </c>
      <c r="H4219">
        <v>0</v>
      </c>
      <c r="I4219" s="3">
        <f t="shared" si="70"/>
        <v>0</v>
      </c>
      <c r="J4219" s="3">
        <f t="shared" si="71"/>
        <v>23</v>
      </c>
      <c r="K4219" s="3">
        <f t="shared" si="72"/>
        <v>-23</v>
      </c>
      <c r="L4219" s="3" t="str">
        <f t="shared" si="73"/>
        <v>CRÍTICO</v>
      </c>
      <c r="N4219">
        <v>100</v>
      </c>
      <c r="O4219">
        <v>38.269230769230766</v>
      </c>
    </row>
    <row r="4220" spans="1:15" x14ac:dyDescent="0.25">
      <c r="A4220" s="11">
        <v>46135</v>
      </c>
      <c r="B4220" t="s">
        <v>32</v>
      </c>
      <c r="C4220" t="s">
        <v>23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si="70"/>
        <v>9</v>
      </c>
      <c r="J4220" s="3">
        <f t="shared" si="71"/>
        <v>7</v>
      </c>
      <c r="K4220" s="3">
        <f t="shared" si="72"/>
        <v>2</v>
      </c>
      <c r="L4220" s="3" t="str">
        <f t="shared" si="73"/>
        <v>OPORTUNO</v>
      </c>
      <c r="N4220">
        <v>100</v>
      </c>
      <c r="O4220">
        <v>27.368421052631579</v>
      </c>
    </row>
    <row r="4221" spans="1:15" x14ac:dyDescent="0.25">
      <c r="A4221" s="11">
        <v>46135</v>
      </c>
      <c r="B4221" t="s">
        <v>33</v>
      </c>
      <c r="C4221" t="s">
        <v>16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70"/>
        <v>22</v>
      </c>
      <c r="J4221" s="3">
        <f t="shared" si="71"/>
        <v>19</v>
      </c>
      <c r="K4221" s="3">
        <f t="shared" si="72"/>
        <v>3</v>
      </c>
      <c r="L4221" s="3" t="str">
        <f t="shared" si="73"/>
        <v>OPORTUNO</v>
      </c>
      <c r="N4221">
        <v>97.83</v>
      </c>
      <c r="O4221">
        <v>28.131868131868131</v>
      </c>
    </row>
    <row r="4222" spans="1:15" x14ac:dyDescent="0.25">
      <c r="A4222" s="11">
        <v>46135</v>
      </c>
      <c r="B4222" t="s">
        <v>34</v>
      </c>
      <c r="C4222" t="s">
        <v>18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70"/>
        <v>25</v>
      </c>
      <c r="J4222" s="3">
        <f t="shared" si="71"/>
        <v>23</v>
      </c>
      <c r="K4222" s="3">
        <f t="shared" si="72"/>
        <v>2</v>
      </c>
      <c r="L4222" s="3" t="str">
        <f t="shared" si="73"/>
        <v>OPORTUNO</v>
      </c>
      <c r="N4222">
        <v>99.26</v>
      </c>
      <c r="O4222">
        <v>29.57198443579767</v>
      </c>
    </row>
    <row r="4223" spans="1:15" x14ac:dyDescent="0.25">
      <c r="A4223" s="11">
        <v>46135</v>
      </c>
      <c r="B4223" t="s">
        <v>35</v>
      </c>
      <c r="C4223" t="s">
        <v>16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70"/>
        <v>32</v>
      </c>
      <c r="J4223" s="3">
        <f t="shared" si="71"/>
        <v>19</v>
      </c>
      <c r="K4223" s="3">
        <f t="shared" si="72"/>
        <v>13</v>
      </c>
      <c r="L4223" s="3" t="str">
        <f t="shared" si="73"/>
        <v>MUITO BOM</v>
      </c>
      <c r="N4223">
        <v>99.19</v>
      </c>
      <c r="O4223">
        <v>29.462365591397852</v>
      </c>
    </row>
    <row r="4224" spans="1:15" x14ac:dyDescent="0.25">
      <c r="A4224" s="5">
        <v>46163</v>
      </c>
      <c r="B4224" s="6" t="s">
        <v>64</v>
      </c>
      <c r="C4224" s="3" t="s">
        <v>23</v>
      </c>
      <c r="D4224" s="3">
        <v>0</v>
      </c>
      <c r="E4224" s="3">
        <v>0</v>
      </c>
      <c r="F4224" s="3">
        <v>0</v>
      </c>
      <c r="G4224" s="3">
        <v>0</v>
      </c>
      <c r="H4224" s="3">
        <v>0</v>
      </c>
      <c r="I4224" s="3">
        <f t="shared" si="70"/>
        <v>0</v>
      </c>
      <c r="J4224" s="3">
        <f t="shared" si="71"/>
        <v>6</v>
      </c>
      <c r="K4224" s="3">
        <f t="shared" si="72"/>
        <v>-6</v>
      </c>
      <c r="L4224" s="3" t="str">
        <f t="shared" si="73"/>
        <v>CRÍTICO</v>
      </c>
      <c r="M4224" s="3">
        <v>0</v>
      </c>
      <c r="N4224" s="3">
        <v>100</v>
      </c>
      <c r="O4224" s="3">
        <v>14.285714285714279</v>
      </c>
    </row>
    <row r="4225" spans="1:15" x14ac:dyDescent="0.25">
      <c r="A4225" s="11">
        <v>46135</v>
      </c>
      <c r="B4225" t="s">
        <v>37</v>
      </c>
      <c r="C4225" t="s">
        <v>16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70"/>
        <v>18</v>
      </c>
      <c r="J4225" s="3">
        <f t="shared" si="71"/>
        <v>19</v>
      </c>
      <c r="K4225" s="3">
        <f t="shared" si="72"/>
        <v>-1</v>
      </c>
      <c r="L4225" s="3" t="str">
        <f t="shared" si="73"/>
        <v>ATENÇÃO</v>
      </c>
      <c r="N4225">
        <v>100</v>
      </c>
      <c r="O4225">
        <v>27.941176470588239</v>
      </c>
    </row>
    <row r="4226" spans="1:15" x14ac:dyDescent="0.25">
      <c r="A4226" s="11">
        <v>46135</v>
      </c>
      <c r="B4226" t="s">
        <v>38</v>
      </c>
      <c r="C4226" t="s">
        <v>18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70"/>
        <v>28</v>
      </c>
      <c r="J4226" s="3">
        <f t="shared" si="71"/>
        <v>23</v>
      </c>
      <c r="K4226" s="3">
        <f t="shared" si="72"/>
        <v>5</v>
      </c>
      <c r="L4226" s="3" t="str">
        <f t="shared" si="73"/>
        <v>OPORTUNO</v>
      </c>
      <c r="N4226">
        <v>99.57</v>
      </c>
      <c r="O4226">
        <v>29.913294797687861</v>
      </c>
    </row>
    <row r="4227" spans="1:15" x14ac:dyDescent="0.25">
      <c r="A4227" s="11">
        <v>46135</v>
      </c>
      <c r="B4227" t="s">
        <v>39</v>
      </c>
      <c r="C4227" t="s">
        <v>18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f t="shared" si="70"/>
        <v>0</v>
      </c>
      <c r="J4227" s="3">
        <f t="shared" si="71"/>
        <v>23</v>
      </c>
      <c r="K4227" s="3">
        <f t="shared" si="72"/>
        <v>-23</v>
      </c>
      <c r="L4227" s="3" t="str">
        <f t="shared" si="73"/>
        <v>CRÍTICO</v>
      </c>
      <c r="N4227">
        <v>95.65</v>
      </c>
      <c r="O4227">
        <v>31.081081081081081</v>
      </c>
    </row>
    <row r="4228" spans="1:15" x14ac:dyDescent="0.25">
      <c r="A4228" s="11">
        <v>46135</v>
      </c>
      <c r="B4228" t="s">
        <v>40</v>
      </c>
      <c r="C4228" t="s">
        <v>16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 t="shared" si="70"/>
        <v>23</v>
      </c>
      <c r="J4228" s="3">
        <f t="shared" si="71"/>
        <v>19</v>
      </c>
      <c r="K4228" s="3">
        <f t="shared" si="72"/>
        <v>4</v>
      </c>
      <c r="L4228" s="3" t="str">
        <f t="shared" si="73"/>
        <v>OPORTUNO</v>
      </c>
      <c r="N4228">
        <v>98.81</v>
      </c>
      <c r="O4228">
        <v>26.256983240223459</v>
      </c>
    </row>
    <row r="4229" spans="1:15" x14ac:dyDescent="0.25">
      <c r="A4229" s="11">
        <v>46135</v>
      </c>
      <c r="B4229" t="s">
        <v>41</v>
      </c>
      <c r="C4229" t="s">
        <v>18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f t="shared" si="70"/>
        <v>0</v>
      </c>
      <c r="J4229" s="3">
        <f t="shared" si="71"/>
        <v>23</v>
      </c>
      <c r="K4229" s="3">
        <f t="shared" si="72"/>
        <v>-23</v>
      </c>
      <c r="L4229" s="3" t="str">
        <f t="shared" si="73"/>
        <v>CRÍTICO</v>
      </c>
      <c r="N4229">
        <v>0</v>
      </c>
      <c r="O4229">
        <v>0</v>
      </c>
    </row>
    <row r="4230" spans="1:15" x14ac:dyDescent="0.25">
      <c r="A4230" s="11">
        <v>46135</v>
      </c>
      <c r="B4230" t="s">
        <v>42</v>
      </c>
      <c r="C4230" t="s">
        <v>43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 t="shared" si="70"/>
        <v>7</v>
      </c>
      <c r="J4230" s="3">
        <f t="shared" si="71"/>
        <v>13</v>
      </c>
      <c r="K4230" s="3">
        <f t="shared" si="72"/>
        <v>-6</v>
      </c>
      <c r="L4230" s="3" t="str">
        <f t="shared" si="73"/>
        <v>CRÍTICO</v>
      </c>
      <c r="N4230">
        <v>97.17</v>
      </c>
      <c r="O4230">
        <v>28.81844380403458</v>
      </c>
    </row>
    <row r="4231" spans="1:15" x14ac:dyDescent="0.25">
      <c r="A4231" s="11">
        <v>46135</v>
      </c>
      <c r="B4231" t="s">
        <v>44</v>
      </c>
      <c r="C4231" t="s">
        <v>18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f t="shared" si="70"/>
        <v>0</v>
      </c>
      <c r="J4231" s="3">
        <f t="shared" si="71"/>
        <v>23</v>
      </c>
      <c r="K4231" s="3">
        <f t="shared" si="72"/>
        <v>-23</v>
      </c>
      <c r="L4231" s="3" t="str">
        <f t="shared" si="73"/>
        <v>CRÍTICO</v>
      </c>
      <c r="N4231">
        <v>96.81</v>
      </c>
      <c r="O4231">
        <v>48.018648018648022</v>
      </c>
    </row>
    <row r="4232" spans="1:15" x14ac:dyDescent="0.25">
      <c r="A4232" s="11">
        <v>46135</v>
      </c>
      <c r="B4232" t="s">
        <v>45</v>
      </c>
      <c r="C4232" t="s">
        <v>43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 t="shared" si="70"/>
        <v>18</v>
      </c>
      <c r="J4232" s="3">
        <f t="shared" si="71"/>
        <v>13</v>
      </c>
      <c r="K4232" s="3">
        <f t="shared" si="72"/>
        <v>5</v>
      </c>
      <c r="L4232" s="3" t="str">
        <f t="shared" si="73"/>
        <v>OPORTUNO</v>
      </c>
      <c r="N4232">
        <v>98.15</v>
      </c>
      <c r="O4232">
        <v>27.1551724137931</v>
      </c>
    </row>
    <row r="4233" spans="1:15" x14ac:dyDescent="0.25">
      <c r="A4233" s="11">
        <v>46135</v>
      </c>
      <c r="B4233" t="s">
        <v>46</v>
      </c>
      <c r="C4233" t="s">
        <v>18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 t="shared" si="70"/>
        <v>22</v>
      </c>
      <c r="J4233" s="3">
        <f t="shared" si="71"/>
        <v>23</v>
      </c>
      <c r="K4233" s="3">
        <f t="shared" si="72"/>
        <v>-1</v>
      </c>
      <c r="L4233" s="3" t="str">
        <f t="shared" si="73"/>
        <v>ATENÇÃO</v>
      </c>
      <c r="N4233">
        <v>99.15</v>
      </c>
      <c r="O4233">
        <v>27.370689655172409</v>
      </c>
    </row>
    <row r="4234" spans="1:15" x14ac:dyDescent="0.25">
      <c r="A4234" s="11">
        <v>46135</v>
      </c>
      <c r="B4234" t="s">
        <v>47</v>
      </c>
      <c r="C4234" t="s">
        <v>16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 t="shared" si="70"/>
        <v>21</v>
      </c>
      <c r="J4234" s="3">
        <f t="shared" si="71"/>
        <v>19</v>
      </c>
      <c r="K4234" s="3">
        <f t="shared" si="72"/>
        <v>2</v>
      </c>
      <c r="L4234" s="3" t="str">
        <f t="shared" si="73"/>
        <v>OPORTUNO</v>
      </c>
      <c r="N4234">
        <v>99.17</v>
      </c>
      <c r="O4234">
        <v>29.75206611570248</v>
      </c>
    </row>
    <row r="4235" spans="1:15" x14ac:dyDescent="0.25">
      <c r="A4235" s="11">
        <v>46135</v>
      </c>
      <c r="B4235" t="s">
        <v>48</v>
      </c>
      <c r="C4235" t="s">
        <v>16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f t="shared" si="70"/>
        <v>0</v>
      </c>
      <c r="J4235" s="3">
        <f t="shared" si="71"/>
        <v>19</v>
      </c>
      <c r="K4235" s="3">
        <f t="shared" si="72"/>
        <v>-19</v>
      </c>
      <c r="L4235" s="3" t="str">
        <f t="shared" si="73"/>
        <v>CRÍTICO</v>
      </c>
      <c r="N4235">
        <v>98.73</v>
      </c>
      <c r="O4235">
        <v>28.961748633879779</v>
      </c>
    </row>
    <row r="4236" spans="1:15" x14ac:dyDescent="0.25">
      <c r="A4236" s="11">
        <v>46135</v>
      </c>
      <c r="B4236" t="s">
        <v>49</v>
      </c>
      <c r="C4236" t="s">
        <v>18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f t="shared" si="70"/>
        <v>0</v>
      </c>
      <c r="J4236" s="3">
        <f t="shared" si="71"/>
        <v>23</v>
      </c>
      <c r="K4236" s="3">
        <f t="shared" si="72"/>
        <v>-23</v>
      </c>
      <c r="L4236" s="3" t="str">
        <f t="shared" si="73"/>
        <v>CRÍTICO</v>
      </c>
      <c r="N4236">
        <v>88.68</v>
      </c>
      <c r="O4236">
        <v>22.03389830508474</v>
      </c>
    </row>
    <row r="4237" spans="1:15" x14ac:dyDescent="0.25">
      <c r="A4237" s="11">
        <v>46135</v>
      </c>
      <c r="B4237" t="s">
        <v>50</v>
      </c>
      <c r="C4237" t="s">
        <v>20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si="70"/>
        <v>20</v>
      </c>
      <c r="J4237" s="3">
        <f t="shared" si="71"/>
        <v>15</v>
      </c>
      <c r="K4237" s="3">
        <f t="shared" si="72"/>
        <v>5</v>
      </c>
      <c r="L4237" s="3" t="str">
        <f t="shared" si="73"/>
        <v>OPORTUNO</v>
      </c>
      <c r="N4237">
        <v>97.37</v>
      </c>
      <c r="O4237">
        <v>25.76530612244898</v>
      </c>
    </row>
    <row r="4238" spans="1:15" x14ac:dyDescent="0.25">
      <c r="A4238" s="11">
        <v>46135</v>
      </c>
      <c r="B4238" t="s">
        <v>51</v>
      </c>
      <c r="C4238" t="s">
        <v>23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70"/>
        <v>16</v>
      </c>
      <c r="J4238" s="3">
        <f t="shared" si="71"/>
        <v>7</v>
      </c>
      <c r="K4238" s="3">
        <f t="shared" si="72"/>
        <v>9</v>
      </c>
      <c r="L4238" s="3" t="str">
        <f t="shared" si="73"/>
        <v>MUITO BOM</v>
      </c>
      <c r="N4238">
        <v>100</v>
      </c>
      <c r="O4238">
        <v>25</v>
      </c>
    </row>
    <row r="4239" spans="1:15" x14ac:dyDescent="0.25">
      <c r="A4239" s="11">
        <v>46135</v>
      </c>
      <c r="B4239" t="s">
        <v>52</v>
      </c>
      <c r="C4239" t="s">
        <v>18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70"/>
        <v>17</v>
      </c>
      <c r="J4239" s="3">
        <f t="shared" si="71"/>
        <v>23</v>
      </c>
      <c r="K4239" s="3">
        <f t="shared" si="72"/>
        <v>-6</v>
      </c>
      <c r="L4239" s="3" t="str">
        <f t="shared" si="73"/>
        <v>CRÍTICO</v>
      </c>
      <c r="N4239">
        <v>100</v>
      </c>
      <c r="O4239">
        <v>23.9870340356564</v>
      </c>
    </row>
    <row r="4240" spans="1:15" x14ac:dyDescent="0.25">
      <c r="A4240" s="11">
        <v>46135</v>
      </c>
      <c r="B4240" t="s">
        <v>53</v>
      </c>
      <c r="C4240" t="s">
        <v>18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70"/>
        <v>23</v>
      </c>
      <c r="J4240" s="3">
        <f t="shared" si="71"/>
        <v>23</v>
      </c>
      <c r="K4240" s="3">
        <f t="shared" si="72"/>
        <v>0</v>
      </c>
      <c r="L4240" s="3" t="str">
        <f t="shared" si="73"/>
        <v>OPORTUNO</v>
      </c>
      <c r="N4240">
        <v>95.49</v>
      </c>
      <c r="O4240">
        <v>28.16901408450704</v>
      </c>
    </row>
    <row r="4241" spans="1:15" x14ac:dyDescent="0.25">
      <c r="A4241" s="11">
        <v>46135</v>
      </c>
      <c r="B4241" t="s">
        <v>54</v>
      </c>
      <c r="C4241" t="s">
        <v>23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70"/>
        <v>12</v>
      </c>
      <c r="J4241" s="3">
        <f t="shared" si="71"/>
        <v>7</v>
      </c>
      <c r="K4241" s="3">
        <f t="shared" si="72"/>
        <v>5</v>
      </c>
      <c r="L4241" s="3" t="str">
        <f t="shared" si="73"/>
        <v>OPORTUNO</v>
      </c>
      <c r="N4241">
        <v>100</v>
      </c>
      <c r="O4241">
        <v>23.77622377622378</v>
      </c>
    </row>
    <row r="4242" spans="1:15" x14ac:dyDescent="0.25">
      <c r="A4242" s="11">
        <v>46135</v>
      </c>
      <c r="B4242" t="s">
        <v>55</v>
      </c>
      <c r="C4242" t="s">
        <v>43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70"/>
        <v>19</v>
      </c>
      <c r="J4242" s="3">
        <f t="shared" si="71"/>
        <v>13</v>
      </c>
      <c r="K4242" s="3">
        <f t="shared" si="72"/>
        <v>6</v>
      </c>
      <c r="L4242" s="3" t="str">
        <f t="shared" si="73"/>
        <v>MUITO BOM</v>
      </c>
      <c r="N4242">
        <v>96.15</v>
      </c>
      <c r="O4242">
        <v>24.045801526717561</v>
      </c>
    </row>
    <row r="4243" spans="1:15" x14ac:dyDescent="0.25">
      <c r="A4243" s="11">
        <v>46135</v>
      </c>
      <c r="B4243" t="s">
        <v>56</v>
      </c>
      <c r="C4243" t="s">
        <v>16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f t="shared" si="70"/>
        <v>0</v>
      </c>
      <c r="J4243" s="3">
        <f t="shared" si="71"/>
        <v>19</v>
      </c>
      <c r="K4243" s="3">
        <f t="shared" si="72"/>
        <v>-19</v>
      </c>
      <c r="L4243" s="3" t="str">
        <f t="shared" si="73"/>
        <v>CRÍTICO</v>
      </c>
      <c r="N4243">
        <v>99.02</v>
      </c>
      <c r="O4243">
        <v>34.797297297297298</v>
      </c>
    </row>
    <row r="4244" spans="1:15" x14ac:dyDescent="0.25">
      <c r="A4244" s="11">
        <v>46135</v>
      </c>
      <c r="B4244" t="s">
        <v>57</v>
      </c>
      <c r="C4244" t="s">
        <v>43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f t="shared" si="70"/>
        <v>0</v>
      </c>
      <c r="J4244" s="3">
        <f t="shared" si="71"/>
        <v>13</v>
      </c>
      <c r="K4244" s="3">
        <f t="shared" si="72"/>
        <v>-13</v>
      </c>
      <c r="L4244" s="3" t="str">
        <f t="shared" si="73"/>
        <v>CRÍTICO</v>
      </c>
      <c r="N4244">
        <v>98.84</v>
      </c>
      <c r="O4244">
        <v>31.5018315018315</v>
      </c>
    </row>
    <row r="4245" spans="1:15" x14ac:dyDescent="0.25">
      <c r="A4245" s="11">
        <v>46135</v>
      </c>
      <c r="B4245" t="s">
        <v>58</v>
      </c>
      <c r="C4245" t="s">
        <v>43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si="70"/>
        <v>11</v>
      </c>
      <c r="J4245" s="3">
        <f t="shared" si="71"/>
        <v>13</v>
      </c>
      <c r="K4245" s="3">
        <f t="shared" si="72"/>
        <v>-2</v>
      </c>
      <c r="L4245" s="3" t="str">
        <f t="shared" si="73"/>
        <v>ATENÇÃO</v>
      </c>
      <c r="N4245">
        <v>100</v>
      </c>
      <c r="O4245">
        <v>34.666666666666671</v>
      </c>
    </row>
    <row r="4246" spans="1:15" x14ac:dyDescent="0.25">
      <c r="A4246" s="11">
        <v>46135</v>
      </c>
      <c r="B4246" t="s">
        <v>59</v>
      </c>
      <c r="C4246" t="s">
        <v>23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70"/>
        <v>5</v>
      </c>
      <c r="J4246" s="3">
        <f t="shared" si="71"/>
        <v>7</v>
      </c>
      <c r="K4246" s="3">
        <f t="shared" si="72"/>
        <v>-2</v>
      </c>
      <c r="L4246" s="3" t="str">
        <f t="shared" si="73"/>
        <v>ATENÇÃO</v>
      </c>
      <c r="N4246">
        <v>94.12</v>
      </c>
      <c r="O4246">
        <v>32.799999999999997</v>
      </c>
    </row>
    <row r="4247" spans="1:15" x14ac:dyDescent="0.25">
      <c r="A4247" s="11">
        <v>46135</v>
      </c>
      <c r="B4247" t="s">
        <v>60</v>
      </c>
      <c r="C4247" t="s">
        <v>20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70"/>
        <v>27</v>
      </c>
      <c r="J4247" s="3">
        <f t="shared" si="71"/>
        <v>15</v>
      </c>
      <c r="K4247" s="3">
        <f t="shared" si="72"/>
        <v>12</v>
      </c>
      <c r="L4247" s="3" t="str">
        <f t="shared" si="73"/>
        <v>MUITO BOM</v>
      </c>
      <c r="N4247">
        <v>98.32</v>
      </c>
      <c r="O4247">
        <v>26.618705035971221</v>
      </c>
    </row>
    <row r="4248" spans="1:15" x14ac:dyDescent="0.25">
      <c r="A4248" s="11">
        <v>46135</v>
      </c>
      <c r="B4248" t="s">
        <v>61</v>
      </c>
      <c r="C4248" t="s">
        <v>18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70"/>
        <v>30</v>
      </c>
      <c r="J4248" s="3">
        <f t="shared" si="71"/>
        <v>23</v>
      </c>
      <c r="K4248" s="3">
        <f t="shared" si="72"/>
        <v>7</v>
      </c>
      <c r="L4248" s="3" t="str">
        <f t="shared" si="73"/>
        <v>MUITO BOM</v>
      </c>
      <c r="N4248">
        <v>100</v>
      </c>
      <c r="O4248">
        <v>31.135531135531139</v>
      </c>
    </row>
    <row r="4249" spans="1:15" x14ac:dyDescent="0.25">
      <c r="A4249" s="11">
        <v>46135</v>
      </c>
      <c r="B4249" t="s">
        <v>62</v>
      </c>
      <c r="C4249" t="s">
        <v>20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70"/>
        <v>17</v>
      </c>
      <c r="J4249" s="3">
        <f t="shared" si="71"/>
        <v>15</v>
      </c>
      <c r="K4249" s="3">
        <f t="shared" si="72"/>
        <v>2</v>
      </c>
      <c r="L4249" s="3" t="str">
        <f t="shared" si="73"/>
        <v>OPORTUNO</v>
      </c>
      <c r="N4249">
        <v>100</v>
      </c>
      <c r="O4249">
        <v>26.027397260273968</v>
      </c>
    </row>
    <row r="4250" spans="1:15" x14ac:dyDescent="0.25">
      <c r="A4250" s="11">
        <v>46135</v>
      </c>
      <c r="B4250" t="s">
        <v>63</v>
      </c>
      <c r="C4250" t="s">
        <v>18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70"/>
        <v>23</v>
      </c>
      <c r="J4250" s="3">
        <f t="shared" si="71"/>
        <v>23</v>
      </c>
      <c r="K4250" s="3">
        <f t="shared" si="72"/>
        <v>0</v>
      </c>
      <c r="L4250" s="3" t="str">
        <f t="shared" si="73"/>
        <v>OPORTUNO</v>
      </c>
      <c r="N4250">
        <v>99.21</v>
      </c>
      <c r="O4250">
        <v>24.937027707808561</v>
      </c>
    </row>
    <row r="4251" spans="1:15" x14ac:dyDescent="0.25">
      <c r="A4251" s="11">
        <v>46136</v>
      </c>
      <c r="B4251" t="s">
        <v>15</v>
      </c>
      <c r="C4251" t="s">
        <v>16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ref="I4251:I4314" si="74">E4251+G4251+H4251</f>
        <v>28</v>
      </c>
      <c r="J4251" s="3">
        <f t="shared" ref="J4251:J4314" si="75"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 t="shared" ref="K4251:K4314" si="76">I4251-J4251</f>
        <v>10</v>
      </c>
      <c r="L4251" s="3" t="str">
        <f t="shared" ref="L4251:L4314" si="77">IF(K4251&lt;-5,"CRÍTICO",IF(K4251&lt;0,"ATENÇÃO",IF(K4251&lt;=5,"OPORTUNO","MUITO BOM")))</f>
        <v>MUITO BOM</v>
      </c>
      <c r="N4251">
        <v>100</v>
      </c>
      <c r="O4251">
        <v>32.764505119453922</v>
      </c>
    </row>
    <row r="4252" spans="1:15" x14ac:dyDescent="0.25">
      <c r="A4252" s="11">
        <v>46136</v>
      </c>
      <c r="B4252" t="s">
        <v>17</v>
      </c>
      <c r="C4252" t="s">
        <v>18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f t="shared" si="74"/>
        <v>0</v>
      </c>
      <c r="J4252" s="3">
        <f t="shared" si="75"/>
        <v>22</v>
      </c>
      <c r="K4252" s="3">
        <f t="shared" si="76"/>
        <v>-22</v>
      </c>
      <c r="L4252" s="3" t="str">
        <f t="shared" si="77"/>
        <v>CRÍTICO</v>
      </c>
      <c r="N4252">
        <v>98.66</v>
      </c>
      <c r="O4252">
        <v>35.15625</v>
      </c>
    </row>
    <row r="4253" spans="1:15" x14ac:dyDescent="0.25">
      <c r="A4253" s="11">
        <v>46136</v>
      </c>
      <c r="B4253" t="s">
        <v>19</v>
      </c>
      <c r="C4253" t="s">
        <v>20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 t="shared" si="74"/>
        <v>23</v>
      </c>
      <c r="J4253" s="3">
        <f t="shared" si="75"/>
        <v>14</v>
      </c>
      <c r="K4253" s="3">
        <f t="shared" si="76"/>
        <v>9</v>
      </c>
      <c r="L4253" s="3" t="str">
        <f t="shared" si="77"/>
        <v>MUITO BOM</v>
      </c>
      <c r="N4253">
        <v>99.32</v>
      </c>
      <c r="O4253">
        <v>30.45186640471513</v>
      </c>
    </row>
    <row r="4254" spans="1:15" x14ac:dyDescent="0.25">
      <c r="A4254" s="11">
        <v>46136</v>
      </c>
      <c r="B4254" t="s">
        <v>21</v>
      </c>
      <c r="C4254" t="s">
        <v>18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 t="shared" si="74"/>
        <v>22</v>
      </c>
      <c r="J4254" s="3">
        <f t="shared" si="75"/>
        <v>22</v>
      </c>
      <c r="K4254" s="3">
        <f t="shared" si="76"/>
        <v>0</v>
      </c>
      <c r="L4254" s="3" t="str">
        <f t="shared" si="77"/>
        <v>OPORTUNO</v>
      </c>
      <c r="N4254">
        <v>100</v>
      </c>
      <c r="O4254">
        <v>27.803738317757009</v>
      </c>
    </row>
    <row r="4255" spans="1:15" x14ac:dyDescent="0.25">
      <c r="A4255" s="11">
        <v>46136</v>
      </c>
      <c r="B4255" t="s">
        <v>22</v>
      </c>
      <c r="C4255" t="s">
        <v>23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 t="shared" si="74"/>
        <v>31</v>
      </c>
      <c r="J4255" s="3">
        <f t="shared" si="75"/>
        <v>6</v>
      </c>
      <c r="K4255" s="3">
        <f t="shared" si="76"/>
        <v>25</v>
      </c>
      <c r="L4255" s="3" t="str">
        <f t="shared" si="77"/>
        <v>MUITO BOM</v>
      </c>
      <c r="N4255">
        <v>96.74</v>
      </c>
      <c r="O4255">
        <v>28.43137254901961</v>
      </c>
    </row>
    <row r="4256" spans="1:15" x14ac:dyDescent="0.25">
      <c r="A4256" s="11">
        <v>46136</v>
      </c>
      <c r="B4256" t="s">
        <v>24</v>
      </c>
      <c r="C4256" t="s">
        <v>16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f t="shared" si="74"/>
        <v>0</v>
      </c>
      <c r="J4256" s="3">
        <f t="shared" si="75"/>
        <v>18</v>
      </c>
      <c r="K4256" s="3">
        <f t="shared" si="76"/>
        <v>-18</v>
      </c>
      <c r="L4256" s="3" t="str">
        <f t="shared" si="77"/>
        <v>CRÍTICO</v>
      </c>
      <c r="N4256">
        <v>98.82</v>
      </c>
      <c r="O4256">
        <v>30.741410488245929</v>
      </c>
    </row>
    <row r="4257" spans="1:15" x14ac:dyDescent="0.25">
      <c r="A4257" s="11">
        <v>46136</v>
      </c>
      <c r="B4257" t="s">
        <v>25</v>
      </c>
      <c r="C4257" t="s">
        <v>16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f t="shared" si="74"/>
        <v>0</v>
      </c>
      <c r="J4257" s="3">
        <f t="shared" si="75"/>
        <v>18</v>
      </c>
      <c r="K4257" s="3">
        <f t="shared" si="76"/>
        <v>-18</v>
      </c>
      <c r="L4257" s="3" t="str">
        <f t="shared" si="77"/>
        <v>CRÍTICO</v>
      </c>
      <c r="N4257">
        <v>98.2</v>
      </c>
      <c r="O4257">
        <v>26.890756302521009</v>
      </c>
    </row>
    <row r="4258" spans="1:15" x14ac:dyDescent="0.25">
      <c r="A4258" s="11">
        <v>46136</v>
      </c>
      <c r="B4258" t="s">
        <v>26</v>
      </c>
      <c r="C4258" t="s">
        <v>23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 t="shared" si="74"/>
        <v>10</v>
      </c>
      <c r="J4258" s="3">
        <f t="shared" si="75"/>
        <v>6</v>
      </c>
      <c r="K4258" s="3">
        <f t="shared" si="76"/>
        <v>4</v>
      </c>
      <c r="L4258" s="3" t="str">
        <f t="shared" si="77"/>
        <v>OPORTUNO</v>
      </c>
      <c r="N4258">
        <v>100</v>
      </c>
      <c r="O4258">
        <v>23.134328358208951</v>
      </c>
    </row>
    <row r="4259" spans="1:15" x14ac:dyDescent="0.25">
      <c r="A4259" s="11">
        <v>46136</v>
      </c>
      <c r="B4259" t="s">
        <v>27</v>
      </c>
      <c r="C4259" t="s">
        <v>20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 t="shared" si="74"/>
        <v>12</v>
      </c>
      <c r="J4259" s="3">
        <f t="shared" si="75"/>
        <v>14</v>
      </c>
      <c r="K4259" s="3">
        <f t="shared" si="76"/>
        <v>-2</v>
      </c>
      <c r="L4259" s="3" t="str">
        <f t="shared" si="77"/>
        <v>ATENÇÃO</v>
      </c>
      <c r="N4259">
        <v>96.3</v>
      </c>
      <c r="O4259">
        <v>31.980906921241051</v>
      </c>
    </row>
    <row r="4260" spans="1:15" x14ac:dyDescent="0.25">
      <c r="A4260" s="11">
        <v>46136</v>
      </c>
      <c r="B4260" t="s">
        <v>28</v>
      </c>
      <c r="C4260" t="s">
        <v>18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 t="shared" si="74"/>
        <v>23</v>
      </c>
      <c r="J4260" s="3">
        <f t="shared" si="75"/>
        <v>22</v>
      </c>
      <c r="K4260" s="3">
        <f t="shared" si="76"/>
        <v>1</v>
      </c>
      <c r="L4260" s="3" t="str">
        <f t="shared" si="77"/>
        <v>OPORTUNO</v>
      </c>
      <c r="N4260">
        <v>93.75</v>
      </c>
      <c r="O4260">
        <v>26.628352490421459</v>
      </c>
    </row>
    <row r="4261" spans="1:15" x14ac:dyDescent="0.25">
      <c r="A4261" s="11">
        <v>46136</v>
      </c>
      <c r="B4261" t="s">
        <v>29</v>
      </c>
      <c r="C4261" t="s">
        <v>16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f t="shared" si="74"/>
        <v>0</v>
      </c>
      <c r="J4261" s="3">
        <f t="shared" si="75"/>
        <v>18</v>
      </c>
      <c r="K4261" s="3">
        <f t="shared" si="76"/>
        <v>-18</v>
      </c>
      <c r="L4261" s="3" t="str">
        <f t="shared" si="77"/>
        <v>CRÍTICO</v>
      </c>
      <c r="N4261">
        <v>97.86</v>
      </c>
      <c r="O4261">
        <v>31.018518518518519</v>
      </c>
    </row>
    <row r="4262" spans="1:15" x14ac:dyDescent="0.25">
      <c r="A4262" s="11">
        <v>46136</v>
      </c>
      <c r="B4262" t="s">
        <v>30</v>
      </c>
      <c r="C4262" t="s">
        <v>20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 t="shared" si="74"/>
        <v>23</v>
      </c>
      <c r="J4262" s="3">
        <f t="shared" si="75"/>
        <v>14</v>
      </c>
      <c r="K4262" s="3">
        <f t="shared" si="76"/>
        <v>9</v>
      </c>
      <c r="L4262" s="3" t="str">
        <f t="shared" si="77"/>
        <v>MUITO BOM</v>
      </c>
      <c r="N4262">
        <v>100</v>
      </c>
      <c r="O4262">
        <v>36.231884057971023</v>
      </c>
    </row>
    <row r="4263" spans="1:15" x14ac:dyDescent="0.25">
      <c r="A4263" s="11">
        <v>46136</v>
      </c>
      <c r="B4263" t="s">
        <v>31</v>
      </c>
      <c r="C4263" t="s">
        <v>18</v>
      </c>
      <c r="D4263">
        <v>0</v>
      </c>
      <c r="E4263">
        <v>0</v>
      </c>
      <c r="F4263">
        <v>0</v>
      </c>
      <c r="G4263">
        <v>0</v>
      </c>
      <c r="H4263">
        <v>0</v>
      </c>
      <c r="I4263" s="3">
        <f t="shared" si="74"/>
        <v>0</v>
      </c>
      <c r="J4263" s="3">
        <f t="shared" si="75"/>
        <v>22</v>
      </c>
      <c r="K4263" s="3">
        <f t="shared" si="76"/>
        <v>-22</v>
      </c>
      <c r="L4263" s="3" t="str">
        <f t="shared" si="77"/>
        <v>CRÍTICO</v>
      </c>
      <c r="N4263">
        <v>100</v>
      </c>
      <c r="O4263">
        <v>38.269230769230766</v>
      </c>
    </row>
    <row r="4264" spans="1:15" x14ac:dyDescent="0.25">
      <c r="A4264" s="11">
        <v>46136</v>
      </c>
      <c r="B4264" t="s">
        <v>32</v>
      </c>
      <c r="C4264" t="s">
        <v>23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si="74"/>
        <v>8</v>
      </c>
      <c r="J4264" s="3">
        <f t="shared" si="75"/>
        <v>6</v>
      </c>
      <c r="K4264" s="3">
        <f t="shared" si="76"/>
        <v>2</v>
      </c>
      <c r="L4264" s="3" t="str">
        <f t="shared" si="77"/>
        <v>OPORTUNO</v>
      </c>
      <c r="N4264">
        <v>100</v>
      </c>
      <c r="O4264">
        <v>27.368421052631579</v>
      </c>
    </row>
    <row r="4265" spans="1:15" x14ac:dyDescent="0.25">
      <c r="A4265" s="11">
        <v>46136</v>
      </c>
      <c r="B4265" t="s">
        <v>33</v>
      </c>
      <c r="C4265" t="s">
        <v>16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74"/>
        <v>23</v>
      </c>
      <c r="J4265" s="3">
        <f t="shared" si="75"/>
        <v>18</v>
      </c>
      <c r="K4265" s="3">
        <f t="shared" si="76"/>
        <v>5</v>
      </c>
      <c r="L4265" s="3" t="str">
        <f t="shared" si="77"/>
        <v>OPORTUNO</v>
      </c>
      <c r="N4265">
        <v>97.83</v>
      </c>
      <c r="O4265">
        <v>28.131868131868131</v>
      </c>
    </row>
    <row r="4266" spans="1:15" x14ac:dyDescent="0.25">
      <c r="A4266" s="11">
        <v>46136</v>
      </c>
      <c r="B4266" t="s">
        <v>34</v>
      </c>
      <c r="C4266" t="s">
        <v>18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74"/>
        <v>23</v>
      </c>
      <c r="J4266" s="3">
        <f t="shared" si="75"/>
        <v>22</v>
      </c>
      <c r="K4266" s="3">
        <f t="shared" si="76"/>
        <v>1</v>
      </c>
      <c r="L4266" s="3" t="str">
        <f t="shared" si="77"/>
        <v>OPORTUNO</v>
      </c>
      <c r="N4266">
        <v>99.26</v>
      </c>
      <c r="O4266">
        <v>29.57198443579767</v>
      </c>
    </row>
    <row r="4267" spans="1:15" x14ac:dyDescent="0.25">
      <c r="A4267" s="11">
        <v>46136</v>
      </c>
      <c r="B4267" t="s">
        <v>35</v>
      </c>
      <c r="C4267" t="s">
        <v>16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74"/>
        <v>25</v>
      </c>
      <c r="J4267" s="3">
        <f t="shared" si="75"/>
        <v>18</v>
      </c>
      <c r="K4267" s="3">
        <f t="shared" si="76"/>
        <v>7</v>
      </c>
      <c r="L4267" s="3" t="str">
        <f t="shared" si="77"/>
        <v>MUITO BOM</v>
      </c>
      <c r="N4267">
        <v>99.19</v>
      </c>
      <c r="O4267">
        <v>29.462365591397852</v>
      </c>
    </row>
    <row r="4268" spans="1:15" x14ac:dyDescent="0.25">
      <c r="A4268" s="5">
        <v>46163</v>
      </c>
      <c r="B4268" s="6" t="s">
        <v>36</v>
      </c>
      <c r="C4268" s="3" t="s">
        <v>20</v>
      </c>
      <c r="D4268" s="3">
        <v>16</v>
      </c>
      <c r="E4268" s="3">
        <v>15</v>
      </c>
      <c r="F4268" s="3">
        <v>25.07</v>
      </c>
      <c r="G4268" s="3">
        <v>3</v>
      </c>
      <c r="H4268" s="3">
        <v>0</v>
      </c>
      <c r="I4268" s="3">
        <f t="shared" si="74"/>
        <v>18</v>
      </c>
      <c r="J4268" s="3">
        <f t="shared" si="75"/>
        <v>15</v>
      </c>
      <c r="K4268" s="3">
        <f t="shared" si="76"/>
        <v>3</v>
      </c>
      <c r="L4268" s="3" t="str">
        <f t="shared" si="77"/>
        <v>OPORTUNO</v>
      </c>
      <c r="M4268" s="3">
        <v>15</v>
      </c>
      <c r="N4268" s="3">
        <v>98.8</v>
      </c>
      <c r="O4268" s="3">
        <v>15.41353383458646</v>
      </c>
    </row>
    <row r="4269" spans="1:15" x14ac:dyDescent="0.25">
      <c r="A4269" s="11">
        <v>46136</v>
      </c>
      <c r="B4269" t="s">
        <v>37</v>
      </c>
      <c r="C4269" t="s">
        <v>16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74"/>
        <v>19</v>
      </c>
      <c r="J4269" s="3">
        <f t="shared" si="75"/>
        <v>18</v>
      </c>
      <c r="K4269" s="3">
        <f t="shared" si="76"/>
        <v>1</v>
      </c>
      <c r="L4269" s="3" t="str">
        <f t="shared" si="77"/>
        <v>OPORTUNO</v>
      </c>
      <c r="N4269">
        <v>100</v>
      </c>
      <c r="O4269">
        <v>27.941176470588239</v>
      </c>
    </row>
    <row r="4270" spans="1:15" x14ac:dyDescent="0.25">
      <c r="A4270" s="11">
        <v>46136</v>
      </c>
      <c r="B4270" t="s">
        <v>38</v>
      </c>
      <c r="C4270" t="s">
        <v>18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74"/>
        <v>35</v>
      </c>
      <c r="J4270" s="3">
        <f t="shared" si="75"/>
        <v>22</v>
      </c>
      <c r="K4270" s="3">
        <f t="shared" si="76"/>
        <v>13</v>
      </c>
      <c r="L4270" s="3" t="str">
        <f t="shared" si="77"/>
        <v>MUITO BOM</v>
      </c>
      <c r="N4270">
        <v>99.57</v>
      </c>
      <c r="O4270">
        <v>29.913294797687861</v>
      </c>
    </row>
    <row r="4271" spans="1:15" x14ac:dyDescent="0.25">
      <c r="A4271" s="11">
        <v>46136</v>
      </c>
      <c r="B4271" t="s">
        <v>39</v>
      </c>
      <c r="C4271" t="s">
        <v>18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f t="shared" si="74"/>
        <v>0</v>
      </c>
      <c r="J4271" s="3">
        <f t="shared" si="75"/>
        <v>22</v>
      </c>
      <c r="K4271" s="3">
        <f t="shared" si="76"/>
        <v>-22</v>
      </c>
      <c r="L4271" s="3" t="str">
        <f t="shared" si="77"/>
        <v>CRÍTICO</v>
      </c>
      <c r="N4271">
        <v>95.65</v>
      </c>
      <c r="O4271">
        <v>31.081081081081081</v>
      </c>
    </row>
    <row r="4272" spans="1:15" x14ac:dyDescent="0.25">
      <c r="A4272" s="11">
        <v>46136</v>
      </c>
      <c r="B4272" t="s">
        <v>40</v>
      </c>
      <c r="C4272" t="s">
        <v>16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 t="shared" si="74"/>
        <v>17</v>
      </c>
      <c r="J4272" s="3">
        <f t="shared" si="75"/>
        <v>18</v>
      </c>
      <c r="K4272" s="3">
        <f t="shared" si="76"/>
        <v>-1</v>
      </c>
      <c r="L4272" s="3" t="str">
        <f t="shared" si="77"/>
        <v>ATENÇÃO</v>
      </c>
      <c r="N4272">
        <v>98.81</v>
      </c>
      <c r="O4272">
        <v>26.256983240223459</v>
      </c>
    </row>
    <row r="4273" spans="1:15" x14ac:dyDescent="0.25">
      <c r="A4273" s="11">
        <v>46136</v>
      </c>
      <c r="B4273" t="s">
        <v>41</v>
      </c>
      <c r="C4273" t="s">
        <v>18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f t="shared" si="74"/>
        <v>0</v>
      </c>
      <c r="J4273" s="3">
        <f t="shared" si="75"/>
        <v>22</v>
      </c>
      <c r="K4273" s="3">
        <f t="shared" si="76"/>
        <v>-22</v>
      </c>
      <c r="L4273" s="3" t="str">
        <f t="shared" si="77"/>
        <v>CRÍTICO</v>
      </c>
      <c r="N4273">
        <v>0</v>
      </c>
      <c r="O4273">
        <v>0</v>
      </c>
    </row>
    <row r="4274" spans="1:15" x14ac:dyDescent="0.25">
      <c r="A4274" s="11">
        <v>46136</v>
      </c>
      <c r="B4274" t="s">
        <v>42</v>
      </c>
      <c r="C4274" t="s">
        <v>43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 t="shared" si="74"/>
        <v>15</v>
      </c>
      <c r="J4274" s="3">
        <f t="shared" si="75"/>
        <v>13</v>
      </c>
      <c r="K4274" s="3">
        <f t="shared" si="76"/>
        <v>2</v>
      </c>
      <c r="L4274" s="3" t="str">
        <f t="shared" si="77"/>
        <v>OPORTUNO</v>
      </c>
      <c r="N4274">
        <v>97.17</v>
      </c>
      <c r="O4274">
        <v>28.81844380403458</v>
      </c>
    </row>
    <row r="4275" spans="1:15" x14ac:dyDescent="0.25">
      <c r="A4275" s="11">
        <v>46136</v>
      </c>
      <c r="B4275" t="s">
        <v>44</v>
      </c>
      <c r="C4275" t="s">
        <v>18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f t="shared" si="74"/>
        <v>0</v>
      </c>
      <c r="J4275" s="3">
        <f t="shared" si="75"/>
        <v>22</v>
      </c>
      <c r="K4275" s="3">
        <f t="shared" si="76"/>
        <v>-22</v>
      </c>
      <c r="L4275" s="3" t="str">
        <f t="shared" si="77"/>
        <v>CRÍTICO</v>
      </c>
      <c r="N4275">
        <v>96.81</v>
      </c>
      <c r="O4275">
        <v>48.018648018648022</v>
      </c>
    </row>
    <row r="4276" spans="1:15" x14ac:dyDescent="0.25">
      <c r="A4276" s="11">
        <v>46136</v>
      </c>
      <c r="B4276" t="s">
        <v>45</v>
      </c>
      <c r="C4276" t="s">
        <v>43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 t="shared" si="74"/>
        <v>11</v>
      </c>
      <c r="J4276" s="3">
        <f t="shared" si="75"/>
        <v>13</v>
      </c>
      <c r="K4276" s="3">
        <f t="shared" si="76"/>
        <v>-2</v>
      </c>
      <c r="L4276" s="3" t="str">
        <f t="shared" si="77"/>
        <v>ATENÇÃO</v>
      </c>
      <c r="N4276">
        <v>98.15</v>
      </c>
      <c r="O4276">
        <v>27.1551724137931</v>
      </c>
    </row>
    <row r="4277" spans="1:15" x14ac:dyDescent="0.25">
      <c r="A4277" s="11">
        <v>46136</v>
      </c>
      <c r="B4277" t="s">
        <v>46</v>
      </c>
      <c r="C4277" t="s">
        <v>18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 t="shared" si="74"/>
        <v>19</v>
      </c>
      <c r="J4277" s="3">
        <f t="shared" si="75"/>
        <v>22</v>
      </c>
      <c r="K4277" s="3">
        <f t="shared" si="76"/>
        <v>-3</v>
      </c>
      <c r="L4277" s="3" t="str">
        <f t="shared" si="77"/>
        <v>ATENÇÃO</v>
      </c>
      <c r="N4277">
        <v>99.15</v>
      </c>
      <c r="O4277">
        <v>27.370689655172409</v>
      </c>
    </row>
    <row r="4278" spans="1:15" x14ac:dyDescent="0.25">
      <c r="A4278" s="11">
        <v>46136</v>
      </c>
      <c r="B4278" t="s">
        <v>47</v>
      </c>
      <c r="C4278" t="s">
        <v>16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 t="shared" si="74"/>
        <v>19</v>
      </c>
      <c r="J4278" s="3">
        <f t="shared" si="75"/>
        <v>18</v>
      </c>
      <c r="K4278" s="3">
        <f t="shared" si="76"/>
        <v>1</v>
      </c>
      <c r="L4278" s="3" t="str">
        <f t="shared" si="77"/>
        <v>OPORTUNO</v>
      </c>
      <c r="N4278">
        <v>99.17</v>
      </c>
      <c r="O4278">
        <v>29.75206611570248</v>
      </c>
    </row>
    <row r="4279" spans="1:15" x14ac:dyDescent="0.25">
      <c r="A4279" s="11">
        <v>46136</v>
      </c>
      <c r="B4279" t="s">
        <v>48</v>
      </c>
      <c r="C4279" t="s">
        <v>16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f t="shared" si="74"/>
        <v>0</v>
      </c>
      <c r="J4279" s="3">
        <f t="shared" si="75"/>
        <v>18</v>
      </c>
      <c r="K4279" s="3">
        <f t="shared" si="76"/>
        <v>-18</v>
      </c>
      <c r="L4279" s="3" t="str">
        <f t="shared" si="77"/>
        <v>CRÍTICO</v>
      </c>
      <c r="N4279">
        <v>98.73</v>
      </c>
      <c r="O4279">
        <v>28.961748633879779</v>
      </c>
    </row>
    <row r="4280" spans="1:15" x14ac:dyDescent="0.25">
      <c r="A4280" s="11">
        <v>46136</v>
      </c>
      <c r="B4280" t="s">
        <v>49</v>
      </c>
      <c r="C4280" t="s">
        <v>18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f t="shared" si="74"/>
        <v>0</v>
      </c>
      <c r="J4280" s="3">
        <f t="shared" si="75"/>
        <v>22</v>
      </c>
      <c r="K4280" s="3">
        <f t="shared" si="76"/>
        <v>-22</v>
      </c>
      <c r="L4280" s="3" t="str">
        <f t="shared" si="77"/>
        <v>CRÍTICO</v>
      </c>
      <c r="N4280">
        <v>88.68</v>
      </c>
      <c r="O4280">
        <v>22.03389830508474</v>
      </c>
    </row>
    <row r="4281" spans="1:15" x14ac:dyDescent="0.25">
      <c r="A4281" s="11">
        <v>46136</v>
      </c>
      <c r="B4281" t="s">
        <v>50</v>
      </c>
      <c r="C4281" t="s">
        <v>20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si="74"/>
        <v>12</v>
      </c>
      <c r="J4281" s="3">
        <f t="shared" si="75"/>
        <v>14</v>
      </c>
      <c r="K4281" s="3">
        <f t="shared" si="76"/>
        <v>-2</v>
      </c>
      <c r="L4281" s="3" t="str">
        <f t="shared" si="77"/>
        <v>ATENÇÃO</v>
      </c>
      <c r="N4281">
        <v>97.37</v>
      </c>
      <c r="O4281">
        <v>25.76530612244898</v>
      </c>
    </row>
    <row r="4282" spans="1:15" x14ac:dyDescent="0.25">
      <c r="A4282" s="11">
        <v>46136</v>
      </c>
      <c r="B4282" t="s">
        <v>51</v>
      </c>
      <c r="C4282" t="s">
        <v>23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74"/>
        <v>16</v>
      </c>
      <c r="J4282" s="3">
        <f t="shared" si="75"/>
        <v>6</v>
      </c>
      <c r="K4282" s="3">
        <f t="shared" si="76"/>
        <v>10</v>
      </c>
      <c r="L4282" s="3" t="str">
        <f t="shared" si="77"/>
        <v>MUITO BOM</v>
      </c>
      <c r="N4282">
        <v>100</v>
      </c>
      <c r="O4282">
        <v>25</v>
      </c>
    </row>
    <row r="4283" spans="1:15" x14ac:dyDescent="0.25">
      <c r="A4283" s="11">
        <v>46136</v>
      </c>
      <c r="B4283" t="s">
        <v>52</v>
      </c>
      <c r="C4283" t="s">
        <v>18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74"/>
        <v>12</v>
      </c>
      <c r="J4283" s="3">
        <f t="shared" si="75"/>
        <v>22</v>
      </c>
      <c r="K4283" s="3">
        <f t="shared" si="76"/>
        <v>-10</v>
      </c>
      <c r="L4283" s="3" t="str">
        <f t="shared" si="77"/>
        <v>CRÍTICO</v>
      </c>
      <c r="N4283">
        <v>100</v>
      </c>
      <c r="O4283">
        <v>23.9870340356564</v>
      </c>
    </row>
    <row r="4284" spans="1:15" x14ac:dyDescent="0.25">
      <c r="A4284" s="11">
        <v>46136</v>
      </c>
      <c r="B4284" t="s">
        <v>53</v>
      </c>
      <c r="C4284" t="s">
        <v>18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74"/>
        <v>28</v>
      </c>
      <c r="J4284" s="3">
        <f t="shared" si="75"/>
        <v>22</v>
      </c>
      <c r="K4284" s="3">
        <f t="shared" si="76"/>
        <v>6</v>
      </c>
      <c r="L4284" s="3" t="str">
        <f t="shared" si="77"/>
        <v>MUITO BOM</v>
      </c>
      <c r="N4284">
        <v>95.49</v>
      </c>
      <c r="O4284">
        <v>28.16901408450704</v>
      </c>
    </row>
    <row r="4285" spans="1:15" x14ac:dyDescent="0.25">
      <c r="A4285" s="11">
        <v>46136</v>
      </c>
      <c r="B4285" t="s">
        <v>54</v>
      </c>
      <c r="C4285" t="s">
        <v>23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74"/>
        <v>3</v>
      </c>
      <c r="J4285" s="3">
        <f t="shared" si="75"/>
        <v>6</v>
      </c>
      <c r="K4285" s="3">
        <f t="shared" si="76"/>
        <v>-3</v>
      </c>
      <c r="L4285" s="3" t="str">
        <f t="shared" si="77"/>
        <v>ATENÇÃO</v>
      </c>
      <c r="N4285">
        <v>100</v>
      </c>
      <c r="O4285">
        <v>23.77622377622378</v>
      </c>
    </row>
    <row r="4286" spans="1:15" x14ac:dyDescent="0.25">
      <c r="A4286" s="11">
        <v>46136</v>
      </c>
      <c r="B4286" t="s">
        <v>55</v>
      </c>
      <c r="C4286" t="s">
        <v>43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74"/>
        <v>13</v>
      </c>
      <c r="J4286" s="3">
        <f t="shared" si="75"/>
        <v>13</v>
      </c>
      <c r="K4286" s="3">
        <f t="shared" si="76"/>
        <v>0</v>
      </c>
      <c r="L4286" s="3" t="str">
        <f t="shared" si="77"/>
        <v>OPORTUNO</v>
      </c>
      <c r="N4286">
        <v>96.15</v>
      </c>
      <c r="O4286">
        <v>24.045801526717561</v>
      </c>
    </row>
    <row r="4287" spans="1:15" x14ac:dyDescent="0.25">
      <c r="A4287" s="11">
        <v>46136</v>
      </c>
      <c r="B4287" t="s">
        <v>56</v>
      </c>
      <c r="C4287" t="s">
        <v>16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74"/>
        <v>20</v>
      </c>
      <c r="J4287" s="3">
        <f t="shared" si="75"/>
        <v>18</v>
      </c>
      <c r="K4287" s="3">
        <f t="shared" si="76"/>
        <v>2</v>
      </c>
      <c r="L4287" s="3" t="str">
        <f t="shared" si="77"/>
        <v>OPORTUNO</v>
      </c>
      <c r="N4287">
        <v>99.02</v>
      </c>
      <c r="O4287">
        <v>34.797297297297298</v>
      </c>
    </row>
    <row r="4288" spans="1:15" x14ac:dyDescent="0.25">
      <c r="A4288" s="11">
        <v>46136</v>
      </c>
      <c r="B4288" t="s">
        <v>57</v>
      </c>
      <c r="C4288" t="s">
        <v>43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74"/>
        <v>17</v>
      </c>
      <c r="J4288" s="3">
        <f t="shared" si="75"/>
        <v>13</v>
      </c>
      <c r="K4288" s="3">
        <f t="shared" si="76"/>
        <v>4</v>
      </c>
      <c r="L4288" s="3" t="str">
        <f t="shared" si="77"/>
        <v>OPORTUNO</v>
      </c>
      <c r="N4288">
        <v>98.84</v>
      </c>
      <c r="O4288">
        <v>31.5018315018315</v>
      </c>
    </row>
    <row r="4289" spans="1:15" x14ac:dyDescent="0.25">
      <c r="A4289" s="11">
        <v>46136</v>
      </c>
      <c r="B4289" t="s">
        <v>58</v>
      </c>
      <c r="C4289" t="s">
        <v>43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74"/>
        <v>23</v>
      </c>
      <c r="J4289" s="3">
        <f t="shared" si="75"/>
        <v>13</v>
      </c>
      <c r="K4289" s="3">
        <f t="shared" si="76"/>
        <v>10</v>
      </c>
      <c r="L4289" s="3" t="str">
        <f t="shared" si="77"/>
        <v>MUITO BOM</v>
      </c>
      <c r="N4289">
        <v>100</v>
      </c>
      <c r="O4289">
        <v>34.666666666666671</v>
      </c>
    </row>
    <row r="4290" spans="1:15" x14ac:dyDescent="0.25">
      <c r="A4290" s="11">
        <v>46136</v>
      </c>
      <c r="B4290" t="s">
        <v>59</v>
      </c>
      <c r="C4290" t="s">
        <v>23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74"/>
        <v>9</v>
      </c>
      <c r="J4290" s="3">
        <f t="shared" si="75"/>
        <v>6</v>
      </c>
      <c r="K4290" s="3">
        <f t="shared" si="76"/>
        <v>3</v>
      </c>
      <c r="L4290" s="3" t="str">
        <f t="shared" si="77"/>
        <v>OPORTUNO</v>
      </c>
      <c r="N4290">
        <v>94.12</v>
      </c>
      <c r="O4290">
        <v>32.799999999999997</v>
      </c>
    </row>
    <row r="4291" spans="1:15" x14ac:dyDescent="0.25">
      <c r="A4291" s="11">
        <v>46136</v>
      </c>
      <c r="B4291" t="s">
        <v>60</v>
      </c>
      <c r="C4291" t="s">
        <v>20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74"/>
        <v>17</v>
      </c>
      <c r="J4291" s="3">
        <f t="shared" si="75"/>
        <v>14</v>
      </c>
      <c r="K4291" s="3">
        <f t="shared" si="76"/>
        <v>3</v>
      </c>
      <c r="L4291" s="3" t="str">
        <f t="shared" si="77"/>
        <v>OPORTUNO</v>
      </c>
      <c r="N4291">
        <v>98.32</v>
      </c>
      <c r="O4291">
        <v>26.618705035971221</v>
      </c>
    </row>
    <row r="4292" spans="1:15" x14ac:dyDescent="0.25">
      <c r="A4292" s="11">
        <v>46136</v>
      </c>
      <c r="B4292" t="s">
        <v>61</v>
      </c>
      <c r="C4292" t="s">
        <v>18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74"/>
        <v>25</v>
      </c>
      <c r="J4292" s="3">
        <f t="shared" si="75"/>
        <v>22</v>
      </c>
      <c r="K4292" s="3">
        <f t="shared" si="76"/>
        <v>3</v>
      </c>
      <c r="L4292" s="3" t="str">
        <f t="shared" si="77"/>
        <v>OPORTUNO</v>
      </c>
      <c r="N4292">
        <v>100</v>
      </c>
      <c r="O4292">
        <v>31.135531135531139</v>
      </c>
    </row>
    <row r="4293" spans="1:15" x14ac:dyDescent="0.25">
      <c r="A4293" s="11">
        <v>46136</v>
      </c>
      <c r="B4293" t="s">
        <v>62</v>
      </c>
      <c r="C4293" t="s">
        <v>20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74"/>
        <v>16</v>
      </c>
      <c r="J4293" s="3">
        <f t="shared" si="75"/>
        <v>14</v>
      </c>
      <c r="K4293" s="3">
        <f t="shared" si="76"/>
        <v>2</v>
      </c>
      <c r="L4293" s="3" t="str">
        <f t="shared" si="77"/>
        <v>OPORTUNO</v>
      </c>
      <c r="N4293">
        <v>100</v>
      </c>
      <c r="O4293">
        <v>26.027397260273968</v>
      </c>
    </row>
    <row r="4294" spans="1:15" x14ac:dyDescent="0.25">
      <c r="A4294" s="11">
        <v>46136</v>
      </c>
      <c r="B4294" t="s">
        <v>63</v>
      </c>
      <c r="C4294" t="s">
        <v>18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74"/>
        <v>18</v>
      </c>
      <c r="J4294" s="3">
        <f t="shared" si="75"/>
        <v>22</v>
      </c>
      <c r="K4294" s="3">
        <f t="shared" si="76"/>
        <v>-4</v>
      </c>
      <c r="L4294" s="3" t="str">
        <f t="shared" si="77"/>
        <v>ATENÇÃO</v>
      </c>
      <c r="N4294">
        <v>99.21</v>
      </c>
      <c r="O4294">
        <v>24.937027707808561</v>
      </c>
    </row>
    <row r="4295" spans="1:15" x14ac:dyDescent="0.25">
      <c r="A4295" s="11">
        <v>46139</v>
      </c>
      <c r="B4295" t="s">
        <v>15</v>
      </c>
      <c r="C4295" t="s">
        <v>16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74"/>
        <v>11</v>
      </c>
      <c r="J4295" s="3">
        <f t="shared" si="75"/>
        <v>11</v>
      </c>
      <c r="K4295" s="3">
        <f t="shared" si="76"/>
        <v>0</v>
      </c>
      <c r="L4295" s="3" t="str">
        <f t="shared" si="77"/>
        <v>OPORTUNO</v>
      </c>
      <c r="N4295">
        <v>100</v>
      </c>
      <c r="O4295">
        <v>32.764505119453922</v>
      </c>
    </row>
    <row r="4296" spans="1:15" x14ac:dyDescent="0.25">
      <c r="A4296" s="11">
        <v>46139</v>
      </c>
      <c r="B4296" t="s">
        <v>17</v>
      </c>
      <c r="C4296" t="s">
        <v>18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f t="shared" si="74"/>
        <v>0</v>
      </c>
      <c r="J4296" s="3">
        <f t="shared" si="75"/>
        <v>14</v>
      </c>
      <c r="K4296" s="3">
        <f t="shared" si="76"/>
        <v>-14</v>
      </c>
      <c r="L4296" s="3" t="str">
        <f t="shared" si="77"/>
        <v>CRÍTICO</v>
      </c>
      <c r="N4296">
        <v>98.66</v>
      </c>
      <c r="O4296">
        <v>35.15625</v>
      </c>
    </row>
    <row r="4297" spans="1:15" x14ac:dyDescent="0.25">
      <c r="A4297" s="11">
        <v>46139</v>
      </c>
      <c r="B4297" t="s">
        <v>19</v>
      </c>
      <c r="C4297" t="s">
        <v>20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si="74"/>
        <v>9</v>
      </c>
      <c r="J4297" s="3">
        <f t="shared" si="75"/>
        <v>9</v>
      </c>
      <c r="K4297" s="3">
        <f t="shared" si="76"/>
        <v>0</v>
      </c>
      <c r="L4297" s="3" t="str">
        <f t="shared" si="77"/>
        <v>OPORTUNO</v>
      </c>
      <c r="N4297">
        <v>99.32</v>
      </c>
      <c r="O4297">
        <v>30.45186640471513</v>
      </c>
    </row>
    <row r="4298" spans="1:15" x14ac:dyDescent="0.25">
      <c r="A4298" s="11">
        <v>46139</v>
      </c>
      <c r="B4298" t="s">
        <v>21</v>
      </c>
      <c r="C4298" t="s">
        <v>18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74"/>
        <v>10</v>
      </c>
      <c r="J4298" s="3">
        <f t="shared" si="75"/>
        <v>14</v>
      </c>
      <c r="K4298" s="3">
        <f t="shared" si="76"/>
        <v>-4</v>
      </c>
      <c r="L4298" s="3" t="str">
        <f t="shared" si="77"/>
        <v>ATENÇÃO</v>
      </c>
      <c r="N4298">
        <v>100</v>
      </c>
      <c r="O4298">
        <v>27.803738317757009</v>
      </c>
    </row>
    <row r="4299" spans="1:15" x14ac:dyDescent="0.25">
      <c r="A4299" s="11">
        <v>46139</v>
      </c>
      <c r="B4299" t="s">
        <v>22</v>
      </c>
      <c r="C4299" t="s">
        <v>23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74"/>
        <v>14</v>
      </c>
      <c r="J4299" s="3">
        <f t="shared" si="75"/>
        <v>4</v>
      </c>
      <c r="K4299" s="3">
        <f t="shared" si="76"/>
        <v>10</v>
      </c>
      <c r="L4299" s="3" t="str">
        <f t="shared" si="77"/>
        <v>MUITO BOM</v>
      </c>
      <c r="N4299">
        <v>96.74</v>
      </c>
      <c r="O4299">
        <v>28.43137254901961</v>
      </c>
    </row>
    <row r="4300" spans="1:15" x14ac:dyDescent="0.25">
      <c r="A4300" s="11">
        <v>46139</v>
      </c>
      <c r="B4300" t="s">
        <v>24</v>
      </c>
      <c r="C4300" t="s">
        <v>16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74"/>
        <v>13</v>
      </c>
      <c r="J4300" s="3">
        <f t="shared" si="75"/>
        <v>11</v>
      </c>
      <c r="K4300" s="3">
        <f t="shared" si="76"/>
        <v>2</v>
      </c>
      <c r="L4300" s="3" t="str">
        <f t="shared" si="77"/>
        <v>OPORTUNO</v>
      </c>
      <c r="N4300">
        <v>98.82</v>
      </c>
      <c r="O4300">
        <v>30.741410488245929</v>
      </c>
    </row>
    <row r="4301" spans="1:15" x14ac:dyDescent="0.25">
      <c r="A4301" s="11">
        <v>46139</v>
      </c>
      <c r="B4301" t="s">
        <v>25</v>
      </c>
      <c r="C4301" t="s">
        <v>16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74"/>
        <v>12</v>
      </c>
      <c r="J4301" s="3">
        <f t="shared" si="75"/>
        <v>11</v>
      </c>
      <c r="K4301" s="3">
        <f t="shared" si="76"/>
        <v>1</v>
      </c>
      <c r="L4301" s="3" t="str">
        <f t="shared" si="77"/>
        <v>OPORTUNO</v>
      </c>
      <c r="N4301">
        <v>98.2</v>
      </c>
      <c r="O4301">
        <v>26.890756302521009</v>
      </c>
    </row>
    <row r="4302" spans="1:15" x14ac:dyDescent="0.25">
      <c r="A4302" s="11">
        <v>46139</v>
      </c>
      <c r="B4302" t="s">
        <v>26</v>
      </c>
      <c r="C4302" t="s">
        <v>23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74"/>
        <v>8</v>
      </c>
      <c r="J4302" s="3">
        <f t="shared" si="75"/>
        <v>4</v>
      </c>
      <c r="K4302" s="3">
        <f t="shared" si="76"/>
        <v>4</v>
      </c>
      <c r="L4302" s="3" t="str">
        <f t="shared" si="77"/>
        <v>OPORTUNO</v>
      </c>
      <c r="N4302">
        <v>100</v>
      </c>
      <c r="O4302">
        <v>23.134328358208951</v>
      </c>
    </row>
    <row r="4303" spans="1:15" x14ac:dyDescent="0.25">
      <c r="A4303" s="11">
        <v>46139</v>
      </c>
      <c r="B4303" t="s">
        <v>27</v>
      </c>
      <c r="C4303" t="s">
        <v>20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74"/>
        <v>3</v>
      </c>
      <c r="J4303" s="3">
        <f t="shared" si="75"/>
        <v>9</v>
      </c>
      <c r="K4303" s="3">
        <f t="shared" si="76"/>
        <v>-6</v>
      </c>
      <c r="L4303" s="3" t="str">
        <f t="shared" si="77"/>
        <v>CRÍTICO</v>
      </c>
      <c r="N4303">
        <v>96.3</v>
      </c>
      <c r="O4303">
        <v>31.980906921241051</v>
      </c>
    </row>
    <row r="4304" spans="1:15" x14ac:dyDescent="0.25">
      <c r="A4304" s="11">
        <v>46139</v>
      </c>
      <c r="B4304" t="s">
        <v>28</v>
      </c>
      <c r="C4304" t="s">
        <v>18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74"/>
        <v>14</v>
      </c>
      <c r="J4304" s="3">
        <f t="shared" si="75"/>
        <v>14</v>
      </c>
      <c r="K4304" s="3">
        <f t="shared" si="76"/>
        <v>0</v>
      </c>
      <c r="L4304" s="3" t="str">
        <f t="shared" si="77"/>
        <v>OPORTUNO</v>
      </c>
      <c r="N4304">
        <v>93.75</v>
      </c>
      <c r="O4304">
        <v>26.628352490421459</v>
      </c>
    </row>
    <row r="4305" spans="1:15" x14ac:dyDescent="0.25">
      <c r="A4305" s="11">
        <v>46139</v>
      </c>
      <c r="B4305" t="s">
        <v>29</v>
      </c>
      <c r="C4305" t="s">
        <v>16</v>
      </c>
      <c r="D4305">
        <v>0</v>
      </c>
      <c r="E4305">
        <v>0</v>
      </c>
      <c r="F4305">
        <v>0</v>
      </c>
      <c r="G4305">
        <v>0</v>
      </c>
      <c r="H4305">
        <v>0</v>
      </c>
      <c r="I4305" s="3">
        <f t="shared" si="74"/>
        <v>0</v>
      </c>
      <c r="J4305" s="3">
        <f t="shared" si="75"/>
        <v>11</v>
      </c>
      <c r="K4305" s="3">
        <f t="shared" si="76"/>
        <v>-11</v>
      </c>
      <c r="L4305" s="3" t="str">
        <f t="shared" si="77"/>
        <v>CRÍTICO</v>
      </c>
      <c r="N4305">
        <v>97.86</v>
      </c>
      <c r="O4305">
        <v>31.018518518518519</v>
      </c>
    </row>
    <row r="4306" spans="1:15" x14ac:dyDescent="0.25">
      <c r="A4306" s="11">
        <v>46139</v>
      </c>
      <c r="B4306" t="s">
        <v>30</v>
      </c>
      <c r="C4306" t="s">
        <v>20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 t="shared" si="74"/>
        <v>12</v>
      </c>
      <c r="J4306" s="3">
        <f t="shared" si="75"/>
        <v>9</v>
      </c>
      <c r="K4306" s="3">
        <f t="shared" si="76"/>
        <v>3</v>
      </c>
      <c r="L4306" s="3" t="str">
        <f t="shared" si="77"/>
        <v>OPORTUNO</v>
      </c>
      <c r="N4306">
        <v>100</v>
      </c>
      <c r="O4306">
        <v>36.231884057971023</v>
      </c>
    </row>
    <row r="4307" spans="1:15" x14ac:dyDescent="0.25">
      <c r="A4307" s="11">
        <v>46139</v>
      </c>
      <c r="B4307" t="s">
        <v>31</v>
      </c>
      <c r="C4307" t="s">
        <v>18</v>
      </c>
      <c r="D4307">
        <v>0</v>
      </c>
      <c r="E4307">
        <v>0</v>
      </c>
      <c r="F4307">
        <v>0</v>
      </c>
      <c r="G4307">
        <v>0</v>
      </c>
      <c r="H4307">
        <v>0</v>
      </c>
      <c r="I4307" s="3">
        <f t="shared" si="74"/>
        <v>0</v>
      </c>
      <c r="J4307" s="3">
        <f t="shared" si="75"/>
        <v>14</v>
      </c>
      <c r="K4307" s="3">
        <f t="shared" si="76"/>
        <v>-14</v>
      </c>
      <c r="L4307" s="3" t="str">
        <f t="shared" si="77"/>
        <v>CRÍTICO</v>
      </c>
      <c r="N4307">
        <v>100</v>
      </c>
      <c r="O4307">
        <v>38.269230769230766</v>
      </c>
    </row>
    <row r="4308" spans="1:15" x14ac:dyDescent="0.25">
      <c r="A4308" s="11">
        <v>46139</v>
      </c>
      <c r="B4308" t="s">
        <v>32</v>
      </c>
      <c r="C4308" t="s">
        <v>23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 t="shared" si="74"/>
        <v>9</v>
      </c>
      <c r="J4308" s="3">
        <f t="shared" si="75"/>
        <v>4</v>
      </c>
      <c r="K4308" s="3">
        <f t="shared" si="76"/>
        <v>5</v>
      </c>
      <c r="L4308" s="3" t="str">
        <f t="shared" si="77"/>
        <v>OPORTUNO</v>
      </c>
      <c r="N4308">
        <v>100</v>
      </c>
      <c r="O4308">
        <v>27.368421052631579</v>
      </c>
    </row>
    <row r="4309" spans="1:15" x14ac:dyDescent="0.25">
      <c r="A4309" s="11">
        <v>46139</v>
      </c>
      <c r="B4309" t="s">
        <v>33</v>
      </c>
      <c r="C4309" t="s">
        <v>16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 t="shared" si="74"/>
        <v>16</v>
      </c>
      <c r="J4309" s="3">
        <f t="shared" si="75"/>
        <v>11</v>
      </c>
      <c r="K4309" s="3">
        <f t="shared" si="76"/>
        <v>5</v>
      </c>
      <c r="L4309" s="3" t="str">
        <f t="shared" si="77"/>
        <v>OPORTUNO</v>
      </c>
      <c r="N4309">
        <v>97.83</v>
      </c>
      <c r="O4309">
        <v>28.131868131868131</v>
      </c>
    </row>
    <row r="4310" spans="1:15" x14ac:dyDescent="0.25">
      <c r="A4310" s="11">
        <v>46139</v>
      </c>
      <c r="B4310" t="s">
        <v>34</v>
      </c>
      <c r="C4310" t="s">
        <v>18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 t="shared" si="74"/>
        <v>15</v>
      </c>
      <c r="J4310" s="3">
        <f t="shared" si="75"/>
        <v>14</v>
      </c>
      <c r="K4310" s="3">
        <f t="shared" si="76"/>
        <v>1</v>
      </c>
      <c r="L4310" s="3" t="str">
        <f t="shared" si="77"/>
        <v>OPORTUNO</v>
      </c>
      <c r="N4310">
        <v>99.26</v>
      </c>
      <c r="O4310">
        <v>29.57198443579767</v>
      </c>
    </row>
    <row r="4311" spans="1:15" x14ac:dyDescent="0.25">
      <c r="A4311" s="11">
        <v>46139</v>
      </c>
      <c r="B4311" t="s">
        <v>35</v>
      </c>
      <c r="C4311" t="s">
        <v>16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 t="shared" si="74"/>
        <v>14</v>
      </c>
      <c r="J4311" s="3">
        <f t="shared" si="75"/>
        <v>11</v>
      </c>
      <c r="K4311" s="3">
        <f t="shared" si="76"/>
        <v>3</v>
      </c>
      <c r="L4311" s="3" t="str">
        <f t="shared" si="77"/>
        <v>OPORTUNO</v>
      </c>
      <c r="N4311">
        <v>99.19</v>
      </c>
      <c r="O4311">
        <v>29.462365591397852</v>
      </c>
    </row>
    <row r="4312" spans="1:15" x14ac:dyDescent="0.25">
      <c r="A4312" s="10">
        <v>46164</v>
      </c>
      <c r="B4312" s="6" t="s">
        <v>64</v>
      </c>
      <c r="C4312" s="3" t="s">
        <v>23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f t="shared" si="74"/>
        <v>0</v>
      </c>
      <c r="J4312" s="3">
        <f t="shared" si="75"/>
        <v>6</v>
      </c>
      <c r="K4312" s="3">
        <f t="shared" si="76"/>
        <v>-6</v>
      </c>
      <c r="L4312" s="3" t="str">
        <f t="shared" si="77"/>
        <v>CRÍTICO</v>
      </c>
      <c r="M4312" s="3">
        <v>0</v>
      </c>
      <c r="N4312" s="3">
        <v>100</v>
      </c>
      <c r="O4312" s="3">
        <v>14.285714285714279</v>
      </c>
    </row>
    <row r="4313" spans="1:15" x14ac:dyDescent="0.25">
      <c r="A4313" s="11">
        <v>46139</v>
      </c>
      <c r="B4313" t="s">
        <v>37</v>
      </c>
      <c r="C4313" t="s">
        <v>16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 t="shared" si="74"/>
        <v>11</v>
      </c>
      <c r="J4313" s="3">
        <f t="shared" si="75"/>
        <v>11</v>
      </c>
      <c r="K4313" s="3">
        <f t="shared" si="76"/>
        <v>0</v>
      </c>
      <c r="L4313" s="3" t="str">
        <f t="shared" si="77"/>
        <v>OPORTUNO</v>
      </c>
      <c r="N4313">
        <v>100</v>
      </c>
      <c r="O4313">
        <v>27.941176470588239</v>
      </c>
    </row>
    <row r="4314" spans="1:15" x14ac:dyDescent="0.25">
      <c r="A4314" s="11">
        <v>46139</v>
      </c>
      <c r="B4314" t="s">
        <v>38</v>
      </c>
      <c r="C4314" t="s">
        <v>18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 t="shared" si="74"/>
        <v>19</v>
      </c>
      <c r="J4314" s="3">
        <f t="shared" si="75"/>
        <v>14</v>
      </c>
      <c r="K4314" s="3">
        <f t="shared" si="76"/>
        <v>5</v>
      </c>
      <c r="L4314" s="3" t="str">
        <f t="shared" si="77"/>
        <v>OPORTUNO</v>
      </c>
      <c r="N4314">
        <v>99.57</v>
      </c>
      <c r="O4314">
        <v>29.913294797687861</v>
      </c>
    </row>
    <row r="4315" spans="1:15" x14ac:dyDescent="0.25">
      <c r="A4315" s="11">
        <v>46139</v>
      </c>
      <c r="B4315" t="s">
        <v>39</v>
      </c>
      <c r="C4315" t="s">
        <v>18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 t="shared" ref="I4315:I4378" si="78">E4315+G4315+H4315</f>
        <v>13</v>
      </c>
      <c r="J4315" s="3">
        <f t="shared" ref="J4315:J4378" si="79"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 t="shared" ref="K4315:K4378" si="80">I4315-J4315</f>
        <v>-1</v>
      </c>
      <c r="L4315" s="3" t="str">
        <f t="shared" ref="L4315:L4378" si="81">IF(K4315&lt;-5,"CRÍTICO",IF(K4315&lt;0,"ATENÇÃO",IF(K4315&lt;=5,"OPORTUNO","MUITO BOM")))</f>
        <v>ATENÇÃO</v>
      </c>
      <c r="N4315">
        <v>95.65</v>
      </c>
      <c r="O4315">
        <v>31.081081081081081</v>
      </c>
    </row>
    <row r="4316" spans="1:15" x14ac:dyDescent="0.25">
      <c r="A4316" s="11">
        <v>46139</v>
      </c>
      <c r="B4316" t="s">
        <v>40</v>
      </c>
      <c r="C4316" t="s">
        <v>16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 t="shared" si="78"/>
        <v>13</v>
      </c>
      <c r="J4316" s="3">
        <f t="shared" si="79"/>
        <v>11</v>
      </c>
      <c r="K4316" s="3">
        <f t="shared" si="80"/>
        <v>2</v>
      </c>
      <c r="L4316" s="3" t="str">
        <f t="shared" si="81"/>
        <v>OPORTUNO</v>
      </c>
      <c r="N4316">
        <v>98.81</v>
      </c>
      <c r="O4316">
        <v>26.256983240223459</v>
      </c>
    </row>
    <row r="4317" spans="1:15" x14ac:dyDescent="0.25">
      <c r="A4317" s="11">
        <v>46139</v>
      </c>
      <c r="B4317" t="s">
        <v>41</v>
      </c>
      <c r="C4317" t="s">
        <v>18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f t="shared" si="78"/>
        <v>0</v>
      </c>
      <c r="J4317" s="3">
        <f t="shared" si="79"/>
        <v>14</v>
      </c>
      <c r="K4317" s="3">
        <f t="shared" si="80"/>
        <v>-14</v>
      </c>
      <c r="L4317" s="3" t="str">
        <f t="shared" si="81"/>
        <v>CRÍTICO</v>
      </c>
      <c r="N4317">
        <v>0</v>
      </c>
      <c r="O4317">
        <v>0</v>
      </c>
    </row>
    <row r="4318" spans="1:15" x14ac:dyDescent="0.25">
      <c r="A4318" s="11">
        <v>46139</v>
      </c>
      <c r="B4318" t="s">
        <v>42</v>
      </c>
      <c r="C4318" t="s">
        <v>43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 t="shared" si="78"/>
        <v>5</v>
      </c>
      <c r="J4318" s="3">
        <f t="shared" si="79"/>
        <v>8</v>
      </c>
      <c r="K4318" s="3">
        <f t="shared" si="80"/>
        <v>-3</v>
      </c>
      <c r="L4318" s="3" t="str">
        <f t="shared" si="81"/>
        <v>ATENÇÃO</v>
      </c>
      <c r="N4318">
        <v>97.17</v>
      </c>
      <c r="O4318">
        <v>28.81844380403458</v>
      </c>
    </row>
    <row r="4319" spans="1:15" x14ac:dyDescent="0.25">
      <c r="A4319" s="11">
        <v>46139</v>
      </c>
      <c r="B4319" t="s">
        <v>44</v>
      </c>
      <c r="C4319" t="s">
        <v>18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f t="shared" si="78"/>
        <v>0</v>
      </c>
      <c r="J4319" s="3">
        <f t="shared" si="79"/>
        <v>14</v>
      </c>
      <c r="K4319" s="3">
        <f t="shared" si="80"/>
        <v>-14</v>
      </c>
      <c r="L4319" s="3" t="str">
        <f t="shared" si="81"/>
        <v>CRÍTICO</v>
      </c>
      <c r="N4319">
        <v>96.81</v>
      </c>
      <c r="O4319">
        <v>48.018648018648022</v>
      </c>
    </row>
    <row r="4320" spans="1:15" x14ac:dyDescent="0.25">
      <c r="A4320" s="11">
        <v>46139</v>
      </c>
      <c r="B4320" t="s">
        <v>45</v>
      </c>
      <c r="C4320" t="s">
        <v>43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 t="shared" si="78"/>
        <v>13</v>
      </c>
      <c r="J4320" s="3">
        <f t="shared" si="79"/>
        <v>8</v>
      </c>
      <c r="K4320" s="3">
        <f t="shared" si="80"/>
        <v>5</v>
      </c>
      <c r="L4320" s="3" t="str">
        <f t="shared" si="81"/>
        <v>OPORTUNO</v>
      </c>
      <c r="N4320">
        <v>98.15</v>
      </c>
      <c r="O4320">
        <v>27.1551724137931</v>
      </c>
    </row>
    <row r="4321" spans="1:15" x14ac:dyDescent="0.25">
      <c r="A4321" s="11">
        <v>46139</v>
      </c>
      <c r="B4321" t="s">
        <v>46</v>
      </c>
      <c r="C4321" t="s">
        <v>18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 t="shared" si="78"/>
        <v>13</v>
      </c>
      <c r="J4321" s="3">
        <f t="shared" si="79"/>
        <v>14</v>
      </c>
      <c r="K4321" s="3">
        <f t="shared" si="80"/>
        <v>-1</v>
      </c>
      <c r="L4321" s="3" t="str">
        <f t="shared" si="81"/>
        <v>ATENÇÃO</v>
      </c>
      <c r="N4321">
        <v>99.15</v>
      </c>
      <c r="O4321">
        <v>27.370689655172409</v>
      </c>
    </row>
    <row r="4322" spans="1:15" x14ac:dyDescent="0.25">
      <c r="A4322" s="11">
        <v>46139</v>
      </c>
      <c r="B4322" t="s">
        <v>47</v>
      </c>
      <c r="C4322" t="s">
        <v>16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 t="shared" si="78"/>
        <v>2</v>
      </c>
      <c r="J4322" s="3">
        <f t="shared" si="79"/>
        <v>11</v>
      </c>
      <c r="K4322" s="3">
        <f t="shared" si="80"/>
        <v>-9</v>
      </c>
      <c r="L4322" s="3" t="str">
        <f t="shared" si="81"/>
        <v>CRÍTICO</v>
      </c>
      <c r="N4322">
        <v>99.17</v>
      </c>
      <c r="O4322">
        <v>29.75206611570248</v>
      </c>
    </row>
    <row r="4323" spans="1:15" x14ac:dyDescent="0.25">
      <c r="A4323" s="11">
        <v>46139</v>
      </c>
      <c r="B4323" t="s">
        <v>48</v>
      </c>
      <c r="C4323" t="s">
        <v>16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f t="shared" si="78"/>
        <v>0</v>
      </c>
      <c r="J4323" s="3">
        <f t="shared" si="79"/>
        <v>11</v>
      </c>
      <c r="K4323" s="3">
        <f t="shared" si="80"/>
        <v>-11</v>
      </c>
      <c r="L4323" s="3" t="str">
        <f t="shared" si="81"/>
        <v>CRÍTICO</v>
      </c>
      <c r="N4323">
        <v>98.73</v>
      </c>
      <c r="O4323">
        <v>28.961748633879779</v>
      </c>
    </row>
    <row r="4324" spans="1:15" x14ac:dyDescent="0.25">
      <c r="A4324" s="11">
        <v>46139</v>
      </c>
      <c r="B4324" t="s">
        <v>49</v>
      </c>
      <c r="C4324" t="s">
        <v>18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f t="shared" si="78"/>
        <v>0</v>
      </c>
      <c r="J4324" s="3">
        <f t="shared" si="79"/>
        <v>14</v>
      </c>
      <c r="K4324" s="3">
        <f t="shared" si="80"/>
        <v>-14</v>
      </c>
      <c r="L4324" s="3" t="str">
        <f t="shared" si="81"/>
        <v>CRÍTICO</v>
      </c>
      <c r="N4324">
        <v>88.68</v>
      </c>
      <c r="O4324">
        <v>22.03389830508474</v>
      </c>
    </row>
    <row r="4325" spans="1:15" x14ac:dyDescent="0.25">
      <c r="A4325" s="11">
        <v>46139</v>
      </c>
      <c r="B4325" t="s">
        <v>50</v>
      </c>
      <c r="C4325" t="s">
        <v>20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 t="shared" si="78"/>
        <v>9</v>
      </c>
      <c r="J4325" s="3">
        <f t="shared" si="79"/>
        <v>9</v>
      </c>
      <c r="K4325" s="3">
        <f t="shared" si="80"/>
        <v>0</v>
      </c>
      <c r="L4325" s="3" t="str">
        <f t="shared" si="81"/>
        <v>OPORTUNO</v>
      </c>
      <c r="N4325">
        <v>97.37</v>
      </c>
      <c r="O4325">
        <v>25.76530612244898</v>
      </c>
    </row>
    <row r="4326" spans="1:15" x14ac:dyDescent="0.25">
      <c r="A4326" s="11">
        <v>46139</v>
      </c>
      <c r="B4326" t="s">
        <v>51</v>
      </c>
      <c r="C4326" t="s">
        <v>23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f t="shared" si="78"/>
        <v>0</v>
      </c>
      <c r="J4326" s="3">
        <f t="shared" si="79"/>
        <v>4</v>
      </c>
      <c r="K4326" s="3">
        <f t="shared" si="80"/>
        <v>-4</v>
      </c>
      <c r="L4326" s="3" t="str">
        <f t="shared" si="81"/>
        <v>ATENÇÃO</v>
      </c>
      <c r="N4326">
        <v>100</v>
      </c>
      <c r="O4326">
        <v>25</v>
      </c>
    </row>
    <row r="4327" spans="1:15" x14ac:dyDescent="0.25">
      <c r="A4327" s="11">
        <v>46139</v>
      </c>
      <c r="B4327" t="s">
        <v>52</v>
      </c>
      <c r="C4327" t="s">
        <v>18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 t="shared" si="78"/>
        <v>14</v>
      </c>
      <c r="J4327" s="3">
        <f t="shared" si="79"/>
        <v>14</v>
      </c>
      <c r="K4327" s="3">
        <f t="shared" si="80"/>
        <v>0</v>
      </c>
      <c r="L4327" s="3" t="str">
        <f t="shared" si="81"/>
        <v>OPORTUNO</v>
      </c>
      <c r="N4327">
        <v>100</v>
      </c>
      <c r="O4327">
        <v>23.9870340356564</v>
      </c>
    </row>
    <row r="4328" spans="1:15" x14ac:dyDescent="0.25">
      <c r="A4328" s="11">
        <v>46139</v>
      </c>
      <c r="B4328" t="s">
        <v>53</v>
      </c>
      <c r="C4328" t="s">
        <v>18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 t="shared" si="78"/>
        <v>14</v>
      </c>
      <c r="J4328" s="3">
        <f t="shared" si="79"/>
        <v>14</v>
      </c>
      <c r="K4328" s="3">
        <f t="shared" si="80"/>
        <v>0</v>
      </c>
      <c r="L4328" s="3" t="str">
        <f t="shared" si="81"/>
        <v>OPORTUNO</v>
      </c>
      <c r="N4328">
        <v>95.49</v>
      </c>
      <c r="O4328">
        <v>28.16901408450704</v>
      </c>
    </row>
    <row r="4329" spans="1:15" x14ac:dyDescent="0.25">
      <c r="A4329" s="11">
        <v>46139</v>
      </c>
      <c r="B4329" t="s">
        <v>54</v>
      </c>
      <c r="C4329" t="s">
        <v>23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 t="shared" si="78"/>
        <v>6</v>
      </c>
      <c r="J4329" s="3">
        <f t="shared" si="79"/>
        <v>4</v>
      </c>
      <c r="K4329" s="3">
        <f t="shared" si="80"/>
        <v>2</v>
      </c>
      <c r="L4329" s="3" t="str">
        <f t="shared" si="81"/>
        <v>OPORTUNO</v>
      </c>
      <c r="N4329">
        <v>100</v>
      </c>
      <c r="O4329">
        <v>23.77622377622378</v>
      </c>
    </row>
    <row r="4330" spans="1:15" x14ac:dyDescent="0.25">
      <c r="A4330" s="11">
        <v>46139</v>
      </c>
      <c r="B4330" t="s">
        <v>55</v>
      </c>
      <c r="C4330" t="s">
        <v>43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f t="shared" si="78"/>
        <v>0</v>
      </c>
      <c r="J4330" s="3">
        <f t="shared" si="79"/>
        <v>8</v>
      </c>
      <c r="K4330" s="3">
        <f t="shared" si="80"/>
        <v>-8</v>
      </c>
      <c r="L4330" s="3" t="str">
        <f t="shared" si="81"/>
        <v>CRÍTICO</v>
      </c>
      <c r="N4330">
        <v>96.15</v>
      </c>
      <c r="O4330">
        <v>24.045801526717561</v>
      </c>
    </row>
    <row r="4331" spans="1:15" x14ac:dyDescent="0.25">
      <c r="A4331" s="11">
        <v>46139</v>
      </c>
      <c r="B4331" t="s">
        <v>56</v>
      </c>
      <c r="C4331" t="s">
        <v>16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si="78"/>
        <v>8</v>
      </c>
      <c r="J4331" s="3">
        <f t="shared" si="79"/>
        <v>11</v>
      </c>
      <c r="K4331" s="3">
        <f t="shared" si="80"/>
        <v>-3</v>
      </c>
      <c r="L4331" s="3" t="str">
        <f t="shared" si="81"/>
        <v>ATENÇÃO</v>
      </c>
      <c r="N4331">
        <v>99.02</v>
      </c>
      <c r="O4331">
        <v>34.797297297297298</v>
      </c>
    </row>
    <row r="4332" spans="1:15" x14ac:dyDescent="0.25">
      <c r="A4332" s="11">
        <v>46139</v>
      </c>
      <c r="B4332" t="s">
        <v>57</v>
      </c>
      <c r="C4332" t="s">
        <v>43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78"/>
        <v>8</v>
      </c>
      <c r="J4332" s="3">
        <f t="shared" si="79"/>
        <v>8</v>
      </c>
      <c r="K4332" s="3">
        <f t="shared" si="80"/>
        <v>0</v>
      </c>
      <c r="L4332" s="3" t="str">
        <f t="shared" si="81"/>
        <v>OPORTUNO</v>
      </c>
      <c r="N4332">
        <v>98.84</v>
      </c>
      <c r="O4332">
        <v>31.5018315018315</v>
      </c>
    </row>
    <row r="4333" spans="1:15" x14ac:dyDescent="0.25">
      <c r="A4333" s="11">
        <v>46139</v>
      </c>
      <c r="B4333" t="s">
        <v>58</v>
      </c>
      <c r="C4333" t="s">
        <v>43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78"/>
        <v>10</v>
      </c>
      <c r="J4333" s="3">
        <f t="shared" si="79"/>
        <v>8</v>
      </c>
      <c r="K4333" s="3">
        <f t="shared" si="80"/>
        <v>2</v>
      </c>
      <c r="L4333" s="3" t="str">
        <f t="shared" si="81"/>
        <v>OPORTUNO</v>
      </c>
      <c r="N4333">
        <v>100</v>
      </c>
      <c r="O4333">
        <v>34.666666666666671</v>
      </c>
    </row>
    <row r="4334" spans="1:15" x14ac:dyDescent="0.25">
      <c r="A4334" s="11">
        <v>46139</v>
      </c>
      <c r="B4334" t="s">
        <v>59</v>
      </c>
      <c r="C4334" t="s">
        <v>23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78"/>
        <v>4</v>
      </c>
      <c r="J4334" s="3">
        <f t="shared" si="79"/>
        <v>4</v>
      </c>
      <c r="K4334" s="3">
        <f t="shared" si="80"/>
        <v>0</v>
      </c>
      <c r="L4334" s="3" t="str">
        <f t="shared" si="81"/>
        <v>OPORTUNO</v>
      </c>
      <c r="N4334">
        <v>94.12</v>
      </c>
      <c r="O4334">
        <v>32.799999999999997</v>
      </c>
    </row>
    <row r="4335" spans="1:15" x14ac:dyDescent="0.25">
      <c r="A4335" s="11">
        <v>46139</v>
      </c>
      <c r="B4335" t="s">
        <v>60</v>
      </c>
      <c r="C4335" t="s">
        <v>20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78"/>
        <v>14</v>
      </c>
      <c r="J4335" s="3">
        <f t="shared" si="79"/>
        <v>9</v>
      </c>
      <c r="K4335" s="3">
        <f t="shared" si="80"/>
        <v>5</v>
      </c>
      <c r="L4335" s="3" t="str">
        <f t="shared" si="81"/>
        <v>OPORTUNO</v>
      </c>
      <c r="N4335">
        <v>98.32</v>
      </c>
      <c r="O4335">
        <v>26.618705035971221</v>
      </c>
    </row>
    <row r="4336" spans="1:15" x14ac:dyDescent="0.25">
      <c r="A4336" s="11">
        <v>46139</v>
      </c>
      <c r="B4336" t="s">
        <v>61</v>
      </c>
      <c r="C4336" t="s">
        <v>18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78"/>
        <v>16</v>
      </c>
      <c r="J4336" s="3">
        <f t="shared" si="79"/>
        <v>14</v>
      </c>
      <c r="K4336" s="3">
        <f t="shared" si="80"/>
        <v>2</v>
      </c>
      <c r="L4336" s="3" t="str">
        <f t="shared" si="81"/>
        <v>OPORTUNO</v>
      </c>
      <c r="N4336">
        <v>100</v>
      </c>
      <c r="O4336">
        <v>31.135531135531139</v>
      </c>
    </row>
    <row r="4337" spans="1:15" x14ac:dyDescent="0.25">
      <c r="A4337" s="11">
        <v>46139</v>
      </c>
      <c r="B4337" t="s">
        <v>62</v>
      </c>
      <c r="C4337" t="s">
        <v>20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78"/>
        <v>10</v>
      </c>
      <c r="J4337" s="3">
        <f t="shared" si="79"/>
        <v>9</v>
      </c>
      <c r="K4337" s="3">
        <f t="shared" si="80"/>
        <v>1</v>
      </c>
      <c r="L4337" s="3" t="str">
        <f t="shared" si="81"/>
        <v>OPORTUNO</v>
      </c>
      <c r="N4337">
        <v>100</v>
      </c>
      <c r="O4337">
        <v>26.027397260273968</v>
      </c>
    </row>
    <row r="4338" spans="1:15" x14ac:dyDescent="0.25">
      <c r="A4338" s="11">
        <v>46139</v>
      </c>
      <c r="B4338" t="s">
        <v>63</v>
      </c>
      <c r="C4338" t="s">
        <v>18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78"/>
        <v>15</v>
      </c>
      <c r="J4338" s="3">
        <f t="shared" si="79"/>
        <v>14</v>
      </c>
      <c r="K4338" s="3">
        <f t="shared" si="80"/>
        <v>1</v>
      </c>
      <c r="L4338" s="3" t="str">
        <f t="shared" si="81"/>
        <v>OPORTUNO</v>
      </c>
      <c r="N4338">
        <v>99.21</v>
      </c>
      <c r="O4338">
        <v>24.937027707808561</v>
      </c>
    </row>
    <row r="4339" spans="1:15" x14ac:dyDescent="0.25">
      <c r="A4339" s="11">
        <v>46140</v>
      </c>
      <c r="B4339" t="s">
        <v>15</v>
      </c>
      <c r="C4339" t="s">
        <v>16</v>
      </c>
      <c r="D4339">
        <v>53</v>
      </c>
      <c r="E4339">
        <v>46</v>
      </c>
      <c r="F4339">
        <v>10.58</v>
      </c>
      <c r="G4339">
        <v>0</v>
      </c>
      <c r="H4339">
        <v>0</v>
      </c>
      <c r="I4339" s="3">
        <f t="shared" si="78"/>
        <v>46</v>
      </c>
      <c r="J4339" s="3">
        <f t="shared" si="79"/>
        <v>25</v>
      </c>
      <c r="K4339" s="3">
        <f t="shared" si="80"/>
        <v>21</v>
      </c>
      <c r="L4339" s="3" t="str">
        <f t="shared" si="81"/>
        <v>MUITO BOM</v>
      </c>
      <c r="N4339">
        <v>100</v>
      </c>
      <c r="O4339">
        <v>32.764505119453922</v>
      </c>
    </row>
    <row r="4340" spans="1:15" x14ac:dyDescent="0.25">
      <c r="A4340" s="11">
        <v>46140</v>
      </c>
      <c r="B4340" t="s">
        <v>17</v>
      </c>
      <c r="C4340" t="s">
        <v>18</v>
      </c>
      <c r="D4340">
        <v>0</v>
      </c>
      <c r="E4340">
        <v>0</v>
      </c>
      <c r="F4340">
        <v>0</v>
      </c>
      <c r="G4340">
        <v>0</v>
      </c>
      <c r="H4340">
        <v>0</v>
      </c>
      <c r="I4340" s="3">
        <f t="shared" si="78"/>
        <v>0</v>
      </c>
      <c r="J4340" s="3">
        <f t="shared" si="79"/>
        <v>32</v>
      </c>
      <c r="K4340" s="3">
        <f t="shared" si="80"/>
        <v>-32</v>
      </c>
      <c r="L4340" s="3" t="str">
        <f t="shared" si="81"/>
        <v>CRÍTICO</v>
      </c>
      <c r="N4340">
        <v>98.66</v>
      </c>
      <c r="O4340">
        <v>35.15625</v>
      </c>
    </row>
    <row r="4341" spans="1:15" x14ac:dyDescent="0.25">
      <c r="A4341" s="11">
        <v>46140</v>
      </c>
      <c r="B4341" t="s">
        <v>19</v>
      </c>
      <c r="C4341" t="s">
        <v>20</v>
      </c>
      <c r="D4341">
        <v>26</v>
      </c>
      <c r="E4341">
        <v>24</v>
      </c>
      <c r="F4341">
        <v>19.190000000000001</v>
      </c>
      <c r="G4341">
        <v>0</v>
      </c>
      <c r="H4341">
        <v>0</v>
      </c>
      <c r="I4341" s="3">
        <f t="shared" si="78"/>
        <v>24</v>
      </c>
      <c r="J4341" s="3">
        <f t="shared" si="79"/>
        <v>21</v>
      </c>
      <c r="K4341" s="3">
        <f t="shared" si="80"/>
        <v>3</v>
      </c>
      <c r="L4341" s="3" t="str">
        <f t="shared" si="81"/>
        <v>OPORTUNO</v>
      </c>
      <c r="N4341">
        <v>99.32</v>
      </c>
      <c r="O4341">
        <v>30.45186640471513</v>
      </c>
    </row>
    <row r="4342" spans="1:15" x14ac:dyDescent="0.25">
      <c r="A4342" s="11">
        <v>46140</v>
      </c>
      <c r="B4342" t="s">
        <v>21</v>
      </c>
      <c r="C4342" t="s">
        <v>18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f t="shared" si="78"/>
        <v>0</v>
      </c>
      <c r="J4342" s="3">
        <f t="shared" si="79"/>
        <v>32</v>
      </c>
      <c r="K4342" s="3">
        <f t="shared" si="80"/>
        <v>-32</v>
      </c>
      <c r="L4342" s="3" t="str">
        <f t="shared" si="81"/>
        <v>CRÍTICO</v>
      </c>
      <c r="N4342">
        <v>100</v>
      </c>
      <c r="O4342">
        <v>27.803738317757009</v>
      </c>
    </row>
    <row r="4343" spans="1:15" x14ac:dyDescent="0.25">
      <c r="A4343" s="11">
        <v>46140</v>
      </c>
      <c r="B4343" t="s">
        <v>22</v>
      </c>
      <c r="C4343" t="s">
        <v>23</v>
      </c>
      <c r="D4343">
        <v>27</v>
      </c>
      <c r="E4343">
        <v>27</v>
      </c>
      <c r="F4343">
        <v>20.5</v>
      </c>
      <c r="G4343">
        <v>0</v>
      </c>
      <c r="H4343">
        <v>0</v>
      </c>
      <c r="I4343" s="3">
        <f t="shared" si="78"/>
        <v>27</v>
      </c>
      <c r="J4343" s="3">
        <f t="shared" si="79"/>
        <v>9</v>
      </c>
      <c r="K4343" s="3">
        <f t="shared" si="80"/>
        <v>18</v>
      </c>
      <c r="L4343" s="3" t="str">
        <f t="shared" si="81"/>
        <v>MUITO BOM</v>
      </c>
      <c r="N4343">
        <v>96.74</v>
      </c>
      <c r="O4343">
        <v>28.43137254901961</v>
      </c>
    </row>
    <row r="4344" spans="1:15" x14ac:dyDescent="0.25">
      <c r="A4344" s="11">
        <v>46140</v>
      </c>
      <c r="B4344" t="s">
        <v>24</v>
      </c>
      <c r="C4344" t="s">
        <v>16</v>
      </c>
      <c r="D4344">
        <v>34</v>
      </c>
      <c r="E4344">
        <v>34</v>
      </c>
      <c r="F4344">
        <v>13.45</v>
      </c>
      <c r="G4344">
        <v>0</v>
      </c>
      <c r="H4344">
        <v>0</v>
      </c>
      <c r="I4344" s="3">
        <f t="shared" si="78"/>
        <v>34</v>
      </c>
      <c r="J4344" s="3">
        <f t="shared" si="79"/>
        <v>25</v>
      </c>
      <c r="K4344" s="3">
        <f t="shared" si="80"/>
        <v>9</v>
      </c>
      <c r="L4344" s="3" t="str">
        <f t="shared" si="81"/>
        <v>MUITO BOM</v>
      </c>
      <c r="N4344">
        <v>98.82</v>
      </c>
      <c r="O4344">
        <v>30.741410488245929</v>
      </c>
    </row>
    <row r="4345" spans="1:15" x14ac:dyDescent="0.25">
      <c r="A4345" s="11">
        <v>46140</v>
      </c>
      <c r="B4345" t="s">
        <v>25</v>
      </c>
      <c r="C4345" t="s">
        <v>16</v>
      </c>
      <c r="D4345">
        <v>24</v>
      </c>
      <c r="E4345">
        <v>23</v>
      </c>
      <c r="F4345">
        <v>25.57</v>
      </c>
      <c r="G4345">
        <v>0</v>
      </c>
      <c r="H4345">
        <v>0</v>
      </c>
      <c r="I4345" s="3">
        <f t="shared" si="78"/>
        <v>23</v>
      </c>
      <c r="J4345" s="3">
        <f t="shared" si="79"/>
        <v>25</v>
      </c>
      <c r="K4345" s="3">
        <f t="shared" si="80"/>
        <v>-2</v>
      </c>
      <c r="L4345" s="3" t="str">
        <f t="shared" si="81"/>
        <v>ATENÇÃO</v>
      </c>
      <c r="N4345">
        <v>98.2</v>
      </c>
      <c r="O4345">
        <v>26.890756302521009</v>
      </c>
    </row>
    <row r="4346" spans="1:15" x14ac:dyDescent="0.25">
      <c r="A4346" s="11">
        <v>46140</v>
      </c>
      <c r="B4346" t="s">
        <v>26</v>
      </c>
      <c r="C4346" t="s">
        <v>23</v>
      </c>
      <c r="D4346">
        <v>10</v>
      </c>
      <c r="E4346">
        <v>9</v>
      </c>
      <c r="F4346">
        <v>13.36</v>
      </c>
      <c r="G4346">
        <v>0</v>
      </c>
      <c r="H4346">
        <v>0</v>
      </c>
      <c r="I4346" s="3">
        <f t="shared" si="78"/>
        <v>9</v>
      </c>
      <c r="J4346" s="3">
        <f t="shared" si="79"/>
        <v>9</v>
      </c>
      <c r="K4346" s="3">
        <f t="shared" si="80"/>
        <v>0</v>
      </c>
      <c r="L4346" s="3" t="str">
        <f t="shared" si="81"/>
        <v>OPORTUNO</v>
      </c>
      <c r="N4346">
        <v>100</v>
      </c>
      <c r="O4346">
        <v>23.134328358208951</v>
      </c>
    </row>
    <row r="4347" spans="1:15" x14ac:dyDescent="0.25">
      <c r="A4347" s="11">
        <v>46140</v>
      </c>
      <c r="B4347" t="s">
        <v>27</v>
      </c>
      <c r="C4347" t="s">
        <v>20</v>
      </c>
      <c r="D4347">
        <v>27</v>
      </c>
      <c r="E4347">
        <v>26</v>
      </c>
      <c r="F4347">
        <v>15.4</v>
      </c>
      <c r="G4347">
        <v>0</v>
      </c>
      <c r="H4347">
        <v>0</v>
      </c>
      <c r="I4347" s="3">
        <f t="shared" si="78"/>
        <v>26</v>
      </c>
      <c r="J4347" s="3">
        <f t="shared" si="79"/>
        <v>21</v>
      </c>
      <c r="K4347" s="3">
        <f t="shared" si="80"/>
        <v>5</v>
      </c>
      <c r="L4347" s="3" t="str">
        <f t="shared" si="81"/>
        <v>OPORTUNO</v>
      </c>
      <c r="N4347">
        <v>96.3</v>
      </c>
      <c r="O4347">
        <v>31.980906921241051</v>
      </c>
    </row>
    <row r="4348" spans="1:15" x14ac:dyDescent="0.25">
      <c r="A4348" s="11">
        <v>46140</v>
      </c>
      <c r="B4348" t="s">
        <v>28</v>
      </c>
      <c r="C4348" t="s">
        <v>18</v>
      </c>
      <c r="D4348">
        <v>28</v>
      </c>
      <c r="E4348">
        <v>24</v>
      </c>
      <c r="F4348">
        <v>15.03</v>
      </c>
      <c r="G4348">
        <v>0</v>
      </c>
      <c r="H4348">
        <v>0</v>
      </c>
      <c r="I4348" s="3">
        <f t="shared" si="78"/>
        <v>24</v>
      </c>
      <c r="J4348" s="3">
        <f t="shared" si="79"/>
        <v>32</v>
      </c>
      <c r="K4348" s="3">
        <f t="shared" si="80"/>
        <v>-8</v>
      </c>
      <c r="L4348" s="3" t="str">
        <f t="shared" si="81"/>
        <v>CRÍTICO</v>
      </c>
      <c r="N4348">
        <v>93.75</v>
      </c>
      <c r="O4348">
        <v>26.628352490421459</v>
      </c>
    </row>
    <row r="4349" spans="1:15" x14ac:dyDescent="0.25">
      <c r="A4349" s="11">
        <v>46140</v>
      </c>
      <c r="B4349" t="s">
        <v>29</v>
      </c>
      <c r="C4349" t="s">
        <v>16</v>
      </c>
      <c r="D4349">
        <v>0</v>
      </c>
      <c r="E4349">
        <v>0</v>
      </c>
      <c r="F4349">
        <v>0</v>
      </c>
      <c r="G4349">
        <v>0</v>
      </c>
      <c r="H4349">
        <v>0</v>
      </c>
      <c r="I4349" s="3">
        <f t="shared" si="78"/>
        <v>0</v>
      </c>
      <c r="J4349" s="3">
        <f t="shared" si="79"/>
        <v>25</v>
      </c>
      <c r="K4349" s="3">
        <f t="shared" si="80"/>
        <v>-25</v>
      </c>
      <c r="L4349" s="3" t="str">
        <f t="shared" si="81"/>
        <v>CRÍTICO</v>
      </c>
      <c r="N4349">
        <v>97.86</v>
      </c>
      <c r="O4349">
        <v>31.018518518518519</v>
      </c>
    </row>
    <row r="4350" spans="1:15" x14ac:dyDescent="0.25">
      <c r="A4350" s="11">
        <v>46140</v>
      </c>
      <c r="B4350" t="s">
        <v>30</v>
      </c>
      <c r="C4350" t="s">
        <v>20</v>
      </c>
      <c r="D4350">
        <v>17</v>
      </c>
      <c r="E4350">
        <v>17</v>
      </c>
      <c r="F4350">
        <v>17.23</v>
      </c>
      <c r="G4350">
        <v>0</v>
      </c>
      <c r="H4350">
        <v>0</v>
      </c>
      <c r="I4350" s="3">
        <f t="shared" si="78"/>
        <v>17</v>
      </c>
      <c r="J4350" s="3">
        <f t="shared" si="79"/>
        <v>21</v>
      </c>
      <c r="K4350" s="3">
        <f t="shared" si="80"/>
        <v>-4</v>
      </c>
      <c r="L4350" s="3" t="str">
        <f t="shared" si="81"/>
        <v>ATENÇÃO</v>
      </c>
      <c r="N4350">
        <v>100</v>
      </c>
      <c r="O4350">
        <v>36.231884057971023</v>
      </c>
    </row>
    <row r="4351" spans="1:15" x14ac:dyDescent="0.25">
      <c r="A4351" s="11">
        <v>46140</v>
      </c>
      <c r="B4351" t="s">
        <v>31</v>
      </c>
      <c r="C4351" t="s">
        <v>18</v>
      </c>
      <c r="D4351">
        <v>0</v>
      </c>
      <c r="E4351">
        <v>0</v>
      </c>
      <c r="F4351">
        <v>0</v>
      </c>
      <c r="G4351">
        <v>0</v>
      </c>
      <c r="H4351">
        <v>0</v>
      </c>
      <c r="I4351" s="3">
        <f t="shared" si="78"/>
        <v>0</v>
      </c>
      <c r="J4351" s="3">
        <f t="shared" si="79"/>
        <v>32</v>
      </c>
      <c r="K4351" s="3">
        <f t="shared" si="80"/>
        <v>-32</v>
      </c>
      <c r="L4351" s="3" t="str">
        <f t="shared" si="81"/>
        <v>CRÍTICO</v>
      </c>
      <c r="N4351">
        <v>100</v>
      </c>
      <c r="O4351">
        <v>38.269230769230766</v>
      </c>
    </row>
    <row r="4352" spans="1:15" x14ac:dyDescent="0.25">
      <c r="A4352" s="11">
        <v>46140</v>
      </c>
      <c r="B4352" t="s">
        <v>32</v>
      </c>
      <c r="C4352" t="s">
        <v>23</v>
      </c>
      <c r="D4352">
        <v>8</v>
      </c>
      <c r="E4352">
        <v>6</v>
      </c>
      <c r="F4352">
        <v>39.18</v>
      </c>
      <c r="G4352">
        <v>0</v>
      </c>
      <c r="H4352">
        <v>0</v>
      </c>
      <c r="I4352" s="3">
        <f t="shared" si="78"/>
        <v>6</v>
      </c>
      <c r="J4352" s="3">
        <f t="shared" si="79"/>
        <v>9</v>
      </c>
      <c r="K4352" s="3">
        <f t="shared" si="80"/>
        <v>-3</v>
      </c>
      <c r="L4352" s="3" t="str">
        <f t="shared" si="81"/>
        <v>ATENÇÃO</v>
      </c>
      <c r="N4352">
        <v>100</v>
      </c>
      <c r="O4352">
        <v>27.368421052631579</v>
      </c>
    </row>
    <row r="4353" spans="1:15" x14ac:dyDescent="0.25">
      <c r="A4353" s="11">
        <v>46140</v>
      </c>
      <c r="B4353" t="s">
        <v>33</v>
      </c>
      <c r="C4353" t="s">
        <v>16</v>
      </c>
      <c r="D4353">
        <v>27</v>
      </c>
      <c r="E4353">
        <v>27</v>
      </c>
      <c r="F4353">
        <v>18.350000000000001</v>
      </c>
      <c r="G4353">
        <v>0</v>
      </c>
      <c r="H4353">
        <v>0</v>
      </c>
      <c r="I4353" s="3">
        <f t="shared" si="78"/>
        <v>27</v>
      </c>
      <c r="J4353" s="3">
        <f t="shared" si="79"/>
        <v>25</v>
      </c>
      <c r="K4353" s="3">
        <f t="shared" si="80"/>
        <v>2</v>
      </c>
      <c r="L4353" s="3" t="str">
        <f t="shared" si="81"/>
        <v>OPORTUNO</v>
      </c>
      <c r="N4353">
        <v>97.83</v>
      </c>
      <c r="O4353">
        <v>28.131868131868131</v>
      </c>
    </row>
    <row r="4354" spans="1:15" x14ac:dyDescent="0.25">
      <c r="A4354" s="11">
        <v>46140</v>
      </c>
      <c r="B4354" t="s">
        <v>34</v>
      </c>
      <c r="C4354" t="s">
        <v>18</v>
      </c>
      <c r="D4354">
        <v>32</v>
      </c>
      <c r="E4354">
        <v>31</v>
      </c>
      <c r="F4354">
        <v>18.489999999999998</v>
      </c>
      <c r="G4354">
        <v>0</v>
      </c>
      <c r="H4354">
        <v>0</v>
      </c>
      <c r="I4354" s="3">
        <f t="shared" si="78"/>
        <v>31</v>
      </c>
      <c r="J4354" s="3">
        <f t="shared" si="79"/>
        <v>32</v>
      </c>
      <c r="K4354" s="3">
        <f t="shared" si="80"/>
        <v>-1</v>
      </c>
      <c r="L4354" s="3" t="str">
        <f t="shared" si="81"/>
        <v>ATENÇÃO</v>
      </c>
      <c r="N4354">
        <v>99.26</v>
      </c>
      <c r="O4354">
        <v>29.57198443579767</v>
      </c>
    </row>
    <row r="4355" spans="1:15" x14ac:dyDescent="0.25">
      <c r="A4355" s="11">
        <v>46140</v>
      </c>
      <c r="B4355" t="s">
        <v>35</v>
      </c>
      <c r="C4355" t="s">
        <v>16</v>
      </c>
      <c r="D4355">
        <v>29</v>
      </c>
      <c r="E4355">
        <v>25</v>
      </c>
      <c r="F4355">
        <v>20.23</v>
      </c>
      <c r="G4355">
        <v>0</v>
      </c>
      <c r="H4355">
        <v>0</v>
      </c>
      <c r="I4355" s="3">
        <f t="shared" si="78"/>
        <v>25</v>
      </c>
      <c r="J4355" s="3">
        <f t="shared" si="79"/>
        <v>25</v>
      </c>
      <c r="K4355" s="3">
        <f t="shared" si="80"/>
        <v>0</v>
      </c>
      <c r="L4355" s="3" t="str">
        <f t="shared" si="81"/>
        <v>OPORTUNO</v>
      </c>
      <c r="N4355">
        <v>99.19</v>
      </c>
      <c r="O4355">
        <v>29.462365591397852</v>
      </c>
    </row>
    <row r="4356" spans="1:15" x14ac:dyDescent="0.25">
      <c r="A4356" s="10">
        <v>46164</v>
      </c>
      <c r="B4356" s="6" t="s">
        <v>36</v>
      </c>
      <c r="C4356" s="3" t="s">
        <v>20</v>
      </c>
      <c r="D4356" s="3">
        <v>8</v>
      </c>
      <c r="E4356" s="3">
        <v>7</v>
      </c>
      <c r="F4356" s="3">
        <v>18.34</v>
      </c>
      <c r="G4356" s="3">
        <v>0</v>
      </c>
      <c r="H4356" s="3">
        <v>0</v>
      </c>
      <c r="I4356" s="3">
        <f t="shared" si="78"/>
        <v>7</v>
      </c>
      <c r="J4356" s="3">
        <f t="shared" si="79"/>
        <v>13</v>
      </c>
      <c r="K4356" s="3">
        <f t="shared" si="80"/>
        <v>-6</v>
      </c>
      <c r="L4356" s="3" t="str">
        <f t="shared" si="81"/>
        <v>CRÍTICO</v>
      </c>
      <c r="M4356" s="3">
        <v>7</v>
      </c>
      <c r="N4356" s="3">
        <v>98.8</v>
      </c>
      <c r="O4356" s="3">
        <v>15.41353383458646</v>
      </c>
    </row>
    <row r="4357" spans="1:15" x14ac:dyDescent="0.25">
      <c r="A4357" s="11">
        <v>46140</v>
      </c>
      <c r="B4357" t="s">
        <v>37</v>
      </c>
      <c r="C4357" t="s">
        <v>16</v>
      </c>
      <c r="D4357">
        <v>37</v>
      </c>
      <c r="E4357">
        <v>36</v>
      </c>
      <c r="F4357">
        <v>15.51</v>
      </c>
      <c r="G4357">
        <v>0</v>
      </c>
      <c r="H4357">
        <v>0</v>
      </c>
      <c r="I4357" s="3">
        <f t="shared" si="78"/>
        <v>36</v>
      </c>
      <c r="J4357" s="3">
        <f t="shared" si="79"/>
        <v>25</v>
      </c>
      <c r="K4357" s="3">
        <f t="shared" si="80"/>
        <v>11</v>
      </c>
      <c r="L4357" s="3" t="str">
        <f t="shared" si="81"/>
        <v>MUITO BOM</v>
      </c>
      <c r="N4357">
        <v>100</v>
      </c>
      <c r="O4357">
        <v>27.941176470588239</v>
      </c>
    </row>
    <row r="4358" spans="1:15" x14ac:dyDescent="0.25">
      <c r="A4358" s="11">
        <v>46140</v>
      </c>
      <c r="B4358" t="s">
        <v>38</v>
      </c>
      <c r="C4358" t="s">
        <v>18</v>
      </c>
      <c r="D4358">
        <v>38</v>
      </c>
      <c r="E4358">
        <v>35</v>
      </c>
      <c r="F4358">
        <v>16.57</v>
      </c>
      <c r="G4358">
        <v>0</v>
      </c>
      <c r="H4358">
        <v>0</v>
      </c>
      <c r="I4358" s="3">
        <f t="shared" si="78"/>
        <v>35</v>
      </c>
      <c r="J4358" s="3">
        <f t="shared" si="79"/>
        <v>32</v>
      </c>
      <c r="K4358" s="3">
        <f t="shared" si="80"/>
        <v>3</v>
      </c>
      <c r="L4358" s="3" t="str">
        <f t="shared" si="81"/>
        <v>OPORTUNO</v>
      </c>
      <c r="N4358">
        <v>99.57</v>
      </c>
      <c r="O4358">
        <v>29.913294797687861</v>
      </c>
    </row>
    <row r="4359" spans="1:15" x14ac:dyDescent="0.25">
      <c r="A4359" s="11">
        <v>46140</v>
      </c>
      <c r="B4359" t="s">
        <v>39</v>
      </c>
      <c r="C4359" t="s">
        <v>18</v>
      </c>
      <c r="D4359">
        <v>28</v>
      </c>
      <c r="E4359">
        <v>28</v>
      </c>
      <c r="F4359">
        <v>14.08</v>
      </c>
      <c r="G4359">
        <v>0</v>
      </c>
      <c r="H4359">
        <v>0</v>
      </c>
      <c r="I4359" s="3">
        <f t="shared" si="78"/>
        <v>28</v>
      </c>
      <c r="J4359" s="3">
        <f t="shared" si="79"/>
        <v>32</v>
      </c>
      <c r="K4359" s="3">
        <f t="shared" si="80"/>
        <v>-4</v>
      </c>
      <c r="L4359" s="3" t="str">
        <f t="shared" si="81"/>
        <v>ATENÇÃO</v>
      </c>
      <c r="N4359">
        <v>95.65</v>
      </c>
      <c r="O4359">
        <v>31.081081081081081</v>
      </c>
    </row>
    <row r="4360" spans="1:15" x14ac:dyDescent="0.25">
      <c r="A4360" s="11">
        <v>46140</v>
      </c>
      <c r="B4360" t="s">
        <v>40</v>
      </c>
      <c r="C4360" t="s">
        <v>16</v>
      </c>
      <c r="D4360">
        <v>29</v>
      </c>
      <c r="E4360">
        <v>25</v>
      </c>
      <c r="F4360">
        <v>17.3</v>
      </c>
      <c r="G4360">
        <v>0</v>
      </c>
      <c r="H4360">
        <v>0</v>
      </c>
      <c r="I4360" s="3">
        <f t="shared" si="78"/>
        <v>25</v>
      </c>
      <c r="J4360" s="3">
        <f t="shared" si="79"/>
        <v>25</v>
      </c>
      <c r="K4360" s="3">
        <f t="shared" si="80"/>
        <v>0</v>
      </c>
      <c r="L4360" s="3" t="str">
        <f t="shared" si="81"/>
        <v>OPORTUNO</v>
      </c>
      <c r="N4360">
        <v>98.81</v>
      </c>
      <c r="O4360">
        <v>26.256983240223459</v>
      </c>
    </row>
    <row r="4361" spans="1:15" x14ac:dyDescent="0.25">
      <c r="A4361" s="11">
        <v>46140</v>
      </c>
      <c r="B4361" t="s">
        <v>41</v>
      </c>
      <c r="C4361" t="s">
        <v>18</v>
      </c>
      <c r="D4361">
        <v>0</v>
      </c>
      <c r="E4361">
        <v>0</v>
      </c>
      <c r="F4361">
        <v>0</v>
      </c>
      <c r="G4361">
        <v>0</v>
      </c>
      <c r="H4361">
        <v>0</v>
      </c>
      <c r="I4361" s="3">
        <f t="shared" si="78"/>
        <v>0</v>
      </c>
      <c r="J4361" s="3">
        <f t="shared" si="79"/>
        <v>32</v>
      </c>
      <c r="K4361" s="3">
        <f t="shared" si="80"/>
        <v>-32</v>
      </c>
      <c r="L4361" s="3" t="str">
        <f t="shared" si="81"/>
        <v>CRÍTICO</v>
      </c>
      <c r="N4361">
        <v>0</v>
      </c>
      <c r="O4361">
        <v>0</v>
      </c>
    </row>
    <row r="4362" spans="1:15" x14ac:dyDescent="0.25">
      <c r="A4362" s="11">
        <v>46140</v>
      </c>
      <c r="B4362" t="s">
        <v>42</v>
      </c>
      <c r="C4362" t="s">
        <v>43</v>
      </c>
      <c r="D4362">
        <v>27</v>
      </c>
      <c r="E4362">
        <v>25</v>
      </c>
      <c r="F4362">
        <v>16.48</v>
      </c>
      <c r="G4362">
        <v>0</v>
      </c>
      <c r="H4362">
        <v>0</v>
      </c>
      <c r="I4362" s="3">
        <f t="shared" si="78"/>
        <v>25</v>
      </c>
      <c r="J4362" s="3">
        <f t="shared" si="79"/>
        <v>18</v>
      </c>
      <c r="K4362" s="3">
        <f t="shared" si="80"/>
        <v>7</v>
      </c>
      <c r="L4362" s="3" t="str">
        <f t="shared" si="81"/>
        <v>MUITO BOM</v>
      </c>
      <c r="N4362">
        <v>97.17</v>
      </c>
      <c r="O4362">
        <v>28.81844380403458</v>
      </c>
    </row>
    <row r="4363" spans="1:15" x14ac:dyDescent="0.25">
      <c r="A4363" s="11">
        <v>46140</v>
      </c>
      <c r="B4363" t="s">
        <v>44</v>
      </c>
      <c r="C4363" t="s">
        <v>18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f t="shared" si="78"/>
        <v>0</v>
      </c>
      <c r="J4363" s="3">
        <f t="shared" si="79"/>
        <v>32</v>
      </c>
      <c r="K4363" s="3">
        <f t="shared" si="80"/>
        <v>-32</v>
      </c>
      <c r="L4363" s="3" t="str">
        <f t="shared" si="81"/>
        <v>CRÍTICO</v>
      </c>
      <c r="N4363">
        <v>96.81</v>
      </c>
      <c r="O4363">
        <v>48.018648018648022</v>
      </c>
    </row>
    <row r="4364" spans="1:15" x14ac:dyDescent="0.25">
      <c r="A4364" s="11">
        <v>46140</v>
      </c>
      <c r="B4364" t="s">
        <v>45</v>
      </c>
      <c r="C4364" t="s">
        <v>43</v>
      </c>
      <c r="D4364">
        <v>17</v>
      </c>
      <c r="E4364">
        <v>14</v>
      </c>
      <c r="F4364">
        <v>22.19</v>
      </c>
      <c r="G4364">
        <v>0</v>
      </c>
      <c r="H4364">
        <v>0</v>
      </c>
      <c r="I4364" s="3">
        <f t="shared" si="78"/>
        <v>14</v>
      </c>
      <c r="J4364" s="3">
        <f t="shared" si="79"/>
        <v>18</v>
      </c>
      <c r="K4364" s="3">
        <f t="shared" si="80"/>
        <v>-4</v>
      </c>
      <c r="L4364" s="3" t="str">
        <f t="shared" si="81"/>
        <v>ATENÇÃO</v>
      </c>
      <c r="N4364">
        <v>98.15</v>
      </c>
      <c r="O4364">
        <v>27.1551724137931</v>
      </c>
    </row>
    <row r="4365" spans="1:15" x14ac:dyDescent="0.25">
      <c r="A4365" s="11">
        <v>46140</v>
      </c>
      <c r="B4365" t="s">
        <v>46</v>
      </c>
      <c r="C4365" t="s">
        <v>18</v>
      </c>
      <c r="D4365">
        <v>29</v>
      </c>
      <c r="E4365">
        <v>28</v>
      </c>
      <c r="F4365">
        <v>17.309999999999999</v>
      </c>
      <c r="G4365">
        <v>0</v>
      </c>
      <c r="H4365">
        <v>0</v>
      </c>
      <c r="I4365" s="3">
        <f t="shared" si="78"/>
        <v>28</v>
      </c>
      <c r="J4365" s="3">
        <f t="shared" si="79"/>
        <v>32</v>
      </c>
      <c r="K4365" s="3">
        <f t="shared" si="80"/>
        <v>-4</v>
      </c>
      <c r="L4365" s="3" t="str">
        <f t="shared" si="81"/>
        <v>ATENÇÃO</v>
      </c>
      <c r="N4365">
        <v>99.15</v>
      </c>
      <c r="O4365">
        <v>27.370689655172409</v>
      </c>
    </row>
    <row r="4366" spans="1:15" x14ac:dyDescent="0.25">
      <c r="A4366" s="11">
        <v>46140</v>
      </c>
      <c r="B4366" t="s">
        <v>47</v>
      </c>
      <c r="C4366" t="s">
        <v>16</v>
      </c>
      <c r="D4366">
        <v>20</v>
      </c>
      <c r="E4366">
        <v>19</v>
      </c>
      <c r="F4366">
        <v>21.45</v>
      </c>
      <c r="G4366">
        <v>0</v>
      </c>
      <c r="H4366">
        <v>0</v>
      </c>
      <c r="I4366" s="3">
        <f t="shared" si="78"/>
        <v>19</v>
      </c>
      <c r="J4366" s="3">
        <f t="shared" si="79"/>
        <v>25</v>
      </c>
      <c r="K4366" s="3">
        <f t="shared" si="80"/>
        <v>-6</v>
      </c>
      <c r="L4366" s="3" t="str">
        <f t="shared" si="81"/>
        <v>CRÍTICO</v>
      </c>
      <c r="N4366">
        <v>99.17</v>
      </c>
      <c r="O4366">
        <v>29.75206611570248</v>
      </c>
    </row>
    <row r="4367" spans="1:15" x14ac:dyDescent="0.25">
      <c r="A4367" s="11">
        <v>46140</v>
      </c>
      <c r="B4367" t="s">
        <v>48</v>
      </c>
      <c r="C4367" t="s">
        <v>16</v>
      </c>
      <c r="D4367">
        <v>0</v>
      </c>
      <c r="E4367">
        <v>0</v>
      </c>
      <c r="F4367">
        <v>0</v>
      </c>
      <c r="G4367">
        <v>0</v>
      </c>
      <c r="H4367">
        <v>0</v>
      </c>
      <c r="I4367" s="3">
        <f t="shared" si="78"/>
        <v>0</v>
      </c>
      <c r="J4367" s="3">
        <f t="shared" si="79"/>
        <v>25</v>
      </c>
      <c r="K4367" s="3">
        <f t="shared" si="80"/>
        <v>-25</v>
      </c>
      <c r="L4367" s="3" t="str">
        <f t="shared" si="81"/>
        <v>CRÍTICO</v>
      </c>
      <c r="N4367">
        <v>98.73</v>
      </c>
      <c r="O4367">
        <v>28.961748633879779</v>
      </c>
    </row>
    <row r="4368" spans="1:15" x14ac:dyDescent="0.25">
      <c r="A4368" s="11">
        <v>46140</v>
      </c>
      <c r="B4368" t="s">
        <v>49</v>
      </c>
      <c r="C4368" t="s">
        <v>18</v>
      </c>
      <c r="D4368">
        <v>0</v>
      </c>
      <c r="E4368">
        <v>0</v>
      </c>
      <c r="F4368">
        <v>0</v>
      </c>
      <c r="G4368">
        <v>0</v>
      </c>
      <c r="H4368">
        <v>0</v>
      </c>
      <c r="I4368" s="3">
        <f t="shared" si="78"/>
        <v>0</v>
      </c>
      <c r="J4368" s="3">
        <f t="shared" si="79"/>
        <v>32</v>
      </c>
      <c r="K4368" s="3">
        <f t="shared" si="80"/>
        <v>-32</v>
      </c>
      <c r="L4368" s="3" t="str">
        <f t="shared" si="81"/>
        <v>CRÍTICO</v>
      </c>
      <c r="N4368">
        <v>88.68</v>
      </c>
      <c r="O4368">
        <v>22.03389830508474</v>
      </c>
    </row>
    <row r="4369" spans="1:15" x14ac:dyDescent="0.25">
      <c r="A4369" s="11">
        <v>46140</v>
      </c>
      <c r="B4369" t="s">
        <v>50</v>
      </c>
      <c r="C4369" t="s">
        <v>20</v>
      </c>
      <c r="D4369">
        <v>20</v>
      </c>
      <c r="E4369">
        <v>19</v>
      </c>
      <c r="F4369">
        <v>20.09</v>
      </c>
      <c r="G4369">
        <v>0</v>
      </c>
      <c r="H4369">
        <v>0</v>
      </c>
      <c r="I4369" s="3">
        <f t="shared" si="78"/>
        <v>19</v>
      </c>
      <c r="J4369" s="3">
        <f t="shared" si="79"/>
        <v>21</v>
      </c>
      <c r="K4369" s="3">
        <f t="shared" si="80"/>
        <v>-2</v>
      </c>
      <c r="L4369" s="3" t="str">
        <f t="shared" si="81"/>
        <v>ATENÇÃO</v>
      </c>
      <c r="N4369">
        <v>97.37</v>
      </c>
      <c r="O4369">
        <v>25.76530612244898</v>
      </c>
    </row>
    <row r="4370" spans="1:15" x14ac:dyDescent="0.25">
      <c r="A4370" s="11">
        <v>46140</v>
      </c>
      <c r="B4370" t="s">
        <v>51</v>
      </c>
      <c r="C4370" t="s">
        <v>23</v>
      </c>
      <c r="D4370">
        <v>78</v>
      </c>
      <c r="E4370">
        <v>47</v>
      </c>
      <c r="F4370">
        <v>5.47</v>
      </c>
      <c r="G4370">
        <v>0</v>
      </c>
      <c r="H4370">
        <v>0</v>
      </c>
      <c r="I4370" s="3">
        <f t="shared" si="78"/>
        <v>47</v>
      </c>
      <c r="J4370" s="3">
        <f t="shared" si="79"/>
        <v>9</v>
      </c>
      <c r="K4370" s="3">
        <f t="shared" si="80"/>
        <v>38</v>
      </c>
      <c r="L4370" s="3" t="str">
        <f t="shared" si="81"/>
        <v>MUITO BOM</v>
      </c>
      <c r="N4370">
        <v>100</v>
      </c>
      <c r="O4370">
        <v>25</v>
      </c>
    </row>
    <row r="4371" spans="1:15" x14ac:dyDescent="0.25">
      <c r="A4371" s="11">
        <v>46140</v>
      </c>
      <c r="B4371" t="s">
        <v>52</v>
      </c>
      <c r="C4371" t="s">
        <v>18</v>
      </c>
      <c r="D4371">
        <v>35</v>
      </c>
      <c r="E4371">
        <v>34</v>
      </c>
      <c r="F4371">
        <v>15.13</v>
      </c>
      <c r="G4371">
        <v>0</v>
      </c>
      <c r="H4371">
        <v>0</v>
      </c>
      <c r="I4371" s="3">
        <f t="shared" si="78"/>
        <v>34</v>
      </c>
      <c r="J4371" s="3">
        <f t="shared" si="79"/>
        <v>32</v>
      </c>
      <c r="K4371" s="3">
        <f t="shared" si="80"/>
        <v>2</v>
      </c>
      <c r="L4371" s="3" t="str">
        <f t="shared" si="81"/>
        <v>OPORTUNO</v>
      </c>
      <c r="N4371">
        <v>100</v>
      </c>
      <c r="O4371">
        <v>23.9870340356564</v>
      </c>
    </row>
    <row r="4372" spans="1:15" x14ac:dyDescent="0.25">
      <c r="A4372" s="11">
        <v>46140</v>
      </c>
      <c r="B4372" t="s">
        <v>53</v>
      </c>
      <c r="C4372" t="s">
        <v>18</v>
      </c>
      <c r="D4372">
        <v>38</v>
      </c>
      <c r="E4372">
        <v>32</v>
      </c>
      <c r="F4372">
        <v>12.32</v>
      </c>
      <c r="G4372">
        <v>0</v>
      </c>
      <c r="H4372">
        <v>0</v>
      </c>
      <c r="I4372" s="3">
        <f t="shared" si="78"/>
        <v>32</v>
      </c>
      <c r="J4372" s="3">
        <f t="shared" si="79"/>
        <v>32</v>
      </c>
      <c r="K4372" s="3">
        <f t="shared" si="80"/>
        <v>0</v>
      </c>
      <c r="L4372" s="3" t="str">
        <f t="shared" si="81"/>
        <v>OPORTUNO</v>
      </c>
      <c r="N4372">
        <v>95.49</v>
      </c>
      <c r="O4372">
        <v>28.16901408450704</v>
      </c>
    </row>
    <row r="4373" spans="1:15" x14ac:dyDescent="0.25">
      <c r="A4373" s="11">
        <v>46140</v>
      </c>
      <c r="B4373" t="s">
        <v>54</v>
      </c>
      <c r="C4373" t="s">
        <v>23</v>
      </c>
      <c r="D4373">
        <v>13</v>
      </c>
      <c r="E4373">
        <v>13</v>
      </c>
      <c r="F4373">
        <v>25.28</v>
      </c>
      <c r="G4373">
        <v>0</v>
      </c>
      <c r="H4373">
        <v>0</v>
      </c>
      <c r="I4373" s="3">
        <f t="shared" si="78"/>
        <v>13</v>
      </c>
      <c r="J4373" s="3">
        <f t="shared" si="79"/>
        <v>9</v>
      </c>
      <c r="K4373" s="3">
        <f t="shared" si="80"/>
        <v>4</v>
      </c>
      <c r="L4373" s="3" t="str">
        <f t="shared" si="81"/>
        <v>OPORTUNO</v>
      </c>
      <c r="N4373">
        <v>100</v>
      </c>
      <c r="O4373">
        <v>23.77622377622378</v>
      </c>
    </row>
    <row r="4374" spans="1:15" x14ac:dyDescent="0.25">
      <c r="A4374" s="11">
        <v>46140</v>
      </c>
      <c r="B4374" t="s">
        <v>55</v>
      </c>
      <c r="C4374" t="s">
        <v>43</v>
      </c>
      <c r="D4374">
        <v>28</v>
      </c>
      <c r="E4374">
        <v>18</v>
      </c>
      <c r="F4374">
        <v>15.03</v>
      </c>
      <c r="G4374">
        <v>0</v>
      </c>
      <c r="H4374">
        <v>0</v>
      </c>
      <c r="I4374" s="3">
        <f t="shared" si="78"/>
        <v>18</v>
      </c>
      <c r="J4374" s="3">
        <f t="shared" si="79"/>
        <v>18</v>
      </c>
      <c r="K4374" s="3">
        <f t="shared" si="80"/>
        <v>0</v>
      </c>
      <c r="L4374" s="3" t="str">
        <f t="shared" si="81"/>
        <v>OPORTUNO</v>
      </c>
      <c r="N4374">
        <v>96.15</v>
      </c>
      <c r="O4374">
        <v>24.045801526717561</v>
      </c>
    </row>
    <row r="4375" spans="1:15" x14ac:dyDescent="0.25">
      <c r="A4375" s="11">
        <v>46140</v>
      </c>
      <c r="B4375" t="s">
        <v>56</v>
      </c>
      <c r="C4375" t="s">
        <v>16</v>
      </c>
      <c r="D4375">
        <v>0</v>
      </c>
      <c r="E4375">
        <v>0</v>
      </c>
      <c r="F4375">
        <v>0</v>
      </c>
      <c r="G4375">
        <v>0</v>
      </c>
      <c r="H4375">
        <v>0</v>
      </c>
      <c r="I4375" s="3">
        <f t="shared" si="78"/>
        <v>0</v>
      </c>
      <c r="J4375" s="3">
        <f t="shared" si="79"/>
        <v>25</v>
      </c>
      <c r="K4375" s="3">
        <f t="shared" si="80"/>
        <v>-25</v>
      </c>
      <c r="L4375" s="3" t="str">
        <f t="shared" si="81"/>
        <v>CRÍTICO</v>
      </c>
      <c r="N4375">
        <v>99.02</v>
      </c>
      <c r="O4375">
        <v>34.797297297297298</v>
      </c>
    </row>
    <row r="4376" spans="1:15" x14ac:dyDescent="0.25">
      <c r="A4376" s="11">
        <v>46140</v>
      </c>
      <c r="B4376" t="s">
        <v>57</v>
      </c>
      <c r="C4376" t="s">
        <v>43</v>
      </c>
      <c r="D4376">
        <v>23</v>
      </c>
      <c r="E4376">
        <v>22</v>
      </c>
      <c r="F4376">
        <v>17.079999999999998</v>
      </c>
      <c r="G4376">
        <v>0</v>
      </c>
      <c r="H4376">
        <v>0</v>
      </c>
      <c r="I4376" s="3">
        <f t="shared" si="78"/>
        <v>22</v>
      </c>
      <c r="J4376" s="3">
        <f t="shared" si="79"/>
        <v>18</v>
      </c>
      <c r="K4376" s="3">
        <f t="shared" si="80"/>
        <v>4</v>
      </c>
      <c r="L4376" s="3" t="str">
        <f t="shared" si="81"/>
        <v>OPORTUNO</v>
      </c>
      <c r="N4376">
        <v>98.84</v>
      </c>
      <c r="O4376">
        <v>31.5018315018315</v>
      </c>
    </row>
    <row r="4377" spans="1:15" x14ac:dyDescent="0.25">
      <c r="A4377" s="11">
        <v>46140</v>
      </c>
      <c r="B4377" t="s">
        <v>58</v>
      </c>
      <c r="C4377" t="s">
        <v>43</v>
      </c>
      <c r="D4377">
        <v>19</v>
      </c>
      <c r="E4377">
        <v>19</v>
      </c>
      <c r="F4377">
        <v>17.21</v>
      </c>
      <c r="G4377">
        <v>0</v>
      </c>
      <c r="H4377">
        <v>0</v>
      </c>
      <c r="I4377" s="3">
        <f t="shared" si="78"/>
        <v>19</v>
      </c>
      <c r="J4377" s="3">
        <f t="shared" si="79"/>
        <v>18</v>
      </c>
      <c r="K4377" s="3">
        <f t="shared" si="80"/>
        <v>1</v>
      </c>
      <c r="L4377" s="3" t="str">
        <f t="shared" si="81"/>
        <v>OPORTUNO</v>
      </c>
      <c r="N4377">
        <v>100</v>
      </c>
      <c r="O4377">
        <v>34.666666666666671</v>
      </c>
    </row>
    <row r="4378" spans="1:15" x14ac:dyDescent="0.25">
      <c r="A4378" s="11">
        <v>46140</v>
      </c>
      <c r="B4378" t="s">
        <v>59</v>
      </c>
      <c r="C4378" t="s">
        <v>23</v>
      </c>
      <c r="D4378">
        <v>13</v>
      </c>
      <c r="E4378">
        <v>13</v>
      </c>
      <c r="F4378">
        <v>33.200000000000003</v>
      </c>
      <c r="G4378">
        <v>0</v>
      </c>
      <c r="H4378">
        <v>0</v>
      </c>
      <c r="I4378" s="3">
        <f t="shared" si="78"/>
        <v>13</v>
      </c>
      <c r="J4378" s="3">
        <f t="shared" si="79"/>
        <v>9</v>
      </c>
      <c r="K4378" s="3">
        <f t="shared" si="80"/>
        <v>4</v>
      </c>
      <c r="L4378" s="3" t="str">
        <f t="shared" si="81"/>
        <v>OPORTUNO</v>
      </c>
      <c r="N4378">
        <v>94.12</v>
      </c>
      <c r="O4378">
        <v>32.799999999999997</v>
      </c>
    </row>
    <row r="4379" spans="1:15" x14ac:dyDescent="0.25">
      <c r="A4379" s="11">
        <v>46140</v>
      </c>
      <c r="B4379" t="s">
        <v>60</v>
      </c>
      <c r="C4379" t="s">
        <v>20</v>
      </c>
      <c r="D4379">
        <v>36</v>
      </c>
      <c r="E4379">
        <v>30</v>
      </c>
      <c r="F4379">
        <v>13.43</v>
      </c>
      <c r="G4379">
        <v>0</v>
      </c>
      <c r="H4379">
        <v>0</v>
      </c>
      <c r="I4379" s="3">
        <f t="shared" ref="I4379:I4442" si="82">E4379+G4379+H4379</f>
        <v>30</v>
      </c>
      <c r="J4379" s="3">
        <f t="shared" ref="J4379:J4442" si="83"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21</v>
      </c>
      <c r="K4379" s="3">
        <f t="shared" ref="K4379:K4442" si="84">I4379-J4379</f>
        <v>9</v>
      </c>
      <c r="L4379" s="3" t="str">
        <f t="shared" ref="L4379:L4442" si="85">IF(K4379&lt;-5,"CRÍTICO",IF(K4379&lt;0,"ATENÇÃO",IF(K4379&lt;=5,"OPORTUNO","MUITO BOM")))</f>
        <v>MUITO BOM</v>
      </c>
      <c r="N4379">
        <v>98.32</v>
      </c>
      <c r="O4379">
        <v>26.618705035971221</v>
      </c>
    </row>
    <row r="4380" spans="1:15" x14ac:dyDescent="0.25">
      <c r="A4380" s="11">
        <v>46140</v>
      </c>
      <c r="B4380" t="s">
        <v>61</v>
      </c>
      <c r="C4380" t="s">
        <v>18</v>
      </c>
      <c r="D4380">
        <v>43</v>
      </c>
      <c r="E4380">
        <v>39</v>
      </c>
      <c r="F4380">
        <v>12.1</v>
      </c>
      <c r="G4380">
        <v>0</v>
      </c>
      <c r="H4380">
        <v>0</v>
      </c>
      <c r="I4380" s="3">
        <f t="shared" si="82"/>
        <v>39</v>
      </c>
      <c r="J4380" s="3">
        <f t="shared" si="83"/>
        <v>32</v>
      </c>
      <c r="K4380" s="3">
        <f t="shared" si="84"/>
        <v>7</v>
      </c>
      <c r="L4380" s="3" t="str">
        <f t="shared" si="85"/>
        <v>MUITO BOM</v>
      </c>
      <c r="N4380">
        <v>100</v>
      </c>
      <c r="O4380">
        <v>31.135531135531139</v>
      </c>
    </row>
    <row r="4381" spans="1:15" x14ac:dyDescent="0.25">
      <c r="A4381" s="11">
        <v>46140</v>
      </c>
      <c r="B4381" t="s">
        <v>62</v>
      </c>
      <c r="C4381" t="s">
        <v>20</v>
      </c>
      <c r="D4381">
        <v>25</v>
      </c>
      <c r="E4381">
        <v>25</v>
      </c>
      <c r="F4381">
        <v>20.47</v>
      </c>
      <c r="G4381">
        <v>0</v>
      </c>
      <c r="H4381">
        <v>0</v>
      </c>
      <c r="I4381" s="3">
        <f t="shared" si="82"/>
        <v>25</v>
      </c>
      <c r="J4381" s="3">
        <f t="shared" si="83"/>
        <v>21</v>
      </c>
      <c r="K4381" s="3">
        <f t="shared" si="84"/>
        <v>4</v>
      </c>
      <c r="L4381" s="3" t="str">
        <f t="shared" si="85"/>
        <v>OPORTUNO</v>
      </c>
      <c r="N4381">
        <v>100</v>
      </c>
      <c r="O4381">
        <v>26.027397260273968</v>
      </c>
    </row>
    <row r="4382" spans="1:15" x14ac:dyDescent="0.25">
      <c r="A4382" s="11">
        <v>46140</v>
      </c>
      <c r="B4382" t="s">
        <v>63</v>
      </c>
      <c r="C4382" t="s">
        <v>18</v>
      </c>
      <c r="D4382">
        <v>30</v>
      </c>
      <c r="E4382">
        <v>28</v>
      </c>
      <c r="F4382">
        <v>17.329999999999998</v>
      </c>
      <c r="G4382">
        <v>0</v>
      </c>
      <c r="H4382">
        <v>0</v>
      </c>
      <c r="I4382" s="3">
        <f t="shared" si="82"/>
        <v>28</v>
      </c>
      <c r="J4382" s="3">
        <f t="shared" si="83"/>
        <v>32</v>
      </c>
      <c r="K4382" s="3">
        <f t="shared" si="84"/>
        <v>-4</v>
      </c>
      <c r="L4382" s="3" t="str">
        <f t="shared" si="85"/>
        <v>ATENÇÃO</v>
      </c>
      <c r="N4382">
        <v>99.21</v>
      </c>
      <c r="O4382">
        <v>24.937027707808561</v>
      </c>
    </row>
    <row r="4383" spans="1:15" x14ac:dyDescent="0.25">
      <c r="A4383" s="11">
        <v>46141</v>
      </c>
      <c r="B4383" t="s">
        <v>15</v>
      </c>
      <c r="C4383" t="s">
        <v>16</v>
      </c>
      <c r="D4383">
        <v>43</v>
      </c>
      <c r="E4383">
        <v>35</v>
      </c>
      <c r="F4383">
        <v>10.15</v>
      </c>
      <c r="G4383">
        <v>0</v>
      </c>
      <c r="H4383">
        <v>0</v>
      </c>
      <c r="I4383" s="3">
        <f t="shared" si="82"/>
        <v>35</v>
      </c>
      <c r="J4383" s="3">
        <f t="shared" si="83"/>
        <v>27</v>
      </c>
      <c r="K4383" s="3">
        <f t="shared" si="84"/>
        <v>8</v>
      </c>
      <c r="L4383" s="3" t="str">
        <f t="shared" si="85"/>
        <v>MUITO BOM</v>
      </c>
      <c r="N4383">
        <v>100</v>
      </c>
      <c r="O4383">
        <v>32.764505119453922</v>
      </c>
    </row>
    <row r="4384" spans="1:15" x14ac:dyDescent="0.25">
      <c r="A4384" s="11">
        <v>46141</v>
      </c>
      <c r="B4384" t="s">
        <v>17</v>
      </c>
      <c r="C4384" t="s">
        <v>18</v>
      </c>
      <c r="D4384">
        <v>0</v>
      </c>
      <c r="E4384">
        <v>0</v>
      </c>
      <c r="F4384">
        <v>0</v>
      </c>
      <c r="G4384">
        <v>0</v>
      </c>
      <c r="H4384">
        <v>0</v>
      </c>
      <c r="I4384" s="3">
        <f t="shared" si="82"/>
        <v>0</v>
      </c>
      <c r="J4384" s="3">
        <f t="shared" si="83"/>
        <v>33</v>
      </c>
      <c r="K4384" s="3">
        <f t="shared" si="84"/>
        <v>-33</v>
      </c>
      <c r="L4384" s="3" t="str">
        <f t="shared" si="85"/>
        <v>CRÍTICO</v>
      </c>
      <c r="N4384">
        <v>98.66</v>
      </c>
      <c r="O4384">
        <v>35.15625</v>
      </c>
    </row>
    <row r="4385" spans="1:15" x14ac:dyDescent="0.25">
      <c r="A4385" s="11">
        <v>46141</v>
      </c>
      <c r="B4385" t="s">
        <v>19</v>
      </c>
      <c r="C4385" t="s">
        <v>20</v>
      </c>
      <c r="D4385">
        <v>33</v>
      </c>
      <c r="E4385">
        <v>29</v>
      </c>
      <c r="F4385">
        <v>20.25</v>
      </c>
      <c r="G4385">
        <v>0</v>
      </c>
      <c r="H4385">
        <v>0</v>
      </c>
      <c r="I4385" s="3">
        <f t="shared" si="82"/>
        <v>29</v>
      </c>
      <c r="J4385" s="3">
        <f t="shared" si="83"/>
        <v>22</v>
      </c>
      <c r="K4385" s="3">
        <f t="shared" si="84"/>
        <v>7</v>
      </c>
      <c r="L4385" s="3" t="str">
        <f t="shared" si="85"/>
        <v>MUITO BOM</v>
      </c>
      <c r="N4385">
        <v>99.32</v>
      </c>
      <c r="O4385">
        <v>30.45186640471513</v>
      </c>
    </row>
    <row r="4386" spans="1:15" x14ac:dyDescent="0.25">
      <c r="A4386" s="11">
        <v>46141</v>
      </c>
      <c r="B4386" t="s">
        <v>21</v>
      </c>
      <c r="C4386" t="s">
        <v>18</v>
      </c>
      <c r="D4386">
        <v>0</v>
      </c>
      <c r="E4386">
        <v>0</v>
      </c>
      <c r="F4386">
        <v>0</v>
      </c>
      <c r="G4386">
        <v>0</v>
      </c>
      <c r="H4386">
        <v>0</v>
      </c>
      <c r="I4386" s="3">
        <f t="shared" si="82"/>
        <v>0</v>
      </c>
      <c r="J4386" s="3">
        <f t="shared" si="83"/>
        <v>33</v>
      </c>
      <c r="K4386" s="3">
        <f t="shared" si="84"/>
        <v>-33</v>
      </c>
      <c r="L4386" s="3" t="str">
        <f t="shared" si="85"/>
        <v>CRÍTICO</v>
      </c>
      <c r="N4386">
        <v>100</v>
      </c>
      <c r="O4386">
        <v>27.803738317757009</v>
      </c>
    </row>
    <row r="4387" spans="1:15" x14ac:dyDescent="0.25">
      <c r="A4387" s="11">
        <v>46141</v>
      </c>
      <c r="B4387" t="s">
        <v>22</v>
      </c>
      <c r="C4387" t="s">
        <v>23</v>
      </c>
      <c r="D4387">
        <v>34</v>
      </c>
      <c r="E4387">
        <v>31</v>
      </c>
      <c r="F4387">
        <v>15.45</v>
      </c>
      <c r="G4387">
        <v>0</v>
      </c>
      <c r="H4387">
        <v>0</v>
      </c>
      <c r="I4387" s="3">
        <f t="shared" si="82"/>
        <v>31</v>
      </c>
      <c r="J4387" s="3">
        <f t="shared" si="83"/>
        <v>9</v>
      </c>
      <c r="K4387" s="3">
        <f t="shared" si="84"/>
        <v>22</v>
      </c>
      <c r="L4387" s="3" t="str">
        <f t="shared" si="85"/>
        <v>MUITO BOM</v>
      </c>
      <c r="N4387">
        <v>96.74</v>
      </c>
      <c r="O4387">
        <v>28.43137254901961</v>
      </c>
    </row>
    <row r="4388" spans="1:15" x14ac:dyDescent="0.25">
      <c r="A4388" s="11">
        <v>46141</v>
      </c>
      <c r="B4388" t="s">
        <v>24</v>
      </c>
      <c r="C4388" t="s">
        <v>16</v>
      </c>
      <c r="D4388">
        <v>38</v>
      </c>
      <c r="E4388">
        <v>31</v>
      </c>
      <c r="F4388">
        <v>11.5</v>
      </c>
      <c r="G4388">
        <v>0</v>
      </c>
      <c r="H4388">
        <v>0</v>
      </c>
      <c r="I4388" s="3">
        <f t="shared" si="82"/>
        <v>31</v>
      </c>
      <c r="J4388" s="3">
        <f t="shared" si="83"/>
        <v>27</v>
      </c>
      <c r="K4388" s="3">
        <f t="shared" si="84"/>
        <v>4</v>
      </c>
      <c r="L4388" s="3" t="str">
        <f t="shared" si="85"/>
        <v>OPORTUNO</v>
      </c>
      <c r="N4388">
        <v>98.82</v>
      </c>
      <c r="O4388">
        <v>30.741410488245929</v>
      </c>
    </row>
    <row r="4389" spans="1:15" x14ac:dyDescent="0.25">
      <c r="A4389" s="11">
        <v>46141</v>
      </c>
      <c r="B4389" t="s">
        <v>25</v>
      </c>
      <c r="C4389" t="s">
        <v>16</v>
      </c>
      <c r="D4389">
        <v>24</v>
      </c>
      <c r="E4389">
        <v>23</v>
      </c>
      <c r="F4389">
        <v>25.46</v>
      </c>
      <c r="G4389">
        <v>0</v>
      </c>
      <c r="H4389">
        <v>0</v>
      </c>
      <c r="I4389" s="3">
        <f t="shared" si="82"/>
        <v>23</v>
      </c>
      <c r="J4389" s="3">
        <f t="shared" si="83"/>
        <v>27</v>
      </c>
      <c r="K4389" s="3">
        <f t="shared" si="84"/>
        <v>-4</v>
      </c>
      <c r="L4389" s="3" t="str">
        <f t="shared" si="85"/>
        <v>ATENÇÃO</v>
      </c>
      <c r="N4389">
        <v>98.2</v>
      </c>
      <c r="O4389">
        <v>26.890756302521009</v>
      </c>
    </row>
    <row r="4390" spans="1:15" x14ac:dyDescent="0.25">
      <c r="A4390" s="11">
        <v>46141</v>
      </c>
      <c r="B4390" t="s">
        <v>26</v>
      </c>
      <c r="C4390" t="s">
        <v>23</v>
      </c>
      <c r="D4390">
        <v>22</v>
      </c>
      <c r="E4390">
        <v>17</v>
      </c>
      <c r="F4390">
        <v>10.53</v>
      </c>
      <c r="G4390">
        <v>0</v>
      </c>
      <c r="H4390">
        <v>0</v>
      </c>
      <c r="I4390" s="3">
        <f t="shared" si="82"/>
        <v>17</v>
      </c>
      <c r="J4390" s="3">
        <f t="shared" si="83"/>
        <v>9</v>
      </c>
      <c r="K4390" s="3">
        <f t="shared" si="84"/>
        <v>8</v>
      </c>
      <c r="L4390" s="3" t="str">
        <f t="shared" si="85"/>
        <v>MUITO BOM</v>
      </c>
      <c r="N4390">
        <v>100</v>
      </c>
      <c r="O4390">
        <v>23.134328358208951</v>
      </c>
    </row>
    <row r="4391" spans="1:15" x14ac:dyDescent="0.25">
      <c r="A4391" s="11">
        <v>46141</v>
      </c>
      <c r="B4391" t="s">
        <v>27</v>
      </c>
      <c r="C4391" t="s">
        <v>20</v>
      </c>
      <c r="D4391">
        <v>51</v>
      </c>
      <c r="E4391">
        <v>13</v>
      </c>
      <c r="F4391">
        <v>3.26</v>
      </c>
      <c r="G4391">
        <v>0</v>
      </c>
      <c r="H4391">
        <v>0</v>
      </c>
      <c r="I4391" s="3">
        <f t="shared" si="82"/>
        <v>13</v>
      </c>
      <c r="J4391" s="3">
        <f t="shared" si="83"/>
        <v>22</v>
      </c>
      <c r="K4391" s="3">
        <f t="shared" si="84"/>
        <v>-9</v>
      </c>
      <c r="L4391" s="3" t="str">
        <f t="shared" si="85"/>
        <v>CRÍTICO</v>
      </c>
      <c r="N4391">
        <v>96.3</v>
      </c>
      <c r="O4391">
        <v>31.980906921241051</v>
      </c>
    </row>
    <row r="4392" spans="1:15" x14ac:dyDescent="0.25">
      <c r="A4392" s="11">
        <v>46141</v>
      </c>
      <c r="B4392" t="s">
        <v>28</v>
      </c>
      <c r="C4392" t="s">
        <v>18</v>
      </c>
      <c r="D4392">
        <v>42</v>
      </c>
      <c r="E4392">
        <v>35</v>
      </c>
      <c r="F4392">
        <v>10.130000000000001</v>
      </c>
      <c r="G4392">
        <v>0</v>
      </c>
      <c r="H4392">
        <v>0</v>
      </c>
      <c r="I4392" s="3">
        <f t="shared" si="82"/>
        <v>35</v>
      </c>
      <c r="J4392" s="3">
        <f t="shared" si="83"/>
        <v>33</v>
      </c>
      <c r="K4392" s="3">
        <f t="shared" si="84"/>
        <v>2</v>
      </c>
      <c r="L4392" s="3" t="str">
        <f t="shared" si="85"/>
        <v>OPORTUNO</v>
      </c>
      <c r="N4392">
        <v>93.75</v>
      </c>
      <c r="O4392">
        <v>26.628352490421459</v>
      </c>
    </row>
    <row r="4393" spans="1:15" x14ac:dyDescent="0.25">
      <c r="A4393" s="11">
        <v>46141</v>
      </c>
      <c r="B4393" t="s">
        <v>29</v>
      </c>
      <c r="C4393" t="s">
        <v>16</v>
      </c>
      <c r="D4393">
        <v>0</v>
      </c>
      <c r="E4393">
        <v>0</v>
      </c>
      <c r="F4393">
        <v>0</v>
      </c>
      <c r="G4393">
        <v>0</v>
      </c>
      <c r="H4393">
        <v>0</v>
      </c>
      <c r="I4393" s="3">
        <f t="shared" si="82"/>
        <v>0</v>
      </c>
      <c r="J4393" s="3">
        <f t="shared" si="83"/>
        <v>27</v>
      </c>
      <c r="K4393" s="3">
        <f t="shared" si="84"/>
        <v>-27</v>
      </c>
      <c r="L4393" s="3" t="str">
        <f t="shared" si="85"/>
        <v>CRÍTICO</v>
      </c>
      <c r="N4393">
        <v>97.86</v>
      </c>
      <c r="O4393">
        <v>31.018518518518519</v>
      </c>
    </row>
    <row r="4394" spans="1:15" x14ac:dyDescent="0.25">
      <c r="A4394" s="11">
        <v>46141</v>
      </c>
      <c r="B4394" t="s">
        <v>30</v>
      </c>
      <c r="C4394" t="s">
        <v>20</v>
      </c>
      <c r="D4394">
        <v>29</v>
      </c>
      <c r="E4394">
        <v>28</v>
      </c>
      <c r="F4394">
        <v>18.510000000000002</v>
      </c>
      <c r="G4394">
        <v>0</v>
      </c>
      <c r="H4394">
        <v>0</v>
      </c>
      <c r="I4394" s="3">
        <f t="shared" si="82"/>
        <v>28</v>
      </c>
      <c r="J4394" s="3">
        <f t="shared" si="83"/>
        <v>22</v>
      </c>
      <c r="K4394" s="3">
        <f t="shared" si="84"/>
        <v>6</v>
      </c>
      <c r="L4394" s="3" t="str">
        <f t="shared" si="85"/>
        <v>MUITO BOM</v>
      </c>
      <c r="N4394">
        <v>100</v>
      </c>
      <c r="O4394">
        <v>36.231884057971023</v>
      </c>
    </row>
    <row r="4395" spans="1:15" x14ac:dyDescent="0.25">
      <c r="A4395" s="11">
        <v>46141</v>
      </c>
      <c r="B4395" t="s">
        <v>31</v>
      </c>
      <c r="C4395" t="s">
        <v>18</v>
      </c>
      <c r="D4395">
        <v>0</v>
      </c>
      <c r="E4395">
        <v>0</v>
      </c>
      <c r="F4395">
        <v>0</v>
      </c>
      <c r="G4395">
        <v>0</v>
      </c>
      <c r="H4395">
        <v>0</v>
      </c>
      <c r="I4395" s="3">
        <f t="shared" si="82"/>
        <v>0</v>
      </c>
      <c r="J4395" s="3">
        <f t="shared" si="83"/>
        <v>33</v>
      </c>
      <c r="K4395" s="3">
        <f t="shared" si="84"/>
        <v>-33</v>
      </c>
      <c r="L4395" s="3" t="str">
        <f t="shared" si="85"/>
        <v>CRÍTICO</v>
      </c>
      <c r="N4395">
        <v>100</v>
      </c>
      <c r="O4395">
        <v>38.269230769230766</v>
      </c>
    </row>
    <row r="4396" spans="1:15" x14ac:dyDescent="0.25">
      <c r="A4396" s="11">
        <v>46141</v>
      </c>
      <c r="B4396" t="s">
        <v>32</v>
      </c>
      <c r="C4396" t="s">
        <v>23</v>
      </c>
      <c r="D4396">
        <v>8</v>
      </c>
      <c r="E4396">
        <v>8</v>
      </c>
      <c r="F4396">
        <v>43.36</v>
      </c>
      <c r="G4396">
        <v>0</v>
      </c>
      <c r="H4396">
        <v>0</v>
      </c>
      <c r="I4396" s="3">
        <f t="shared" si="82"/>
        <v>8</v>
      </c>
      <c r="J4396" s="3">
        <f t="shared" si="83"/>
        <v>9</v>
      </c>
      <c r="K4396" s="3">
        <f t="shared" si="84"/>
        <v>-1</v>
      </c>
      <c r="L4396" s="3" t="str">
        <f t="shared" si="85"/>
        <v>ATENÇÃO</v>
      </c>
      <c r="N4396">
        <v>100</v>
      </c>
      <c r="O4396">
        <v>27.368421052631579</v>
      </c>
    </row>
    <row r="4397" spans="1:15" x14ac:dyDescent="0.25">
      <c r="A4397" s="11">
        <v>46141</v>
      </c>
      <c r="B4397" t="s">
        <v>33</v>
      </c>
      <c r="C4397" t="s">
        <v>16</v>
      </c>
      <c r="D4397">
        <v>31</v>
      </c>
      <c r="E4397">
        <v>28</v>
      </c>
      <c r="F4397">
        <v>18.260000000000002</v>
      </c>
      <c r="G4397">
        <v>0</v>
      </c>
      <c r="H4397">
        <v>0</v>
      </c>
      <c r="I4397" s="3">
        <f t="shared" si="82"/>
        <v>28</v>
      </c>
      <c r="J4397" s="3">
        <f t="shared" si="83"/>
        <v>27</v>
      </c>
      <c r="K4397" s="3">
        <f t="shared" si="84"/>
        <v>1</v>
      </c>
      <c r="L4397" s="3" t="str">
        <f t="shared" si="85"/>
        <v>OPORTUNO</v>
      </c>
      <c r="N4397">
        <v>97.83</v>
      </c>
      <c r="O4397">
        <v>28.131868131868131</v>
      </c>
    </row>
    <row r="4398" spans="1:15" x14ac:dyDescent="0.25">
      <c r="A4398" s="11">
        <v>46141</v>
      </c>
      <c r="B4398" t="s">
        <v>34</v>
      </c>
      <c r="C4398" t="s">
        <v>18</v>
      </c>
      <c r="D4398">
        <v>31</v>
      </c>
      <c r="E4398">
        <v>29</v>
      </c>
      <c r="F4398">
        <v>16.579999999999998</v>
      </c>
      <c r="G4398">
        <v>0</v>
      </c>
      <c r="H4398">
        <v>0</v>
      </c>
      <c r="I4398" s="3">
        <f t="shared" si="82"/>
        <v>29</v>
      </c>
      <c r="J4398" s="3">
        <f t="shared" si="83"/>
        <v>33</v>
      </c>
      <c r="K4398" s="3">
        <f t="shared" si="84"/>
        <v>-4</v>
      </c>
      <c r="L4398" s="3" t="str">
        <f t="shared" si="85"/>
        <v>ATENÇÃO</v>
      </c>
      <c r="N4398">
        <v>99.26</v>
      </c>
      <c r="O4398">
        <v>29.57198443579767</v>
      </c>
    </row>
    <row r="4399" spans="1:15" x14ac:dyDescent="0.25">
      <c r="A4399" s="11">
        <v>46141</v>
      </c>
      <c r="B4399" t="s">
        <v>35</v>
      </c>
      <c r="C4399" t="s">
        <v>16</v>
      </c>
      <c r="D4399">
        <v>36</v>
      </c>
      <c r="E4399">
        <v>34</v>
      </c>
      <c r="F4399">
        <v>15.24</v>
      </c>
      <c r="G4399">
        <v>0</v>
      </c>
      <c r="H4399">
        <v>0</v>
      </c>
      <c r="I4399" s="3">
        <f t="shared" si="82"/>
        <v>34</v>
      </c>
      <c r="J4399" s="3">
        <f t="shared" si="83"/>
        <v>27</v>
      </c>
      <c r="K4399" s="3">
        <f t="shared" si="84"/>
        <v>7</v>
      </c>
      <c r="L4399" s="3" t="str">
        <f t="shared" si="85"/>
        <v>MUITO BOM</v>
      </c>
      <c r="N4399">
        <v>99.19</v>
      </c>
      <c r="O4399">
        <v>29.462365591397852</v>
      </c>
    </row>
    <row r="4400" spans="1:15" x14ac:dyDescent="0.25">
      <c r="A4400" s="11">
        <v>46167</v>
      </c>
      <c r="B4400" t="s">
        <v>64</v>
      </c>
      <c r="C4400" t="s">
        <v>23</v>
      </c>
      <c r="D4400">
        <v>0</v>
      </c>
      <c r="E4400">
        <v>0</v>
      </c>
      <c r="F4400">
        <v>0</v>
      </c>
      <c r="G4400">
        <v>0</v>
      </c>
      <c r="H4400">
        <v>0</v>
      </c>
      <c r="I4400" s="3">
        <f t="shared" si="82"/>
        <v>0</v>
      </c>
      <c r="J4400" s="3">
        <f t="shared" si="83"/>
        <v>0</v>
      </c>
      <c r="K4400" s="3">
        <f t="shared" si="84"/>
        <v>0</v>
      </c>
      <c r="L4400" s="3" t="str">
        <f t="shared" si="85"/>
        <v>OPORTUNO</v>
      </c>
    </row>
    <row r="4401" spans="1:15" x14ac:dyDescent="0.25">
      <c r="A4401" s="11">
        <v>46141</v>
      </c>
      <c r="B4401" t="s">
        <v>37</v>
      </c>
      <c r="C4401" t="s">
        <v>16</v>
      </c>
      <c r="D4401">
        <v>29</v>
      </c>
      <c r="E4401">
        <v>26</v>
      </c>
      <c r="F4401">
        <v>18.329999999999998</v>
      </c>
      <c r="G4401">
        <v>0</v>
      </c>
      <c r="H4401">
        <v>0</v>
      </c>
      <c r="I4401" s="3">
        <f t="shared" si="82"/>
        <v>26</v>
      </c>
      <c r="J4401" s="3">
        <f t="shared" si="83"/>
        <v>27</v>
      </c>
      <c r="K4401" s="3">
        <f t="shared" si="84"/>
        <v>-1</v>
      </c>
      <c r="L4401" s="3" t="str">
        <f t="shared" si="85"/>
        <v>ATENÇÃO</v>
      </c>
      <c r="N4401">
        <v>100</v>
      </c>
      <c r="O4401">
        <v>27.941176470588239</v>
      </c>
    </row>
    <row r="4402" spans="1:15" x14ac:dyDescent="0.25">
      <c r="A4402" s="11">
        <v>46141</v>
      </c>
      <c r="B4402" t="s">
        <v>38</v>
      </c>
      <c r="C4402" t="s">
        <v>18</v>
      </c>
      <c r="D4402">
        <v>44</v>
      </c>
      <c r="E4402">
        <v>40</v>
      </c>
      <c r="F4402">
        <v>12.14</v>
      </c>
      <c r="G4402">
        <v>0</v>
      </c>
      <c r="H4402">
        <v>0</v>
      </c>
      <c r="I4402" s="3">
        <f t="shared" si="82"/>
        <v>40</v>
      </c>
      <c r="J4402" s="3">
        <f t="shared" si="83"/>
        <v>33</v>
      </c>
      <c r="K4402" s="3">
        <f t="shared" si="84"/>
        <v>7</v>
      </c>
      <c r="L4402" s="3" t="str">
        <f t="shared" si="85"/>
        <v>MUITO BOM</v>
      </c>
      <c r="N4402">
        <v>99.57</v>
      </c>
      <c r="O4402">
        <v>29.913294797687861</v>
      </c>
    </row>
    <row r="4403" spans="1:15" x14ac:dyDescent="0.25">
      <c r="A4403" s="11">
        <v>46141</v>
      </c>
      <c r="B4403" t="s">
        <v>39</v>
      </c>
      <c r="C4403" t="s">
        <v>18</v>
      </c>
      <c r="D4403">
        <v>22</v>
      </c>
      <c r="E4403">
        <v>20</v>
      </c>
      <c r="F4403">
        <v>15.05</v>
      </c>
      <c r="G4403">
        <v>0</v>
      </c>
      <c r="H4403">
        <v>0</v>
      </c>
      <c r="I4403" s="3">
        <f t="shared" si="82"/>
        <v>20</v>
      </c>
      <c r="J4403" s="3">
        <f t="shared" si="83"/>
        <v>33</v>
      </c>
      <c r="K4403" s="3">
        <f t="shared" si="84"/>
        <v>-13</v>
      </c>
      <c r="L4403" s="3" t="str">
        <f t="shared" si="85"/>
        <v>CRÍTICO</v>
      </c>
      <c r="N4403">
        <v>95.65</v>
      </c>
      <c r="O4403">
        <v>31.081081081081081</v>
      </c>
    </row>
    <row r="4404" spans="1:15" x14ac:dyDescent="0.25">
      <c r="A4404" s="11">
        <v>46141</v>
      </c>
      <c r="B4404" t="s">
        <v>40</v>
      </c>
      <c r="C4404" t="s">
        <v>16</v>
      </c>
      <c r="D4404">
        <v>39</v>
      </c>
      <c r="E4404">
        <v>28</v>
      </c>
      <c r="F4404">
        <v>10.24</v>
      </c>
      <c r="G4404">
        <v>0</v>
      </c>
      <c r="H4404">
        <v>0</v>
      </c>
      <c r="I4404" s="3">
        <f t="shared" si="82"/>
        <v>28</v>
      </c>
      <c r="J4404" s="3">
        <f t="shared" si="83"/>
        <v>27</v>
      </c>
      <c r="K4404" s="3">
        <f t="shared" si="84"/>
        <v>1</v>
      </c>
      <c r="L4404" s="3" t="str">
        <f t="shared" si="85"/>
        <v>OPORTUNO</v>
      </c>
      <c r="N4404">
        <v>98.81</v>
      </c>
      <c r="O4404">
        <v>26.256983240223459</v>
      </c>
    </row>
    <row r="4405" spans="1:15" x14ac:dyDescent="0.25">
      <c r="A4405" s="11">
        <v>46141</v>
      </c>
      <c r="B4405" t="s">
        <v>41</v>
      </c>
      <c r="C4405" t="s">
        <v>18</v>
      </c>
      <c r="D4405">
        <v>0</v>
      </c>
      <c r="E4405">
        <v>0</v>
      </c>
      <c r="F4405">
        <v>0</v>
      </c>
      <c r="G4405">
        <v>0</v>
      </c>
      <c r="H4405">
        <v>0</v>
      </c>
      <c r="I4405" s="3">
        <f t="shared" si="82"/>
        <v>0</v>
      </c>
      <c r="J4405" s="3">
        <f t="shared" si="83"/>
        <v>33</v>
      </c>
      <c r="K4405" s="3">
        <f t="shared" si="84"/>
        <v>-33</v>
      </c>
      <c r="L4405" s="3" t="str">
        <f t="shared" si="85"/>
        <v>CRÍTICO</v>
      </c>
      <c r="N4405">
        <v>0</v>
      </c>
      <c r="O4405">
        <v>0</v>
      </c>
    </row>
    <row r="4406" spans="1:15" x14ac:dyDescent="0.25">
      <c r="A4406" s="11">
        <v>46141</v>
      </c>
      <c r="B4406" t="s">
        <v>42</v>
      </c>
      <c r="C4406" t="s">
        <v>43</v>
      </c>
      <c r="D4406">
        <v>24</v>
      </c>
      <c r="E4406">
        <v>22</v>
      </c>
      <c r="F4406">
        <v>19.14</v>
      </c>
      <c r="G4406">
        <v>0</v>
      </c>
      <c r="H4406">
        <v>0</v>
      </c>
      <c r="I4406" s="3">
        <f t="shared" si="82"/>
        <v>22</v>
      </c>
      <c r="J4406" s="3">
        <f t="shared" si="83"/>
        <v>19</v>
      </c>
      <c r="K4406" s="3">
        <f t="shared" si="84"/>
        <v>3</v>
      </c>
      <c r="L4406" s="3" t="str">
        <f t="shared" si="85"/>
        <v>OPORTUNO</v>
      </c>
      <c r="N4406">
        <v>97.17</v>
      </c>
      <c r="O4406">
        <v>28.81844380403458</v>
      </c>
    </row>
    <row r="4407" spans="1:15" x14ac:dyDescent="0.25">
      <c r="A4407" s="11">
        <v>46141</v>
      </c>
      <c r="B4407" t="s">
        <v>44</v>
      </c>
      <c r="C4407" t="s">
        <v>18</v>
      </c>
      <c r="D4407">
        <v>0</v>
      </c>
      <c r="E4407">
        <v>0</v>
      </c>
      <c r="F4407">
        <v>0</v>
      </c>
      <c r="G4407">
        <v>0</v>
      </c>
      <c r="H4407">
        <v>0</v>
      </c>
      <c r="I4407" s="3">
        <f t="shared" si="82"/>
        <v>0</v>
      </c>
      <c r="J4407" s="3">
        <f t="shared" si="83"/>
        <v>33</v>
      </c>
      <c r="K4407" s="3">
        <f t="shared" si="84"/>
        <v>-33</v>
      </c>
      <c r="L4407" s="3" t="str">
        <f t="shared" si="85"/>
        <v>CRÍTICO</v>
      </c>
      <c r="N4407">
        <v>96.81</v>
      </c>
      <c r="O4407">
        <v>48.018648018648022</v>
      </c>
    </row>
    <row r="4408" spans="1:15" x14ac:dyDescent="0.25">
      <c r="A4408" s="11">
        <v>46141</v>
      </c>
      <c r="B4408" t="s">
        <v>45</v>
      </c>
      <c r="C4408" t="s">
        <v>43</v>
      </c>
      <c r="D4408">
        <v>16</v>
      </c>
      <c r="E4408">
        <v>14</v>
      </c>
      <c r="F4408">
        <v>20.46</v>
      </c>
      <c r="G4408">
        <v>0</v>
      </c>
      <c r="H4408">
        <v>0</v>
      </c>
      <c r="I4408" s="3">
        <f t="shared" si="82"/>
        <v>14</v>
      </c>
      <c r="J4408" s="3">
        <f t="shared" si="83"/>
        <v>19</v>
      </c>
      <c r="K4408" s="3">
        <f t="shared" si="84"/>
        <v>-5</v>
      </c>
      <c r="L4408" s="3" t="str">
        <f t="shared" si="85"/>
        <v>ATENÇÃO</v>
      </c>
      <c r="N4408">
        <v>98.15</v>
      </c>
      <c r="O4408">
        <v>27.1551724137931</v>
      </c>
    </row>
    <row r="4409" spans="1:15" x14ac:dyDescent="0.25">
      <c r="A4409" s="11">
        <v>46141</v>
      </c>
      <c r="B4409" t="s">
        <v>46</v>
      </c>
      <c r="C4409" t="s">
        <v>18</v>
      </c>
      <c r="D4409">
        <v>32</v>
      </c>
      <c r="E4409">
        <v>26</v>
      </c>
      <c r="F4409">
        <v>12.16</v>
      </c>
      <c r="G4409">
        <v>0</v>
      </c>
      <c r="H4409">
        <v>0</v>
      </c>
      <c r="I4409" s="3">
        <f t="shared" si="82"/>
        <v>26</v>
      </c>
      <c r="J4409" s="3">
        <f t="shared" si="83"/>
        <v>33</v>
      </c>
      <c r="K4409" s="3">
        <f t="shared" si="84"/>
        <v>-7</v>
      </c>
      <c r="L4409" s="3" t="str">
        <f t="shared" si="85"/>
        <v>CRÍTICO</v>
      </c>
      <c r="N4409">
        <v>99.15</v>
      </c>
      <c r="O4409">
        <v>27.370689655172409</v>
      </c>
    </row>
    <row r="4410" spans="1:15" x14ac:dyDescent="0.25">
      <c r="A4410" s="11">
        <v>46141</v>
      </c>
      <c r="B4410" t="s">
        <v>47</v>
      </c>
      <c r="C4410" t="s">
        <v>16</v>
      </c>
      <c r="D4410">
        <v>37</v>
      </c>
      <c r="E4410">
        <v>35</v>
      </c>
      <c r="F4410">
        <v>15.55</v>
      </c>
      <c r="G4410">
        <v>0</v>
      </c>
      <c r="H4410">
        <v>0</v>
      </c>
      <c r="I4410" s="3">
        <f t="shared" si="82"/>
        <v>35</v>
      </c>
      <c r="J4410" s="3">
        <f t="shared" si="83"/>
        <v>27</v>
      </c>
      <c r="K4410" s="3">
        <f t="shared" si="84"/>
        <v>8</v>
      </c>
      <c r="L4410" s="3" t="str">
        <f t="shared" si="85"/>
        <v>MUITO BOM</v>
      </c>
      <c r="N4410">
        <v>99.17</v>
      </c>
      <c r="O4410">
        <v>29.75206611570248</v>
      </c>
    </row>
    <row r="4411" spans="1:15" x14ac:dyDescent="0.25">
      <c r="A4411" s="11">
        <v>46141</v>
      </c>
      <c r="B4411" t="s">
        <v>48</v>
      </c>
      <c r="C4411" t="s">
        <v>16</v>
      </c>
      <c r="D4411">
        <v>0</v>
      </c>
      <c r="E4411">
        <v>0</v>
      </c>
      <c r="F4411">
        <v>0</v>
      </c>
      <c r="G4411">
        <v>0</v>
      </c>
      <c r="H4411">
        <v>0</v>
      </c>
      <c r="I4411" s="3">
        <f t="shared" si="82"/>
        <v>0</v>
      </c>
      <c r="J4411" s="3">
        <f t="shared" si="83"/>
        <v>27</v>
      </c>
      <c r="K4411" s="3">
        <f t="shared" si="84"/>
        <v>-27</v>
      </c>
      <c r="L4411" s="3" t="str">
        <f t="shared" si="85"/>
        <v>CRÍTICO</v>
      </c>
      <c r="N4411">
        <v>98.73</v>
      </c>
      <c r="O4411">
        <v>28.961748633879779</v>
      </c>
    </row>
    <row r="4412" spans="1:15" x14ac:dyDescent="0.25">
      <c r="A4412" s="11">
        <v>46141</v>
      </c>
      <c r="B4412" t="s">
        <v>49</v>
      </c>
      <c r="C4412" t="s">
        <v>18</v>
      </c>
      <c r="D4412">
        <v>0</v>
      </c>
      <c r="E4412">
        <v>0</v>
      </c>
      <c r="F4412">
        <v>0</v>
      </c>
      <c r="G4412">
        <v>0</v>
      </c>
      <c r="H4412">
        <v>0</v>
      </c>
      <c r="I4412" s="3">
        <f t="shared" si="82"/>
        <v>0</v>
      </c>
      <c r="J4412" s="3">
        <f t="shared" si="83"/>
        <v>33</v>
      </c>
      <c r="K4412" s="3">
        <f t="shared" si="84"/>
        <v>-33</v>
      </c>
      <c r="L4412" s="3" t="str">
        <f t="shared" si="85"/>
        <v>CRÍTICO</v>
      </c>
      <c r="N4412">
        <v>88.68</v>
      </c>
      <c r="O4412">
        <v>22.03389830508474</v>
      </c>
    </row>
    <row r="4413" spans="1:15" x14ac:dyDescent="0.25">
      <c r="A4413" s="11">
        <v>46141</v>
      </c>
      <c r="B4413" t="s">
        <v>50</v>
      </c>
      <c r="C4413" t="s">
        <v>20</v>
      </c>
      <c r="D4413">
        <v>20</v>
      </c>
      <c r="E4413">
        <v>18</v>
      </c>
      <c r="F4413">
        <v>20.37</v>
      </c>
      <c r="G4413">
        <v>0</v>
      </c>
      <c r="H4413">
        <v>0</v>
      </c>
      <c r="I4413" s="3">
        <f t="shared" si="82"/>
        <v>18</v>
      </c>
      <c r="J4413" s="3">
        <f t="shared" si="83"/>
        <v>22</v>
      </c>
      <c r="K4413" s="3">
        <f t="shared" si="84"/>
        <v>-4</v>
      </c>
      <c r="L4413" s="3" t="str">
        <f t="shared" si="85"/>
        <v>ATENÇÃO</v>
      </c>
      <c r="N4413">
        <v>97.37</v>
      </c>
      <c r="O4413">
        <v>25.76530612244898</v>
      </c>
    </row>
    <row r="4414" spans="1:15" x14ac:dyDescent="0.25">
      <c r="A4414" s="11">
        <v>46141</v>
      </c>
      <c r="B4414" t="s">
        <v>51</v>
      </c>
      <c r="C4414" t="s">
        <v>23</v>
      </c>
      <c r="D4414">
        <v>69</v>
      </c>
      <c r="E4414">
        <v>34</v>
      </c>
      <c r="F4414">
        <v>3.49</v>
      </c>
      <c r="G4414">
        <v>0</v>
      </c>
      <c r="H4414">
        <v>0</v>
      </c>
      <c r="I4414" s="3">
        <f t="shared" si="82"/>
        <v>34</v>
      </c>
      <c r="J4414" s="3">
        <f t="shared" si="83"/>
        <v>9</v>
      </c>
      <c r="K4414" s="3">
        <f t="shared" si="84"/>
        <v>25</v>
      </c>
      <c r="L4414" s="3" t="str">
        <f t="shared" si="85"/>
        <v>MUITO BOM</v>
      </c>
      <c r="N4414">
        <v>100</v>
      </c>
      <c r="O4414">
        <v>25</v>
      </c>
    </row>
    <row r="4415" spans="1:15" x14ac:dyDescent="0.25">
      <c r="A4415" s="11">
        <v>46141</v>
      </c>
      <c r="B4415" t="s">
        <v>52</v>
      </c>
      <c r="C4415" t="s">
        <v>18</v>
      </c>
      <c r="D4415">
        <v>26</v>
      </c>
      <c r="E4415">
        <v>23</v>
      </c>
      <c r="F4415">
        <v>11.5</v>
      </c>
      <c r="G4415">
        <v>0</v>
      </c>
      <c r="H4415">
        <v>0</v>
      </c>
      <c r="I4415" s="3">
        <f t="shared" si="82"/>
        <v>23</v>
      </c>
      <c r="J4415" s="3">
        <f t="shared" si="83"/>
        <v>33</v>
      </c>
      <c r="K4415" s="3">
        <f t="shared" si="84"/>
        <v>-10</v>
      </c>
      <c r="L4415" s="3" t="str">
        <f t="shared" si="85"/>
        <v>CRÍTICO</v>
      </c>
      <c r="N4415">
        <v>100</v>
      </c>
      <c r="O4415">
        <v>23.9870340356564</v>
      </c>
    </row>
    <row r="4416" spans="1:15" x14ac:dyDescent="0.25">
      <c r="A4416" s="11">
        <v>46141</v>
      </c>
      <c r="B4416" t="s">
        <v>53</v>
      </c>
      <c r="C4416" t="s">
        <v>18</v>
      </c>
      <c r="D4416">
        <v>32</v>
      </c>
      <c r="E4416">
        <v>29</v>
      </c>
      <c r="F4416">
        <v>12.35</v>
      </c>
      <c r="G4416">
        <v>0</v>
      </c>
      <c r="H4416">
        <v>0</v>
      </c>
      <c r="I4416" s="3">
        <f t="shared" si="82"/>
        <v>29</v>
      </c>
      <c r="J4416" s="3">
        <f t="shared" si="83"/>
        <v>33</v>
      </c>
      <c r="K4416" s="3">
        <f t="shared" si="84"/>
        <v>-4</v>
      </c>
      <c r="L4416" s="3" t="str">
        <f t="shared" si="85"/>
        <v>ATENÇÃO</v>
      </c>
      <c r="N4416">
        <v>95.49</v>
      </c>
      <c r="O4416">
        <v>28.16901408450704</v>
      </c>
    </row>
    <row r="4417" spans="1:15" x14ac:dyDescent="0.25">
      <c r="A4417" s="11">
        <v>46141</v>
      </c>
      <c r="B4417" t="s">
        <v>54</v>
      </c>
      <c r="C4417" t="s">
        <v>23</v>
      </c>
      <c r="D4417">
        <v>19</v>
      </c>
      <c r="E4417">
        <v>15</v>
      </c>
      <c r="F4417">
        <v>21.55</v>
      </c>
      <c r="G4417">
        <v>0</v>
      </c>
      <c r="H4417">
        <v>0</v>
      </c>
      <c r="I4417" s="3">
        <f t="shared" si="82"/>
        <v>15</v>
      </c>
      <c r="J4417" s="3">
        <f t="shared" si="83"/>
        <v>9</v>
      </c>
      <c r="K4417" s="3">
        <f t="shared" si="84"/>
        <v>6</v>
      </c>
      <c r="L4417" s="3" t="str">
        <f t="shared" si="85"/>
        <v>MUITO BOM</v>
      </c>
      <c r="N4417">
        <v>100</v>
      </c>
      <c r="O4417">
        <v>23.77622377622378</v>
      </c>
    </row>
    <row r="4418" spans="1:15" x14ac:dyDescent="0.25">
      <c r="A4418" s="11">
        <v>46141</v>
      </c>
      <c r="B4418" t="s">
        <v>55</v>
      </c>
      <c r="C4418" t="s">
        <v>43</v>
      </c>
      <c r="D4418">
        <v>0</v>
      </c>
      <c r="E4418">
        <v>0</v>
      </c>
      <c r="F4418">
        <v>0</v>
      </c>
      <c r="G4418">
        <v>0</v>
      </c>
      <c r="H4418">
        <v>0</v>
      </c>
      <c r="I4418" s="3">
        <f t="shared" si="82"/>
        <v>0</v>
      </c>
      <c r="J4418" s="3">
        <f t="shared" si="83"/>
        <v>19</v>
      </c>
      <c r="K4418" s="3">
        <f t="shared" si="84"/>
        <v>-19</v>
      </c>
      <c r="L4418" s="3" t="str">
        <f t="shared" si="85"/>
        <v>CRÍTICO</v>
      </c>
      <c r="N4418">
        <v>96.15</v>
      </c>
      <c r="O4418">
        <v>24.045801526717561</v>
      </c>
    </row>
    <row r="4419" spans="1:15" x14ac:dyDescent="0.25">
      <c r="A4419" s="11">
        <v>46141</v>
      </c>
      <c r="B4419" t="s">
        <v>56</v>
      </c>
      <c r="C4419" t="s">
        <v>16</v>
      </c>
      <c r="D4419">
        <v>0</v>
      </c>
      <c r="E4419">
        <v>0</v>
      </c>
      <c r="F4419">
        <v>0</v>
      </c>
      <c r="G4419">
        <v>0</v>
      </c>
      <c r="H4419">
        <v>0</v>
      </c>
      <c r="I4419" s="3">
        <f t="shared" si="82"/>
        <v>0</v>
      </c>
      <c r="J4419" s="3">
        <f t="shared" si="83"/>
        <v>27</v>
      </c>
      <c r="K4419" s="3">
        <f t="shared" si="84"/>
        <v>-27</v>
      </c>
      <c r="L4419" s="3" t="str">
        <f t="shared" si="85"/>
        <v>CRÍTICO</v>
      </c>
      <c r="N4419">
        <v>99.02</v>
      </c>
      <c r="O4419">
        <v>34.797297297297298</v>
      </c>
    </row>
    <row r="4420" spans="1:15" x14ac:dyDescent="0.25">
      <c r="A4420" s="11">
        <v>46141</v>
      </c>
      <c r="B4420" t="s">
        <v>57</v>
      </c>
      <c r="C4420" t="s">
        <v>43</v>
      </c>
      <c r="D4420">
        <v>23</v>
      </c>
      <c r="E4420">
        <v>22</v>
      </c>
      <c r="F4420">
        <v>17.07</v>
      </c>
      <c r="G4420">
        <v>0</v>
      </c>
      <c r="H4420">
        <v>0</v>
      </c>
      <c r="I4420" s="3">
        <f t="shared" si="82"/>
        <v>22</v>
      </c>
      <c r="J4420" s="3">
        <f t="shared" si="83"/>
        <v>19</v>
      </c>
      <c r="K4420" s="3">
        <f t="shared" si="84"/>
        <v>3</v>
      </c>
      <c r="L4420" s="3" t="str">
        <f t="shared" si="85"/>
        <v>OPORTUNO</v>
      </c>
      <c r="N4420">
        <v>98.84</v>
      </c>
      <c r="O4420">
        <v>31.5018315018315</v>
      </c>
    </row>
    <row r="4421" spans="1:15" x14ac:dyDescent="0.25">
      <c r="A4421" s="11">
        <v>46141</v>
      </c>
      <c r="B4421" t="s">
        <v>58</v>
      </c>
      <c r="C4421" t="s">
        <v>43</v>
      </c>
      <c r="D4421">
        <v>24</v>
      </c>
      <c r="E4421">
        <v>23</v>
      </c>
      <c r="F4421">
        <v>17.3</v>
      </c>
      <c r="G4421">
        <v>0</v>
      </c>
      <c r="H4421">
        <v>0</v>
      </c>
      <c r="I4421" s="3">
        <f t="shared" si="82"/>
        <v>23</v>
      </c>
      <c r="J4421" s="3">
        <f t="shared" si="83"/>
        <v>19</v>
      </c>
      <c r="K4421" s="3">
        <f t="shared" si="84"/>
        <v>4</v>
      </c>
      <c r="L4421" s="3" t="str">
        <f t="shared" si="85"/>
        <v>OPORTUNO</v>
      </c>
      <c r="N4421">
        <v>100</v>
      </c>
      <c r="O4421">
        <v>34.666666666666671</v>
      </c>
    </row>
    <row r="4422" spans="1:15" x14ac:dyDescent="0.25">
      <c r="A4422" s="11">
        <v>46141</v>
      </c>
      <c r="B4422" t="s">
        <v>59</v>
      </c>
      <c r="C4422" t="s">
        <v>23</v>
      </c>
      <c r="D4422">
        <v>19</v>
      </c>
      <c r="E4422">
        <v>17</v>
      </c>
      <c r="F4422">
        <v>18.46</v>
      </c>
      <c r="G4422">
        <v>0</v>
      </c>
      <c r="H4422">
        <v>0</v>
      </c>
      <c r="I4422" s="3">
        <f t="shared" si="82"/>
        <v>17</v>
      </c>
      <c r="J4422" s="3">
        <f t="shared" si="83"/>
        <v>9</v>
      </c>
      <c r="K4422" s="3">
        <f t="shared" si="84"/>
        <v>8</v>
      </c>
      <c r="L4422" s="3" t="str">
        <f t="shared" si="85"/>
        <v>MUITO BOM</v>
      </c>
      <c r="N4422">
        <v>94.12</v>
      </c>
      <c r="O4422">
        <v>32.799999999999997</v>
      </c>
    </row>
    <row r="4423" spans="1:15" x14ac:dyDescent="0.25">
      <c r="A4423" s="11">
        <v>46141</v>
      </c>
      <c r="B4423" t="s">
        <v>60</v>
      </c>
      <c r="C4423" t="s">
        <v>20</v>
      </c>
      <c r="D4423">
        <v>32</v>
      </c>
      <c r="E4423">
        <v>28</v>
      </c>
      <c r="F4423">
        <v>13.21</v>
      </c>
      <c r="G4423">
        <v>0</v>
      </c>
      <c r="H4423">
        <v>0</v>
      </c>
      <c r="I4423" s="3">
        <f t="shared" si="82"/>
        <v>28</v>
      </c>
      <c r="J4423" s="3">
        <f t="shared" si="83"/>
        <v>22</v>
      </c>
      <c r="K4423" s="3">
        <f t="shared" si="84"/>
        <v>6</v>
      </c>
      <c r="L4423" s="3" t="str">
        <f t="shared" si="85"/>
        <v>MUITO BOM</v>
      </c>
      <c r="N4423">
        <v>98.32</v>
      </c>
      <c r="O4423">
        <v>26.618705035971221</v>
      </c>
    </row>
    <row r="4424" spans="1:15" x14ac:dyDescent="0.25">
      <c r="A4424" s="11">
        <v>46141</v>
      </c>
      <c r="B4424" t="s">
        <v>61</v>
      </c>
      <c r="C4424" t="s">
        <v>18</v>
      </c>
      <c r="D4424">
        <v>52</v>
      </c>
      <c r="E4424">
        <v>48</v>
      </c>
      <c r="F4424">
        <v>10.56</v>
      </c>
      <c r="G4424">
        <v>0</v>
      </c>
      <c r="H4424">
        <v>0</v>
      </c>
      <c r="I4424" s="3">
        <f t="shared" si="82"/>
        <v>48</v>
      </c>
      <c r="J4424" s="3">
        <f t="shared" si="83"/>
        <v>33</v>
      </c>
      <c r="K4424" s="3">
        <f t="shared" si="84"/>
        <v>15</v>
      </c>
      <c r="L4424" s="3" t="str">
        <f t="shared" si="85"/>
        <v>MUITO BOM</v>
      </c>
      <c r="N4424">
        <v>100</v>
      </c>
      <c r="O4424">
        <v>31.135531135531139</v>
      </c>
    </row>
    <row r="4425" spans="1:15" x14ac:dyDescent="0.25">
      <c r="A4425" s="11">
        <v>46141</v>
      </c>
      <c r="B4425" t="s">
        <v>62</v>
      </c>
      <c r="C4425" t="s">
        <v>20</v>
      </c>
      <c r="D4425">
        <v>15</v>
      </c>
      <c r="E4425">
        <v>14</v>
      </c>
      <c r="F4425">
        <v>23.58</v>
      </c>
      <c r="G4425">
        <v>0</v>
      </c>
      <c r="H4425">
        <v>0</v>
      </c>
      <c r="I4425" s="3">
        <f t="shared" si="82"/>
        <v>14</v>
      </c>
      <c r="J4425" s="3">
        <f t="shared" si="83"/>
        <v>22</v>
      </c>
      <c r="K4425" s="3">
        <f t="shared" si="84"/>
        <v>-8</v>
      </c>
      <c r="L4425" s="3" t="str">
        <f t="shared" si="85"/>
        <v>CRÍTICO</v>
      </c>
      <c r="N4425">
        <v>100</v>
      </c>
      <c r="O4425">
        <v>26.027397260273968</v>
      </c>
    </row>
    <row r="4426" spans="1:15" x14ac:dyDescent="0.25">
      <c r="A4426" s="11">
        <v>46141</v>
      </c>
      <c r="B4426" t="s">
        <v>63</v>
      </c>
      <c r="C4426" t="s">
        <v>18</v>
      </c>
      <c r="D4426">
        <v>30</v>
      </c>
      <c r="E4426">
        <v>30</v>
      </c>
      <c r="F4426">
        <v>15</v>
      </c>
      <c r="G4426">
        <v>0</v>
      </c>
      <c r="H4426">
        <v>0</v>
      </c>
      <c r="I4426" s="3">
        <f t="shared" si="82"/>
        <v>30</v>
      </c>
      <c r="J4426" s="3">
        <f t="shared" si="83"/>
        <v>33</v>
      </c>
      <c r="K4426" s="3">
        <f t="shared" si="84"/>
        <v>-3</v>
      </c>
      <c r="L4426" s="3" t="str">
        <f t="shared" si="85"/>
        <v>ATENÇÃO</v>
      </c>
      <c r="N4426">
        <v>99.21</v>
      </c>
      <c r="O4426">
        <v>24.937027707808561</v>
      </c>
    </row>
    <row r="4427" spans="1:15" x14ac:dyDescent="0.25">
      <c r="A4427" s="11">
        <v>46142</v>
      </c>
      <c r="B4427" t="s">
        <v>15</v>
      </c>
      <c r="C4427" t="s">
        <v>16</v>
      </c>
      <c r="D4427">
        <v>12</v>
      </c>
      <c r="E4427">
        <v>10</v>
      </c>
      <c r="F4427">
        <v>9.1199999999999992</v>
      </c>
      <c r="G4427">
        <v>0</v>
      </c>
      <c r="H4427">
        <v>0</v>
      </c>
      <c r="I4427" s="3">
        <f t="shared" si="82"/>
        <v>10</v>
      </c>
      <c r="J4427" s="3">
        <f t="shared" si="83"/>
        <v>24</v>
      </c>
      <c r="K4427" s="3">
        <f t="shared" si="84"/>
        <v>-14</v>
      </c>
      <c r="L4427" s="3" t="str">
        <f t="shared" si="85"/>
        <v>CRÍTICO</v>
      </c>
      <c r="N4427">
        <v>100</v>
      </c>
      <c r="O4427">
        <v>32.764505119453922</v>
      </c>
    </row>
    <row r="4428" spans="1:15" x14ac:dyDescent="0.25">
      <c r="A4428" s="11">
        <v>46142</v>
      </c>
      <c r="B4428" t="s">
        <v>17</v>
      </c>
      <c r="C4428" t="s">
        <v>18</v>
      </c>
      <c r="D4428">
        <v>0</v>
      </c>
      <c r="E4428">
        <v>0</v>
      </c>
      <c r="F4428">
        <v>0</v>
      </c>
      <c r="G4428">
        <v>0</v>
      </c>
      <c r="H4428">
        <v>0</v>
      </c>
      <c r="I4428" s="3">
        <f t="shared" si="82"/>
        <v>0</v>
      </c>
      <c r="J4428" s="3">
        <f t="shared" si="83"/>
        <v>30</v>
      </c>
      <c r="K4428" s="3">
        <f t="shared" si="84"/>
        <v>-30</v>
      </c>
      <c r="L4428" s="3" t="str">
        <f t="shared" si="85"/>
        <v>CRÍTICO</v>
      </c>
      <c r="N4428">
        <v>98.66</v>
      </c>
      <c r="O4428">
        <v>35.15625</v>
      </c>
    </row>
    <row r="4429" spans="1:15" x14ac:dyDescent="0.25">
      <c r="A4429" s="11">
        <v>46142</v>
      </c>
      <c r="B4429" t="s">
        <v>19</v>
      </c>
      <c r="C4429" t="s">
        <v>20</v>
      </c>
      <c r="D4429">
        <v>26</v>
      </c>
      <c r="E4429">
        <v>24</v>
      </c>
      <c r="F4429">
        <v>18.239999999999998</v>
      </c>
      <c r="G4429">
        <v>0</v>
      </c>
      <c r="H4429">
        <v>0</v>
      </c>
      <c r="I4429" s="3">
        <f t="shared" si="82"/>
        <v>24</v>
      </c>
      <c r="J4429" s="3">
        <f t="shared" si="83"/>
        <v>20</v>
      </c>
      <c r="K4429" s="3">
        <f t="shared" si="84"/>
        <v>4</v>
      </c>
      <c r="L4429" s="3" t="str">
        <f t="shared" si="85"/>
        <v>OPORTUNO</v>
      </c>
      <c r="N4429">
        <v>99.32</v>
      </c>
      <c r="O4429">
        <v>30.45186640471513</v>
      </c>
    </row>
    <row r="4430" spans="1:15" x14ac:dyDescent="0.25">
      <c r="A4430" s="11">
        <v>46142</v>
      </c>
      <c r="B4430" t="s">
        <v>21</v>
      </c>
      <c r="C4430" t="s">
        <v>18</v>
      </c>
      <c r="D4430">
        <v>33</v>
      </c>
      <c r="E4430">
        <v>32</v>
      </c>
      <c r="F4430">
        <v>13.4</v>
      </c>
      <c r="G4430">
        <v>0</v>
      </c>
      <c r="H4430">
        <v>0</v>
      </c>
      <c r="I4430" s="3">
        <f t="shared" si="82"/>
        <v>32</v>
      </c>
      <c r="J4430" s="3">
        <f t="shared" si="83"/>
        <v>30</v>
      </c>
      <c r="K4430" s="3">
        <f t="shared" si="84"/>
        <v>2</v>
      </c>
      <c r="L4430" s="3" t="str">
        <f t="shared" si="85"/>
        <v>OPORTUNO</v>
      </c>
      <c r="N4430">
        <v>100</v>
      </c>
      <c r="O4430">
        <v>27.803738317757009</v>
      </c>
    </row>
    <row r="4431" spans="1:15" x14ac:dyDescent="0.25">
      <c r="A4431" s="11">
        <v>46142</v>
      </c>
      <c r="B4431" t="s">
        <v>22</v>
      </c>
      <c r="C4431" t="s">
        <v>23</v>
      </c>
      <c r="D4431">
        <v>34</v>
      </c>
      <c r="E4431">
        <v>33</v>
      </c>
      <c r="F4431">
        <v>14.16</v>
      </c>
      <c r="G4431">
        <v>0</v>
      </c>
      <c r="H4431">
        <v>0</v>
      </c>
      <c r="I4431" s="3">
        <f t="shared" si="82"/>
        <v>33</v>
      </c>
      <c r="J4431" s="3">
        <f t="shared" si="83"/>
        <v>9</v>
      </c>
      <c r="K4431" s="3">
        <f t="shared" si="84"/>
        <v>24</v>
      </c>
      <c r="L4431" s="3" t="str">
        <f t="shared" si="85"/>
        <v>MUITO BOM</v>
      </c>
      <c r="N4431">
        <v>96.74</v>
      </c>
      <c r="O4431">
        <v>28.43137254901961</v>
      </c>
    </row>
    <row r="4432" spans="1:15" x14ac:dyDescent="0.25">
      <c r="A4432" s="11">
        <v>46142</v>
      </c>
      <c r="B4432" t="s">
        <v>24</v>
      </c>
      <c r="C4432" t="s">
        <v>16</v>
      </c>
      <c r="D4432">
        <v>32</v>
      </c>
      <c r="E4432">
        <v>31</v>
      </c>
      <c r="F4432">
        <v>13.5</v>
      </c>
      <c r="G4432">
        <v>0</v>
      </c>
      <c r="H4432">
        <v>0</v>
      </c>
      <c r="I4432" s="3">
        <f t="shared" si="82"/>
        <v>31</v>
      </c>
      <c r="J4432" s="3">
        <f t="shared" si="83"/>
        <v>24</v>
      </c>
      <c r="K4432" s="3">
        <f t="shared" si="84"/>
        <v>7</v>
      </c>
      <c r="L4432" s="3" t="str">
        <f t="shared" si="85"/>
        <v>MUITO BOM</v>
      </c>
      <c r="N4432">
        <v>98.82</v>
      </c>
      <c r="O4432">
        <v>30.741410488245929</v>
      </c>
    </row>
    <row r="4433" spans="1:15" x14ac:dyDescent="0.25">
      <c r="A4433" s="11">
        <v>46142</v>
      </c>
      <c r="B4433" t="s">
        <v>25</v>
      </c>
      <c r="C4433" t="s">
        <v>16</v>
      </c>
      <c r="D4433">
        <v>32</v>
      </c>
      <c r="E4433">
        <v>30</v>
      </c>
      <c r="F4433">
        <v>15.09</v>
      </c>
      <c r="G4433">
        <v>0</v>
      </c>
      <c r="H4433">
        <v>0</v>
      </c>
      <c r="I4433" s="3">
        <f t="shared" si="82"/>
        <v>30</v>
      </c>
      <c r="J4433" s="3">
        <f t="shared" si="83"/>
        <v>24</v>
      </c>
      <c r="K4433" s="3">
        <f t="shared" si="84"/>
        <v>6</v>
      </c>
      <c r="L4433" s="3" t="str">
        <f t="shared" si="85"/>
        <v>MUITO BOM</v>
      </c>
      <c r="N4433">
        <v>98.2</v>
      </c>
      <c r="O4433">
        <v>26.890756302521009</v>
      </c>
    </row>
    <row r="4434" spans="1:15" x14ac:dyDescent="0.25">
      <c r="A4434" s="11">
        <v>46142</v>
      </c>
      <c r="B4434" t="s">
        <v>26</v>
      </c>
      <c r="C4434" t="s">
        <v>23</v>
      </c>
      <c r="D4434">
        <v>6</v>
      </c>
      <c r="E4434">
        <v>6</v>
      </c>
      <c r="F4434">
        <v>28.42</v>
      </c>
      <c r="G4434">
        <v>0</v>
      </c>
      <c r="H4434">
        <v>0</v>
      </c>
      <c r="I4434" s="3">
        <f t="shared" si="82"/>
        <v>6</v>
      </c>
      <c r="J4434" s="3">
        <f t="shared" si="83"/>
        <v>9</v>
      </c>
      <c r="K4434" s="3">
        <f t="shared" si="84"/>
        <v>-3</v>
      </c>
      <c r="L4434" s="3" t="str">
        <f t="shared" si="85"/>
        <v>ATENÇÃO</v>
      </c>
      <c r="N4434">
        <v>100</v>
      </c>
      <c r="O4434">
        <v>23.134328358208951</v>
      </c>
    </row>
    <row r="4435" spans="1:15" x14ac:dyDescent="0.25">
      <c r="A4435" s="11">
        <v>46142</v>
      </c>
      <c r="B4435" t="s">
        <v>27</v>
      </c>
      <c r="C4435" t="s">
        <v>20</v>
      </c>
      <c r="D4435">
        <v>23</v>
      </c>
      <c r="E4435">
        <v>23</v>
      </c>
      <c r="F4435">
        <v>25.3</v>
      </c>
      <c r="G4435">
        <v>0</v>
      </c>
      <c r="H4435">
        <v>0</v>
      </c>
      <c r="I4435" s="3">
        <f t="shared" si="82"/>
        <v>23</v>
      </c>
      <c r="J4435" s="3">
        <f t="shared" si="83"/>
        <v>20</v>
      </c>
      <c r="K4435" s="3">
        <f t="shared" si="84"/>
        <v>3</v>
      </c>
      <c r="L4435" s="3" t="str">
        <f t="shared" si="85"/>
        <v>OPORTUNO</v>
      </c>
      <c r="N4435">
        <v>96.3</v>
      </c>
      <c r="O4435">
        <v>31.980906921241051</v>
      </c>
    </row>
    <row r="4436" spans="1:15" x14ac:dyDescent="0.25">
      <c r="A4436" s="11">
        <v>46142</v>
      </c>
      <c r="B4436" t="s">
        <v>28</v>
      </c>
      <c r="C4436" t="s">
        <v>18</v>
      </c>
      <c r="D4436">
        <v>39</v>
      </c>
      <c r="E4436">
        <v>37</v>
      </c>
      <c r="F4436">
        <v>11.54</v>
      </c>
      <c r="G4436">
        <v>0</v>
      </c>
      <c r="H4436">
        <v>0</v>
      </c>
      <c r="I4436" s="3">
        <f t="shared" si="82"/>
        <v>37</v>
      </c>
      <c r="J4436" s="3">
        <f t="shared" si="83"/>
        <v>30</v>
      </c>
      <c r="K4436" s="3">
        <f t="shared" si="84"/>
        <v>7</v>
      </c>
      <c r="L4436" s="3" t="str">
        <f t="shared" si="85"/>
        <v>MUITO BOM</v>
      </c>
      <c r="N4436">
        <v>93.75</v>
      </c>
      <c r="O4436">
        <v>26.628352490421459</v>
      </c>
    </row>
    <row r="4437" spans="1:15" x14ac:dyDescent="0.25">
      <c r="A4437" s="11">
        <v>46142</v>
      </c>
      <c r="B4437" t="s">
        <v>29</v>
      </c>
      <c r="C4437" t="s">
        <v>16</v>
      </c>
      <c r="D4437">
        <v>0</v>
      </c>
      <c r="E4437">
        <v>0</v>
      </c>
      <c r="F4437">
        <v>0</v>
      </c>
      <c r="G4437">
        <v>0</v>
      </c>
      <c r="H4437">
        <v>0</v>
      </c>
      <c r="I4437" s="3">
        <f t="shared" si="82"/>
        <v>0</v>
      </c>
      <c r="J4437" s="3">
        <f t="shared" si="83"/>
        <v>24</v>
      </c>
      <c r="K4437" s="3">
        <f t="shared" si="84"/>
        <v>-24</v>
      </c>
      <c r="L4437" s="3" t="str">
        <f t="shared" si="85"/>
        <v>CRÍTICO</v>
      </c>
      <c r="N4437">
        <v>97.86</v>
      </c>
      <c r="O4437">
        <v>31.018518518518519</v>
      </c>
    </row>
    <row r="4438" spans="1:15" x14ac:dyDescent="0.25">
      <c r="A4438" s="11">
        <v>46142</v>
      </c>
      <c r="B4438" t="s">
        <v>30</v>
      </c>
      <c r="C4438" t="s">
        <v>20</v>
      </c>
      <c r="D4438">
        <v>23</v>
      </c>
      <c r="E4438">
        <v>23</v>
      </c>
      <c r="F4438">
        <v>20.21</v>
      </c>
      <c r="G4438">
        <v>0</v>
      </c>
      <c r="H4438">
        <v>0</v>
      </c>
      <c r="I4438" s="3">
        <f t="shared" si="82"/>
        <v>23</v>
      </c>
      <c r="J4438" s="3">
        <f t="shared" si="83"/>
        <v>20</v>
      </c>
      <c r="K4438" s="3">
        <f t="shared" si="84"/>
        <v>3</v>
      </c>
      <c r="L4438" s="3" t="str">
        <f t="shared" si="85"/>
        <v>OPORTUNO</v>
      </c>
      <c r="N4438">
        <v>100</v>
      </c>
      <c r="O4438">
        <v>36.231884057971023</v>
      </c>
    </row>
    <row r="4439" spans="1:15" x14ac:dyDescent="0.25">
      <c r="A4439" s="11">
        <v>46142</v>
      </c>
      <c r="B4439" t="s">
        <v>31</v>
      </c>
      <c r="C4439" t="s">
        <v>18</v>
      </c>
      <c r="D4439">
        <v>0</v>
      </c>
      <c r="E4439">
        <v>0</v>
      </c>
      <c r="F4439">
        <v>0</v>
      </c>
      <c r="G4439">
        <v>0</v>
      </c>
      <c r="H4439">
        <v>0</v>
      </c>
      <c r="I4439" s="3">
        <f t="shared" si="82"/>
        <v>0</v>
      </c>
      <c r="J4439" s="3">
        <f t="shared" si="83"/>
        <v>30</v>
      </c>
      <c r="K4439" s="3">
        <f t="shared" si="84"/>
        <v>-30</v>
      </c>
      <c r="L4439" s="3" t="str">
        <f t="shared" si="85"/>
        <v>CRÍTICO</v>
      </c>
      <c r="N4439">
        <v>100</v>
      </c>
      <c r="O4439">
        <v>38.269230769230766</v>
      </c>
    </row>
    <row r="4440" spans="1:15" x14ac:dyDescent="0.25">
      <c r="A4440" s="11">
        <v>46142</v>
      </c>
      <c r="B4440" t="s">
        <v>32</v>
      </c>
      <c r="C4440" t="s">
        <v>23</v>
      </c>
      <c r="D4440">
        <v>32</v>
      </c>
      <c r="E4440">
        <v>23</v>
      </c>
      <c r="F4440">
        <v>4.1399999999999997</v>
      </c>
      <c r="G4440">
        <v>0</v>
      </c>
      <c r="H4440">
        <v>0</v>
      </c>
      <c r="I4440" s="3">
        <f t="shared" si="82"/>
        <v>23</v>
      </c>
      <c r="J4440" s="3">
        <f t="shared" si="83"/>
        <v>9</v>
      </c>
      <c r="K4440" s="3">
        <f t="shared" si="84"/>
        <v>14</v>
      </c>
      <c r="L4440" s="3" t="str">
        <f t="shared" si="85"/>
        <v>MUITO BOM</v>
      </c>
      <c r="N4440">
        <v>100</v>
      </c>
      <c r="O4440">
        <v>27.368421052631579</v>
      </c>
    </row>
    <row r="4441" spans="1:15" x14ac:dyDescent="0.25">
      <c r="A4441" s="11">
        <v>46142</v>
      </c>
      <c r="B4441" t="s">
        <v>33</v>
      </c>
      <c r="C4441" t="s">
        <v>16</v>
      </c>
      <c r="D4441">
        <v>38</v>
      </c>
      <c r="E4441">
        <v>38</v>
      </c>
      <c r="F4441">
        <v>15.02</v>
      </c>
      <c r="G4441">
        <v>0</v>
      </c>
      <c r="H4441">
        <v>0</v>
      </c>
      <c r="I4441" s="3">
        <f t="shared" si="82"/>
        <v>38</v>
      </c>
      <c r="J4441" s="3">
        <f t="shared" si="83"/>
        <v>24</v>
      </c>
      <c r="K4441" s="3">
        <f t="shared" si="84"/>
        <v>14</v>
      </c>
      <c r="L4441" s="3" t="str">
        <f t="shared" si="85"/>
        <v>MUITO BOM</v>
      </c>
      <c r="N4441">
        <v>97.83</v>
      </c>
      <c r="O4441">
        <v>28.131868131868131</v>
      </c>
    </row>
    <row r="4442" spans="1:15" x14ac:dyDescent="0.25">
      <c r="A4442" s="11">
        <v>46142</v>
      </c>
      <c r="B4442" t="s">
        <v>34</v>
      </c>
      <c r="C4442" t="s">
        <v>18</v>
      </c>
      <c r="D4442">
        <v>29</v>
      </c>
      <c r="E4442">
        <v>26</v>
      </c>
      <c r="F4442">
        <v>15.07</v>
      </c>
      <c r="G4442">
        <v>0</v>
      </c>
      <c r="H4442">
        <v>0</v>
      </c>
      <c r="I4442" s="3">
        <f t="shared" si="82"/>
        <v>26</v>
      </c>
      <c r="J4442" s="3">
        <f t="shared" si="83"/>
        <v>30</v>
      </c>
      <c r="K4442" s="3">
        <f t="shared" si="84"/>
        <v>-4</v>
      </c>
      <c r="L4442" s="3" t="str">
        <f t="shared" si="85"/>
        <v>ATENÇÃO</v>
      </c>
      <c r="N4442">
        <v>99.26</v>
      </c>
      <c r="O4442">
        <v>29.57198443579767</v>
      </c>
    </row>
    <row r="4443" spans="1:15" x14ac:dyDescent="0.25">
      <c r="A4443" s="11">
        <v>46142</v>
      </c>
      <c r="B4443" t="s">
        <v>35</v>
      </c>
      <c r="C4443" t="s">
        <v>16</v>
      </c>
      <c r="D4443">
        <v>42</v>
      </c>
      <c r="E4443">
        <v>42</v>
      </c>
      <c r="F4443">
        <v>16.41</v>
      </c>
      <c r="G4443">
        <v>0</v>
      </c>
      <c r="H4443">
        <v>0</v>
      </c>
      <c r="I4443" s="3">
        <f t="shared" ref="I4443:I4470" si="86">E4443+G4443+H4443</f>
        <v>42</v>
      </c>
      <c r="J4443" s="3">
        <f t="shared" ref="J4443:J4470" si="87"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24</v>
      </c>
      <c r="K4443" s="3">
        <f t="shared" ref="K4443:K4470" si="88">I4443-J4443</f>
        <v>18</v>
      </c>
      <c r="L4443" s="3" t="str">
        <f t="shared" ref="L4443:L4470" si="89">IF(K4443&lt;-5,"CRÍTICO",IF(K4443&lt;0,"ATENÇÃO",IF(K4443&lt;=5,"OPORTUNO","MUITO BOM")))</f>
        <v>MUITO BOM</v>
      </c>
      <c r="N4443">
        <v>99.19</v>
      </c>
      <c r="O4443">
        <v>29.462365591397852</v>
      </c>
    </row>
    <row r="4444" spans="1:15" x14ac:dyDescent="0.25">
      <c r="A4444" s="11">
        <v>46167</v>
      </c>
      <c r="B4444" t="s">
        <v>36</v>
      </c>
      <c r="C4444" t="s">
        <v>20</v>
      </c>
      <c r="D4444">
        <v>0</v>
      </c>
      <c r="E4444">
        <v>0</v>
      </c>
      <c r="F4444">
        <v>0</v>
      </c>
      <c r="G4444">
        <v>0</v>
      </c>
      <c r="H4444">
        <v>0</v>
      </c>
      <c r="I4444" s="3">
        <f t="shared" si="86"/>
        <v>0</v>
      </c>
      <c r="J4444" s="3">
        <f t="shared" si="87"/>
        <v>0</v>
      </c>
      <c r="K4444" s="3">
        <f t="shared" si="88"/>
        <v>0</v>
      </c>
      <c r="L4444" s="3" t="str">
        <f t="shared" si="89"/>
        <v>OPORTUNO</v>
      </c>
    </row>
    <row r="4445" spans="1:15" x14ac:dyDescent="0.25">
      <c r="A4445" s="11">
        <v>46142</v>
      </c>
      <c r="B4445" t="s">
        <v>37</v>
      </c>
      <c r="C4445" t="s">
        <v>16</v>
      </c>
      <c r="D4445">
        <v>25</v>
      </c>
      <c r="E4445">
        <v>25</v>
      </c>
      <c r="F4445">
        <v>18.5</v>
      </c>
      <c r="G4445">
        <v>0</v>
      </c>
      <c r="H4445">
        <v>0</v>
      </c>
      <c r="I4445" s="3">
        <f t="shared" si="86"/>
        <v>25</v>
      </c>
      <c r="J4445" s="3">
        <f t="shared" si="87"/>
        <v>24</v>
      </c>
      <c r="K4445" s="3">
        <f t="shared" si="88"/>
        <v>1</v>
      </c>
      <c r="L4445" s="3" t="str">
        <f t="shared" si="89"/>
        <v>OPORTUNO</v>
      </c>
      <c r="N4445">
        <v>100</v>
      </c>
      <c r="O4445">
        <v>27.941176470588239</v>
      </c>
    </row>
    <row r="4446" spans="1:15" x14ac:dyDescent="0.25">
      <c r="A4446" s="11">
        <v>46142</v>
      </c>
      <c r="B4446" t="s">
        <v>38</v>
      </c>
      <c r="C4446" t="s">
        <v>18</v>
      </c>
      <c r="D4446">
        <v>47</v>
      </c>
      <c r="E4446">
        <v>42</v>
      </c>
      <c r="F4446">
        <v>12.14</v>
      </c>
      <c r="G4446">
        <v>0</v>
      </c>
      <c r="H4446">
        <v>0</v>
      </c>
      <c r="I4446" s="3">
        <f t="shared" si="86"/>
        <v>42</v>
      </c>
      <c r="J4446" s="3">
        <f t="shared" si="87"/>
        <v>30</v>
      </c>
      <c r="K4446" s="3">
        <f t="shared" si="88"/>
        <v>12</v>
      </c>
      <c r="L4446" s="3" t="str">
        <f t="shared" si="89"/>
        <v>MUITO BOM</v>
      </c>
      <c r="N4446">
        <v>99.57</v>
      </c>
      <c r="O4446">
        <v>29.913294797687861</v>
      </c>
    </row>
    <row r="4447" spans="1:15" x14ac:dyDescent="0.25">
      <c r="A4447" s="11">
        <v>46142</v>
      </c>
      <c r="B4447" t="s">
        <v>39</v>
      </c>
      <c r="C4447" t="s">
        <v>18</v>
      </c>
      <c r="D4447">
        <v>0</v>
      </c>
      <c r="E4447">
        <v>0</v>
      </c>
      <c r="F4447">
        <v>0</v>
      </c>
      <c r="G4447">
        <v>0</v>
      </c>
      <c r="H4447">
        <v>0</v>
      </c>
      <c r="I4447" s="3">
        <f t="shared" si="86"/>
        <v>0</v>
      </c>
      <c r="J4447" s="3">
        <f t="shared" si="87"/>
        <v>30</v>
      </c>
      <c r="K4447" s="3">
        <f t="shared" si="88"/>
        <v>-30</v>
      </c>
      <c r="L4447" s="3" t="str">
        <f t="shared" si="89"/>
        <v>CRÍTICO</v>
      </c>
      <c r="N4447">
        <v>95.65</v>
      </c>
      <c r="O4447">
        <v>31.081081081081081</v>
      </c>
    </row>
    <row r="4448" spans="1:15" x14ac:dyDescent="0.25">
      <c r="A4448" s="11">
        <v>46142</v>
      </c>
      <c r="B4448" t="s">
        <v>40</v>
      </c>
      <c r="C4448" t="s">
        <v>16</v>
      </c>
      <c r="D4448">
        <v>21</v>
      </c>
      <c r="E4448">
        <v>16</v>
      </c>
      <c r="F4448">
        <v>11.48</v>
      </c>
      <c r="G4448">
        <v>0</v>
      </c>
      <c r="H4448">
        <v>0</v>
      </c>
      <c r="I4448" s="3">
        <f t="shared" si="86"/>
        <v>16</v>
      </c>
      <c r="J4448" s="3">
        <f t="shared" si="87"/>
        <v>24</v>
      </c>
      <c r="K4448" s="3">
        <f t="shared" si="88"/>
        <v>-8</v>
      </c>
      <c r="L4448" s="3" t="str">
        <f t="shared" si="89"/>
        <v>CRÍTICO</v>
      </c>
      <c r="N4448">
        <v>98.81</v>
      </c>
      <c r="O4448">
        <v>26.256983240223459</v>
      </c>
    </row>
    <row r="4449" spans="1:15" x14ac:dyDescent="0.25">
      <c r="A4449" s="11">
        <v>46142</v>
      </c>
      <c r="B4449" t="s">
        <v>41</v>
      </c>
      <c r="C4449" t="s">
        <v>18</v>
      </c>
      <c r="D4449">
        <v>0</v>
      </c>
      <c r="E4449">
        <v>0</v>
      </c>
      <c r="F4449">
        <v>0</v>
      </c>
      <c r="G4449">
        <v>0</v>
      </c>
      <c r="H4449">
        <v>0</v>
      </c>
      <c r="I4449" s="3">
        <f t="shared" si="86"/>
        <v>0</v>
      </c>
      <c r="J4449" s="3">
        <f t="shared" si="87"/>
        <v>30</v>
      </c>
      <c r="K4449" s="3">
        <f t="shared" si="88"/>
        <v>-30</v>
      </c>
      <c r="L4449" s="3" t="str">
        <f t="shared" si="89"/>
        <v>CRÍTICO</v>
      </c>
      <c r="N4449">
        <v>0</v>
      </c>
      <c r="O4449">
        <v>0</v>
      </c>
    </row>
    <row r="4450" spans="1:15" x14ac:dyDescent="0.25">
      <c r="A4450" s="11">
        <v>46142</v>
      </c>
      <c r="B4450" t="s">
        <v>42</v>
      </c>
      <c r="C4450" t="s">
        <v>43</v>
      </c>
      <c r="D4450">
        <v>19</v>
      </c>
      <c r="E4450">
        <v>17</v>
      </c>
      <c r="F4450">
        <v>19.12</v>
      </c>
      <c r="G4450">
        <v>0</v>
      </c>
      <c r="H4450">
        <v>0</v>
      </c>
      <c r="I4450" s="3">
        <f t="shared" si="86"/>
        <v>17</v>
      </c>
      <c r="J4450" s="3">
        <f t="shared" si="87"/>
        <v>17</v>
      </c>
      <c r="K4450" s="3">
        <f t="shared" si="88"/>
        <v>0</v>
      </c>
      <c r="L4450" s="3" t="str">
        <f t="shared" si="89"/>
        <v>OPORTUNO</v>
      </c>
      <c r="N4450">
        <v>97.17</v>
      </c>
      <c r="O4450">
        <v>28.81844380403458</v>
      </c>
    </row>
    <row r="4451" spans="1:15" x14ac:dyDescent="0.25">
      <c r="A4451" s="11">
        <v>46142</v>
      </c>
      <c r="B4451" t="s">
        <v>44</v>
      </c>
      <c r="C4451" t="s">
        <v>18</v>
      </c>
      <c r="D4451">
        <v>0</v>
      </c>
      <c r="E4451">
        <v>0</v>
      </c>
      <c r="F4451">
        <v>0</v>
      </c>
      <c r="G4451">
        <v>0</v>
      </c>
      <c r="H4451">
        <v>0</v>
      </c>
      <c r="I4451" s="3">
        <f t="shared" si="86"/>
        <v>0</v>
      </c>
      <c r="J4451" s="3">
        <f t="shared" si="87"/>
        <v>30</v>
      </c>
      <c r="K4451" s="3">
        <f t="shared" si="88"/>
        <v>-30</v>
      </c>
      <c r="L4451" s="3" t="str">
        <f t="shared" si="89"/>
        <v>CRÍTICO</v>
      </c>
      <c r="N4451">
        <v>96.81</v>
      </c>
      <c r="O4451">
        <v>48.018648018648022</v>
      </c>
    </row>
    <row r="4452" spans="1:15" x14ac:dyDescent="0.25">
      <c r="A4452" s="11">
        <v>46142</v>
      </c>
      <c r="B4452" t="s">
        <v>45</v>
      </c>
      <c r="C4452" t="s">
        <v>43</v>
      </c>
      <c r="D4452">
        <v>22</v>
      </c>
      <c r="E4452">
        <v>21</v>
      </c>
      <c r="F4452">
        <v>17.260000000000002</v>
      </c>
      <c r="G4452">
        <v>0</v>
      </c>
      <c r="H4452">
        <v>0</v>
      </c>
      <c r="I4452" s="3">
        <f t="shared" si="86"/>
        <v>21</v>
      </c>
      <c r="J4452" s="3">
        <f t="shared" si="87"/>
        <v>17</v>
      </c>
      <c r="K4452" s="3">
        <f t="shared" si="88"/>
        <v>4</v>
      </c>
      <c r="L4452" s="3" t="str">
        <f t="shared" si="89"/>
        <v>OPORTUNO</v>
      </c>
      <c r="N4452">
        <v>98.15</v>
      </c>
      <c r="O4452">
        <v>27.1551724137931</v>
      </c>
    </row>
    <row r="4453" spans="1:15" x14ac:dyDescent="0.25">
      <c r="A4453" s="11">
        <v>46142</v>
      </c>
      <c r="B4453" t="s">
        <v>46</v>
      </c>
      <c r="C4453" t="s">
        <v>18</v>
      </c>
      <c r="D4453">
        <v>31</v>
      </c>
      <c r="E4453">
        <v>29</v>
      </c>
      <c r="F4453">
        <v>13.5</v>
      </c>
      <c r="G4453">
        <v>0</v>
      </c>
      <c r="H4453">
        <v>0</v>
      </c>
      <c r="I4453" s="3">
        <f t="shared" si="86"/>
        <v>29</v>
      </c>
      <c r="J4453" s="3">
        <f t="shared" si="87"/>
        <v>30</v>
      </c>
      <c r="K4453" s="3">
        <f t="shared" si="88"/>
        <v>-1</v>
      </c>
      <c r="L4453" s="3" t="str">
        <f t="shared" si="89"/>
        <v>ATENÇÃO</v>
      </c>
      <c r="N4453">
        <v>99.15</v>
      </c>
      <c r="O4453">
        <v>27.370689655172409</v>
      </c>
    </row>
    <row r="4454" spans="1:15" x14ac:dyDescent="0.25">
      <c r="A4454" s="11">
        <v>46142</v>
      </c>
      <c r="B4454" t="s">
        <v>47</v>
      </c>
      <c r="C4454" t="s">
        <v>16</v>
      </c>
      <c r="D4454">
        <v>18</v>
      </c>
      <c r="E4454">
        <v>17</v>
      </c>
      <c r="F4454">
        <v>21.44</v>
      </c>
      <c r="G4454">
        <v>0</v>
      </c>
      <c r="H4454">
        <v>0</v>
      </c>
      <c r="I4454" s="3">
        <f t="shared" si="86"/>
        <v>17</v>
      </c>
      <c r="J4454" s="3">
        <f t="shared" si="87"/>
        <v>24</v>
      </c>
      <c r="K4454" s="3">
        <f t="shared" si="88"/>
        <v>-7</v>
      </c>
      <c r="L4454" s="3" t="str">
        <f t="shared" si="89"/>
        <v>CRÍTICO</v>
      </c>
      <c r="N4454">
        <v>99.17</v>
      </c>
      <c r="O4454">
        <v>29.75206611570248</v>
      </c>
    </row>
    <row r="4455" spans="1:15" x14ac:dyDescent="0.25">
      <c r="A4455" s="11">
        <v>46142</v>
      </c>
      <c r="B4455" t="s">
        <v>48</v>
      </c>
      <c r="C4455" t="s">
        <v>16</v>
      </c>
      <c r="D4455">
        <v>0</v>
      </c>
      <c r="E4455">
        <v>0</v>
      </c>
      <c r="F4455">
        <v>0</v>
      </c>
      <c r="G4455">
        <v>0</v>
      </c>
      <c r="H4455">
        <v>0</v>
      </c>
      <c r="I4455" s="3">
        <f t="shared" si="86"/>
        <v>0</v>
      </c>
      <c r="J4455" s="3">
        <f t="shared" si="87"/>
        <v>24</v>
      </c>
      <c r="K4455" s="3">
        <f t="shared" si="88"/>
        <v>-24</v>
      </c>
      <c r="L4455" s="3" t="str">
        <f t="shared" si="89"/>
        <v>CRÍTICO</v>
      </c>
      <c r="N4455">
        <v>98.73</v>
      </c>
      <c r="O4455">
        <v>28.961748633879779</v>
      </c>
    </row>
    <row r="4456" spans="1:15" x14ac:dyDescent="0.25">
      <c r="A4456" s="11">
        <v>46142</v>
      </c>
      <c r="B4456" t="s">
        <v>49</v>
      </c>
      <c r="C4456" t="s">
        <v>18</v>
      </c>
      <c r="D4456">
        <v>0</v>
      </c>
      <c r="E4456">
        <v>0</v>
      </c>
      <c r="F4456">
        <v>0</v>
      </c>
      <c r="G4456">
        <v>0</v>
      </c>
      <c r="H4456">
        <v>0</v>
      </c>
      <c r="I4456" s="3">
        <f t="shared" si="86"/>
        <v>0</v>
      </c>
      <c r="J4456" s="3">
        <f t="shared" si="87"/>
        <v>30</v>
      </c>
      <c r="K4456" s="3">
        <f t="shared" si="88"/>
        <v>-30</v>
      </c>
      <c r="L4456" s="3" t="str">
        <f t="shared" si="89"/>
        <v>CRÍTICO</v>
      </c>
      <c r="N4456">
        <v>88.68</v>
      </c>
      <c r="O4456">
        <v>22.03389830508474</v>
      </c>
    </row>
    <row r="4457" spans="1:15" x14ac:dyDescent="0.25">
      <c r="A4457" s="11">
        <v>46142</v>
      </c>
      <c r="B4457" t="s">
        <v>50</v>
      </c>
      <c r="C4457" t="s">
        <v>20</v>
      </c>
      <c r="D4457">
        <v>30</v>
      </c>
      <c r="E4457">
        <v>28</v>
      </c>
      <c r="F4457">
        <v>16.54</v>
      </c>
      <c r="G4457">
        <v>0</v>
      </c>
      <c r="H4457">
        <v>0</v>
      </c>
      <c r="I4457" s="3">
        <f t="shared" si="86"/>
        <v>28</v>
      </c>
      <c r="J4457" s="3">
        <f t="shared" si="87"/>
        <v>20</v>
      </c>
      <c r="K4457" s="3">
        <f t="shared" si="88"/>
        <v>8</v>
      </c>
      <c r="L4457" s="3" t="str">
        <f t="shared" si="89"/>
        <v>MUITO BOM</v>
      </c>
      <c r="N4457">
        <v>97.37</v>
      </c>
      <c r="O4457">
        <v>25.76530612244898</v>
      </c>
    </row>
    <row r="4458" spans="1:15" x14ac:dyDescent="0.25">
      <c r="A4458" s="11">
        <v>46142</v>
      </c>
      <c r="B4458" t="s">
        <v>51</v>
      </c>
      <c r="C4458" t="s">
        <v>23</v>
      </c>
      <c r="D4458">
        <v>80</v>
      </c>
      <c r="E4458">
        <v>46</v>
      </c>
      <c r="F4458">
        <v>5.0599999999999996</v>
      </c>
      <c r="G4458">
        <v>0</v>
      </c>
      <c r="H4458">
        <v>0</v>
      </c>
      <c r="I4458" s="3">
        <f t="shared" si="86"/>
        <v>46</v>
      </c>
      <c r="J4458" s="3">
        <f t="shared" si="87"/>
        <v>9</v>
      </c>
      <c r="K4458" s="3">
        <f t="shared" si="88"/>
        <v>37</v>
      </c>
      <c r="L4458" s="3" t="str">
        <f t="shared" si="89"/>
        <v>MUITO BOM</v>
      </c>
      <c r="N4458">
        <v>100</v>
      </c>
      <c r="O4458">
        <v>25</v>
      </c>
    </row>
    <row r="4459" spans="1:15" x14ac:dyDescent="0.25">
      <c r="A4459" s="11">
        <v>46142</v>
      </c>
      <c r="B4459" t="s">
        <v>52</v>
      </c>
      <c r="C4459" t="s">
        <v>18</v>
      </c>
      <c r="D4459">
        <v>15</v>
      </c>
      <c r="E4459">
        <v>13</v>
      </c>
      <c r="F4459">
        <v>11.57</v>
      </c>
      <c r="G4459">
        <v>0</v>
      </c>
      <c r="H4459">
        <v>0</v>
      </c>
      <c r="I4459" s="3">
        <f t="shared" si="86"/>
        <v>13</v>
      </c>
      <c r="J4459" s="3">
        <f t="shared" si="87"/>
        <v>30</v>
      </c>
      <c r="K4459" s="3">
        <f t="shared" si="88"/>
        <v>-17</v>
      </c>
      <c r="L4459" s="3" t="str">
        <f t="shared" si="89"/>
        <v>CRÍTICO</v>
      </c>
      <c r="N4459">
        <v>100</v>
      </c>
      <c r="O4459">
        <v>23.9870340356564</v>
      </c>
    </row>
    <row r="4460" spans="1:15" x14ac:dyDescent="0.25">
      <c r="A4460" s="11">
        <v>46142</v>
      </c>
      <c r="B4460" t="s">
        <v>53</v>
      </c>
      <c r="C4460" t="s">
        <v>18</v>
      </c>
      <c r="D4460">
        <v>35</v>
      </c>
      <c r="E4460">
        <v>34</v>
      </c>
      <c r="F4460">
        <v>14.14</v>
      </c>
      <c r="G4460">
        <v>0</v>
      </c>
      <c r="H4460">
        <v>0</v>
      </c>
      <c r="I4460" s="3">
        <f t="shared" si="86"/>
        <v>34</v>
      </c>
      <c r="J4460" s="3">
        <f t="shared" si="87"/>
        <v>30</v>
      </c>
      <c r="K4460" s="3">
        <f t="shared" si="88"/>
        <v>4</v>
      </c>
      <c r="L4460" s="3" t="str">
        <f t="shared" si="89"/>
        <v>OPORTUNO</v>
      </c>
      <c r="N4460">
        <v>95.49</v>
      </c>
      <c r="O4460">
        <v>28.16901408450704</v>
      </c>
    </row>
    <row r="4461" spans="1:15" x14ac:dyDescent="0.25">
      <c r="A4461" s="11">
        <v>46142</v>
      </c>
      <c r="B4461" t="s">
        <v>54</v>
      </c>
      <c r="C4461" t="s">
        <v>23</v>
      </c>
      <c r="D4461">
        <v>19</v>
      </c>
      <c r="E4461">
        <v>17</v>
      </c>
      <c r="F4461">
        <v>24.14</v>
      </c>
      <c r="G4461">
        <v>0</v>
      </c>
      <c r="H4461">
        <v>0</v>
      </c>
      <c r="I4461" s="3">
        <f t="shared" si="86"/>
        <v>17</v>
      </c>
      <c r="J4461" s="3">
        <f t="shared" si="87"/>
        <v>9</v>
      </c>
      <c r="K4461" s="3">
        <f t="shared" si="88"/>
        <v>8</v>
      </c>
      <c r="L4461" s="3" t="str">
        <f t="shared" si="89"/>
        <v>MUITO BOM</v>
      </c>
      <c r="N4461">
        <v>100</v>
      </c>
      <c r="O4461">
        <v>23.77622377622378</v>
      </c>
    </row>
    <row r="4462" spans="1:15" x14ac:dyDescent="0.25">
      <c r="A4462" s="11">
        <v>46142</v>
      </c>
      <c r="B4462" t="s">
        <v>55</v>
      </c>
      <c r="C4462" t="s">
        <v>43</v>
      </c>
      <c r="D4462">
        <v>36</v>
      </c>
      <c r="E4462">
        <v>20</v>
      </c>
      <c r="F4462">
        <v>9.19</v>
      </c>
      <c r="G4462">
        <v>0</v>
      </c>
      <c r="H4462">
        <v>0</v>
      </c>
      <c r="I4462" s="3">
        <f t="shared" si="86"/>
        <v>20</v>
      </c>
      <c r="J4462" s="3">
        <f t="shared" si="87"/>
        <v>17</v>
      </c>
      <c r="K4462" s="3">
        <f t="shared" si="88"/>
        <v>3</v>
      </c>
      <c r="L4462" s="3" t="str">
        <f t="shared" si="89"/>
        <v>OPORTUNO</v>
      </c>
      <c r="N4462">
        <v>96.15</v>
      </c>
      <c r="O4462">
        <v>24.045801526717561</v>
      </c>
    </row>
    <row r="4463" spans="1:15" x14ac:dyDescent="0.25">
      <c r="A4463" s="11">
        <v>46142</v>
      </c>
      <c r="B4463" t="s">
        <v>56</v>
      </c>
      <c r="C4463" t="s">
        <v>16</v>
      </c>
      <c r="D4463">
        <v>31</v>
      </c>
      <c r="E4463">
        <v>27</v>
      </c>
      <c r="F4463">
        <v>15.42</v>
      </c>
      <c r="G4463">
        <v>0</v>
      </c>
      <c r="H4463">
        <v>0</v>
      </c>
      <c r="I4463" s="3">
        <f t="shared" si="86"/>
        <v>27</v>
      </c>
      <c r="J4463" s="3">
        <f t="shared" si="87"/>
        <v>24</v>
      </c>
      <c r="K4463" s="3">
        <f t="shared" si="88"/>
        <v>3</v>
      </c>
      <c r="L4463" s="3" t="str">
        <f t="shared" si="89"/>
        <v>OPORTUNO</v>
      </c>
      <c r="N4463">
        <v>99.02</v>
      </c>
      <c r="O4463">
        <v>34.797297297297298</v>
      </c>
    </row>
    <row r="4464" spans="1:15" x14ac:dyDescent="0.25">
      <c r="A4464" s="11">
        <v>46142</v>
      </c>
      <c r="B4464" t="s">
        <v>57</v>
      </c>
      <c r="C4464" t="s">
        <v>43</v>
      </c>
      <c r="D4464">
        <v>19</v>
      </c>
      <c r="E4464">
        <v>19</v>
      </c>
      <c r="F4464">
        <v>20.079999999999998</v>
      </c>
      <c r="G4464">
        <v>0</v>
      </c>
      <c r="H4464">
        <v>0</v>
      </c>
      <c r="I4464" s="3">
        <f t="shared" si="86"/>
        <v>19</v>
      </c>
      <c r="J4464" s="3">
        <f t="shared" si="87"/>
        <v>17</v>
      </c>
      <c r="K4464" s="3">
        <f t="shared" si="88"/>
        <v>2</v>
      </c>
      <c r="L4464" s="3" t="str">
        <f t="shared" si="89"/>
        <v>OPORTUNO</v>
      </c>
      <c r="N4464">
        <v>98.84</v>
      </c>
      <c r="O4464">
        <v>31.5018315018315</v>
      </c>
    </row>
    <row r="4465" spans="1:15" x14ac:dyDescent="0.25">
      <c r="A4465" s="11">
        <v>46142</v>
      </c>
      <c r="B4465" t="s">
        <v>58</v>
      </c>
      <c r="C4465" t="s">
        <v>43</v>
      </c>
      <c r="D4465">
        <v>15</v>
      </c>
      <c r="E4465">
        <v>13</v>
      </c>
      <c r="F4465">
        <v>13.59</v>
      </c>
      <c r="G4465">
        <v>0</v>
      </c>
      <c r="H4465">
        <v>0</v>
      </c>
      <c r="I4465" s="3">
        <f t="shared" si="86"/>
        <v>13</v>
      </c>
      <c r="J4465" s="3">
        <f t="shared" si="87"/>
        <v>17</v>
      </c>
      <c r="K4465" s="3">
        <f t="shared" si="88"/>
        <v>-4</v>
      </c>
      <c r="L4465" s="3" t="str">
        <f t="shared" si="89"/>
        <v>ATENÇÃO</v>
      </c>
      <c r="N4465">
        <v>100</v>
      </c>
      <c r="O4465">
        <v>34.666666666666671</v>
      </c>
    </row>
    <row r="4466" spans="1:15" x14ac:dyDescent="0.25">
      <c r="A4466" s="11">
        <v>46142</v>
      </c>
      <c r="B4466" t="s">
        <v>59</v>
      </c>
      <c r="C4466" t="s">
        <v>23</v>
      </c>
      <c r="D4466">
        <v>18</v>
      </c>
      <c r="E4466">
        <v>17</v>
      </c>
      <c r="F4466">
        <v>28.41</v>
      </c>
      <c r="G4466">
        <v>0</v>
      </c>
      <c r="H4466">
        <v>0</v>
      </c>
      <c r="I4466" s="3">
        <f t="shared" si="86"/>
        <v>17</v>
      </c>
      <c r="J4466" s="3">
        <f t="shared" si="87"/>
        <v>9</v>
      </c>
      <c r="K4466" s="3">
        <f t="shared" si="88"/>
        <v>8</v>
      </c>
      <c r="L4466" s="3" t="str">
        <f t="shared" si="89"/>
        <v>MUITO BOM</v>
      </c>
      <c r="N4466">
        <v>94.12</v>
      </c>
      <c r="O4466">
        <v>32.799999999999997</v>
      </c>
    </row>
    <row r="4467" spans="1:15" x14ac:dyDescent="0.25">
      <c r="A4467" s="11">
        <v>46142</v>
      </c>
      <c r="B4467" t="s">
        <v>60</v>
      </c>
      <c r="C4467" t="s">
        <v>20</v>
      </c>
      <c r="D4467">
        <v>27</v>
      </c>
      <c r="E4467">
        <v>24</v>
      </c>
      <c r="F4467">
        <v>15.08</v>
      </c>
      <c r="G4467">
        <v>0</v>
      </c>
      <c r="H4467">
        <v>0</v>
      </c>
      <c r="I4467" s="3">
        <f t="shared" si="86"/>
        <v>24</v>
      </c>
      <c r="J4467" s="3">
        <f t="shared" si="87"/>
        <v>20</v>
      </c>
      <c r="K4467" s="3">
        <f t="shared" si="88"/>
        <v>4</v>
      </c>
      <c r="L4467" s="3" t="str">
        <f t="shared" si="89"/>
        <v>OPORTUNO</v>
      </c>
      <c r="N4467">
        <v>98.32</v>
      </c>
      <c r="O4467">
        <v>26.618705035971221</v>
      </c>
    </row>
    <row r="4468" spans="1:15" x14ac:dyDescent="0.25">
      <c r="A4468" s="11">
        <v>46142</v>
      </c>
      <c r="B4468" t="s">
        <v>61</v>
      </c>
      <c r="C4468" t="s">
        <v>18</v>
      </c>
      <c r="D4468">
        <v>36</v>
      </c>
      <c r="E4468">
        <v>33</v>
      </c>
      <c r="F4468">
        <v>18.2</v>
      </c>
      <c r="G4468">
        <v>0</v>
      </c>
      <c r="H4468">
        <v>0</v>
      </c>
      <c r="I4468" s="3">
        <f t="shared" si="86"/>
        <v>33</v>
      </c>
      <c r="J4468" s="3">
        <f t="shared" si="87"/>
        <v>30</v>
      </c>
      <c r="K4468" s="3">
        <f t="shared" si="88"/>
        <v>3</v>
      </c>
      <c r="L4468" s="3" t="str">
        <f t="shared" si="89"/>
        <v>OPORTUNO</v>
      </c>
      <c r="N4468">
        <v>100</v>
      </c>
      <c r="O4468">
        <v>31.135531135531139</v>
      </c>
    </row>
    <row r="4469" spans="1:15" x14ac:dyDescent="0.25">
      <c r="A4469" s="11">
        <v>46142</v>
      </c>
      <c r="B4469" t="s">
        <v>62</v>
      </c>
      <c r="C4469" t="s">
        <v>20</v>
      </c>
      <c r="D4469">
        <v>10</v>
      </c>
      <c r="E4469">
        <v>10</v>
      </c>
      <c r="F4469">
        <v>23.27</v>
      </c>
      <c r="G4469">
        <v>0</v>
      </c>
      <c r="H4469">
        <v>0</v>
      </c>
      <c r="I4469" s="3">
        <f t="shared" si="86"/>
        <v>10</v>
      </c>
      <c r="J4469" s="3">
        <f t="shared" si="87"/>
        <v>20</v>
      </c>
      <c r="K4469" s="3">
        <f t="shared" si="88"/>
        <v>-10</v>
      </c>
      <c r="L4469" s="3" t="str">
        <f t="shared" si="89"/>
        <v>CRÍTICO</v>
      </c>
      <c r="N4469">
        <v>100</v>
      </c>
      <c r="O4469">
        <v>26.027397260273968</v>
      </c>
    </row>
    <row r="4470" spans="1:15" x14ac:dyDescent="0.25">
      <c r="A4470" s="11">
        <v>46142</v>
      </c>
      <c r="B4470" t="s">
        <v>63</v>
      </c>
      <c r="C4470" t="s">
        <v>18</v>
      </c>
      <c r="D4470">
        <v>10</v>
      </c>
      <c r="E4470">
        <v>10</v>
      </c>
      <c r="F4470">
        <v>20.23</v>
      </c>
      <c r="G4470">
        <v>0</v>
      </c>
      <c r="H4470">
        <v>0</v>
      </c>
      <c r="I4470" s="3">
        <f t="shared" si="86"/>
        <v>10</v>
      </c>
      <c r="J4470" s="3">
        <f t="shared" si="87"/>
        <v>30</v>
      </c>
      <c r="K4470" s="3">
        <f t="shared" si="88"/>
        <v>-20</v>
      </c>
      <c r="L4470" s="3" t="str">
        <f t="shared" si="89"/>
        <v>CRÍTICO</v>
      </c>
      <c r="N4470">
        <v>99.21</v>
      </c>
      <c r="O4470">
        <v>24.937027707808561</v>
      </c>
    </row>
  </sheetData>
  <autoFilter ref="A1:O4470" xr:uid="{00000000-0009-0000-0000-000000000000}">
    <filterColumn colId="0">
      <filters>
        <dateGroupItem year="2026" month="4" dateTimeGrouping="month"/>
        <dateGroupItem year="2026" month="5" dateTimeGrouping="month"/>
      </filters>
    </filterColumn>
    <sortState xmlns:xlrd2="http://schemas.microsoft.com/office/spreadsheetml/2017/richdata2" ref="A19:O4444">
      <sortCondition ref="A1:A447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B18" t="s">
        <v>84</v>
      </c>
      <c r="C18" t="s">
        <v>35</v>
      </c>
    </row>
    <row r="19" spans="1:3" x14ac:dyDescent="0.25">
      <c r="A19" t="s">
        <v>64</v>
      </c>
      <c r="B19" t="s">
        <v>85</v>
      </c>
      <c r="C19" t="s">
        <v>86</v>
      </c>
    </row>
    <row r="20" spans="1:3" x14ac:dyDescent="0.25">
      <c r="A20" t="s">
        <v>36</v>
      </c>
      <c r="B20" t="s">
        <v>87</v>
      </c>
      <c r="C20" t="s">
        <v>36</v>
      </c>
    </row>
    <row r="21" spans="1:3" x14ac:dyDescent="0.25">
      <c r="A21" t="s">
        <v>37</v>
      </c>
      <c r="B21" t="s">
        <v>88</v>
      </c>
      <c r="C21" t="s">
        <v>37</v>
      </c>
    </row>
    <row r="22" spans="1:3" x14ac:dyDescent="0.25">
      <c r="A22" t="s">
        <v>38</v>
      </c>
      <c r="B22" t="s">
        <v>89</v>
      </c>
      <c r="C22" t="s">
        <v>38</v>
      </c>
    </row>
    <row r="23" spans="1:3" x14ac:dyDescent="0.25">
      <c r="A23" t="s">
        <v>39</v>
      </c>
      <c r="B23" t="s">
        <v>90</v>
      </c>
      <c r="C23" t="s">
        <v>39</v>
      </c>
    </row>
    <row r="24" spans="1:3" x14ac:dyDescent="0.25">
      <c r="A24" t="s">
        <v>40</v>
      </c>
      <c r="B24" t="s">
        <v>91</v>
      </c>
      <c r="C24" t="s">
        <v>40</v>
      </c>
    </row>
    <row r="25" spans="1:3" x14ac:dyDescent="0.25">
      <c r="A25" t="s">
        <v>41</v>
      </c>
      <c r="B25" t="s">
        <v>92</v>
      </c>
      <c r="C25" t="s">
        <v>93</v>
      </c>
    </row>
    <row r="26" spans="1:3" x14ac:dyDescent="0.25">
      <c r="A26" t="s">
        <v>42</v>
      </c>
      <c r="B26" t="s">
        <v>94</v>
      </c>
      <c r="C26" t="s">
        <v>42</v>
      </c>
    </row>
    <row r="27" spans="1:3" x14ac:dyDescent="0.25">
      <c r="A27" t="s">
        <v>44</v>
      </c>
      <c r="B27" t="s">
        <v>95</v>
      </c>
      <c r="C27" t="s">
        <v>44</v>
      </c>
    </row>
    <row r="28" spans="1:3" x14ac:dyDescent="0.25">
      <c r="A28" t="s">
        <v>46</v>
      </c>
      <c r="B28" t="s">
        <v>96</v>
      </c>
      <c r="C28" t="s">
        <v>46</v>
      </c>
    </row>
    <row r="29" spans="1:3" x14ac:dyDescent="0.25">
      <c r="A29" t="s">
        <v>45</v>
      </c>
      <c r="B29" t="s">
        <v>97</v>
      </c>
      <c r="C29" t="s">
        <v>45</v>
      </c>
    </row>
    <row r="30" spans="1:3" x14ac:dyDescent="0.25">
      <c r="A30" t="s">
        <v>47</v>
      </c>
      <c r="B30" t="s">
        <v>98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99</v>
      </c>
      <c r="C32" t="s">
        <v>49</v>
      </c>
    </row>
    <row r="33" spans="1:3" x14ac:dyDescent="0.25">
      <c r="A33" t="s">
        <v>50</v>
      </c>
      <c r="B33" t="s">
        <v>100</v>
      </c>
      <c r="C33" t="s">
        <v>101</v>
      </c>
    </row>
    <row r="34" spans="1:3" x14ac:dyDescent="0.25">
      <c r="A34" t="s">
        <v>51</v>
      </c>
      <c r="B34" t="s">
        <v>102</v>
      </c>
      <c r="C34" t="s">
        <v>51</v>
      </c>
    </row>
    <row r="35" spans="1:3" x14ac:dyDescent="0.25">
      <c r="A35" t="s">
        <v>52</v>
      </c>
      <c r="B35" t="s">
        <v>103</v>
      </c>
      <c r="C35" t="s">
        <v>52</v>
      </c>
    </row>
    <row r="36" spans="1:3" x14ac:dyDescent="0.25">
      <c r="A36" t="s">
        <v>53</v>
      </c>
      <c r="B36" t="s">
        <v>104</v>
      </c>
      <c r="C36" t="s">
        <v>105</v>
      </c>
    </row>
    <row r="37" spans="1:3" x14ac:dyDescent="0.25">
      <c r="A37" t="s">
        <v>54</v>
      </c>
      <c r="B37" t="s">
        <v>106</v>
      </c>
      <c r="C37" t="s">
        <v>107</v>
      </c>
    </row>
    <row r="38" spans="1:3" x14ac:dyDescent="0.25">
      <c r="A38" t="s">
        <v>55</v>
      </c>
      <c r="B38" t="s">
        <v>55</v>
      </c>
      <c r="C38" t="s">
        <v>108</v>
      </c>
    </row>
    <row r="39" spans="1:3" x14ac:dyDescent="0.25">
      <c r="A39" t="s">
        <v>56</v>
      </c>
      <c r="B39" t="s">
        <v>109</v>
      </c>
      <c r="C39" t="s">
        <v>56</v>
      </c>
    </row>
    <row r="40" spans="1:3" x14ac:dyDescent="0.25">
      <c r="A40" t="s">
        <v>57</v>
      </c>
      <c r="B40" t="s">
        <v>110</v>
      </c>
      <c r="C40" t="s">
        <v>111</v>
      </c>
    </row>
    <row r="41" spans="1:3" x14ac:dyDescent="0.25">
      <c r="A41" t="s">
        <v>58</v>
      </c>
      <c r="B41" t="s">
        <v>112</v>
      </c>
      <c r="C41" t="s">
        <v>58</v>
      </c>
    </row>
    <row r="42" spans="1:3" x14ac:dyDescent="0.25">
      <c r="A42" t="s">
        <v>59</v>
      </c>
      <c r="B42" t="s">
        <v>113</v>
      </c>
      <c r="C42" t="s">
        <v>59</v>
      </c>
    </row>
    <row r="43" spans="1:3" x14ac:dyDescent="0.25">
      <c r="A43" t="s">
        <v>60</v>
      </c>
      <c r="B43" t="s">
        <v>114</v>
      </c>
      <c r="C43" t="s">
        <v>115</v>
      </c>
    </row>
    <row r="44" spans="1:3" x14ac:dyDescent="0.25">
      <c r="A44" t="s">
        <v>61</v>
      </c>
      <c r="B44" t="s">
        <v>116</v>
      </c>
      <c r="C44" t="s">
        <v>61</v>
      </c>
    </row>
    <row r="45" spans="1:3" x14ac:dyDescent="0.25">
      <c r="A45" t="s">
        <v>62</v>
      </c>
      <c r="B45" t="s">
        <v>117</v>
      </c>
      <c r="C45" t="s">
        <v>62</v>
      </c>
    </row>
    <row r="46" spans="1:3" x14ac:dyDescent="0.25">
      <c r="A46" t="s">
        <v>63</v>
      </c>
      <c r="B46" t="s">
        <v>118</v>
      </c>
      <c r="C46" t="s">
        <v>63</v>
      </c>
    </row>
    <row r="47" spans="1:3" x14ac:dyDescent="0.25">
      <c r="A47" t="s">
        <v>119</v>
      </c>
      <c r="B47" t="s">
        <v>92</v>
      </c>
    </row>
    <row r="48" spans="1:3" x14ac:dyDescent="0.25">
      <c r="A48" t="s">
        <v>120</v>
      </c>
      <c r="B48" t="s">
        <v>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2026-05-26T18:15:53Z</dcterms:modified>
</cp:coreProperties>
</file>
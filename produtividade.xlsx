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FF748022-3A0D-4166-A45F-4DB442FB9FBB}" xr6:coauthVersionLast="47" xr6:coauthVersionMax="47" xr10:uidLastSave="{00000000-0000-0000-0000-000000000000}"/>
  <bookViews>
    <workbookView xWindow="-120" yWindow="-120" windowWidth="21840" windowHeight="13140" xr2:uid="{3366F5A6-D48D-4B7C-80E0-46CFBEDC9F48}"/>
  </bookViews>
  <sheets>
    <sheet name="Produtividade" sheetId="1" r:id="rId1"/>
  </sheets>
  <definedNames>
    <definedName name="_xlnm._FilterDatabase" localSheetId="0" hidden="1">Produtividade!$A$1:$O$530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5" i="1" l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J547" i="1"/>
  <c r="I547" i="1"/>
  <c r="K547" i="1" s="1"/>
  <c r="L547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3" i="1"/>
  <c r="I543" i="1"/>
  <c r="K543" i="1" s="1"/>
  <c r="L543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L14" i="1"/>
  <c r="L122" i="1"/>
  <c r="L146" i="1"/>
  <c r="L192" i="1"/>
  <c r="L268" i="1"/>
  <c r="L15" i="1"/>
  <c r="L269" i="1"/>
  <c r="L352" i="1"/>
  <c r="L16" i="1"/>
  <c r="L194" i="1"/>
  <c r="L270" i="1"/>
  <c r="L353" i="1"/>
  <c r="L377" i="1"/>
  <c r="L17" i="1"/>
  <c r="L195" i="1"/>
  <c r="L271" i="1"/>
  <c r="L354" i="1"/>
  <c r="L426" i="1"/>
  <c r="L18" i="1"/>
  <c r="L196" i="1"/>
  <c r="L272" i="1"/>
  <c r="L355" i="1"/>
  <c r="L427" i="1"/>
  <c r="L19" i="1"/>
  <c r="L197" i="1"/>
  <c r="L213" i="1"/>
  <c r="L273" i="1"/>
  <c r="L356" i="1"/>
  <c r="L512" i="1"/>
  <c r="L20" i="1"/>
  <c r="L198" i="1"/>
  <c r="L274" i="1"/>
  <c r="L357" i="1"/>
  <c r="L21" i="1"/>
  <c r="L199" i="1"/>
  <c r="L275" i="1"/>
  <c r="L358" i="1"/>
  <c r="L22" i="1"/>
  <c r="L200" i="1"/>
  <c r="L276" i="1"/>
  <c r="L311" i="1"/>
  <c r="L359" i="1"/>
  <c r="L23" i="1"/>
  <c r="L201" i="1"/>
  <c r="L277" i="1"/>
  <c r="L360" i="1"/>
  <c r="L202" i="1"/>
  <c r="L24" i="1"/>
  <c r="L278" i="1"/>
  <c r="L361" i="1"/>
  <c r="L183" i="1"/>
  <c r="L184" i="1"/>
  <c r="L185" i="1"/>
  <c r="L186" i="1"/>
  <c r="L187" i="1"/>
  <c r="L188" i="1"/>
  <c r="L189" i="1"/>
  <c r="L190" i="1"/>
  <c r="L191" i="1"/>
  <c r="L25" i="1"/>
  <c r="L49" i="1"/>
  <c r="L133" i="1"/>
  <c r="L157" i="1"/>
  <c r="L203" i="1"/>
  <c r="L279" i="1"/>
  <c r="L362" i="1"/>
  <c r="I26" i="1"/>
  <c r="I38" i="1"/>
  <c r="I50" i="1"/>
  <c r="I62" i="1"/>
  <c r="I74" i="1"/>
  <c r="I86" i="1"/>
  <c r="I98" i="1"/>
  <c r="I110" i="1"/>
  <c r="I134" i="1"/>
  <c r="I158" i="1"/>
  <c r="I170" i="1"/>
  <c r="I182" i="1"/>
  <c r="I204" i="1"/>
  <c r="I208" i="1"/>
  <c r="I220" i="1"/>
  <c r="I232" i="1"/>
  <c r="I244" i="1"/>
  <c r="I256" i="1"/>
  <c r="I280" i="1"/>
  <c r="I292" i="1"/>
  <c r="I303" i="1"/>
  <c r="I315" i="1"/>
  <c r="I327" i="1"/>
  <c r="I339" i="1"/>
  <c r="I351" i="1"/>
  <c r="I363" i="1"/>
  <c r="I375" i="1"/>
  <c r="I387" i="1"/>
  <c r="I399" i="1"/>
  <c r="I411" i="1"/>
  <c r="I423" i="1"/>
  <c r="I435" i="1"/>
  <c r="I447" i="1"/>
  <c r="I459" i="1"/>
  <c r="I471" i="1"/>
  <c r="I483" i="1"/>
  <c r="I495" i="1"/>
  <c r="I507" i="1"/>
  <c r="I519" i="1"/>
  <c r="I51" i="1"/>
  <c r="I87" i="1"/>
  <c r="I159" i="1"/>
  <c r="I376" i="1"/>
  <c r="I412" i="1"/>
  <c r="I472" i="1"/>
  <c r="I281" i="1"/>
  <c r="I304" i="1"/>
  <c r="I448" i="1"/>
  <c r="I460" i="1"/>
  <c r="I484" i="1"/>
  <c r="I424" i="1"/>
  <c r="I27" i="1"/>
  <c r="I63" i="1"/>
  <c r="I75" i="1"/>
  <c r="I99" i="1"/>
  <c r="I135" i="1"/>
  <c r="I171" i="1"/>
  <c r="I193" i="1"/>
  <c r="I209" i="1"/>
  <c r="I221" i="1"/>
  <c r="I257" i="1"/>
  <c r="I328" i="1"/>
  <c r="I364" i="1"/>
  <c r="I508" i="1"/>
  <c r="I3" i="1"/>
  <c r="I39" i="1"/>
  <c r="I123" i="1"/>
  <c r="I147" i="1"/>
  <c r="I233" i="1"/>
  <c r="I316" i="1"/>
  <c r="I340" i="1"/>
  <c r="I400" i="1"/>
  <c r="I436" i="1"/>
  <c r="I520" i="1"/>
  <c r="I111" i="1"/>
  <c r="I245" i="1"/>
  <c r="I388" i="1"/>
  <c r="I496" i="1"/>
  <c r="I4" i="1"/>
  <c r="I28" i="1"/>
  <c r="I40" i="1"/>
  <c r="I52" i="1"/>
  <c r="I64" i="1"/>
  <c r="I76" i="1"/>
  <c r="I88" i="1"/>
  <c r="I100" i="1"/>
  <c r="I112" i="1"/>
  <c r="I124" i="1"/>
  <c r="I136" i="1"/>
  <c r="I148" i="1"/>
  <c r="I160" i="1"/>
  <c r="I172" i="1"/>
  <c r="I210" i="1"/>
  <c r="I222" i="1"/>
  <c r="I234" i="1"/>
  <c r="I246" i="1"/>
  <c r="I258" i="1"/>
  <c r="I282" i="1"/>
  <c r="I305" i="1"/>
  <c r="I317" i="1"/>
  <c r="I329" i="1"/>
  <c r="I341" i="1"/>
  <c r="I365" i="1"/>
  <c r="I389" i="1"/>
  <c r="I401" i="1"/>
  <c r="I413" i="1"/>
  <c r="I437" i="1"/>
  <c r="I449" i="1"/>
  <c r="I461" i="1"/>
  <c r="I473" i="1"/>
  <c r="I485" i="1"/>
  <c r="I497" i="1"/>
  <c r="I521" i="1"/>
  <c r="I509" i="1"/>
  <c r="I425" i="1"/>
  <c r="I5" i="1"/>
  <c r="I29" i="1"/>
  <c r="I41" i="1"/>
  <c r="I53" i="1"/>
  <c r="I65" i="1"/>
  <c r="I77" i="1"/>
  <c r="I89" i="1"/>
  <c r="I101" i="1"/>
  <c r="I113" i="1"/>
  <c r="I125" i="1"/>
  <c r="I137" i="1"/>
  <c r="I149" i="1"/>
  <c r="I161" i="1"/>
  <c r="I173" i="1"/>
  <c r="I211" i="1"/>
  <c r="I223" i="1"/>
  <c r="I235" i="1"/>
  <c r="I247" i="1"/>
  <c r="I259" i="1"/>
  <c r="I283" i="1"/>
  <c r="I306" i="1"/>
  <c r="I318" i="1"/>
  <c r="I330" i="1"/>
  <c r="I342" i="1"/>
  <c r="I366" i="1"/>
  <c r="I378" i="1"/>
  <c r="I390" i="1"/>
  <c r="I402" i="1"/>
  <c r="I414" i="1"/>
  <c r="I438" i="1"/>
  <c r="I450" i="1"/>
  <c r="I462" i="1"/>
  <c r="I474" i="1"/>
  <c r="I486" i="1"/>
  <c r="I498" i="1"/>
  <c r="I522" i="1"/>
  <c r="I510" i="1"/>
  <c r="I6" i="1"/>
  <c r="I30" i="1"/>
  <c r="I42" i="1"/>
  <c r="I54" i="1"/>
  <c r="I66" i="1"/>
  <c r="I78" i="1"/>
  <c r="I90" i="1"/>
  <c r="I102" i="1"/>
  <c r="I114" i="1"/>
  <c r="I126" i="1"/>
  <c r="I138" i="1"/>
  <c r="I150" i="1"/>
  <c r="I162" i="1"/>
  <c r="I174" i="1"/>
  <c r="I212" i="1"/>
  <c r="I224" i="1"/>
  <c r="I236" i="1"/>
  <c r="I248" i="1"/>
  <c r="I260" i="1"/>
  <c r="I284" i="1"/>
  <c r="I307" i="1"/>
  <c r="I319" i="1"/>
  <c r="I331" i="1"/>
  <c r="I343" i="1"/>
  <c r="I367" i="1"/>
  <c r="I379" i="1"/>
  <c r="I391" i="1"/>
  <c r="I403" i="1"/>
  <c r="I415" i="1"/>
  <c r="I439" i="1"/>
  <c r="I451" i="1"/>
  <c r="I463" i="1"/>
  <c r="I475" i="1"/>
  <c r="I487" i="1"/>
  <c r="I499" i="1"/>
  <c r="I523" i="1"/>
  <c r="I511" i="1"/>
  <c r="I7" i="1"/>
  <c r="I31" i="1"/>
  <c r="I43" i="1"/>
  <c r="I55" i="1"/>
  <c r="I67" i="1"/>
  <c r="I79" i="1"/>
  <c r="I91" i="1"/>
  <c r="I103" i="1"/>
  <c r="I115" i="1"/>
  <c r="I127" i="1"/>
  <c r="I139" i="1"/>
  <c r="I151" i="1"/>
  <c r="I163" i="1"/>
  <c r="I175" i="1"/>
  <c r="I225" i="1"/>
  <c r="I237" i="1"/>
  <c r="I249" i="1"/>
  <c r="I261" i="1"/>
  <c r="I285" i="1"/>
  <c r="I308" i="1"/>
  <c r="I320" i="1"/>
  <c r="I332" i="1"/>
  <c r="I344" i="1"/>
  <c r="I368" i="1"/>
  <c r="I380" i="1"/>
  <c r="I392" i="1"/>
  <c r="I404" i="1"/>
  <c r="I416" i="1"/>
  <c r="I428" i="1"/>
  <c r="I440" i="1"/>
  <c r="I452" i="1"/>
  <c r="I464" i="1"/>
  <c r="I476" i="1"/>
  <c r="I488" i="1"/>
  <c r="I500" i="1"/>
  <c r="I524" i="1"/>
  <c r="I205" i="1"/>
  <c r="I8" i="1"/>
  <c r="I32" i="1"/>
  <c r="I44" i="1"/>
  <c r="I56" i="1"/>
  <c r="I68" i="1"/>
  <c r="I80" i="1"/>
  <c r="I92" i="1"/>
  <c r="I104" i="1"/>
  <c r="I116" i="1"/>
  <c r="I128" i="1"/>
  <c r="I140" i="1"/>
  <c r="I152" i="1"/>
  <c r="I164" i="1"/>
  <c r="I176" i="1"/>
  <c r="I214" i="1"/>
  <c r="I226" i="1"/>
  <c r="I238" i="1"/>
  <c r="I250" i="1"/>
  <c r="I262" i="1"/>
  <c r="I286" i="1"/>
  <c r="I309" i="1"/>
  <c r="I321" i="1"/>
  <c r="I333" i="1"/>
  <c r="I345" i="1"/>
  <c r="I369" i="1"/>
  <c r="I381" i="1"/>
  <c r="I393" i="1"/>
  <c r="I405" i="1"/>
  <c r="I417" i="1"/>
  <c r="I429" i="1"/>
  <c r="I441" i="1"/>
  <c r="I453" i="1"/>
  <c r="I465" i="1"/>
  <c r="I477" i="1"/>
  <c r="I489" i="1"/>
  <c r="I501" i="1"/>
  <c r="I513" i="1"/>
  <c r="I525" i="1"/>
  <c r="I9" i="1"/>
  <c r="I33" i="1"/>
  <c r="I45" i="1"/>
  <c r="I57" i="1"/>
  <c r="I69" i="1"/>
  <c r="I81" i="1"/>
  <c r="I93" i="1"/>
  <c r="I105" i="1"/>
  <c r="I117" i="1"/>
  <c r="I129" i="1"/>
  <c r="I141" i="1"/>
  <c r="I153" i="1"/>
  <c r="I165" i="1"/>
  <c r="I177" i="1"/>
  <c r="I215" i="1"/>
  <c r="I227" i="1"/>
  <c r="I239" i="1"/>
  <c r="I251" i="1"/>
  <c r="I263" i="1"/>
  <c r="I287" i="1"/>
  <c r="I310" i="1"/>
  <c r="I322" i="1"/>
  <c r="I334" i="1"/>
  <c r="I346" i="1"/>
  <c r="I370" i="1"/>
  <c r="I382" i="1"/>
  <c r="I394" i="1"/>
  <c r="I406" i="1"/>
  <c r="I418" i="1"/>
  <c r="I430" i="1"/>
  <c r="I442" i="1"/>
  <c r="I454" i="1"/>
  <c r="I466" i="1"/>
  <c r="I478" i="1"/>
  <c r="I490" i="1"/>
  <c r="I502" i="1"/>
  <c r="I514" i="1"/>
  <c r="I526" i="1"/>
  <c r="I10" i="1"/>
  <c r="I34" i="1"/>
  <c r="I46" i="1"/>
  <c r="I58" i="1"/>
  <c r="I70" i="1"/>
  <c r="I82" i="1"/>
  <c r="I94" i="1"/>
  <c r="I106" i="1"/>
  <c r="I118" i="1"/>
  <c r="I130" i="1"/>
  <c r="I142" i="1"/>
  <c r="I154" i="1"/>
  <c r="I166" i="1"/>
  <c r="I178" i="1"/>
  <c r="I216" i="1"/>
  <c r="I228" i="1"/>
  <c r="I240" i="1"/>
  <c r="I252" i="1"/>
  <c r="I264" i="1"/>
  <c r="I288" i="1"/>
  <c r="I323" i="1"/>
  <c r="I335" i="1"/>
  <c r="I347" i="1"/>
  <c r="I371" i="1"/>
  <c r="I383" i="1"/>
  <c r="I395" i="1"/>
  <c r="I407" i="1"/>
  <c r="I419" i="1"/>
  <c r="I431" i="1"/>
  <c r="I443" i="1"/>
  <c r="I455" i="1"/>
  <c r="I467" i="1"/>
  <c r="I479" i="1"/>
  <c r="I491" i="1"/>
  <c r="I503" i="1"/>
  <c r="I515" i="1"/>
  <c r="I527" i="1"/>
  <c r="I11" i="1"/>
  <c r="I35" i="1"/>
  <c r="I47" i="1"/>
  <c r="I59" i="1"/>
  <c r="I71" i="1"/>
  <c r="I83" i="1"/>
  <c r="I95" i="1"/>
  <c r="I107" i="1"/>
  <c r="I119" i="1"/>
  <c r="I131" i="1"/>
  <c r="I143" i="1"/>
  <c r="I155" i="1"/>
  <c r="I167" i="1"/>
  <c r="I179" i="1"/>
  <c r="I217" i="1"/>
  <c r="I229" i="1"/>
  <c r="I241" i="1"/>
  <c r="I253" i="1"/>
  <c r="I265" i="1"/>
  <c r="I289" i="1"/>
  <c r="I312" i="1"/>
  <c r="I324" i="1"/>
  <c r="I336" i="1"/>
  <c r="I348" i="1"/>
  <c r="I372" i="1"/>
  <c r="I384" i="1"/>
  <c r="I396" i="1"/>
  <c r="I408" i="1"/>
  <c r="I420" i="1"/>
  <c r="I432" i="1"/>
  <c r="I444" i="1"/>
  <c r="I456" i="1"/>
  <c r="I468" i="1"/>
  <c r="I480" i="1"/>
  <c r="I492" i="1"/>
  <c r="I504" i="1"/>
  <c r="I516" i="1"/>
  <c r="I528" i="1"/>
  <c r="I60" i="1"/>
  <c r="I96" i="1"/>
  <c r="I168" i="1"/>
  <c r="I206" i="1"/>
  <c r="I385" i="1"/>
  <c r="I421" i="1"/>
  <c r="I481" i="1"/>
  <c r="I290" i="1"/>
  <c r="I313" i="1"/>
  <c r="I433" i="1"/>
  <c r="I457" i="1"/>
  <c r="I469" i="1"/>
  <c r="I36" i="1"/>
  <c r="I84" i="1"/>
  <c r="I108" i="1"/>
  <c r="I144" i="1"/>
  <c r="I218" i="1"/>
  <c r="I230" i="1"/>
  <c r="I373" i="1"/>
  <c r="I493" i="1"/>
  <c r="I517" i="1"/>
  <c r="I12" i="1"/>
  <c r="I48" i="1"/>
  <c r="I72" i="1"/>
  <c r="I132" i="1"/>
  <c r="I156" i="1"/>
  <c r="I180" i="1"/>
  <c r="I266" i="1"/>
  <c r="I325" i="1"/>
  <c r="I337" i="1"/>
  <c r="I349" i="1"/>
  <c r="I445" i="1"/>
  <c r="I120" i="1"/>
  <c r="I242" i="1"/>
  <c r="I254" i="1"/>
  <c r="I397" i="1"/>
  <c r="I409" i="1"/>
  <c r="I505" i="1"/>
  <c r="I529" i="1"/>
  <c r="I293" i="1"/>
  <c r="I294" i="1"/>
  <c r="I295" i="1"/>
  <c r="I296" i="1"/>
  <c r="I297" i="1"/>
  <c r="I298" i="1"/>
  <c r="I299" i="1"/>
  <c r="I300" i="1"/>
  <c r="I301" i="1"/>
  <c r="I13" i="1"/>
  <c r="I37" i="1"/>
  <c r="I61" i="1"/>
  <c r="I73" i="1"/>
  <c r="I85" i="1"/>
  <c r="I97" i="1"/>
  <c r="I109" i="1"/>
  <c r="I121" i="1"/>
  <c r="I145" i="1"/>
  <c r="I169" i="1"/>
  <c r="I181" i="1"/>
  <c r="I207" i="1"/>
  <c r="I219" i="1"/>
  <c r="I231" i="1"/>
  <c r="I243" i="1"/>
  <c r="I255" i="1"/>
  <c r="I267" i="1"/>
  <c r="I291" i="1"/>
  <c r="I314" i="1"/>
  <c r="I326" i="1"/>
  <c r="I338" i="1"/>
  <c r="I350" i="1"/>
  <c r="I374" i="1"/>
  <c r="I386" i="1"/>
  <c r="I398" i="1"/>
  <c r="I410" i="1"/>
  <c r="I422" i="1"/>
  <c r="I434" i="1"/>
  <c r="I446" i="1"/>
  <c r="I458" i="1"/>
  <c r="I470" i="1"/>
  <c r="I482" i="1"/>
  <c r="I494" i="1"/>
  <c r="I506" i="1"/>
  <c r="I518" i="1"/>
  <c r="I530" i="1"/>
  <c r="I302" i="1"/>
  <c r="I2" i="1"/>
  <c r="J51" i="1"/>
  <c r="J87" i="1"/>
  <c r="J159" i="1"/>
  <c r="K159" i="1" s="1"/>
  <c r="L159" i="1" s="1"/>
  <c r="J376" i="1"/>
  <c r="K376" i="1" s="1"/>
  <c r="L376" i="1" s="1"/>
  <c r="J412" i="1"/>
  <c r="K412" i="1" s="1"/>
  <c r="L412" i="1" s="1"/>
  <c r="J472" i="1"/>
  <c r="K472" i="1" s="1"/>
  <c r="L472" i="1" s="1"/>
  <c r="J281" i="1"/>
  <c r="K281" i="1" s="1"/>
  <c r="L281" i="1" s="1"/>
  <c r="J304" i="1"/>
  <c r="K304" i="1" s="1"/>
  <c r="L304" i="1" s="1"/>
  <c r="J448" i="1"/>
  <c r="K448" i="1" s="1"/>
  <c r="L448" i="1" s="1"/>
  <c r="J460" i="1"/>
  <c r="K460" i="1" s="1"/>
  <c r="L460" i="1" s="1"/>
  <c r="J484" i="1"/>
  <c r="K484" i="1" s="1"/>
  <c r="L484" i="1" s="1"/>
  <c r="J424" i="1"/>
  <c r="K424" i="1" s="1"/>
  <c r="L424" i="1" s="1"/>
  <c r="J27" i="1"/>
  <c r="K27" i="1" s="1"/>
  <c r="L27" i="1" s="1"/>
  <c r="J63" i="1"/>
  <c r="K63" i="1" s="1"/>
  <c r="L63" i="1" s="1"/>
  <c r="J75" i="1"/>
  <c r="K75" i="1" s="1"/>
  <c r="L75" i="1" s="1"/>
  <c r="J99" i="1"/>
  <c r="K99" i="1" s="1"/>
  <c r="L99" i="1" s="1"/>
  <c r="J135" i="1"/>
  <c r="K135" i="1" s="1"/>
  <c r="L135" i="1" s="1"/>
  <c r="J171" i="1"/>
  <c r="K171" i="1" s="1"/>
  <c r="L171" i="1" s="1"/>
  <c r="J193" i="1"/>
  <c r="K193" i="1" s="1"/>
  <c r="L193" i="1" s="1"/>
  <c r="J209" i="1"/>
  <c r="K209" i="1" s="1"/>
  <c r="L209" i="1" s="1"/>
  <c r="J221" i="1"/>
  <c r="K221" i="1" s="1"/>
  <c r="L221" i="1" s="1"/>
  <c r="J257" i="1"/>
  <c r="K257" i="1" s="1"/>
  <c r="L257" i="1" s="1"/>
  <c r="J328" i="1"/>
  <c r="K328" i="1" s="1"/>
  <c r="L328" i="1" s="1"/>
  <c r="J364" i="1"/>
  <c r="K364" i="1" s="1"/>
  <c r="L364" i="1" s="1"/>
  <c r="J508" i="1"/>
  <c r="K508" i="1" s="1"/>
  <c r="L508" i="1" s="1"/>
  <c r="J3" i="1"/>
  <c r="K3" i="1" s="1"/>
  <c r="L3" i="1" s="1"/>
  <c r="J39" i="1"/>
  <c r="K39" i="1" s="1"/>
  <c r="L39" i="1" s="1"/>
  <c r="J123" i="1"/>
  <c r="K123" i="1" s="1"/>
  <c r="L123" i="1" s="1"/>
  <c r="J147" i="1"/>
  <c r="K147" i="1" s="1"/>
  <c r="L147" i="1" s="1"/>
  <c r="J233" i="1"/>
  <c r="K233" i="1" s="1"/>
  <c r="L233" i="1" s="1"/>
  <c r="J316" i="1"/>
  <c r="K316" i="1" s="1"/>
  <c r="L316" i="1" s="1"/>
  <c r="J340" i="1"/>
  <c r="K340" i="1" s="1"/>
  <c r="L340" i="1" s="1"/>
  <c r="J400" i="1"/>
  <c r="K400" i="1" s="1"/>
  <c r="L400" i="1" s="1"/>
  <c r="J436" i="1"/>
  <c r="K436" i="1" s="1"/>
  <c r="L436" i="1" s="1"/>
  <c r="J520" i="1"/>
  <c r="K520" i="1" s="1"/>
  <c r="L520" i="1" s="1"/>
  <c r="J111" i="1"/>
  <c r="K111" i="1" s="1"/>
  <c r="L111" i="1" s="1"/>
  <c r="J245" i="1"/>
  <c r="K245" i="1" s="1"/>
  <c r="L245" i="1" s="1"/>
  <c r="J388" i="1"/>
  <c r="K388" i="1" s="1"/>
  <c r="L388" i="1" s="1"/>
  <c r="J496" i="1"/>
  <c r="K496" i="1" s="1"/>
  <c r="L496" i="1" s="1"/>
  <c r="J4" i="1"/>
  <c r="K4" i="1" s="1"/>
  <c r="L4" i="1" s="1"/>
  <c r="J28" i="1"/>
  <c r="K28" i="1" s="1"/>
  <c r="L28" i="1" s="1"/>
  <c r="J40" i="1"/>
  <c r="K40" i="1" s="1"/>
  <c r="L40" i="1" s="1"/>
  <c r="J52" i="1"/>
  <c r="J64" i="1"/>
  <c r="J76" i="1"/>
  <c r="J88" i="1"/>
  <c r="J100" i="1"/>
  <c r="J112" i="1"/>
  <c r="J124" i="1"/>
  <c r="J136" i="1"/>
  <c r="J148" i="1"/>
  <c r="J160" i="1"/>
  <c r="J172" i="1"/>
  <c r="J210" i="1"/>
  <c r="J222" i="1"/>
  <c r="J234" i="1"/>
  <c r="J246" i="1"/>
  <c r="J258" i="1"/>
  <c r="J282" i="1"/>
  <c r="J305" i="1"/>
  <c r="J317" i="1"/>
  <c r="J329" i="1"/>
  <c r="J341" i="1"/>
  <c r="J365" i="1"/>
  <c r="K365" i="1" s="1"/>
  <c r="L365" i="1" s="1"/>
  <c r="J389" i="1"/>
  <c r="K389" i="1" s="1"/>
  <c r="L389" i="1" s="1"/>
  <c r="J401" i="1"/>
  <c r="K401" i="1" s="1"/>
  <c r="L401" i="1" s="1"/>
  <c r="J413" i="1"/>
  <c r="K413" i="1" s="1"/>
  <c r="L413" i="1" s="1"/>
  <c r="J437" i="1"/>
  <c r="K437" i="1" s="1"/>
  <c r="L437" i="1" s="1"/>
  <c r="J449" i="1"/>
  <c r="K449" i="1" s="1"/>
  <c r="L449" i="1" s="1"/>
  <c r="J461" i="1"/>
  <c r="K461" i="1" s="1"/>
  <c r="L461" i="1" s="1"/>
  <c r="J473" i="1"/>
  <c r="K473" i="1" s="1"/>
  <c r="L473" i="1" s="1"/>
  <c r="J485" i="1"/>
  <c r="K485" i="1" s="1"/>
  <c r="L485" i="1" s="1"/>
  <c r="J497" i="1"/>
  <c r="K497" i="1" s="1"/>
  <c r="L497" i="1" s="1"/>
  <c r="J521" i="1"/>
  <c r="K521" i="1" s="1"/>
  <c r="L521" i="1" s="1"/>
  <c r="J509" i="1"/>
  <c r="K509" i="1" s="1"/>
  <c r="L509" i="1" s="1"/>
  <c r="J425" i="1"/>
  <c r="K425" i="1" s="1"/>
  <c r="L425" i="1" s="1"/>
  <c r="J5" i="1"/>
  <c r="K5" i="1" s="1"/>
  <c r="L5" i="1" s="1"/>
  <c r="J29" i="1"/>
  <c r="K29" i="1" s="1"/>
  <c r="L29" i="1" s="1"/>
  <c r="J41" i="1"/>
  <c r="K41" i="1" s="1"/>
  <c r="L41" i="1" s="1"/>
  <c r="J53" i="1"/>
  <c r="K53" i="1" s="1"/>
  <c r="L53" i="1" s="1"/>
  <c r="J65" i="1"/>
  <c r="K65" i="1" s="1"/>
  <c r="L65" i="1" s="1"/>
  <c r="J77" i="1"/>
  <c r="K77" i="1" s="1"/>
  <c r="L77" i="1" s="1"/>
  <c r="J89" i="1"/>
  <c r="K89" i="1" s="1"/>
  <c r="L89" i="1" s="1"/>
  <c r="J101" i="1"/>
  <c r="K101" i="1" s="1"/>
  <c r="L101" i="1" s="1"/>
  <c r="J113" i="1"/>
  <c r="K113" i="1" s="1"/>
  <c r="L113" i="1" s="1"/>
  <c r="J125" i="1"/>
  <c r="K125" i="1" s="1"/>
  <c r="L125" i="1" s="1"/>
  <c r="J137" i="1"/>
  <c r="K137" i="1" s="1"/>
  <c r="L137" i="1" s="1"/>
  <c r="J149" i="1"/>
  <c r="K149" i="1" s="1"/>
  <c r="L149" i="1" s="1"/>
  <c r="J161" i="1"/>
  <c r="K161" i="1" s="1"/>
  <c r="L161" i="1" s="1"/>
  <c r="J173" i="1"/>
  <c r="K173" i="1" s="1"/>
  <c r="L173" i="1" s="1"/>
  <c r="J211" i="1"/>
  <c r="K211" i="1" s="1"/>
  <c r="L211" i="1" s="1"/>
  <c r="J223" i="1"/>
  <c r="K223" i="1" s="1"/>
  <c r="L223" i="1" s="1"/>
  <c r="J235" i="1"/>
  <c r="K235" i="1" s="1"/>
  <c r="L235" i="1" s="1"/>
  <c r="J247" i="1"/>
  <c r="K247" i="1" s="1"/>
  <c r="L247" i="1" s="1"/>
  <c r="J259" i="1"/>
  <c r="J283" i="1"/>
  <c r="J306" i="1"/>
  <c r="K306" i="1" s="1"/>
  <c r="L306" i="1" s="1"/>
  <c r="J318" i="1"/>
  <c r="K318" i="1" s="1"/>
  <c r="L318" i="1" s="1"/>
  <c r="J330" i="1"/>
  <c r="K330" i="1" s="1"/>
  <c r="L330" i="1" s="1"/>
  <c r="J342" i="1"/>
  <c r="K342" i="1" s="1"/>
  <c r="L342" i="1" s="1"/>
  <c r="J366" i="1"/>
  <c r="K366" i="1" s="1"/>
  <c r="L366" i="1" s="1"/>
  <c r="J378" i="1"/>
  <c r="K378" i="1" s="1"/>
  <c r="L378" i="1" s="1"/>
  <c r="J390" i="1"/>
  <c r="J402" i="1"/>
  <c r="J414" i="1"/>
  <c r="J438" i="1"/>
  <c r="J450" i="1"/>
  <c r="J462" i="1"/>
  <c r="J474" i="1"/>
  <c r="J486" i="1"/>
  <c r="J498" i="1"/>
  <c r="J522" i="1"/>
  <c r="J510" i="1"/>
  <c r="J6" i="1"/>
  <c r="J30" i="1"/>
  <c r="K30" i="1" s="1"/>
  <c r="L30" i="1" s="1"/>
  <c r="J42" i="1"/>
  <c r="K42" i="1" s="1"/>
  <c r="L42" i="1" s="1"/>
  <c r="J54" i="1"/>
  <c r="K54" i="1" s="1"/>
  <c r="L54" i="1" s="1"/>
  <c r="J66" i="1"/>
  <c r="K66" i="1" s="1"/>
  <c r="L66" i="1" s="1"/>
  <c r="J78" i="1"/>
  <c r="K78" i="1" s="1"/>
  <c r="L78" i="1" s="1"/>
  <c r="J90" i="1"/>
  <c r="K90" i="1" s="1"/>
  <c r="L90" i="1" s="1"/>
  <c r="J102" i="1"/>
  <c r="K102" i="1" s="1"/>
  <c r="L102" i="1" s="1"/>
  <c r="J114" i="1"/>
  <c r="K114" i="1" s="1"/>
  <c r="L114" i="1" s="1"/>
  <c r="J126" i="1"/>
  <c r="K126" i="1" s="1"/>
  <c r="L126" i="1" s="1"/>
  <c r="J138" i="1"/>
  <c r="K138" i="1" s="1"/>
  <c r="L138" i="1" s="1"/>
  <c r="J150" i="1"/>
  <c r="K150" i="1" s="1"/>
  <c r="L150" i="1" s="1"/>
  <c r="J162" i="1"/>
  <c r="J174" i="1"/>
  <c r="J212" i="1"/>
  <c r="J224" i="1"/>
  <c r="J236" i="1"/>
  <c r="K236" i="1" s="1"/>
  <c r="L236" i="1" s="1"/>
  <c r="J248" i="1"/>
  <c r="J260" i="1"/>
  <c r="J284" i="1"/>
  <c r="J307" i="1"/>
  <c r="J319" i="1"/>
  <c r="J331" i="1"/>
  <c r="J343" i="1"/>
  <c r="J367" i="1"/>
  <c r="J379" i="1"/>
  <c r="J391" i="1"/>
  <c r="J403" i="1"/>
  <c r="J415" i="1"/>
  <c r="J439" i="1"/>
  <c r="J451" i="1"/>
  <c r="K451" i="1" s="1"/>
  <c r="L451" i="1" s="1"/>
  <c r="J463" i="1"/>
  <c r="K463" i="1" s="1"/>
  <c r="L463" i="1" s="1"/>
  <c r="J475" i="1"/>
  <c r="K475" i="1" s="1"/>
  <c r="L475" i="1" s="1"/>
  <c r="J487" i="1"/>
  <c r="K487" i="1" s="1"/>
  <c r="L487" i="1" s="1"/>
  <c r="J499" i="1"/>
  <c r="K499" i="1" s="1"/>
  <c r="L499" i="1" s="1"/>
  <c r="J523" i="1"/>
  <c r="K523" i="1" s="1"/>
  <c r="L523" i="1" s="1"/>
  <c r="J511" i="1"/>
  <c r="K511" i="1" s="1"/>
  <c r="L511" i="1" s="1"/>
  <c r="J7" i="1"/>
  <c r="K7" i="1" s="1"/>
  <c r="L7" i="1" s="1"/>
  <c r="J31" i="1"/>
  <c r="J43" i="1"/>
  <c r="J55" i="1"/>
  <c r="J67" i="1"/>
  <c r="J79" i="1"/>
  <c r="J91" i="1"/>
  <c r="K91" i="1" s="1"/>
  <c r="L91" i="1" s="1"/>
  <c r="J103" i="1"/>
  <c r="K103" i="1" s="1"/>
  <c r="L103" i="1" s="1"/>
  <c r="J115" i="1"/>
  <c r="J127" i="1"/>
  <c r="J139" i="1"/>
  <c r="J151" i="1"/>
  <c r="J163" i="1"/>
  <c r="J175" i="1"/>
  <c r="J225" i="1"/>
  <c r="K225" i="1" s="1"/>
  <c r="L225" i="1" s="1"/>
  <c r="J237" i="1"/>
  <c r="K237" i="1" s="1"/>
  <c r="L237" i="1" s="1"/>
  <c r="J249" i="1"/>
  <c r="K249" i="1" s="1"/>
  <c r="L249" i="1" s="1"/>
  <c r="J261" i="1"/>
  <c r="K261" i="1" s="1"/>
  <c r="L261" i="1" s="1"/>
  <c r="J285" i="1"/>
  <c r="K285" i="1" s="1"/>
  <c r="L285" i="1" s="1"/>
  <c r="J308" i="1"/>
  <c r="K308" i="1" s="1"/>
  <c r="L308" i="1" s="1"/>
  <c r="J320" i="1"/>
  <c r="K320" i="1" s="1"/>
  <c r="L320" i="1" s="1"/>
  <c r="J332" i="1"/>
  <c r="K332" i="1" s="1"/>
  <c r="L332" i="1" s="1"/>
  <c r="J344" i="1"/>
  <c r="J368" i="1"/>
  <c r="J380" i="1"/>
  <c r="J392" i="1"/>
  <c r="J404" i="1"/>
  <c r="J416" i="1"/>
  <c r="J428" i="1"/>
  <c r="J440" i="1"/>
  <c r="J452" i="1"/>
  <c r="K452" i="1" s="1"/>
  <c r="L452" i="1" s="1"/>
  <c r="J464" i="1"/>
  <c r="K464" i="1" s="1"/>
  <c r="L464" i="1" s="1"/>
  <c r="J476" i="1"/>
  <c r="K476" i="1" s="1"/>
  <c r="L476" i="1" s="1"/>
  <c r="J488" i="1"/>
  <c r="K488" i="1" s="1"/>
  <c r="L488" i="1" s="1"/>
  <c r="J500" i="1"/>
  <c r="K500" i="1" s="1"/>
  <c r="L500" i="1" s="1"/>
  <c r="J524" i="1"/>
  <c r="K524" i="1" s="1"/>
  <c r="L524" i="1" s="1"/>
  <c r="J205" i="1"/>
  <c r="K205" i="1" s="1"/>
  <c r="L205" i="1" s="1"/>
  <c r="J8" i="1"/>
  <c r="K8" i="1" s="1"/>
  <c r="L8" i="1" s="1"/>
  <c r="J32" i="1"/>
  <c r="K32" i="1" s="1"/>
  <c r="L32" i="1" s="1"/>
  <c r="J44" i="1"/>
  <c r="J56" i="1"/>
  <c r="K56" i="1" s="1"/>
  <c r="L56" i="1" s="1"/>
  <c r="J68" i="1"/>
  <c r="K68" i="1" s="1"/>
  <c r="L68" i="1" s="1"/>
  <c r="J80" i="1"/>
  <c r="K80" i="1" s="1"/>
  <c r="L80" i="1" s="1"/>
  <c r="J92" i="1"/>
  <c r="K92" i="1" s="1"/>
  <c r="L92" i="1" s="1"/>
  <c r="J104" i="1"/>
  <c r="K104" i="1" s="1"/>
  <c r="L104" i="1" s="1"/>
  <c r="J116" i="1"/>
  <c r="K116" i="1" s="1"/>
  <c r="L116" i="1" s="1"/>
  <c r="J128" i="1"/>
  <c r="K128" i="1" s="1"/>
  <c r="L128" i="1" s="1"/>
  <c r="J140" i="1"/>
  <c r="K140" i="1" s="1"/>
  <c r="L140" i="1" s="1"/>
  <c r="J152" i="1"/>
  <c r="K152" i="1" s="1"/>
  <c r="L152" i="1" s="1"/>
  <c r="J164" i="1"/>
  <c r="K164" i="1" s="1"/>
  <c r="L164" i="1" s="1"/>
  <c r="J176" i="1"/>
  <c r="J214" i="1"/>
  <c r="J226" i="1"/>
  <c r="J238" i="1"/>
  <c r="J250" i="1"/>
  <c r="J262" i="1"/>
  <c r="J286" i="1"/>
  <c r="J309" i="1"/>
  <c r="J321" i="1"/>
  <c r="J333" i="1"/>
  <c r="J345" i="1"/>
  <c r="J369" i="1"/>
  <c r="J381" i="1"/>
  <c r="J393" i="1"/>
  <c r="J405" i="1"/>
  <c r="J417" i="1"/>
  <c r="J429" i="1"/>
  <c r="J441" i="1"/>
  <c r="J453" i="1"/>
  <c r="J465" i="1"/>
  <c r="J477" i="1"/>
  <c r="J489" i="1"/>
  <c r="J501" i="1"/>
  <c r="J513" i="1"/>
  <c r="J525" i="1"/>
  <c r="J9" i="1"/>
  <c r="J33" i="1"/>
  <c r="J45" i="1"/>
  <c r="J57" i="1"/>
  <c r="J69" i="1"/>
  <c r="J81" i="1"/>
  <c r="J93" i="1"/>
  <c r="J105" i="1"/>
  <c r="J117" i="1"/>
  <c r="J129" i="1"/>
  <c r="J141" i="1"/>
  <c r="J153" i="1"/>
  <c r="J165" i="1"/>
  <c r="J177" i="1"/>
  <c r="J215" i="1"/>
  <c r="J227" i="1"/>
  <c r="J239" i="1"/>
  <c r="J251" i="1"/>
  <c r="J263" i="1"/>
  <c r="J287" i="1"/>
  <c r="J310" i="1"/>
  <c r="J322" i="1"/>
  <c r="J334" i="1"/>
  <c r="J346" i="1"/>
  <c r="J370" i="1"/>
  <c r="J382" i="1"/>
  <c r="J394" i="1"/>
  <c r="J406" i="1"/>
  <c r="J418" i="1"/>
  <c r="J430" i="1"/>
  <c r="J442" i="1"/>
  <c r="J454" i="1"/>
  <c r="J466" i="1"/>
  <c r="J478" i="1"/>
  <c r="J490" i="1"/>
  <c r="J502" i="1"/>
  <c r="J514" i="1"/>
  <c r="J526" i="1"/>
  <c r="J10" i="1"/>
  <c r="J34" i="1"/>
  <c r="J46" i="1"/>
  <c r="J58" i="1"/>
  <c r="J70" i="1"/>
  <c r="J82" i="1"/>
  <c r="J94" i="1"/>
  <c r="J106" i="1"/>
  <c r="J118" i="1"/>
  <c r="J130" i="1"/>
  <c r="J142" i="1"/>
  <c r="J154" i="1"/>
  <c r="J166" i="1"/>
  <c r="J178" i="1"/>
  <c r="J216" i="1"/>
  <c r="J228" i="1"/>
  <c r="J240" i="1"/>
  <c r="J252" i="1"/>
  <c r="J264" i="1"/>
  <c r="J288" i="1"/>
  <c r="J323" i="1"/>
  <c r="J335" i="1"/>
  <c r="J347" i="1"/>
  <c r="J371" i="1"/>
  <c r="J383" i="1"/>
  <c r="J395" i="1"/>
  <c r="J407" i="1"/>
  <c r="J419" i="1"/>
  <c r="J431" i="1"/>
  <c r="J443" i="1"/>
  <c r="J455" i="1"/>
  <c r="J467" i="1"/>
  <c r="J479" i="1"/>
  <c r="J491" i="1"/>
  <c r="J503" i="1"/>
  <c r="J515" i="1"/>
  <c r="J527" i="1"/>
  <c r="J11" i="1"/>
  <c r="J35" i="1"/>
  <c r="J47" i="1"/>
  <c r="J59" i="1"/>
  <c r="J71" i="1"/>
  <c r="J83" i="1"/>
  <c r="J95" i="1"/>
  <c r="J107" i="1"/>
  <c r="J119" i="1"/>
  <c r="J131" i="1"/>
  <c r="J143" i="1"/>
  <c r="J155" i="1"/>
  <c r="J167" i="1"/>
  <c r="J179" i="1"/>
  <c r="J217" i="1"/>
  <c r="J229" i="1"/>
  <c r="J241" i="1"/>
  <c r="J253" i="1"/>
  <c r="J265" i="1"/>
  <c r="J289" i="1"/>
  <c r="J312" i="1"/>
  <c r="J324" i="1"/>
  <c r="J336" i="1"/>
  <c r="J348" i="1"/>
  <c r="J372" i="1"/>
  <c r="J384" i="1"/>
  <c r="J396" i="1"/>
  <c r="J408" i="1"/>
  <c r="J420" i="1"/>
  <c r="J432" i="1"/>
  <c r="J444" i="1"/>
  <c r="J456" i="1"/>
  <c r="J468" i="1"/>
  <c r="J480" i="1"/>
  <c r="K480" i="1" s="1"/>
  <c r="L480" i="1" s="1"/>
  <c r="J492" i="1"/>
  <c r="K492" i="1" s="1"/>
  <c r="L492" i="1" s="1"/>
  <c r="J504" i="1"/>
  <c r="K504" i="1" s="1"/>
  <c r="L504" i="1" s="1"/>
  <c r="J516" i="1"/>
  <c r="J528" i="1"/>
  <c r="K528" i="1" s="1"/>
  <c r="L528" i="1" s="1"/>
  <c r="J60" i="1"/>
  <c r="J96" i="1"/>
  <c r="J168" i="1"/>
  <c r="J206" i="1"/>
  <c r="J385" i="1"/>
  <c r="J421" i="1"/>
  <c r="J481" i="1"/>
  <c r="K481" i="1" s="1"/>
  <c r="L481" i="1" s="1"/>
  <c r="J290" i="1"/>
  <c r="K290" i="1" s="1"/>
  <c r="L290" i="1" s="1"/>
  <c r="J313" i="1"/>
  <c r="K313" i="1" s="1"/>
  <c r="L313" i="1" s="1"/>
  <c r="J433" i="1"/>
  <c r="K433" i="1" s="1"/>
  <c r="L433" i="1" s="1"/>
  <c r="J457" i="1"/>
  <c r="K457" i="1" s="1"/>
  <c r="L457" i="1" s="1"/>
  <c r="J469" i="1"/>
  <c r="K469" i="1" s="1"/>
  <c r="L469" i="1" s="1"/>
  <c r="J36" i="1"/>
  <c r="K36" i="1" s="1"/>
  <c r="L36" i="1" s="1"/>
  <c r="J84" i="1"/>
  <c r="K84" i="1" s="1"/>
  <c r="L84" i="1" s="1"/>
  <c r="J108" i="1"/>
  <c r="K108" i="1" s="1"/>
  <c r="L108" i="1" s="1"/>
  <c r="J144" i="1"/>
  <c r="K144" i="1" s="1"/>
  <c r="L144" i="1" s="1"/>
  <c r="J218" i="1"/>
  <c r="K218" i="1" s="1"/>
  <c r="L218" i="1" s="1"/>
  <c r="J230" i="1"/>
  <c r="K230" i="1" s="1"/>
  <c r="L230" i="1" s="1"/>
  <c r="J373" i="1"/>
  <c r="K373" i="1" s="1"/>
  <c r="L373" i="1" s="1"/>
  <c r="J493" i="1"/>
  <c r="K493" i="1" s="1"/>
  <c r="L493" i="1" s="1"/>
  <c r="J517" i="1"/>
  <c r="K517" i="1" s="1"/>
  <c r="L517" i="1" s="1"/>
  <c r="J12" i="1"/>
  <c r="K12" i="1" s="1"/>
  <c r="L12" i="1" s="1"/>
  <c r="J48" i="1"/>
  <c r="K48" i="1" s="1"/>
  <c r="L48" i="1" s="1"/>
  <c r="J72" i="1"/>
  <c r="K72" i="1" s="1"/>
  <c r="L72" i="1" s="1"/>
  <c r="J132" i="1"/>
  <c r="K132" i="1" s="1"/>
  <c r="L132" i="1" s="1"/>
  <c r="J156" i="1"/>
  <c r="K156" i="1" s="1"/>
  <c r="L156" i="1" s="1"/>
  <c r="J180" i="1"/>
  <c r="K180" i="1" s="1"/>
  <c r="L180" i="1" s="1"/>
  <c r="J266" i="1"/>
  <c r="K266" i="1" s="1"/>
  <c r="L266" i="1" s="1"/>
  <c r="J325" i="1"/>
  <c r="K325" i="1" s="1"/>
  <c r="L325" i="1" s="1"/>
  <c r="J337" i="1"/>
  <c r="K337" i="1" s="1"/>
  <c r="L337" i="1" s="1"/>
  <c r="J349" i="1"/>
  <c r="K349" i="1" s="1"/>
  <c r="L349" i="1" s="1"/>
  <c r="J445" i="1"/>
  <c r="K445" i="1" s="1"/>
  <c r="L445" i="1" s="1"/>
  <c r="J120" i="1"/>
  <c r="K120" i="1" s="1"/>
  <c r="L120" i="1" s="1"/>
  <c r="J242" i="1"/>
  <c r="K242" i="1" s="1"/>
  <c r="L242" i="1" s="1"/>
  <c r="J254" i="1"/>
  <c r="K254" i="1" s="1"/>
  <c r="L254" i="1" s="1"/>
  <c r="J397" i="1"/>
  <c r="K397" i="1" s="1"/>
  <c r="L397" i="1" s="1"/>
  <c r="J409" i="1"/>
  <c r="K409" i="1" s="1"/>
  <c r="L409" i="1" s="1"/>
  <c r="J505" i="1"/>
  <c r="K505" i="1" s="1"/>
  <c r="L505" i="1" s="1"/>
  <c r="J529" i="1"/>
  <c r="K529" i="1" s="1"/>
  <c r="L529" i="1" s="1"/>
  <c r="J293" i="1"/>
  <c r="K293" i="1" s="1"/>
  <c r="L293" i="1" s="1"/>
  <c r="J294" i="1"/>
  <c r="K294" i="1" s="1"/>
  <c r="L294" i="1" s="1"/>
  <c r="J295" i="1"/>
  <c r="K295" i="1" s="1"/>
  <c r="L295" i="1" s="1"/>
  <c r="J296" i="1"/>
  <c r="K296" i="1" s="1"/>
  <c r="L296" i="1" s="1"/>
  <c r="J297" i="1"/>
  <c r="K297" i="1" s="1"/>
  <c r="L297" i="1" s="1"/>
  <c r="J298" i="1"/>
  <c r="K298" i="1" s="1"/>
  <c r="L298" i="1" s="1"/>
  <c r="J299" i="1"/>
  <c r="K299" i="1" s="1"/>
  <c r="L299" i="1" s="1"/>
  <c r="J300" i="1"/>
  <c r="K300" i="1" s="1"/>
  <c r="L300" i="1" s="1"/>
  <c r="J301" i="1"/>
  <c r="K301" i="1" s="1"/>
  <c r="L301" i="1" s="1"/>
  <c r="J13" i="1"/>
  <c r="K13" i="1" s="1"/>
  <c r="L13" i="1" s="1"/>
  <c r="J37" i="1"/>
  <c r="K37" i="1" s="1"/>
  <c r="L37" i="1" s="1"/>
  <c r="J61" i="1"/>
  <c r="K61" i="1" s="1"/>
  <c r="L61" i="1" s="1"/>
  <c r="J73" i="1"/>
  <c r="K73" i="1" s="1"/>
  <c r="L73" i="1" s="1"/>
  <c r="J85" i="1"/>
  <c r="K85" i="1" s="1"/>
  <c r="L85" i="1" s="1"/>
  <c r="J97" i="1"/>
  <c r="K97" i="1" s="1"/>
  <c r="L97" i="1" s="1"/>
  <c r="J109" i="1"/>
  <c r="K109" i="1" s="1"/>
  <c r="L109" i="1" s="1"/>
  <c r="J121" i="1"/>
  <c r="K121" i="1" s="1"/>
  <c r="L121" i="1" s="1"/>
  <c r="J145" i="1"/>
  <c r="K145" i="1" s="1"/>
  <c r="L145" i="1" s="1"/>
  <c r="J169" i="1"/>
  <c r="K169" i="1" s="1"/>
  <c r="L169" i="1" s="1"/>
  <c r="J181" i="1"/>
  <c r="K181" i="1" s="1"/>
  <c r="L181" i="1" s="1"/>
  <c r="J207" i="1"/>
  <c r="K207" i="1" s="1"/>
  <c r="L207" i="1" s="1"/>
  <c r="J219" i="1"/>
  <c r="K219" i="1" s="1"/>
  <c r="L219" i="1" s="1"/>
  <c r="J231" i="1"/>
  <c r="K231" i="1" s="1"/>
  <c r="L231" i="1" s="1"/>
  <c r="J243" i="1"/>
  <c r="K243" i="1" s="1"/>
  <c r="L243" i="1" s="1"/>
  <c r="J255" i="1"/>
  <c r="K255" i="1" s="1"/>
  <c r="L255" i="1" s="1"/>
  <c r="J267" i="1"/>
  <c r="J291" i="1"/>
  <c r="K291" i="1" s="1"/>
  <c r="L291" i="1" s="1"/>
  <c r="J314" i="1"/>
  <c r="K314" i="1" s="1"/>
  <c r="L314" i="1" s="1"/>
  <c r="J326" i="1"/>
  <c r="K326" i="1" s="1"/>
  <c r="L326" i="1" s="1"/>
  <c r="J338" i="1"/>
  <c r="K338" i="1" s="1"/>
  <c r="L338" i="1" s="1"/>
  <c r="J350" i="1"/>
  <c r="K350" i="1" s="1"/>
  <c r="L350" i="1" s="1"/>
  <c r="J374" i="1"/>
  <c r="K374" i="1" s="1"/>
  <c r="L374" i="1" s="1"/>
  <c r="J386" i="1"/>
  <c r="K386" i="1" s="1"/>
  <c r="L386" i="1" s="1"/>
  <c r="J398" i="1"/>
  <c r="K398" i="1" s="1"/>
  <c r="L398" i="1" s="1"/>
  <c r="J410" i="1"/>
  <c r="K410" i="1" s="1"/>
  <c r="L410" i="1" s="1"/>
  <c r="J422" i="1"/>
  <c r="K422" i="1" s="1"/>
  <c r="L422" i="1" s="1"/>
  <c r="J434" i="1"/>
  <c r="K434" i="1" s="1"/>
  <c r="L434" i="1" s="1"/>
  <c r="J446" i="1"/>
  <c r="K446" i="1" s="1"/>
  <c r="L446" i="1" s="1"/>
  <c r="J458" i="1"/>
  <c r="K458" i="1" s="1"/>
  <c r="L458" i="1" s="1"/>
  <c r="J470" i="1"/>
  <c r="K470" i="1" s="1"/>
  <c r="L470" i="1" s="1"/>
  <c r="J482" i="1"/>
  <c r="K482" i="1" s="1"/>
  <c r="L482" i="1" s="1"/>
  <c r="J494" i="1"/>
  <c r="K494" i="1" s="1"/>
  <c r="L494" i="1" s="1"/>
  <c r="J506" i="1"/>
  <c r="K506" i="1" s="1"/>
  <c r="L506" i="1" s="1"/>
  <c r="J518" i="1"/>
  <c r="K518" i="1" s="1"/>
  <c r="L518" i="1" s="1"/>
  <c r="J530" i="1"/>
  <c r="K530" i="1" s="1"/>
  <c r="L530" i="1" s="1"/>
  <c r="J302" i="1"/>
  <c r="K302" i="1" s="1"/>
  <c r="L302" i="1" s="1"/>
  <c r="J26" i="1"/>
  <c r="K26" i="1" s="1"/>
  <c r="L26" i="1" s="1"/>
  <c r="J38" i="1"/>
  <c r="K38" i="1" s="1"/>
  <c r="L38" i="1" s="1"/>
  <c r="J50" i="1"/>
  <c r="K50" i="1" s="1"/>
  <c r="L50" i="1" s="1"/>
  <c r="J62" i="1"/>
  <c r="K62" i="1" s="1"/>
  <c r="L62" i="1" s="1"/>
  <c r="J74" i="1"/>
  <c r="K74" i="1" s="1"/>
  <c r="L74" i="1" s="1"/>
  <c r="J86" i="1"/>
  <c r="K86" i="1" s="1"/>
  <c r="L86" i="1" s="1"/>
  <c r="J98" i="1"/>
  <c r="K98" i="1" s="1"/>
  <c r="L98" i="1" s="1"/>
  <c r="J110" i="1"/>
  <c r="K110" i="1" s="1"/>
  <c r="L110" i="1" s="1"/>
  <c r="J134" i="1"/>
  <c r="K134" i="1" s="1"/>
  <c r="L134" i="1" s="1"/>
  <c r="J158" i="1"/>
  <c r="K158" i="1" s="1"/>
  <c r="L158" i="1" s="1"/>
  <c r="J170" i="1"/>
  <c r="K170" i="1" s="1"/>
  <c r="L170" i="1" s="1"/>
  <c r="J182" i="1"/>
  <c r="K182" i="1" s="1"/>
  <c r="L182" i="1" s="1"/>
  <c r="J204" i="1"/>
  <c r="K204" i="1" s="1"/>
  <c r="L204" i="1" s="1"/>
  <c r="J208" i="1"/>
  <c r="K208" i="1" s="1"/>
  <c r="L208" i="1" s="1"/>
  <c r="J220" i="1"/>
  <c r="K220" i="1" s="1"/>
  <c r="L220" i="1" s="1"/>
  <c r="J232" i="1"/>
  <c r="K232" i="1" s="1"/>
  <c r="L232" i="1" s="1"/>
  <c r="J244" i="1"/>
  <c r="K244" i="1" s="1"/>
  <c r="L244" i="1" s="1"/>
  <c r="J256" i="1"/>
  <c r="K256" i="1" s="1"/>
  <c r="L256" i="1" s="1"/>
  <c r="J280" i="1"/>
  <c r="K280" i="1" s="1"/>
  <c r="L280" i="1" s="1"/>
  <c r="J292" i="1"/>
  <c r="K292" i="1" s="1"/>
  <c r="L292" i="1" s="1"/>
  <c r="J303" i="1"/>
  <c r="K303" i="1" s="1"/>
  <c r="L303" i="1" s="1"/>
  <c r="J315" i="1"/>
  <c r="K315" i="1" s="1"/>
  <c r="L315" i="1" s="1"/>
  <c r="J327" i="1"/>
  <c r="K327" i="1" s="1"/>
  <c r="L327" i="1" s="1"/>
  <c r="J339" i="1"/>
  <c r="K339" i="1" s="1"/>
  <c r="L339" i="1" s="1"/>
  <c r="J351" i="1"/>
  <c r="K351" i="1" s="1"/>
  <c r="L351" i="1" s="1"/>
  <c r="J363" i="1"/>
  <c r="K363" i="1" s="1"/>
  <c r="L363" i="1" s="1"/>
  <c r="J375" i="1"/>
  <c r="K375" i="1" s="1"/>
  <c r="L375" i="1" s="1"/>
  <c r="J387" i="1"/>
  <c r="K387" i="1" s="1"/>
  <c r="L387" i="1" s="1"/>
  <c r="J399" i="1"/>
  <c r="K399" i="1" s="1"/>
  <c r="L399" i="1" s="1"/>
  <c r="J411" i="1"/>
  <c r="K411" i="1" s="1"/>
  <c r="L411" i="1" s="1"/>
  <c r="J423" i="1"/>
  <c r="K423" i="1" s="1"/>
  <c r="L423" i="1" s="1"/>
  <c r="J435" i="1"/>
  <c r="K435" i="1" s="1"/>
  <c r="L435" i="1" s="1"/>
  <c r="J447" i="1"/>
  <c r="K447" i="1" s="1"/>
  <c r="L447" i="1" s="1"/>
  <c r="J459" i="1"/>
  <c r="K459" i="1" s="1"/>
  <c r="L459" i="1" s="1"/>
  <c r="J471" i="1"/>
  <c r="K471" i="1" s="1"/>
  <c r="L471" i="1" s="1"/>
  <c r="J483" i="1"/>
  <c r="K483" i="1" s="1"/>
  <c r="L483" i="1" s="1"/>
  <c r="J495" i="1"/>
  <c r="K495" i="1" s="1"/>
  <c r="L495" i="1" s="1"/>
  <c r="J507" i="1"/>
  <c r="K507" i="1" s="1"/>
  <c r="L507" i="1" s="1"/>
  <c r="J519" i="1"/>
  <c r="K519" i="1" s="1"/>
  <c r="L519" i="1" s="1"/>
  <c r="J2" i="1"/>
  <c r="K2" i="1" s="1"/>
  <c r="L2" i="1" s="1"/>
  <c r="K64" i="1" l="1"/>
  <c r="L64" i="1" s="1"/>
  <c r="K76" i="1"/>
  <c r="L76" i="1" s="1"/>
  <c r="K88" i="1"/>
  <c r="L88" i="1" s="1"/>
  <c r="K100" i="1"/>
  <c r="L100" i="1" s="1"/>
  <c r="K112" i="1"/>
  <c r="L112" i="1" s="1"/>
  <c r="K124" i="1"/>
  <c r="L124" i="1" s="1"/>
  <c r="K136" i="1"/>
  <c r="L136" i="1" s="1"/>
  <c r="K148" i="1"/>
  <c r="L148" i="1" s="1"/>
  <c r="K160" i="1"/>
  <c r="L160" i="1" s="1"/>
  <c r="K172" i="1"/>
  <c r="L172" i="1" s="1"/>
  <c r="K210" i="1"/>
  <c r="L210" i="1" s="1"/>
  <c r="K222" i="1"/>
  <c r="L222" i="1" s="1"/>
  <c r="K234" i="1"/>
  <c r="L234" i="1" s="1"/>
  <c r="K246" i="1"/>
  <c r="L246" i="1" s="1"/>
  <c r="K258" i="1"/>
  <c r="L258" i="1" s="1"/>
  <c r="K282" i="1"/>
  <c r="L282" i="1" s="1"/>
  <c r="K305" i="1"/>
  <c r="L305" i="1" s="1"/>
  <c r="K317" i="1"/>
  <c r="L317" i="1" s="1"/>
  <c r="K329" i="1"/>
  <c r="L329" i="1" s="1"/>
  <c r="K341" i="1"/>
  <c r="L341" i="1" s="1"/>
  <c r="K267" i="1"/>
  <c r="L267" i="1" s="1"/>
  <c r="K83" i="1"/>
  <c r="L83" i="1" s="1"/>
  <c r="K95" i="1"/>
  <c r="L95" i="1" s="1"/>
  <c r="K107" i="1"/>
  <c r="L107" i="1" s="1"/>
  <c r="K289" i="1"/>
  <c r="L289" i="1" s="1"/>
  <c r="K384" i="1"/>
  <c r="L384" i="1" s="1"/>
  <c r="K396" i="1"/>
  <c r="L396" i="1" s="1"/>
  <c r="K408" i="1"/>
  <c r="L408" i="1" s="1"/>
  <c r="K420" i="1"/>
  <c r="L420" i="1" s="1"/>
  <c r="K432" i="1"/>
  <c r="L432" i="1" s="1"/>
  <c r="K444" i="1"/>
  <c r="L444" i="1" s="1"/>
  <c r="K456" i="1"/>
  <c r="L456" i="1" s="1"/>
  <c r="K468" i="1"/>
  <c r="L468" i="1" s="1"/>
  <c r="K323" i="1"/>
  <c r="L323" i="1" s="1"/>
  <c r="K335" i="1"/>
  <c r="L335" i="1" s="1"/>
  <c r="K347" i="1"/>
  <c r="L347" i="1" s="1"/>
  <c r="K383" i="1"/>
  <c r="L383" i="1" s="1"/>
  <c r="K395" i="1"/>
  <c r="L395" i="1" s="1"/>
  <c r="K407" i="1"/>
  <c r="L407" i="1" s="1"/>
  <c r="K467" i="1"/>
  <c r="L467" i="1" s="1"/>
  <c r="K503" i="1"/>
  <c r="L503" i="1" s="1"/>
  <c r="K11" i="1"/>
  <c r="L11" i="1" s="1"/>
  <c r="K47" i="1"/>
  <c r="L47" i="1" s="1"/>
  <c r="K239" i="1"/>
  <c r="L239" i="1" s="1"/>
  <c r="K251" i="1"/>
  <c r="L251" i="1" s="1"/>
  <c r="K263" i="1"/>
  <c r="L263" i="1" s="1"/>
  <c r="K287" i="1"/>
  <c r="L287" i="1" s="1"/>
  <c r="K322" i="1"/>
  <c r="L322" i="1" s="1"/>
  <c r="K334" i="1"/>
  <c r="L334" i="1" s="1"/>
  <c r="K346" i="1"/>
  <c r="L346" i="1" s="1"/>
  <c r="K370" i="1"/>
  <c r="L370" i="1" s="1"/>
  <c r="K382" i="1"/>
  <c r="L382" i="1" s="1"/>
  <c r="K466" i="1"/>
  <c r="L466" i="1" s="1"/>
  <c r="K478" i="1"/>
  <c r="L478" i="1" s="1"/>
  <c r="K490" i="1"/>
  <c r="L490" i="1" s="1"/>
  <c r="K502" i="1"/>
  <c r="L502" i="1" s="1"/>
  <c r="K526" i="1"/>
  <c r="L526" i="1" s="1"/>
  <c r="K46" i="1"/>
  <c r="L46" i="1" s="1"/>
  <c r="K58" i="1"/>
  <c r="L58" i="1" s="1"/>
  <c r="K70" i="1"/>
  <c r="L70" i="1" s="1"/>
  <c r="K82" i="1"/>
  <c r="L82" i="1" s="1"/>
  <c r="K118" i="1"/>
  <c r="L118" i="1" s="1"/>
  <c r="K130" i="1"/>
  <c r="L130" i="1" s="1"/>
  <c r="K142" i="1"/>
  <c r="L142" i="1" s="1"/>
  <c r="K154" i="1"/>
  <c r="L154" i="1" s="1"/>
  <c r="K166" i="1"/>
  <c r="L166" i="1" s="1"/>
  <c r="K178" i="1"/>
  <c r="L178" i="1" s="1"/>
  <c r="K240" i="1"/>
  <c r="L240" i="1" s="1"/>
  <c r="K252" i="1"/>
  <c r="L252" i="1" s="1"/>
  <c r="K141" i="1"/>
  <c r="L141" i="1" s="1"/>
  <c r="K369" i="1"/>
  <c r="L369" i="1" s="1"/>
  <c r="K393" i="1"/>
  <c r="L393" i="1" s="1"/>
  <c r="K465" i="1"/>
  <c r="L465" i="1" s="1"/>
  <c r="K501" i="1"/>
  <c r="L501" i="1" s="1"/>
  <c r="K33" i="1"/>
  <c r="L33" i="1" s="1"/>
  <c r="K45" i="1"/>
  <c r="L45" i="1" s="1"/>
  <c r="K57" i="1"/>
  <c r="L57" i="1" s="1"/>
  <c r="K69" i="1"/>
  <c r="L69" i="1" s="1"/>
  <c r="K51" i="1"/>
  <c r="L51" i="1" s="1"/>
  <c r="K87" i="1"/>
  <c r="L87" i="1" s="1"/>
  <c r="K527" i="1"/>
  <c r="L527" i="1" s="1"/>
  <c r="K115" i="1"/>
  <c r="L115" i="1" s="1"/>
  <c r="K515" i="1"/>
  <c r="L515" i="1" s="1"/>
  <c r="K52" i="1"/>
  <c r="L52" i="1" s="1"/>
  <c r="K248" i="1"/>
  <c r="L248" i="1" s="1"/>
  <c r="K440" i="1"/>
  <c r="L440" i="1" s="1"/>
  <c r="K262" i="1"/>
  <c r="L262" i="1" s="1"/>
  <c r="K477" i="1"/>
  <c r="L477" i="1" s="1"/>
  <c r="K489" i="1"/>
  <c r="L489" i="1" s="1"/>
  <c r="K34" i="1"/>
  <c r="L34" i="1" s="1"/>
  <c r="K371" i="1"/>
  <c r="L371" i="1" s="1"/>
  <c r="K455" i="1"/>
  <c r="L455" i="1" s="1"/>
  <c r="K35" i="1"/>
  <c r="L35" i="1" s="1"/>
  <c r="K372" i="1"/>
  <c r="L372" i="1" s="1"/>
  <c r="K516" i="1"/>
  <c r="L516" i="1" s="1"/>
  <c r="K421" i="1"/>
  <c r="L421" i="1" s="1"/>
  <c r="K129" i="1"/>
  <c r="L129" i="1" s="1"/>
  <c r="K310" i="1"/>
  <c r="L310" i="1" s="1"/>
  <c r="K514" i="1"/>
  <c r="L514" i="1" s="1"/>
  <c r="K259" i="1"/>
  <c r="L259" i="1" s="1"/>
  <c r="K438" i="1"/>
  <c r="L438" i="1" s="1"/>
  <c r="K450" i="1"/>
  <c r="L450" i="1" s="1"/>
  <c r="K474" i="1"/>
  <c r="L474" i="1" s="1"/>
  <c r="K486" i="1"/>
  <c r="L486" i="1" s="1"/>
  <c r="K522" i="1"/>
  <c r="L522" i="1" s="1"/>
  <c r="K224" i="1"/>
  <c r="L224" i="1" s="1"/>
  <c r="K284" i="1"/>
  <c r="L284" i="1" s="1"/>
  <c r="K307" i="1"/>
  <c r="L307" i="1" s="1"/>
  <c r="K319" i="1"/>
  <c r="L319" i="1" s="1"/>
  <c r="K331" i="1"/>
  <c r="L331" i="1" s="1"/>
  <c r="K367" i="1"/>
  <c r="L367" i="1" s="1"/>
  <c r="K379" i="1"/>
  <c r="L379" i="1" s="1"/>
  <c r="K403" i="1"/>
  <c r="L403" i="1" s="1"/>
  <c r="K439" i="1"/>
  <c r="L439" i="1" s="1"/>
  <c r="K67" i="1"/>
  <c r="L67" i="1" s="1"/>
  <c r="K79" i="1"/>
  <c r="L79" i="1" s="1"/>
  <c r="K163" i="1"/>
  <c r="L163" i="1" s="1"/>
  <c r="K175" i="1"/>
  <c r="L175" i="1" s="1"/>
  <c r="K368" i="1"/>
  <c r="L368" i="1" s="1"/>
  <c r="K380" i="1"/>
  <c r="L380" i="1" s="1"/>
  <c r="K392" i="1"/>
  <c r="L392" i="1" s="1"/>
  <c r="K404" i="1"/>
  <c r="L404" i="1" s="1"/>
  <c r="K44" i="1"/>
  <c r="L44" i="1" s="1"/>
  <c r="K214" i="1"/>
  <c r="L214" i="1" s="1"/>
  <c r="K250" i="1"/>
  <c r="L250" i="1" s="1"/>
  <c r="K286" i="1"/>
  <c r="L286" i="1" s="1"/>
  <c r="K309" i="1"/>
  <c r="L309" i="1" s="1"/>
  <c r="K321" i="1"/>
  <c r="L321" i="1" s="1"/>
  <c r="K381" i="1"/>
  <c r="L381" i="1" s="1"/>
  <c r="K417" i="1"/>
  <c r="L417" i="1" s="1"/>
  <c r="K441" i="1"/>
  <c r="L441" i="1" s="1"/>
  <c r="K453" i="1"/>
  <c r="L453" i="1" s="1"/>
  <c r="K513" i="1"/>
  <c r="L513" i="1" s="1"/>
  <c r="K9" i="1"/>
  <c r="L9" i="1" s="1"/>
  <c r="K81" i="1"/>
  <c r="L81" i="1" s="1"/>
  <c r="K117" i="1"/>
  <c r="L117" i="1" s="1"/>
  <c r="K153" i="1"/>
  <c r="L153" i="1" s="1"/>
  <c r="K165" i="1"/>
  <c r="L165" i="1" s="1"/>
  <c r="K177" i="1"/>
  <c r="L177" i="1" s="1"/>
  <c r="K227" i="1"/>
  <c r="L227" i="1" s="1"/>
  <c r="K394" i="1"/>
  <c r="L394" i="1" s="1"/>
  <c r="K418" i="1"/>
  <c r="L418" i="1" s="1"/>
  <c r="K430" i="1"/>
  <c r="L430" i="1" s="1"/>
  <c r="K442" i="1"/>
  <c r="L442" i="1" s="1"/>
  <c r="K106" i="1"/>
  <c r="L106" i="1" s="1"/>
  <c r="K228" i="1"/>
  <c r="L228" i="1" s="1"/>
  <c r="K264" i="1"/>
  <c r="L264" i="1" s="1"/>
  <c r="K288" i="1"/>
  <c r="L288" i="1" s="1"/>
  <c r="K59" i="1"/>
  <c r="L59" i="1" s="1"/>
  <c r="K155" i="1"/>
  <c r="L155" i="1" s="1"/>
  <c r="K167" i="1"/>
  <c r="L167" i="1" s="1"/>
  <c r="K217" i="1"/>
  <c r="L217" i="1" s="1"/>
  <c r="K229" i="1"/>
  <c r="L229" i="1" s="1"/>
  <c r="K253" i="1"/>
  <c r="L253" i="1" s="1"/>
  <c r="K312" i="1"/>
  <c r="L312" i="1" s="1"/>
  <c r="K348" i="1"/>
  <c r="L348" i="1" s="1"/>
  <c r="K60" i="1"/>
  <c r="L60" i="1" s="1"/>
  <c r="K96" i="1"/>
  <c r="L96" i="1" s="1"/>
  <c r="K168" i="1"/>
  <c r="L168" i="1" s="1"/>
  <c r="K283" i="1"/>
  <c r="L283" i="1" s="1"/>
  <c r="K390" i="1"/>
  <c r="L390" i="1" s="1"/>
  <c r="K402" i="1"/>
  <c r="L402" i="1" s="1"/>
  <c r="K414" i="1"/>
  <c r="L414" i="1" s="1"/>
  <c r="K462" i="1"/>
  <c r="L462" i="1" s="1"/>
  <c r="K498" i="1"/>
  <c r="L498" i="1" s="1"/>
  <c r="K510" i="1"/>
  <c r="L510" i="1" s="1"/>
  <c r="K6" i="1"/>
  <c r="L6" i="1" s="1"/>
  <c r="K162" i="1"/>
  <c r="L162" i="1" s="1"/>
  <c r="K174" i="1"/>
  <c r="L174" i="1" s="1"/>
  <c r="K212" i="1"/>
  <c r="L212" i="1" s="1"/>
  <c r="K260" i="1"/>
  <c r="L260" i="1" s="1"/>
  <c r="K343" i="1"/>
  <c r="L343" i="1" s="1"/>
  <c r="K391" i="1"/>
  <c r="L391" i="1" s="1"/>
  <c r="K415" i="1"/>
  <c r="L415" i="1" s="1"/>
  <c r="K31" i="1"/>
  <c r="L31" i="1" s="1"/>
  <c r="K43" i="1"/>
  <c r="L43" i="1" s="1"/>
  <c r="K55" i="1"/>
  <c r="L55" i="1" s="1"/>
  <c r="K127" i="1"/>
  <c r="L127" i="1" s="1"/>
  <c r="K139" i="1"/>
  <c r="L139" i="1" s="1"/>
  <c r="K151" i="1"/>
  <c r="L151" i="1" s="1"/>
  <c r="K344" i="1"/>
  <c r="L344" i="1" s="1"/>
  <c r="K416" i="1"/>
  <c r="L416" i="1" s="1"/>
  <c r="K428" i="1"/>
  <c r="L428" i="1" s="1"/>
  <c r="K176" i="1"/>
  <c r="L176" i="1" s="1"/>
  <c r="K226" i="1"/>
  <c r="L226" i="1" s="1"/>
  <c r="K238" i="1"/>
  <c r="L238" i="1" s="1"/>
  <c r="K333" i="1"/>
  <c r="L333" i="1" s="1"/>
  <c r="K345" i="1"/>
  <c r="L345" i="1" s="1"/>
  <c r="K405" i="1"/>
  <c r="L405" i="1" s="1"/>
  <c r="K429" i="1"/>
  <c r="L429" i="1" s="1"/>
  <c r="K525" i="1"/>
  <c r="L525" i="1" s="1"/>
  <c r="K93" i="1"/>
  <c r="L93" i="1" s="1"/>
  <c r="K105" i="1"/>
  <c r="L105" i="1" s="1"/>
  <c r="K215" i="1"/>
  <c r="L215" i="1" s="1"/>
  <c r="K406" i="1"/>
  <c r="L406" i="1" s="1"/>
  <c r="K454" i="1"/>
  <c r="L454" i="1" s="1"/>
  <c r="K10" i="1"/>
  <c r="L10" i="1" s="1"/>
  <c r="K94" i="1"/>
  <c r="L94" i="1" s="1"/>
  <c r="K216" i="1"/>
  <c r="L216" i="1" s="1"/>
  <c r="K419" i="1"/>
  <c r="L419" i="1" s="1"/>
  <c r="K431" i="1"/>
  <c r="L431" i="1" s="1"/>
  <c r="K443" i="1"/>
  <c r="L443" i="1" s="1"/>
  <c r="K479" i="1"/>
  <c r="L479" i="1" s="1"/>
  <c r="K491" i="1"/>
  <c r="L491" i="1" s="1"/>
  <c r="K71" i="1"/>
  <c r="L71" i="1" s="1"/>
  <c r="K119" i="1"/>
  <c r="L119" i="1" s="1"/>
  <c r="K131" i="1"/>
  <c r="L131" i="1" s="1"/>
  <c r="K143" i="1"/>
  <c r="L143" i="1" s="1"/>
  <c r="K179" i="1"/>
  <c r="L179" i="1" s="1"/>
  <c r="K241" i="1"/>
  <c r="L241" i="1" s="1"/>
  <c r="K265" i="1"/>
  <c r="L265" i="1" s="1"/>
  <c r="K324" i="1"/>
  <c r="L324" i="1" s="1"/>
  <c r="K336" i="1"/>
  <c r="L336" i="1" s="1"/>
  <c r="K206" i="1"/>
  <c r="L206" i="1" s="1"/>
  <c r="K385" i="1"/>
  <c r="L385" i="1" s="1"/>
</calcChain>
</file>

<file path=xl/sharedStrings.xml><?xml version="1.0" encoding="utf-8"?>
<sst xmlns="http://schemas.openxmlformats.org/spreadsheetml/2006/main" count="1163" uniqueCount="65">
  <si>
    <t>Data</t>
  </si>
  <si>
    <t>Nível</t>
  </si>
  <si>
    <t>Atendidas</t>
  </si>
  <si>
    <t xml:space="preserve"> &gt; 2min</t>
  </si>
  <si>
    <t>CHAT</t>
  </si>
  <si>
    <t>RO</t>
  </si>
  <si>
    <t>Realizado</t>
  </si>
  <si>
    <t>Esperado</t>
  </si>
  <si>
    <t>Desvio</t>
  </si>
  <si>
    <t>Classificação</t>
  </si>
  <si>
    <t>Alisson de Freitas Silva</t>
  </si>
  <si>
    <t>Técnico II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</si>
  <si>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</si>
  <si>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</si>
  <si>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</si>
  <si>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</si>
  <si>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</si>
  <si>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</si>
  <si>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</si>
  <si>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</si>
  <si>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</si>
  <si>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</si>
  <si>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</si>
  <si>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</si>
  <si>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</si>
  <si>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</si>
  <si>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</si>
  <si>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</si>
  <si>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Francilene Ferreira de Jesus</t>
  </si>
  <si>
    <t>Gabriel Alves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</si>
  <si>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</si>
  <si>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</si>
  <si>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</si>
  <si>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</si>
  <si>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</si>
  <si>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Karina Gonçalves Martins</t>
  </si>
  <si>
    <t>JR</t>
  </si>
  <si>
    <t>Leandro de Souza Silva</t>
  </si>
  <si>
    <t>Leandro Oliveira de Sousa</t>
  </si>
  <si>
    <t>Lizandra Gomes Duarte</t>
  </si>
  <si>
    <t>Lorena Dias de Araujo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</si>
  <si>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</si>
  <si>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</si>
  <si>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</si>
  <si>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</si>
  <si>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</si>
  <si>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</si>
  <si>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</si>
  <si>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</si>
  <si>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</si>
  <si>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</si>
  <si>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</si>
  <si>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</si>
  <si>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</si>
  <si>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</si>
  <si>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Técnico</t>
  </si>
  <si>
    <t>SSC</t>
  </si>
  <si>
    <t>Votação</t>
  </si>
  <si>
    <t>Satisfação</t>
  </si>
  <si>
    <t>TMA</t>
  </si>
  <si>
    <t>Kerollen Cristielly de Jesus Siqueira</t>
  </si>
  <si>
    <t>Amanda Moura Ferreira</t>
  </si>
  <si>
    <t>Francielson de Oliveira</t>
  </si>
  <si>
    <t>Jéssica Fé Moura</t>
  </si>
  <si>
    <t>Lucas Luiz Romero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</si>
</sst>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EF58-AF9E-4A91-B7D8-7B3B50610D55}">
  <sheetPr filterMode="1"/>
  <dimension ref="A1:P575"/>
  <sheetViews>
    <sheetView tabSelected="1" topLeftCell="A557" workbookViewId="0">
      <selection activeCell="L531" sqref="L53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/>
    <col min="12" max="12" width="13.140625" style="3" bestFit="1" customWidth="1"/>
    <col min="13" max="13" width="9.140625" style="3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55</v>
      </c>
      <c r="C1" s="1" t="s">
        <v>1</v>
      </c>
      <c r="D1" s="1" t="s">
        <v>2</v>
      </c>
      <c r="E1" s="1" t="s">
        <v>3</v>
      </c>
      <c r="F1" s="1" t="s">
        <v>59</v>
      </c>
      <c r="G1" s="1" t="s">
        <v>5</v>
      </c>
      <c r="H1" s="1" t="s">
        <v>4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56</v>
      </c>
      <c r="N1" s="1" t="s">
        <v>58</v>
      </c>
      <c r="O1" s="1" t="s">
        <v>57</v>
      </c>
      <c r="P1" s="1"/>
    </row>
    <row r="2" spans="1:16" x14ac:dyDescent="0.25">
      <c r="A2" s="7">
        <v>46161</v>
      </c>
      <c r="B2" s="8" t="s">
        <v>10</v>
      </c>
      <c r="C2" s="9" t="s">
        <v>11</v>
      </c>
      <c r="D2" s="3">
        <v>38</v>
      </c>
      <c r="E2" s="3">
        <v>33</v>
      </c>
      <c r="G2" s="3">
        <v>1</v>
      </c>
      <c r="H2" s="3">
        <v>0</v>
      </c>
      <c r="I2" s="3">
        <f t="shared" ref="I2:I13" si="0">E2+G2+H2</f>
        <v>34</v>
      </c>
      <c r="J2" s="3" t="str">
        <f t="shared" ref="J2:J13" si="1">IF(C2="Técnico III","35",IF(C2="Técnico II","28",IF(C2="Técnico I","23",IF(C2="JR","20",IF(C2="Estágio","10",)))))</f>
        <v>28</v>
      </c>
      <c r="K2" s="3">
        <f t="shared" ref="K2:K13" si="2">I2-J2</f>
        <v>6</v>
      </c>
      <c r="L2" s="3" t="str">
        <f t="shared" ref="L2:L65" si="3">IF(K2&lt;-5,"CRÍTICO",IF(K2&lt;0,"ATENÇÃO",IF(K2&lt;=5,"BOM","EXCELENTE")))</f>
        <v>EXCELENTE</v>
      </c>
    </row>
    <row r="3" spans="1:16" hidden="1" x14ac:dyDescent="0.25">
      <c r="A3" s="5">
        <v>46146</v>
      </c>
      <c r="B3" s="6" t="s">
        <v>10</v>
      </c>
      <c r="C3" s="3" t="s">
        <v>11</v>
      </c>
      <c r="D3" s="3">
        <v>40</v>
      </c>
      <c r="E3" s="3">
        <v>38</v>
      </c>
      <c r="G3" s="3">
        <v>4</v>
      </c>
      <c r="I3" s="3">
        <f t="shared" si="0"/>
        <v>42</v>
      </c>
      <c r="J3" s="3" t="str">
        <f t="shared" si="1"/>
        <v>28</v>
      </c>
      <c r="K3" s="3">
        <f t="shared" si="2"/>
        <v>14</v>
      </c>
      <c r="L3" s="3" t="str">
        <f t="shared" si="3"/>
        <v>EXCELENTE</v>
      </c>
    </row>
    <row r="4" spans="1:16" hidden="1" x14ac:dyDescent="0.25">
      <c r="A4" s="5">
        <v>46147</v>
      </c>
      <c r="B4" s="6" t="s">
        <v>10</v>
      </c>
      <c r="C4" s="3" t="s">
        <v>11</v>
      </c>
      <c r="D4" s="3">
        <v>42</v>
      </c>
      <c r="E4" s="3">
        <v>37</v>
      </c>
      <c r="G4" s="3">
        <v>4</v>
      </c>
      <c r="I4" s="3">
        <f t="shared" si="0"/>
        <v>41</v>
      </c>
      <c r="J4" s="3" t="str">
        <f t="shared" si="1"/>
        <v>28</v>
      </c>
      <c r="K4" s="3">
        <f t="shared" si="2"/>
        <v>13</v>
      </c>
      <c r="L4" s="3" t="str">
        <f t="shared" si="3"/>
        <v>EXCELENTE</v>
      </c>
    </row>
    <row r="5" spans="1:16" hidden="1" x14ac:dyDescent="0.25">
      <c r="A5" s="5">
        <v>46148</v>
      </c>
      <c r="B5" s="6" t="s">
        <v>10</v>
      </c>
      <c r="C5" s="3" t="s">
        <v>11</v>
      </c>
      <c r="D5" s="3">
        <v>35</v>
      </c>
      <c r="E5" s="3">
        <v>29</v>
      </c>
      <c r="G5" s="3">
        <v>11</v>
      </c>
      <c r="I5" s="3">
        <f t="shared" si="0"/>
        <v>40</v>
      </c>
      <c r="J5" s="3" t="str">
        <f t="shared" si="1"/>
        <v>28</v>
      </c>
      <c r="K5" s="3">
        <f t="shared" si="2"/>
        <v>12</v>
      </c>
      <c r="L5" s="3" t="str">
        <f t="shared" si="3"/>
        <v>EXCELENTE</v>
      </c>
    </row>
    <row r="6" spans="1:16" hidden="1" x14ac:dyDescent="0.25">
      <c r="A6" s="5">
        <v>46149</v>
      </c>
      <c r="B6" s="6" t="s">
        <v>10</v>
      </c>
      <c r="C6" s="3" t="s">
        <v>11</v>
      </c>
      <c r="D6" s="3">
        <v>39</v>
      </c>
      <c r="E6" s="3">
        <v>34</v>
      </c>
      <c r="G6" s="3">
        <v>0</v>
      </c>
      <c r="I6" s="3">
        <f t="shared" si="0"/>
        <v>34</v>
      </c>
      <c r="J6" s="3" t="str">
        <f t="shared" si="1"/>
        <v>28</v>
      </c>
      <c r="K6" s="3">
        <f t="shared" si="2"/>
        <v>6</v>
      </c>
      <c r="L6" s="3" t="str">
        <f t="shared" si="3"/>
        <v>EXCELENTE</v>
      </c>
    </row>
    <row r="7" spans="1:16" hidden="1" x14ac:dyDescent="0.25">
      <c r="A7" s="5">
        <v>46150</v>
      </c>
      <c r="B7" s="6" t="s">
        <v>10</v>
      </c>
      <c r="C7" s="3" t="s">
        <v>11</v>
      </c>
      <c r="D7" s="3">
        <v>34</v>
      </c>
      <c r="E7" s="3">
        <v>30</v>
      </c>
      <c r="G7" s="3">
        <v>4</v>
      </c>
      <c r="H7" s="3">
        <v>0</v>
      </c>
      <c r="I7" s="3">
        <f t="shared" si="0"/>
        <v>34</v>
      </c>
      <c r="J7" s="3" t="str">
        <f t="shared" si="1"/>
        <v>28</v>
      </c>
      <c r="K7" s="3">
        <f t="shared" si="2"/>
        <v>6</v>
      </c>
      <c r="L7" s="3" t="str">
        <f t="shared" si="3"/>
        <v>EXCELENTE</v>
      </c>
    </row>
    <row r="8" spans="1:16" hidden="1" x14ac:dyDescent="0.25">
      <c r="A8" s="5">
        <v>46153</v>
      </c>
      <c r="B8" s="6" t="s">
        <v>10</v>
      </c>
      <c r="C8" s="3" t="s">
        <v>11</v>
      </c>
      <c r="D8" s="3">
        <v>36</v>
      </c>
      <c r="E8" s="3">
        <v>29</v>
      </c>
      <c r="G8" s="3">
        <v>5</v>
      </c>
      <c r="I8" s="3">
        <f t="shared" si="0"/>
        <v>34</v>
      </c>
      <c r="J8" s="3" t="str">
        <f t="shared" si="1"/>
        <v>28</v>
      </c>
      <c r="K8" s="3">
        <f t="shared" si="2"/>
        <v>6</v>
      </c>
      <c r="L8" s="3" t="str">
        <f t="shared" si="3"/>
        <v>EXCELENTE</v>
      </c>
    </row>
    <row r="9" spans="1:16" hidden="1" x14ac:dyDescent="0.25">
      <c r="A9" s="5">
        <v>46154</v>
      </c>
      <c r="B9" s="6" t="s">
        <v>10</v>
      </c>
      <c r="C9" s="3" t="s">
        <v>11</v>
      </c>
      <c r="D9" s="3">
        <v>25</v>
      </c>
      <c r="E9" s="3">
        <v>18</v>
      </c>
      <c r="G9" s="3">
        <v>8</v>
      </c>
      <c r="I9" s="3">
        <f t="shared" si="0"/>
        <v>26</v>
      </c>
      <c r="J9" s="3" t="str">
        <f t="shared" si="1"/>
        <v>28</v>
      </c>
      <c r="K9" s="3">
        <f t="shared" si="2"/>
        <v>-2</v>
      </c>
      <c r="L9" s="3" t="str">
        <f t="shared" si="3"/>
        <v>ATENÇÃO</v>
      </c>
    </row>
    <row r="10" spans="1:16" hidden="1" x14ac:dyDescent="0.25">
      <c r="A10" s="5">
        <v>46155</v>
      </c>
      <c r="B10" s="6" t="s">
        <v>10</v>
      </c>
      <c r="C10" s="3" t="s">
        <v>11</v>
      </c>
      <c r="D10" s="3">
        <v>28</v>
      </c>
      <c r="E10" s="3">
        <v>21</v>
      </c>
      <c r="G10" s="3">
        <v>2</v>
      </c>
      <c r="I10" s="3">
        <f t="shared" si="0"/>
        <v>23</v>
      </c>
      <c r="J10" s="3" t="str">
        <f t="shared" si="1"/>
        <v>28</v>
      </c>
      <c r="K10" s="3">
        <f t="shared" si="2"/>
        <v>-5</v>
      </c>
      <c r="L10" s="3" t="str">
        <f t="shared" si="3"/>
        <v>ATENÇÃO</v>
      </c>
    </row>
    <row r="11" spans="1:16" hidden="1" x14ac:dyDescent="0.25">
      <c r="A11" s="5">
        <v>46156</v>
      </c>
      <c r="B11" s="6" t="s">
        <v>10</v>
      </c>
      <c r="C11" s="3" t="s">
        <v>11</v>
      </c>
      <c r="D11" s="3">
        <v>33</v>
      </c>
      <c r="E11" s="3">
        <v>28</v>
      </c>
      <c r="G11" s="3">
        <v>6</v>
      </c>
      <c r="H11" s="3">
        <v>0</v>
      </c>
      <c r="I11" s="3">
        <f t="shared" si="0"/>
        <v>34</v>
      </c>
      <c r="J11" s="3" t="str">
        <f t="shared" si="1"/>
        <v>28</v>
      </c>
      <c r="K11" s="3">
        <f t="shared" si="2"/>
        <v>6</v>
      </c>
      <c r="L11" s="3" t="str">
        <f t="shared" si="3"/>
        <v>EXCELENTE</v>
      </c>
    </row>
    <row r="12" spans="1:16" hidden="1" x14ac:dyDescent="0.25">
      <c r="A12" s="5">
        <v>46157</v>
      </c>
      <c r="B12" s="6" t="s">
        <v>10</v>
      </c>
      <c r="C12" s="3" t="s">
        <v>11</v>
      </c>
      <c r="D12" s="3">
        <v>20</v>
      </c>
      <c r="E12" s="3">
        <v>19</v>
      </c>
      <c r="G12" s="3">
        <v>1</v>
      </c>
      <c r="H12" s="3">
        <v>0</v>
      </c>
      <c r="I12" s="3">
        <f t="shared" si="0"/>
        <v>20</v>
      </c>
      <c r="J12" s="3" t="str">
        <f t="shared" si="1"/>
        <v>28</v>
      </c>
      <c r="K12" s="3">
        <f t="shared" si="2"/>
        <v>-8</v>
      </c>
      <c r="L12" s="3" t="str">
        <f t="shared" si="3"/>
        <v>CRÍTICO</v>
      </c>
    </row>
    <row r="13" spans="1:16" hidden="1" x14ac:dyDescent="0.25">
      <c r="A13" s="5">
        <v>46160</v>
      </c>
      <c r="B13" s="6" t="s">
        <v>10</v>
      </c>
      <c r="C13" s="3" t="s">
        <v>11</v>
      </c>
      <c r="D13" s="3">
        <v>42</v>
      </c>
      <c r="E13" s="3">
        <v>27</v>
      </c>
      <c r="G13" s="3">
        <v>4</v>
      </c>
      <c r="H13" s="3">
        <v>0</v>
      </c>
      <c r="I13" s="3">
        <f t="shared" si="0"/>
        <v>31</v>
      </c>
      <c r="J13" s="3" t="str">
        <f t="shared" si="1"/>
        <v>28</v>
      </c>
      <c r="K13" s="3">
        <f t="shared" si="2"/>
        <v>3</v>
      </c>
      <c r="L13" s="3" t="str">
        <f t="shared" si="3"/>
        <v>BOM</v>
      </c>
    </row>
    <row r="14" spans="1:16" x14ac:dyDescent="0.25">
      <c r="A14" s="7">
        <v>46161</v>
      </c>
      <c r="B14" s="8" t="s">
        <v>61</v>
      </c>
      <c r="C14" s="9" t="s">
        <v>12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 t="str">
        <f t="shared" si="3"/>
        <v>BOM</v>
      </c>
    </row>
    <row r="15" spans="1:16" hidden="1" x14ac:dyDescent="0.25">
      <c r="A15" s="5">
        <v>46146</v>
      </c>
      <c r="B15" s="6" t="s">
        <v>61</v>
      </c>
      <c r="C15" s="3" t="s">
        <v>12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 t="str">
        <f t="shared" si="3"/>
        <v>BOM</v>
      </c>
    </row>
    <row r="16" spans="1:16" hidden="1" x14ac:dyDescent="0.25">
      <c r="A16" s="5">
        <v>46147</v>
      </c>
      <c r="B16" s="6" t="s">
        <v>61</v>
      </c>
      <c r="C16" s="3" t="s">
        <v>12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 t="str">
        <f t="shared" si="3"/>
        <v>BOM</v>
      </c>
    </row>
    <row r="17" spans="1:12" hidden="1" x14ac:dyDescent="0.25">
      <c r="A17" s="5">
        <v>46148</v>
      </c>
      <c r="B17" s="6" t="s">
        <v>61</v>
      </c>
      <c r="C17" s="3" t="s">
        <v>12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3"/>
        <v>BOM</v>
      </c>
    </row>
    <row r="18" spans="1:12" hidden="1" x14ac:dyDescent="0.25">
      <c r="A18" s="5">
        <v>46149</v>
      </c>
      <c r="B18" s="6" t="s">
        <v>61</v>
      </c>
      <c r="C18" s="3" t="s">
        <v>12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 t="str">
        <f t="shared" si="3"/>
        <v>BOM</v>
      </c>
    </row>
    <row r="19" spans="1:12" hidden="1" x14ac:dyDescent="0.25">
      <c r="A19" s="5">
        <v>46150</v>
      </c>
      <c r="B19" s="6" t="s">
        <v>61</v>
      </c>
      <c r="C19" s="3" t="s">
        <v>12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 t="str">
        <f t="shared" si="3"/>
        <v>BOM</v>
      </c>
    </row>
    <row r="20" spans="1:12" hidden="1" x14ac:dyDescent="0.25">
      <c r="A20" s="5">
        <v>46153</v>
      </c>
      <c r="B20" s="6" t="s">
        <v>61</v>
      </c>
      <c r="C20" s="3" t="s">
        <v>12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 t="str">
        <f t="shared" si="3"/>
        <v>BOM</v>
      </c>
    </row>
    <row r="21" spans="1:12" hidden="1" x14ac:dyDescent="0.25">
      <c r="A21" s="5">
        <v>46154</v>
      </c>
      <c r="B21" s="6" t="s">
        <v>61</v>
      </c>
      <c r="C21" s="3" t="s">
        <v>12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 t="str">
        <f t="shared" si="3"/>
        <v>BOM</v>
      </c>
    </row>
    <row r="22" spans="1:12" hidden="1" x14ac:dyDescent="0.25">
      <c r="A22" s="5">
        <v>46155</v>
      </c>
      <c r="B22" s="6" t="s">
        <v>61</v>
      </c>
      <c r="C22" s="3" t="s">
        <v>12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 t="str">
        <f t="shared" si="3"/>
        <v>BOM</v>
      </c>
    </row>
    <row r="23" spans="1:12" hidden="1" x14ac:dyDescent="0.25">
      <c r="A23" s="5">
        <v>46156</v>
      </c>
      <c r="B23" s="6" t="s">
        <v>61</v>
      </c>
      <c r="C23" s="3" t="s">
        <v>12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 t="str">
        <f t="shared" si="3"/>
        <v>BOM</v>
      </c>
    </row>
    <row r="24" spans="1:12" hidden="1" x14ac:dyDescent="0.25">
      <c r="A24" s="5">
        <v>46157</v>
      </c>
      <c r="B24" s="6" t="s">
        <v>61</v>
      </c>
      <c r="C24" s="3" t="s">
        <v>12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3"/>
        <v>BOM</v>
      </c>
    </row>
    <row r="25" spans="1:12" hidden="1" x14ac:dyDescent="0.25">
      <c r="A25" s="5">
        <v>46160</v>
      </c>
      <c r="B25" s="6" t="s">
        <v>61</v>
      </c>
      <c r="C25" s="3" t="s">
        <v>12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 t="str">
        <f t="shared" si="3"/>
        <v>BOM</v>
      </c>
    </row>
    <row r="26" spans="1:12" x14ac:dyDescent="0.25">
      <c r="A26" s="7">
        <v>46161</v>
      </c>
      <c r="B26" s="8" t="s">
        <v>13</v>
      </c>
      <c r="C26" s="9" t="s">
        <v>14</v>
      </c>
      <c r="D26" s="3">
        <v>30</v>
      </c>
      <c r="E26" s="3">
        <v>29</v>
      </c>
      <c r="G26" s="3">
        <v>1</v>
      </c>
      <c r="H26" s="3">
        <v>0</v>
      </c>
      <c r="I26" s="3">
        <f t="shared" ref="I26:I48" si="4">E26+G26+H26</f>
        <v>30</v>
      </c>
      <c r="J26" s="3" t="str">
        <f t="shared" ref="J26:J48" si="5">IF(C26="Técnico III","35",IF(C26="Técnico II","28",IF(C26="Técnico I","23",IF(C26="JR","20",IF(C26="Estágio","10",)))))</f>
        <v>23</v>
      </c>
      <c r="K26" s="3">
        <f t="shared" ref="K26:K48" si="6">I26-J26</f>
        <v>7</v>
      </c>
      <c r="L26" s="3" t="str">
        <f t="shared" si="3"/>
        <v>EXCELENTE</v>
      </c>
    </row>
    <row r="27" spans="1:12" hidden="1" x14ac:dyDescent="0.25">
      <c r="A27" s="5">
        <v>46146</v>
      </c>
      <c r="B27" s="6" t="s">
        <v>13</v>
      </c>
      <c r="C27" s="3" t="s">
        <v>14</v>
      </c>
      <c r="D27" s="3">
        <v>41</v>
      </c>
      <c r="E27" s="3">
        <v>39</v>
      </c>
      <c r="G27" s="3">
        <v>1</v>
      </c>
      <c r="I27" s="3">
        <f t="shared" si="4"/>
        <v>40</v>
      </c>
      <c r="J27" s="3" t="str">
        <f t="shared" si="5"/>
        <v>23</v>
      </c>
      <c r="K27" s="3">
        <f t="shared" si="6"/>
        <v>17</v>
      </c>
      <c r="L27" s="3" t="str">
        <f t="shared" si="3"/>
        <v>EXCELENTE</v>
      </c>
    </row>
    <row r="28" spans="1:12" hidden="1" x14ac:dyDescent="0.25">
      <c r="A28" s="5">
        <v>46147</v>
      </c>
      <c r="B28" t="s">
        <v>13</v>
      </c>
      <c r="C28" s="3" t="s">
        <v>14</v>
      </c>
      <c r="D28" s="3">
        <v>30</v>
      </c>
      <c r="E28" s="3">
        <v>30</v>
      </c>
      <c r="G28" s="3">
        <v>7</v>
      </c>
      <c r="I28" s="3">
        <f t="shared" si="4"/>
        <v>37</v>
      </c>
      <c r="J28" s="3" t="str">
        <f t="shared" si="5"/>
        <v>23</v>
      </c>
      <c r="K28" s="3">
        <f t="shared" si="6"/>
        <v>14</v>
      </c>
      <c r="L28" s="3" t="str">
        <f t="shared" si="3"/>
        <v>EXCELENTE</v>
      </c>
    </row>
    <row r="29" spans="1:12" hidden="1" x14ac:dyDescent="0.25">
      <c r="A29" s="5">
        <v>46148</v>
      </c>
      <c r="B29" s="6" t="s">
        <v>13</v>
      </c>
      <c r="C29" s="3" t="s">
        <v>14</v>
      </c>
      <c r="D29" s="3">
        <v>50</v>
      </c>
      <c r="E29" s="3">
        <v>43</v>
      </c>
      <c r="G29" s="3">
        <v>6</v>
      </c>
      <c r="I29" s="3">
        <f t="shared" si="4"/>
        <v>49</v>
      </c>
      <c r="J29" s="3" t="str">
        <f t="shared" si="5"/>
        <v>23</v>
      </c>
      <c r="K29" s="3">
        <f t="shared" si="6"/>
        <v>26</v>
      </c>
      <c r="L29" s="3" t="str">
        <f t="shared" si="3"/>
        <v>EXCELENTE</v>
      </c>
    </row>
    <row r="30" spans="1:12" hidden="1" x14ac:dyDescent="0.25">
      <c r="A30" s="5">
        <v>46149</v>
      </c>
      <c r="B30" s="6" t="s">
        <v>13</v>
      </c>
      <c r="C30" s="3" t="s">
        <v>14</v>
      </c>
      <c r="D30" s="3">
        <v>31</v>
      </c>
      <c r="E30" s="3">
        <v>28</v>
      </c>
      <c r="G30" s="3">
        <v>10</v>
      </c>
      <c r="I30" s="3">
        <f t="shared" si="4"/>
        <v>38</v>
      </c>
      <c r="J30" s="3" t="str">
        <f t="shared" si="5"/>
        <v>23</v>
      </c>
      <c r="K30" s="3">
        <f t="shared" si="6"/>
        <v>15</v>
      </c>
      <c r="L30" s="3" t="str">
        <f t="shared" si="3"/>
        <v>EXCELENTE</v>
      </c>
    </row>
    <row r="31" spans="1:12" hidden="1" x14ac:dyDescent="0.25">
      <c r="A31" s="5">
        <v>46150</v>
      </c>
      <c r="B31" s="6" t="s">
        <v>13</v>
      </c>
      <c r="C31" s="3" t="s">
        <v>14</v>
      </c>
      <c r="D31" s="3">
        <v>26</v>
      </c>
      <c r="E31" s="3">
        <v>25</v>
      </c>
      <c r="G31" s="3">
        <v>0</v>
      </c>
      <c r="H31" s="3">
        <v>0</v>
      </c>
      <c r="I31" s="3">
        <f t="shared" si="4"/>
        <v>25</v>
      </c>
      <c r="J31" s="3" t="str">
        <f t="shared" si="5"/>
        <v>23</v>
      </c>
      <c r="K31" s="3">
        <f t="shared" si="6"/>
        <v>2</v>
      </c>
      <c r="L31" s="3" t="str">
        <f t="shared" si="3"/>
        <v>BOM</v>
      </c>
    </row>
    <row r="32" spans="1:12" hidden="1" x14ac:dyDescent="0.25">
      <c r="A32" s="5">
        <v>46153</v>
      </c>
      <c r="B32" s="6" t="s">
        <v>13</v>
      </c>
      <c r="C32" s="3" t="s">
        <v>14</v>
      </c>
      <c r="D32" s="3">
        <v>40</v>
      </c>
      <c r="E32" s="3">
        <v>38</v>
      </c>
      <c r="G32" s="3">
        <v>8</v>
      </c>
      <c r="I32" s="3">
        <f t="shared" si="4"/>
        <v>46</v>
      </c>
      <c r="J32" s="3" t="str">
        <f t="shared" si="5"/>
        <v>23</v>
      </c>
      <c r="K32" s="3">
        <f t="shared" si="6"/>
        <v>23</v>
      </c>
      <c r="L32" s="3" t="str">
        <f t="shared" si="3"/>
        <v>EXCELENTE</v>
      </c>
    </row>
    <row r="33" spans="1:12" hidden="1" x14ac:dyDescent="0.25">
      <c r="A33" s="5">
        <v>46154</v>
      </c>
      <c r="B33" s="6" t="s">
        <v>13</v>
      </c>
      <c r="C33" s="3" t="s">
        <v>14</v>
      </c>
      <c r="D33" s="3">
        <v>31</v>
      </c>
      <c r="E33" s="3">
        <v>29</v>
      </c>
      <c r="G33" s="3">
        <v>2</v>
      </c>
      <c r="I33" s="3">
        <f t="shared" si="4"/>
        <v>31</v>
      </c>
      <c r="J33" s="3" t="str">
        <f t="shared" si="5"/>
        <v>23</v>
      </c>
      <c r="K33" s="3">
        <f t="shared" si="6"/>
        <v>8</v>
      </c>
      <c r="L33" s="3" t="str">
        <f t="shared" si="3"/>
        <v>EXCELENTE</v>
      </c>
    </row>
    <row r="34" spans="1:12" hidden="1" x14ac:dyDescent="0.25">
      <c r="A34" s="5">
        <v>46155</v>
      </c>
      <c r="B34" s="6" t="s">
        <v>13</v>
      </c>
      <c r="C34" s="3" t="s">
        <v>14</v>
      </c>
      <c r="D34" s="3">
        <v>25</v>
      </c>
      <c r="E34" s="3">
        <v>21</v>
      </c>
      <c r="G34" s="3">
        <v>7</v>
      </c>
      <c r="I34" s="3">
        <f t="shared" si="4"/>
        <v>28</v>
      </c>
      <c r="J34" s="3" t="str">
        <f t="shared" si="5"/>
        <v>23</v>
      </c>
      <c r="K34" s="3">
        <f t="shared" si="6"/>
        <v>5</v>
      </c>
      <c r="L34" s="3" t="str">
        <f t="shared" si="3"/>
        <v>BOM</v>
      </c>
    </row>
    <row r="35" spans="1:12" hidden="1" x14ac:dyDescent="0.25">
      <c r="A35" s="5">
        <v>46156</v>
      </c>
      <c r="B35" s="6" t="s">
        <v>13</v>
      </c>
      <c r="C35" s="3" t="s">
        <v>14</v>
      </c>
      <c r="D35" s="3">
        <v>27</v>
      </c>
      <c r="E35" s="3">
        <v>25</v>
      </c>
      <c r="G35" s="3">
        <v>1</v>
      </c>
      <c r="H35" s="3">
        <v>0</v>
      </c>
      <c r="I35" s="3">
        <f t="shared" si="4"/>
        <v>26</v>
      </c>
      <c r="J35" s="3" t="str">
        <f t="shared" si="5"/>
        <v>23</v>
      </c>
      <c r="K35" s="3">
        <f t="shared" si="6"/>
        <v>3</v>
      </c>
      <c r="L35" s="3" t="str">
        <f t="shared" si="3"/>
        <v>BOM</v>
      </c>
    </row>
    <row r="36" spans="1:12" hidden="1" x14ac:dyDescent="0.25">
      <c r="A36" s="5">
        <v>46157</v>
      </c>
      <c r="B36" s="6" t="s">
        <v>13</v>
      </c>
      <c r="C36" s="3" t="s">
        <v>14</v>
      </c>
      <c r="D36" s="3">
        <v>40</v>
      </c>
      <c r="E36" s="3">
        <v>38</v>
      </c>
      <c r="G36" s="3">
        <v>5</v>
      </c>
      <c r="H36" s="3">
        <v>0</v>
      </c>
      <c r="I36" s="3">
        <f t="shared" si="4"/>
        <v>43</v>
      </c>
      <c r="J36" s="3" t="str">
        <f t="shared" si="5"/>
        <v>23</v>
      </c>
      <c r="K36" s="3">
        <f t="shared" si="6"/>
        <v>20</v>
      </c>
      <c r="L36" s="3" t="str">
        <f t="shared" si="3"/>
        <v>EXCELENTE</v>
      </c>
    </row>
    <row r="37" spans="1:12" hidden="1" x14ac:dyDescent="0.25">
      <c r="A37" s="5">
        <v>46160</v>
      </c>
      <c r="B37" s="6" t="s">
        <v>13</v>
      </c>
      <c r="C37" s="3" t="s">
        <v>14</v>
      </c>
      <c r="D37" s="3">
        <v>18</v>
      </c>
      <c r="E37" s="3">
        <v>17</v>
      </c>
      <c r="G37" s="3">
        <v>2</v>
      </c>
      <c r="H37" s="3">
        <v>0</v>
      </c>
      <c r="I37" s="3">
        <f t="shared" si="4"/>
        <v>19</v>
      </c>
      <c r="J37" s="3" t="str">
        <f t="shared" si="5"/>
        <v>23</v>
      </c>
      <c r="K37" s="3">
        <f t="shared" si="6"/>
        <v>-4</v>
      </c>
      <c r="L37" s="3" t="str">
        <f t="shared" si="3"/>
        <v>ATENÇÃO</v>
      </c>
    </row>
    <row r="38" spans="1:12" x14ac:dyDescent="0.25">
      <c r="A38" s="7">
        <v>46161</v>
      </c>
      <c r="B38" s="8" t="s">
        <v>15</v>
      </c>
      <c r="C38" s="9" t="s">
        <v>12</v>
      </c>
      <c r="D38" s="3">
        <v>22</v>
      </c>
      <c r="E38" s="3">
        <v>19</v>
      </c>
      <c r="G38" s="3">
        <v>1</v>
      </c>
      <c r="H38" s="3">
        <v>0</v>
      </c>
      <c r="I38" s="3">
        <f t="shared" si="4"/>
        <v>20</v>
      </c>
      <c r="J38" s="3" t="str">
        <f t="shared" si="5"/>
        <v>35</v>
      </c>
      <c r="K38" s="3">
        <f t="shared" si="6"/>
        <v>-15</v>
      </c>
      <c r="L38" s="3" t="str">
        <f t="shared" si="3"/>
        <v>CRÍTICO</v>
      </c>
    </row>
    <row r="39" spans="1:12" hidden="1" x14ac:dyDescent="0.25">
      <c r="A39" s="5">
        <v>46146</v>
      </c>
      <c r="B39" s="6" t="s">
        <v>15</v>
      </c>
      <c r="C39" s="9" t="s">
        <v>12</v>
      </c>
      <c r="D39" s="3">
        <v>30</v>
      </c>
      <c r="E39" s="3">
        <v>27</v>
      </c>
      <c r="G39" s="3">
        <v>0</v>
      </c>
      <c r="I39" s="3">
        <f t="shared" si="4"/>
        <v>27</v>
      </c>
      <c r="J39" s="3" t="str">
        <f t="shared" si="5"/>
        <v>35</v>
      </c>
      <c r="K39" s="3">
        <f t="shared" si="6"/>
        <v>-8</v>
      </c>
      <c r="L39" s="3" t="str">
        <f t="shared" si="3"/>
        <v>CRÍTICO</v>
      </c>
    </row>
    <row r="40" spans="1:12" hidden="1" x14ac:dyDescent="0.25">
      <c r="A40" s="5">
        <v>46147</v>
      </c>
      <c r="B40" s="6" t="s">
        <v>15</v>
      </c>
      <c r="C40" s="9" t="s">
        <v>12</v>
      </c>
      <c r="D40" s="3">
        <v>30</v>
      </c>
      <c r="E40" s="3">
        <v>28</v>
      </c>
      <c r="G40" s="3">
        <v>0</v>
      </c>
      <c r="I40" s="3">
        <f t="shared" si="4"/>
        <v>28</v>
      </c>
      <c r="J40" s="3" t="str">
        <f t="shared" si="5"/>
        <v>35</v>
      </c>
      <c r="K40" s="3">
        <f t="shared" si="6"/>
        <v>-7</v>
      </c>
      <c r="L40" s="3" t="str">
        <f t="shared" si="3"/>
        <v>CRÍTICO</v>
      </c>
    </row>
    <row r="41" spans="1:12" hidden="1" x14ac:dyDescent="0.25">
      <c r="A41" s="5">
        <v>46148</v>
      </c>
      <c r="B41" s="6" t="s">
        <v>15</v>
      </c>
      <c r="C41" s="9" t="s">
        <v>12</v>
      </c>
      <c r="D41" s="3">
        <v>22</v>
      </c>
      <c r="E41" s="3">
        <v>20</v>
      </c>
      <c r="G41" s="3">
        <v>12</v>
      </c>
      <c r="I41" s="3">
        <f t="shared" si="4"/>
        <v>32</v>
      </c>
      <c r="J41" s="3" t="str">
        <f t="shared" si="5"/>
        <v>35</v>
      </c>
      <c r="K41" s="3">
        <f t="shared" si="6"/>
        <v>-3</v>
      </c>
      <c r="L41" s="3" t="str">
        <f t="shared" si="3"/>
        <v>ATENÇÃO</v>
      </c>
    </row>
    <row r="42" spans="1:12" hidden="1" x14ac:dyDescent="0.25">
      <c r="A42" s="5">
        <v>46149</v>
      </c>
      <c r="B42" s="6" t="s">
        <v>15</v>
      </c>
      <c r="C42" s="9" t="s">
        <v>12</v>
      </c>
      <c r="D42" s="3">
        <v>32</v>
      </c>
      <c r="E42" s="3">
        <v>32</v>
      </c>
      <c r="G42" s="3">
        <v>0</v>
      </c>
      <c r="I42" s="3">
        <f t="shared" si="4"/>
        <v>32</v>
      </c>
      <c r="J42" s="3" t="str">
        <f t="shared" si="5"/>
        <v>35</v>
      </c>
      <c r="K42" s="3">
        <f t="shared" si="6"/>
        <v>-3</v>
      </c>
      <c r="L42" s="3" t="str">
        <f t="shared" si="3"/>
        <v>ATENÇÃO</v>
      </c>
    </row>
    <row r="43" spans="1:12" hidden="1" x14ac:dyDescent="0.25">
      <c r="A43" s="5">
        <v>46150</v>
      </c>
      <c r="B43" s="6" t="s">
        <v>15</v>
      </c>
      <c r="C43" s="9" t="s">
        <v>12</v>
      </c>
      <c r="D43" s="3">
        <v>22</v>
      </c>
      <c r="E43" s="3">
        <v>21</v>
      </c>
      <c r="G43" s="3">
        <v>3</v>
      </c>
      <c r="H43" s="3">
        <v>0</v>
      </c>
      <c r="I43" s="3">
        <f t="shared" si="4"/>
        <v>24</v>
      </c>
      <c r="J43" s="3" t="str">
        <f t="shared" si="5"/>
        <v>35</v>
      </c>
      <c r="K43" s="3">
        <f t="shared" si="6"/>
        <v>-11</v>
      </c>
      <c r="L43" s="3" t="str">
        <f t="shared" si="3"/>
        <v>CRÍTICO</v>
      </c>
    </row>
    <row r="44" spans="1:12" hidden="1" x14ac:dyDescent="0.25">
      <c r="A44" s="5">
        <v>46153</v>
      </c>
      <c r="B44" s="6" t="s">
        <v>15</v>
      </c>
      <c r="C44" s="9" t="s">
        <v>12</v>
      </c>
      <c r="D44" s="3">
        <v>18</v>
      </c>
      <c r="E44" s="3">
        <v>16</v>
      </c>
      <c r="I44" s="3">
        <f t="shared" si="4"/>
        <v>16</v>
      </c>
      <c r="J44" s="3" t="str">
        <f t="shared" si="5"/>
        <v>35</v>
      </c>
      <c r="K44" s="3">
        <f t="shared" si="6"/>
        <v>-19</v>
      </c>
      <c r="L44" s="3" t="str">
        <f t="shared" si="3"/>
        <v>CRÍTICO</v>
      </c>
    </row>
    <row r="45" spans="1:12" hidden="1" x14ac:dyDescent="0.25">
      <c r="A45" s="5">
        <v>46154</v>
      </c>
      <c r="B45" s="6" t="s">
        <v>15</v>
      </c>
      <c r="C45" s="9" t="s">
        <v>12</v>
      </c>
      <c r="D45" s="3">
        <v>28</v>
      </c>
      <c r="E45" s="3">
        <v>24</v>
      </c>
      <c r="G45" s="3">
        <v>4</v>
      </c>
      <c r="I45" s="3">
        <f t="shared" si="4"/>
        <v>28</v>
      </c>
      <c r="J45" s="3" t="str">
        <f t="shared" si="5"/>
        <v>35</v>
      </c>
      <c r="K45" s="3">
        <f t="shared" si="6"/>
        <v>-7</v>
      </c>
      <c r="L45" s="3" t="str">
        <f t="shared" si="3"/>
        <v>CRÍTICO</v>
      </c>
    </row>
    <row r="46" spans="1:12" hidden="1" x14ac:dyDescent="0.25">
      <c r="A46" s="5">
        <v>46155</v>
      </c>
      <c r="B46" s="6" t="s">
        <v>15</v>
      </c>
      <c r="C46" s="9" t="s">
        <v>12</v>
      </c>
      <c r="D46" s="3">
        <v>26</v>
      </c>
      <c r="E46" s="3">
        <v>23</v>
      </c>
      <c r="I46" s="3">
        <f t="shared" si="4"/>
        <v>23</v>
      </c>
      <c r="J46" s="3" t="str">
        <f t="shared" si="5"/>
        <v>35</v>
      </c>
      <c r="K46" s="3">
        <f t="shared" si="6"/>
        <v>-12</v>
      </c>
      <c r="L46" s="3" t="str">
        <f t="shared" si="3"/>
        <v>CRÍTICO</v>
      </c>
    </row>
    <row r="47" spans="1:12" hidden="1" x14ac:dyDescent="0.25">
      <c r="A47" s="5">
        <v>46156</v>
      </c>
      <c r="B47" s="6" t="s">
        <v>15</v>
      </c>
      <c r="C47" s="9" t="s">
        <v>12</v>
      </c>
      <c r="D47" s="3">
        <v>25</v>
      </c>
      <c r="E47" s="3">
        <v>25</v>
      </c>
      <c r="G47" s="3">
        <v>5</v>
      </c>
      <c r="H47" s="3">
        <v>0</v>
      </c>
      <c r="I47" s="3">
        <f t="shared" si="4"/>
        <v>30</v>
      </c>
      <c r="J47" s="3" t="str">
        <f t="shared" si="5"/>
        <v>35</v>
      </c>
      <c r="K47" s="3">
        <f t="shared" si="6"/>
        <v>-5</v>
      </c>
      <c r="L47" s="3" t="str">
        <f t="shared" si="3"/>
        <v>ATENÇÃO</v>
      </c>
    </row>
    <row r="48" spans="1:12" hidden="1" x14ac:dyDescent="0.25">
      <c r="A48" s="5">
        <v>46157</v>
      </c>
      <c r="B48" s="6" t="s">
        <v>15</v>
      </c>
      <c r="C48" s="9" t="s">
        <v>12</v>
      </c>
      <c r="D48" s="3">
        <v>29</v>
      </c>
      <c r="E48" s="3">
        <v>28</v>
      </c>
      <c r="G48" s="3">
        <v>3</v>
      </c>
      <c r="H48" s="3">
        <v>0</v>
      </c>
      <c r="I48" s="3">
        <f t="shared" si="4"/>
        <v>31</v>
      </c>
      <c r="J48" s="3" t="str">
        <f t="shared" si="5"/>
        <v>35</v>
      </c>
      <c r="K48" s="3">
        <f t="shared" si="6"/>
        <v>-4</v>
      </c>
      <c r="L48" s="3" t="str">
        <f t="shared" si="3"/>
        <v>ATENÇÃO</v>
      </c>
    </row>
    <row r="49" spans="1:12" hidden="1" x14ac:dyDescent="0.25">
      <c r="A49" s="5">
        <v>46160</v>
      </c>
      <c r="B49" s="6" t="s">
        <v>15</v>
      </c>
      <c r="C49" s="9" t="s">
        <v>12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 t="str">
        <f t="shared" si="3"/>
        <v>BOM</v>
      </c>
    </row>
    <row r="50" spans="1:12" x14ac:dyDescent="0.25">
      <c r="A50" s="7">
        <v>46161</v>
      </c>
      <c r="B50" s="8" t="s">
        <v>16</v>
      </c>
      <c r="C50" s="9" t="s">
        <v>36</v>
      </c>
      <c r="D50" s="3">
        <v>30</v>
      </c>
      <c r="E50" s="3">
        <v>29</v>
      </c>
      <c r="G50" s="3">
        <v>0</v>
      </c>
      <c r="H50" s="3">
        <v>0</v>
      </c>
      <c r="I50" s="3">
        <f t="shared" ref="I50:I81" si="7">E50+G50+H50</f>
        <v>29</v>
      </c>
      <c r="J50" s="3" t="str">
        <f t="shared" ref="J50:J81" si="8">IF(C50="Técnico III","35",IF(C50="Técnico II","28",IF(C50="Técnico I","23",IF(C50="JR","20",IF(C50="Estágio","10",)))))</f>
        <v>20</v>
      </c>
      <c r="K50" s="3">
        <f t="shared" ref="K50:K81" si="9">I50-J50</f>
        <v>9</v>
      </c>
      <c r="L50" s="3" t="str">
        <f t="shared" si="3"/>
        <v>EXCELENTE</v>
      </c>
    </row>
    <row r="51" spans="1:12" hidden="1" x14ac:dyDescent="0.25">
      <c r="A51" s="5">
        <v>46146</v>
      </c>
      <c r="B51" s="6" t="s">
        <v>16</v>
      </c>
      <c r="C51" s="3" t="s">
        <v>17</v>
      </c>
      <c r="D51" s="3">
        <v>48</v>
      </c>
      <c r="E51" s="3">
        <v>36</v>
      </c>
      <c r="G51" s="3">
        <v>0</v>
      </c>
      <c r="H51" s="3">
        <v>0</v>
      </c>
      <c r="I51" s="3">
        <f t="shared" si="7"/>
        <v>36</v>
      </c>
      <c r="J51" s="3" t="str">
        <f t="shared" si="8"/>
        <v>10</v>
      </c>
      <c r="K51" s="3">
        <f t="shared" si="9"/>
        <v>26</v>
      </c>
      <c r="L51" s="3" t="str">
        <f t="shared" si="3"/>
        <v>EXCELENTE</v>
      </c>
    </row>
    <row r="52" spans="1:12" hidden="1" x14ac:dyDescent="0.25">
      <c r="A52" s="5">
        <v>46147</v>
      </c>
      <c r="B52" s="6" t="s">
        <v>16</v>
      </c>
      <c r="C52" s="3" t="s">
        <v>17</v>
      </c>
      <c r="D52" s="3">
        <v>36</v>
      </c>
      <c r="E52" s="3">
        <v>35</v>
      </c>
      <c r="G52" s="3">
        <v>0</v>
      </c>
      <c r="H52" s="3">
        <v>0</v>
      </c>
      <c r="I52" s="3">
        <f t="shared" si="7"/>
        <v>35</v>
      </c>
      <c r="J52" s="3" t="str">
        <f t="shared" si="8"/>
        <v>10</v>
      </c>
      <c r="K52" s="3">
        <f t="shared" si="9"/>
        <v>25</v>
      </c>
      <c r="L52" s="3" t="str">
        <f t="shared" si="3"/>
        <v>EXCELENTE</v>
      </c>
    </row>
    <row r="53" spans="1:12" hidden="1" x14ac:dyDescent="0.25">
      <c r="A53" s="5">
        <v>46148</v>
      </c>
      <c r="B53" s="6" t="s">
        <v>16</v>
      </c>
      <c r="C53" s="3" t="s">
        <v>17</v>
      </c>
      <c r="D53" s="3">
        <v>27</v>
      </c>
      <c r="E53" s="3">
        <v>26</v>
      </c>
      <c r="G53" s="3">
        <v>0</v>
      </c>
      <c r="H53" s="3">
        <v>0</v>
      </c>
      <c r="I53" s="3">
        <f t="shared" si="7"/>
        <v>26</v>
      </c>
      <c r="J53" s="3" t="str">
        <f t="shared" si="8"/>
        <v>10</v>
      </c>
      <c r="K53" s="3">
        <f t="shared" si="9"/>
        <v>16</v>
      </c>
      <c r="L53" s="3" t="str">
        <f t="shared" si="3"/>
        <v>EXCELENTE</v>
      </c>
    </row>
    <row r="54" spans="1:12" hidden="1" x14ac:dyDescent="0.25">
      <c r="A54" s="5">
        <v>46149</v>
      </c>
      <c r="B54" s="6" t="s">
        <v>16</v>
      </c>
      <c r="C54" s="3" t="s">
        <v>17</v>
      </c>
      <c r="D54" s="3">
        <v>33</v>
      </c>
      <c r="E54" s="3">
        <v>32</v>
      </c>
      <c r="G54" s="3">
        <v>0</v>
      </c>
      <c r="H54" s="3">
        <v>0</v>
      </c>
      <c r="I54" s="3">
        <f t="shared" si="7"/>
        <v>32</v>
      </c>
      <c r="J54" s="3" t="str">
        <f t="shared" si="8"/>
        <v>10</v>
      </c>
      <c r="K54" s="3">
        <f t="shared" si="9"/>
        <v>22</v>
      </c>
      <c r="L54" s="3" t="str">
        <f t="shared" si="3"/>
        <v>EXCELENTE</v>
      </c>
    </row>
    <row r="55" spans="1:12" hidden="1" x14ac:dyDescent="0.25">
      <c r="A55" s="5">
        <v>46150</v>
      </c>
      <c r="B55" s="6" t="s">
        <v>16</v>
      </c>
      <c r="C55" s="3" t="s">
        <v>17</v>
      </c>
      <c r="D55" s="3">
        <v>38</v>
      </c>
      <c r="E55" s="3">
        <v>35</v>
      </c>
      <c r="G55" s="3">
        <v>0</v>
      </c>
      <c r="H55" s="3">
        <v>0</v>
      </c>
      <c r="I55" s="3">
        <f t="shared" si="7"/>
        <v>35</v>
      </c>
      <c r="J55" s="3" t="str">
        <f t="shared" si="8"/>
        <v>10</v>
      </c>
      <c r="K55" s="3">
        <f t="shared" si="9"/>
        <v>25</v>
      </c>
      <c r="L55" s="3" t="str">
        <f t="shared" si="3"/>
        <v>EXCELENTE</v>
      </c>
    </row>
    <row r="56" spans="1:12" hidden="1" x14ac:dyDescent="0.25">
      <c r="A56" s="5">
        <v>46153</v>
      </c>
      <c r="B56" s="6" t="s">
        <v>16</v>
      </c>
      <c r="C56" s="3" t="s">
        <v>17</v>
      </c>
      <c r="D56" s="3">
        <v>32</v>
      </c>
      <c r="E56" s="3">
        <v>32</v>
      </c>
      <c r="G56" s="3">
        <v>0</v>
      </c>
      <c r="H56" s="3">
        <v>0</v>
      </c>
      <c r="I56" s="3">
        <f t="shared" si="7"/>
        <v>32</v>
      </c>
      <c r="J56" s="3" t="str">
        <f t="shared" si="8"/>
        <v>10</v>
      </c>
      <c r="K56" s="3">
        <f t="shared" si="9"/>
        <v>22</v>
      </c>
      <c r="L56" s="3" t="str">
        <f t="shared" si="3"/>
        <v>EXCELENTE</v>
      </c>
    </row>
    <row r="57" spans="1:12" hidden="1" x14ac:dyDescent="0.25">
      <c r="A57" s="5">
        <v>46154</v>
      </c>
      <c r="B57" s="6" t="s">
        <v>16</v>
      </c>
      <c r="C57" s="3" t="s">
        <v>17</v>
      </c>
      <c r="D57" s="3">
        <v>25</v>
      </c>
      <c r="E57" s="3">
        <v>25</v>
      </c>
      <c r="I57" s="3">
        <f t="shared" si="7"/>
        <v>25</v>
      </c>
      <c r="J57" s="3" t="str">
        <f t="shared" si="8"/>
        <v>10</v>
      </c>
      <c r="K57" s="3">
        <f t="shared" si="9"/>
        <v>15</v>
      </c>
      <c r="L57" s="3" t="str">
        <f t="shared" si="3"/>
        <v>EXCELENTE</v>
      </c>
    </row>
    <row r="58" spans="1:12" hidden="1" x14ac:dyDescent="0.25">
      <c r="A58" s="5">
        <v>46155</v>
      </c>
      <c r="B58" s="6" t="s">
        <v>16</v>
      </c>
      <c r="C58" s="3" t="s">
        <v>17</v>
      </c>
      <c r="D58" s="3">
        <v>23</v>
      </c>
      <c r="E58" s="3">
        <v>23</v>
      </c>
      <c r="G58" s="3">
        <v>0</v>
      </c>
      <c r="H58" s="3">
        <v>0</v>
      </c>
      <c r="I58" s="3">
        <f t="shared" si="7"/>
        <v>23</v>
      </c>
      <c r="J58" s="3" t="str">
        <f t="shared" si="8"/>
        <v>10</v>
      </c>
      <c r="K58" s="3">
        <f t="shared" si="9"/>
        <v>13</v>
      </c>
      <c r="L58" s="3" t="str">
        <f t="shared" si="3"/>
        <v>EXCELENTE</v>
      </c>
    </row>
    <row r="59" spans="1:12" hidden="1" x14ac:dyDescent="0.25">
      <c r="A59" s="5">
        <v>46156</v>
      </c>
      <c r="B59" s="6" t="s">
        <v>16</v>
      </c>
      <c r="C59" s="3" t="s">
        <v>17</v>
      </c>
      <c r="D59" s="3">
        <v>31</v>
      </c>
      <c r="E59" s="3">
        <v>29</v>
      </c>
      <c r="G59" s="3">
        <v>0</v>
      </c>
      <c r="H59" s="3">
        <v>0</v>
      </c>
      <c r="I59" s="3">
        <f t="shared" si="7"/>
        <v>29</v>
      </c>
      <c r="J59" s="3" t="str">
        <f t="shared" si="8"/>
        <v>10</v>
      </c>
      <c r="K59" s="3">
        <f t="shared" si="9"/>
        <v>19</v>
      </c>
      <c r="L59" s="3" t="str">
        <f t="shared" si="3"/>
        <v>EXCELENTE</v>
      </c>
    </row>
    <row r="60" spans="1:12" hidden="1" x14ac:dyDescent="0.25">
      <c r="A60" s="5">
        <v>46157</v>
      </c>
      <c r="B60" s="6" t="s">
        <v>16</v>
      </c>
      <c r="C60" s="3" t="s">
        <v>17</v>
      </c>
      <c r="D60" s="3">
        <v>42</v>
      </c>
      <c r="E60" s="3">
        <v>40</v>
      </c>
      <c r="G60" s="3">
        <v>0</v>
      </c>
      <c r="H60" s="3">
        <v>0</v>
      </c>
      <c r="I60" s="3">
        <f t="shared" si="7"/>
        <v>40</v>
      </c>
      <c r="J60" s="3" t="str">
        <f t="shared" si="8"/>
        <v>10</v>
      </c>
      <c r="K60" s="3">
        <f t="shared" si="9"/>
        <v>30</v>
      </c>
      <c r="L60" s="3" t="str">
        <f t="shared" si="3"/>
        <v>EXCELENTE</v>
      </c>
    </row>
    <row r="61" spans="1:12" hidden="1" x14ac:dyDescent="0.25">
      <c r="A61" s="5">
        <v>46160</v>
      </c>
      <c r="B61" s="6" t="s">
        <v>16</v>
      </c>
      <c r="C61" s="3" t="s">
        <v>36</v>
      </c>
      <c r="D61" s="3">
        <v>28</v>
      </c>
      <c r="E61" s="3">
        <v>27</v>
      </c>
      <c r="G61" s="3">
        <v>0</v>
      </c>
      <c r="H61" s="3">
        <v>0</v>
      </c>
      <c r="I61" s="3">
        <f t="shared" si="7"/>
        <v>27</v>
      </c>
      <c r="J61" s="3" t="str">
        <f t="shared" si="8"/>
        <v>20</v>
      </c>
      <c r="K61" s="3">
        <f t="shared" si="9"/>
        <v>7</v>
      </c>
      <c r="L61" s="3" t="str">
        <f t="shared" si="3"/>
        <v>EXCELENTE</v>
      </c>
    </row>
    <row r="62" spans="1:12" x14ac:dyDescent="0.25">
      <c r="A62" s="7">
        <v>46161</v>
      </c>
      <c r="B62" s="8" t="s">
        <v>18</v>
      </c>
      <c r="C62" s="9" t="s">
        <v>11</v>
      </c>
      <c r="D62" s="3">
        <v>33</v>
      </c>
      <c r="E62" s="3">
        <v>31</v>
      </c>
      <c r="G62" s="3">
        <v>3</v>
      </c>
      <c r="H62" s="3">
        <v>0</v>
      </c>
      <c r="I62" s="3">
        <f t="shared" si="7"/>
        <v>34</v>
      </c>
      <c r="J62" s="3" t="str">
        <f t="shared" si="8"/>
        <v>28</v>
      </c>
      <c r="K62" s="3">
        <f t="shared" si="9"/>
        <v>6</v>
      </c>
      <c r="L62" s="3" t="str">
        <f t="shared" si="3"/>
        <v>EXCELENTE</v>
      </c>
    </row>
    <row r="63" spans="1:12" hidden="1" x14ac:dyDescent="0.25">
      <c r="A63" s="5">
        <v>46146</v>
      </c>
      <c r="B63" s="6" t="s">
        <v>18</v>
      </c>
      <c r="C63" s="3" t="s">
        <v>11</v>
      </c>
      <c r="D63" s="3">
        <v>41</v>
      </c>
      <c r="E63" s="3">
        <v>38</v>
      </c>
      <c r="G63" s="3">
        <v>5</v>
      </c>
      <c r="I63" s="3">
        <f t="shared" si="7"/>
        <v>43</v>
      </c>
      <c r="J63" s="3" t="str">
        <f t="shared" si="8"/>
        <v>28</v>
      </c>
      <c r="K63" s="3">
        <f t="shared" si="9"/>
        <v>15</v>
      </c>
      <c r="L63" s="3" t="str">
        <f t="shared" si="3"/>
        <v>EXCELENTE</v>
      </c>
    </row>
    <row r="64" spans="1:12" hidden="1" x14ac:dyDescent="0.25">
      <c r="A64" s="5">
        <v>46147</v>
      </c>
      <c r="B64" s="6" t="s">
        <v>18</v>
      </c>
      <c r="C64" s="3" t="s">
        <v>11</v>
      </c>
      <c r="D64" s="3">
        <v>45</v>
      </c>
      <c r="E64" s="3">
        <v>37</v>
      </c>
      <c r="G64" s="3">
        <v>6</v>
      </c>
      <c r="I64" s="3">
        <f t="shared" si="7"/>
        <v>43</v>
      </c>
      <c r="J64" s="3" t="str">
        <f t="shared" si="8"/>
        <v>28</v>
      </c>
      <c r="K64" s="3">
        <f t="shared" si="9"/>
        <v>15</v>
      </c>
      <c r="L64" s="3" t="str">
        <f t="shared" si="3"/>
        <v>EXCELENTE</v>
      </c>
    </row>
    <row r="65" spans="1:12" hidden="1" x14ac:dyDescent="0.25">
      <c r="A65" s="5">
        <v>46148</v>
      </c>
      <c r="B65" s="6" t="s">
        <v>18</v>
      </c>
      <c r="C65" s="3" t="s">
        <v>11</v>
      </c>
      <c r="D65" s="3">
        <v>31</v>
      </c>
      <c r="E65" s="3">
        <v>28</v>
      </c>
      <c r="G65" s="3">
        <v>9</v>
      </c>
      <c r="I65" s="3">
        <f t="shared" si="7"/>
        <v>37</v>
      </c>
      <c r="J65" s="3" t="str">
        <f t="shared" si="8"/>
        <v>28</v>
      </c>
      <c r="K65" s="3">
        <f t="shared" si="9"/>
        <v>9</v>
      </c>
      <c r="L65" s="3" t="str">
        <f t="shared" si="3"/>
        <v>EXCELENTE</v>
      </c>
    </row>
    <row r="66" spans="1:12" hidden="1" x14ac:dyDescent="0.25">
      <c r="A66" s="5">
        <v>46149</v>
      </c>
      <c r="B66" s="6" t="s">
        <v>18</v>
      </c>
      <c r="C66" s="3" t="s">
        <v>11</v>
      </c>
      <c r="D66" s="3">
        <v>33</v>
      </c>
      <c r="E66" s="3">
        <v>29</v>
      </c>
      <c r="G66" s="3">
        <v>5</v>
      </c>
      <c r="I66" s="3">
        <f t="shared" si="7"/>
        <v>34</v>
      </c>
      <c r="J66" s="3" t="str">
        <f t="shared" si="8"/>
        <v>28</v>
      </c>
      <c r="K66" s="3">
        <f t="shared" si="9"/>
        <v>6</v>
      </c>
      <c r="L66" s="3" t="str">
        <f t="shared" ref="L66:L129" si="10">IF(K66&lt;-5,"CRÍTICO",IF(K66&lt;0,"ATENÇÃO",IF(K66&lt;=5,"BOM","EXCELENTE")))</f>
        <v>EXCELENTE</v>
      </c>
    </row>
    <row r="67" spans="1:12" hidden="1" x14ac:dyDescent="0.25">
      <c r="A67" s="5">
        <v>46150</v>
      </c>
      <c r="B67" s="6" t="s">
        <v>18</v>
      </c>
      <c r="C67" s="3" t="s">
        <v>11</v>
      </c>
      <c r="D67" s="3">
        <v>31</v>
      </c>
      <c r="E67" s="3">
        <v>28</v>
      </c>
      <c r="G67" s="3">
        <v>4</v>
      </c>
      <c r="H67" s="3">
        <v>0</v>
      </c>
      <c r="I67" s="3">
        <f t="shared" si="7"/>
        <v>32</v>
      </c>
      <c r="J67" s="3" t="str">
        <f t="shared" si="8"/>
        <v>28</v>
      </c>
      <c r="K67" s="3">
        <f t="shared" si="9"/>
        <v>4</v>
      </c>
      <c r="L67" s="3" t="str">
        <f t="shared" si="10"/>
        <v>BOM</v>
      </c>
    </row>
    <row r="68" spans="1:12" hidden="1" x14ac:dyDescent="0.25">
      <c r="A68" s="5">
        <v>46153</v>
      </c>
      <c r="B68" s="6" t="s">
        <v>18</v>
      </c>
      <c r="C68" s="3" t="s">
        <v>11</v>
      </c>
      <c r="D68" s="3">
        <v>31</v>
      </c>
      <c r="E68" s="3">
        <v>29</v>
      </c>
      <c r="G68" s="3">
        <v>1</v>
      </c>
      <c r="I68" s="3">
        <f t="shared" si="7"/>
        <v>30</v>
      </c>
      <c r="J68" s="3" t="str">
        <f t="shared" si="8"/>
        <v>28</v>
      </c>
      <c r="K68" s="3">
        <f t="shared" si="9"/>
        <v>2</v>
      </c>
      <c r="L68" s="3" t="str">
        <f t="shared" si="10"/>
        <v>BOM</v>
      </c>
    </row>
    <row r="69" spans="1:12" hidden="1" x14ac:dyDescent="0.25">
      <c r="A69" s="5">
        <v>46154</v>
      </c>
      <c r="B69" s="6" t="s">
        <v>18</v>
      </c>
      <c r="C69" s="3" t="s">
        <v>11</v>
      </c>
      <c r="D69" s="3">
        <v>38</v>
      </c>
      <c r="E69" s="3">
        <v>35</v>
      </c>
      <c r="G69" s="3">
        <v>3</v>
      </c>
      <c r="I69" s="3">
        <f t="shared" si="7"/>
        <v>38</v>
      </c>
      <c r="J69" s="3" t="str">
        <f t="shared" si="8"/>
        <v>28</v>
      </c>
      <c r="K69" s="3">
        <f t="shared" si="9"/>
        <v>10</v>
      </c>
      <c r="L69" s="3" t="str">
        <f t="shared" si="10"/>
        <v>EXCELENTE</v>
      </c>
    </row>
    <row r="70" spans="1:12" hidden="1" x14ac:dyDescent="0.25">
      <c r="A70" s="5">
        <v>46155</v>
      </c>
      <c r="B70" s="6" t="s">
        <v>18</v>
      </c>
      <c r="C70" s="3" t="s">
        <v>11</v>
      </c>
      <c r="D70" s="3">
        <v>33</v>
      </c>
      <c r="E70" s="3">
        <v>29</v>
      </c>
      <c r="G70" s="3">
        <v>1</v>
      </c>
      <c r="I70" s="3">
        <f t="shared" si="7"/>
        <v>30</v>
      </c>
      <c r="J70" s="3" t="str">
        <f t="shared" si="8"/>
        <v>28</v>
      </c>
      <c r="K70" s="3">
        <f t="shared" si="9"/>
        <v>2</v>
      </c>
      <c r="L70" s="3" t="str">
        <f t="shared" si="10"/>
        <v>BOM</v>
      </c>
    </row>
    <row r="71" spans="1:12" hidden="1" x14ac:dyDescent="0.25">
      <c r="A71" s="5">
        <v>46156</v>
      </c>
      <c r="B71" s="6" t="s">
        <v>18</v>
      </c>
      <c r="C71" s="3" t="s">
        <v>11</v>
      </c>
      <c r="D71" s="3">
        <v>29</v>
      </c>
      <c r="E71" s="3">
        <v>29</v>
      </c>
      <c r="G71" s="3">
        <v>4</v>
      </c>
      <c r="H71" s="3">
        <v>0</v>
      </c>
      <c r="I71" s="3">
        <f t="shared" si="7"/>
        <v>33</v>
      </c>
      <c r="J71" s="3" t="str">
        <f t="shared" si="8"/>
        <v>28</v>
      </c>
      <c r="K71" s="3">
        <f t="shared" si="9"/>
        <v>5</v>
      </c>
      <c r="L71" s="3" t="str">
        <f t="shared" si="10"/>
        <v>BOM</v>
      </c>
    </row>
    <row r="72" spans="1:12" hidden="1" x14ac:dyDescent="0.25">
      <c r="A72" s="5">
        <v>46157</v>
      </c>
      <c r="B72" s="6" t="s">
        <v>18</v>
      </c>
      <c r="C72" s="3" t="s">
        <v>11</v>
      </c>
      <c r="D72" s="3">
        <v>20</v>
      </c>
      <c r="E72" s="3">
        <v>19</v>
      </c>
      <c r="G72" s="3">
        <v>2</v>
      </c>
      <c r="H72" s="3">
        <v>0</v>
      </c>
      <c r="I72" s="3">
        <f t="shared" si="7"/>
        <v>21</v>
      </c>
      <c r="J72" s="3" t="str">
        <f t="shared" si="8"/>
        <v>28</v>
      </c>
      <c r="K72" s="3">
        <f t="shared" si="9"/>
        <v>-7</v>
      </c>
      <c r="L72" s="3" t="str">
        <f t="shared" si="10"/>
        <v>CRÍTICO</v>
      </c>
    </row>
    <row r="73" spans="1:12" hidden="1" x14ac:dyDescent="0.25">
      <c r="A73" s="5">
        <v>46160</v>
      </c>
      <c r="B73" s="6" t="s">
        <v>18</v>
      </c>
      <c r="C73" s="3" t="s">
        <v>11</v>
      </c>
      <c r="D73" s="3">
        <v>46</v>
      </c>
      <c r="E73" s="3">
        <v>39</v>
      </c>
      <c r="G73" s="3">
        <v>7</v>
      </c>
      <c r="H73" s="3">
        <v>0</v>
      </c>
      <c r="I73" s="3">
        <f t="shared" si="7"/>
        <v>46</v>
      </c>
      <c r="J73" s="3" t="str">
        <f t="shared" si="8"/>
        <v>28</v>
      </c>
      <c r="K73" s="3">
        <f t="shared" si="9"/>
        <v>18</v>
      </c>
      <c r="L73" s="3" t="str">
        <f t="shared" si="10"/>
        <v>EXCELENTE</v>
      </c>
    </row>
    <row r="74" spans="1:12" x14ac:dyDescent="0.25">
      <c r="A74" s="7">
        <v>46161</v>
      </c>
      <c r="B74" s="8" t="s">
        <v>19</v>
      </c>
      <c r="C74" s="9" t="s">
        <v>11</v>
      </c>
      <c r="D74" s="3">
        <v>33</v>
      </c>
      <c r="E74" s="3">
        <v>32</v>
      </c>
      <c r="G74" s="3">
        <v>2</v>
      </c>
      <c r="H74" s="3">
        <v>0</v>
      </c>
      <c r="I74" s="3">
        <f t="shared" si="7"/>
        <v>34</v>
      </c>
      <c r="J74" s="3" t="str">
        <f t="shared" si="8"/>
        <v>28</v>
      </c>
      <c r="K74" s="3">
        <f t="shared" si="9"/>
        <v>6</v>
      </c>
      <c r="L74" s="3" t="str">
        <f t="shared" si="10"/>
        <v>EXCELENTE</v>
      </c>
    </row>
    <row r="75" spans="1:12" hidden="1" x14ac:dyDescent="0.25">
      <c r="A75" s="5">
        <v>46146</v>
      </c>
      <c r="B75" s="6" t="s">
        <v>19</v>
      </c>
      <c r="C75" s="9" t="s">
        <v>11</v>
      </c>
      <c r="D75" s="3">
        <v>31</v>
      </c>
      <c r="E75" s="3">
        <v>29</v>
      </c>
      <c r="G75" s="3">
        <v>0</v>
      </c>
      <c r="I75" s="3">
        <f t="shared" si="7"/>
        <v>29</v>
      </c>
      <c r="J75" s="3" t="str">
        <f t="shared" si="8"/>
        <v>28</v>
      </c>
      <c r="K75" s="3">
        <f t="shared" si="9"/>
        <v>1</v>
      </c>
      <c r="L75" s="3" t="str">
        <f t="shared" si="10"/>
        <v>BOM</v>
      </c>
    </row>
    <row r="76" spans="1:12" hidden="1" x14ac:dyDescent="0.25">
      <c r="A76" s="5">
        <v>46147</v>
      </c>
      <c r="B76" s="6" t="s">
        <v>19</v>
      </c>
      <c r="C76" s="9" t="s">
        <v>11</v>
      </c>
      <c r="D76" s="3">
        <v>19</v>
      </c>
      <c r="E76" s="3">
        <v>18</v>
      </c>
      <c r="G76" s="3">
        <v>9</v>
      </c>
      <c r="I76" s="3">
        <f t="shared" si="7"/>
        <v>27</v>
      </c>
      <c r="J76" s="3" t="str">
        <f t="shared" si="8"/>
        <v>28</v>
      </c>
      <c r="K76" s="3">
        <f t="shared" si="9"/>
        <v>-1</v>
      </c>
      <c r="L76" s="3" t="str">
        <f t="shared" si="10"/>
        <v>ATENÇÃO</v>
      </c>
    </row>
    <row r="77" spans="1:12" hidden="1" x14ac:dyDescent="0.25">
      <c r="A77" s="5">
        <v>46148</v>
      </c>
      <c r="B77" s="6" t="s">
        <v>19</v>
      </c>
      <c r="C77" s="9" t="s">
        <v>11</v>
      </c>
      <c r="D77" s="3">
        <v>34</v>
      </c>
      <c r="E77" s="3">
        <v>32</v>
      </c>
      <c r="G77" s="3">
        <v>1</v>
      </c>
      <c r="I77" s="3">
        <f t="shared" si="7"/>
        <v>33</v>
      </c>
      <c r="J77" s="3" t="str">
        <f t="shared" si="8"/>
        <v>28</v>
      </c>
      <c r="K77" s="3">
        <f t="shared" si="9"/>
        <v>5</v>
      </c>
      <c r="L77" s="3" t="str">
        <f t="shared" si="10"/>
        <v>BOM</v>
      </c>
    </row>
    <row r="78" spans="1:12" hidden="1" x14ac:dyDescent="0.25">
      <c r="A78" s="5">
        <v>46149</v>
      </c>
      <c r="B78" s="6" t="s">
        <v>19</v>
      </c>
      <c r="C78" s="9" t="s">
        <v>11</v>
      </c>
      <c r="D78" s="3">
        <v>24</v>
      </c>
      <c r="E78" s="3">
        <v>24</v>
      </c>
      <c r="G78" s="3">
        <v>5</v>
      </c>
      <c r="I78" s="3">
        <f t="shared" si="7"/>
        <v>29</v>
      </c>
      <c r="J78" s="3" t="str">
        <f t="shared" si="8"/>
        <v>28</v>
      </c>
      <c r="K78" s="3">
        <f t="shared" si="9"/>
        <v>1</v>
      </c>
      <c r="L78" s="3" t="str">
        <f t="shared" si="10"/>
        <v>BOM</v>
      </c>
    </row>
    <row r="79" spans="1:12" hidden="1" x14ac:dyDescent="0.25">
      <c r="A79" s="5">
        <v>46150</v>
      </c>
      <c r="B79" s="6" t="s">
        <v>19</v>
      </c>
      <c r="C79" s="9" t="s">
        <v>11</v>
      </c>
      <c r="D79" s="3">
        <v>12</v>
      </c>
      <c r="E79" s="3">
        <v>12</v>
      </c>
      <c r="G79" s="3">
        <v>0</v>
      </c>
      <c r="H79" s="3">
        <v>0</v>
      </c>
      <c r="I79" s="3">
        <f t="shared" si="7"/>
        <v>12</v>
      </c>
      <c r="J79" s="3" t="str">
        <f t="shared" si="8"/>
        <v>28</v>
      </c>
      <c r="K79" s="3">
        <f t="shared" si="9"/>
        <v>-16</v>
      </c>
      <c r="L79" s="3" t="str">
        <f t="shared" si="10"/>
        <v>CRÍTICO</v>
      </c>
    </row>
    <row r="80" spans="1:12" hidden="1" x14ac:dyDescent="0.25">
      <c r="A80" s="5">
        <v>46153</v>
      </c>
      <c r="B80" s="6" t="s">
        <v>19</v>
      </c>
      <c r="C80" s="9" t="s">
        <v>11</v>
      </c>
      <c r="D80" s="3">
        <v>22</v>
      </c>
      <c r="E80" s="3">
        <v>22</v>
      </c>
      <c r="G80" s="3">
        <v>4</v>
      </c>
      <c r="I80" s="3">
        <f t="shared" si="7"/>
        <v>26</v>
      </c>
      <c r="J80" s="3" t="str">
        <f t="shared" si="8"/>
        <v>28</v>
      </c>
      <c r="K80" s="3">
        <f t="shared" si="9"/>
        <v>-2</v>
      </c>
      <c r="L80" s="3" t="str">
        <f t="shared" si="10"/>
        <v>ATENÇÃO</v>
      </c>
    </row>
    <row r="81" spans="1:12" hidden="1" x14ac:dyDescent="0.25">
      <c r="A81" s="5">
        <v>46154</v>
      </c>
      <c r="B81" s="6" t="s">
        <v>19</v>
      </c>
      <c r="C81" s="9" t="s">
        <v>11</v>
      </c>
      <c r="D81" s="3">
        <v>26</v>
      </c>
      <c r="E81" s="3">
        <v>26</v>
      </c>
      <c r="I81" s="3">
        <f t="shared" si="7"/>
        <v>26</v>
      </c>
      <c r="J81" s="3" t="str">
        <f t="shared" si="8"/>
        <v>28</v>
      </c>
      <c r="K81" s="3">
        <f t="shared" si="9"/>
        <v>-2</v>
      </c>
      <c r="L81" s="3" t="str">
        <f t="shared" si="10"/>
        <v>ATENÇÃO</v>
      </c>
    </row>
    <row r="82" spans="1:12" hidden="1" x14ac:dyDescent="0.25">
      <c r="A82" s="5">
        <v>46155</v>
      </c>
      <c r="B82" s="6" t="s">
        <v>19</v>
      </c>
      <c r="C82" s="9" t="s">
        <v>11</v>
      </c>
      <c r="D82" s="3">
        <v>17</v>
      </c>
      <c r="E82" s="3">
        <v>16</v>
      </c>
      <c r="G82" s="3">
        <v>5</v>
      </c>
      <c r="I82" s="3">
        <f t="shared" ref="I82:I113" si="11">E82+G82+H82</f>
        <v>21</v>
      </c>
      <c r="J82" s="3" t="str">
        <f t="shared" ref="J82:J113" si="12">IF(C82="Técnico III","35",IF(C82="Técnico II","28",IF(C82="Técnico I","23",IF(C82="JR","20",IF(C82="Estágio","10",)))))</f>
        <v>28</v>
      </c>
      <c r="K82" s="3">
        <f t="shared" ref="K82:K113" si="13">I82-J82</f>
        <v>-7</v>
      </c>
      <c r="L82" s="3" t="str">
        <f t="shared" si="10"/>
        <v>CRÍTICO</v>
      </c>
    </row>
    <row r="83" spans="1:12" hidden="1" x14ac:dyDescent="0.25">
      <c r="A83" s="5">
        <v>46156</v>
      </c>
      <c r="B83" s="6" t="s">
        <v>19</v>
      </c>
      <c r="C83" s="9" t="s">
        <v>11</v>
      </c>
      <c r="D83" s="3">
        <v>25</v>
      </c>
      <c r="E83" s="3">
        <v>23</v>
      </c>
      <c r="G83" s="3">
        <v>4</v>
      </c>
      <c r="H83" s="3">
        <v>0</v>
      </c>
      <c r="I83" s="3">
        <f t="shared" si="11"/>
        <v>27</v>
      </c>
      <c r="J83" s="3" t="str">
        <f t="shared" si="12"/>
        <v>28</v>
      </c>
      <c r="K83" s="3">
        <f t="shared" si="13"/>
        <v>-1</v>
      </c>
      <c r="L83" s="3" t="str">
        <f t="shared" si="10"/>
        <v>ATENÇÃO</v>
      </c>
    </row>
    <row r="84" spans="1:12" hidden="1" x14ac:dyDescent="0.25">
      <c r="A84" s="5">
        <v>46157</v>
      </c>
      <c r="B84" s="6" t="s">
        <v>19</v>
      </c>
      <c r="C84" s="9" t="s">
        <v>11</v>
      </c>
      <c r="D84" s="3">
        <v>26</v>
      </c>
      <c r="E84" s="3">
        <v>26</v>
      </c>
      <c r="G84" s="3">
        <v>3</v>
      </c>
      <c r="H84" s="3">
        <v>0</v>
      </c>
      <c r="I84" s="3">
        <f t="shared" si="11"/>
        <v>29</v>
      </c>
      <c r="J84" s="3" t="str">
        <f t="shared" si="12"/>
        <v>28</v>
      </c>
      <c r="K84" s="3">
        <f t="shared" si="13"/>
        <v>1</v>
      </c>
      <c r="L84" s="3" t="str">
        <f t="shared" si="10"/>
        <v>BOM</v>
      </c>
    </row>
    <row r="85" spans="1:12" hidden="1" x14ac:dyDescent="0.25">
      <c r="A85" s="5">
        <v>46160</v>
      </c>
      <c r="B85" s="6" t="s">
        <v>19</v>
      </c>
      <c r="C85" s="9" t="s">
        <v>11</v>
      </c>
      <c r="D85" s="3">
        <v>23</v>
      </c>
      <c r="E85" s="3">
        <v>23</v>
      </c>
      <c r="G85" s="3">
        <v>3</v>
      </c>
      <c r="H85" s="3">
        <v>0</v>
      </c>
      <c r="I85" s="3">
        <f t="shared" si="11"/>
        <v>26</v>
      </c>
      <c r="J85" s="3" t="str">
        <f t="shared" si="12"/>
        <v>28</v>
      </c>
      <c r="K85" s="3">
        <f t="shared" si="13"/>
        <v>-2</v>
      </c>
      <c r="L85" s="3" t="str">
        <f t="shared" si="10"/>
        <v>ATENÇÃO</v>
      </c>
    </row>
    <row r="86" spans="1:12" x14ac:dyDescent="0.25">
      <c r="A86" s="7">
        <v>46161</v>
      </c>
      <c r="B86" s="8" t="s">
        <v>20</v>
      </c>
      <c r="C86" s="9" t="s">
        <v>17</v>
      </c>
      <c r="D86" s="3">
        <v>9</v>
      </c>
      <c r="E86" s="3">
        <v>9</v>
      </c>
      <c r="G86" s="3">
        <v>0</v>
      </c>
      <c r="H86" s="3">
        <v>0</v>
      </c>
      <c r="I86" s="3">
        <f t="shared" si="11"/>
        <v>9</v>
      </c>
      <c r="J86" s="3" t="str">
        <f t="shared" si="12"/>
        <v>10</v>
      </c>
      <c r="K86" s="3">
        <f t="shared" si="13"/>
        <v>-1</v>
      </c>
      <c r="L86" s="3" t="str">
        <f t="shared" si="10"/>
        <v>ATENÇÃO</v>
      </c>
    </row>
    <row r="87" spans="1:12" hidden="1" x14ac:dyDescent="0.25">
      <c r="A87" s="5">
        <v>46146</v>
      </c>
      <c r="B87" s="6" t="s">
        <v>20</v>
      </c>
      <c r="C87" s="3" t="s">
        <v>17</v>
      </c>
      <c r="D87" s="3">
        <v>8</v>
      </c>
      <c r="E87" s="3">
        <v>8</v>
      </c>
      <c r="G87" s="3">
        <v>0</v>
      </c>
      <c r="I87" s="3">
        <f t="shared" si="11"/>
        <v>8</v>
      </c>
      <c r="J87" s="3" t="str">
        <f t="shared" si="12"/>
        <v>10</v>
      </c>
      <c r="K87" s="3">
        <f t="shared" si="13"/>
        <v>-2</v>
      </c>
      <c r="L87" s="3" t="str">
        <f t="shared" si="10"/>
        <v>ATENÇÃO</v>
      </c>
    </row>
    <row r="88" spans="1:12" hidden="1" x14ac:dyDescent="0.25">
      <c r="A88" s="5">
        <v>46147</v>
      </c>
      <c r="B88" s="6" t="s">
        <v>20</v>
      </c>
      <c r="C88" s="3" t="s">
        <v>17</v>
      </c>
      <c r="D88" s="3">
        <v>10</v>
      </c>
      <c r="E88" s="3">
        <v>10</v>
      </c>
      <c r="G88" s="3">
        <v>0</v>
      </c>
      <c r="I88" s="3">
        <f t="shared" si="11"/>
        <v>10</v>
      </c>
      <c r="J88" s="3" t="str">
        <f t="shared" si="12"/>
        <v>10</v>
      </c>
      <c r="K88" s="3">
        <f t="shared" si="13"/>
        <v>0</v>
      </c>
      <c r="L88" s="3" t="str">
        <f t="shared" si="10"/>
        <v>BOM</v>
      </c>
    </row>
    <row r="89" spans="1:12" hidden="1" x14ac:dyDescent="0.25">
      <c r="A89" s="5">
        <v>46148</v>
      </c>
      <c r="B89" s="6" t="s">
        <v>20</v>
      </c>
      <c r="C89" s="3" t="s">
        <v>17</v>
      </c>
      <c r="D89" s="3">
        <v>13</v>
      </c>
      <c r="E89" s="3">
        <v>12</v>
      </c>
      <c r="G89" s="3">
        <v>0</v>
      </c>
      <c r="I89" s="3">
        <f t="shared" si="11"/>
        <v>12</v>
      </c>
      <c r="J89" s="3" t="str">
        <f t="shared" si="12"/>
        <v>10</v>
      </c>
      <c r="K89" s="3">
        <f t="shared" si="13"/>
        <v>2</v>
      </c>
      <c r="L89" s="3" t="str">
        <f t="shared" si="10"/>
        <v>BOM</v>
      </c>
    </row>
    <row r="90" spans="1:12" hidden="1" x14ac:dyDescent="0.25">
      <c r="A90" s="5">
        <v>46149</v>
      </c>
      <c r="B90" s="6" t="s">
        <v>20</v>
      </c>
      <c r="C90" s="3" t="s">
        <v>17</v>
      </c>
      <c r="D90" s="3">
        <v>12</v>
      </c>
      <c r="E90" s="3">
        <v>12</v>
      </c>
      <c r="G90" s="3">
        <v>0</v>
      </c>
      <c r="I90" s="3">
        <f t="shared" si="11"/>
        <v>12</v>
      </c>
      <c r="J90" s="3" t="str">
        <f t="shared" si="12"/>
        <v>10</v>
      </c>
      <c r="K90" s="3">
        <f t="shared" si="13"/>
        <v>2</v>
      </c>
      <c r="L90" s="3" t="str">
        <f t="shared" si="10"/>
        <v>BOM</v>
      </c>
    </row>
    <row r="91" spans="1:12" hidden="1" x14ac:dyDescent="0.25">
      <c r="A91" s="5">
        <v>46150</v>
      </c>
      <c r="B91" s="6" t="s">
        <v>20</v>
      </c>
      <c r="C91" s="3" t="s">
        <v>17</v>
      </c>
      <c r="D91" s="3">
        <v>10</v>
      </c>
      <c r="E91" s="3">
        <v>9</v>
      </c>
      <c r="G91" s="3">
        <v>0</v>
      </c>
      <c r="H91" s="3">
        <v>0</v>
      </c>
      <c r="I91" s="3">
        <f t="shared" si="11"/>
        <v>9</v>
      </c>
      <c r="J91" s="3" t="str">
        <f t="shared" si="12"/>
        <v>10</v>
      </c>
      <c r="K91" s="3">
        <f t="shared" si="13"/>
        <v>-1</v>
      </c>
      <c r="L91" s="3" t="str">
        <f t="shared" si="10"/>
        <v>ATENÇÃO</v>
      </c>
    </row>
    <row r="92" spans="1:12" hidden="1" x14ac:dyDescent="0.25">
      <c r="A92" s="5">
        <v>46153</v>
      </c>
      <c r="B92" s="6" t="s">
        <v>20</v>
      </c>
      <c r="C92" s="3" t="s">
        <v>17</v>
      </c>
      <c r="D92" s="3">
        <v>1</v>
      </c>
      <c r="E92" s="3">
        <v>1</v>
      </c>
      <c r="I92" s="3">
        <f t="shared" si="11"/>
        <v>1</v>
      </c>
      <c r="J92" s="3" t="str">
        <f t="shared" si="12"/>
        <v>10</v>
      </c>
      <c r="K92" s="3">
        <f t="shared" si="13"/>
        <v>-9</v>
      </c>
      <c r="L92" s="3" t="str">
        <f t="shared" si="10"/>
        <v>CRÍTICO</v>
      </c>
    </row>
    <row r="93" spans="1:12" hidden="1" x14ac:dyDescent="0.25">
      <c r="A93" s="5">
        <v>46154</v>
      </c>
      <c r="B93" s="6" t="s">
        <v>20</v>
      </c>
      <c r="C93" s="3" t="s">
        <v>17</v>
      </c>
      <c r="D93" s="3">
        <v>8</v>
      </c>
      <c r="E93" s="3">
        <v>7</v>
      </c>
      <c r="I93" s="3">
        <f t="shared" si="11"/>
        <v>7</v>
      </c>
      <c r="J93" s="3" t="str">
        <f t="shared" si="12"/>
        <v>10</v>
      </c>
      <c r="K93" s="3">
        <f t="shared" si="13"/>
        <v>-3</v>
      </c>
      <c r="L93" s="3" t="str">
        <f t="shared" si="10"/>
        <v>ATENÇÃO</v>
      </c>
    </row>
    <row r="94" spans="1:12" hidden="1" x14ac:dyDescent="0.25">
      <c r="A94" s="5">
        <v>46155</v>
      </c>
      <c r="B94" s="6" t="s">
        <v>20</v>
      </c>
      <c r="C94" s="3" t="s">
        <v>17</v>
      </c>
      <c r="D94" s="3">
        <v>5</v>
      </c>
      <c r="E94" s="3">
        <v>5</v>
      </c>
      <c r="I94" s="3">
        <f t="shared" si="11"/>
        <v>5</v>
      </c>
      <c r="J94" s="3" t="str">
        <f t="shared" si="12"/>
        <v>10</v>
      </c>
      <c r="K94" s="3">
        <f t="shared" si="13"/>
        <v>-5</v>
      </c>
      <c r="L94" s="3" t="str">
        <f t="shared" si="10"/>
        <v>ATENÇÃO</v>
      </c>
    </row>
    <row r="95" spans="1:12" hidden="1" x14ac:dyDescent="0.25">
      <c r="A95" s="5">
        <v>46156</v>
      </c>
      <c r="B95" s="6" t="s">
        <v>20</v>
      </c>
      <c r="C95" s="3" t="s">
        <v>17</v>
      </c>
      <c r="D95" s="3">
        <v>9</v>
      </c>
      <c r="E95" s="3">
        <v>9</v>
      </c>
      <c r="G95" s="3">
        <v>0</v>
      </c>
      <c r="H95" s="3">
        <v>0</v>
      </c>
      <c r="I95" s="3">
        <f t="shared" si="11"/>
        <v>9</v>
      </c>
      <c r="J95" s="3" t="str">
        <f t="shared" si="12"/>
        <v>10</v>
      </c>
      <c r="K95" s="3">
        <f t="shared" si="13"/>
        <v>-1</v>
      </c>
      <c r="L95" s="3" t="str">
        <f t="shared" si="10"/>
        <v>ATENÇÃO</v>
      </c>
    </row>
    <row r="96" spans="1:12" hidden="1" x14ac:dyDescent="0.25">
      <c r="A96" s="5">
        <v>46157</v>
      </c>
      <c r="B96" s="6" t="s">
        <v>20</v>
      </c>
      <c r="C96" s="3" t="s">
        <v>17</v>
      </c>
      <c r="D96" s="3">
        <v>11</v>
      </c>
      <c r="E96" s="3">
        <v>10</v>
      </c>
      <c r="G96" s="3">
        <v>0</v>
      </c>
      <c r="H96" s="3">
        <v>0</v>
      </c>
      <c r="I96" s="3">
        <f t="shared" si="11"/>
        <v>10</v>
      </c>
      <c r="J96" s="3" t="str">
        <f t="shared" si="12"/>
        <v>10</v>
      </c>
      <c r="K96" s="3">
        <f t="shared" si="13"/>
        <v>0</v>
      </c>
      <c r="L96" s="3" t="str">
        <f t="shared" si="10"/>
        <v>BOM</v>
      </c>
    </row>
    <row r="97" spans="1:12" hidden="1" x14ac:dyDescent="0.25">
      <c r="A97" s="5">
        <v>46160</v>
      </c>
      <c r="B97" s="6" t="s">
        <v>20</v>
      </c>
      <c r="C97" s="3" t="s">
        <v>17</v>
      </c>
      <c r="D97" s="3">
        <v>6</v>
      </c>
      <c r="E97" s="3">
        <v>6</v>
      </c>
      <c r="G97" s="3">
        <v>0</v>
      </c>
      <c r="H97" s="3">
        <v>0</v>
      </c>
      <c r="I97" s="3">
        <f t="shared" si="11"/>
        <v>6</v>
      </c>
      <c r="J97" s="3" t="str">
        <f t="shared" si="12"/>
        <v>10</v>
      </c>
      <c r="K97" s="3">
        <f t="shared" si="13"/>
        <v>-4</v>
      </c>
      <c r="L97" s="3" t="str">
        <f t="shared" si="10"/>
        <v>ATENÇÃO</v>
      </c>
    </row>
    <row r="98" spans="1:12" x14ac:dyDescent="0.25">
      <c r="A98" s="7">
        <v>46161</v>
      </c>
      <c r="B98" s="8" t="s">
        <v>21</v>
      </c>
      <c r="C98" s="9" t="s">
        <v>14</v>
      </c>
      <c r="D98" s="3">
        <v>26</v>
      </c>
      <c r="E98" s="3">
        <v>25</v>
      </c>
      <c r="G98" s="3">
        <v>1</v>
      </c>
      <c r="H98" s="3">
        <v>0</v>
      </c>
      <c r="I98" s="3">
        <f t="shared" si="11"/>
        <v>26</v>
      </c>
      <c r="J98" s="3" t="str">
        <f t="shared" si="12"/>
        <v>23</v>
      </c>
      <c r="K98" s="3">
        <f t="shared" si="13"/>
        <v>3</v>
      </c>
      <c r="L98" s="3" t="str">
        <f t="shared" si="10"/>
        <v>BOM</v>
      </c>
    </row>
    <row r="99" spans="1:12" hidden="1" x14ac:dyDescent="0.25">
      <c r="A99" s="5">
        <v>46146</v>
      </c>
      <c r="B99" s="6" t="s">
        <v>21</v>
      </c>
      <c r="C99" s="3" t="s">
        <v>14</v>
      </c>
      <c r="D99" s="3">
        <v>32</v>
      </c>
      <c r="E99" s="3">
        <v>26</v>
      </c>
      <c r="G99" s="3">
        <v>6</v>
      </c>
      <c r="I99" s="3">
        <f t="shared" si="11"/>
        <v>32</v>
      </c>
      <c r="J99" s="3" t="str">
        <f t="shared" si="12"/>
        <v>23</v>
      </c>
      <c r="K99" s="3">
        <f t="shared" si="13"/>
        <v>9</v>
      </c>
      <c r="L99" s="3" t="str">
        <f t="shared" si="10"/>
        <v>EXCELENTE</v>
      </c>
    </row>
    <row r="100" spans="1:12" hidden="1" x14ac:dyDescent="0.25">
      <c r="A100" s="5">
        <v>46147</v>
      </c>
      <c r="B100" s="6" t="s">
        <v>21</v>
      </c>
      <c r="C100" s="3" t="s">
        <v>14</v>
      </c>
      <c r="D100" s="3">
        <v>122</v>
      </c>
      <c r="E100" s="3">
        <v>28</v>
      </c>
      <c r="G100" s="3">
        <v>1</v>
      </c>
      <c r="I100" s="3">
        <f t="shared" si="11"/>
        <v>29</v>
      </c>
      <c r="J100" s="3" t="str">
        <f t="shared" si="12"/>
        <v>23</v>
      </c>
      <c r="K100" s="3">
        <f t="shared" si="13"/>
        <v>6</v>
      </c>
      <c r="L100" s="3" t="str">
        <f t="shared" si="10"/>
        <v>EXCELENTE</v>
      </c>
    </row>
    <row r="101" spans="1:12" hidden="1" x14ac:dyDescent="0.25">
      <c r="A101" s="5">
        <v>46148</v>
      </c>
      <c r="B101" s="6" t="s">
        <v>21</v>
      </c>
      <c r="C101" s="3" t="s">
        <v>14</v>
      </c>
      <c r="D101" s="3">
        <v>24</v>
      </c>
      <c r="E101" s="3">
        <v>23</v>
      </c>
      <c r="G101" s="3">
        <v>9</v>
      </c>
      <c r="I101" s="3">
        <f t="shared" si="11"/>
        <v>32</v>
      </c>
      <c r="J101" s="3" t="str">
        <f t="shared" si="12"/>
        <v>23</v>
      </c>
      <c r="K101" s="3">
        <f t="shared" si="13"/>
        <v>9</v>
      </c>
      <c r="L101" s="3" t="str">
        <f t="shared" si="10"/>
        <v>EXCELENTE</v>
      </c>
    </row>
    <row r="102" spans="1:12" hidden="1" x14ac:dyDescent="0.25">
      <c r="A102" s="5">
        <v>46149</v>
      </c>
      <c r="B102" s="6" t="s">
        <v>21</v>
      </c>
      <c r="C102" s="3" t="s">
        <v>14</v>
      </c>
      <c r="D102" s="3">
        <v>25</v>
      </c>
      <c r="E102" s="3">
        <v>23</v>
      </c>
      <c r="G102" s="3">
        <v>1</v>
      </c>
      <c r="I102" s="3">
        <f t="shared" si="11"/>
        <v>24</v>
      </c>
      <c r="J102" s="3" t="str">
        <f t="shared" si="12"/>
        <v>23</v>
      </c>
      <c r="K102" s="3">
        <f t="shared" si="13"/>
        <v>1</v>
      </c>
      <c r="L102" s="3" t="str">
        <f t="shared" si="10"/>
        <v>BOM</v>
      </c>
    </row>
    <row r="103" spans="1:12" hidden="1" x14ac:dyDescent="0.25">
      <c r="A103" s="5">
        <v>46150</v>
      </c>
      <c r="B103" s="6" t="s">
        <v>21</v>
      </c>
      <c r="C103" s="3" t="s">
        <v>14</v>
      </c>
      <c r="D103" s="3">
        <v>25</v>
      </c>
      <c r="E103" s="3">
        <v>24</v>
      </c>
      <c r="G103" s="3">
        <v>6</v>
      </c>
      <c r="H103" s="3">
        <v>0</v>
      </c>
      <c r="I103" s="3">
        <f t="shared" si="11"/>
        <v>30</v>
      </c>
      <c r="J103" s="3" t="str">
        <f t="shared" si="12"/>
        <v>23</v>
      </c>
      <c r="K103" s="3">
        <f t="shared" si="13"/>
        <v>7</v>
      </c>
      <c r="L103" s="3" t="str">
        <f t="shared" si="10"/>
        <v>EXCELENTE</v>
      </c>
    </row>
    <row r="104" spans="1:12" hidden="1" x14ac:dyDescent="0.25">
      <c r="A104" s="5">
        <v>46153</v>
      </c>
      <c r="B104" s="6" t="s">
        <v>21</v>
      </c>
      <c r="C104" s="3" t="s">
        <v>14</v>
      </c>
      <c r="D104" s="3">
        <v>24</v>
      </c>
      <c r="E104" s="3">
        <v>23</v>
      </c>
      <c r="G104" s="3">
        <v>2</v>
      </c>
      <c r="I104" s="3">
        <f t="shared" si="11"/>
        <v>25</v>
      </c>
      <c r="J104" s="3" t="str">
        <f t="shared" si="12"/>
        <v>23</v>
      </c>
      <c r="K104" s="3">
        <f t="shared" si="13"/>
        <v>2</v>
      </c>
      <c r="L104" s="3" t="str">
        <f t="shared" si="10"/>
        <v>BOM</v>
      </c>
    </row>
    <row r="105" spans="1:12" hidden="1" x14ac:dyDescent="0.25">
      <c r="A105" s="5">
        <v>46154</v>
      </c>
      <c r="B105" s="6" t="s">
        <v>21</v>
      </c>
      <c r="C105" s="3" t="s">
        <v>14</v>
      </c>
      <c r="D105" s="3">
        <v>24</v>
      </c>
      <c r="E105" s="3">
        <v>23</v>
      </c>
      <c r="G105" s="3">
        <v>5</v>
      </c>
      <c r="I105" s="3">
        <f t="shared" si="11"/>
        <v>28</v>
      </c>
      <c r="J105" s="3" t="str">
        <f t="shared" si="12"/>
        <v>23</v>
      </c>
      <c r="K105" s="3">
        <f t="shared" si="13"/>
        <v>5</v>
      </c>
      <c r="L105" s="3" t="str">
        <f t="shared" si="10"/>
        <v>BOM</v>
      </c>
    </row>
    <row r="106" spans="1:12" hidden="1" x14ac:dyDescent="0.25">
      <c r="A106" s="5">
        <v>46155</v>
      </c>
      <c r="B106" s="6" t="s">
        <v>21</v>
      </c>
      <c r="C106" s="3" t="s">
        <v>14</v>
      </c>
      <c r="D106" s="3">
        <v>37</v>
      </c>
      <c r="E106" s="3">
        <v>32</v>
      </c>
      <c r="G106" s="3">
        <v>3</v>
      </c>
      <c r="I106" s="3">
        <f t="shared" si="11"/>
        <v>35</v>
      </c>
      <c r="J106" s="3" t="str">
        <f t="shared" si="12"/>
        <v>23</v>
      </c>
      <c r="K106" s="3">
        <f t="shared" si="13"/>
        <v>12</v>
      </c>
      <c r="L106" s="3" t="str">
        <f t="shared" si="10"/>
        <v>EXCELENTE</v>
      </c>
    </row>
    <row r="107" spans="1:12" hidden="1" x14ac:dyDescent="0.25">
      <c r="A107" s="5">
        <v>46156</v>
      </c>
      <c r="B107" s="6" t="s">
        <v>21</v>
      </c>
      <c r="C107" s="3" t="s">
        <v>14</v>
      </c>
      <c r="D107" s="3">
        <v>33</v>
      </c>
      <c r="E107" s="3">
        <v>29</v>
      </c>
      <c r="G107" s="3">
        <v>7</v>
      </c>
      <c r="H107" s="3">
        <v>0</v>
      </c>
      <c r="I107" s="3">
        <f t="shared" si="11"/>
        <v>36</v>
      </c>
      <c r="J107" s="3" t="str">
        <f t="shared" si="12"/>
        <v>23</v>
      </c>
      <c r="K107" s="3">
        <f t="shared" si="13"/>
        <v>13</v>
      </c>
      <c r="L107" s="3" t="str">
        <f t="shared" si="10"/>
        <v>EXCELENTE</v>
      </c>
    </row>
    <row r="108" spans="1:12" hidden="1" x14ac:dyDescent="0.25">
      <c r="A108" s="5">
        <v>46157</v>
      </c>
      <c r="B108" s="6" t="s">
        <v>21</v>
      </c>
      <c r="C108" s="3" t="s">
        <v>14</v>
      </c>
      <c r="D108" s="3">
        <v>24</v>
      </c>
      <c r="E108" s="3">
        <v>20</v>
      </c>
      <c r="G108" s="3">
        <v>3</v>
      </c>
      <c r="H108" s="3">
        <v>0</v>
      </c>
      <c r="I108" s="3">
        <f t="shared" si="11"/>
        <v>23</v>
      </c>
      <c r="J108" s="3" t="str">
        <f t="shared" si="12"/>
        <v>23</v>
      </c>
      <c r="K108" s="3">
        <f t="shared" si="13"/>
        <v>0</v>
      </c>
      <c r="L108" s="3" t="str">
        <f t="shared" si="10"/>
        <v>BOM</v>
      </c>
    </row>
    <row r="109" spans="1:12" hidden="1" x14ac:dyDescent="0.25">
      <c r="A109" s="5">
        <v>46160</v>
      </c>
      <c r="B109" s="6" t="s">
        <v>21</v>
      </c>
      <c r="C109" s="3" t="s">
        <v>14</v>
      </c>
      <c r="D109" s="3">
        <v>22</v>
      </c>
      <c r="E109" s="3">
        <v>21</v>
      </c>
      <c r="G109" s="3">
        <v>3</v>
      </c>
      <c r="H109" s="3">
        <v>0</v>
      </c>
      <c r="I109" s="3">
        <f t="shared" si="11"/>
        <v>24</v>
      </c>
      <c r="J109" s="3" t="str">
        <f t="shared" si="12"/>
        <v>23</v>
      </c>
      <c r="K109" s="3">
        <f t="shared" si="13"/>
        <v>1</v>
      </c>
      <c r="L109" s="3" t="str">
        <f t="shared" si="10"/>
        <v>BOM</v>
      </c>
    </row>
    <row r="110" spans="1:12" x14ac:dyDescent="0.25">
      <c r="A110" s="7">
        <v>46161</v>
      </c>
      <c r="B110" s="8" t="s">
        <v>22</v>
      </c>
      <c r="C110" s="9" t="s">
        <v>12</v>
      </c>
      <c r="D110" s="3">
        <v>33</v>
      </c>
      <c r="E110" s="3">
        <v>30</v>
      </c>
      <c r="G110" s="3">
        <v>0</v>
      </c>
      <c r="H110" s="3">
        <v>0</v>
      </c>
      <c r="I110" s="3">
        <f t="shared" si="11"/>
        <v>30</v>
      </c>
      <c r="J110" s="3" t="str">
        <f t="shared" si="12"/>
        <v>35</v>
      </c>
      <c r="K110" s="3">
        <f t="shared" si="13"/>
        <v>-5</v>
      </c>
      <c r="L110" s="3" t="str">
        <f t="shared" si="10"/>
        <v>ATENÇÃO</v>
      </c>
    </row>
    <row r="111" spans="1:12" hidden="1" x14ac:dyDescent="0.25">
      <c r="A111" s="5">
        <v>46146</v>
      </c>
      <c r="B111" s="6" t="s">
        <v>22</v>
      </c>
      <c r="C111" s="3" t="s">
        <v>12</v>
      </c>
      <c r="D111" s="3">
        <v>38</v>
      </c>
      <c r="E111" s="3">
        <v>37</v>
      </c>
      <c r="G111" s="3">
        <v>1</v>
      </c>
      <c r="I111" s="3">
        <f t="shared" si="11"/>
        <v>38</v>
      </c>
      <c r="J111" s="3" t="str">
        <f t="shared" si="12"/>
        <v>35</v>
      </c>
      <c r="K111" s="3">
        <f t="shared" si="13"/>
        <v>3</v>
      </c>
      <c r="L111" s="3" t="str">
        <f t="shared" si="10"/>
        <v>BOM</v>
      </c>
    </row>
    <row r="112" spans="1:12" hidden="1" x14ac:dyDescent="0.25">
      <c r="A112" s="5">
        <v>46147</v>
      </c>
      <c r="B112" s="6" t="s">
        <v>22</v>
      </c>
      <c r="C112" s="3" t="s">
        <v>12</v>
      </c>
      <c r="D112" s="3">
        <v>46</v>
      </c>
      <c r="E112" s="3">
        <v>39</v>
      </c>
      <c r="G112" s="3">
        <v>8</v>
      </c>
      <c r="I112" s="3">
        <f t="shared" si="11"/>
        <v>47</v>
      </c>
      <c r="J112" s="3" t="str">
        <f t="shared" si="12"/>
        <v>35</v>
      </c>
      <c r="K112" s="3">
        <f t="shared" si="13"/>
        <v>12</v>
      </c>
      <c r="L112" s="3" t="str">
        <f t="shared" si="10"/>
        <v>EXCELENTE</v>
      </c>
    </row>
    <row r="113" spans="1:12" hidden="1" x14ac:dyDescent="0.25">
      <c r="A113" s="5">
        <v>46148</v>
      </c>
      <c r="B113" s="6" t="s">
        <v>22</v>
      </c>
      <c r="C113" s="3" t="s">
        <v>12</v>
      </c>
      <c r="D113" s="3">
        <v>48</v>
      </c>
      <c r="E113" s="3">
        <v>44</v>
      </c>
      <c r="G113" s="3">
        <v>0</v>
      </c>
      <c r="I113" s="3">
        <f t="shared" si="11"/>
        <v>44</v>
      </c>
      <c r="J113" s="3" t="str">
        <f t="shared" si="12"/>
        <v>35</v>
      </c>
      <c r="K113" s="3">
        <f t="shared" si="13"/>
        <v>9</v>
      </c>
      <c r="L113" s="3" t="str">
        <f t="shared" si="10"/>
        <v>EXCELENTE</v>
      </c>
    </row>
    <row r="114" spans="1:12" hidden="1" x14ac:dyDescent="0.25">
      <c r="A114" s="5">
        <v>46149</v>
      </c>
      <c r="B114" s="6" t="s">
        <v>22</v>
      </c>
      <c r="C114" s="3" t="s">
        <v>12</v>
      </c>
      <c r="D114" s="3">
        <v>47</v>
      </c>
      <c r="E114" s="3">
        <v>44</v>
      </c>
      <c r="G114" s="3">
        <v>0</v>
      </c>
      <c r="I114" s="3">
        <f t="shared" ref="I114:I121" si="14">E114+G114+H114</f>
        <v>44</v>
      </c>
      <c r="J114" s="3" t="str">
        <f t="shared" ref="J114:J121" si="15">IF(C114="Técnico III","35",IF(C114="Técnico II","28",IF(C114="Técnico I","23",IF(C114="JR","20",IF(C114="Estágio","10",)))))</f>
        <v>35</v>
      </c>
      <c r="K114" s="3">
        <f t="shared" ref="K114:K121" si="16">I114-J114</f>
        <v>9</v>
      </c>
      <c r="L114" s="3" t="str">
        <f t="shared" si="10"/>
        <v>EXCELENTE</v>
      </c>
    </row>
    <row r="115" spans="1:12" hidden="1" x14ac:dyDescent="0.25">
      <c r="A115" s="5">
        <v>46150</v>
      </c>
      <c r="B115" s="6" t="s">
        <v>22</v>
      </c>
      <c r="C115" s="3" t="s">
        <v>12</v>
      </c>
      <c r="D115" s="3">
        <v>27</v>
      </c>
      <c r="E115" s="3">
        <v>26</v>
      </c>
      <c r="G115" s="3">
        <v>0</v>
      </c>
      <c r="H115" s="3">
        <v>0</v>
      </c>
      <c r="I115" s="3">
        <f t="shared" si="14"/>
        <v>26</v>
      </c>
      <c r="J115" s="3" t="str">
        <f t="shared" si="15"/>
        <v>35</v>
      </c>
      <c r="K115" s="3">
        <f t="shared" si="16"/>
        <v>-9</v>
      </c>
      <c r="L115" s="3" t="str">
        <f t="shared" si="10"/>
        <v>CRÍTICO</v>
      </c>
    </row>
    <row r="116" spans="1:12" hidden="1" x14ac:dyDescent="0.25">
      <c r="A116" s="5">
        <v>46153</v>
      </c>
      <c r="B116" s="6" t="s">
        <v>22</v>
      </c>
      <c r="C116" s="3" t="s">
        <v>12</v>
      </c>
      <c r="D116" s="3">
        <v>35</v>
      </c>
      <c r="E116" s="3">
        <v>35</v>
      </c>
      <c r="I116" s="3">
        <f t="shared" si="14"/>
        <v>35</v>
      </c>
      <c r="J116" s="3" t="str">
        <f t="shared" si="15"/>
        <v>35</v>
      </c>
      <c r="K116" s="3">
        <f t="shared" si="16"/>
        <v>0</v>
      </c>
      <c r="L116" s="3" t="str">
        <f t="shared" si="10"/>
        <v>BOM</v>
      </c>
    </row>
    <row r="117" spans="1:12" hidden="1" x14ac:dyDescent="0.25">
      <c r="A117" s="5">
        <v>46154</v>
      </c>
      <c r="B117" s="6" t="s">
        <v>22</v>
      </c>
      <c r="C117" s="3" t="s">
        <v>12</v>
      </c>
      <c r="D117" s="3">
        <v>41</v>
      </c>
      <c r="E117" s="3">
        <v>39</v>
      </c>
      <c r="I117" s="3">
        <f t="shared" si="14"/>
        <v>39</v>
      </c>
      <c r="J117" s="3" t="str">
        <f t="shared" si="15"/>
        <v>35</v>
      </c>
      <c r="K117" s="3">
        <f t="shared" si="16"/>
        <v>4</v>
      </c>
      <c r="L117" s="3" t="str">
        <f t="shared" si="10"/>
        <v>BOM</v>
      </c>
    </row>
    <row r="118" spans="1:12" hidden="1" x14ac:dyDescent="0.25">
      <c r="A118" s="5">
        <v>46155</v>
      </c>
      <c r="B118" s="6" t="s">
        <v>22</v>
      </c>
      <c r="C118" s="3" t="s">
        <v>12</v>
      </c>
      <c r="D118" s="3">
        <v>34</v>
      </c>
      <c r="E118" s="3">
        <v>30</v>
      </c>
      <c r="I118" s="3">
        <f t="shared" si="14"/>
        <v>30</v>
      </c>
      <c r="J118" s="3" t="str">
        <f t="shared" si="15"/>
        <v>35</v>
      </c>
      <c r="K118" s="3">
        <f t="shared" si="16"/>
        <v>-5</v>
      </c>
      <c r="L118" s="3" t="str">
        <f t="shared" si="10"/>
        <v>ATENÇÃO</v>
      </c>
    </row>
    <row r="119" spans="1:12" hidden="1" x14ac:dyDescent="0.25">
      <c r="A119" s="5">
        <v>46156</v>
      </c>
      <c r="B119" s="6" t="s">
        <v>22</v>
      </c>
      <c r="C119" s="3" t="s">
        <v>12</v>
      </c>
      <c r="D119" s="3">
        <v>22</v>
      </c>
      <c r="E119" s="3">
        <v>18</v>
      </c>
      <c r="G119" s="3">
        <v>0</v>
      </c>
      <c r="H119" s="3">
        <v>0</v>
      </c>
      <c r="I119" s="3">
        <f t="shared" si="14"/>
        <v>18</v>
      </c>
      <c r="J119" s="3" t="str">
        <f t="shared" si="15"/>
        <v>35</v>
      </c>
      <c r="K119" s="3">
        <f t="shared" si="16"/>
        <v>-17</v>
      </c>
      <c r="L119" s="3" t="str">
        <f t="shared" si="10"/>
        <v>CRÍTICO</v>
      </c>
    </row>
    <row r="120" spans="1:12" hidden="1" x14ac:dyDescent="0.25">
      <c r="A120" s="5">
        <v>46157</v>
      </c>
      <c r="B120" s="6" t="s">
        <v>22</v>
      </c>
      <c r="C120" s="3" t="s">
        <v>12</v>
      </c>
      <c r="D120" s="3">
        <v>37</v>
      </c>
      <c r="E120" s="3">
        <v>31</v>
      </c>
      <c r="G120" s="3">
        <v>0</v>
      </c>
      <c r="H120" s="3">
        <v>0</v>
      </c>
      <c r="I120" s="3">
        <f t="shared" si="14"/>
        <v>31</v>
      </c>
      <c r="J120" s="3" t="str">
        <f t="shared" si="15"/>
        <v>35</v>
      </c>
      <c r="K120" s="3">
        <f t="shared" si="16"/>
        <v>-4</v>
      </c>
      <c r="L120" s="3" t="str">
        <f t="shared" si="10"/>
        <v>ATENÇÃO</v>
      </c>
    </row>
    <row r="121" spans="1:12" hidden="1" x14ac:dyDescent="0.25">
      <c r="A121" s="5">
        <v>46160</v>
      </c>
      <c r="B121" s="6" t="s">
        <v>22</v>
      </c>
      <c r="C121" s="3" t="s">
        <v>12</v>
      </c>
      <c r="D121" s="3">
        <v>30</v>
      </c>
      <c r="E121" s="3">
        <v>27</v>
      </c>
      <c r="G121" s="3">
        <v>0</v>
      </c>
      <c r="H121" s="3">
        <v>0</v>
      </c>
      <c r="I121" s="3">
        <f t="shared" si="14"/>
        <v>27</v>
      </c>
      <c r="J121" s="3" t="str">
        <f t="shared" si="15"/>
        <v>35</v>
      </c>
      <c r="K121" s="3">
        <f t="shared" si="16"/>
        <v>-8</v>
      </c>
      <c r="L121" s="3" t="str">
        <f t="shared" si="10"/>
        <v>CRÍTICO</v>
      </c>
    </row>
    <row r="122" spans="1:12" x14ac:dyDescent="0.25">
      <c r="A122" s="7">
        <v>46161</v>
      </c>
      <c r="B122" s="8" t="s">
        <v>23</v>
      </c>
      <c r="C122" s="9" t="s">
        <v>11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0"/>
        <v>BOM</v>
      </c>
    </row>
    <row r="123" spans="1:12" hidden="1" x14ac:dyDescent="0.25">
      <c r="A123" s="5">
        <v>46146</v>
      </c>
      <c r="B123" s="6" t="s">
        <v>23</v>
      </c>
      <c r="C123" s="3" t="s">
        <v>11</v>
      </c>
      <c r="D123" s="3">
        <v>37</v>
      </c>
      <c r="E123" s="3">
        <v>30</v>
      </c>
      <c r="G123" s="3">
        <v>1</v>
      </c>
      <c r="I123" s="3">
        <f t="shared" ref="I123:I132" si="17">E123+G123+H123</f>
        <v>31</v>
      </c>
      <c r="J123" s="3" t="str">
        <f t="shared" ref="J123:J132" si="18">IF(C123="Técnico III","35",IF(C123="Técnico II","28",IF(C123="Técnico I","23",IF(C123="JR","20",IF(C123="Estágio","10",)))))</f>
        <v>28</v>
      </c>
      <c r="K123" s="3">
        <f t="shared" ref="K123:K132" si="19">I123-J123</f>
        <v>3</v>
      </c>
      <c r="L123" s="3" t="str">
        <f t="shared" si="10"/>
        <v>BOM</v>
      </c>
    </row>
    <row r="124" spans="1:12" hidden="1" x14ac:dyDescent="0.25">
      <c r="A124" s="5">
        <v>46147</v>
      </c>
      <c r="B124" s="6" t="s">
        <v>23</v>
      </c>
      <c r="C124" s="3" t="s">
        <v>11</v>
      </c>
      <c r="D124" s="3">
        <v>23</v>
      </c>
      <c r="E124" s="3">
        <v>21</v>
      </c>
      <c r="G124" s="3">
        <v>9</v>
      </c>
      <c r="I124" s="3">
        <f t="shared" si="17"/>
        <v>30</v>
      </c>
      <c r="J124" s="3" t="str">
        <f t="shared" si="18"/>
        <v>28</v>
      </c>
      <c r="K124" s="3">
        <f t="shared" si="19"/>
        <v>2</v>
      </c>
      <c r="L124" s="3" t="str">
        <f t="shared" si="10"/>
        <v>BOM</v>
      </c>
    </row>
    <row r="125" spans="1:12" hidden="1" x14ac:dyDescent="0.25">
      <c r="A125" s="5">
        <v>46148</v>
      </c>
      <c r="B125" s="6" t="s">
        <v>23</v>
      </c>
      <c r="C125" s="3" t="s">
        <v>11</v>
      </c>
      <c r="D125" s="3">
        <v>40</v>
      </c>
      <c r="E125" s="3">
        <v>35</v>
      </c>
      <c r="G125" s="3">
        <v>1</v>
      </c>
      <c r="I125" s="3">
        <f t="shared" si="17"/>
        <v>36</v>
      </c>
      <c r="J125" s="3" t="str">
        <f t="shared" si="18"/>
        <v>28</v>
      </c>
      <c r="K125" s="3">
        <f t="shared" si="19"/>
        <v>8</v>
      </c>
      <c r="L125" s="3" t="str">
        <f t="shared" si="10"/>
        <v>EXCELENTE</v>
      </c>
    </row>
    <row r="126" spans="1:12" hidden="1" x14ac:dyDescent="0.25">
      <c r="A126" s="5">
        <v>46149</v>
      </c>
      <c r="B126" s="6" t="s">
        <v>23</v>
      </c>
      <c r="C126" s="3" t="s">
        <v>11</v>
      </c>
      <c r="D126" s="3">
        <v>17</v>
      </c>
      <c r="E126" s="3">
        <v>16</v>
      </c>
      <c r="G126" s="3">
        <v>4</v>
      </c>
      <c r="I126" s="3">
        <f t="shared" si="17"/>
        <v>20</v>
      </c>
      <c r="J126" s="3" t="str">
        <f t="shared" si="18"/>
        <v>28</v>
      </c>
      <c r="K126" s="3">
        <f t="shared" si="19"/>
        <v>-8</v>
      </c>
      <c r="L126" s="3" t="str">
        <f t="shared" si="10"/>
        <v>CRÍTICO</v>
      </c>
    </row>
    <row r="127" spans="1:12" hidden="1" x14ac:dyDescent="0.25">
      <c r="A127" s="5">
        <v>46150</v>
      </c>
      <c r="B127" s="6" t="s">
        <v>23</v>
      </c>
      <c r="C127" s="3" t="s">
        <v>11</v>
      </c>
      <c r="D127" s="3">
        <v>19</v>
      </c>
      <c r="E127" s="3">
        <v>17</v>
      </c>
      <c r="G127" s="3">
        <v>0</v>
      </c>
      <c r="H127" s="3">
        <v>0</v>
      </c>
      <c r="I127" s="3">
        <f t="shared" si="17"/>
        <v>17</v>
      </c>
      <c r="J127" s="3" t="str">
        <f t="shared" si="18"/>
        <v>28</v>
      </c>
      <c r="K127" s="3">
        <f t="shared" si="19"/>
        <v>-11</v>
      </c>
      <c r="L127" s="3" t="str">
        <f t="shared" si="10"/>
        <v>CRÍTICO</v>
      </c>
    </row>
    <row r="128" spans="1:12" hidden="1" x14ac:dyDescent="0.25">
      <c r="A128" s="5">
        <v>46153</v>
      </c>
      <c r="B128" s="6" t="s">
        <v>23</v>
      </c>
      <c r="C128" s="3" t="s">
        <v>11</v>
      </c>
      <c r="D128" s="3">
        <v>30</v>
      </c>
      <c r="E128" s="3">
        <v>27</v>
      </c>
      <c r="G128" s="3">
        <v>4</v>
      </c>
      <c r="I128" s="3">
        <f t="shared" si="17"/>
        <v>31</v>
      </c>
      <c r="J128" s="3" t="str">
        <f t="shared" si="18"/>
        <v>28</v>
      </c>
      <c r="K128" s="3">
        <f t="shared" si="19"/>
        <v>3</v>
      </c>
      <c r="L128" s="3" t="str">
        <f t="shared" si="10"/>
        <v>BOM</v>
      </c>
    </row>
    <row r="129" spans="1:12" hidden="1" x14ac:dyDescent="0.25">
      <c r="A129" s="5">
        <v>46154</v>
      </c>
      <c r="B129" s="6" t="s">
        <v>23</v>
      </c>
      <c r="C129" s="3" t="s">
        <v>11</v>
      </c>
      <c r="D129" s="3">
        <v>37</v>
      </c>
      <c r="E129" s="3">
        <v>30</v>
      </c>
      <c r="I129" s="3">
        <f t="shared" si="17"/>
        <v>30</v>
      </c>
      <c r="J129" s="3" t="str">
        <f t="shared" si="18"/>
        <v>28</v>
      </c>
      <c r="K129" s="3">
        <f t="shared" si="19"/>
        <v>2</v>
      </c>
      <c r="L129" s="3" t="str">
        <f t="shared" si="10"/>
        <v>BOM</v>
      </c>
    </row>
    <row r="130" spans="1:12" hidden="1" x14ac:dyDescent="0.25">
      <c r="A130" s="5">
        <v>46155</v>
      </c>
      <c r="B130" s="6" t="s">
        <v>23</v>
      </c>
      <c r="C130" s="3" t="s">
        <v>11</v>
      </c>
      <c r="D130" s="3">
        <v>12</v>
      </c>
      <c r="E130" s="3">
        <v>9</v>
      </c>
      <c r="G130" s="3">
        <v>4</v>
      </c>
      <c r="I130" s="3">
        <f t="shared" si="17"/>
        <v>13</v>
      </c>
      <c r="J130" s="3" t="str">
        <f t="shared" si="18"/>
        <v>28</v>
      </c>
      <c r="K130" s="3">
        <f t="shared" si="19"/>
        <v>-15</v>
      </c>
      <c r="L130" s="3" t="str">
        <f t="shared" ref="L130:L193" si="20">IF(K130&lt;-5,"CRÍTICO",IF(K130&lt;0,"ATENÇÃO",IF(K130&lt;=5,"BOM","EXCELENTE")))</f>
        <v>CRÍTICO</v>
      </c>
    </row>
    <row r="131" spans="1:12" hidden="1" x14ac:dyDescent="0.25">
      <c r="A131" s="5">
        <v>46156</v>
      </c>
      <c r="B131" s="6" t="s">
        <v>23</v>
      </c>
      <c r="C131" s="3" t="s">
        <v>11</v>
      </c>
      <c r="D131" s="3">
        <v>22</v>
      </c>
      <c r="E131" s="3">
        <v>18</v>
      </c>
      <c r="G131" s="3">
        <v>0</v>
      </c>
      <c r="H131" s="3">
        <v>0</v>
      </c>
      <c r="I131" s="3">
        <f t="shared" si="17"/>
        <v>18</v>
      </c>
      <c r="J131" s="3" t="str">
        <f t="shared" si="18"/>
        <v>28</v>
      </c>
      <c r="K131" s="3">
        <f t="shared" si="19"/>
        <v>-10</v>
      </c>
      <c r="L131" s="3" t="str">
        <f t="shared" si="20"/>
        <v>CRÍTICO</v>
      </c>
    </row>
    <row r="132" spans="1:12" hidden="1" x14ac:dyDescent="0.25">
      <c r="A132" s="5">
        <v>46157</v>
      </c>
      <c r="B132" s="6" t="s">
        <v>23</v>
      </c>
      <c r="C132" s="3" t="s">
        <v>11</v>
      </c>
      <c r="D132" s="3">
        <v>35</v>
      </c>
      <c r="E132" s="3">
        <v>31</v>
      </c>
      <c r="G132" s="3">
        <v>3</v>
      </c>
      <c r="H132" s="3">
        <v>0</v>
      </c>
      <c r="I132" s="3">
        <f t="shared" si="17"/>
        <v>34</v>
      </c>
      <c r="J132" s="3" t="str">
        <f t="shared" si="18"/>
        <v>28</v>
      </c>
      <c r="K132" s="3">
        <f t="shared" si="19"/>
        <v>6</v>
      </c>
      <c r="L132" s="3" t="str">
        <f t="shared" si="20"/>
        <v>EXCELENTE</v>
      </c>
    </row>
    <row r="133" spans="1:12" hidden="1" x14ac:dyDescent="0.25">
      <c r="A133" s="5">
        <v>46160</v>
      </c>
      <c r="B133" s="6" t="s">
        <v>23</v>
      </c>
      <c r="C133" s="3" t="s">
        <v>11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 t="str">
        <f t="shared" si="20"/>
        <v>BOM</v>
      </c>
    </row>
    <row r="134" spans="1:12" x14ac:dyDescent="0.25">
      <c r="A134" s="7">
        <v>46161</v>
      </c>
      <c r="B134" s="8" t="s">
        <v>24</v>
      </c>
      <c r="C134" s="9" t="s">
        <v>14</v>
      </c>
      <c r="D134" s="3">
        <v>21</v>
      </c>
      <c r="E134" s="3">
        <v>20</v>
      </c>
      <c r="G134" s="3">
        <v>1</v>
      </c>
      <c r="H134" s="3">
        <v>0</v>
      </c>
      <c r="I134" s="3">
        <f t="shared" ref="I134:I145" si="21">E134+G134+H134</f>
        <v>21</v>
      </c>
      <c r="J134" s="3" t="str">
        <f t="shared" ref="J134:J145" si="22">IF(C134="Técnico III","35",IF(C134="Técnico II","28",IF(C134="Técnico I","23",IF(C134="JR","20",IF(C134="Estágio","10",)))))</f>
        <v>23</v>
      </c>
      <c r="K134" s="3">
        <f t="shared" ref="K134:K145" si="23">I134-J134</f>
        <v>-2</v>
      </c>
      <c r="L134" s="3" t="str">
        <f t="shared" si="20"/>
        <v>ATENÇÃO</v>
      </c>
    </row>
    <row r="135" spans="1:12" hidden="1" x14ac:dyDescent="0.25">
      <c r="A135" s="5">
        <v>46146</v>
      </c>
      <c r="B135" s="6" t="s">
        <v>24</v>
      </c>
      <c r="C135" s="3" t="s">
        <v>14</v>
      </c>
      <c r="D135" s="3">
        <v>28</v>
      </c>
      <c r="E135" s="3">
        <v>27</v>
      </c>
      <c r="G135" s="3">
        <v>0</v>
      </c>
      <c r="I135" s="3">
        <f t="shared" si="21"/>
        <v>27</v>
      </c>
      <c r="J135" s="3" t="str">
        <f t="shared" si="22"/>
        <v>23</v>
      </c>
      <c r="K135" s="3">
        <f t="shared" si="23"/>
        <v>4</v>
      </c>
      <c r="L135" s="3" t="str">
        <f t="shared" si="20"/>
        <v>BOM</v>
      </c>
    </row>
    <row r="136" spans="1:12" hidden="1" x14ac:dyDescent="0.25">
      <c r="A136" s="5">
        <v>46147</v>
      </c>
      <c r="B136" s="6" t="s">
        <v>24</v>
      </c>
      <c r="C136" s="3" t="s">
        <v>14</v>
      </c>
      <c r="D136" s="3">
        <v>12</v>
      </c>
      <c r="E136" s="3">
        <v>12</v>
      </c>
      <c r="G136" s="3">
        <v>10</v>
      </c>
      <c r="I136" s="3">
        <f t="shared" si="21"/>
        <v>22</v>
      </c>
      <c r="J136" s="3" t="str">
        <f t="shared" si="22"/>
        <v>23</v>
      </c>
      <c r="K136" s="3">
        <f t="shared" si="23"/>
        <v>-1</v>
      </c>
      <c r="L136" s="3" t="str">
        <f t="shared" si="20"/>
        <v>ATENÇÃO</v>
      </c>
    </row>
    <row r="137" spans="1:12" hidden="1" x14ac:dyDescent="0.25">
      <c r="A137" s="5">
        <v>46148</v>
      </c>
      <c r="B137" s="6" t="s">
        <v>24</v>
      </c>
      <c r="C137" s="3" t="s">
        <v>14</v>
      </c>
      <c r="D137" s="3">
        <v>19</v>
      </c>
      <c r="E137" s="3">
        <v>16</v>
      </c>
      <c r="G137" s="3">
        <v>0</v>
      </c>
      <c r="I137" s="3">
        <f t="shared" si="21"/>
        <v>16</v>
      </c>
      <c r="J137" s="3" t="str">
        <f t="shared" si="22"/>
        <v>23</v>
      </c>
      <c r="K137" s="3">
        <f t="shared" si="23"/>
        <v>-7</v>
      </c>
      <c r="L137" s="3" t="str">
        <f t="shared" si="20"/>
        <v>CRÍTICO</v>
      </c>
    </row>
    <row r="138" spans="1:12" hidden="1" x14ac:dyDescent="0.25">
      <c r="A138" s="5">
        <v>46149</v>
      </c>
      <c r="B138" s="6" t="s">
        <v>24</v>
      </c>
      <c r="C138" s="3" t="s">
        <v>14</v>
      </c>
      <c r="D138" s="3">
        <v>17</v>
      </c>
      <c r="E138" s="3">
        <v>17</v>
      </c>
      <c r="G138" s="3">
        <v>7</v>
      </c>
      <c r="I138" s="3">
        <f t="shared" si="21"/>
        <v>24</v>
      </c>
      <c r="J138" s="3" t="str">
        <f t="shared" si="22"/>
        <v>23</v>
      </c>
      <c r="K138" s="3">
        <f t="shared" si="23"/>
        <v>1</v>
      </c>
      <c r="L138" s="3" t="str">
        <f t="shared" si="20"/>
        <v>BOM</v>
      </c>
    </row>
    <row r="139" spans="1:12" hidden="1" x14ac:dyDescent="0.25">
      <c r="A139" s="5">
        <v>46150</v>
      </c>
      <c r="B139" s="6" t="s">
        <v>24</v>
      </c>
      <c r="C139" s="3" t="s">
        <v>14</v>
      </c>
      <c r="D139" s="3">
        <v>16</v>
      </c>
      <c r="E139" s="3">
        <v>16</v>
      </c>
      <c r="G139" s="3">
        <v>0</v>
      </c>
      <c r="H139" s="3">
        <v>0</v>
      </c>
      <c r="I139" s="3">
        <f t="shared" si="21"/>
        <v>16</v>
      </c>
      <c r="J139" s="3" t="str">
        <f t="shared" si="22"/>
        <v>23</v>
      </c>
      <c r="K139" s="3">
        <f t="shared" si="23"/>
        <v>-7</v>
      </c>
      <c r="L139" s="3" t="str">
        <f t="shared" si="20"/>
        <v>CRÍTICO</v>
      </c>
    </row>
    <row r="140" spans="1:12" hidden="1" x14ac:dyDescent="0.25">
      <c r="A140" s="5">
        <v>46153</v>
      </c>
      <c r="B140" s="6" t="s">
        <v>24</v>
      </c>
      <c r="C140" s="3" t="s">
        <v>14</v>
      </c>
      <c r="D140" s="3">
        <v>24</v>
      </c>
      <c r="E140" s="3">
        <v>20</v>
      </c>
      <c r="G140" s="3">
        <v>2</v>
      </c>
      <c r="I140" s="3">
        <f t="shared" si="21"/>
        <v>22</v>
      </c>
      <c r="J140" s="3" t="str">
        <f t="shared" si="22"/>
        <v>23</v>
      </c>
      <c r="K140" s="3">
        <f t="shared" si="23"/>
        <v>-1</v>
      </c>
      <c r="L140" s="3" t="str">
        <f t="shared" si="20"/>
        <v>ATENÇÃO</v>
      </c>
    </row>
    <row r="141" spans="1:12" hidden="1" x14ac:dyDescent="0.25">
      <c r="A141" s="5">
        <v>46154</v>
      </c>
      <c r="B141" s="6" t="s">
        <v>24</v>
      </c>
      <c r="C141" s="3" t="s">
        <v>14</v>
      </c>
      <c r="D141" s="3">
        <v>28</v>
      </c>
      <c r="E141" s="3">
        <v>26</v>
      </c>
      <c r="I141" s="3">
        <f t="shared" si="21"/>
        <v>26</v>
      </c>
      <c r="J141" s="3" t="str">
        <f t="shared" si="22"/>
        <v>23</v>
      </c>
      <c r="K141" s="3">
        <f t="shared" si="23"/>
        <v>3</v>
      </c>
      <c r="L141" s="3" t="str">
        <f t="shared" si="20"/>
        <v>BOM</v>
      </c>
    </row>
    <row r="142" spans="1:12" hidden="1" x14ac:dyDescent="0.25">
      <c r="A142" s="5">
        <v>46155</v>
      </c>
      <c r="B142" s="6" t="s">
        <v>24</v>
      </c>
      <c r="C142" s="3" t="s">
        <v>14</v>
      </c>
      <c r="D142" s="3">
        <v>17</v>
      </c>
      <c r="E142" s="3">
        <v>16</v>
      </c>
      <c r="G142" s="3">
        <v>5</v>
      </c>
      <c r="I142" s="3">
        <f t="shared" si="21"/>
        <v>21</v>
      </c>
      <c r="J142" s="3" t="str">
        <f t="shared" si="22"/>
        <v>23</v>
      </c>
      <c r="K142" s="3">
        <f t="shared" si="23"/>
        <v>-2</v>
      </c>
      <c r="L142" s="3" t="str">
        <f t="shared" si="20"/>
        <v>ATENÇÃO</v>
      </c>
    </row>
    <row r="143" spans="1:12" hidden="1" x14ac:dyDescent="0.25">
      <c r="A143" s="5">
        <v>46156</v>
      </c>
      <c r="B143" s="6" t="s">
        <v>24</v>
      </c>
      <c r="C143" s="3" t="s">
        <v>14</v>
      </c>
      <c r="D143" s="3">
        <v>30</v>
      </c>
      <c r="E143" s="3">
        <v>28</v>
      </c>
      <c r="G143" s="3">
        <v>1</v>
      </c>
      <c r="H143" s="3">
        <v>0</v>
      </c>
      <c r="I143" s="3">
        <f t="shared" si="21"/>
        <v>29</v>
      </c>
      <c r="J143" s="3" t="str">
        <f t="shared" si="22"/>
        <v>23</v>
      </c>
      <c r="K143" s="3">
        <f t="shared" si="23"/>
        <v>6</v>
      </c>
      <c r="L143" s="3" t="str">
        <f t="shared" si="20"/>
        <v>EXCELENTE</v>
      </c>
    </row>
    <row r="144" spans="1:12" hidden="1" x14ac:dyDescent="0.25">
      <c r="A144" s="5">
        <v>46157</v>
      </c>
      <c r="B144" s="6" t="s">
        <v>24</v>
      </c>
      <c r="C144" s="3" t="s">
        <v>14</v>
      </c>
      <c r="D144" s="3">
        <v>18</v>
      </c>
      <c r="E144" s="3">
        <v>18</v>
      </c>
      <c r="G144" s="3">
        <v>3</v>
      </c>
      <c r="H144" s="3">
        <v>0</v>
      </c>
      <c r="I144" s="3">
        <f t="shared" si="21"/>
        <v>21</v>
      </c>
      <c r="J144" s="3" t="str">
        <f t="shared" si="22"/>
        <v>23</v>
      </c>
      <c r="K144" s="3">
        <f t="shared" si="23"/>
        <v>-2</v>
      </c>
      <c r="L144" s="3" t="str">
        <f t="shared" si="20"/>
        <v>ATENÇÃO</v>
      </c>
    </row>
    <row r="145" spans="1:12" hidden="1" x14ac:dyDescent="0.25">
      <c r="A145" s="5">
        <v>46160</v>
      </c>
      <c r="B145" s="6" t="s">
        <v>24</v>
      </c>
      <c r="C145" s="3" t="s">
        <v>14</v>
      </c>
      <c r="D145" s="3">
        <v>20</v>
      </c>
      <c r="E145" s="3">
        <v>19</v>
      </c>
      <c r="G145" s="3">
        <v>3</v>
      </c>
      <c r="H145" s="3">
        <v>0</v>
      </c>
      <c r="I145" s="3">
        <f t="shared" si="21"/>
        <v>22</v>
      </c>
      <c r="J145" s="3" t="str">
        <f t="shared" si="22"/>
        <v>23</v>
      </c>
      <c r="K145" s="3">
        <f t="shared" si="23"/>
        <v>-1</v>
      </c>
      <c r="L145" s="3" t="str">
        <f t="shared" si="20"/>
        <v>ATENÇÃO</v>
      </c>
    </row>
    <row r="146" spans="1:12" x14ac:dyDescent="0.25">
      <c r="A146" s="7">
        <v>46161</v>
      </c>
      <c r="B146" s="8" t="s">
        <v>25</v>
      </c>
      <c r="C146" s="9" t="s">
        <v>12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 t="str">
        <f t="shared" si="20"/>
        <v>BOM</v>
      </c>
    </row>
    <row r="147" spans="1:12" hidden="1" x14ac:dyDescent="0.25">
      <c r="A147" s="5">
        <v>46146</v>
      </c>
      <c r="B147" s="6" t="s">
        <v>25</v>
      </c>
      <c r="C147" s="9" t="s">
        <v>12</v>
      </c>
      <c r="D147" s="3">
        <v>21</v>
      </c>
      <c r="E147" s="3">
        <v>20</v>
      </c>
      <c r="G147" s="3">
        <v>4</v>
      </c>
      <c r="I147" s="3">
        <f t="shared" ref="I147:I156" si="24">E147+G147+H147</f>
        <v>24</v>
      </c>
      <c r="J147" s="3" t="str">
        <f t="shared" ref="J147:J156" si="25">IF(C147="Técnico III","35",IF(C147="Técnico II","28",IF(C147="Técnico I","23",IF(C147="JR","20",IF(C147="Estágio","10",)))))</f>
        <v>35</v>
      </c>
      <c r="K147" s="3">
        <f t="shared" ref="K147:K156" si="26">I147-J147</f>
        <v>-11</v>
      </c>
      <c r="L147" s="3" t="str">
        <f t="shared" si="20"/>
        <v>CRÍTICO</v>
      </c>
    </row>
    <row r="148" spans="1:12" hidden="1" x14ac:dyDescent="0.25">
      <c r="A148" s="5">
        <v>46147</v>
      </c>
      <c r="B148" s="6" t="s">
        <v>25</v>
      </c>
      <c r="C148" s="9" t="s">
        <v>12</v>
      </c>
      <c r="D148" s="3">
        <v>27</v>
      </c>
      <c r="E148" s="3">
        <v>27</v>
      </c>
      <c r="G148" s="3">
        <v>0</v>
      </c>
      <c r="I148" s="3">
        <f t="shared" si="24"/>
        <v>27</v>
      </c>
      <c r="J148" s="3" t="str">
        <f t="shared" si="25"/>
        <v>35</v>
      </c>
      <c r="K148" s="3">
        <f t="shared" si="26"/>
        <v>-8</v>
      </c>
      <c r="L148" s="3" t="str">
        <f t="shared" si="20"/>
        <v>CRÍTICO</v>
      </c>
    </row>
    <row r="149" spans="1:12" hidden="1" x14ac:dyDescent="0.25">
      <c r="A149" s="5">
        <v>46148</v>
      </c>
      <c r="B149" s="6" t="s">
        <v>25</v>
      </c>
      <c r="C149" s="9" t="s">
        <v>12</v>
      </c>
      <c r="D149" s="3">
        <v>24</v>
      </c>
      <c r="E149" s="3">
        <v>22</v>
      </c>
      <c r="G149" s="3">
        <v>9</v>
      </c>
      <c r="I149" s="3">
        <f t="shared" si="24"/>
        <v>31</v>
      </c>
      <c r="J149" s="3" t="str">
        <f t="shared" si="25"/>
        <v>35</v>
      </c>
      <c r="K149" s="3">
        <f t="shared" si="26"/>
        <v>-4</v>
      </c>
      <c r="L149" s="3" t="str">
        <f t="shared" si="20"/>
        <v>ATENÇÃO</v>
      </c>
    </row>
    <row r="150" spans="1:12" hidden="1" x14ac:dyDescent="0.25">
      <c r="A150" s="5">
        <v>46149</v>
      </c>
      <c r="B150" s="6" t="s">
        <v>25</v>
      </c>
      <c r="C150" s="9" t="s">
        <v>12</v>
      </c>
      <c r="D150" s="3">
        <v>31</v>
      </c>
      <c r="E150" s="3">
        <v>30</v>
      </c>
      <c r="G150" s="3">
        <v>0</v>
      </c>
      <c r="I150" s="3">
        <f t="shared" si="24"/>
        <v>30</v>
      </c>
      <c r="J150" s="3" t="str">
        <f t="shared" si="25"/>
        <v>35</v>
      </c>
      <c r="K150" s="3">
        <f t="shared" si="26"/>
        <v>-5</v>
      </c>
      <c r="L150" s="3" t="str">
        <f t="shared" si="20"/>
        <v>ATENÇÃO</v>
      </c>
    </row>
    <row r="151" spans="1:12" hidden="1" x14ac:dyDescent="0.25">
      <c r="A151" s="5">
        <v>46150</v>
      </c>
      <c r="B151" s="6" t="s">
        <v>25</v>
      </c>
      <c r="C151" s="9" t="s">
        <v>12</v>
      </c>
      <c r="D151" s="3">
        <v>17</v>
      </c>
      <c r="E151" s="3">
        <v>17</v>
      </c>
      <c r="G151" s="3">
        <v>5</v>
      </c>
      <c r="H151" s="3">
        <v>0</v>
      </c>
      <c r="I151" s="3">
        <f t="shared" si="24"/>
        <v>22</v>
      </c>
      <c r="J151" s="3" t="str">
        <f t="shared" si="25"/>
        <v>35</v>
      </c>
      <c r="K151" s="3">
        <f t="shared" si="26"/>
        <v>-13</v>
      </c>
      <c r="L151" s="3" t="str">
        <f t="shared" si="20"/>
        <v>CRÍTICO</v>
      </c>
    </row>
    <row r="152" spans="1:12" hidden="1" x14ac:dyDescent="0.25">
      <c r="A152" s="5">
        <v>46153</v>
      </c>
      <c r="B152" s="6" t="s">
        <v>25</v>
      </c>
      <c r="C152" s="9" t="s">
        <v>12</v>
      </c>
      <c r="D152" s="3">
        <v>25</v>
      </c>
      <c r="E152" s="3">
        <v>25</v>
      </c>
      <c r="I152" s="3">
        <f t="shared" si="24"/>
        <v>25</v>
      </c>
      <c r="J152" s="3" t="str">
        <f t="shared" si="25"/>
        <v>35</v>
      </c>
      <c r="K152" s="3">
        <f t="shared" si="26"/>
        <v>-10</v>
      </c>
      <c r="L152" s="3" t="str">
        <f t="shared" si="20"/>
        <v>CRÍTICO</v>
      </c>
    </row>
    <row r="153" spans="1:12" hidden="1" x14ac:dyDescent="0.25">
      <c r="A153" s="5">
        <v>46154</v>
      </c>
      <c r="B153" s="6" t="s">
        <v>25</v>
      </c>
      <c r="C153" s="9" t="s">
        <v>12</v>
      </c>
      <c r="D153" s="3">
        <v>23</v>
      </c>
      <c r="E153" s="3">
        <v>23</v>
      </c>
      <c r="G153" s="3">
        <v>2</v>
      </c>
      <c r="I153" s="3">
        <f t="shared" si="24"/>
        <v>25</v>
      </c>
      <c r="J153" s="3" t="str">
        <f t="shared" si="25"/>
        <v>35</v>
      </c>
      <c r="K153" s="3">
        <f t="shared" si="26"/>
        <v>-10</v>
      </c>
      <c r="L153" s="3" t="str">
        <f t="shared" si="20"/>
        <v>CRÍTICO</v>
      </c>
    </row>
    <row r="154" spans="1:12" hidden="1" x14ac:dyDescent="0.25">
      <c r="A154" s="5">
        <v>46155</v>
      </c>
      <c r="B154" s="6" t="s">
        <v>25</v>
      </c>
      <c r="C154" s="9" t="s">
        <v>12</v>
      </c>
      <c r="D154" s="3">
        <v>23</v>
      </c>
      <c r="E154" s="3">
        <v>23</v>
      </c>
      <c r="I154" s="3">
        <f t="shared" si="24"/>
        <v>23</v>
      </c>
      <c r="J154" s="3" t="str">
        <f t="shared" si="25"/>
        <v>35</v>
      </c>
      <c r="K154" s="3">
        <f t="shared" si="26"/>
        <v>-12</v>
      </c>
      <c r="L154" s="3" t="str">
        <f t="shared" si="20"/>
        <v>CRÍTICO</v>
      </c>
    </row>
    <row r="155" spans="1:12" hidden="1" x14ac:dyDescent="0.25">
      <c r="A155" s="5">
        <v>46156</v>
      </c>
      <c r="B155" s="6" t="s">
        <v>25</v>
      </c>
      <c r="C155" s="9" t="s">
        <v>12</v>
      </c>
      <c r="D155" s="3">
        <v>22</v>
      </c>
      <c r="E155" s="3">
        <v>21</v>
      </c>
      <c r="G155" s="3">
        <v>5</v>
      </c>
      <c r="H155" s="3">
        <v>0</v>
      </c>
      <c r="I155" s="3">
        <f t="shared" si="24"/>
        <v>26</v>
      </c>
      <c r="J155" s="3" t="str">
        <f t="shared" si="25"/>
        <v>35</v>
      </c>
      <c r="K155" s="3">
        <f t="shared" si="26"/>
        <v>-9</v>
      </c>
      <c r="L155" s="3" t="str">
        <f t="shared" si="20"/>
        <v>CRÍTICO</v>
      </c>
    </row>
    <row r="156" spans="1:12" hidden="1" x14ac:dyDescent="0.25">
      <c r="A156" s="5">
        <v>46157</v>
      </c>
      <c r="B156" s="6" t="s">
        <v>25</v>
      </c>
      <c r="C156" s="9" t="s">
        <v>12</v>
      </c>
      <c r="D156" s="3">
        <v>20</v>
      </c>
      <c r="E156" s="3">
        <v>20</v>
      </c>
      <c r="G156" s="3">
        <v>3</v>
      </c>
      <c r="H156" s="3">
        <v>0</v>
      </c>
      <c r="I156" s="3">
        <f t="shared" si="24"/>
        <v>23</v>
      </c>
      <c r="J156" s="3" t="str">
        <f t="shared" si="25"/>
        <v>35</v>
      </c>
      <c r="K156" s="3">
        <f t="shared" si="26"/>
        <v>-12</v>
      </c>
      <c r="L156" s="3" t="str">
        <f t="shared" si="20"/>
        <v>CRÍTICO</v>
      </c>
    </row>
    <row r="157" spans="1:12" hidden="1" x14ac:dyDescent="0.25">
      <c r="A157" s="5">
        <v>46160</v>
      </c>
      <c r="B157" s="6" t="s">
        <v>25</v>
      </c>
      <c r="C157" s="9" t="s">
        <v>12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 t="str">
        <f t="shared" si="20"/>
        <v>BOM</v>
      </c>
    </row>
    <row r="158" spans="1:12" x14ac:dyDescent="0.25">
      <c r="A158" s="7">
        <v>46161</v>
      </c>
      <c r="B158" s="8" t="s">
        <v>26</v>
      </c>
      <c r="C158" s="9" t="s">
        <v>17</v>
      </c>
      <c r="D158" s="3">
        <v>17</v>
      </c>
      <c r="E158" s="3">
        <v>5</v>
      </c>
      <c r="G158" s="3">
        <v>0</v>
      </c>
      <c r="H158" s="3">
        <v>0</v>
      </c>
      <c r="I158" s="3">
        <f t="shared" ref="I158:I182" si="27">E158+G158+H158</f>
        <v>5</v>
      </c>
      <c r="J158" s="3" t="str">
        <f t="shared" ref="J158:J182" si="28">IF(C158="Técnico III","35",IF(C158="Técnico II","28",IF(C158="Técnico I","23",IF(C158="JR","20",IF(C158="Estágio","10",)))))</f>
        <v>10</v>
      </c>
      <c r="K158" s="3">
        <f t="shared" ref="K158:K182" si="29">I158-J158</f>
        <v>-5</v>
      </c>
      <c r="L158" s="3" t="str">
        <f t="shared" si="20"/>
        <v>ATENÇÃO</v>
      </c>
    </row>
    <row r="159" spans="1:12" hidden="1" x14ac:dyDescent="0.25">
      <c r="A159" s="5">
        <v>46146</v>
      </c>
      <c r="B159" s="6" t="s">
        <v>26</v>
      </c>
      <c r="C159" s="3" t="s">
        <v>17</v>
      </c>
      <c r="D159" s="3">
        <v>8</v>
      </c>
      <c r="E159" s="3">
        <v>8</v>
      </c>
      <c r="G159" s="3">
        <v>0</v>
      </c>
      <c r="I159" s="3">
        <f t="shared" si="27"/>
        <v>8</v>
      </c>
      <c r="J159" s="3" t="str">
        <f t="shared" si="28"/>
        <v>10</v>
      </c>
      <c r="K159" s="3">
        <f t="shared" si="29"/>
        <v>-2</v>
      </c>
      <c r="L159" s="3" t="str">
        <f t="shared" si="20"/>
        <v>ATENÇÃO</v>
      </c>
    </row>
    <row r="160" spans="1:12" hidden="1" x14ac:dyDescent="0.25">
      <c r="A160" s="5">
        <v>46147</v>
      </c>
      <c r="B160" s="6" t="s">
        <v>26</v>
      </c>
      <c r="C160" s="3" t="s">
        <v>17</v>
      </c>
      <c r="D160" s="3">
        <v>48</v>
      </c>
      <c r="E160" s="3">
        <v>32</v>
      </c>
      <c r="G160" s="3">
        <v>0</v>
      </c>
      <c r="H160" s="3">
        <v>0</v>
      </c>
      <c r="I160" s="3">
        <f t="shared" si="27"/>
        <v>32</v>
      </c>
      <c r="J160" s="3" t="str">
        <f t="shared" si="28"/>
        <v>10</v>
      </c>
      <c r="K160" s="3">
        <f t="shared" si="29"/>
        <v>22</v>
      </c>
      <c r="L160" s="3" t="str">
        <f t="shared" si="20"/>
        <v>EXCELENTE</v>
      </c>
    </row>
    <row r="161" spans="1:12" hidden="1" x14ac:dyDescent="0.25">
      <c r="A161" s="5">
        <v>46148</v>
      </c>
      <c r="B161" s="6" t="s">
        <v>26</v>
      </c>
      <c r="C161" s="3" t="s">
        <v>17</v>
      </c>
      <c r="D161" s="3">
        <v>56</v>
      </c>
      <c r="E161" s="3">
        <v>43</v>
      </c>
      <c r="G161" s="3">
        <v>0</v>
      </c>
      <c r="H161" s="3">
        <v>0</v>
      </c>
      <c r="I161" s="3">
        <f t="shared" si="27"/>
        <v>43</v>
      </c>
      <c r="J161" s="3" t="str">
        <f t="shared" si="28"/>
        <v>10</v>
      </c>
      <c r="K161" s="3">
        <f t="shared" si="29"/>
        <v>33</v>
      </c>
      <c r="L161" s="3" t="str">
        <f t="shared" si="20"/>
        <v>EXCELENTE</v>
      </c>
    </row>
    <row r="162" spans="1:12" hidden="1" x14ac:dyDescent="0.25">
      <c r="A162" s="5">
        <v>46149</v>
      </c>
      <c r="B162" s="6" t="s">
        <v>26</v>
      </c>
      <c r="C162" s="3" t="s">
        <v>17</v>
      </c>
      <c r="D162" s="3">
        <v>51</v>
      </c>
      <c r="E162" s="3">
        <v>32</v>
      </c>
      <c r="G162" s="3">
        <v>0</v>
      </c>
      <c r="I162" s="3">
        <f t="shared" si="27"/>
        <v>32</v>
      </c>
      <c r="J162" s="3" t="str">
        <f t="shared" si="28"/>
        <v>10</v>
      </c>
      <c r="K162" s="3">
        <f t="shared" si="29"/>
        <v>22</v>
      </c>
      <c r="L162" s="3" t="str">
        <f t="shared" si="20"/>
        <v>EXCELENTE</v>
      </c>
    </row>
    <row r="163" spans="1:12" hidden="1" x14ac:dyDescent="0.25">
      <c r="A163" s="5">
        <v>46150</v>
      </c>
      <c r="B163" s="6" t="s">
        <v>26</v>
      </c>
      <c r="C163" s="3" t="s">
        <v>17</v>
      </c>
      <c r="D163" s="3">
        <v>9</v>
      </c>
      <c r="E163" s="3">
        <v>8</v>
      </c>
      <c r="G163" s="3">
        <v>0</v>
      </c>
      <c r="H163" s="3">
        <v>0</v>
      </c>
      <c r="I163" s="3">
        <f t="shared" si="27"/>
        <v>8</v>
      </c>
      <c r="J163" s="3" t="str">
        <f t="shared" si="28"/>
        <v>10</v>
      </c>
      <c r="K163" s="3">
        <f t="shared" si="29"/>
        <v>-2</v>
      </c>
      <c r="L163" s="3" t="str">
        <f t="shared" si="20"/>
        <v>ATENÇÃO</v>
      </c>
    </row>
    <row r="164" spans="1:12" hidden="1" x14ac:dyDescent="0.25">
      <c r="A164" s="5">
        <v>46153</v>
      </c>
      <c r="B164" s="6" t="s">
        <v>26</v>
      </c>
      <c r="C164" s="3" t="s">
        <v>17</v>
      </c>
      <c r="D164" s="3">
        <v>8</v>
      </c>
      <c r="E164" s="3">
        <v>5</v>
      </c>
      <c r="I164" s="3">
        <f t="shared" si="27"/>
        <v>5</v>
      </c>
      <c r="J164" s="3" t="str">
        <f t="shared" si="28"/>
        <v>10</v>
      </c>
      <c r="K164" s="3">
        <f t="shared" si="29"/>
        <v>-5</v>
      </c>
      <c r="L164" s="3" t="str">
        <f t="shared" si="20"/>
        <v>ATENÇÃO</v>
      </c>
    </row>
    <row r="165" spans="1:12" hidden="1" x14ac:dyDescent="0.25">
      <c r="A165" s="5">
        <v>46154</v>
      </c>
      <c r="B165" s="6" t="s">
        <v>26</v>
      </c>
      <c r="C165" s="3" t="s">
        <v>17</v>
      </c>
      <c r="D165" s="3">
        <v>28</v>
      </c>
      <c r="E165" s="3">
        <v>16</v>
      </c>
      <c r="I165" s="3">
        <f t="shared" si="27"/>
        <v>16</v>
      </c>
      <c r="J165" s="3" t="str">
        <f t="shared" si="28"/>
        <v>10</v>
      </c>
      <c r="K165" s="3">
        <f t="shared" si="29"/>
        <v>6</v>
      </c>
      <c r="L165" s="3" t="str">
        <f t="shared" si="20"/>
        <v>EXCELENTE</v>
      </c>
    </row>
    <row r="166" spans="1:12" hidden="1" x14ac:dyDescent="0.25">
      <c r="A166" s="5">
        <v>46155</v>
      </c>
      <c r="B166" s="6" t="s">
        <v>26</v>
      </c>
      <c r="C166" s="3" t="s">
        <v>17</v>
      </c>
      <c r="D166" s="3">
        <v>60</v>
      </c>
      <c r="E166" s="3">
        <v>19</v>
      </c>
      <c r="I166" s="3">
        <f t="shared" si="27"/>
        <v>19</v>
      </c>
      <c r="J166" s="3" t="str">
        <f t="shared" si="28"/>
        <v>10</v>
      </c>
      <c r="K166" s="3">
        <f t="shared" si="29"/>
        <v>9</v>
      </c>
      <c r="L166" s="3" t="str">
        <f t="shared" si="20"/>
        <v>EXCELENTE</v>
      </c>
    </row>
    <row r="167" spans="1:12" hidden="1" x14ac:dyDescent="0.25">
      <c r="A167" s="5">
        <v>46156</v>
      </c>
      <c r="B167" s="6" t="s">
        <v>26</v>
      </c>
      <c r="C167" s="3" t="s">
        <v>17</v>
      </c>
      <c r="D167" s="3">
        <v>21</v>
      </c>
      <c r="E167" s="3">
        <v>10</v>
      </c>
      <c r="G167" s="3">
        <v>5</v>
      </c>
      <c r="H167" s="3">
        <v>0</v>
      </c>
      <c r="I167" s="3">
        <f t="shared" si="27"/>
        <v>15</v>
      </c>
      <c r="J167" s="3" t="str">
        <f t="shared" si="28"/>
        <v>10</v>
      </c>
      <c r="K167" s="3">
        <f t="shared" si="29"/>
        <v>5</v>
      </c>
      <c r="L167" s="3" t="str">
        <f t="shared" si="20"/>
        <v>BOM</v>
      </c>
    </row>
    <row r="168" spans="1:12" hidden="1" x14ac:dyDescent="0.25">
      <c r="A168" s="5">
        <v>46157</v>
      </c>
      <c r="B168" s="6" t="s">
        <v>26</v>
      </c>
      <c r="C168" s="3" t="s">
        <v>17</v>
      </c>
      <c r="D168" s="3">
        <v>39</v>
      </c>
      <c r="E168" s="3">
        <v>24</v>
      </c>
      <c r="G168" s="3">
        <v>0</v>
      </c>
      <c r="H168" s="3">
        <v>0</v>
      </c>
      <c r="I168" s="3">
        <f t="shared" si="27"/>
        <v>24</v>
      </c>
      <c r="J168" s="3" t="str">
        <f t="shared" si="28"/>
        <v>10</v>
      </c>
      <c r="K168" s="3">
        <f t="shared" si="29"/>
        <v>14</v>
      </c>
      <c r="L168" s="3" t="str">
        <f t="shared" si="20"/>
        <v>EXCELENTE</v>
      </c>
    </row>
    <row r="169" spans="1:12" hidden="1" x14ac:dyDescent="0.25">
      <c r="A169" s="5">
        <v>46160</v>
      </c>
      <c r="B169" s="6" t="s">
        <v>26</v>
      </c>
      <c r="C169" s="3" t="s">
        <v>17</v>
      </c>
      <c r="D169" s="3">
        <v>32</v>
      </c>
      <c r="E169" s="3">
        <v>13</v>
      </c>
      <c r="G169" s="3">
        <v>0</v>
      </c>
      <c r="H169" s="3">
        <v>0</v>
      </c>
      <c r="I169" s="3">
        <f t="shared" si="27"/>
        <v>13</v>
      </c>
      <c r="J169" s="3" t="str">
        <f t="shared" si="28"/>
        <v>10</v>
      </c>
      <c r="K169" s="3">
        <f t="shared" si="29"/>
        <v>3</v>
      </c>
      <c r="L169" s="3" t="str">
        <f t="shared" si="20"/>
        <v>BOM</v>
      </c>
    </row>
    <row r="170" spans="1:12" x14ac:dyDescent="0.25">
      <c r="A170" s="7">
        <v>46161</v>
      </c>
      <c r="B170" s="8" t="s">
        <v>27</v>
      </c>
      <c r="C170" s="9" t="s">
        <v>11</v>
      </c>
      <c r="D170" s="3">
        <v>23</v>
      </c>
      <c r="E170" s="3">
        <v>22</v>
      </c>
      <c r="G170" s="3">
        <v>2</v>
      </c>
      <c r="H170" s="3">
        <v>0</v>
      </c>
      <c r="I170" s="3">
        <f t="shared" si="27"/>
        <v>24</v>
      </c>
      <c r="J170" s="3" t="str">
        <f t="shared" si="28"/>
        <v>28</v>
      </c>
      <c r="K170" s="3">
        <f t="shared" si="29"/>
        <v>-4</v>
      </c>
      <c r="L170" s="3" t="str">
        <f t="shared" si="20"/>
        <v>ATENÇÃO</v>
      </c>
    </row>
    <row r="171" spans="1:12" hidden="1" x14ac:dyDescent="0.25">
      <c r="A171" s="5">
        <v>46146</v>
      </c>
      <c r="B171" s="6" t="s">
        <v>27</v>
      </c>
      <c r="C171" s="3" t="s">
        <v>11</v>
      </c>
      <c r="D171" s="3">
        <v>31</v>
      </c>
      <c r="E171" s="3">
        <v>28</v>
      </c>
      <c r="G171" s="3">
        <v>7</v>
      </c>
      <c r="I171" s="3">
        <f t="shared" si="27"/>
        <v>35</v>
      </c>
      <c r="J171" s="3" t="str">
        <f t="shared" si="28"/>
        <v>28</v>
      </c>
      <c r="K171" s="3">
        <f t="shared" si="29"/>
        <v>7</v>
      </c>
      <c r="L171" s="3" t="str">
        <f t="shared" si="20"/>
        <v>EXCELENTE</v>
      </c>
    </row>
    <row r="172" spans="1:12" hidden="1" x14ac:dyDescent="0.25">
      <c r="A172" s="5">
        <v>46147</v>
      </c>
      <c r="B172" s="6" t="s">
        <v>27</v>
      </c>
      <c r="C172" s="3" t="s">
        <v>11</v>
      </c>
      <c r="D172" s="3">
        <v>34</v>
      </c>
      <c r="E172" s="3">
        <v>31</v>
      </c>
      <c r="G172" s="3">
        <v>3</v>
      </c>
      <c r="I172" s="3">
        <f t="shared" si="27"/>
        <v>34</v>
      </c>
      <c r="J172" s="3" t="str">
        <f t="shared" si="28"/>
        <v>28</v>
      </c>
      <c r="K172" s="3">
        <f t="shared" si="29"/>
        <v>6</v>
      </c>
      <c r="L172" s="3" t="str">
        <f t="shared" si="20"/>
        <v>EXCELENTE</v>
      </c>
    </row>
    <row r="173" spans="1:12" hidden="1" x14ac:dyDescent="0.25">
      <c r="A173" s="5">
        <v>46148</v>
      </c>
      <c r="B173" s="6" t="s">
        <v>27</v>
      </c>
      <c r="C173" s="3" t="s">
        <v>11</v>
      </c>
      <c r="D173" s="3">
        <v>15</v>
      </c>
      <c r="E173" s="3">
        <v>14</v>
      </c>
      <c r="G173" s="3">
        <v>9</v>
      </c>
      <c r="I173" s="3">
        <f t="shared" si="27"/>
        <v>23</v>
      </c>
      <c r="J173" s="3" t="str">
        <f t="shared" si="28"/>
        <v>28</v>
      </c>
      <c r="K173" s="3">
        <f t="shared" si="29"/>
        <v>-5</v>
      </c>
      <c r="L173" s="3" t="str">
        <f t="shared" si="20"/>
        <v>ATENÇÃO</v>
      </c>
    </row>
    <row r="174" spans="1:12" hidden="1" x14ac:dyDescent="0.25">
      <c r="A174" s="5">
        <v>46149</v>
      </c>
      <c r="B174" s="6" t="s">
        <v>27</v>
      </c>
      <c r="C174" s="3" t="s">
        <v>11</v>
      </c>
      <c r="D174" s="3">
        <v>30</v>
      </c>
      <c r="E174" s="3">
        <v>29</v>
      </c>
      <c r="G174" s="3">
        <v>2</v>
      </c>
      <c r="I174" s="3">
        <f t="shared" si="27"/>
        <v>31</v>
      </c>
      <c r="J174" s="3" t="str">
        <f t="shared" si="28"/>
        <v>28</v>
      </c>
      <c r="K174" s="3">
        <f t="shared" si="29"/>
        <v>3</v>
      </c>
      <c r="L174" s="3" t="str">
        <f t="shared" si="20"/>
        <v>BOM</v>
      </c>
    </row>
    <row r="175" spans="1:12" hidden="1" x14ac:dyDescent="0.25">
      <c r="A175" s="5">
        <v>46150</v>
      </c>
      <c r="B175" s="6" t="s">
        <v>27</v>
      </c>
      <c r="C175" s="3" t="s">
        <v>11</v>
      </c>
      <c r="D175" s="3">
        <v>25</v>
      </c>
      <c r="E175" s="3">
        <v>23</v>
      </c>
      <c r="G175" s="3">
        <v>6</v>
      </c>
      <c r="H175" s="3">
        <v>0</v>
      </c>
      <c r="I175" s="3">
        <f t="shared" si="27"/>
        <v>29</v>
      </c>
      <c r="J175" s="3" t="str">
        <f t="shared" si="28"/>
        <v>28</v>
      </c>
      <c r="K175" s="3">
        <f t="shared" si="29"/>
        <v>1</v>
      </c>
      <c r="L175" s="3" t="str">
        <f t="shared" si="20"/>
        <v>BOM</v>
      </c>
    </row>
    <row r="176" spans="1:12" hidden="1" x14ac:dyDescent="0.25">
      <c r="A176" s="5">
        <v>46153</v>
      </c>
      <c r="B176" s="6" t="s">
        <v>27</v>
      </c>
      <c r="C176" s="3" t="s">
        <v>11</v>
      </c>
      <c r="D176" s="3">
        <v>28</v>
      </c>
      <c r="E176" s="3">
        <v>27</v>
      </c>
      <c r="G176" s="3">
        <v>4</v>
      </c>
      <c r="I176" s="3">
        <f t="shared" si="27"/>
        <v>31</v>
      </c>
      <c r="J176" s="3" t="str">
        <f t="shared" si="28"/>
        <v>28</v>
      </c>
      <c r="K176" s="3">
        <f t="shared" si="29"/>
        <v>3</v>
      </c>
      <c r="L176" s="3" t="str">
        <f t="shared" si="20"/>
        <v>BOM</v>
      </c>
    </row>
    <row r="177" spans="1:12" hidden="1" x14ac:dyDescent="0.25">
      <c r="A177" s="5">
        <v>46154</v>
      </c>
      <c r="B177" s="6" t="s">
        <v>27</v>
      </c>
      <c r="C177" s="3" t="s">
        <v>11</v>
      </c>
      <c r="D177" s="3">
        <v>25</v>
      </c>
      <c r="E177" s="3">
        <v>24</v>
      </c>
      <c r="G177" s="3">
        <v>5</v>
      </c>
      <c r="I177" s="3">
        <f t="shared" si="27"/>
        <v>29</v>
      </c>
      <c r="J177" s="3" t="str">
        <f t="shared" si="28"/>
        <v>28</v>
      </c>
      <c r="K177" s="3">
        <f t="shared" si="29"/>
        <v>1</v>
      </c>
      <c r="L177" s="3" t="str">
        <f t="shared" si="20"/>
        <v>BOM</v>
      </c>
    </row>
    <row r="178" spans="1:12" hidden="1" x14ac:dyDescent="0.25">
      <c r="A178" s="5">
        <v>46155</v>
      </c>
      <c r="B178" s="6" t="s">
        <v>27</v>
      </c>
      <c r="C178" s="3" t="s">
        <v>11</v>
      </c>
      <c r="D178" s="3">
        <v>28</v>
      </c>
      <c r="E178" s="3">
        <v>25</v>
      </c>
      <c r="G178" s="3">
        <v>2</v>
      </c>
      <c r="I178" s="3">
        <f t="shared" si="27"/>
        <v>27</v>
      </c>
      <c r="J178" s="3" t="str">
        <f t="shared" si="28"/>
        <v>28</v>
      </c>
      <c r="K178" s="3">
        <f t="shared" si="29"/>
        <v>-1</v>
      </c>
      <c r="L178" s="3" t="str">
        <f t="shared" si="20"/>
        <v>ATENÇÃO</v>
      </c>
    </row>
    <row r="179" spans="1:12" hidden="1" x14ac:dyDescent="0.25">
      <c r="A179" s="5">
        <v>46156</v>
      </c>
      <c r="B179" s="6" t="s">
        <v>27</v>
      </c>
      <c r="C179" s="3" t="s">
        <v>11</v>
      </c>
      <c r="D179" s="3">
        <v>14</v>
      </c>
      <c r="E179" s="3">
        <v>13</v>
      </c>
      <c r="G179" s="3">
        <v>0</v>
      </c>
      <c r="H179" s="3">
        <v>0</v>
      </c>
      <c r="I179" s="3">
        <f t="shared" si="27"/>
        <v>13</v>
      </c>
      <c r="J179" s="3" t="str">
        <f t="shared" si="28"/>
        <v>28</v>
      </c>
      <c r="K179" s="3">
        <f t="shared" si="29"/>
        <v>-15</v>
      </c>
      <c r="L179" s="3" t="str">
        <f t="shared" si="20"/>
        <v>CRÍTICO</v>
      </c>
    </row>
    <row r="180" spans="1:12" hidden="1" x14ac:dyDescent="0.25">
      <c r="A180" s="5">
        <v>46157</v>
      </c>
      <c r="B180" s="6" t="s">
        <v>27</v>
      </c>
      <c r="C180" s="3" t="s">
        <v>11</v>
      </c>
      <c r="D180" s="3">
        <v>27</v>
      </c>
      <c r="E180" s="3">
        <v>25</v>
      </c>
      <c r="G180" s="3">
        <v>2</v>
      </c>
      <c r="H180" s="3">
        <v>0</v>
      </c>
      <c r="I180" s="3">
        <f t="shared" si="27"/>
        <v>27</v>
      </c>
      <c r="J180" s="3" t="str">
        <f t="shared" si="28"/>
        <v>28</v>
      </c>
      <c r="K180" s="3">
        <f t="shared" si="29"/>
        <v>-1</v>
      </c>
      <c r="L180" s="3" t="str">
        <f t="shared" si="20"/>
        <v>ATENÇÃO</v>
      </c>
    </row>
    <row r="181" spans="1:12" hidden="1" x14ac:dyDescent="0.25">
      <c r="A181" s="5">
        <v>46160</v>
      </c>
      <c r="B181" s="6" t="s">
        <v>27</v>
      </c>
      <c r="C181" s="3" t="s">
        <v>11</v>
      </c>
      <c r="D181" s="3">
        <v>29</v>
      </c>
      <c r="E181" s="3">
        <v>27</v>
      </c>
      <c r="G181" s="3">
        <v>3</v>
      </c>
      <c r="H181" s="3">
        <v>0</v>
      </c>
      <c r="I181" s="3">
        <f t="shared" si="27"/>
        <v>30</v>
      </c>
      <c r="J181" s="3" t="str">
        <f t="shared" si="28"/>
        <v>28</v>
      </c>
      <c r="K181" s="3">
        <f t="shared" si="29"/>
        <v>2</v>
      </c>
      <c r="L181" s="3" t="str">
        <f t="shared" si="20"/>
        <v>BOM</v>
      </c>
    </row>
    <row r="182" spans="1:12" x14ac:dyDescent="0.25">
      <c r="A182" s="7">
        <v>46161</v>
      </c>
      <c r="B182" s="8" t="s">
        <v>62</v>
      </c>
      <c r="C182" s="9" t="s">
        <v>12</v>
      </c>
      <c r="D182" s="3">
        <v>12</v>
      </c>
      <c r="E182" s="3">
        <v>12</v>
      </c>
      <c r="G182" s="3">
        <v>0</v>
      </c>
      <c r="H182" s="3">
        <v>0</v>
      </c>
      <c r="I182" s="3">
        <f t="shared" si="27"/>
        <v>12</v>
      </c>
      <c r="J182" s="3" t="str">
        <f t="shared" si="28"/>
        <v>35</v>
      </c>
      <c r="K182" s="3">
        <f t="shared" si="29"/>
        <v>-23</v>
      </c>
      <c r="L182" s="3" t="str">
        <f t="shared" si="20"/>
        <v>CRÍTICO</v>
      </c>
    </row>
    <row r="183" spans="1:12" hidden="1" x14ac:dyDescent="0.25">
      <c r="A183" s="5">
        <v>46146</v>
      </c>
      <c r="B183" s="6" t="s">
        <v>62</v>
      </c>
      <c r="C183" s="9" t="s">
        <v>12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 t="str">
        <f t="shared" si="20"/>
        <v>BOM</v>
      </c>
    </row>
    <row r="184" spans="1:12" hidden="1" x14ac:dyDescent="0.25">
      <c r="A184" s="5">
        <v>46147</v>
      </c>
      <c r="B184" s="6" t="s">
        <v>62</v>
      </c>
      <c r="C184" s="9" t="s">
        <v>12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 t="str">
        <f t="shared" si="20"/>
        <v>BOM</v>
      </c>
    </row>
    <row r="185" spans="1:12" hidden="1" x14ac:dyDescent="0.25">
      <c r="A185" s="5">
        <v>46148</v>
      </c>
      <c r="B185" s="6" t="s">
        <v>62</v>
      </c>
      <c r="C185" s="9" t="s">
        <v>12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 t="str">
        <f t="shared" si="20"/>
        <v>BOM</v>
      </c>
    </row>
    <row r="186" spans="1:12" hidden="1" x14ac:dyDescent="0.25">
      <c r="A186" s="5">
        <v>46149</v>
      </c>
      <c r="B186" s="6" t="s">
        <v>62</v>
      </c>
      <c r="C186" s="9" t="s">
        <v>12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 t="str">
        <f t="shared" si="20"/>
        <v>BOM</v>
      </c>
    </row>
    <row r="187" spans="1:12" hidden="1" x14ac:dyDescent="0.25">
      <c r="A187" s="5">
        <v>46150</v>
      </c>
      <c r="B187" s="6" t="s">
        <v>62</v>
      </c>
      <c r="C187" s="9" t="s">
        <v>12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 t="str">
        <f t="shared" si="20"/>
        <v>BOM</v>
      </c>
    </row>
    <row r="188" spans="1:12" hidden="1" x14ac:dyDescent="0.25">
      <c r="A188" s="5">
        <v>46153</v>
      </c>
      <c r="B188" s="6" t="s">
        <v>62</v>
      </c>
      <c r="C188" s="9" t="s">
        <v>12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 t="str">
        <f t="shared" si="20"/>
        <v>BOM</v>
      </c>
    </row>
    <row r="189" spans="1:12" hidden="1" x14ac:dyDescent="0.25">
      <c r="A189" s="5">
        <v>46154</v>
      </c>
      <c r="B189" s="6" t="s">
        <v>62</v>
      </c>
      <c r="C189" s="9" t="s">
        <v>12</v>
      </c>
      <c r="D189" s="3">
        <v>0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 t="str">
        <f t="shared" si="20"/>
        <v>BOM</v>
      </c>
    </row>
    <row r="190" spans="1:12" hidden="1" x14ac:dyDescent="0.25">
      <c r="A190" s="5">
        <v>46155</v>
      </c>
      <c r="B190" s="6" t="s">
        <v>62</v>
      </c>
      <c r="C190" s="9" t="s">
        <v>12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 t="str">
        <f t="shared" si="20"/>
        <v>BOM</v>
      </c>
    </row>
    <row r="191" spans="1:12" hidden="1" x14ac:dyDescent="0.25">
      <c r="A191" s="5">
        <v>46156</v>
      </c>
      <c r="B191" s="6" t="s">
        <v>62</v>
      </c>
      <c r="C191" s="9" t="s">
        <v>12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 t="str">
        <f t="shared" si="20"/>
        <v>BOM</v>
      </c>
    </row>
    <row r="192" spans="1:12" x14ac:dyDescent="0.25">
      <c r="A192" s="7">
        <v>46161</v>
      </c>
      <c r="B192" s="8" t="s">
        <v>28</v>
      </c>
      <c r="C192" s="9" t="s">
        <v>11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 t="str">
        <f t="shared" si="20"/>
        <v>BOM</v>
      </c>
    </row>
    <row r="193" spans="1:12" hidden="1" x14ac:dyDescent="0.25">
      <c r="A193" s="5">
        <v>46146</v>
      </c>
      <c r="B193" s="6" t="s">
        <v>28</v>
      </c>
      <c r="C193" s="3" t="s">
        <v>11</v>
      </c>
      <c r="D193" s="3">
        <v>36</v>
      </c>
      <c r="E193" s="3">
        <v>33</v>
      </c>
      <c r="G193" s="3">
        <v>0</v>
      </c>
      <c r="I193" s="3">
        <f>E193+G193+H193</f>
        <v>33</v>
      </c>
      <c r="J193" s="3" t="str">
        <f>IF(C193="Técnico III","35",IF(C193="Técnico II","28",IF(C193="Técnico I","23",IF(C193="JR","20",IF(C193="Estágio","10",)))))</f>
        <v>28</v>
      </c>
      <c r="K193" s="3">
        <f>I193-J193</f>
        <v>5</v>
      </c>
      <c r="L193" s="3" t="str">
        <f t="shared" si="20"/>
        <v>BOM</v>
      </c>
    </row>
    <row r="194" spans="1:12" hidden="1" x14ac:dyDescent="0.25">
      <c r="A194" s="5">
        <v>46147</v>
      </c>
      <c r="B194" s="6" t="s">
        <v>28</v>
      </c>
      <c r="C194" s="3" t="s">
        <v>11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 t="str">
        <f t="shared" ref="L194:L257" si="30">IF(K194&lt;-5,"CRÍTICO",IF(K194&lt;0,"ATENÇÃO",IF(K194&lt;=5,"BOM","EXCELENTE")))</f>
        <v>BOM</v>
      </c>
    </row>
    <row r="195" spans="1:12" hidden="1" x14ac:dyDescent="0.25">
      <c r="A195" s="5">
        <v>46148</v>
      </c>
      <c r="B195" s="6" t="s">
        <v>28</v>
      </c>
      <c r="C195" s="3" t="s">
        <v>11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 t="str">
        <f t="shared" si="30"/>
        <v>BOM</v>
      </c>
    </row>
    <row r="196" spans="1:12" hidden="1" x14ac:dyDescent="0.25">
      <c r="A196" s="5">
        <v>46149</v>
      </c>
      <c r="B196" s="6" t="s">
        <v>28</v>
      </c>
      <c r="C196" s="3" t="s">
        <v>11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 t="str">
        <f t="shared" si="30"/>
        <v>BOM</v>
      </c>
    </row>
    <row r="197" spans="1:12" hidden="1" x14ac:dyDescent="0.25">
      <c r="A197" s="5">
        <v>46150</v>
      </c>
      <c r="B197" s="6" t="s">
        <v>28</v>
      </c>
      <c r="C197" s="3" t="s">
        <v>11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30"/>
        <v>BOM</v>
      </c>
    </row>
    <row r="198" spans="1:12" hidden="1" x14ac:dyDescent="0.25">
      <c r="A198" s="5">
        <v>46153</v>
      </c>
      <c r="B198" s="6" t="s">
        <v>28</v>
      </c>
      <c r="C198" s="3" t="s">
        <v>11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30"/>
        <v>BOM</v>
      </c>
    </row>
    <row r="199" spans="1:12" hidden="1" x14ac:dyDescent="0.25">
      <c r="A199" s="5">
        <v>46154</v>
      </c>
      <c r="B199" s="6" t="s">
        <v>28</v>
      </c>
      <c r="C199" s="3" t="s">
        <v>11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30"/>
        <v>BOM</v>
      </c>
    </row>
    <row r="200" spans="1:12" hidden="1" x14ac:dyDescent="0.25">
      <c r="A200" s="5">
        <v>46155</v>
      </c>
      <c r="B200" s="6" t="s">
        <v>28</v>
      </c>
      <c r="C200" s="3" t="s">
        <v>11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 t="str">
        <f t="shared" si="30"/>
        <v>BOM</v>
      </c>
    </row>
    <row r="201" spans="1:12" hidden="1" x14ac:dyDescent="0.25">
      <c r="A201" s="5">
        <v>46156</v>
      </c>
      <c r="B201" s="6" t="s">
        <v>28</v>
      </c>
      <c r="C201" s="3" t="s">
        <v>11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 t="str">
        <f t="shared" si="30"/>
        <v>BOM</v>
      </c>
    </row>
    <row r="202" spans="1:12" hidden="1" x14ac:dyDescent="0.25">
      <c r="A202" s="5">
        <v>46157</v>
      </c>
      <c r="B202" s="6" t="s">
        <v>28</v>
      </c>
      <c r="C202" s="3" t="s">
        <v>11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 t="str">
        <f t="shared" si="30"/>
        <v>BOM</v>
      </c>
    </row>
    <row r="203" spans="1:12" hidden="1" x14ac:dyDescent="0.25">
      <c r="A203" s="5">
        <v>46160</v>
      </c>
      <c r="B203" s="6" t="s">
        <v>28</v>
      </c>
      <c r="C203" s="3" t="s">
        <v>11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 t="str">
        <f t="shared" si="30"/>
        <v>BOM</v>
      </c>
    </row>
    <row r="204" spans="1:12" x14ac:dyDescent="0.25">
      <c r="A204" s="7">
        <v>46161</v>
      </c>
      <c r="B204" s="8" t="s">
        <v>29</v>
      </c>
      <c r="C204" s="9" t="s">
        <v>17</v>
      </c>
      <c r="D204" s="3">
        <v>4</v>
      </c>
      <c r="E204" s="3">
        <v>4</v>
      </c>
      <c r="G204" s="3">
        <v>0</v>
      </c>
      <c r="H204" s="3">
        <v>0</v>
      </c>
      <c r="I204" s="3">
        <f t="shared" ref="I204:I212" si="31">E204+G204+H204</f>
        <v>4</v>
      </c>
      <c r="J204" s="3" t="str">
        <f t="shared" ref="J204:J212" si="32">IF(C204="Técnico III","35",IF(C204="Técnico II","28",IF(C204="Técnico I","23",IF(C204="JR","20",IF(C204="Estágio","10",)))))</f>
        <v>10</v>
      </c>
      <c r="K204" s="3">
        <f t="shared" ref="K204:K212" si="33">I204-J204</f>
        <v>-6</v>
      </c>
      <c r="L204" s="3" t="str">
        <f t="shared" si="30"/>
        <v>CRÍTICO</v>
      </c>
    </row>
    <row r="205" spans="1:12" hidden="1" x14ac:dyDescent="0.25">
      <c r="A205" s="5">
        <v>46150</v>
      </c>
      <c r="B205" s="6" t="s">
        <v>29</v>
      </c>
      <c r="C205" s="3" t="s">
        <v>17</v>
      </c>
      <c r="D205" s="3">
        <v>46</v>
      </c>
      <c r="E205" s="3">
        <v>42</v>
      </c>
      <c r="G205" s="3">
        <v>0</v>
      </c>
      <c r="H205" s="3">
        <v>0</v>
      </c>
      <c r="I205" s="3">
        <f t="shared" si="31"/>
        <v>42</v>
      </c>
      <c r="J205" s="3" t="str">
        <f t="shared" si="32"/>
        <v>10</v>
      </c>
      <c r="K205" s="3">
        <f t="shared" si="33"/>
        <v>32</v>
      </c>
      <c r="L205" s="3" t="str">
        <f t="shared" si="30"/>
        <v>EXCELENTE</v>
      </c>
    </row>
    <row r="206" spans="1:12" hidden="1" x14ac:dyDescent="0.25">
      <c r="A206" s="5">
        <v>46157</v>
      </c>
      <c r="B206" s="6" t="s">
        <v>29</v>
      </c>
      <c r="C206" s="3" t="s">
        <v>17</v>
      </c>
      <c r="D206" s="3">
        <v>4</v>
      </c>
      <c r="E206" s="3">
        <v>4</v>
      </c>
      <c r="G206" s="3">
        <v>0</v>
      </c>
      <c r="H206" s="3">
        <v>0</v>
      </c>
      <c r="I206" s="3">
        <f t="shared" si="31"/>
        <v>4</v>
      </c>
      <c r="J206" s="3" t="str">
        <f t="shared" si="32"/>
        <v>10</v>
      </c>
      <c r="K206" s="3">
        <f t="shared" si="33"/>
        <v>-6</v>
      </c>
      <c r="L206" s="3" t="str">
        <f t="shared" si="30"/>
        <v>CRÍTICO</v>
      </c>
    </row>
    <row r="207" spans="1:12" hidden="1" x14ac:dyDescent="0.25">
      <c r="A207" s="5">
        <v>46160</v>
      </c>
      <c r="B207" s="6" t="s">
        <v>29</v>
      </c>
      <c r="C207" s="3" t="s">
        <v>17</v>
      </c>
      <c r="D207" s="3">
        <v>2</v>
      </c>
      <c r="E207" s="3">
        <v>2</v>
      </c>
      <c r="G207" s="3">
        <v>0</v>
      </c>
      <c r="H207" s="3">
        <v>0</v>
      </c>
      <c r="I207" s="3">
        <f t="shared" si="31"/>
        <v>2</v>
      </c>
      <c r="J207" s="3" t="str">
        <f t="shared" si="32"/>
        <v>10</v>
      </c>
      <c r="K207" s="3">
        <f t="shared" si="33"/>
        <v>-8</v>
      </c>
      <c r="L207" s="3" t="str">
        <f t="shared" si="30"/>
        <v>CRÍTICO</v>
      </c>
    </row>
    <row r="208" spans="1:12" x14ac:dyDescent="0.25">
      <c r="A208" s="7">
        <v>46161</v>
      </c>
      <c r="B208" s="8" t="s">
        <v>30</v>
      </c>
      <c r="C208" s="9" t="s">
        <v>14</v>
      </c>
      <c r="D208" s="3">
        <v>19</v>
      </c>
      <c r="E208" s="3">
        <v>18</v>
      </c>
      <c r="G208" s="3">
        <v>3</v>
      </c>
      <c r="H208" s="3">
        <v>3</v>
      </c>
      <c r="I208" s="3">
        <f t="shared" si="31"/>
        <v>24</v>
      </c>
      <c r="J208" s="3" t="str">
        <f t="shared" si="32"/>
        <v>23</v>
      </c>
      <c r="K208" s="3">
        <f t="shared" si="33"/>
        <v>1</v>
      </c>
      <c r="L208" s="3" t="str">
        <f t="shared" si="30"/>
        <v>BOM</v>
      </c>
    </row>
    <row r="209" spans="1:12" hidden="1" x14ac:dyDescent="0.25">
      <c r="A209" s="5">
        <v>46146</v>
      </c>
      <c r="B209" s="6" t="s">
        <v>30</v>
      </c>
      <c r="C209" s="3" t="s">
        <v>14</v>
      </c>
      <c r="D209" s="3">
        <v>24</v>
      </c>
      <c r="E209" s="3">
        <v>20</v>
      </c>
      <c r="G209" s="3">
        <v>7</v>
      </c>
      <c r="I209" s="3">
        <f t="shared" si="31"/>
        <v>27</v>
      </c>
      <c r="J209" s="3" t="str">
        <f t="shared" si="32"/>
        <v>23</v>
      </c>
      <c r="K209" s="3">
        <f t="shared" si="33"/>
        <v>4</v>
      </c>
      <c r="L209" s="3" t="str">
        <f t="shared" si="30"/>
        <v>BOM</v>
      </c>
    </row>
    <row r="210" spans="1:12" hidden="1" x14ac:dyDescent="0.25">
      <c r="A210" s="5">
        <v>46147</v>
      </c>
      <c r="B210" s="6" t="s">
        <v>30</v>
      </c>
      <c r="C210" s="3" t="s">
        <v>14</v>
      </c>
      <c r="D210" s="3">
        <v>13</v>
      </c>
      <c r="E210" s="3">
        <v>12</v>
      </c>
      <c r="G210" s="3">
        <v>9</v>
      </c>
      <c r="I210" s="3">
        <f t="shared" si="31"/>
        <v>21</v>
      </c>
      <c r="J210" s="3" t="str">
        <f t="shared" si="32"/>
        <v>23</v>
      </c>
      <c r="K210" s="3">
        <f t="shared" si="33"/>
        <v>-2</v>
      </c>
      <c r="L210" s="3" t="str">
        <f t="shared" si="30"/>
        <v>ATENÇÃO</v>
      </c>
    </row>
    <row r="211" spans="1:12" hidden="1" x14ac:dyDescent="0.25">
      <c r="A211" s="5">
        <v>46148</v>
      </c>
      <c r="B211" s="6" t="s">
        <v>30</v>
      </c>
      <c r="C211" s="3" t="s">
        <v>14</v>
      </c>
      <c r="D211" s="3">
        <v>23</v>
      </c>
      <c r="E211" s="3">
        <v>22</v>
      </c>
      <c r="G211" s="3">
        <v>9</v>
      </c>
      <c r="I211" s="3">
        <f t="shared" si="31"/>
        <v>31</v>
      </c>
      <c r="J211" s="3" t="str">
        <f t="shared" si="32"/>
        <v>23</v>
      </c>
      <c r="K211" s="3">
        <f t="shared" si="33"/>
        <v>8</v>
      </c>
      <c r="L211" s="3" t="str">
        <f t="shared" si="30"/>
        <v>EXCELENTE</v>
      </c>
    </row>
    <row r="212" spans="1:12" hidden="1" x14ac:dyDescent="0.25">
      <c r="A212" s="5">
        <v>46149</v>
      </c>
      <c r="B212" s="6" t="s">
        <v>30</v>
      </c>
      <c r="C212" s="3" t="s">
        <v>14</v>
      </c>
      <c r="D212" s="3">
        <v>26</v>
      </c>
      <c r="E212" s="3">
        <v>26</v>
      </c>
      <c r="G212" s="3">
        <v>2</v>
      </c>
      <c r="I212" s="3">
        <f t="shared" si="31"/>
        <v>28</v>
      </c>
      <c r="J212" s="3" t="str">
        <f t="shared" si="32"/>
        <v>23</v>
      </c>
      <c r="K212" s="3">
        <f t="shared" si="33"/>
        <v>5</v>
      </c>
      <c r="L212" s="3" t="str">
        <f t="shared" si="30"/>
        <v>BOM</v>
      </c>
    </row>
    <row r="213" spans="1:12" hidden="1" x14ac:dyDescent="0.25">
      <c r="A213" s="5">
        <v>46150</v>
      </c>
      <c r="B213" s="6" t="s">
        <v>30</v>
      </c>
      <c r="C213" s="3" t="s">
        <v>14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 t="str">
        <f t="shared" si="30"/>
        <v>BOM</v>
      </c>
    </row>
    <row r="214" spans="1:12" hidden="1" x14ac:dyDescent="0.25">
      <c r="A214" s="5">
        <v>46153</v>
      </c>
      <c r="B214" s="6" t="s">
        <v>30</v>
      </c>
      <c r="C214" s="3" t="s">
        <v>14</v>
      </c>
      <c r="D214" s="3">
        <v>25</v>
      </c>
      <c r="E214" s="3">
        <v>22</v>
      </c>
      <c r="G214" s="3">
        <v>5</v>
      </c>
      <c r="I214" s="3">
        <f t="shared" ref="I214:I245" si="34">E214+G214+H214</f>
        <v>27</v>
      </c>
      <c r="J214" s="3" t="str">
        <f t="shared" ref="J214:J245" si="35">IF(C214="Técnico III","35",IF(C214="Técnico II","28",IF(C214="Técnico I","23",IF(C214="JR","20",IF(C214="Estágio","10",)))))</f>
        <v>23</v>
      </c>
      <c r="K214" s="3">
        <f t="shared" ref="K214:K245" si="36">I214-J214</f>
        <v>4</v>
      </c>
      <c r="L214" s="3" t="str">
        <f t="shared" si="30"/>
        <v>BOM</v>
      </c>
    </row>
    <row r="215" spans="1:12" hidden="1" x14ac:dyDescent="0.25">
      <c r="A215" s="5">
        <v>46154</v>
      </c>
      <c r="B215" s="6" t="s">
        <v>30</v>
      </c>
      <c r="C215" s="3" t="s">
        <v>14</v>
      </c>
      <c r="D215" s="3">
        <v>17</v>
      </c>
      <c r="E215" s="3">
        <v>17</v>
      </c>
      <c r="H215" s="3">
        <v>7</v>
      </c>
      <c r="I215" s="3">
        <f t="shared" si="34"/>
        <v>24</v>
      </c>
      <c r="J215" s="3" t="str">
        <f t="shared" si="35"/>
        <v>23</v>
      </c>
      <c r="K215" s="3">
        <f t="shared" si="36"/>
        <v>1</v>
      </c>
      <c r="L215" s="3" t="str">
        <f t="shared" si="30"/>
        <v>BOM</v>
      </c>
    </row>
    <row r="216" spans="1:12" hidden="1" x14ac:dyDescent="0.25">
      <c r="A216" s="5">
        <v>46155</v>
      </c>
      <c r="B216" s="6" t="s">
        <v>30</v>
      </c>
      <c r="C216" s="3" t="s">
        <v>14</v>
      </c>
      <c r="D216" s="3">
        <v>20</v>
      </c>
      <c r="E216" s="3">
        <v>16</v>
      </c>
      <c r="G216" s="3">
        <v>11</v>
      </c>
      <c r="H216" s="3">
        <v>7</v>
      </c>
      <c r="I216" s="3">
        <f t="shared" si="34"/>
        <v>34</v>
      </c>
      <c r="J216" s="3" t="str">
        <f t="shared" si="35"/>
        <v>23</v>
      </c>
      <c r="K216" s="3">
        <f t="shared" si="36"/>
        <v>11</v>
      </c>
      <c r="L216" s="3" t="str">
        <f t="shared" si="30"/>
        <v>EXCELENTE</v>
      </c>
    </row>
    <row r="217" spans="1:12" hidden="1" x14ac:dyDescent="0.25">
      <c r="A217" s="5">
        <v>46156</v>
      </c>
      <c r="B217" s="6" t="s">
        <v>30</v>
      </c>
      <c r="C217" s="3" t="s">
        <v>14</v>
      </c>
      <c r="D217" s="3">
        <v>19</v>
      </c>
      <c r="E217" s="3">
        <v>18</v>
      </c>
      <c r="G217" s="3">
        <v>0</v>
      </c>
      <c r="H217" s="3">
        <v>5</v>
      </c>
      <c r="I217" s="3">
        <f t="shared" si="34"/>
        <v>23</v>
      </c>
      <c r="J217" s="3" t="str">
        <f t="shared" si="35"/>
        <v>23</v>
      </c>
      <c r="K217" s="3">
        <f t="shared" si="36"/>
        <v>0</v>
      </c>
      <c r="L217" s="3" t="str">
        <f t="shared" si="30"/>
        <v>BOM</v>
      </c>
    </row>
    <row r="218" spans="1:12" hidden="1" x14ac:dyDescent="0.25">
      <c r="A218" s="5">
        <v>46157</v>
      </c>
      <c r="B218" s="6" t="s">
        <v>30</v>
      </c>
      <c r="C218" s="3" t="s">
        <v>14</v>
      </c>
      <c r="D218" s="3">
        <v>19</v>
      </c>
      <c r="E218" s="3">
        <v>16</v>
      </c>
      <c r="G218" s="3">
        <v>6</v>
      </c>
      <c r="H218" s="3">
        <v>1</v>
      </c>
      <c r="I218" s="3">
        <f t="shared" si="34"/>
        <v>23</v>
      </c>
      <c r="J218" s="3" t="str">
        <f t="shared" si="35"/>
        <v>23</v>
      </c>
      <c r="K218" s="3">
        <f t="shared" si="36"/>
        <v>0</v>
      </c>
      <c r="L218" s="3" t="str">
        <f t="shared" si="30"/>
        <v>BOM</v>
      </c>
    </row>
    <row r="219" spans="1:12" hidden="1" x14ac:dyDescent="0.25">
      <c r="A219" s="5">
        <v>46160</v>
      </c>
      <c r="B219" s="6" t="s">
        <v>30</v>
      </c>
      <c r="C219" s="3" t="s">
        <v>14</v>
      </c>
      <c r="D219" s="3">
        <v>21</v>
      </c>
      <c r="E219" s="3">
        <v>18</v>
      </c>
      <c r="G219" s="3">
        <v>6</v>
      </c>
      <c r="H219" s="3">
        <v>1</v>
      </c>
      <c r="I219" s="3">
        <f t="shared" si="34"/>
        <v>25</v>
      </c>
      <c r="J219" s="3" t="str">
        <f t="shared" si="35"/>
        <v>23</v>
      </c>
      <c r="K219" s="3">
        <f t="shared" si="36"/>
        <v>2</v>
      </c>
      <c r="L219" s="3" t="str">
        <f t="shared" si="30"/>
        <v>BOM</v>
      </c>
    </row>
    <row r="220" spans="1:12" x14ac:dyDescent="0.25">
      <c r="A220" s="7">
        <v>46161</v>
      </c>
      <c r="B220" s="8" t="s">
        <v>31</v>
      </c>
      <c r="C220" s="9" t="s">
        <v>11</v>
      </c>
      <c r="D220" s="3">
        <v>28</v>
      </c>
      <c r="E220" s="3">
        <v>25</v>
      </c>
      <c r="G220" s="3">
        <v>0</v>
      </c>
      <c r="H220" s="3">
        <v>0</v>
      </c>
      <c r="I220" s="3">
        <f t="shared" si="34"/>
        <v>25</v>
      </c>
      <c r="J220" s="3" t="str">
        <f t="shared" si="35"/>
        <v>28</v>
      </c>
      <c r="K220" s="3">
        <f t="shared" si="36"/>
        <v>-3</v>
      </c>
      <c r="L220" s="3" t="str">
        <f t="shared" si="30"/>
        <v>ATENÇÃO</v>
      </c>
    </row>
    <row r="221" spans="1:12" hidden="1" x14ac:dyDescent="0.25">
      <c r="A221" s="5">
        <v>46146</v>
      </c>
      <c r="B221" s="6" t="s">
        <v>31</v>
      </c>
      <c r="C221" s="9" t="s">
        <v>11</v>
      </c>
      <c r="D221" s="3">
        <v>36</v>
      </c>
      <c r="E221" s="3">
        <v>34</v>
      </c>
      <c r="G221" s="3">
        <v>0</v>
      </c>
      <c r="I221" s="3">
        <f t="shared" si="34"/>
        <v>34</v>
      </c>
      <c r="J221" s="3" t="str">
        <f t="shared" si="35"/>
        <v>28</v>
      </c>
      <c r="K221" s="3">
        <f t="shared" si="36"/>
        <v>6</v>
      </c>
      <c r="L221" s="3" t="str">
        <f t="shared" si="30"/>
        <v>EXCELENTE</v>
      </c>
    </row>
    <row r="222" spans="1:12" hidden="1" x14ac:dyDescent="0.25">
      <c r="A222" s="5">
        <v>46147</v>
      </c>
      <c r="B222" s="6" t="s">
        <v>31</v>
      </c>
      <c r="C222" s="9" t="s">
        <v>11</v>
      </c>
      <c r="D222" s="3">
        <v>26</v>
      </c>
      <c r="E222" s="3">
        <v>26</v>
      </c>
      <c r="G222" s="3">
        <v>1</v>
      </c>
      <c r="I222" s="3">
        <f t="shared" si="34"/>
        <v>27</v>
      </c>
      <c r="J222" s="3" t="str">
        <f t="shared" si="35"/>
        <v>28</v>
      </c>
      <c r="K222" s="3">
        <f t="shared" si="36"/>
        <v>-1</v>
      </c>
      <c r="L222" s="3" t="str">
        <f t="shared" si="30"/>
        <v>ATENÇÃO</v>
      </c>
    </row>
    <row r="223" spans="1:12" hidden="1" x14ac:dyDescent="0.25">
      <c r="A223" s="5">
        <v>46148</v>
      </c>
      <c r="B223" s="6" t="s">
        <v>31</v>
      </c>
      <c r="C223" s="9" t="s">
        <v>11</v>
      </c>
      <c r="D223" s="3">
        <v>33</v>
      </c>
      <c r="E223" s="3">
        <v>32</v>
      </c>
      <c r="G223" s="3">
        <v>9</v>
      </c>
      <c r="I223" s="3">
        <f t="shared" si="34"/>
        <v>41</v>
      </c>
      <c r="J223" s="3" t="str">
        <f t="shared" si="35"/>
        <v>28</v>
      </c>
      <c r="K223" s="3">
        <f t="shared" si="36"/>
        <v>13</v>
      </c>
      <c r="L223" s="3" t="str">
        <f t="shared" si="30"/>
        <v>EXCELENTE</v>
      </c>
    </row>
    <row r="224" spans="1:12" hidden="1" x14ac:dyDescent="0.25">
      <c r="A224" s="5">
        <v>46149</v>
      </c>
      <c r="B224" s="6" t="s">
        <v>31</v>
      </c>
      <c r="C224" s="9" t="s">
        <v>11</v>
      </c>
      <c r="D224" s="3">
        <v>25</v>
      </c>
      <c r="E224" s="3">
        <v>24</v>
      </c>
      <c r="G224" s="3">
        <v>0</v>
      </c>
      <c r="I224" s="3">
        <f t="shared" si="34"/>
        <v>24</v>
      </c>
      <c r="J224" s="3" t="str">
        <f t="shared" si="35"/>
        <v>28</v>
      </c>
      <c r="K224" s="3">
        <f t="shared" si="36"/>
        <v>-4</v>
      </c>
      <c r="L224" s="3" t="str">
        <f t="shared" si="30"/>
        <v>ATENÇÃO</v>
      </c>
    </row>
    <row r="225" spans="1:12" hidden="1" x14ac:dyDescent="0.25">
      <c r="A225" s="5">
        <v>46150</v>
      </c>
      <c r="B225" s="6" t="s">
        <v>31</v>
      </c>
      <c r="C225" s="9" t="s">
        <v>11</v>
      </c>
      <c r="D225" s="3">
        <v>30</v>
      </c>
      <c r="E225" s="3">
        <v>27</v>
      </c>
      <c r="G225" s="3">
        <v>0</v>
      </c>
      <c r="H225" s="3">
        <v>0</v>
      </c>
      <c r="I225" s="3">
        <f t="shared" si="34"/>
        <v>27</v>
      </c>
      <c r="J225" s="3" t="str">
        <f t="shared" si="35"/>
        <v>28</v>
      </c>
      <c r="K225" s="3">
        <f t="shared" si="36"/>
        <v>-1</v>
      </c>
      <c r="L225" s="3" t="str">
        <f t="shared" si="30"/>
        <v>ATENÇÃO</v>
      </c>
    </row>
    <row r="226" spans="1:12" hidden="1" x14ac:dyDescent="0.25">
      <c r="A226" s="5">
        <v>46153</v>
      </c>
      <c r="B226" s="6" t="s">
        <v>31</v>
      </c>
      <c r="C226" s="9" t="s">
        <v>11</v>
      </c>
      <c r="D226" s="3">
        <v>26</v>
      </c>
      <c r="E226" s="3">
        <v>24</v>
      </c>
      <c r="I226" s="3">
        <f t="shared" si="34"/>
        <v>24</v>
      </c>
      <c r="J226" s="3" t="str">
        <f t="shared" si="35"/>
        <v>28</v>
      </c>
      <c r="K226" s="3">
        <f t="shared" si="36"/>
        <v>-4</v>
      </c>
      <c r="L226" s="3" t="str">
        <f t="shared" si="30"/>
        <v>ATENÇÃO</v>
      </c>
    </row>
    <row r="227" spans="1:12" hidden="1" x14ac:dyDescent="0.25">
      <c r="A227" s="5">
        <v>46154</v>
      </c>
      <c r="B227" s="6" t="s">
        <v>31</v>
      </c>
      <c r="C227" s="9" t="s">
        <v>11</v>
      </c>
      <c r="D227" s="3">
        <v>26</v>
      </c>
      <c r="E227" s="3">
        <v>24</v>
      </c>
      <c r="I227" s="3">
        <f t="shared" si="34"/>
        <v>24</v>
      </c>
      <c r="J227" s="3" t="str">
        <f t="shared" si="35"/>
        <v>28</v>
      </c>
      <c r="K227" s="3">
        <f t="shared" si="36"/>
        <v>-4</v>
      </c>
      <c r="L227" s="3" t="str">
        <f t="shared" si="30"/>
        <v>ATENÇÃO</v>
      </c>
    </row>
    <row r="228" spans="1:12" hidden="1" x14ac:dyDescent="0.25">
      <c r="A228" s="5">
        <v>46155</v>
      </c>
      <c r="B228" s="6" t="s">
        <v>31</v>
      </c>
      <c r="C228" s="9" t="s">
        <v>11</v>
      </c>
      <c r="D228" s="3">
        <v>21</v>
      </c>
      <c r="E228" s="3">
        <v>21</v>
      </c>
      <c r="G228" s="3">
        <v>1</v>
      </c>
      <c r="I228" s="3">
        <f t="shared" si="34"/>
        <v>22</v>
      </c>
      <c r="J228" s="3" t="str">
        <f t="shared" si="35"/>
        <v>28</v>
      </c>
      <c r="K228" s="3">
        <f t="shared" si="36"/>
        <v>-6</v>
      </c>
      <c r="L228" s="3" t="str">
        <f t="shared" si="30"/>
        <v>CRÍTICO</v>
      </c>
    </row>
    <row r="229" spans="1:12" hidden="1" x14ac:dyDescent="0.25">
      <c r="A229" s="5">
        <v>46156</v>
      </c>
      <c r="B229" s="6" t="s">
        <v>31</v>
      </c>
      <c r="C229" s="9" t="s">
        <v>11</v>
      </c>
      <c r="D229" s="3">
        <v>17</v>
      </c>
      <c r="E229" s="3">
        <v>17</v>
      </c>
      <c r="G229" s="3">
        <v>0</v>
      </c>
      <c r="H229" s="3">
        <v>0</v>
      </c>
      <c r="I229" s="3">
        <f t="shared" si="34"/>
        <v>17</v>
      </c>
      <c r="J229" s="3" t="str">
        <f t="shared" si="35"/>
        <v>28</v>
      </c>
      <c r="K229" s="3">
        <f t="shared" si="36"/>
        <v>-11</v>
      </c>
      <c r="L229" s="3" t="str">
        <f t="shared" si="30"/>
        <v>CRÍTICO</v>
      </c>
    </row>
    <row r="230" spans="1:12" hidden="1" x14ac:dyDescent="0.25">
      <c r="A230" s="5">
        <v>46157</v>
      </c>
      <c r="B230" s="6" t="s">
        <v>31</v>
      </c>
      <c r="C230" s="9" t="s">
        <v>11</v>
      </c>
      <c r="D230" s="3">
        <v>28</v>
      </c>
      <c r="E230" s="3">
        <v>25</v>
      </c>
      <c r="G230" s="3">
        <v>0</v>
      </c>
      <c r="H230" s="3">
        <v>0</v>
      </c>
      <c r="I230" s="3">
        <f t="shared" si="34"/>
        <v>25</v>
      </c>
      <c r="J230" s="3" t="str">
        <f t="shared" si="35"/>
        <v>28</v>
      </c>
      <c r="K230" s="3">
        <f t="shared" si="36"/>
        <v>-3</v>
      </c>
      <c r="L230" s="3" t="str">
        <f t="shared" si="30"/>
        <v>ATENÇÃO</v>
      </c>
    </row>
    <row r="231" spans="1:12" hidden="1" x14ac:dyDescent="0.25">
      <c r="A231" s="5">
        <v>46160</v>
      </c>
      <c r="B231" s="6" t="s">
        <v>31</v>
      </c>
      <c r="C231" s="9" t="s">
        <v>11</v>
      </c>
      <c r="D231" s="3">
        <v>20</v>
      </c>
      <c r="E231" s="3">
        <v>20</v>
      </c>
      <c r="G231" s="3">
        <v>3</v>
      </c>
      <c r="H231" s="3">
        <v>0</v>
      </c>
      <c r="I231" s="3">
        <f t="shared" si="34"/>
        <v>23</v>
      </c>
      <c r="J231" s="3" t="str">
        <f t="shared" si="35"/>
        <v>28</v>
      </c>
      <c r="K231" s="3">
        <f t="shared" si="36"/>
        <v>-5</v>
      </c>
      <c r="L231" s="3" t="str">
        <f t="shared" si="30"/>
        <v>ATENÇÃO</v>
      </c>
    </row>
    <row r="232" spans="1:12" x14ac:dyDescent="0.25">
      <c r="A232" s="7">
        <v>46161</v>
      </c>
      <c r="B232" s="8" t="s">
        <v>32</v>
      </c>
      <c r="C232" s="9" t="s">
        <v>12</v>
      </c>
      <c r="D232" s="3">
        <v>43</v>
      </c>
      <c r="E232" s="3">
        <v>39</v>
      </c>
      <c r="G232" s="3">
        <v>3</v>
      </c>
      <c r="H232" s="3">
        <v>0</v>
      </c>
      <c r="I232" s="3">
        <f t="shared" si="34"/>
        <v>42</v>
      </c>
      <c r="J232" s="3" t="str">
        <f t="shared" si="35"/>
        <v>35</v>
      </c>
      <c r="K232" s="3">
        <f t="shared" si="36"/>
        <v>7</v>
      </c>
      <c r="L232" s="3" t="str">
        <f t="shared" si="30"/>
        <v>EXCELENTE</v>
      </c>
    </row>
    <row r="233" spans="1:12" hidden="1" x14ac:dyDescent="0.25">
      <c r="A233" s="5">
        <v>46146</v>
      </c>
      <c r="B233" s="6" t="s">
        <v>32</v>
      </c>
      <c r="C233" s="3" t="s">
        <v>12</v>
      </c>
      <c r="D233" s="3">
        <v>47</v>
      </c>
      <c r="E233" s="3">
        <v>44</v>
      </c>
      <c r="G233" s="3">
        <v>5</v>
      </c>
      <c r="I233" s="3">
        <f t="shared" si="34"/>
        <v>49</v>
      </c>
      <c r="J233" s="3" t="str">
        <f t="shared" si="35"/>
        <v>35</v>
      </c>
      <c r="K233" s="3">
        <f t="shared" si="36"/>
        <v>14</v>
      </c>
      <c r="L233" s="3" t="str">
        <f t="shared" si="30"/>
        <v>EXCELENTE</v>
      </c>
    </row>
    <row r="234" spans="1:12" hidden="1" x14ac:dyDescent="0.25">
      <c r="A234" s="5">
        <v>46147</v>
      </c>
      <c r="B234" s="6" t="s">
        <v>32</v>
      </c>
      <c r="C234" s="3" t="s">
        <v>12</v>
      </c>
      <c r="D234" s="3">
        <v>40</v>
      </c>
      <c r="E234" s="3">
        <v>40</v>
      </c>
      <c r="G234" s="3">
        <v>2</v>
      </c>
      <c r="I234" s="3">
        <f t="shared" si="34"/>
        <v>42</v>
      </c>
      <c r="J234" s="3" t="str">
        <f t="shared" si="35"/>
        <v>35</v>
      </c>
      <c r="K234" s="3">
        <f t="shared" si="36"/>
        <v>7</v>
      </c>
      <c r="L234" s="3" t="str">
        <f t="shared" si="30"/>
        <v>EXCELENTE</v>
      </c>
    </row>
    <row r="235" spans="1:12" hidden="1" x14ac:dyDescent="0.25">
      <c r="A235" s="5">
        <v>46148</v>
      </c>
      <c r="B235" s="6" t="s">
        <v>32</v>
      </c>
      <c r="C235" s="3" t="s">
        <v>12</v>
      </c>
      <c r="D235" s="3">
        <v>52</v>
      </c>
      <c r="E235" s="3">
        <v>45</v>
      </c>
      <c r="G235" s="3">
        <v>23</v>
      </c>
      <c r="I235" s="3">
        <f t="shared" si="34"/>
        <v>68</v>
      </c>
      <c r="J235" s="3" t="str">
        <f t="shared" si="35"/>
        <v>35</v>
      </c>
      <c r="K235" s="3">
        <f t="shared" si="36"/>
        <v>33</v>
      </c>
      <c r="L235" s="3" t="str">
        <f t="shared" si="30"/>
        <v>EXCELENTE</v>
      </c>
    </row>
    <row r="236" spans="1:12" hidden="1" x14ac:dyDescent="0.25">
      <c r="A236" s="5">
        <v>46149</v>
      </c>
      <c r="B236" s="6" t="s">
        <v>32</v>
      </c>
      <c r="C236" s="3" t="s">
        <v>12</v>
      </c>
      <c r="D236" s="3">
        <v>56</v>
      </c>
      <c r="E236" s="3">
        <v>51</v>
      </c>
      <c r="G236" s="3">
        <v>9</v>
      </c>
      <c r="I236" s="3">
        <f t="shared" si="34"/>
        <v>60</v>
      </c>
      <c r="J236" s="3" t="str">
        <f t="shared" si="35"/>
        <v>35</v>
      </c>
      <c r="K236" s="3">
        <f t="shared" si="36"/>
        <v>25</v>
      </c>
      <c r="L236" s="3" t="str">
        <f t="shared" si="30"/>
        <v>EXCELENTE</v>
      </c>
    </row>
    <row r="237" spans="1:12" hidden="1" x14ac:dyDescent="0.25">
      <c r="A237" s="5">
        <v>46150</v>
      </c>
      <c r="B237" s="6" t="s">
        <v>32</v>
      </c>
      <c r="C237" s="3" t="s">
        <v>12</v>
      </c>
      <c r="D237" s="3">
        <v>41</v>
      </c>
      <c r="E237" s="3">
        <v>37</v>
      </c>
      <c r="G237" s="3">
        <v>8</v>
      </c>
      <c r="H237" s="3">
        <v>0</v>
      </c>
      <c r="I237" s="3">
        <f t="shared" si="34"/>
        <v>45</v>
      </c>
      <c r="J237" s="3" t="str">
        <f t="shared" si="35"/>
        <v>35</v>
      </c>
      <c r="K237" s="3">
        <f t="shared" si="36"/>
        <v>10</v>
      </c>
      <c r="L237" s="3" t="str">
        <f t="shared" si="30"/>
        <v>EXCELENTE</v>
      </c>
    </row>
    <row r="238" spans="1:12" hidden="1" x14ac:dyDescent="0.25">
      <c r="A238" s="5">
        <v>46153</v>
      </c>
      <c r="B238" s="6" t="s">
        <v>32</v>
      </c>
      <c r="C238" s="3" t="s">
        <v>12</v>
      </c>
      <c r="D238" s="3">
        <v>53</v>
      </c>
      <c r="E238" s="3">
        <v>46</v>
      </c>
      <c r="G238" s="3">
        <v>3</v>
      </c>
      <c r="I238" s="3">
        <f t="shared" si="34"/>
        <v>49</v>
      </c>
      <c r="J238" s="3" t="str">
        <f t="shared" si="35"/>
        <v>35</v>
      </c>
      <c r="K238" s="3">
        <f t="shared" si="36"/>
        <v>14</v>
      </c>
      <c r="L238" s="3" t="str">
        <f t="shared" si="30"/>
        <v>EXCELENTE</v>
      </c>
    </row>
    <row r="239" spans="1:12" hidden="1" x14ac:dyDescent="0.25">
      <c r="A239" s="5">
        <v>46154</v>
      </c>
      <c r="B239" s="6" t="s">
        <v>32</v>
      </c>
      <c r="C239" s="3" t="s">
        <v>12</v>
      </c>
      <c r="D239" s="3">
        <v>47</v>
      </c>
      <c r="E239" s="3">
        <v>43</v>
      </c>
      <c r="G239" s="3">
        <v>8</v>
      </c>
      <c r="I239" s="3">
        <f t="shared" si="34"/>
        <v>51</v>
      </c>
      <c r="J239" s="3" t="str">
        <f t="shared" si="35"/>
        <v>35</v>
      </c>
      <c r="K239" s="3">
        <f t="shared" si="36"/>
        <v>16</v>
      </c>
      <c r="L239" s="3" t="str">
        <f t="shared" si="30"/>
        <v>EXCELENTE</v>
      </c>
    </row>
    <row r="240" spans="1:12" hidden="1" x14ac:dyDescent="0.25">
      <c r="A240" s="5">
        <v>46155</v>
      </c>
      <c r="B240" s="6" t="s">
        <v>32</v>
      </c>
      <c r="C240" s="3" t="s">
        <v>12</v>
      </c>
      <c r="D240" s="3">
        <v>46</v>
      </c>
      <c r="E240" s="3">
        <v>40</v>
      </c>
      <c r="G240" s="3">
        <v>3</v>
      </c>
      <c r="I240" s="3">
        <f t="shared" si="34"/>
        <v>43</v>
      </c>
      <c r="J240" s="3" t="str">
        <f t="shared" si="35"/>
        <v>35</v>
      </c>
      <c r="K240" s="3">
        <f t="shared" si="36"/>
        <v>8</v>
      </c>
      <c r="L240" s="3" t="str">
        <f t="shared" si="30"/>
        <v>EXCELENTE</v>
      </c>
    </row>
    <row r="241" spans="1:12" hidden="1" x14ac:dyDescent="0.25">
      <c r="A241" s="5">
        <v>46156</v>
      </c>
      <c r="B241" s="6" t="s">
        <v>32</v>
      </c>
      <c r="C241" s="3" t="s">
        <v>12</v>
      </c>
      <c r="D241" s="3">
        <v>35</v>
      </c>
      <c r="E241" s="3">
        <v>34</v>
      </c>
      <c r="G241" s="3">
        <v>6</v>
      </c>
      <c r="H241" s="3">
        <v>0</v>
      </c>
      <c r="I241" s="3">
        <f t="shared" si="34"/>
        <v>40</v>
      </c>
      <c r="J241" s="3" t="str">
        <f t="shared" si="35"/>
        <v>35</v>
      </c>
      <c r="K241" s="3">
        <f t="shared" si="36"/>
        <v>5</v>
      </c>
      <c r="L241" s="3" t="str">
        <f t="shared" si="30"/>
        <v>BOM</v>
      </c>
    </row>
    <row r="242" spans="1:12" hidden="1" x14ac:dyDescent="0.25">
      <c r="A242" s="5">
        <v>46157</v>
      </c>
      <c r="B242" s="6" t="s">
        <v>32</v>
      </c>
      <c r="C242" s="3" t="s">
        <v>12</v>
      </c>
      <c r="D242" s="3">
        <v>44</v>
      </c>
      <c r="E242" s="3">
        <v>38</v>
      </c>
      <c r="G242" s="3">
        <v>6</v>
      </c>
      <c r="H242" s="3">
        <v>0</v>
      </c>
      <c r="I242" s="3">
        <f t="shared" si="34"/>
        <v>44</v>
      </c>
      <c r="J242" s="3" t="str">
        <f t="shared" si="35"/>
        <v>35</v>
      </c>
      <c r="K242" s="3">
        <f t="shared" si="36"/>
        <v>9</v>
      </c>
      <c r="L242" s="3" t="str">
        <f t="shared" si="30"/>
        <v>EXCELENTE</v>
      </c>
    </row>
    <row r="243" spans="1:12" hidden="1" x14ac:dyDescent="0.25">
      <c r="A243" s="5">
        <v>46160</v>
      </c>
      <c r="B243" s="6" t="s">
        <v>32</v>
      </c>
      <c r="C243" s="3" t="s">
        <v>12</v>
      </c>
      <c r="D243" s="3">
        <v>37</v>
      </c>
      <c r="E243" s="3">
        <v>32</v>
      </c>
      <c r="G243" s="3">
        <v>5</v>
      </c>
      <c r="H243" s="3">
        <v>0</v>
      </c>
      <c r="I243" s="3">
        <f t="shared" si="34"/>
        <v>37</v>
      </c>
      <c r="J243" s="3" t="str">
        <f t="shared" si="35"/>
        <v>35</v>
      </c>
      <c r="K243" s="3">
        <f t="shared" si="36"/>
        <v>2</v>
      </c>
      <c r="L243" s="3" t="str">
        <f t="shared" si="30"/>
        <v>BOM</v>
      </c>
    </row>
    <row r="244" spans="1:12" x14ac:dyDescent="0.25">
      <c r="A244" s="7">
        <v>46161</v>
      </c>
      <c r="B244" s="8" t="s">
        <v>33</v>
      </c>
      <c r="C244" s="9" t="s">
        <v>12</v>
      </c>
      <c r="D244" s="3">
        <v>11</v>
      </c>
      <c r="E244" s="3">
        <v>10</v>
      </c>
      <c r="G244" s="3">
        <v>4</v>
      </c>
      <c r="H244" s="3">
        <v>0</v>
      </c>
      <c r="I244" s="3">
        <f t="shared" si="34"/>
        <v>14</v>
      </c>
      <c r="J244" s="3" t="str">
        <f t="shared" si="35"/>
        <v>35</v>
      </c>
      <c r="K244" s="3">
        <f t="shared" si="36"/>
        <v>-21</v>
      </c>
      <c r="L244" s="3" t="str">
        <f t="shared" si="30"/>
        <v>CRÍTICO</v>
      </c>
    </row>
    <row r="245" spans="1:12" hidden="1" x14ac:dyDescent="0.25">
      <c r="A245" s="5">
        <v>46146</v>
      </c>
      <c r="B245" s="6" t="s">
        <v>33</v>
      </c>
      <c r="C245" s="3" t="s">
        <v>12</v>
      </c>
      <c r="D245" s="3">
        <v>11</v>
      </c>
      <c r="E245" s="3">
        <v>11</v>
      </c>
      <c r="G245" s="3">
        <v>5</v>
      </c>
      <c r="I245" s="3">
        <f t="shared" si="34"/>
        <v>16</v>
      </c>
      <c r="J245" s="3" t="str">
        <f t="shared" si="35"/>
        <v>35</v>
      </c>
      <c r="K245" s="3">
        <f t="shared" si="36"/>
        <v>-19</v>
      </c>
      <c r="L245" s="3" t="str">
        <f t="shared" si="30"/>
        <v>CRÍTICO</v>
      </c>
    </row>
    <row r="246" spans="1:12" hidden="1" x14ac:dyDescent="0.25">
      <c r="A246" s="5">
        <v>46147</v>
      </c>
      <c r="B246" s="6" t="s">
        <v>33</v>
      </c>
      <c r="C246" s="3" t="s">
        <v>12</v>
      </c>
      <c r="D246" s="3">
        <v>42</v>
      </c>
      <c r="E246" s="3">
        <v>41</v>
      </c>
      <c r="G246" s="3">
        <v>2</v>
      </c>
      <c r="I246" s="3">
        <f t="shared" ref="I246:I267" si="37">E246+G246+H246</f>
        <v>43</v>
      </c>
      <c r="J246" s="3" t="str">
        <f t="shared" ref="J246:J267" si="38">IF(C246="Técnico III","35",IF(C246="Técnico II","28",IF(C246="Técnico I","23",IF(C246="JR","20",IF(C246="Estágio","10",)))))</f>
        <v>35</v>
      </c>
      <c r="K246" s="3">
        <f t="shared" ref="K246:K267" si="39">I246-J246</f>
        <v>8</v>
      </c>
      <c r="L246" s="3" t="str">
        <f t="shared" si="30"/>
        <v>EXCELENTE</v>
      </c>
    </row>
    <row r="247" spans="1:12" hidden="1" x14ac:dyDescent="0.25">
      <c r="A247" s="5">
        <v>46148</v>
      </c>
      <c r="B247" s="6" t="s">
        <v>33</v>
      </c>
      <c r="C247" s="3" t="s">
        <v>12</v>
      </c>
      <c r="D247" s="3">
        <v>27</v>
      </c>
      <c r="E247" s="3">
        <v>26</v>
      </c>
      <c r="G247" s="3">
        <v>7</v>
      </c>
      <c r="I247" s="3">
        <f t="shared" si="37"/>
        <v>33</v>
      </c>
      <c r="J247" s="3" t="str">
        <f t="shared" si="38"/>
        <v>35</v>
      </c>
      <c r="K247" s="3">
        <f t="shared" si="39"/>
        <v>-2</v>
      </c>
      <c r="L247" s="3" t="str">
        <f t="shared" si="30"/>
        <v>ATENÇÃO</v>
      </c>
    </row>
    <row r="248" spans="1:12" hidden="1" x14ac:dyDescent="0.25">
      <c r="A248" s="5">
        <v>46149</v>
      </c>
      <c r="B248" s="6" t="s">
        <v>33</v>
      </c>
      <c r="C248" s="3" t="s">
        <v>12</v>
      </c>
      <c r="D248" s="3">
        <v>48</v>
      </c>
      <c r="E248" s="3">
        <v>39</v>
      </c>
      <c r="G248" s="3">
        <v>6</v>
      </c>
      <c r="I248" s="3">
        <f t="shared" si="37"/>
        <v>45</v>
      </c>
      <c r="J248" s="3" t="str">
        <f t="shared" si="38"/>
        <v>35</v>
      </c>
      <c r="K248" s="3">
        <f t="shared" si="39"/>
        <v>10</v>
      </c>
      <c r="L248" s="3" t="str">
        <f t="shared" si="30"/>
        <v>EXCELENTE</v>
      </c>
    </row>
    <row r="249" spans="1:12" hidden="1" x14ac:dyDescent="0.25">
      <c r="A249" s="5">
        <v>46150</v>
      </c>
      <c r="B249" s="6" t="s">
        <v>33</v>
      </c>
      <c r="C249" s="3" t="s">
        <v>12</v>
      </c>
      <c r="D249" s="3">
        <v>20</v>
      </c>
      <c r="E249" s="3">
        <v>19</v>
      </c>
      <c r="G249" s="3">
        <v>5</v>
      </c>
      <c r="H249" s="3">
        <v>0</v>
      </c>
      <c r="I249" s="3">
        <f t="shared" si="37"/>
        <v>24</v>
      </c>
      <c r="J249" s="3" t="str">
        <f t="shared" si="38"/>
        <v>35</v>
      </c>
      <c r="K249" s="3">
        <f t="shared" si="39"/>
        <v>-11</v>
      </c>
      <c r="L249" s="3" t="str">
        <f t="shared" si="30"/>
        <v>CRÍTICO</v>
      </c>
    </row>
    <row r="250" spans="1:12" hidden="1" x14ac:dyDescent="0.25">
      <c r="A250" s="5">
        <v>46153</v>
      </c>
      <c r="B250" s="6" t="s">
        <v>33</v>
      </c>
      <c r="C250" s="3" t="s">
        <v>12</v>
      </c>
      <c r="D250" s="3">
        <v>22</v>
      </c>
      <c r="E250" s="3">
        <v>20</v>
      </c>
      <c r="G250" s="3">
        <v>4</v>
      </c>
      <c r="I250" s="3">
        <f t="shared" si="37"/>
        <v>24</v>
      </c>
      <c r="J250" s="3" t="str">
        <f t="shared" si="38"/>
        <v>35</v>
      </c>
      <c r="K250" s="3">
        <f t="shared" si="39"/>
        <v>-11</v>
      </c>
      <c r="L250" s="3" t="str">
        <f t="shared" si="30"/>
        <v>CRÍTICO</v>
      </c>
    </row>
    <row r="251" spans="1:12" hidden="1" x14ac:dyDescent="0.25">
      <c r="A251" s="5">
        <v>46154</v>
      </c>
      <c r="B251" s="6" t="s">
        <v>33</v>
      </c>
      <c r="C251" s="3" t="s">
        <v>12</v>
      </c>
      <c r="D251" s="3">
        <v>42</v>
      </c>
      <c r="E251" s="3">
        <v>37</v>
      </c>
      <c r="G251" s="3">
        <v>9</v>
      </c>
      <c r="I251" s="3">
        <f t="shared" si="37"/>
        <v>46</v>
      </c>
      <c r="J251" s="3" t="str">
        <f t="shared" si="38"/>
        <v>35</v>
      </c>
      <c r="K251" s="3">
        <f t="shared" si="39"/>
        <v>11</v>
      </c>
      <c r="L251" s="3" t="str">
        <f t="shared" si="30"/>
        <v>EXCELENTE</v>
      </c>
    </row>
    <row r="252" spans="1:12" hidden="1" x14ac:dyDescent="0.25">
      <c r="A252" s="5">
        <v>46155</v>
      </c>
      <c r="B252" s="6" t="s">
        <v>33</v>
      </c>
      <c r="C252" s="3" t="s">
        <v>12</v>
      </c>
      <c r="D252" s="3">
        <v>30</v>
      </c>
      <c r="E252" s="3">
        <v>29</v>
      </c>
      <c r="G252" s="3">
        <v>5</v>
      </c>
      <c r="I252" s="3">
        <f t="shared" si="37"/>
        <v>34</v>
      </c>
      <c r="J252" s="3" t="str">
        <f t="shared" si="38"/>
        <v>35</v>
      </c>
      <c r="K252" s="3">
        <f t="shared" si="39"/>
        <v>-1</v>
      </c>
      <c r="L252" s="3" t="str">
        <f t="shared" si="30"/>
        <v>ATENÇÃO</v>
      </c>
    </row>
    <row r="253" spans="1:12" hidden="1" x14ac:dyDescent="0.25">
      <c r="A253" s="5">
        <v>46156</v>
      </c>
      <c r="B253" s="6" t="s">
        <v>33</v>
      </c>
      <c r="C253" s="3" t="s">
        <v>12</v>
      </c>
      <c r="D253" s="3">
        <v>42</v>
      </c>
      <c r="E253" s="3">
        <v>40</v>
      </c>
      <c r="G253" s="3">
        <v>8</v>
      </c>
      <c r="H253" s="3">
        <v>0</v>
      </c>
      <c r="I253" s="3">
        <f t="shared" si="37"/>
        <v>48</v>
      </c>
      <c r="J253" s="3" t="str">
        <f t="shared" si="38"/>
        <v>35</v>
      </c>
      <c r="K253" s="3">
        <f t="shared" si="39"/>
        <v>13</v>
      </c>
      <c r="L253" s="3" t="str">
        <f t="shared" si="30"/>
        <v>EXCELENTE</v>
      </c>
    </row>
    <row r="254" spans="1:12" hidden="1" x14ac:dyDescent="0.25">
      <c r="A254" s="5">
        <v>46157</v>
      </c>
      <c r="B254" s="6" t="s">
        <v>33</v>
      </c>
      <c r="C254" s="3" t="s">
        <v>12</v>
      </c>
      <c r="D254" s="3">
        <v>30</v>
      </c>
      <c r="E254" s="3">
        <v>29</v>
      </c>
      <c r="G254" s="3">
        <v>5</v>
      </c>
      <c r="H254" s="3">
        <v>0</v>
      </c>
      <c r="I254" s="3">
        <f t="shared" si="37"/>
        <v>34</v>
      </c>
      <c r="J254" s="3" t="str">
        <f t="shared" si="38"/>
        <v>35</v>
      </c>
      <c r="K254" s="3">
        <f t="shared" si="39"/>
        <v>-1</v>
      </c>
      <c r="L254" s="3" t="str">
        <f t="shared" si="30"/>
        <v>ATENÇÃO</v>
      </c>
    </row>
    <row r="255" spans="1:12" hidden="1" x14ac:dyDescent="0.25">
      <c r="A255" s="5">
        <v>46160</v>
      </c>
      <c r="B255" s="6" t="s">
        <v>33</v>
      </c>
      <c r="C255" s="3" t="s">
        <v>12</v>
      </c>
      <c r="D255" s="3">
        <v>26</v>
      </c>
      <c r="E255" s="3">
        <v>25</v>
      </c>
      <c r="G255" s="3">
        <v>6</v>
      </c>
      <c r="H255" s="3">
        <v>0</v>
      </c>
      <c r="I255" s="3">
        <f t="shared" si="37"/>
        <v>31</v>
      </c>
      <c r="J255" s="3" t="str">
        <f t="shared" si="38"/>
        <v>35</v>
      </c>
      <c r="K255" s="3">
        <f t="shared" si="39"/>
        <v>-4</v>
      </c>
      <c r="L255" s="3" t="str">
        <f t="shared" si="30"/>
        <v>ATENÇÃO</v>
      </c>
    </row>
    <row r="256" spans="1:12" x14ac:dyDescent="0.25">
      <c r="A256" s="7">
        <v>46161</v>
      </c>
      <c r="B256" s="8" t="s">
        <v>34</v>
      </c>
      <c r="C256" s="9" t="s">
        <v>11</v>
      </c>
      <c r="D256" s="3">
        <v>24</v>
      </c>
      <c r="E256" s="3">
        <v>20</v>
      </c>
      <c r="G256" s="3">
        <v>2</v>
      </c>
      <c r="H256" s="3">
        <v>0</v>
      </c>
      <c r="I256" s="3">
        <f t="shared" si="37"/>
        <v>22</v>
      </c>
      <c r="J256" s="3" t="str">
        <f t="shared" si="38"/>
        <v>28</v>
      </c>
      <c r="K256" s="3">
        <f t="shared" si="39"/>
        <v>-6</v>
      </c>
      <c r="L256" s="3" t="str">
        <f t="shared" si="30"/>
        <v>CRÍTICO</v>
      </c>
    </row>
    <row r="257" spans="1:12" hidden="1" x14ac:dyDescent="0.25">
      <c r="A257" s="5">
        <v>46146</v>
      </c>
      <c r="B257" s="6" t="s">
        <v>34</v>
      </c>
      <c r="C257" s="3" t="s">
        <v>11</v>
      </c>
      <c r="D257" s="3">
        <v>32</v>
      </c>
      <c r="E257" s="3">
        <v>28</v>
      </c>
      <c r="G257" s="3">
        <v>4</v>
      </c>
      <c r="I257" s="3">
        <f t="shared" si="37"/>
        <v>32</v>
      </c>
      <c r="J257" s="3" t="str">
        <f t="shared" si="38"/>
        <v>28</v>
      </c>
      <c r="K257" s="3">
        <f t="shared" si="39"/>
        <v>4</v>
      </c>
      <c r="L257" s="3" t="str">
        <f t="shared" si="30"/>
        <v>BOM</v>
      </c>
    </row>
    <row r="258" spans="1:12" hidden="1" x14ac:dyDescent="0.25">
      <c r="A258" s="5">
        <v>46147</v>
      </c>
      <c r="B258" s="6" t="s">
        <v>34</v>
      </c>
      <c r="C258" s="3" t="s">
        <v>11</v>
      </c>
      <c r="D258" s="3">
        <v>39</v>
      </c>
      <c r="E258" s="3">
        <v>30</v>
      </c>
      <c r="G258" s="3">
        <v>0</v>
      </c>
      <c r="I258" s="3">
        <f t="shared" si="37"/>
        <v>30</v>
      </c>
      <c r="J258" s="3" t="str">
        <f t="shared" si="38"/>
        <v>28</v>
      </c>
      <c r="K258" s="3">
        <f t="shared" si="39"/>
        <v>2</v>
      </c>
      <c r="L258" s="3" t="str">
        <f t="shared" ref="L258:L321" si="40">IF(K258&lt;-5,"CRÍTICO",IF(K258&lt;0,"ATENÇÃO",IF(K258&lt;=5,"BOM","EXCELENTE")))</f>
        <v>BOM</v>
      </c>
    </row>
    <row r="259" spans="1:12" hidden="1" x14ac:dyDescent="0.25">
      <c r="A259" s="5">
        <v>46148</v>
      </c>
      <c r="B259" s="6" t="s">
        <v>34</v>
      </c>
      <c r="C259" s="3" t="s">
        <v>11</v>
      </c>
      <c r="D259" s="3">
        <v>29</v>
      </c>
      <c r="E259" s="3">
        <v>28</v>
      </c>
      <c r="G259" s="3">
        <v>7</v>
      </c>
      <c r="I259" s="3">
        <f t="shared" si="37"/>
        <v>35</v>
      </c>
      <c r="J259" s="3" t="str">
        <f t="shared" si="38"/>
        <v>28</v>
      </c>
      <c r="K259" s="3">
        <f t="shared" si="39"/>
        <v>7</v>
      </c>
      <c r="L259" s="3" t="str">
        <f t="shared" si="40"/>
        <v>EXCELENTE</v>
      </c>
    </row>
    <row r="260" spans="1:12" hidden="1" x14ac:dyDescent="0.25">
      <c r="A260" s="5">
        <v>46149</v>
      </c>
      <c r="B260" s="6" t="s">
        <v>34</v>
      </c>
      <c r="C260" s="3" t="s">
        <v>11</v>
      </c>
      <c r="D260" s="3">
        <v>34</v>
      </c>
      <c r="E260" s="3">
        <v>28</v>
      </c>
      <c r="G260" s="3">
        <v>0</v>
      </c>
      <c r="I260" s="3">
        <f t="shared" si="37"/>
        <v>28</v>
      </c>
      <c r="J260" s="3" t="str">
        <f t="shared" si="38"/>
        <v>28</v>
      </c>
      <c r="K260" s="3">
        <f t="shared" si="39"/>
        <v>0</v>
      </c>
      <c r="L260" s="3" t="str">
        <f t="shared" si="40"/>
        <v>BOM</v>
      </c>
    </row>
    <row r="261" spans="1:12" hidden="1" x14ac:dyDescent="0.25">
      <c r="A261" s="5">
        <v>46150</v>
      </c>
      <c r="B261" s="6" t="s">
        <v>34</v>
      </c>
      <c r="C261" s="3" t="s">
        <v>11</v>
      </c>
      <c r="D261" s="3">
        <v>25</v>
      </c>
      <c r="E261" s="3">
        <v>20</v>
      </c>
      <c r="G261" s="3">
        <v>3</v>
      </c>
      <c r="H261" s="3">
        <v>0</v>
      </c>
      <c r="I261" s="3">
        <f t="shared" si="37"/>
        <v>23</v>
      </c>
      <c r="J261" s="3" t="str">
        <f t="shared" si="38"/>
        <v>28</v>
      </c>
      <c r="K261" s="3">
        <f t="shared" si="39"/>
        <v>-5</v>
      </c>
      <c r="L261" s="3" t="str">
        <f t="shared" si="40"/>
        <v>ATENÇÃO</v>
      </c>
    </row>
    <row r="262" spans="1:12" hidden="1" x14ac:dyDescent="0.25">
      <c r="A262" s="5">
        <v>46153</v>
      </c>
      <c r="B262" s="6" t="s">
        <v>34</v>
      </c>
      <c r="C262" s="3" t="s">
        <v>11</v>
      </c>
      <c r="D262" s="3">
        <v>39</v>
      </c>
      <c r="E262" s="3">
        <v>31</v>
      </c>
      <c r="G262" s="3">
        <v>1</v>
      </c>
      <c r="I262" s="3">
        <f t="shared" si="37"/>
        <v>32</v>
      </c>
      <c r="J262" s="3" t="str">
        <f t="shared" si="38"/>
        <v>28</v>
      </c>
      <c r="K262" s="3">
        <f t="shared" si="39"/>
        <v>4</v>
      </c>
      <c r="L262" s="3" t="str">
        <f t="shared" si="40"/>
        <v>BOM</v>
      </c>
    </row>
    <row r="263" spans="1:12" hidden="1" x14ac:dyDescent="0.25">
      <c r="A263" s="5">
        <v>46154</v>
      </c>
      <c r="B263" s="6" t="s">
        <v>34</v>
      </c>
      <c r="C263" s="3" t="s">
        <v>11</v>
      </c>
      <c r="D263" s="3">
        <v>29</v>
      </c>
      <c r="E263" s="3">
        <v>26</v>
      </c>
      <c r="G263" s="3">
        <v>5</v>
      </c>
      <c r="I263" s="3">
        <f t="shared" si="37"/>
        <v>31</v>
      </c>
      <c r="J263" s="3" t="str">
        <f t="shared" si="38"/>
        <v>28</v>
      </c>
      <c r="K263" s="3">
        <f t="shared" si="39"/>
        <v>3</v>
      </c>
      <c r="L263" s="3" t="str">
        <f t="shared" si="40"/>
        <v>BOM</v>
      </c>
    </row>
    <row r="264" spans="1:12" hidden="1" x14ac:dyDescent="0.25">
      <c r="A264" s="5">
        <v>46155</v>
      </c>
      <c r="B264" s="6" t="s">
        <v>34</v>
      </c>
      <c r="C264" s="3" t="s">
        <v>11</v>
      </c>
      <c r="D264" s="3">
        <v>33</v>
      </c>
      <c r="E264" s="3">
        <v>27</v>
      </c>
      <c r="I264" s="3">
        <f t="shared" si="37"/>
        <v>27</v>
      </c>
      <c r="J264" s="3" t="str">
        <f t="shared" si="38"/>
        <v>28</v>
      </c>
      <c r="K264" s="3">
        <f t="shared" si="39"/>
        <v>-1</v>
      </c>
      <c r="L264" s="3" t="str">
        <f t="shared" si="40"/>
        <v>ATENÇÃO</v>
      </c>
    </row>
    <row r="265" spans="1:12" hidden="1" x14ac:dyDescent="0.25">
      <c r="A265" s="5">
        <v>46156</v>
      </c>
      <c r="B265" s="6" t="s">
        <v>34</v>
      </c>
      <c r="C265" s="3" t="s">
        <v>11</v>
      </c>
      <c r="D265" s="3">
        <v>9</v>
      </c>
      <c r="E265" s="3">
        <v>9</v>
      </c>
      <c r="G265" s="3">
        <v>1</v>
      </c>
      <c r="H265" s="3">
        <v>0</v>
      </c>
      <c r="I265" s="3">
        <f t="shared" si="37"/>
        <v>10</v>
      </c>
      <c r="J265" s="3" t="str">
        <f t="shared" si="38"/>
        <v>28</v>
      </c>
      <c r="K265" s="3">
        <f t="shared" si="39"/>
        <v>-18</v>
      </c>
      <c r="L265" s="3" t="str">
        <f t="shared" si="40"/>
        <v>CRÍTICO</v>
      </c>
    </row>
    <row r="266" spans="1:12" hidden="1" x14ac:dyDescent="0.25">
      <c r="A266" s="5">
        <v>46157</v>
      </c>
      <c r="B266" s="6" t="s">
        <v>34</v>
      </c>
      <c r="C266" s="3" t="s">
        <v>11</v>
      </c>
      <c r="D266" s="3">
        <v>17</v>
      </c>
      <c r="E266" s="3">
        <v>14</v>
      </c>
      <c r="G266" s="3">
        <v>1</v>
      </c>
      <c r="H266" s="3">
        <v>0</v>
      </c>
      <c r="I266" s="3">
        <f t="shared" si="37"/>
        <v>15</v>
      </c>
      <c r="J266" s="3" t="str">
        <f t="shared" si="38"/>
        <v>28</v>
      </c>
      <c r="K266" s="3">
        <f t="shared" si="39"/>
        <v>-13</v>
      </c>
      <c r="L266" s="3" t="str">
        <f t="shared" si="40"/>
        <v>CRÍTICO</v>
      </c>
    </row>
    <row r="267" spans="1:12" hidden="1" x14ac:dyDescent="0.25">
      <c r="A267" s="5">
        <v>46160</v>
      </c>
      <c r="B267" s="6" t="s">
        <v>34</v>
      </c>
      <c r="C267" s="3" t="s">
        <v>11</v>
      </c>
      <c r="D267" s="3">
        <v>28</v>
      </c>
      <c r="E267" s="3">
        <v>22</v>
      </c>
      <c r="G267" s="3">
        <v>0</v>
      </c>
      <c r="H267" s="3">
        <v>0</v>
      </c>
      <c r="I267" s="3">
        <f t="shared" si="37"/>
        <v>22</v>
      </c>
      <c r="J267" s="3" t="str">
        <f t="shared" si="38"/>
        <v>28</v>
      </c>
      <c r="K267" s="3">
        <f t="shared" si="39"/>
        <v>-6</v>
      </c>
      <c r="L267" s="3" t="str">
        <f t="shared" si="40"/>
        <v>CRÍTICO</v>
      </c>
    </row>
    <row r="268" spans="1:12" x14ac:dyDescent="0.25">
      <c r="A268" s="7">
        <v>46161</v>
      </c>
      <c r="B268" s="8" t="s">
        <v>63</v>
      </c>
      <c r="C268" s="9" t="s">
        <v>12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40"/>
        <v>BOM</v>
      </c>
    </row>
    <row r="269" spans="1:12" hidden="1" x14ac:dyDescent="0.25">
      <c r="A269" s="5">
        <v>46146</v>
      </c>
      <c r="B269" s="6" t="s">
        <v>63</v>
      </c>
      <c r="C269" s="3" t="s">
        <v>12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 t="shared" si="40"/>
        <v>BOM</v>
      </c>
    </row>
    <row r="270" spans="1:12" hidden="1" x14ac:dyDescent="0.25">
      <c r="A270" s="5">
        <v>46147</v>
      </c>
      <c r="B270" s="6" t="s">
        <v>63</v>
      </c>
      <c r="C270" s="3" t="s">
        <v>12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 t="shared" si="40"/>
        <v>BOM</v>
      </c>
    </row>
    <row r="271" spans="1:12" hidden="1" x14ac:dyDescent="0.25">
      <c r="A271" s="5">
        <v>46148</v>
      </c>
      <c r="B271" s="6" t="s">
        <v>63</v>
      </c>
      <c r="C271" s="3" t="s">
        <v>12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 t="shared" si="40"/>
        <v>BOM</v>
      </c>
    </row>
    <row r="272" spans="1:12" hidden="1" x14ac:dyDescent="0.25">
      <c r="A272" s="5">
        <v>46149</v>
      </c>
      <c r="B272" s="6" t="s">
        <v>63</v>
      </c>
      <c r="C272" s="3" t="s">
        <v>12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 t="str">
        <f t="shared" si="40"/>
        <v>BOM</v>
      </c>
    </row>
    <row r="273" spans="1:12" hidden="1" x14ac:dyDescent="0.25">
      <c r="A273" s="5">
        <v>46150</v>
      </c>
      <c r="B273" s="6" t="s">
        <v>63</v>
      </c>
      <c r="C273" s="3" t="s">
        <v>12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 t="str">
        <f t="shared" si="40"/>
        <v>BOM</v>
      </c>
    </row>
    <row r="274" spans="1:12" hidden="1" x14ac:dyDescent="0.25">
      <c r="A274" s="5">
        <v>46153</v>
      </c>
      <c r="B274" s="6" t="s">
        <v>63</v>
      </c>
      <c r="C274" s="3" t="s">
        <v>12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 t="str">
        <f t="shared" si="40"/>
        <v>BOM</v>
      </c>
    </row>
    <row r="275" spans="1:12" hidden="1" x14ac:dyDescent="0.25">
      <c r="A275" s="5">
        <v>46154</v>
      </c>
      <c r="B275" s="6" t="s">
        <v>63</v>
      </c>
      <c r="C275" s="3" t="s">
        <v>12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 t="str">
        <f t="shared" si="40"/>
        <v>BOM</v>
      </c>
    </row>
    <row r="276" spans="1:12" hidden="1" x14ac:dyDescent="0.25">
      <c r="A276" s="5">
        <v>46155</v>
      </c>
      <c r="B276" s="6" t="s">
        <v>63</v>
      </c>
      <c r="C276" s="3" t="s">
        <v>12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 t="str">
        <f t="shared" si="40"/>
        <v>BOM</v>
      </c>
    </row>
    <row r="277" spans="1:12" hidden="1" x14ac:dyDescent="0.25">
      <c r="A277" s="5">
        <v>46156</v>
      </c>
      <c r="B277" s="6" t="s">
        <v>63</v>
      </c>
      <c r="C277" s="3" t="s">
        <v>12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 t="str">
        <f t="shared" si="40"/>
        <v>BOM</v>
      </c>
    </row>
    <row r="278" spans="1:12" hidden="1" x14ac:dyDescent="0.25">
      <c r="A278" s="5">
        <v>46157</v>
      </c>
      <c r="B278" s="6" t="s">
        <v>63</v>
      </c>
      <c r="C278" s="3" t="s">
        <v>12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 t="str">
        <f t="shared" si="40"/>
        <v>BOM</v>
      </c>
    </row>
    <row r="279" spans="1:12" hidden="1" x14ac:dyDescent="0.25">
      <c r="A279" s="5">
        <v>46160</v>
      </c>
      <c r="B279" s="6" t="s">
        <v>63</v>
      </c>
      <c r="C279" s="3" t="s">
        <v>12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40"/>
        <v>BOM</v>
      </c>
    </row>
    <row r="280" spans="1:12" x14ac:dyDescent="0.25">
      <c r="A280" s="7">
        <v>46161</v>
      </c>
      <c r="B280" s="8" t="s">
        <v>35</v>
      </c>
      <c r="C280" s="9" t="s">
        <v>36</v>
      </c>
      <c r="D280" s="3">
        <v>20</v>
      </c>
      <c r="E280" s="3">
        <v>19</v>
      </c>
      <c r="G280" s="3">
        <v>2</v>
      </c>
      <c r="H280" s="3">
        <v>0</v>
      </c>
      <c r="I280" s="3">
        <f t="shared" ref="I280:I310" si="41">E280+G280+H280</f>
        <v>21</v>
      </c>
      <c r="J280" s="3" t="str">
        <f t="shared" ref="J280:J310" si="42">IF(C280="Técnico III","35",IF(C280="Técnico II","28",IF(C280="Técnico I","23",IF(C280="JR","20",IF(C280="Estágio","10",)))))</f>
        <v>20</v>
      </c>
      <c r="K280" s="3">
        <f t="shared" ref="K280:K310" si="43">I280-J280</f>
        <v>1</v>
      </c>
      <c r="L280" s="3" t="str">
        <f t="shared" si="40"/>
        <v>BOM</v>
      </c>
    </row>
    <row r="281" spans="1:12" hidden="1" x14ac:dyDescent="0.25">
      <c r="A281" s="5">
        <v>46146</v>
      </c>
      <c r="B281" s="6" t="s">
        <v>35</v>
      </c>
      <c r="C281" s="3" t="s">
        <v>36</v>
      </c>
      <c r="D281" s="3">
        <v>24</v>
      </c>
      <c r="E281" s="3">
        <v>24</v>
      </c>
      <c r="G281" s="3">
        <v>0</v>
      </c>
      <c r="I281" s="3">
        <f t="shared" si="41"/>
        <v>24</v>
      </c>
      <c r="J281" s="3" t="str">
        <f t="shared" si="42"/>
        <v>20</v>
      </c>
      <c r="K281" s="3">
        <f t="shared" si="43"/>
        <v>4</v>
      </c>
      <c r="L281" s="3" t="str">
        <f t="shared" si="40"/>
        <v>BOM</v>
      </c>
    </row>
    <row r="282" spans="1:12" hidden="1" x14ac:dyDescent="0.25">
      <c r="A282" s="5">
        <v>46147</v>
      </c>
      <c r="B282" s="6" t="s">
        <v>35</v>
      </c>
      <c r="C282" s="3" t="s">
        <v>36</v>
      </c>
      <c r="D282" s="3">
        <v>25</v>
      </c>
      <c r="E282" s="3">
        <v>14</v>
      </c>
      <c r="G282" s="3">
        <v>10</v>
      </c>
      <c r="I282" s="3">
        <f t="shared" si="41"/>
        <v>24</v>
      </c>
      <c r="J282" s="3" t="str">
        <f t="shared" si="42"/>
        <v>20</v>
      </c>
      <c r="K282" s="3">
        <f t="shared" si="43"/>
        <v>4</v>
      </c>
      <c r="L282" s="3" t="str">
        <f t="shared" si="40"/>
        <v>BOM</v>
      </c>
    </row>
    <row r="283" spans="1:12" hidden="1" x14ac:dyDescent="0.25">
      <c r="A283" s="5">
        <v>46148</v>
      </c>
      <c r="B283" s="6" t="s">
        <v>35</v>
      </c>
      <c r="C283" s="3" t="s">
        <v>36</v>
      </c>
      <c r="D283" s="3">
        <v>22</v>
      </c>
      <c r="E283" s="3">
        <v>22</v>
      </c>
      <c r="G283" s="3">
        <v>1</v>
      </c>
      <c r="I283" s="3">
        <f t="shared" si="41"/>
        <v>23</v>
      </c>
      <c r="J283" s="3" t="str">
        <f t="shared" si="42"/>
        <v>20</v>
      </c>
      <c r="K283" s="3">
        <f t="shared" si="43"/>
        <v>3</v>
      </c>
      <c r="L283" s="3" t="str">
        <f t="shared" si="40"/>
        <v>BOM</v>
      </c>
    </row>
    <row r="284" spans="1:12" hidden="1" x14ac:dyDescent="0.25">
      <c r="A284" s="5">
        <v>46149</v>
      </c>
      <c r="B284" s="6" t="s">
        <v>35</v>
      </c>
      <c r="C284" s="3" t="s">
        <v>36</v>
      </c>
      <c r="D284" s="3">
        <v>18</v>
      </c>
      <c r="E284" s="3">
        <v>17</v>
      </c>
      <c r="G284" s="3">
        <v>9</v>
      </c>
      <c r="I284" s="3">
        <f t="shared" si="41"/>
        <v>26</v>
      </c>
      <c r="J284" s="3" t="str">
        <f t="shared" si="42"/>
        <v>20</v>
      </c>
      <c r="K284" s="3">
        <f t="shared" si="43"/>
        <v>6</v>
      </c>
      <c r="L284" s="3" t="str">
        <f t="shared" si="40"/>
        <v>EXCELENTE</v>
      </c>
    </row>
    <row r="285" spans="1:12" hidden="1" x14ac:dyDescent="0.25">
      <c r="A285" s="5">
        <v>46150</v>
      </c>
      <c r="B285" s="6" t="s">
        <v>35</v>
      </c>
      <c r="C285" s="3" t="s">
        <v>36</v>
      </c>
      <c r="D285" s="3">
        <v>21</v>
      </c>
      <c r="E285" s="3">
        <v>20</v>
      </c>
      <c r="G285" s="3">
        <v>1</v>
      </c>
      <c r="H285" s="3">
        <v>0</v>
      </c>
      <c r="I285" s="3">
        <f t="shared" si="41"/>
        <v>21</v>
      </c>
      <c r="J285" s="3" t="str">
        <f t="shared" si="42"/>
        <v>20</v>
      </c>
      <c r="K285" s="3">
        <f t="shared" si="43"/>
        <v>1</v>
      </c>
      <c r="L285" s="3" t="str">
        <f t="shared" si="40"/>
        <v>BOM</v>
      </c>
    </row>
    <row r="286" spans="1:12" hidden="1" x14ac:dyDescent="0.25">
      <c r="A286" s="5">
        <v>46153</v>
      </c>
      <c r="B286" s="6" t="s">
        <v>35</v>
      </c>
      <c r="C286" s="3" t="s">
        <v>36</v>
      </c>
      <c r="D286" s="3">
        <v>17</v>
      </c>
      <c r="E286" s="3">
        <v>17</v>
      </c>
      <c r="G286" s="3">
        <v>2</v>
      </c>
      <c r="I286" s="3">
        <f t="shared" si="41"/>
        <v>19</v>
      </c>
      <c r="J286" s="3" t="str">
        <f t="shared" si="42"/>
        <v>20</v>
      </c>
      <c r="K286" s="3">
        <f t="shared" si="43"/>
        <v>-1</v>
      </c>
      <c r="L286" s="3" t="str">
        <f t="shared" si="40"/>
        <v>ATENÇÃO</v>
      </c>
    </row>
    <row r="287" spans="1:12" hidden="1" x14ac:dyDescent="0.25">
      <c r="A287" s="5">
        <v>46154</v>
      </c>
      <c r="B287" s="6" t="s">
        <v>35</v>
      </c>
      <c r="C287" s="3" t="s">
        <v>36</v>
      </c>
      <c r="D287" s="3">
        <v>26</v>
      </c>
      <c r="E287" s="3">
        <v>22</v>
      </c>
      <c r="I287" s="3">
        <f t="shared" si="41"/>
        <v>22</v>
      </c>
      <c r="J287" s="3" t="str">
        <f t="shared" si="42"/>
        <v>20</v>
      </c>
      <c r="K287" s="3">
        <f t="shared" si="43"/>
        <v>2</v>
      </c>
      <c r="L287" s="3" t="str">
        <f t="shared" si="40"/>
        <v>BOM</v>
      </c>
    </row>
    <row r="288" spans="1:12" hidden="1" x14ac:dyDescent="0.25">
      <c r="A288" s="5">
        <v>46155</v>
      </c>
      <c r="B288" s="6" t="s">
        <v>35</v>
      </c>
      <c r="C288" s="3" t="s">
        <v>36</v>
      </c>
      <c r="D288" s="3">
        <v>17</v>
      </c>
      <c r="E288" s="3">
        <v>14</v>
      </c>
      <c r="G288" s="3">
        <v>6</v>
      </c>
      <c r="I288" s="3">
        <f t="shared" si="41"/>
        <v>20</v>
      </c>
      <c r="J288" s="3" t="str">
        <f t="shared" si="42"/>
        <v>20</v>
      </c>
      <c r="K288" s="3">
        <f t="shared" si="43"/>
        <v>0</v>
      </c>
      <c r="L288" s="3" t="str">
        <f t="shared" si="40"/>
        <v>BOM</v>
      </c>
    </row>
    <row r="289" spans="1:12" hidden="1" x14ac:dyDescent="0.25">
      <c r="A289" s="5">
        <v>46156</v>
      </c>
      <c r="B289" s="6" t="s">
        <v>35</v>
      </c>
      <c r="C289" s="3" t="s">
        <v>36</v>
      </c>
      <c r="D289" s="3">
        <v>23</v>
      </c>
      <c r="E289" s="3">
        <v>23</v>
      </c>
      <c r="G289" s="3">
        <v>0</v>
      </c>
      <c r="H289" s="3">
        <v>0</v>
      </c>
      <c r="I289" s="3">
        <f t="shared" si="41"/>
        <v>23</v>
      </c>
      <c r="J289" s="3" t="str">
        <f t="shared" si="42"/>
        <v>20</v>
      </c>
      <c r="K289" s="3">
        <f t="shared" si="43"/>
        <v>3</v>
      </c>
      <c r="L289" s="3" t="str">
        <f t="shared" si="40"/>
        <v>BOM</v>
      </c>
    </row>
    <row r="290" spans="1:12" hidden="1" x14ac:dyDescent="0.25">
      <c r="A290" s="5">
        <v>46157</v>
      </c>
      <c r="B290" s="6" t="s">
        <v>35</v>
      </c>
      <c r="C290" s="3" t="s">
        <v>36</v>
      </c>
      <c r="D290" s="3">
        <v>23</v>
      </c>
      <c r="E290" s="3">
        <v>20</v>
      </c>
      <c r="G290" s="3">
        <v>5</v>
      </c>
      <c r="H290" s="3">
        <v>0</v>
      </c>
      <c r="I290" s="3">
        <f t="shared" si="41"/>
        <v>25</v>
      </c>
      <c r="J290" s="3" t="str">
        <f t="shared" si="42"/>
        <v>20</v>
      </c>
      <c r="K290" s="3">
        <f t="shared" si="43"/>
        <v>5</v>
      </c>
      <c r="L290" s="3" t="str">
        <f t="shared" si="40"/>
        <v>BOM</v>
      </c>
    </row>
    <row r="291" spans="1:12" hidden="1" x14ac:dyDescent="0.25">
      <c r="A291" s="5">
        <v>46160</v>
      </c>
      <c r="B291" s="6" t="s">
        <v>35</v>
      </c>
      <c r="C291" s="3" t="s">
        <v>36</v>
      </c>
      <c r="D291" s="3">
        <v>18</v>
      </c>
      <c r="E291" s="3">
        <v>17</v>
      </c>
      <c r="G291" s="3">
        <v>2</v>
      </c>
      <c r="H291" s="3">
        <v>0</v>
      </c>
      <c r="I291" s="3">
        <f t="shared" si="41"/>
        <v>19</v>
      </c>
      <c r="J291" s="3" t="str">
        <f t="shared" si="42"/>
        <v>20</v>
      </c>
      <c r="K291" s="3">
        <f t="shared" si="43"/>
        <v>-1</v>
      </c>
      <c r="L291" s="3" t="str">
        <f t="shared" si="40"/>
        <v>ATENÇÃO</v>
      </c>
    </row>
    <row r="292" spans="1:12" x14ac:dyDescent="0.25">
      <c r="A292" s="7">
        <v>46161</v>
      </c>
      <c r="B292" s="8" t="s">
        <v>60</v>
      </c>
      <c r="C292" s="9" t="s">
        <v>12</v>
      </c>
      <c r="D292" s="3">
        <v>32</v>
      </c>
      <c r="E292" s="3">
        <v>32</v>
      </c>
      <c r="G292" s="3">
        <v>0</v>
      </c>
      <c r="H292" s="3">
        <v>0</v>
      </c>
      <c r="I292" s="3">
        <f t="shared" si="41"/>
        <v>32</v>
      </c>
      <c r="J292" s="3" t="str">
        <f t="shared" si="42"/>
        <v>35</v>
      </c>
      <c r="K292" s="3">
        <f t="shared" si="43"/>
        <v>-3</v>
      </c>
      <c r="L292" s="3" t="str">
        <f t="shared" si="40"/>
        <v>ATENÇÃO</v>
      </c>
    </row>
    <row r="293" spans="1:12" hidden="1" x14ac:dyDescent="0.25">
      <c r="A293" s="5">
        <v>46146</v>
      </c>
      <c r="B293" s="6" t="s">
        <v>60</v>
      </c>
      <c r="C293" s="9" t="s">
        <v>12</v>
      </c>
      <c r="D293" s="3">
        <v>20</v>
      </c>
      <c r="E293" s="3">
        <v>20</v>
      </c>
      <c r="G293" s="3">
        <v>0</v>
      </c>
      <c r="I293" s="3">
        <f t="shared" si="41"/>
        <v>20</v>
      </c>
      <c r="J293" s="3" t="str">
        <f t="shared" si="42"/>
        <v>35</v>
      </c>
      <c r="K293" s="3">
        <f t="shared" si="43"/>
        <v>-15</v>
      </c>
      <c r="L293" s="3" t="str">
        <f t="shared" si="40"/>
        <v>CRÍTICO</v>
      </c>
    </row>
    <row r="294" spans="1:12" hidden="1" x14ac:dyDescent="0.25">
      <c r="A294" s="5">
        <v>46147</v>
      </c>
      <c r="B294" s="6" t="s">
        <v>60</v>
      </c>
      <c r="C294" s="9" t="s">
        <v>12</v>
      </c>
      <c r="D294" s="3">
        <v>26</v>
      </c>
      <c r="E294" s="3">
        <v>26</v>
      </c>
      <c r="G294" s="3">
        <v>1</v>
      </c>
      <c r="I294" s="3">
        <f t="shared" si="41"/>
        <v>27</v>
      </c>
      <c r="J294" s="3" t="str">
        <f t="shared" si="42"/>
        <v>35</v>
      </c>
      <c r="K294" s="3">
        <f t="shared" si="43"/>
        <v>-8</v>
      </c>
      <c r="L294" s="3" t="str">
        <f t="shared" si="40"/>
        <v>CRÍTICO</v>
      </c>
    </row>
    <row r="295" spans="1:12" hidden="1" x14ac:dyDescent="0.25">
      <c r="A295" s="5">
        <v>46148</v>
      </c>
      <c r="B295" s="6" t="s">
        <v>60</v>
      </c>
      <c r="C295" s="9" t="s">
        <v>12</v>
      </c>
      <c r="D295" s="3">
        <v>27</v>
      </c>
      <c r="E295" s="3">
        <v>25</v>
      </c>
      <c r="G295" s="3">
        <v>1</v>
      </c>
      <c r="I295" s="3">
        <f t="shared" si="41"/>
        <v>26</v>
      </c>
      <c r="J295" s="3" t="str">
        <f t="shared" si="42"/>
        <v>35</v>
      </c>
      <c r="K295" s="3">
        <f t="shared" si="43"/>
        <v>-9</v>
      </c>
      <c r="L295" s="3" t="str">
        <f t="shared" si="40"/>
        <v>CRÍTICO</v>
      </c>
    </row>
    <row r="296" spans="1:12" hidden="1" x14ac:dyDescent="0.25">
      <c r="A296" s="5">
        <v>46149</v>
      </c>
      <c r="B296" s="6" t="s">
        <v>60</v>
      </c>
      <c r="C296" s="9" t="s">
        <v>12</v>
      </c>
      <c r="D296" s="3">
        <v>20</v>
      </c>
      <c r="E296" s="3">
        <v>19</v>
      </c>
      <c r="G296" s="3">
        <v>4</v>
      </c>
      <c r="I296" s="3">
        <f t="shared" si="41"/>
        <v>23</v>
      </c>
      <c r="J296" s="3" t="str">
        <f t="shared" si="42"/>
        <v>35</v>
      </c>
      <c r="K296" s="3">
        <f t="shared" si="43"/>
        <v>-12</v>
      </c>
      <c r="L296" s="3" t="str">
        <f t="shared" si="40"/>
        <v>CRÍTICO</v>
      </c>
    </row>
    <row r="297" spans="1:12" hidden="1" x14ac:dyDescent="0.25">
      <c r="A297" s="5">
        <v>46150</v>
      </c>
      <c r="B297" s="6" t="s">
        <v>60</v>
      </c>
      <c r="C297" s="9" t="s">
        <v>12</v>
      </c>
      <c r="D297" s="3">
        <v>4</v>
      </c>
      <c r="E297" s="3">
        <v>4</v>
      </c>
      <c r="G297" s="3">
        <v>0</v>
      </c>
      <c r="H297" s="3">
        <v>0</v>
      </c>
      <c r="I297" s="3">
        <f t="shared" si="41"/>
        <v>4</v>
      </c>
      <c r="J297" s="3" t="str">
        <f t="shared" si="42"/>
        <v>35</v>
      </c>
      <c r="K297" s="3">
        <f t="shared" si="43"/>
        <v>-31</v>
      </c>
      <c r="L297" s="3" t="str">
        <f t="shared" si="40"/>
        <v>CRÍTICO</v>
      </c>
    </row>
    <row r="298" spans="1:12" hidden="1" x14ac:dyDescent="0.25">
      <c r="A298" s="5">
        <v>46153</v>
      </c>
      <c r="B298" s="6" t="s">
        <v>60</v>
      </c>
      <c r="C298" s="9" t="s">
        <v>12</v>
      </c>
      <c r="D298" s="3">
        <v>24</v>
      </c>
      <c r="E298" s="3">
        <v>23</v>
      </c>
      <c r="G298" s="3">
        <v>1</v>
      </c>
      <c r="I298" s="3">
        <f t="shared" si="41"/>
        <v>24</v>
      </c>
      <c r="J298" s="3" t="str">
        <f t="shared" si="42"/>
        <v>35</v>
      </c>
      <c r="K298" s="3">
        <f t="shared" si="43"/>
        <v>-11</v>
      </c>
      <c r="L298" s="3" t="str">
        <f t="shared" si="40"/>
        <v>CRÍTICO</v>
      </c>
    </row>
    <row r="299" spans="1:12" hidden="1" x14ac:dyDescent="0.25">
      <c r="A299" s="5">
        <v>46154</v>
      </c>
      <c r="B299" s="6" t="s">
        <v>60</v>
      </c>
      <c r="C299" s="9" t="s">
        <v>12</v>
      </c>
      <c r="D299" s="3">
        <v>19</v>
      </c>
      <c r="E299" s="3">
        <v>17</v>
      </c>
      <c r="G299" s="3">
        <v>1</v>
      </c>
      <c r="I299" s="3">
        <f t="shared" si="41"/>
        <v>18</v>
      </c>
      <c r="J299" s="3" t="str">
        <f t="shared" si="42"/>
        <v>35</v>
      </c>
      <c r="K299" s="3">
        <f t="shared" si="43"/>
        <v>-17</v>
      </c>
      <c r="L299" s="3" t="str">
        <f t="shared" si="40"/>
        <v>CRÍTICO</v>
      </c>
    </row>
    <row r="300" spans="1:12" hidden="1" x14ac:dyDescent="0.25">
      <c r="A300" s="5">
        <v>46155</v>
      </c>
      <c r="B300" s="6" t="s">
        <v>60</v>
      </c>
      <c r="C300" s="9" t="s">
        <v>12</v>
      </c>
      <c r="D300" s="3">
        <v>27</v>
      </c>
      <c r="E300" s="3">
        <v>26</v>
      </c>
      <c r="I300" s="3">
        <f t="shared" si="41"/>
        <v>26</v>
      </c>
      <c r="J300" s="3" t="str">
        <f t="shared" si="42"/>
        <v>35</v>
      </c>
      <c r="K300" s="3">
        <f t="shared" si="43"/>
        <v>-9</v>
      </c>
      <c r="L300" s="3" t="str">
        <f t="shared" si="40"/>
        <v>CRÍTICO</v>
      </c>
    </row>
    <row r="301" spans="1:12" hidden="1" x14ac:dyDescent="0.25">
      <c r="A301" s="5">
        <v>46156</v>
      </c>
      <c r="B301" s="6" t="s">
        <v>60</v>
      </c>
      <c r="C301" s="9" t="s">
        <v>12</v>
      </c>
      <c r="D301" s="3">
        <v>30</v>
      </c>
      <c r="E301" s="3">
        <v>29</v>
      </c>
      <c r="G301" s="3">
        <v>0</v>
      </c>
      <c r="H301" s="3">
        <v>0</v>
      </c>
      <c r="I301" s="3">
        <f t="shared" si="41"/>
        <v>29</v>
      </c>
      <c r="J301" s="3" t="str">
        <f t="shared" si="42"/>
        <v>35</v>
      </c>
      <c r="K301" s="3">
        <f t="shared" si="43"/>
        <v>-6</v>
      </c>
      <c r="L301" s="3" t="str">
        <f t="shared" si="40"/>
        <v>CRÍTICO</v>
      </c>
    </row>
    <row r="302" spans="1:12" hidden="1" x14ac:dyDescent="0.25">
      <c r="A302" s="5">
        <v>46160</v>
      </c>
      <c r="B302" s="6" t="s">
        <v>60</v>
      </c>
      <c r="C302" s="9" t="s">
        <v>12</v>
      </c>
      <c r="D302" s="3">
        <v>25</v>
      </c>
      <c r="E302" s="3">
        <v>24</v>
      </c>
      <c r="G302" s="3">
        <v>0</v>
      </c>
      <c r="H302" s="3">
        <v>0</v>
      </c>
      <c r="I302" s="3">
        <f t="shared" si="41"/>
        <v>24</v>
      </c>
      <c r="J302" s="3" t="str">
        <f t="shared" si="42"/>
        <v>35</v>
      </c>
      <c r="K302" s="3">
        <f t="shared" si="43"/>
        <v>-11</v>
      </c>
      <c r="L302" s="3" t="str">
        <f t="shared" si="40"/>
        <v>CRÍTICO</v>
      </c>
    </row>
    <row r="303" spans="1:12" x14ac:dyDescent="0.25">
      <c r="A303" s="7">
        <v>46161</v>
      </c>
      <c r="B303" s="8" t="s">
        <v>37</v>
      </c>
      <c r="C303" s="9" t="s">
        <v>36</v>
      </c>
      <c r="D303" s="3">
        <v>19</v>
      </c>
      <c r="E303" s="3">
        <v>17</v>
      </c>
      <c r="G303" s="3">
        <v>1</v>
      </c>
      <c r="H303" s="3">
        <v>0</v>
      </c>
      <c r="I303" s="3">
        <f t="shared" si="41"/>
        <v>18</v>
      </c>
      <c r="J303" s="3" t="str">
        <f t="shared" si="42"/>
        <v>20</v>
      </c>
      <c r="K303" s="3">
        <f t="shared" si="43"/>
        <v>-2</v>
      </c>
      <c r="L303" s="3" t="str">
        <f t="shared" si="40"/>
        <v>ATENÇÃO</v>
      </c>
    </row>
    <row r="304" spans="1:12" hidden="1" x14ac:dyDescent="0.25">
      <c r="A304" s="5">
        <v>46146</v>
      </c>
      <c r="B304" s="6" t="s">
        <v>37</v>
      </c>
      <c r="C304" s="3" t="s">
        <v>36</v>
      </c>
      <c r="D304" s="3">
        <v>12</v>
      </c>
      <c r="E304" s="3">
        <v>11</v>
      </c>
      <c r="G304" s="3">
        <v>4</v>
      </c>
      <c r="I304" s="3">
        <f t="shared" si="41"/>
        <v>15</v>
      </c>
      <c r="J304" s="3" t="str">
        <f t="shared" si="42"/>
        <v>20</v>
      </c>
      <c r="K304" s="3">
        <f t="shared" si="43"/>
        <v>-5</v>
      </c>
      <c r="L304" s="3" t="str">
        <f t="shared" si="40"/>
        <v>ATENÇÃO</v>
      </c>
    </row>
    <row r="305" spans="1:12" hidden="1" x14ac:dyDescent="0.25">
      <c r="A305" s="5">
        <v>46147</v>
      </c>
      <c r="B305" s="6" t="s">
        <v>37</v>
      </c>
      <c r="C305" s="3" t="s">
        <v>36</v>
      </c>
      <c r="D305" s="3">
        <v>17</v>
      </c>
      <c r="E305" s="3">
        <v>17</v>
      </c>
      <c r="G305" s="3">
        <v>5</v>
      </c>
      <c r="I305" s="3">
        <f t="shared" si="41"/>
        <v>22</v>
      </c>
      <c r="J305" s="3" t="str">
        <f t="shared" si="42"/>
        <v>20</v>
      </c>
      <c r="K305" s="3">
        <f t="shared" si="43"/>
        <v>2</v>
      </c>
      <c r="L305" s="3" t="str">
        <f t="shared" si="40"/>
        <v>BOM</v>
      </c>
    </row>
    <row r="306" spans="1:12" hidden="1" x14ac:dyDescent="0.25">
      <c r="A306" s="5">
        <v>46148</v>
      </c>
      <c r="B306" s="6" t="s">
        <v>37</v>
      </c>
      <c r="C306" s="3" t="s">
        <v>36</v>
      </c>
      <c r="D306" s="3">
        <v>13</v>
      </c>
      <c r="E306" s="3">
        <v>12</v>
      </c>
      <c r="G306" s="3">
        <v>12</v>
      </c>
      <c r="I306" s="3">
        <f t="shared" si="41"/>
        <v>24</v>
      </c>
      <c r="J306" s="3" t="str">
        <f t="shared" si="42"/>
        <v>20</v>
      </c>
      <c r="K306" s="3">
        <f t="shared" si="43"/>
        <v>4</v>
      </c>
      <c r="L306" s="3" t="str">
        <f t="shared" si="40"/>
        <v>BOM</v>
      </c>
    </row>
    <row r="307" spans="1:12" hidden="1" x14ac:dyDescent="0.25">
      <c r="A307" s="5">
        <v>46149</v>
      </c>
      <c r="B307" s="6" t="s">
        <v>37</v>
      </c>
      <c r="C307" s="3" t="s">
        <v>36</v>
      </c>
      <c r="D307" s="3">
        <v>12</v>
      </c>
      <c r="E307" s="3">
        <v>12</v>
      </c>
      <c r="G307" s="3">
        <v>4</v>
      </c>
      <c r="I307" s="3">
        <f t="shared" si="41"/>
        <v>16</v>
      </c>
      <c r="J307" s="3" t="str">
        <f t="shared" si="42"/>
        <v>20</v>
      </c>
      <c r="K307" s="3">
        <f t="shared" si="43"/>
        <v>-4</v>
      </c>
      <c r="L307" s="3" t="str">
        <f t="shared" si="40"/>
        <v>ATENÇÃO</v>
      </c>
    </row>
    <row r="308" spans="1:12" hidden="1" x14ac:dyDescent="0.25">
      <c r="A308" s="5">
        <v>46150</v>
      </c>
      <c r="B308" s="6" t="s">
        <v>37</v>
      </c>
      <c r="C308" s="3" t="s">
        <v>36</v>
      </c>
      <c r="D308" s="3">
        <v>11</v>
      </c>
      <c r="E308" s="3">
        <v>11</v>
      </c>
      <c r="G308" s="3">
        <v>4</v>
      </c>
      <c r="H308" s="3">
        <v>0</v>
      </c>
      <c r="I308" s="3">
        <f t="shared" si="41"/>
        <v>15</v>
      </c>
      <c r="J308" s="3" t="str">
        <f t="shared" si="42"/>
        <v>20</v>
      </c>
      <c r="K308" s="3">
        <f t="shared" si="43"/>
        <v>-5</v>
      </c>
      <c r="L308" s="3" t="str">
        <f t="shared" si="40"/>
        <v>ATENÇÃO</v>
      </c>
    </row>
    <row r="309" spans="1:12" hidden="1" x14ac:dyDescent="0.25">
      <c r="A309" s="5">
        <v>46153</v>
      </c>
      <c r="B309" s="6" t="s">
        <v>37</v>
      </c>
      <c r="C309" s="3" t="s">
        <v>36</v>
      </c>
      <c r="D309" s="3">
        <v>12</v>
      </c>
      <c r="E309" s="3">
        <v>11</v>
      </c>
      <c r="G309" s="3">
        <v>1</v>
      </c>
      <c r="I309" s="3">
        <f t="shared" si="41"/>
        <v>12</v>
      </c>
      <c r="J309" s="3" t="str">
        <f t="shared" si="42"/>
        <v>20</v>
      </c>
      <c r="K309" s="3">
        <f t="shared" si="43"/>
        <v>-8</v>
      </c>
      <c r="L309" s="3" t="str">
        <f t="shared" si="40"/>
        <v>CRÍTICO</v>
      </c>
    </row>
    <row r="310" spans="1:12" hidden="1" x14ac:dyDescent="0.25">
      <c r="A310" s="5">
        <v>46154</v>
      </c>
      <c r="B310" s="6" t="s">
        <v>37</v>
      </c>
      <c r="C310" s="3" t="s">
        <v>36</v>
      </c>
      <c r="D310" s="3">
        <v>10</v>
      </c>
      <c r="E310" s="3">
        <v>6</v>
      </c>
      <c r="G310" s="3">
        <v>7</v>
      </c>
      <c r="I310" s="3">
        <f t="shared" si="41"/>
        <v>13</v>
      </c>
      <c r="J310" s="3" t="str">
        <f t="shared" si="42"/>
        <v>20</v>
      </c>
      <c r="K310" s="3">
        <f t="shared" si="43"/>
        <v>-7</v>
      </c>
      <c r="L310" s="3" t="str">
        <f t="shared" si="40"/>
        <v>CRÍTICO</v>
      </c>
    </row>
    <row r="311" spans="1:12" hidden="1" x14ac:dyDescent="0.25">
      <c r="A311" s="5">
        <v>46155</v>
      </c>
      <c r="B311" s="6" t="s">
        <v>37</v>
      </c>
      <c r="C311" s="3" t="s">
        <v>36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 t="str">
        <f t="shared" si="40"/>
        <v>BOM</v>
      </c>
    </row>
    <row r="312" spans="1:12" hidden="1" x14ac:dyDescent="0.25">
      <c r="A312" s="5">
        <v>46156</v>
      </c>
      <c r="B312" s="6" t="s">
        <v>37</v>
      </c>
      <c r="C312" s="3" t="s">
        <v>36</v>
      </c>
      <c r="D312" s="3">
        <v>9</v>
      </c>
      <c r="E312" s="3">
        <v>7</v>
      </c>
      <c r="G312" s="3">
        <v>8</v>
      </c>
      <c r="H312" s="3">
        <v>0</v>
      </c>
      <c r="I312" s="3">
        <f t="shared" ref="I312:I351" si="44">E312+G312+H312</f>
        <v>15</v>
      </c>
      <c r="J312" s="3" t="str">
        <f t="shared" ref="J312:J351" si="45">IF(C312="Técnico III","35",IF(C312="Técnico II","28",IF(C312="Técnico I","23",IF(C312="JR","20",IF(C312="Estágio","10",)))))</f>
        <v>20</v>
      </c>
      <c r="K312" s="3">
        <f t="shared" ref="K312:K351" si="46">I312-J312</f>
        <v>-5</v>
      </c>
      <c r="L312" s="3" t="str">
        <f t="shared" si="40"/>
        <v>ATENÇÃO</v>
      </c>
    </row>
    <row r="313" spans="1:12" hidden="1" x14ac:dyDescent="0.25">
      <c r="A313" s="5">
        <v>46157</v>
      </c>
      <c r="B313" s="6" t="s">
        <v>37</v>
      </c>
      <c r="C313" s="3" t="s">
        <v>36</v>
      </c>
      <c r="D313" s="3">
        <v>15</v>
      </c>
      <c r="E313" s="3">
        <v>14</v>
      </c>
      <c r="G313" s="3">
        <v>2</v>
      </c>
      <c r="H313" s="3">
        <v>0</v>
      </c>
      <c r="I313" s="3">
        <f t="shared" si="44"/>
        <v>16</v>
      </c>
      <c r="J313" s="3" t="str">
        <f t="shared" si="45"/>
        <v>20</v>
      </c>
      <c r="K313" s="3">
        <f t="shared" si="46"/>
        <v>-4</v>
      </c>
      <c r="L313" s="3" t="str">
        <f t="shared" si="40"/>
        <v>ATENÇÃO</v>
      </c>
    </row>
    <row r="314" spans="1:12" hidden="1" x14ac:dyDescent="0.25">
      <c r="A314" s="5">
        <v>46160</v>
      </c>
      <c r="B314" s="6" t="s">
        <v>37</v>
      </c>
      <c r="C314" s="3" t="s">
        <v>36</v>
      </c>
      <c r="D314" s="3">
        <v>16</v>
      </c>
      <c r="E314" s="3">
        <v>13</v>
      </c>
      <c r="G314" s="3">
        <v>4</v>
      </c>
      <c r="H314" s="3">
        <v>0</v>
      </c>
      <c r="I314" s="3">
        <f t="shared" si="44"/>
        <v>17</v>
      </c>
      <c r="J314" s="3" t="str">
        <f t="shared" si="45"/>
        <v>20</v>
      </c>
      <c r="K314" s="3">
        <f t="shared" si="46"/>
        <v>-3</v>
      </c>
      <c r="L314" s="3" t="str">
        <f t="shared" si="40"/>
        <v>ATENÇÃO</v>
      </c>
    </row>
    <row r="315" spans="1:12" x14ac:dyDescent="0.25">
      <c r="A315" s="7">
        <v>46161</v>
      </c>
      <c r="B315" s="8" t="s">
        <v>38</v>
      </c>
      <c r="C315" s="9" t="s">
        <v>12</v>
      </c>
      <c r="D315" s="3">
        <v>27</v>
      </c>
      <c r="E315" s="3">
        <v>26</v>
      </c>
      <c r="G315" s="3">
        <v>0</v>
      </c>
      <c r="H315" s="3">
        <v>0</v>
      </c>
      <c r="I315" s="3">
        <f t="shared" si="44"/>
        <v>26</v>
      </c>
      <c r="J315" s="3" t="str">
        <f t="shared" si="45"/>
        <v>35</v>
      </c>
      <c r="K315" s="3">
        <f t="shared" si="46"/>
        <v>-9</v>
      </c>
      <c r="L315" s="3" t="str">
        <f t="shared" si="40"/>
        <v>CRÍTICO</v>
      </c>
    </row>
    <row r="316" spans="1:12" hidden="1" x14ac:dyDescent="0.25">
      <c r="A316" s="5">
        <v>46146</v>
      </c>
      <c r="B316" s="6" t="s">
        <v>38</v>
      </c>
      <c r="C316" s="9" t="s">
        <v>12</v>
      </c>
      <c r="D316" s="3">
        <v>32</v>
      </c>
      <c r="E316" s="3">
        <v>29</v>
      </c>
      <c r="G316" s="3">
        <v>0</v>
      </c>
      <c r="I316" s="3">
        <f t="shared" si="44"/>
        <v>29</v>
      </c>
      <c r="J316" s="3" t="str">
        <f t="shared" si="45"/>
        <v>35</v>
      </c>
      <c r="K316" s="3">
        <f t="shared" si="46"/>
        <v>-6</v>
      </c>
      <c r="L316" s="3" t="str">
        <f t="shared" si="40"/>
        <v>CRÍTICO</v>
      </c>
    </row>
    <row r="317" spans="1:12" hidden="1" x14ac:dyDescent="0.25">
      <c r="A317" s="5">
        <v>46147</v>
      </c>
      <c r="B317" s="6" t="s">
        <v>38</v>
      </c>
      <c r="C317" s="9" t="s">
        <v>12</v>
      </c>
      <c r="D317" s="3">
        <v>29</v>
      </c>
      <c r="E317" s="3">
        <v>25</v>
      </c>
      <c r="G317" s="3">
        <v>0</v>
      </c>
      <c r="I317" s="3">
        <f t="shared" si="44"/>
        <v>25</v>
      </c>
      <c r="J317" s="3" t="str">
        <f t="shared" si="45"/>
        <v>35</v>
      </c>
      <c r="K317" s="3">
        <f t="shared" si="46"/>
        <v>-10</v>
      </c>
      <c r="L317" s="3" t="str">
        <f t="shared" si="40"/>
        <v>CRÍTICO</v>
      </c>
    </row>
    <row r="318" spans="1:12" hidden="1" x14ac:dyDescent="0.25">
      <c r="A318" s="5">
        <v>46148</v>
      </c>
      <c r="B318" s="6" t="s">
        <v>38</v>
      </c>
      <c r="C318" s="9" t="s">
        <v>12</v>
      </c>
      <c r="D318" s="3">
        <v>38</v>
      </c>
      <c r="E318" s="3">
        <v>38</v>
      </c>
      <c r="G318" s="3">
        <v>0</v>
      </c>
      <c r="I318" s="3">
        <f t="shared" si="44"/>
        <v>38</v>
      </c>
      <c r="J318" s="3" t="str">
        <f t="shared" si="45"/>
        <v>35</v>
      </c>
      <c r="K318" s="3">
        <f t="shared" si="46"/>
        <v>3</v>
      </c>
      <c r="L318" s="3" t="str">
        <f t="shared" si="40"/>
        <v>BOM</v>
      </c>
    </row>
    <row r="319" spans="1:12" hidden="1" x14ac:dyDescent="0.25">
      <c r="A319" s="5">
        <v>46149</v>
      </c>
      <c r="B319" s="6" t="s">
        <v>38</v>
      </c>
      <c r="C319" s="9" t="s">
        <v>12</v>
      </c>
      <c r="D319" s="3">
        <v>25</v>
      </c>
      <c r="E319" s="3">
        <v>23</v>
      </c>
      <c r="G319" s="3">
        <v>0</v>
      </c>
      <c r="I319" s="3">
        <f t="shared" si="44"/>
        <v>23</v>
      </c>
      <c r="J319" s="3" t="str">
        <f t="shared" si="45"/>
        <v>35</v>
      </c>
      <c r="K319" s="3">
        <f t="shared" si="46"/>
        <v>-12</v>
      </c>
      <c r="L319" s="3" t="str">
        <f t="shared" si="40"/>
        <v>CRÍTICO</v>
      </c>
    </row>
    <row r="320" spans="1:12" hidden="1" x14ac:dyDescent="0.25">
      <c r="A320" s="5">
        <v>46150</v>
      </c>
      <c r="B320" s="6" t="s">
        <v>38</v>
      </c>
      <c r="C320" s="9" t="s">
        <v>12</v>
      </c>
      <c r="D320" s="3">
        <v>29</v>
      </c>
      <c r="E320" s="3">
        <v>28</v>
      </c>
      <c r="G320" s="3">
        <v>0</v>
      </c>
      <c r="H320" s="3">
        <v>0</v>
      </c>
      <c r="I320" s="3">
        <f t="shared" si="44"/>
        <v>28</v>
      </c>
      <c r="J320" s="3" t="str">
        <f t="shared" si="45"/>
        <v>35</v>
      </c>
      <c r="K320" s="3">
        <f t="shared" si="46"/>
        <v>-7</v>
      </c>
      <c r="L320" s="3" t="str">
        <f t="shared" si="40"/>
        <v>CRÍTICO</v>
      </c>
    </row>
    <row r="321" spans="1:12" hidden="1" x14ac:dyDescent="0.25">
      <c r="A321" s="5">
        <v>46153</v>
      </c>
      <c r="B321" s="6" t="s">
        <v>38</v>
      </c>
      <c r="C321" s="9" t="s">
        <v>12</v>
      </c>
      <c r="D321" s="3">
        <v>31</v>
      </c>
      <c r="E321" s="3">
        <v>29</v>
      </c>
      <c r="G321" s="3">
        <v>0</v>
      </c>
      <c r="I321" s="3">
        <f t="shared" si="44"/>
        <v>29</v>
      </c>
      <c r="J321" s="3" t="str">
        <f t="shared" si="45"/>
        <v>35</v>
      </c>
      <c r="K321" s="3">
        <f t="shared" si="46"/>
        <v>-6</v>
      </c>
      <c r="L321" s="3" t="str">
        <f t="shared" si="40"/>
        <v>CRÍTICO</v>
      </c>
    </row>
    <row r="322" spans="1:12" hidden="1" x14ac:dyDescent="0.25">
      <c r="A322" s="5">
        <v>46154</v>
      </c>
      <c r="B322" s="6" t="s">
        <v>38</v>
      </c>
      <c r="C322" s="9" t="s">
        <v>12</v>
      </c>
      <c r="D322" s="3">
        <v>31</v>
      </c>
      <c r="E322" s="3">
        <v>25</v>
      </c>
      <c r="G322" s="3">
        <v>0</v>
      </c>
      <c r="I322" s="3">
        <f t="shared" si="44"/>
        <v>25</v>
      </c>
      <c r="J322" s="3" t="str">
        <f t="shared" si="45"/>
        <v>35</v>
      </c>
      <c r="K322" s="3">
        <f t="shared" si="46"/>
        <v>-10</v>
      </c>
      <c r="L322" s="3" t="str">
        <f t="shared" ref="L322:L385" si="47">IF(K322&lt;-5,"CRÍTICO",IF(K322&lt;0,"ATENÇÃO",IF(K322&lt;=5,"BOM","EXCELENTE")))</f>
        <v>CRÍTICO</v>
      </c>
    </row>
    <row r="323" spans="1:12" hidden="1" x14ac:dyDescent="0.25">
      <c r="A323" s="5">
        <v>46155</v>
      </c>
      <c r="B323" s="6" t="s">
        <v>38</v>
      </c>
      <c r="C323" s="9" t="s">
        <v>12</v>
      </c>
      <c r="D323" s="3">
        <v>25</v>
      </c>
      <c r="E323" s="3">
        <v>24</v>
      </c>
      <c r="G323" s="3">
        <v>1</v>
      </c>
      <c r="I323" s="3">
        <f t="shared" si="44"/>
        <v>25</v>
      </c>
      <c r="J323" s="3" t="str">
        <f t="shared" si="45"/>
        <v>35</v>
      </c>
      <c r="K323" s="3">
        <f t="shared" si="46"/>
        <v>-10</v>
      </c>
      <c r="L323" s="3" t="str">
        <f t="shared" si="47"/>
        <v>CRÍTICO</v>
      </c>
    </row>
    <row r="324" spans="1:12" hidden="1" x14ac:dyDescent="0.25">
      <c r="A324" s="5">
        <v>46156</v>
      </c>
      <c r="B324" s="6" t="s">
        <v>38</v>
      </c>
      <c r="C324" s="9" t="s">
        <v>12</v>
      </c>
      <c r="D324" s="3">
        <v>30</v>
      </c>
      <c r="E324" s="3">
        <v>27</v>
      </c>
      <c r="G324" s="3">
        <v>0</v>
      </c>
      <c r="H324" s="3">
        <v>0</v>
      </c>
      <c r="I324" s="3">
        <f t="shared" si="44"/>
        <v>27</v>
      </c>
      <c r="J324" s="3" t="str">
        <f t="shared" si="45"/>
        <v>35</v>
      </c>
      <c r="K324" s="3">
        <f t="shared" si="46"/>
        <v>-8</v>
      </c>
      <c r="L324" s="3" t="str">
        <f t="shared" si="47"/>
        <v>CRÍTICO</v>
      </c>
    </row>
    <row r="325" spans="1:12" hidden="1" x14ac:dyDescent="0.25">
      <c r="A325" s="5">
        <v>46157</v>
      </c>
      <c r="B325" s="6" t="s">
        <v>38</v>
      </c>
      <c r="C325" s="9" t="s">
        <v>12</v>
      </c>
      <c r="D325" s="3">
        <v>23</v>
      </c>
      <c r="E325" s="3">
        <v>22</v>
      </c>
      <c r="G325" s="3">
        <v>1</v>
      </c>
      <c r="H325" s="3">
        <v>0</v>
      </c>
      <c r="I325" s="3">
        <f t="shared" si="44"/>
        <v>23</v>
      </c>
      <c r="J325" s="3" t="str">
        <f t="shared" si="45"/>
        <v>35</v>
      </c>
      <c r="K325" s="3">
        <f t="shared" si="46"/>
        <v>-12</v>
      </c>
      <c r="L325" s="3" t="str">
        <f t="shared" si="47"/>
        <v>CRÍTICO</v>
      </c>
    </row>
    <row r="326" spans="1:12" hidden="1" x14ac:dyDescent="0.25">
      <c r="A326" s="5">
        <v>46160</v>
      </c>
      <c r="B326" s="6" t="s">
        <v>38</v>
      </c>
      <c r="C326" s="9" t="s">
        <v>12</v>
      </c>
      <c r="D326" s="3">
        <v>28</v>
      </c>
      <c r="E326" s="3">
        <v>25</v>
      </c>
      <c r="G326" s="3">
        <v>0</v>
      </c>
      <c r="H326" s="3">
        <v>0</v>
      </c>
      <c r="I326" s="3">
        <f t="shared" si="44"/>
        <v>25</v>
      </c>
      <c r="J326" s="3" t="str">
        <f t="shared" si="45"/>
        <v>35</v>
      </c>
      <c r="K326" s="3">
        <f t="shared" si="46"/>
        <v>-10</v>
      </c>
      <c r="L326" s="3" t="str">
        <f t="shared" si="47"/>
        <v>CRÍTICO</v>
      </c>
    </row>
    <row r="327" spans="1:12" x14ac:dyDescent="0.25">
      <c r="A327" s="7">
        <v>46161</v>
      </c>
      <c r="B327" s="8" t="s">
        <v>39</v>
      </c>
      <c r="C327" s="9" t="s">
        <v>11</v>
      </c>
      <c r="D327" s="3">
        <v>28</v>
      </c>
      <c r="E327" s="3">
        <v>25</v>
      </c>
      <c r="G327" s="3">
        <v>3</v>
      </c>
      <c r="H327" s="3">
        <v>0</v>
      </c>
      <c r="I327" s="3">
        <f t="shared" si="44"/>
        <v>28</v>
      </c>
      <c r="J327" s="3" t="str">
        <f t="shared" si="45"/>
        <v>28</v>
      </c>
      <c r="K327" s="3">
        <f t="shared" si="46"/>
        <v>0</v>
      </c>
      <c r="L327" s="3" t="str">
        <f t="shared" si="47"/>
        <v>BOM</v>
      </c>
    </row>
    <row r="328" spans="1:12" hidden="1" x14ac:dyDescent="0.25">
      <c r="A328" s="5">
        <v>46146</v>
      </c>
      <c r="B328" s="6" t="s">
        <v>39</v>
      </c>
      <c r="C328" s="3" t="s">
        <v>11</v>
      </c>
      <c r="D328" s="3">
        <v>29</v>
      </c>
      <c r="E328" s="3">
        <v>26</v>
      </c>
      <c r="G328" s="3">
        <v>0</v>
      </c>
      <c r="I328" s="3">
        <f t="shared" si="44"/>
        <v>26</v>
      </c>
      <c r="J328" s="3" t="str">
        <f t="shared" si="45"/>
        <v>28</v>
      </c>
      <c r="K328" s="3">
        <f t="shared" si="46"/>
        <v>-2</v>
      </c>
      <c r="L328" s="3" t="str">
        <f t="shared" si="47"/>
        <v>ATENÇÃO</v>
      </c>
    </row>
    <row r="329" spans="1:12" hidden="1" x14ac:dyDescent="0.25">
      <c r="A329" s="5">
        <v>46147</v>
      </c>
      <c r="B329" s="6" t="s">
        <v>39</v>
      </c>
      <c r="C329" s="3" t="s">
        <v>11</v>
      </c>
      <c r="D329" s="3">
        <v>18</v>
      </c>
      <c r="E329" s="3">
        <v>18</v>
      </c>
      <c r="G329" s="3">
        <v>4</v>
      </c>
      <c r="I329" s="3">
        <f t="shared" si="44"/>
        <v>22</v>
      </c>
      <c r="J329" s="3" t="str">
        <f t="shared" si="45"/>
        <v>28</v>
      </c>
      <c r="K329" s="3">
        <f t="shared" si="46"/>
        <v>-6</v>
      </c>
      <c r="L329" s="3" t="str">
        <f t="shared" si="47"/>
        <v>CRÍTICO</v>
      </c>
    </row>
    <row r="330" spans="1:12" hidden="1" x14ac:dyDescent="0.25">
      <c r="A330" s="5">
        <v>46148</v>
      </c>
      <c r="B330" s="6" t="s">
        <v>39</v>
      </c>
      <c r="C330" s="3" t="s">
        <v>11</v>
      </c>
      <c r="D330" s="3">
        <v>38</v>
      </c>
      <c r="E330" s="3">
        <v>36</v>
      </c>
      <c r="G330" s="3">
        <v>2</v>
      </c>
      <c r="I330" s="3">
        <f t="shared" si="44"/>
        <v>38</v>
      </c>
      <c r="J330" s="3" t="str">
        <f t="shared" si="45"/>
        <v>28</v>
      </c>
      <c r="K330" s="3">
        <f t="shared" si="46"/>
        <v>10</v>
      </c>
      <c r="L330" s="3" t="str">
        <f t="shared" si="47"/>
        <v>EXCELENTE</v>
      </c>
    </row>
    <row r="331" spans="1:12" hidden="1" x14ac:dyDescent="0.25">
      <c r="A331" s="5">
        <v>46149</v>
      </c>
      <c r="B331" s="6" t="s">
        <v>39</v>
      </c>
      <c r="C331" s="3" t="s">
        <v>11</v>
      </c>
      <c r="D331" s="3">
        <v>40</v>
      </c>
      <c r="E331" s="3">
        <v>37</v>
      </c>
      <c r="G331" s="3">
        <v>6</v>
      </c>
      <c r="I331" s="3">
        <f t="shared" si="44"/>
        <v>43</v>
      </c>
      <c r="J331" s="3" t="str">
        <f t="shared" si="45"/>
        <v>28</v>
      </c>
      <c r="K331" s="3">
        <f t="shared" si="46"/>
        <v>15</v>
      </c>
      <c r="L331" s="3" t="str">
        <f t="shared" si="47"/>
        <v>EXCELENTE</v>
      </c>
    </row>
    <row r="332" spans="1:12" hidden="1" x14ac:dyDescent="0.25">
      <c r="A332" s="5">
        <v>46150</v>
      </c>
      <c r="B332" s="6" t="s">
        <v>39</v>
      </c>
      <c r="C332" s="3" t="s">
        <v>11</v>
      </c>
      <c r="D332" s="3">
        <v>22</v>
      </c>
      <c r="E332" s="3">
        <v>18</v>
      </c>
      <c r="G332" s="3">
        <v>3</v>
      </c>
      <c r="H332" s="3">
        <v>0</v>
      </c>
      <c r="I332" s="3">
        <f t="shared" si="44"/>
        <v>21</v>
      </c>
      <c r="J332" s="3" t="str">
        <f t="shared" si="45"/>
        <v>28</v>
      </c>
      <c r="K332" s="3">
        <f t="shared" si="46"/>
        <v>-7</v>
      </c>
      <c r="L332" s="3" t="str">
        <f t="shared" si="47"/>
        <v>CRÍTICO</v>
      </c>
    </row>
    <row r="333" spans="1:12" hidden="1" x14ac:dyDescent="0.25">
      <c r="A333" s="5">
        <v>46153</v>
      </c>
      <c r="B333" s="6" t="s">
        <v>39</v>
      </c>
      <c r="C333" s="3" t="s">
        <v>11</v>
      </c>
      <c r="D333" s="3">
        <v>25</v>
      </c>
      <c r="E333" s="3">
        <v>22</v>
      </c>
      <c r="G333" s="3">
        <v>2</v>
      </c>
      <c r="I333" s="3">
        <f t="shared" si="44"/>
        <v>24</v>
      </c>
      <c r="J333" s="3" t="str">
        <f t="shared" si="45"/>
        <v>28</v>
      </c>
      <c r="K333" s="3">
        <f t="shared" si="46"/>
        <v>-4</v>
      </c>
      <c r="L333" s="3" t="str">
        <f t="shared" si="47"/>
        <v>ATENÇÃO</v>
      </c>
    </row>
    <row r="334" spans="1:12" hidden="1" x14ac:dyDescent="0.25">
      <c r="A334" s="5">
        <v>46154</v>
      </c>
      <c r="B334" s="6" t="s">
        <v>39</v>
      </c>
      <c r="C334" s="3" t="s">
        <v>11</v>
      </c>
      <c r="D334" s="3">
        <v>28</v>
      </c>
      <c r="E334" s="3">
        <v>26</v>
      </c>
      <c r="G334" s="3">
        <v>2</v>
      </c>
      <c r="I334" s="3">
        <f t="shared" si="44"/>
        <v>28</v>
      </c>
      <c r="J334" s="3" t="str">
        <f t="shared" si="45"/>
        <v>28</v>
      </c>
      <c r="K334" s="3">
        <f t="shared" si="46"/>
        <v>0</v>
      </c>
      <c r="L334" s="3" t="str">
        <f t="shared" si="47"/>
        <v>BOM</v>
      </c>
    </row>
    <row r="335" spans="1:12" hidden="1" x14ac:dyDescent="0.25">
      <c r="A335" s="5">
        <v>46155</v>
      </c>
      <c r="B335" s="6" t="s">
        <v>39</v>
      </c>
      <c r="C335" s="3" t="s">
        <v>11</v>
      </c>
      <c r="D335" s="3">
        <v>21</v>
      </c>
      <c r="E335" s="3">
        <v>20</v>
      </c>
      <c r="G335" s="3">
        <v>5</v>
      </c>
      <c r="I335" s="3">
        <f t="shared" si="44"/>
        <v>25</v>
      </c>
      <c r="J335" s="3" t="str">
        <f t="shared" si="45"/>
        <v>28</v>
      </c>
      <c r="K335" s="3">
        <f t="shared" si="46"/>
        <v>-3</v>
      </c>
      <c r="L335" s="3" t="str">
        <f t="shared" si="47"/>
        <v>ATENÇÃO</v>
      </c>
    </row>
    <row r="336" spans="1:12" hidden="1" x14ac:dyDescent="0.25">
      <c r="A336" s="5">
        <v>46156</v>
      </c>
      <c r="B336" s="6" t="s">
        <v>39</v>
      </c>
      <c r="C336" s="3" t="s">
        <v>11</v>
      </c>
      <c r="D336" s="3">
        <v>26</v>
      </c>
      <c r="E336" s="3">
        <v>24</v>
      </c>
      <c r="G336" s="3">
        <v>0</v>
      </c>
      <c r="H336" s="3">
        <v>0</v>
      </c>
      <c r="I336" s="3">
        <f t="shared" si="44"/>
        <v>24</v>
      </c>
      <c r="J336" s="3" t="str">
        <f t="shared" si="45"/>
        <v>28</v>
      </c>
      <c r="K336" s="3">
        <f t="shared" si="46"/>
        <v>-4</v>
      </c>
      <c r="L336" s="3" t="str">
        <f t="shared" si="47"/>
        <v>ATENÇÃO</v>
      </c>
    </row>
    <row r="337" spans="1:12" hidden="1" x14ac:dyDescent="0.25">
      <c r="A337" s="5">
        <v>46157</v>
      </c>
      <c r="B337" s="6" t="s">
        <v>39</v>
      </c>
      <c r="C337" s="3" t="s">
        <v>11</v>
      </c>
      <c r="D337" s="3">
        <v>34</v>
      </c>
      <c r="E337" s="3">
        <v>32</v>
      </c>
      <c r="G337" s="3">
        <v>0</v>
      </c>
      <c r="H337" s="3">
        <v>0</v>
      </c>
      <c r="I337" s="3">
        <f t="shared" si="44"/>
        <v>32</v>
      </c>
      <c r="J337" s="3" t="str">
        <f t="shared" si="45"/>
        <v>28</v>
      </c>
      <c r="K337" s="3">
        <f t="shared" si="46"/>
        <v>4</v>
      </c>
      <c r="L337" s="3" t="str">
        <f t="shared" si="47"/>
        <v>BOM</v>
      </c>
    </row>
    <row r="338" spans="1:12" hidden="1" x14ac:dyDescent="0.25">
      <c r="A338" s="5">
        <v>46160</v>
      </c>
      <c r="B338" s="6" t="s">
        <v>39</v>
      </c>
      <c r="C338" s="3" t="s">
        <v>11</v>
      </c>
      <c r="D338" s="3">
        <v>25</v>
      </c>
      <c r="E338" s="3">
        <v>23</v>
      </c>
      <c r="G338" s="3">
        <v>2</v>
      </c>
      <c r="H338" s="3">
        <v>0</v>
      </c>
      <c r="I338" s="3">
        <f t="shared" si="44"/>
        <v>25</v>
      </c>
      <c r="J338" s="3" t="str">
        <f t="shared" si="45"/>
        <v>28</v>
      </c>
      <c r="K338" s="3">
        <f t="shared" si="46"/>
        <v>-3</v>
      </c>
      <c r="L338" s="3" t="str">
        <f t="shared" si="47"/>
        <v>ATENÇÃO</v>
      </c>
    </row>
    <row r="339" spans="1:12" x14ac:dyDescent="0.25">
      <c r="A339" s="7">
        <v>46161</v>
      </c>
      <c r="B339" s="8" t="s">
        <v>40</v>
      </c>
      <c r="C339" s="9" t="s">
        <v>11</v>
      </c>
      <c r="D339" s="3">
        <v>22</v>
      </c>
      <c r="E339" s="3">
        <v>21</v>
      </c>
      <c r="G339" s="3">
        <v>1</v>
      </c>
      <c r="H339" s="3">
        <v>0</v>
      </c>
      <c r="I339" s="3">
        <f t="shared" si="44"/>
        <v>22</v>
      </c>
      <c r="J339" s="3" t="str">
        <f t="shared" si="45"/>
        <v>28</v>
      </c>
      <c r="K339" s="3">
        <f t="shared" si="46"/>
        <v>-6</v>
      </c>
      <c r="L339" s="3" t="str">
        <f t="shared" si="47"/>
        <v>CRÍTICO</v>
      </c>
    </row>
    <row r="340" spans="1:12" hidden="1" x14ac:dyDescent="0.25">
      <c r="A340" s="5">
        <v>46146</v>
      </c>
      <c r="B340" s="6" t="s">
        <v>40</v>
      </c>
      <c r="C340" s="3" t="s">
        <v>11</v>
      </c>
      <c r="D340" s="3">
        <v>41</v>
      </c>
      <c r="E340" s="3">
        <v>40</v>
      </c>
      <c r="G340" s="3">
        <v>0</v>
      </c>
      <c r="I340" s="3">
        <f t="shared" si="44"/>
        <v>40</v>
      </c>
      <c r="J340" s="3" t="str">
        <f t="shared" si="45"/>
        <v>28</v>
      </c>
      <c r="K340" s="3">
        <f t="shared" si="46"/>
        <v>12</v>
      </c>
      <c r="L340" s="3" t="str">
        <f t="shared" si="47"/>
        <v>EXCELENTE</v>
      </c>
    </row>
    <row r="341" spans="1:12" hidden="1" x14ac:dyDescent="0.25">
      <c r="A341" s="5">
        <v>46147</v>
      </c>
      <c r="B341" s="6" t="s">
        <v>40</v>
      </c>
      <c r="C341" s="3" t="s">
        <v>11</v>
      </c>
      <c r="D341" s="3">
        <v>37</v>
      </c>
      <c r="E341" s="3">
        <v>35</v>
      </c>
      <c r="G341" s="3">
        <v>0</v>
      </c>
      <c r="I341" s="3">
        <f t="shared" si="44"/>
        <v>35</v>
      </c>
      <c r="J341" s="3" t="str">
        <f t="shared" si="45"/>
        <v>28</v>
      </c>
      <c r="K341" s="3">
        <f t="shared" si="46"/>
        <v>7</v>
      </c>
      <c r="L341" s="3" t="str">
        <f t="shared" si="47"/>
        <v>EXCELENTE</v>
      </c>
    </row>
    <row r="342" spans="1:12" hidden="1" x14ac:dyDescent="0.25">
      <c r="A342" s="5">
        <v>46148</v>
      </c>
      <c r="B342" s="6" t="s">
        <v>40</v>
      </c>
      <c r="C342" s="3" t="s">
        <v>11</v>
      </c>
      <c r="D342" s="3">
        <v>34</v>
      </c>
      <c r="E342" s="3">
        <v>31</v>
      </c>
      <c r="G342" s="3">
        <v>0</v>
      </c>
      <c r="I342" s="3">
        <f t="shared" si="44"/>
        <v>31</v>
      </c>
      <c r="J342" s="3" t="str">
        <f t="shared" si="45"/>
        <v>28</v>
      </c>
      <c r="K342" s="3">
        <f t="shared" si="46"/>
        <v>3</v>
      </c>
      <c r="L342" s="3" t="str">
        <f t="shared" si="47"/>
        <v>BOM</v>
      </c>
    </row>
    <row r="343" spans="1:12" hidden="1" x14ac:dyDescent="0.25">
      <c r="A343" s="5">
        <v>46149</v>
      </c>
      <c r="B343" s="6" t="s">
        <v>40</v>
      </c>
      <c r="C343" s="3" t="s">
        <v>11</v>
      </c>
      <c r="D343" s="3">
        <v>26</v>
      </c>
      <c r="E343" s="3">
        <v>24</v>
      </c>
      <c r="G343" s="3">
        <v>3</v>
      </c>
      <c r="I343" s="3">
        <f t="shared" si="44"/>
        <v>27</v>
      </c>
      <c r="J343" s="3" t="str">
        <f t="shared" si="45"/>
        <v>28</v>
      </c>
      <c r="K343" s="3">
        <f t="shared" si="46"/>
        <v>-1</v>
      </c>
      <c r="L343" s="3" t="str">
        <f t="shared" si="47"/>
        <v>ATENÇÃO</v>
      </c>
    </row>
    <row r="344" spans="1:12" hidden="1" x14ac:dyDescent="0.25">
      <c r="A344" s="5">
        <v>46150</v>
      </c>
      <c r="B344" s="6" t="s">
        <v>40</v>
      </c>
      <c r="C344" s="3" t="s">
        <v>11</v>
      </c>
      <c r="D344" s="3">
        <v>26</v>
      </c>
      <c r="E344" s="3">
        <v>26</v>
      </c>
      <c r="G344" s="3">
        <v>0</v>
      </c>
      <c r="H344" s="3">
        <v>0</v>
      </c>
      <c r="I344" s="3">
        <f t="shared" si="44"/>
        <v>26</v>
      </c>
      <c r="J344" s="3" t="str">
        <f t="shared" si="45"/>
        <v>28</v>
      </c>
      <c r="K344" s="3">
        <f t="shared" si="46"/>
        <v>-2</v>
      </c>
      <c r="L344" s="3" t="str">
        <f t="shared" si="47"/>
        <v>ATENÇÃO</v>
      </c>
    </row>
    <row r="345" spans="1:12" hidden="1" x14ac:dyDescent="0.25">
      <c r="A345" s="5">
        <v>46153</v>
      </c>
      <c r="B345" s="6" t="s">
        <v>40</v>
      </c>
      <c r="C345" s="3" t="s">
        <v>11</v>
      </c>
      <c r="D345" s="3">
        <v>31</v>
      </c>
      <c r="E345" s="3">
        <v>30</v>
      </c>
      <c r="I345" s="3">
        <f t="shared" si="44"/>
        <v>30</v>
      </c>
      <c r="J345" s="3" t="str">
        <f t="shared" si="45"/>
        <v>28</v>
      </c>
      <c r="K345" s="3">
        <f t="shared" si="46"/>
        <v>2</v>
      </c>
      <c r="L345" s="3" t="str">
        <f t="shared" si="47"/>
        <v>BOM</v>
      </c>
    </row>
    <row r="346" spans="1:12" hidden="1" x14ac:dyDescent="0.25">
      <c r="A346" s="5">
        <v>46154</v>
      </c>
      <c r="B346" s="6" t="s">
        <v>40</v>
      </c>
      <c r="C346" s="3" t="s">
        <v>11</v>
      </c>
      <c r="D346" s="3">
        <v>25</v>
      </c>
      <c r="E346" s="3">
        <v>24</v>
      </c>
      <c r="I346" s="3">
        <f t="shared" si="44"/>
        <v>24</v>
      </c>
      <c r="J346" s="3" t="str">
        <f t="shared" si="45"/>
        <v>28</v>
      </c>
      <c r="K346" s="3">
        <f t="shared" si="46"/>
        <v>-4</v>
      </c>
      <c r="L346" s="3" t="str">
        <f t="shared" si="47"/>
        <v>ATENÇÃO</v>
      </c>
    </row>
    <row r="347" spans="1:12" hidden="1" x14ac:dyDescent="0.25">
      <c r="A347" s="5">
        <v>46155</v>
      </c>
      <c r="B347" s="6" t="s">
        <v>40</v>
      </c>
      <c r="C347" s="3" t="s">
        <v>11</v>
      </c>
      <c r="D347" s="3">
        <v>30</v>
      </c>
      <c r="E347" s="3">
        <v>29</v>
      </c>
      <c r="G347" s="3">
        <v>1</v>
      </c>
      <c r="I347" s="3">
        <f t="shared" si="44"/>
        <v>30</v>
      </c>
      <c r="J347" s="3" t="str">
        <f t="shared" si="45"/>
        <v>28</v>
      </c>
      <c r="K347" s="3">
        <f t="shared" si="46"/>
        <v>2</v>
      </c>
      <c r="L347" s="3" t="str">
        <f t="shared" si="47"/>
        <v>BOM</v>
      </c>
    </row>
    <row r="348" spans="1:12" hidden="1" x14ac:dyDescent="0.25">
      <c r="A348" s="5">
        <v>46156</v>
      </c>
      <c r="B348" s="6" t="s">
        <v>40</v>
      </c>
      <c r="C348" s="3" t="s">
        <v>11</v>
      </c>
      <c r="D348" s="3">
        <v>22</v>
      </c>
      <c r="E348" s="3">
        <v>18</v>
      </c>
      <c r="G348" s="3">
        <v>0</v>
      </c>
      <c r="H348" s="3">
        <v>0</v>
      </c>
      <c r="I348" s="3">
        <f t="shared" si="44"/>
        <v>18</v>
      </c>
      <c r="J348" s="3" t="str">
        <f t="shared" si="45"/>
        <v>28</v>
      </c>
      <c r="K348" s="3">
        <f t="shared" si="46"/>
        <v>-10</v>
      </c>
      <c r="L348" s="3" t="str">
        <f t="shared" si="47"/>
        <v>CRÍTICO</v>
      </c>
    </row>
    <row r="349" spans="1:12" hidden="1" x14ac:dyDescent="0.25">
      <c r="A349" s="5">
        <v>46157</v>
      </c>
      <c r="B349" s="6" t="s">
        <v>40</v>
      </c>
      <c r="C349" s="3" t="s">
        <v>11</v>
      </c>
      <c r="D349" s="3">
        <v>28</v>
      </c>
      <c r="E349" s="3">
        <v>25</v>
      </c>
      <c r="G349" s="3">
        <v>0</v>
      </c>
      <c r="H349" s="3">
        <v>0</v>
      </c>
      <c r="I349" s="3">
        <f t="shared" si="44"/>
        <v>25</v>
      </c>
      <c r="J349" s="3" t="str">
        <f t="shared" si="45"/>
        <v>28</v>
      </c>
      <c r="K349" s="3">
        <f t="shared" si="46"/>
        <v>-3</v>
      </c>
      <c r="L349" s="3" t="str">
        <f t="shared" si="47"/>
        <v>ATENÇÃO</v>
      </c>
    </row>
    <row r="350" spans="1:12" hidden="1" x14ac:dyDescent="0.25">
      <c r="A350" s="5">
        <v>46160</v>
      </c>
      <c r="B350" s="6" t="s">
        <v>40</v>
      </c>
      <c r="C350" s="3" t="s">
        <v>11</v>
      </c>
      <c r="D350" s="3">
        <v>28</v>
      </c>
      <c r="E350" s="3">
        <v>26</v>
      </c>
      <c r="G350" s="3">
        <v>0</v>
      </c>
      <c r="H350" s="3">
        <v>0</v>
      </c>
      <c r="I350" s="3">
        <f t="shared" si="44"/>
        <v>26</v>
      </c>
      <c r="J350" s="3" t="str">
        <f t="shared" si="45"/>
        <v>28</v>
      </c>
      <c r="K350" s="3">
        <f t="shared" si="46"/>
        <v>-2</v>
      </c>
      <c r="L350" s="3" t="str">
        <f t="shared" si="47"/>
        <v>ATENÇÃO</v>
      </c>
    </row>
    <row r="351" spans="1:12" x14ac:dyDescent="0.25">
      <c r="A351" s="7">
        <v>46161</v>
      </c>
      <c r="B351" s="8" t="s">
        <v>64</v>
      </c>
      <c r="C351" s="9" t="s">
        <v>12</v>
      </c>
      <c r="D351" s="3">
        <v>22</v>
      </c>
      <c r="E351" s="3">
        <v>20</v>
      </c>
      <c r="G351" s="3">
        <v>0</v>
      </c>
      <c r="H351" s="3">
        <v>0</v>
      </c>
      <c r="I351" s="3">
        <f t="shared" si="44"/>
        <v>20</v>
      </c>
      <c r="J351" s="3" t="str">
        <f t="shared" si="45"/>
        <v>35</v>
      </c>
      <c r="K351" s="3">
        <f t="shared" si="46"/>
        <v>-15</v>
      </c>
      <c r="L351" s="3" t="str">
        <f t="shared" si="47"/>
        <v>CRÍTICO</v>
      </c>
    </row>
    <row r="352" spans="1:12" hidden="1" x14ac:dyDescent="0.25">
      <c r="A352" s="5">
        <v>46146</v>
      </c>
      <c r="B352" s="6" t="s">
        <v>64</v>
      </c>
      <c r="C352" s="3" t="s">
        <v>12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47"/>
        <v>BOM</v>
      </c>
    </row>
    <row r="353" spans="1:12" hidden="1" x14ac:dyDescent="0.25">
      <c r="A353" s="5">
        <v>46147</v>
      </c>
      <c r="B353" s="6" t="s">
        <v>64</v>
      </c>
      <c r="C353" s="3" t="s">
        <v>12</v>
      </c>
      <c r="D353" s="3">
        <v>0</v>
      </c>
      <c r="E353" s="3">
        <v>0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 t="str">
        <f t="shared" si="47"/>
        <v>BOM</v>
      </c>
    </row>
    <row r="354" spans="1:12" hidden="1" x14ac:dyDescent="0.25">
      <c r="A354" s="5">
        <v>46148</v>
      </c>
      <c r="B354" s="6" t="s">
        <v>64</v>
      </c>
      <c r="C354" s="3" t="s">
        <v>12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 t="str">
        <f t="shared" si="47"/>
        <v>BOM</v>
      </c>
    </row>
    <row r="355" spans="1:12" hidden="1" x14ac:dyDescent="0.25">
      <c r="A355" s="5">
        <v>46149</v>
      </c>
      <c r="B355" s="6" t="s">
        <v>64</v>
      </c>
      <c r="C355" s="3" t="s">
        <v>12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47"/>
        <v>BOM</v>
      </c>
    </row>
    <row r="356" spans="1:12" hidden="1" x14ac:dyDescent="0.25">
      <c r="A356" s="5">
        <v>46150</v>
      </c>
      <c r="B356" s="6" t="s">
        <v>64</v>
      </c>
      <c r="C356" s="3" t="s">
        <v>12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47"/>
        <v>BOM</v>
      </c>
    </row>
    <row r="357" spans="1:12" hidden="1" x14ac:dyDescent="0.25">
      <c r="A357" s="5">
        <v>46153</v>
      </c>
      <c r="B357" s="6" t="s">
        <v>64</v>
      </c>
      <c r="C357" s="3" t="s">
        <v>12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 t="str">
        <f t="shared" si="47"/>
        <v>BOM</v>
      </c>
    </row>
    <row r="358" spans="1:12" hidden="1" x14ac:dyDescent="0.25">
      <c r="A358" s="5">
        <v>46154</v>
      </c>
      <c r="B358" s="6" t="s">
        <v>64</v>
      </c>
      <c r="C358" s="3" t="s">
        <v>12</v>
      </c>
      <c r="D358" s="3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 t="str">
        <f t="shared" si="47"/>
        <v>BOM</v>
      </c>
    </row>
    <row r="359" spans="1:12" hidden="1" x14ac:dyDescent="0.25">
      <c r="A359" s="5">
        <v>46155</v>
      </c>
      <c r="B359" s="6" t="s">
        <v>64</v>
      </c>
      <c r="C359" s="3" t="s">
        <v>12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 t="str">
        <f t="shared" si="47"/>
        <v>BOM</v>
      </c>
    </row>
    <row r="360" spans="1:12" hidden="1" x14ac:dyDescent="0.25">
      <c r="A360" s="5">
        <v>46156</v>
      </c>
      <c r="B360" s="6" t="s">
        <v>64</v>
      </c>
      <c r="C360" s="3" t="s">
        <v>12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47"/>
        <v>BOM</v>
      </c>
    </row>
    <row r="361" spans="1:12" hidden="1" x14ac:dyDescent="0.25">
      <c r="A361" s="5">
        <v>46157</v>
      </c>
      <c r="B361" s="6" t="s">
        <v>64</v>
      </c>
      <c r="C361" s="3" t="s">
        <v>12</v>
      </c>
      <c r="D361" s="3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 t="str">
        <f t="shared" si="47"/>
        <v>BOM</v>
      </c>
    </row>
    <row r="362" spans="1:12" hidden="1" x14ac:dyDescent="0.25">
      <c r="A362" s="5">
        <v>46160</v>
      </c>
      <c r="B362" s="6" t="s">
        <v>64</v>
      </c>
      <c r="C362" s="3" t="s">
        <v>12</v>
      </c>
      <c r="D362" s="3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 t="str">
        <f t="shared" si="47"/>
        <v>BOM</v>
      </c>
    </row>
    <row r="363" spans="1:12" x14ac:dyDescent="0.25">
      <c r="A363" s="7">
        <v>46161</v>
      </c>
      <c r="B363" s="8" t="s">
        <v>41</v>
      </c>
      <c r="C363" s="9" t="s">
        <v>14</v>
      </c>
      <c r="D363" s="3">
        <v>18</v>
      </c>
      <c r="E363" s="3">
        <v>17</v>
      </c>
      <c r="G363" s="3">
        <v>2</v>
      </c>
      <c r="H363" s="3">
        <v>0</v>
      </c>
      <c r="I363" s="3">
        <f t="shared" ref="I363:I376" si="48">E363+G363+H363</f>
        <v>19</v>
      </c>
      <c r="J363" s="3" t="str">
        <f t="shared" ref="J363:J376" si="49">IF(C363="Técnico III","35",IF(C363="Técnico II","28",IF(C363="Técnico I","23",IF(C363="JR","20",IF(C363="Estágio","10",)))))</f>
        <v>23</v>
      </c>
      <c r="K363" s="3">
        <f t="shared" ref="K363:K376" si="50">I363-J363</f>
        <v>-4</v>
      </c>
      <c r="L363" s="3" t="str">
        <f t="shared" si="47"/>
        <v>ATENÇÃO</v>
      </c>
    </row>
    <row r="364" spans="1:12" hidden="1" x14ac:dyDescent="0.25">
      <c r="A364" s="5">
        <v>46146</v>
      </c>
      <c r="B364" s="6" t="s">
        <v>41</v>
      </c>
      <c r="C364" s="3" t="s">
        <v>14</v>
      </c>
      <c r="D364" s="3">
        <v>25</v>
      </c>
      <c r="E364" s="3">
        <v>21</v>
      </c>
      <c r="G364" s="3">
        <v>4</v>
      </c>
      <c r="I364" s="3">
        <f t="shared" si="48"/>
        <v>25</v>
      </c>
      <c r="J364" s="3" t="str">
        <f t="shared" si="49"/>
        <v>23</v>
      </c>
      <c r="K364" s="3">
        <f t="shared" si="50"/>
        <v>2</v>
      </c>
      <c r="L364" s="3" t="str">
        <f t="shared" si="47"/>
        <v>BOM</v>
      </c>
    </row>
    <row r="365" spans="1:12" hidden="1" x14ac:dyDescent="0.25">
      <c r="A365" s="5">
        <v>46147</v>
      </c>
      <c r="B365" s="6" t="s">
        <v>41</v>
      </c>
      <c r="C365" s="3" t="s">
        <v>14</v>
      </c>
      <c r="D365" s="3">
        <v>31</v>
      </c>
      <c r="E365" s="3">
        <v>28</v>
      </c>
      <c r="G365" s="3">
        <v>1</v>
      </c>
      <c r="I365" s="3">
        <f t="shared" si="48"/>
        <v>29</v>
      </c>
      <c r="J365" s="3" t="str">
        <f t="shared" si="49"/>
        <v>23</v>
      </c>
      <c r="K365" s="3">
        <f t="shared" si="50"/>
        <v>6</v>
      </c>
      <c r="L365" s="3" t="str">
        <f t="shared" si="47"/>
        <v>EXCELENTE</v>
      </c>
    </row>
    <row r="366" spans="1:12" hidden="1" x14ac:dyDescent="0.25">
      <c r="A366" s="5">
        <v>46148</v>
      </c>
      <c r="B366" s="6" t="s">
        <v>41</v>
      </c>
      <c r="C366" s="3" t="s">
        <v>14</v>
      </c>
      <c r="D366" s="3">
        <v>31</v>
      </c>
      <c r="E366" s="3">
        <v>30</v>
      </c>
      <c r="G366" s="3">
        <v>8</v>
      </c>
      <c r="I366" s="3">
        <f t="shared" si="48"/>
        <v>38</v>
      </c>
      <c r="J366" s="3" t="str">
        <f t="shared" si="49"/>
        <v>23</v>
      </c>
      <c r="K366" s="3">
        <f t="shared" si="50"/>
        <v>15</v>
      </c>
      <c r="L366" s="3" t="str">
        <f t="shared" si="47"/>
        <v>EXCELENTE</v>
      </c>
    </row>
    <row r="367" spans="1:12" hidden="1" x14ac:dyDescent="0.25">
      <c r="A367" s="5">
        <v>46149</v>
      </c>
      <c r="B367" s="6" t="s">
        <v>41</v>
      </c>
      <c r="C367" s="3" t="s">
        <v>14</v>
      </c>
      <c r="D367" s="3">
        <v>25</v>
      </c>
      <c r="E367" s="3">
        <v>25</v>
      </c>
      <c r="G367" s="3">
        <v>1</v>
      </c>
      <c r="I367" s="3">
        <f t="shared" si="48"/>
        <v>26</v>
      </c>
      <c r="J367" s="3" t="str">
        <f t="shared" si="49"/>
        <v>23</v>
      </c>
      <c r="K367" s="3">
        <f t="shared" si="50"/>
        <v>3</v>
      </c>
      <c r="L367" s="3" t="str">
        <f t="shared" si="47"/>
        <v>BOM</v>
      </c>
    </row>
    <row r="368" spans="1:12" hidden="1" x14ac:dyDescent="0.25">
      <c r="A368" s="5">
        <v>46150</v>
      </c>
      <c r="B368" s="6" t="s">
        <v>41</v>
      </c>
      <c r="C368" s="3" t="s">
        <v>14</v>
      </c>
      <c r="D368" s="3">
        <v>18</v>
      </c>
      <c r="E368" s="3">
        <v>17</v>
      </c>
      <c r="G368" s="3">
        <v>6</v>
      </c>
      <c r="H368" s="3">
        <v>0</v>
      </c>
      <c r="I368" s="3">
        <f t="shared" si="48"/>
        <v>23</v>
      </c>
      <c r="J368" s="3" t="str">
        <f t="shared" si="49"/>
        <v>23</v>
      </c>
      <c r="K368" s="3">
        <f t="shared" si="50"/>
        <v>0</v>
      </c>
      <c r="L368" s="3" t="str">
        <f t="shared" si="47"/>
        <v>BOM</v>
      </c>
    </row>
    <row r="369" spans="1:12" hidden="1" x14ac:dyDescent="0.25">
      <c r="A369" s="5">
        <v>46153</v>
      </c>
      <c r="B369" s="6" t="s">
        <v>41</v>
      </c>
      <c r="C369" s="3" t="s">
        <v>14</v>
      </c>
      <c r="D369" s="3">
        <v>24</v>
      </c>
      <c r="E369" s="3">
        <v>23</v>
      </c>
      <c r="G369" s="3">
        <v>1</v>
      </c>
      <c r="I369" s="3">
        <f t="shared" si="48"/>
        <v>24</v>
      </c>
      <c r="J369" s="3" t="str">
        <f t="shared" si="49"/>
        <v>23</v>
      </c>
      <c r="K369" s="3">
        <f t="shared" si="50"/>
        <v>1</v>
      </c>
      <c r="L369" s="3" t="str">
        <f t="shared" si="47"/>
        <v>BOM</v>
      </c>
    </row>
    <row r="370" spans="1:12" hidden="1" x14ac:dyDescent="0.25">
      <c r="A370" s="5">
        <v>46154</v>
      </c>
      <c r="B370" s="6" t="s">
        <v>41</v>
      </c>
      <c r="C370" s="3" t="s">
        <v>14</v>
      </c>
      <c r="D370" s="3">
        <v>24</v>
      </c>
      <c r="E370" s="3">
        <v>20</v>
      </c>
      <c r="G370" s="3">
        <v>4</v>
      </c>
      <c r="I370" s="3">
        <f t="shared" si="48"/>
        <v>24</v>
      </c>
      <c r="J370" s="3" t="str">
        <f t="shared" si="49"/>
        <v>23</v>
      </c>
      <c r="K370" s="3">
        <f t="shared" si="50"/>
        <v>1</v>
      </c>
      <c r="L370" s="3" t="str">
        <f t="shared" si="47"/>
        <v>BOM</v>
      </c>
    </row>
    <row r="371" spans="1:12" hidden="1" x14ac:dyDescent="0.25">
      <c r="A371" s="5">
        <v>46155</v>
      </c>
      <c r="B371" s="6" t="s">
        <v>41</v>
      </c>
      <c r="C371" s="3" t="s">
        <v>14</v>
      </c>
      <c r="D371" s="3">
        <v>24</v>
      </c>
      <c r="E371" s="3">
        <v>22</v>
      </c>
      <c r="G371" s="3">
        <v>1</v>
      </c>
      <c r="I371" s="3">
        <f t="shared" si="48"/>
        <v>23</v>
      </c>
      <c r="J371" s="3" t="str">
        <f t="shared" si="49"/>
        <v>23</v>
      </c>
      <c r="K371" s="3">
        <f t="shared" si="50"/>
        <v>0</v>
      </c>
      <c r="L371" s="3" t="str">
        <f t="shared" si="47"/>
        <v>BOM</v>
      </c>
    </row>
    <row r="372" spans="1:12" hidden="1" x14ac:dyDescent="0.25">
      <c r="A372" s="5">
        <v>46156</v>
      </c>
      <c r="B372" s="6" t="s">
        <v>41</v>
      </c>
      <c r="C372" s="3" t="s">
        <v>14</v>
      </c>
      <c r="D372" s="3">
        <v>11</v>
      </c>
      <c r="E372" s="3">
        <v>11</v>
      </c>
      <c r="G372" s="3">
        <v>4</v>
      </c>
      <c r="H372" s="3">
        <v>0</v>
      </c>
      <c r="I372" s="3">
        <f t="shared" si="48"/>
        <v>15</v>
      </c>
      <c r="J372" s="3" t="str">
        <f t="shared" si="49"/>
        <v>23</v>
      </c>
      <c r="K372" s="3">
        <f t="shared" si="50"/>
        <v>-8</v>
      </c>
      <c r="L372" s="3" t="str">
        <f t="shared" si="47"/>
        <v>CRÍTICO</v>
      </c>
    </row>
    <row r="373" spans="1:12" hidden="1" x14ac:dyDescent="0.25">
      <c r="A373" s="5">
        <v>46157</v>
      </c>
      <c r="B373" s="6" t="s">
        <v>41</v>
      </c>
      <c r="C373" s="3" t="s">
        <v>14</v>
      </c>
      <c r="D373" s="3">
        <v>24</v>
      </c>
      <c r="E373" s="3">
        <v>21</v>
      </c>
      <c r="G373" s="3">
        <v>2</v>
      </c>
      <c r="H373" s="3">
        <v>0</v>
      </c>
      <c r="I373" s="3">
        <f t="shared" si="48"/>
        <v>23</v>
      </c>
      <c r="J373" s="3" t="str">
        <f t="shared" si="49"/>
        <v>23</v>
      </c>
      <c r="K373" s="3">
        <f t="shared" si="50"/>
        <v>0</v>
      </c>
      <c r="L373" s="3" t="str">
        <f t="shared" si="47"/>
        <v>BOM</v>
      </c>
    </row>
    <row r="374" spans="1:12" hidden="1" x14ac:dyDescent="0.25">
      <c r="A374" s="5">
        <v>46160</v>
      </c>
      <c r="B374" s="6" t="s">
        <v>41</v>
      </c>
      <c r="C374" s="3" t="s">
        <v>14</v>
      </c>
      <c r="D374" s="3">
        <v>21</v>
      </c>
      <c r="E374" s="3">
        <v>20</v>
      </c>
      <c r="G374" s="3">
        <v>2</v>
      </c>
      <c r="H374" s="3">
        <v>0</v>
      </c>
      <c r="I374" s="3">
        <f t="shared" si="48"/>
        <v>22</v>
      </c>
      <c r="J374" s="3" t="str">
        <f t="shared" si="49"/>
        <v>23</v>
      </c>
      <c r="K374" s="3">
        <f t="shared" si="50"/>
        <v>-1</v>
      </c>
      <c r="L374" s="3" t="str">
        <f t="shared" si="47"/>
        <v>ATENÇÃO</v>
      </c>
    </row>
    <row r="375" spans="1:12" x14ac:dyDescent="0.25">
      <c r="A375" s="7">
        <v>46161</v>
      </c>
      <c r="B375" s="8" t="s">
        <v>42</v>
      </c>
      <c r="C375" s="9" t="s">
        <v>17</v>
      </c>
      <c r="D375" s="3">
        <v>36</v>
      </c>
      <c r="E375" s="3">
        <v>24</v>
      </c>
      <c r="G375" s="3">
        <v>0</v>
      </c>
      <c r="H375" s="3">
        <v>0</v>
      </c>
      <c r="I375" s="3">
        <f t="shared" si="48"/>
        <v>24</v>
      </c>
      <c r="J375" s="3" t="str">
        <f t="shared" si="49"/>
        <v>10</v>
      </c>
      <c r="K375" s="3">
        <f t="shared" si="50"/>
        <v>14</v>
      </c>
      <c r="L375" s="3" t="str">
        <f t="shared" si="47"/>
        <v>EXCELENTE</v>
      </c>
    </row>
    <row r="376" spans="1:12" hidden="1" x14ac:dyDescent="0.25">
      <c r="A376" s="5">
        <v>46146</v>
      </c>
      <c r="B376" s="6" t="s">
        <v>42</v>
      </c>
      <c r="C376" s="3" t="s">
        <v>17</v>
      </c>
      <c r="D376" s="3">
        <v>47</v>
      </c>
      <c r="E376" s="3">
        <v>25</v>
      </c>
      <c r="G376" s="3">
        <v>0</v>
      </c>
      <c r="H376" s="3">
        <v>0</v>
      </c>
      <c r="I376" s="3">
        <f t="shared" si="48"/>
        <v>25</v>
      </c>
      <c r="J376" s="3" t="str">
        <f t="shared" si="49"/>
        <v>10</v>
      </c>
      <c r="K376" s="3">
        <f t="shared" si="50"/>
        <v>15</v>
      </c>
      <c r="L376" s="3" t="str">
        <f t="shared" si="47"/>
        <v>EXCELENTE</v>
      </c>
    </row>
    <row r="377" spans="1:12" hidden="1" x14ac:dyDescent="0.25">
      <c r="A377" s="5">
        <v>46147</v>
      </c>
      <c r="B377" s="6" t="s">
        <v>42</v>
      </c>
      <c r="C377" s="3" t="s">
        <v>17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 t="str">
        <f t="shared" si="47"/>
        <v>BOM</v>
      </c>
    </row>
    <row r="378" spans="1:12" hidden="1" x14ac:dyDescent="0.25">
      <c r="A378" s="5">
        <v>46148</v>
      </c>
      <c r="B378" s="6" t="s">
        <v>42</v>
      </c>
      <c r="C378" s="3" t="s">
        <v>17</v>
      </c>
      <c r="D378" s="3">
        <v>66</v>
      </c>
      <c r="E378" s="3">
        <v>38</v>
      </c>
      <c r="G378" s="3">
        <v>0</v>
      </c>
      <c r="I378" s="3">
        <f t="shared" ref="I378:I425" si="51">E378+G378+H378</f>
        <v>38</v>
      </c>
      <c r="J378" s="3" t="str">
        <f t="shared" ref="J378:J425" si="52">IF(C378="Técnico III","35",IF(C378="Técnico II","28",IF(C378="Técnico I","23",IF(C378="JR","20",IF(C378="Estágio","10",)))))</f>
        <v>10</v>
      </c>
      <c r="K378" s="3">
        <f t="shared" ref="K378:K425" si="53">I378-J378</f>
        <v>28</v>
      </c>
      <c r="L378" s="3" t="str">
        <f t="shared" si="47"/>
        <v>EXCELENTE</v>
      </c>
    </row>
    <row r="379" spans="1:12" hidden="1" x14ac:dyDescent="0.25">
      <c r="A379" s="5">
        <v>46149</v>
      </c>
      <c r="B379" s="6" t="s">
        <v>42</v>
      </c>
      <c r="C379" s="3" t="s">
        <v>17</v>
      </c>
      <c r="D379" s="3">
        <v>52</v>
      </c>
      <c r="E379" s="3">
        <v>37</v>
      </c>
      <c r="G379" s="3">
        <v>0</v>
      </c>
      <c r="H379" s="3">
        <v>0</v>
      </c>
      <c r="I379" s="3">
        <f t="shared" si="51"/>
        <v>37</v>
      </c>
      <c r="J379" s="3" t="str">
        <f t="shared" si="52"/>
        <v>10</v>
      </c>
      <c r="K379" s="3">
        <f t="shared" si="53"/>
        <v>27</v>
      </c>
      <c r="L379" s="3" t="str">
        <f t="shared" si="47"/>
        <v>EXCELENTE</v>
      </c>
    </row>
    <row r="380" spans="1:12" hidden="1" x14ac:dyDescent="0.25">
      <c r="A380" s="5">
        <v>46150</v>
      </c>
      <c r="B380" s="6" t="s">
        <v>42</v>
      </c>
      <c r="C380" s="3" t="s">
        <v>17</v>
      </c>
      <c r="D380" s="3">
        <v>55</v>
      </c>
      <c r="E380" s="3">
        <v>34</v>
      </c>
      <c r="G380" s="3">
        <v>0</v>
      </c>
      <c r="H380" s="3">
        <v>0</v>
      </c>
      <c r="I380" s="3">
        <f t="shared" si="51"/>
        <v>34</v>
      </c>
      <c r="J380" s="3" t="str">
        <f t="shared" si="52"/>
        <v>10</v>
      </c>
      <c r="K380" s="3">
        <f t="shared" si="53"/>
        <v>24</v>
      </c>
      <c r="L380" s="3" t="str">
        <f t="shared" si="47"/>
        <v>EXCELENTE</v>
      </c>
    </row>
    <row r="381" spans="1:12" hidden="1" x14ac:dyDescent="0.25">
      <c r="A381" s="5">
        <v>46153</v>
      </c>
      <c r="B381" s="6" t="s">
        <v>42</v>
      </c>
      <c r="C381" s="3" t="s">
        <v>17</v>
      </c>
      <c r="D381" s="3">
        <v>52</v>
      </c>
      <c r="E381" s="3">
        <v>32</v>
      </c>
      <c r="G381" s="3">
        <v>0</v>
      </c>
      <c r="H381" s="3">
        <v>0</v>
      </c>
      <c r="I381" s="3">
        <f t="shared" si="51"/>
        <v>32</v>
      </c>
      <c r="J381" s="3" t="str">
        <f t="shared" si="52"/>
        <v>10</v>
      </c>
      <c r="K381" s="3">
        <f t="shared" si="53"/>
        <v>22</v>
      </c>
      <c r="L381" s="3" t="str">
        <f t="shared" si="47"/>
        <v>EXCELENTE</v>
      </c>
    </row>
    <row r="382" spans="1:12" hidden="1" x14ac:dyDescent="0.25">
      <c r="A382" s="5">
        <v>46154</v>
      </c>
      <c r="B382" s="6" t="s">
        <v>42</v>
      </c>
      <c r="C382" s="3" t="s">
        <v>17</v>
      </c>
      <c r="D382" s="3">
        <v>45</v>
      </c>
      <c r="E382" s="3">
        <v>27</v>
      </c>
      <c r="I382" s="3">
        <f t="shared" si="51"/>
        <v>27</v>
      </c>
      <c r="J382" s="3" t="str">
        <f t="shared" si="52"/>
        <v>10</v>
      </c>
      <c r="K382" s="3">
        <f t="shared" si="53"/>
        <v>17</v>
      </c>
      <c r="L382" s="3" t="str">
        <f t="shared" si="47"/>
        <v>EXCELENTE</v>
      </c>
    </row>
    <row r="383" spans="1:12" hidden="1" x14ac:dyDescent="0.25">
      <c r="A383" s="5">
        <v>46155</v>
      </c>
      <c r="B383" s="6" t="s">
        <v>42</v>
      </c>
      <c r="C383" s="3" t="s">
        <v>17</v>
      </c>
      <c r="D383" s="3">
        <v>37</v>
      </c>
      <c r="E383" s="3">
        <v>23</v>
      </c>
      <c r="G383" s="3">
        <v>0</v>
      </c>
      <c r="H383" s="3">
        <v>0</v>
      </c>
      <c r="I383" s="3">
        <f t="shared" si="51"/>
        <v>23</v>
      </c>
      <c r="J383" s="3" t="str">
        <f t="shared" si="52"/>
        <v>10</v>
      </c>
      <c r="K383" s="3">
        <f t="shared" si="53"/>
        <v>13</v>
      </c>
      <c r="L383" s="3" t="str">
        <f t="shared" si="47"/>
        <v>EXCELENTE</v>
      </c>
    </row>
    <row r="384" spans="1:12" hidden="1" x14ac:dyDescent="0.25">
      <c r="A384" s="5">
        <v>46156</v>
      </c>
      <c r="B384" s="6" t="s">
        <v>42</v>
      </c>
      <c r="C384" s="3" t="s">
        <v>17</v>
      </c>
      <c r="D384" s="3">
        <v>63</v>
      </c>
      <c r="E384" s="3">
        <v>43</v>
      </c>
      <c r="G384" s="3">
        <v>0</v>
      </c>
      <c r="H384" s="3">
        <v>0</v>
      </c>
      <c r="I384" s="3">
        <f t="shared" si="51"/>
        <v>43</v>
      </c>
      <c r="J384" s="3" t="str">
        <f t="shared" si="52"/>
        <v>10</v>
      </c>
      <c r="K384" s="3">
        <f t="shared" si="53"/>
        <v>33</v>
      </c>
      <c r="L384" s="3" t="str">
        <f t="shared" si="47"/>
        <v>EXCELENTE</v>
      </c>
    </row>
    <row r="385" spans="1:12" hidden="1" x14ac:dyDescent="0.25">
      <c r="A385" s="5">
        <v>46157</v>
      </c>
      <c r="B385" s="6" t="s">
        <v>42</v>
      </c>
      <c r="C385" s="3" t="s">
        <v>17</v>
      </c>
      <c r="D385" s="3">
        <v>54</v>
      </c>
      <c r="E385" s="3">
        <v>32</v>
      </c>
      <c r="G385" s="3">
        <v>0</v>
      </c>
      <c r="H385" s="3">
        <v>0</v>
      </c>
      <c r="I385" s="3">
        <f t="shared" si="51"/>
        <v>32</v>
      </c>
      <c r="J385" s="3" t="str">
        <f t="shared" si="52"/>
        <v>10</v>
      </c>
      <c r="K385" s="3">
        <f t="shared" si="53"/>
        <v>22</v>
      </c>
      <c r="L385" s="3" t="str">
        <f t="shared" si="47"/>
        <v>EXCELENTE</v>
      </c>
    </row>
    <row r="386" spans="1:12" hidden="1" x14ac:dyDescent="0.25">
      <c r="A386" s="5">
        <v>46160</v>
      </c>
      <c r="B386" s="6" t="s">
        <v>42</v>
      </c>
      <c r="C386" s="3" t="s">
        <v>17</v>
      </c>
      <c r="D386" s="3">
        <v>72</v>
      </c>
      <c r="E386" s="3">
        <v>45</v>
      </c>
      <c r="G386" s="3">
        <v>0</v>
      </c>
      <c r="H386" s="3">
        <v>0</v>
      </c>
      <c r="I386" s="3">
        <f t="shared" si="51"/>
        <v>45</v>
      </c>
      <c r="J386" s="3" t="str">
        <f t="shared" si="52"/>
        <v>10</v>
      </c>
      <c r="K386" s="3">
        <f t="shared" si="53"/>
        <v>35</v>
      </c>
      <c r="L386" s="3" t="str">
        <f t="shared" ref="L386:L449" si="54">IF(K386&lt;-5,"CRÍTICO",IF(K386&lt;0,"ATENÇÃO",IF(K386&lt;=5,"BOM","EXCELENTE")))</f>
        <v>EXCELENTE</v>
      </c>
    </row>
    <row r="387" spans="1:12" x14ac:dyDescent="0.25">
      <c r="A387" s="7">
        <v>46161</v>
      </c>
      <c r="B387" s="8" t="s">
        <v>43</v>
      </c>
      <c r="C387" s="9" t="s">
        <v>12</v>
      </c>
      <c r="D387" s="3">
        <v>0</v>
      </c>
      <c r="E387" s="3">
        <v>0</v>
      </c>
      <c r="G387" s="3">
        <v>0</v>
      </c>
      <c r="H387" s="3">
        <v>33</v>
      </c>
      <c r="I387" s="3">
        <f t="shared" si="51"/>
        <v>33</v>
      </c>
      <c r="J387" s="3" t="str">
        <f t="shared" si="52"/>
        <v>35</v>
      </c>
      <c r="K387" s="3">
        <f t="shared" si="53"/>
        <v>-2</v>
      </c>
      <c r="L387" s="3" t="str">
        <f t="shared" si="54"/>
        <v>ATENÇÃO</v>
      </c>
    </row>
    <row r="388" spans="1:12" hidden="1" x14ac:dyDescent="0.25">
      <c r="A388" s="5">
        <v>46146</v>
      </c>
      <c r="B388" s="6" t="s">
        <v>43</v>
      </c>
      <c r="C388" s="3" t="s">
        <v>12</v>
      </c>
      <c r="D388" s="3">
        <v>32</v>
      </c>
      <c r="E388" s="3">
        <v>31</v>
      </c>
      <c r="G388" s="3">
        <v>1</v>
      </c>
      <c r="H388" s="3">
        <v>25</v>
      </c>
      <c r="I388" s="3">
        <f t="shared" si="51"/>
        <v>57</v>
      </c>
      <c r="J388" s="3" t="str">
        <f t="shared" si="52"/>
        <v>35</v>
      </c>
      <c r="K388" s="3">
        <f t="shared" si="53"/>
        <v>22</v>
      </c>
      <c r="L388" s="3" t="str">
        <f t="shared" si="54"/>
        <v>EXCELENTE</v>
      </c>
    </row>
    <row r="389" spans="1:12" hidden="1" x14ac:dyDescent="0.25">
      <c r="A389" s="5">
        <v>46147</v>
      </c>
      <c r="B389" s="6" t="s">
        <v>43</v>
      </c>
      <c r="C389" s="3" t="s">
        <v>12</v>
      </c>
      <c r="D389" s="3">
        <v>14</v>
      </c>
      <c r="E389" s="3">
        <v>14</v>
      </c>
      <c r="G389" s="3">
        <v>0</v>
      </c>
      <c r="H389" s="3">
        <v>21</v>
      </c>
      <c r="I389" s="3">
        <f t="shared" si="51"/>
        <v>35</v>
      </c>
      <c r="J389" s="3" t="str">
        <f t="shared" si="52"/>
        <v>35</v>
      </c>
      <c r="K389" s="3">
        <f t="shared" si="53"/>
        <v>0</v>
      </c>
      <c r="L389" s="3" t="str">
        <f t="shared" si="54"/>
        <v>BOM</v>
      </c>
    </row>
    <row r="390" spans="1:12" hidden="1" x14ac:dyDescent="0.25">
      <c r="A390" s="5">
        <v>46148</v>
      </c>
      <c r="B390" s="6" t="s">
        <v>43</v>
      </c>
      <c r="C390" s="3" t="s">
        <v>12</v>
      </c>
      <c r="D390" s="3">
        <v>24</v>
      </c>
      <c r="E390" s="3">
        <v>24</v>
      </c>
      <c r="G390" s="3">
        <v>0</v>
      </c>
      <c r="H390" s="3">
        <v>17</v>
      </c>
      <c r="I390" s="3">
        <f t="shared" si="51"/>
        <v>41</v>
      </c>
      <c r="J390" s="3" t="str">
        <f t="shared" si="52"/>
        <v>35</v>
      </c>
      <c r="K390" s="3">
        <f t="shared" si="53"/>
        <v>6</v>
      </c>
      <c r="L390" s="3" t="str">
        <f t="shared" si="54"/>
        <v>EXCELENTE</v>
      </c>
    </row>
    <row r="391" spans="1:12" hidden="1" x14ac:dyDescent="0.25">
      <c r="A391" s="5">
        <v>46149</v>
      </c>
      <c r="B391" s="6" t="s">
        <v>43</v>
      </c>
      <c r="C391" s="3" t="s">
        <v>12</v>
      </c>
      <c r="D391" s="3">
        <v>15</v>
      </c>
      <c r="E391" s="3">
        <v>14</v>
      </c>
      <c r="G391" s="3">
        <v>0</v>
      </c>
      <c r="H391" s="3">
        <v>32</v>
      </c>
      <c r="I391" s="3">
        <f t="shared" si="51"/>
        <v>46</v>
      </c>
      <c r="J391" s="3" t="str">
        <f t="shared" si="52"/>
        <v>35</v>
      </c>
      <c r="K391" s="3">
        <f t="shared" si="53"/>
        <v>11</v>
      </c>
      <c r="L391" s="3" t="str">
        <f t="shared" si="54"/>
        <v>EXCELENTE</v>
      </c>
    </row>
    <row r="392" spans="1:12" hidden="1" x14ac:dyDescent="0.25">
      <c r="A392" s="5">
        <v>46150</v>
      </c>
      <c r="B392" s="6" t="s">
        <v>43</v>
      </c>
      <c r="C392" s="3" t="s">
        <v>12</v>
      </c>
      <c r="D392" s="3">
        <v>0</v>
      </c>
      <c r="E392" s="3">
        <v>0</v>
      </c>
      <c r="G392" s="3">
        <v>0</v>
      </c>
      <c r="H392" s="3">
        <v>31</v>
      </c>
      <c r="I392" s="3">
        <f t="shared" si="51"/>
        <v>31</v>
      </c>
      <c r="J392" s="3" t="str">
        <f t="shared" si="52"/>
        <v>35</v>
      </c>
      <c r="K392" s="3">
        <f t="shared" si="53"/>
        <v>-4</v>
      </c>
      <c r="L392" s="3" t="str">
        <f t="shared" si="54"/>
        <v>ATENÇÃO</v>
      </c>
    </row>
    <row r="393" spans="1:12" hidden="1" x14ac:dyDescent="0.25">
      <c r="A393" s="5">
        <v>46153</v>
      </c>
      <c r="B393" s="6" t="s">
        <v>43</v>
      </c>
      <c r="C393" s="3" t="s">
        <v>12</v>
      </c>
      <c r="D393" s="3">
        <v>0</v>
      </c>
      <c r="E393" s="3">
        <v>0</v>
      </c>
      <c r="H393" s="3">
        <v>46</v>
      </c>
      <c r="I393" s="3">
        <f t="shared" si="51"/>
        <v>46</v>
      </c>
      <c r="J393" s="3" t="str">
        <f t="shared" si="52"/>
        <v>35</v>
      </c>
      <c r="K393" s="3">
        <f t="shared" si="53"/>
        <v>11</v>
      </c>
      <c r="L393" s="3" t="str">
        <f t="shared" si="54"/>
        <v>EXCELENTE</v>
      </c>
    </row>
    <row r="394" spans="1:12" hidden="1" x14ac:dyDescent="0.25">
      <c r="A394" s="5">
        <v>46154</v>
      </c>
      <c r="B394" s="6" t="s">
        <v>43</v>
      </c>
      <c r="C394" s="3" t="s">
        <v>12</v>
      </c>
      <c r="D394" s="3">
        <v>0</v>
      </c>
      <c r="E394" s="3">
        <v>0</v>
      </c>
      <c r="H394" s="3">
        <v>51</v>
      </c>
      <c r="I394" s="3">
        <f t="shared" si="51"/>
        <v>51</v>
      </c>
      <c r="J394" s="3" t="str">
        <f t="shared" si="52"/>
        <v>35</v>
      </c>
      <c r="K394" s="3">
        <f t="shared" si="53"/>
        <v>16</v>
      </c>
      <c r="L394" s="3" t="str">
        <f t="shared" si="54"/>
        <v>EXCELENTE</v>
      </c>
    </row>
    <row r="395" spans="1:12" hidden="1" x14ac:dyDescent="0.25">
      <c r="A395" s="5">
        <v>46155</v>
      </c>
      <c r="B395" s="6" t="s">
        <v>43</v>
      </c>
      <c r="C395" s="3" t="s">
        <v>12</v>
      </c>
      <c r="D395" s="3">
        <v>0</v>
      </c>
      <c r="E395" s="3">
        <v>0</v>
      </c>
      <c r="G395" s="3">
        <v>0</v>
      </c>
      <c r="H395" s="3">
        <v>41</v>
      </c>
      <c r="I395" s="3">
        <f t="shared" si="51"/>
        <v>41</v>
      </c>
      <c r="J395" s="3" t="str">
        <f t="shared" si="52"/>
        <v>35</v>
      </c>
      <c r="K395" s="3">
        <f t="shared" si="53"/>
        <v>6</v>
      </c>
      <c r="L395" s="3" t="str">
        <f t="shared" si="54"/>
        <v>EXCELENTE</v>
      </c>
    </row>
    <row r="396" spans="1:12" hidden="1" x14ac:dyDescent="0.25">
      <c r="A396" s="5">
        <v>46156</v>
      </c>
      <c r="B396" s="6" t="s">
        <v>43</v>
      </c>
      <c r="C396" s="3" t="s">
        <v>12</v>
      </c>
      <c r="D396" s="3">
        <v>0</v>
      </c>
      <c r="E396" s="3">
        <v>0</v>
      </c>
      <c r="G396" s="3">
        <v>0</v>
      </c>
      <c r="H396" s="3">
        <v>52</v>
      </c>
      <c r="I396" s="3">
        <f t="shared" si="51"/>
        <v>52</v>
      </c>
      <c r="J396" s="3" t="str">
        <f t="shared" si="52"/>
        <v>35</v>
      </c>
      <c r="K396" s="3">
        <f t="shared" si="53"/>
        <v>17</v>
      </c>
      <c r="L396" s="3" t="str">
        <f t="shared" si="54"/>
        <v>EXCELENTE</v>
      </c>
    </row>
    <row r="397" spans="1:12" hidden="1" x14ac:dyDescent="0.25">
      <c r="A397" s="5">
        <v>46157</v>
      </c>
      <c r="B397" s="6" t="s">
        <v>43</v>
      </c>
      <c r="C397" s="3" t="s">
        <v>12</v>
      </c>
      <c r="D397" s="3">
        <v>0</v>
      </c>
      <c r="E397" s="3">
        <v>0</v>
      </c>
      <c r="G397" s="3">
        <v>0</v>
      </c>
      <c r="H397" s="3">
        <v>31</v>
      </c>
      <c r="I397" s="3">
        <f t="shared" si="51"/>
        <v>31</v>
      </c>
      <c r="J397" s="3" t="str">
        <f t="shared" si="52"/>
        <v>35</v>
      </c>
      <c r="K397" s="3">
        <f t="shared" si="53"/>
        <v>-4</v>
      </c>
      <c r="L397" s="3" t="str">
        <f t="shared" si="54"/>
        <v>ATENÇÃO</v>
      </c>
    </row>
    <row r="398" spans="1:12" hidden="1" x14ac:dyDescent="0.25">
      <c r="A398" s="5">
        <v>46160</v>
      </c>
      <c r="B398" s="6" t="s">
        <v>43</v>
      </c>
      <c r="C398" s="3" t="s">
        <v>12</v>
      </c>
      <c r="D398" s="3">
        <v>0</v>
      </c>
      <c r="E398" s="3">
        <v>0</v>
      </c>
      <c r="G398" s="3">
        <v>0</v>
      </c>
      <c r="H398" s="3">
        <v>32</v>
      </c>
      <c r="I398" s="3">
        <f t="shared" si="51"/>
        <v>32</v>
      </c>
      <c r="J398" s="3" t="str">
        <f t="shared" si="52"/>
        <v>35</v>
      </c>
      <c r="K398" s="3">
        <f t="shared" si="53"/>
        <v>-3</v>
      </c>
      <c r="L398" s="3" t="str">
        <f t="shared" si="54"/>
        <v>ATENÇÃO</v>
      </c>
    </row>
    <row r="399" spans="1:12" x14ac:dyDescent="0.25">
      <c r="A399" s="7">
        <v>46161</v>
      </c>
      <c r="B399" s="8" t="s">
        <v>44</v>
      </c>
      <c r="C399" s="9" t="s">
        <v>12</v>
      </c>
      <c r="D399" s="3">
        <v>35</v>
      </c>
      <c r="E399" s="3">
        <v>31</v>
      </c>
      <c r="G399" s="3">
        <v>4</v>
      </c>
      <c r="H399" s="3">
        <v>0</v>
      </c>
      <c r="I399" s="3">
        <f t="shared" si="51"/>
        <v>35</v>
      </c>
      <c r="J399" s="3" t="str">
        <f t="shared" si="52"/>
        <v>35</v>
      </c>
      <c r="K399" s="3">
        <f t="shared" si="53"/>
        <v>0</v>
      </c>
      <c r="L399" s="3" t="str">
        <f t="shared" si="54"/>
        <v>BOM</v>
      </c>
    </row>
    <row r="400" spans="1:12" hidden="1" x14ac:dyDescent="0.25">
      <c r="A400" s="5">
        <v>46146</v>
      </c>
      <c r="B400" s="6" t="s">
        <v>44</v>
      </c>
      <c r="C400" s="3" t="s">
        <v>12</v>
      </c>
      <c r="D400" s="3">
        <v>40</v>
      </c>
      <c r="E400" s="3">
        <v>37</v>
      </c>
      <c r="G400" s="3">
        <v>1</v>
      </c>
      <c r="I400" s="3">
        <f t="shared" si="51"/>
        <v>38</v>
      </c>
      <c r="J400" s="3" t="str">
        <f t="shared" si="52"/>
        <v>35</v>
      </c>
      <c r="K400" s="3">
        <f t="shared" si="53"/>
        <v>3</v>
      </c>
      <c r="L400" s="3" t="str">
        <f t="shared" si="54"/>
        <v>BOM</v>
      </c>
    </row>
    <row r="401" spans="1:12" hidden="1" x14ac:dyDescent="0.25">
      <c r="A401" s="5">
        <v>46147</v>
      </c>
      <c r="B401" s="6" t="s">
        <v>44</v>
      </c>
      <c r="C401" s="3" t="s">
        <v>12</v>
      </c>
      <c r="D401" s="3">
        <v>32</v>
      </c>
      <c r="E401" s="3">
        <v>30</v>
      </c>
      <c r="G401" s="3">
        <v>10</v>
      </c>
      <c r="I401" s="3">
        <f t="shared" si="51"/>
        <v>40</v>
      </c>
      <c r="J401" s="3" t="str">
        <f t="shared" si="52"/>
        <v>35</v>
      </c>
      <c r="K401" s="3">
        <f t="shared" si="53"/>
        <v>5</v>
      </c>
      <c r="L401" s="3" t="str">
        <f t="shared" si="54"/>
        <v>BOM</v>
      </c>
    </row>
    <row r="402" spans="1:12" hidden="1" x14ac:dyDescent="0.25">
      <c r="A402" s="5">
        <v>46148</v>
      </c>
      <c r="B402" s="6" t="s">
        <v>44</v>
      </c>
      <c r="C402" s="3" t="s">
        <v>12</v>
      </c>
      <c r="D402" s="3">
        <v>32</v>
      </c>
      <c r="E402" s="3">
        <v>30</v>
      </c>
      <c r="G402" s="3">
        <v>1</v>
      </c>
      <c r="I402" s="3">
        <f t="shared" si="51"/>
        <v>31</v>
      </c>
      <c r="J402" s="3" t="str">
        <f t="shared" si="52"/>
        <v>35</v>
      </c>
      <c r="K402" s="3">
        <f t="shared" si="53"/>
        <v>-4</v>
      </c>
      <c r="L402" s="3" t="str">
        <f t="shared" si="54"/>
        <v>ATENÇÃO</v>
      </c>
    </row>
    <row r="403" spans="1:12" hidden="1" x14ac:dyDescent="0.25">
      <c r="A403" s="5">
        <v>46149</v>
      </c>
      <c r="B403" s="6" t="s">
        <v>44</v>
      </c>
      <c r="C403" s="3" t="s">
        <v>12</v>
      </c>
      <c r="D403" s="3">
        <v>26</v>
      </c>
      <c r="E403" s="3">
        <v>23</v>
      </c>
      <c r="G403" s="3">
        <v>6</v>
      </c>
      <c r="I403" s="3">
        <f t="shared" si="51"/>
        <v>29</v>
      </c>
      <c r="J403" s="3" t="str">
        <f t="shared" si="52"/>
        <v>35</v>
      </c>
      <c r="K403" s="3">
        <f t="shared" si="53"/>
        <v>-6</v>
      </c>
      <c r="L403" s="3" t="str">
        <f t="shared" si="54"/>
        <v>CRÍTICO</v>
      </c>
    </row>
    <row r="404" spans="1:12" hidden="1" x14ac:dyDescent="0.25">
      <c r="A404" s="5">
        <v>46150</v>
      </c>
      <c r="B404" s="6" t="s">
        <v>44</v>
      </c>
      <c r="C404" s="3" t="s">
        <v>12</v>
      </c>
      <c r="D404" s="3">
        <v>30</v>
      </c>
      <c r="E404" s="3">
        <v>28</v>
      </c>
      <c r="G404" s="3">
        <v>1</v>
      </c>
      <c r="H404" s="3">
        <v>0</v>
      </c>
      <c r="I404" s="3">
        <f t="shared" si="51"/>
        <v>29</v>
      </c>
      <c r="J404" s="3" t="str">
        <f t="shared" si="52"/>
        <v>35</v>
      </c>
      <c r="K404" s="3">
        <f t="shared" si="53"/>
        <v>-6</v>
      </c>
      <c r="L404" s="3" t="str">
        <f t="shared" si="54"/>
        <v>CRÍTICO</v>
      </c>
    </row>
    <row r="405" spans="1:12" hidden="1" x14ac:dyDescent="0.25">
      <c r="A405" s="5">
        <v>46153</v>
      </c>
      <c r="B405" s="6" t="s">
        <v>44</v>
      </c>
      <c r="C405" s="3" t="s">
        <v>12</v>
      </c>
      <c r="D405" s="3">
        <v>33</v>
      </c>
      <c r="E405" s="3">
        <v>24</v>
      </c>
      <c r="G405" s="3">
        <v>5</v>
      </c>
      <c r="I405" s="3">
        <f t="shared" si="51"/>
        <v>29</v>
      </c>
      <c r="J405" s="3" t="str">
        <f t="shared" si="52"/>
        <v>35</v>
      </c>
      <c r="K405" s="3">
        <f t="shared" si="53"/>
        <v>-6</v>
      </c>
      <c r="L405" s="3" t="str">
        <f t="shared" si="54"/>
        <v>CRÍTICO</v>
      </c>
    </row>
    <row r="406" spans="1:12" hidden="1" x14ac:dyDescent="0.25">
      <c r="A406" s="5">
        <v>46154</v>
      </c>
      <c r="B406" s="6" t="s">
        <v>44</v>
      </c>
      <c r="C406" s="3" t="s">
        <v>12</v>
      </c>
      <c r="D406" s="3">
        <v>36</v>
      </c>
      <c r="E406" s="3">
        <v>31</v>
      </c>
      <c r="G406" s="3">
        <v>2</v>
      </c>
      <c r="I406" s="3">
        <f t="shared" si="51"/>
        <v>33</v>
      </c>
      <c r="J406" s="3" t="str">
        <f t="shared" si="52"/>
        <v>35</v>
      </c>
      <c r="K406" s="3">
        <f t="shared" si="53"/>
        <v>-2</v>
      </c>
      <c r="L406" s="3" t="str">
        <f t="shared" si="54"/>
        <v>ATENÇÃO</v>
      </c>
    </row>
    <row r="407" spans="1:12" hidden="1" x14ac:dyDescent="0.25">
      <c r="A407" s="5">
        <v>46155</v>
      </c>
      <c r="B407" s="6" t="s">
        <v>44</v>
      </c>
      <c r="C407" s="3" t="s">
        <v>12</v>
      </c>
      <c r="D407" s="3">
        <v>36</v>
      </c>
      <c r="E407" s="3">
        <v>30</v>
      </c>
      <c r="G407" s="3">
        <v>4</v>
      </c>
      <c r="I407" s="3">
        <f t="shared" si="51"/>
        <v>34</v>
      </c>
      <c r="J407" s="3" t="str">
        <f t="shared" si="52"/>
        <v>35</v>
      </c>
      <c r="K407" s="3">
        <f t="shared" si="53"/>
        <v>-1</v>
      </c>
      <c r="L407" s="3" t="str">
        <f t="shared" si="54"/>
        <v>ATENÇÃO</v>
      </c>
    </row>
    <row r="408" spans="1:12" hidden="1" x14ac:dyDescent="0.25">
      <c r="A408" s="5">
        <v>46156</v>
      </c>
      <c r="B408" s="6" t="s">
        <v>44</v>
      </c>
      <c r="C408" s="3" t="s">
        <v>12</v>
      </c>
      <c r="D408" s="3">
        <v>39</v>
      </c>
      <c r="E408" s="3">
        <v>32</v>
      </c>
      <c r="G408" s="3">
        <v>3</v>
      </c>
      <c r="H408" s="3">
        <v>0</v>
      </c>
      <c r="I408" s="3">
        <f t="shared" si="51"/>
        <v>35</v>
      </c>
      <c r="J408" s="3" t="str">
        <f t="shared" si="52"/>
        <v>35</v>
      </c>
      <c r="K408" s="3">
        <f t="shared" si="53"/>
        <v>0</v>
      </c>
      <c r="L408" s="3" t="str">
        <f t="shared" si="54"/>
        <v>BOM</v>
      </c>
    </row>
    <row r="409" spans="1:12" hidden="1" x14ac:dyDescent="0.25">
      <c r="A409" s="5">
        <v>46157</v>
      </c>
      <c r="B409" s="6" t="s">
        <v>44</v>
      </c>
      <c r="C409" s="3" t="s">
        <v>12</v>
      </c>
      <c r="D409" s="3">
        <v>26</v>
      </c>
      <c r="E409" s="3">
        <v>24</v>
      </c>
      <c r="G409" s="3">
        <v>2</v>
      </c>
      <c r="H409" s="3">
        <v>0</v>
      </c>
      <c r="I409" s="3">
        <f t="shared" si="51"/>
        <v>26</v>
      </c>
      <c r="J409" s="3" t="str">
        <f t="shared" si="52"/>
        <v>35</v>
      </c>
      <c r="K409" s="3">
        <f t="shared" si="53"/>
        <v>-9</v>
      </c>
      <c r="L409" s="3" t="str">
        <f t="shared" si="54"/>
        <v>CRÍTICO</v>
      </c>
    </row>
    <row r="410" spans="1:12" hidden="1" x14ac:dyDescent="0.25">
      <c r="A410" s="5">
        <v>46160</v>
      </c>
      <c r="B410" s="6" t="s">
        <v>44</v>
      </c>
      <c r="C410" s="3" t="s">
        <v>12</v>
      </c>
      <c r="D410" s="3">
        <v>30</v>
      </c>
      <c r="E410" s="3">
        <v>27</v>
      </c>
      <c r="G410" s="3">
        <v>2</v>
      </c>
      <c r="H410" s="3">
        <v>0</v>
      </c>
      <c r="I410" s="3">
        <f t="shared" si="51"/>
        <v>29</v>
      </c>
      <c r="J410" s="3" t="str">
        <f t="shared" si="52"/>
        <v>35</v>
      </c>
      <c r="K410" s="3">
        <f t="shared" si="53"/>
        <v>-6</v>
      </c>
      <c r="L410" s="3" t="str">
        <f t="shared" si="54"/>
        <v>CRÍTICO</v>
      </c>
    </row>
    <row r="411" spans="1:12" x14ac:dyDescent="0.25">
      <c r="A411" s="7">
        <v>46161</v>
      </c>
      <c r="B411" s="8" t="s">
        <v>45</v>
      </c>
      <c r="C411" s="9" t="s">
        <v>17</v>
      </c>
      <c r="D411" s="3">
        <v>15</v>
      </c>
      <c r="E411" s="3">
        <v>13</v>
      </c>
      <c r="G411" s="3">
        <v>0</v>
      </c>
      <c r="H411" s="3">
        <v>0</v>
      </c>
      <c r="I411" s="3">
        <f t="shared" si="51"/>
        <v>13</v>
      </c>
      <c r="J411" s="3" t="str">
        <f t="shared" si="52"/>
        <v>10</v>
      </c>
      <c r="K411" s="3">
        <f t="shared" si="53"/>
        <v>3</v>
      </c>
      <c r="L411" s="3" t="str">
        <f t="shared" si="54"/>
        <v>BOM</v>
      </c>
    </row>
    <row r="412" spans="1:12" hidden="1" x14ac:dyDescent="0.25">
      <c r="A412" s="5">
        <v>46146</v>
      </c>
      <c r="B412" s="6" t="s">
        <v>45</v>
      </c>
      <c r="C412" s="3" t="s">
        <v>17</v>
      </c>
      <c r="D412" s="3">
        <v>8</v>
      </c>
      <c r="E412" s="3">
        <v>7</v>
      </c>
      <c r="G412" s="3">
        <v>0</v>
      </c>
      <c r="I412" s="3">
        <f t="shared" si="51"/>
        <v>7</v>
      </c>
      <c r="J412" s="3" t="str">
        <f t="shared" si="52"/>
        <v>10</v>
      </c>
      <c r="K412" s="3">
        <f t="shared" si="53"/>
        <v>-3</v>
      </c>
      <c r="L412" s="3" t="str">
        <f t="shared" si="54"/>
        <v>ATENÇÃO</v>
      </c>
    </row>
    <row r="413" spans="1:12" hidden="1" x14ac:dyDescent="0.25">
      <c r="A413" s="5">
        <v>46147</v>
      </c>
      <c r="B413" s="6" t="s">
        <v>45</v>
      </c>
      <c r="C413" s="3" t="s">
        <v>17</v>
      </c>
      <c r="D413" s="3">
        <v>11</v>
      </c>
      <c r="E413" s="3">
        <v>11</v>
      </c>
      <c r="G413" s="3">
        <v>0</v>
      </c>
      <c r="H413" s="3">
        <v>0</v>
      </c>
      <c r="I413" s="3">
        <f t="shared" si="51"/>
        <v>11</v>
      </c>
      <c r="J413" s="3" t="str">
        <f t="shared" si="52"/>
        <v>10</v>
      </c>
      <c r="K413" s="3">
        <f t="shared" si="53"/>
        <v>1</v>
      </c>
      <c r="L413" s="3" t="str">
        <f t="shared" si="54"/>
        <v>BOM</v>
      </c>
    </row>
    <row r="414" spans="1:12" hidden="1" x14ac:dyDescent="0.25">
      <c r="A414" s="5">
        <v>46148</v>
      </c>
      <c r="B414" s="6" t="s">
        <v>45</v>
      </c>
      <c r="C414" s="3" t="s">
        <v>17</v>
      </c>
      <c r="D414" s="3">
        <v>9</v>
      </c>
      <c r="E414" s="3">
        <v>8</v>
      </c>
      <c r="G414" s="3">
        <v>0</v>
      </c>
      <c r="I414" s="3">
        <f t="shared" si="51"/>
        <v>8</v>
      </c>
      <c r="J414" s="3" t="str">
        <f t="shared" si="52"/>
        <v>10</v>
      </c>
      <c r="K414" s="3">
        <f t="shared" si="53"/>
        <v>-2</v>
      </c>
      <c r="L414" s="3" t="str">
        <f t="shared" si="54"/>
        <v>ATENÇÃO</v>
      </c>
    </row>
    <row r="415" spans="1:12" hidden="1" x14ac:dyDescent="0.25">
      <c r="A415" s="5">
        <v>46149</v>
      </c>
      <c r="B415" s="6" t="s">
        <v>45</v>
      </c>
      <c r="C415" s="3" t="s">
        <v>17</v>
      </c>
      <c r="D415" s="3">
        <v>16</v>
      </c>
      <c r="E415" s="3">
        <v>15</v>
      </c>
      <c r="G415" s="3">
        <v>0</v>
      </c>
      <c r="I415" s="3">
        <f t="shared" si="51"/>
        <v>15</v>
      </c>
      <c r="J415" s="3" t="str">
        <f t="shared" si="52"/>
        <v>10</v>
      </c>
      <c r="K415" s="3">
        <f t="shared" si="53"/>
        <v>5</v>
      </c>
      <c r="L415" s="3" t="str">
        <f t="shared" si="54"/>
        <v>BOM</v>
      </c>
    </row>
    <row r="416" spans="1:12" hidden="1" x14ac:dyDescent="0.25">
      <c r="A416" s="5">
        <v>46150</v>
      </c>
      <c r="B416" s="6" t="s">
        <v>45</v>
      </c>
      <c r="C416" s="3" t="s">
        <v>17</v>
      </c>
      <c r="D416" s="3">
        <v>14</v>
      </c>
      <c r="E416" s="3">
        <v>13</v>
      </c>
      <c r="G416" s="3">
        <v>0</v>
      </c>
      <c r="H416" s="3">
        <v>0</v>
      </c>
      <c r="I416" s="3">
        <f t="shared" si="51"/>
        <v>13</v>
      </c>
      <c r="J416" s="3" t="str">
        <f t="shared" si="52"/>
        <v>10</v>
      </c>
      <c r="K416" s="3">
        <f t="shared" si="53"/>
        <v>3</v>
      </c>
      <c r="L416" s="3" t="str">
        <f t="shared" si="54"/>
        <v>BOM</v>
      </c>
    </row>
    <row r="417" spans="1:12" hidden="1" x14ac:dyDescent="0.25">
      <c r="A417" s="5">
        <v>46153</v>
      </c>
      <c r="B417" s="6" t="s">
        <v>45</v>
      </c>
      <c r="C417" s="3" t="s">
        <v>17</v>
      </c>
      <c r="D417" s="3">
        <v>7</v>
      </c>
      <c r="E417" s="3">
        <v>7</v>
      </c>
      <c r="I417" s="3">
        <f t="shared" si="51"/>
        <v>7</v>
      </c>
      <c r="J417" s="3" t="str">
        <f t="shared" si="52"/>
        <v>10</v>
      </c>
      <c r="K417" s="3">
        <f t="shared" si="53"/>
        <v>-3</v>
      </c>
      <c r="L417" s="3" t="str">
        <f t="shared" si="54"/>
        <v>ATENÇÃO</v>
      </c>
    </row>
    <row r="418" spans="1:12" hidden="1" x14ac:dyDescent="0.25">
      <c r="A418" s="5">
        <v>46154</v>
      </c>
      <c r="B418" s="6" t="s">
        <v>45</v>
      </c>
      <c r="C418" s="3" t="s">
        <v>17</v>
      </c>
      <c r="D418" s="3">
        <v>9</v>
      </c>
      <c r="E418" s="3">
        <v>7</v>
      </c>
      <c r="I418" s="3">
        <f t="shared" si="51"/>
        <v>7</v>
      </c>
      <c r="J418" s="3" t="str">
        <f t="shared" si="52"/>
        <v>10</v>
      </c>
      <c r="K418" s="3">
        <f t="shared" si="53"/>
        <v>-3</v>
      </c>
      <c r="L418" s="3" t="str">
        <f t="shared" si="54"/>
        <v>ATENÇÃO</v>
      </c>
    </row>
    <row r="419" spans="1:12" hidden="1" x14ac:dyDescent="0.25">
      <c r="A419" s="5">
        <v>46155</v>
      </c>
      <c r="B419" s="6" t="s">
        <v>45</v>
      </c>
      <c r="C419" s="3" t="s">
        <v>17</v>
      </c>
      <c r="D419" s="3">
        <v>6</v>
      </c>
      <c r="E419" s="3">
        <v>6</v>
      </c>
      <c r="I419" s="3">
        <f t="shared" si="51"/>
        <v>6</v>
      </c>
      <c r="J419" s="3" t="str">
        <f t="shared" si="52"/>
        <v>10</v>
      </c>
      <c r="K419" s="3">
        <f t="shared" si="53"/>
        <v>-4</v>
      </c>
      <c r="L419" s="3" t="str">
        <f t="shared" si="54"/>
        <v>ATENÇÃO</v>
      </c>
    </row>
    <row r="420" spans="1:12" hidden="1" x14ac:dyDescent="0.25">
      <c r="A420" s="5">
        <v>46156</v>
      </c>
      <c r="B420" s="6" t="s">
        <v>45</v>
      </c>
      <c r="C420" s="3" t="s">
        <v>17</v>
      </c>
      <c r="D420" s="3">
        <v>4</v>
      </c>
      <c r="E420" s="3">
        <v>4</v>
      </c>
      <c r="G420" s="3">
        <v>0</v>
      </c>
      <c r="H420" s="3">
        <v>0</v>
      </c>
      <c r="I420" s="3">
        <f t="shared" si="51"/>
        <v>4</v>
      </c>
      <c r="J420" s="3" t="str">
        <f t="shared" si="52"/>
        <v>10</v>
      </c>
      <c r="K420" s="3">
        <f t="shared" si="53"/>
        <v>-6</v>
      </c>
      <c r="L420" s="3" t="str">
        <f t="shared" si="54"/>
        <v>CRÍTICO</v>
      </c>
    </row>
    <row r="421" spans="1:12" hidden="1" x14ac:dyDescent="0.25">
      <c r="A421" s="5">
        <v>46157</v>
      </c>
      <c r="B421" s="6" t="s">
        <v>45</v>
      </c>
      <c r="C421" s="3" t="s">
        <v>17</v>
      </c>
      <c r="D421" s="3">
        <v>9</v>
      </c>
      <c r="E421" s="3">
        <v>8</v>
      </c>
      <c r="G421" s="3">
        <v>0</v>
      </c>
      <c r="H421" s="3">
        <v>0</v>
      </c>
      <c r="I421" s="3">
        <f t="shared" si="51"/>
        <v>8</v>
      </c>
      <c r="J421" s="3" t="str">
        <f t="shared" si="52"/>
        <v>10</v>
      </c>
      <c r="K421" s="3">
        <f t="shared" si="53"/>
        <v>-2</v>
      </c>
      <c r="L421" s="3" t="str">
        <f t="shared" si="54"/>
        <v>ATENÇÃO</v>
      </c>
    </row>
    <row r="422" spans="1:12" hidden="1" x14ac:dyDescent="0.25">
      <c r="A422" s="5">
        <v>46160</v>
      </c>
      <c r="B422" s="6" t="s">
        <v>45</v>
      </c>
      <c r="C422" s="3" t="s">
        <v>17</v>
      </c>
      <c r="D422" s="3">
        <v>7</v>
      </c>
      <c r="E422" s="3">
        <v>7</v>
      </c>
      <c r="G422" s="3">
        <v>0</v>
      </c>
      <c r="H422" s="3">
        <v>0</v>
      </c>
      <c r="I422" s="3">
        <f t="shared" si="51"/>
        <v>7</v>
      </c>
      <c r="J422" s="3" t="str">
        <f t="shared" si="52"/>
        <v>10</v>
      </c>
      <c r="K422" s="3">
        <f t="shared" si="53"/>
        <v>-3</v>
      </c>
      <c r="L422" s="3" t="str">
        <f t="shared" si="54"/>
        <v>ATENÇÃO</v>
      </c>
    </row>
    <row r="423" spans="1:12" x14ac:dyDescent="0.25">
      <c r="A423" s="7">
        <v>46161</v>
      </c>
      <c r="B423" s="8" t="s">
        <v>46</v>
      </c>
      <c r="C423" s="9" t="s">
        <v>36</v>
      </c>
      <c r="D423" s="3">
        <v>42</v>
      </c>
      <c r="E423" s="3">
        <v>23</v>
      </c>
      <c r="G423" s="3">
        <v>0</v>
      </c>
      <c r="H423" s="3">
        <v>0</v>
      </c>
      <c r="I423" s="3">
        <f t="shared" si="51"/>
        <v>23</v>
      </c>
      <c r="J423" s="3" t="str">
        <f t="shared" si="52"/>
        <v>20</v>
      </c>
      <c r="K423" s="3">
        <f t="shared" si="53"/>
        <v>3</v>
      </c>
      <c r="L423" s="3" t="str">
        <f t="shared" si="54"/>
        <v>BOM</v>
      </c>
    </row>
    <row r="424" spans="1:12" hidden="1" x14ac:dyDescent="0.25">
      <c r="A424" s="5">
        <v>46146</v>
      </c>
      <c r="B424" s="6" t="s">
        <v>46</v>
      </c>
      <c r="C424" s="3" t="s">
        <v>36</v>
      </c>
      <c r="D424" s="3">
        <v>42</v>
      </c>
      <c r="E424" s="3">
        <v>23</v>
      </c>
      <c r="G424" s="3">
        <v>0</v>
      </c>
      <c r="I424" s="3">
        <f t="shared" si="51"/>
        <v>23</v>
      </c>
      <c r="J424" s="3" t="str">
        <f t="shared" si="52"/>
        <v>20</v>
      </c>
      <c r="K424" s="3">
        <f t="shared" si="53"/>
        <v>3</v>
      </c>
      <c r="L424" s="3" t="str">
        <f t="shared" si="54"/>
        <v>BOM</v>
      </c>
    </row>
    <row r="425" spans="1:12" hidden="1" x14ac:dyDescent="0.25">
      <c r="A425" s="5">
        <v>46147</v>
      </c>
      <c r="B425" s="6" t="s">
        <v>46</v>
      </c>
      <c r="C425" s="3" t="s">
        <v>36</v>
      </c>
      <c r="D425" s="3">
        <v>56</v>
      </c>
      <c r="E425" s="3">
        <v>34</v>
      </c>
      <c r="G425" s="3">
        <v>0</v>
      </c>
      <c r="I425" s="3">
        <f t="shared" si="51"/>
        <v>34</v>
      </c>
      <c r="J425" s="3" t="str">
        <f t="shared" si="52"/>
        <v>20</v>
      </c>
      <c r="K425" s="3">
        <f t="shared" si="53"/>
        <v>14</v>
      </c>
      <c r="L425" s="3" t="str">
        <f t="shared" si="54"/>
        <v>EXCELENTE</v>
      </c>
    </row>
    <row r="426" spans="1:12" hidden="1" x14ac:dyDescent="0.25">
      <c r="A426" s="5">
        <v>46148</v>
      </c>
      <c r="B426" s="6" t="s">
        <v>46</v>
      </c>
      <c r="C426" s="3" t="s">
        <v>36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54"/>
        <v>BOM</v>
      </c>
    </row>
    <row r="427" spans="1:12" hidden="1" x14ac:dyDescent="0.25">
      <c r="A427" s="5">
        <v>46149</v>
      </c>
      <c r="B427" s="6" t="s">
        <v>46</v>
      </c>
      <c r="C427" s="3" t="s">
        <v>36</v>
      </c>
      <c r="D427" s="3">
        <v>0</v>
      </c>
      <c r="E427" s="3">
        <v>0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 t="str">
        <f t="shared" si="54"/>
        <v>BOM</v>
      </c>
    </row>
    <row r="428" spans="1:12" hidden="1" x14ac:dyDescent="0.25">
      <c r="A428" s="5">
        <v>46150</v>
      </c>
      <c r="B428" s="6" t="s">
        <v>46</v>
      </c>
      <c r="C428" s="3" t="s">
        <v>36</v>
      </c>
      <c r="D428" s="3">
        <v>53</v>
      </c>
      <c r="E428" s="3">
        <v>26</v>
      </c>
      <c r="G428" s="3">
        <v>0</v>
      </c>
      <c r="H428" s="3">
        <v>0</v>
      </c>
      <c r="I428" s="3">
        <f t="shared" ref="I428:I459" si="55">E428+G428+H428</f>
        <v>26</v>
      </c>
      <c r="J428" s="3" t="str">
        <f t="shared" ref="J428:J459" si="56">IF(C428="Técnico III","35",IF(C428="Técnico II","28",IF(C428="Técnico I","23",IF(C428="JR","20",IF(C428="Estágio","10",)))))</f>
        <v>20</v>
      </c>
      <c r="K428" s="3">
        <f t="shared" ref="K428:K459" si="57">I428-J428</f>
        <v>6</v>
      </c>
      <c r="L428" s="3" t="str">
        <f t="shared" si="54"/>
        <v>EXCELENTE</v>
      </c>
    </row>
    <row r="429" spans="1:12" hidden="1" x14ac:dyDescent="0.25">
      <c r="A429" s="5">
        <v>46153</v>
      </c>
      <c r="B429" s="6" t="s">
        <v>46</v>
      </c>
      <c r="C429" s="3" t="s">
        <v>36</v>
      </c>
      <c r="D429" s="3">
        <v>44</v>
      </c>
      <c r="E429" s="3">
        <v>23</v>
      </c>
      <c r="I429" s="3">
        <f t="shared" si="55"/>
        <v>23</v>
      </c>
      <c r="J429" s="3" t="str">
        <f t="shared" si="56"/>
        <v>20</v>
      </c>
      <c r="K429" s="3">
        <f t="shared" si="57"/>
        <v>3</v>
      </c>
      <c r="L429" s="3" t="str">
        <f t="shared" si="54"/>
        <v>BOM</v>
      </c>
    </row>
    <row r="430" spans="1:12" hidden="1" x14ac:dyDescent="0.25">
      <c r="A430" s="5">
        <v>46154</v>
      </c>
      <c r="B430" s="6" t="s">
        <v>46</v>
      </c>
      <c r="C430" s="3" t="s">
        <v>36</v>
      </c>
      <c r="D430" s="3">
        <v>47</v>
      </c>
      <c r="E430" s="3">
        <v>23</v>
      </c>
      <c r="I430" s="3">
        <f t="shared" si="55"/>
        <v>23</v>
      </c>
      <c r="J430" s="3" t="str">
        <f t="shared" si="56"/>
        <v>20</v>
      </c>
      <c r="K430" s="3">
        <f t="shared" si="57"/>
        <v>3</v>
      </c>
      <c r="L430" s="3" t="str">
        <f t="shared" si="54"/>
        <v>BOM</v>
      </c>
    </row>
    <row r="431" spans="1:12" hidden="1" x14ac:dyDescent="0.25">
      <c r="A431" s="5">
        <v>46155</v>
      </c>
      <c r="B431" s="6" t="s">
        <v>46</v>
      </c>
      <c r="C431" s="3" t="s">
        <v>36</v>
      </c>
      <c r="D431" s="3">
        <v>27</v>
      </c>
      <c r="E431" s="3">
        <v>24</v>
      </c>
      <c r="G431" s="3">
        <v>1</v>
      </c>
      <c r="I431" s="3">
        <f t="shared" si="55"/>
        <v>25</v>
      </c>
      <c r="J431" s="3" t="str">
        <f t="shared" si="56"/>
        <v>20</v>
      </c>
      <c r="K431" s="3">
        <f t="shared" si="57"/>
        <v>5</v>
      </c>
      <c r="L431" s="3" t="str">
        <f t="shared" si="54"/>
        <v>BOM</v>
      </c>
    </row>
    <row r="432" spans="1:12" hidden="1" x14ac:dyDescent="0.25">
      <c r="A432" s="5">
        <v>46156</v>
      </c>
      <c r="B432" s="6" t="s">
        <v>46</v>
      </c>
      <c r="C432" s="3" t="s">
        <v>36</v>
      </c>
      <c r="D432" s="3">
        <v>26</v>
      </c>
      <c r="E432" s="3">
        <v>19</v>
      </c>
      <c r="G432" s="3">
        <v>4</v>
      </c>
      <c r="H432" s="3">
        <v>0</v>
      </c>
      <c r="I432" s="3">
        <f t="shared" si="55"/>
        <v>23</v>
      </c>
      <c r="J432" s="3" t="str">
        <f t="shared" si="56"/>
        <v>20</v>
      </c>
      <c r="K432" s="3">
        <f t="shared" si="57"/>
        <v>3</v>
      </c>
      <c r="L432" s="3" t="str">
        <f t="shared" si="54"/>
        <v>BOM</v>
      </c>
    </row>
    <row r="433" spans="1:12" hidden="1" x14ac:dyDescent="0.25">
      <c r="A433" s="5">
        <v>46157</v>
      </c>
      <c r="B433" s="6" t="s">
        <v>46</v>
      </c>
      <c r="C433" s="3" t="s">
        <v>36</v>
      </c>
      <c r="D433" s="3">
        <v>29</v>
      </c>
      <c r="E433" s="3">
        <v>21</v>
      </c>
      <c r="G433" s="3">
        <v>2</v>
      </c>
      <c r="H433" s="3">
        <v>0</v>
      </c>
      <c r="I433" s="3">
        <f t="shared" si="55"/>
        <v>23</v>
      </c>
      <c r="J433" s="3" t="str">
        <f t="shared" si="56"/>
        <v>20</v>
      </c>
      <c r="K433" s="3">
        <f t="shared" si="57"/>
        <v>3</v>
      </c>
      <c r="L433" s="3" t="str">
        <f t="shared" si="54"/>
        <v>BOM</v>
      </c>
    </row>
    <row r="434" spans="1:12" hidden="1" x14ac:dyDescent="0.25">
      <c r="A434" s="5">
        <v>46160</v>
      </c>
      <c r="B434" s="6" t="s">
        <v>46</v>
      </c>
      <c r="C434" s="3" t="s">
        <v>36</v>
      </c>
      <c r="D434" s="3">
        <v>11</v>
      </c>
      <c r="E434" s="3">
        <v>9</v>
      </c>
      <c r="G434" s="3">
        <v>1</v>
      </c>
      <c r="H434" s="3">
        <v>0</v>
      </c>
      <c r="I434" s="3">
        <f t="shared" si="55"/>
        <v>10</v>
      </c>
      <c r="J434" s="3" t="str">
        <f t="shared" si="56"/>
        <v>20</v>
      </c>
      <c r="K434" s="3">
        <f t="shared" si="57"/>
        <v>-10</v>
      </c>
      <c r="L434" s="3" t="str">
        <f t="shared" si="54"/>
        <v>CRÍTICO</v>
      </c>
    </row>
    <row r="435" spans="1:12" x14ac:dyDescent="0.25">
      <c r="A435" s="7">
        <v>46161</v>
      </c>
      <c r="B435" s="8" t="s">
        <v>47</v>
      </c>
      <c r="C435" s="9" t="s">
        <v>11</v>
      </c>
      <c r="D435" s="3">
        <v>25</v>
      </c>
      <c r="E435" s="3">
        <v>23</v>
      </c>
      <c r="G435" s="3">
        <v>0</v>
      </c>
      <c r="H435" s="3">
        <v>0</v>
      </c>
      <c r="I435" s="3">
        <f t="shared" si="55"/>
        <v>23</v>
      </c>
      <c r="J435" s="3" t="str">
        <f t="shared" si="56"/>
        <v>28</v>
      </c>
      <c r="K435" s="3">
        <f t="shared" si="57"/>
        <v>-5</v>
      </c>
      <c r="L435" s="3" t="str">
        <f t="shared" si="54"/>
        <v>ATENÇÃO</v>
      </c>
    </row>
    <row r="436" spans="1:12" hidden="1" x14ac:dyDescent="0.25">
      <c r="A436" s="5">
        <v>46146</v>
      </c>
      <c r="B436" s="6" t="s">
        <v>47</v>
      </c>
      <c r="C436" s="3" t="s">
        <v>11</v>
      </c>
      <c r="D436" s="3">
        <v>20</v>
      </c>
      <c r="E436" s="3">
        <v>16</v>
      </c>
      <c r="G436" s="3">
        <v>0</v>
      </c>
      <c r="I436" s="3">
        <f t="shared" si="55"/>
        <v>16</v>
      </c>
      <c r="J436" s="3" t="str">
        <f t="shared" si="56"/>
        <v>28</v>
      </c>
      <c r="K436" s="3">
        <f t="shared" si="57"/>
        <v>-12</v>
      </c>
      <c r="L436" s="3" t="str">
        <f t="shared" si="54"/>
        <v>CRÍTICO</v>
      </c>
    </row>
    <row r="437" spans="1:12" hidden="1" x14ac:dyDescent="0.25">
      <c r="A437" s="5">
        <v>46147</v>
      </c>
      <c r="B437" s="6" t="s">
        <v>47</v>
      </c>
      <c r="C437" s="3" t="s">
        <v>11</v>
      </c>
      <c r="D437" s="3">
        <v>27</v>
      </c>
      <c r="E437" s="3">
        <v>25</v>
      </c>
      <c r="G437" s="3">
        <v>0</v>
      </c>
      <c r="I437" s="3">
        <f t="shared" si="55"/>
        <v>25</v>
      </c>
      <c r="J437" s="3" t="str">
        <f t="shared" si="56"/>
        <v>28</v>
      </c>
      <c r="K437" s="3">
        <f t="shared" si="57"/>
        <v>-3</v>
      </c>
      <c r="L437" s="3" t="str">
        <f t="shared" si="54"/>
        <v>ATENÇÃO</v>
      </c>
    </row>
    <row r="438" spans="1:12" hidden="1" x14ac:dyDescent="0.25">
      <c r="A438" s="5">
        <v>46148</v>
      </c>
      <c r="B438" s="6" t="s">
        <v>47</v>
      </c>
      <c r="C438" s="3" t="s">
        <v>11</v>
      </c>
      <c r="D438" s="3">
        <v>35</v>
      </c>
      <c r="E438" s="3">
        <v>33</v>
      </c>
      <c r="G438" s="3">
        <v>0</v>
      </c>
      <c r="I438" s="3">
        <f t="shared" si="55"/>
        <v>33</v>
      </c>
      <c r="J438" s="3" t="str">
        <f t="shared" si="56"/>
        <v>28</v>
      </c>
      <c r="K438" s="3">
        <f t="shared" si="57"/>
        <v>5</v>
      </c>
      <c r="L438" s="3" t="str">
        <f t="shared" si="54"/>
        <v>BOM</v>
      </c>
    </row>
    <row r="439" spans="1:12" hidden="1" x14ac:dyDescent="0.25">
      <c r="A439" s="5">
        <v>46149</v>
      </c>
      <c r="B439" s="6" t="s">
        <v>47</v>
      </c>
      <c r="C439" s="3" t="s">
        <v>11</v>
      </c>
      <c r="D439" s="3">
        <v>10</v>
      </c>
      <c r="E439" s="3">
        <v>10</v>
      </c>
      <c r="G439" s="3">
        <v>0</v>
      </c>
      <c r="I439" s="3">
        <f t="shared" si="55"/>
        <v>10</v>
      </c>
      <c r="J439" s="3" t="str">
        <f t="shared" si="56"/>
        <v>28</v>
      </c>
      <c r="K439" s="3">
        <f t="shared" si="57"/>
        <v>-18</v>
      </c>
      <c r="L439" s="3" t="str">
        <f t="shared" si="54"/>
        <v>CRÍTICO</v>
      </c>
    </row>
    <row r="440" spans="1:12" hidden="1" x14ac:dyDescent="0.25">
      <c r="A440" s="5">
        <v>46150</v>
      </c>
      <c r="B440" s="6" t="s">
        <v>47</v>
      </c>
      <c r="C440" s="3" t="s">
        <v>11</v>
      </c>
      <c r="D440" s="3">
        <v>19</v>
      </c>
      <c r="E440" s="3">
        <v>19</v>
      </c>
      <c r="G440" s="3">
        <v>0</v>
      </c>
      <c r="H440" s="3">
        <v>0</v>
      </c>
      <c r="I440" s="3">
        <f t="shared" si="55"/>
        <v>19</v>
      </c>
      <c r="J440" s="3" t="str">
        <f t="shared" si="56"/>
        <v>28</v>
      </c>
      <c r="K440" s="3">
        <f t="shared" si="57"/>
        <v>-9</v>
      </c>
      <c r="L440" s="3" t="str">
        <f t="shared" si="54"/>
        <v>CRÍTICO</v>
      </c>
    </row>
    <row r="441" spans="1:12" hidden="1" x14ac:dyDescent="0.25">
      <c r="A441" s="5">
        <v>46153</v>
      </c>
      <c r="B441" s="6" t="s">
        <v>47</v>
      </c>
      <c r="C441" s="3" t="s">
        <v>11</v>
      </c>
      <c r="D441" s="3">
        <v>9</v>
      </c>
      <c r="E441" s="3">
        <v>8</v>
      </c>
      <c r="I441" s="3">
        <f t="shared" si="55"/>
        <v>8</v>
      </c>
      <c r="J441" s="3" t="str">
        <f t="shared" si="56"/>
        <v>28</v>
      </c>
      <c r="K441" s="3">
        <f t="shared" si="57"/>
        <v>-20</v>
      </c>
      <c r="L441" s="3" t="str">
        <f t="shared" si="54"/>
        <v>CRÍTICO</v>
      </c>
    </row>
    <row r="442" spans="1:12" hidden="1" x14ac:dyDescent="0.25">
      <c r="A442" s="5">
        <v>46154</v>
      </c>
      <c r="B442" s="6" t="s">
        <v>47</v>
      </c>
      <c r="C442" s="3" t="s">
        <v>11</v>
      </c>
      <c r="D442" s="3">
        <v>30</v>
      </c>
      <c r="E442" s="3">
        <v>26</v>
      </c>
      <c r="I442" s="3">
        <f t="shared" si="55"/>
        <v>26</v>
      </c>
      <c r="J442" s="3" t="str">
        <f t="shared" si="56"/>
        <v>28</v>
      </c>
      <c r="K442" s="3">
        <f t="shared" si="57"/>
        <v>-2</v>
      </c>
      <c r="L442" s="3" t="str">
        <f t="shared" si="54"/>
        <v>ATENÇÃO</v>
      </c>
    </row>
    <row r="443" spans="1:12" hidden="1" x14ac:dyDescent="0.25">
      <c r="A443" s="5">
        <v>46155</v>
      </c>
      <c r="B443" s="6" t="s">
        <v>47</v>
      </c>
      <c r="C443" s="3" t="s">
        <v>11</v>
      </c>
      <c r="D443" s="3">
        <v>24</v>
      </c>
      <c r="E443" s="3">
        <v>22</v>
      </c>
      <c r="I443" s="3">
        <f t="shared" si="55"/>
        <v>22</v>
      </c>
      <c r="J443" s="3" t="str">
        <f t="shared" si="56"/>
        <v>28</v>
      </c>
      <c r="K443" s="3">
        <f t="shared" si="57"/>
        <v>-6</v>
      </c>
      <c r="L443" s="3" t="str">
        <f t="shared" si="54"/>
        <v>CRÍTICO</v>
      </c>
    </row>
    <row r="444" spans="1:12" hidden="1" x14ac:dyDescent="0.25">
      <c r="A444" s="5">
        <v>46156</v>
      </c>
      <c r="B444" s="6" t="s">
        <v>47</v>
      </c>
      <c r="C444" s="3" t="s">
        <v>11</v>
      </c>
      <c r="D444" s="3">
        <v>29</v>
      </c>
      <c r="E444" s="3">
        <v>26</v>
      </c>
      <c r="G444" s="3">
        <v>0</v>
      </c>
      <c r="H444" s="3">
        <v>0</v>
      </c>
      <c r="I444" s="3">
        <f t="shared" si="55"/>
        <v>26</v>
      </c>
      <c r="J444" s="3" t="str">
        <f t="shared" si="56"/>
        <v>28</v>
      </c>
      <c r="K444" s="3">
        <f t="shared" si="57"/>
        <v>-2</v>
      </c>
      <c r="L444" s="3" t="str">
        <f t="shared" si="54"/>
        <v>ATENÇÃO</v>
      </c>
    </row>
    <row r="445" spans="1:12" hidden="1" x14ac:dyDescent="0.25">
      <c r="A445" s="5">
        <v>46157</v>
      </c>
      <c r="B445" s="6" t="s">
        <v>47</v>
      </c>
      <c r="C445" s="3" t="s">
        <v>11</v>
      </c>
      <c r="D445" s="3">
        <v>13</v>
      </c>
      <c r="E445" s="3">
        <v>13</v>
      </c>
      <c r="G445" s="3">
        <v>0</v>
      </c>
      <c r="H445" s="3">
        <v>0</v>
      </c>
      <c r="I445" s="3">
        <f t="shared" si="55"/>
        <v>13</v>
      </c>
      <c r="J445" s="3" t="str">
        <f t="shared" si="56"/>
        <v>28</v>
      </c>
      <c r="K445" s="3">
        <f t="shared" si="57"/>
        <v>-15</v>
      </c>
      <c r="L445" s="3" t="str">
        <f t="shared" si="54"/>
        <v>CRÍTICO</v>
      </c>
    </row>
    <row r="446" spans="1:12" hidden="1" x14ac:dyDescent="0.25">
      <c r="A446" s="5">
        <v>46160</v>
      </c>
      <c r="B446" s="6" t="s">
        <v>47</v>
      </c>
      <c r="C446" s="3" t="s">
        <v>11</v>
      </c>
      <c r="D446" s="3">
        <v>16</v>
      </c>
      <c r="E446" s="3">
        <v>15</v>
      </c>
      <c r="G446" s="3">
        <v>0</v>
      </c>
      <c r="H446" s="3">
        <v>0</v>
      </c>
      <c r="I446" s="3">
        <f t="shared" si="55"/>
        <v>15</v>
      </c>
      <c r="J446" s="3" t="str">
        <f t="shared" si="56"/>
        <v>28</v>
      </c>
      <c r="K446" s="3">
        <f t="shared" si="57"/>
        <v>-13</v>
      </c>
      <c r="L446" s="3" t="str">
        <f t="shared" si="54"/>
        <v>CRÍTICO</v>
      </c>
    </row>
    <row r="447" spans="1:12" x14ac:dyDescent="0.25">
      <c r="A447" s="7">
        <v>46161</v>
      </c>
      <c r="B447" s="8" t="s">
        <v>48</v>
      </c>
      <c r="C447" s="9" t="s">
        <v>36</v>
      </c>
      <c r="D447" s="3">
        <v>13</v>
      </c>
      <c r="E447" s="3">
        <v>13</v>
      </c>
      <c r="G447" s="3">
        <v>0</v>
      </c>
      <c r="H447" s="3">
        <v>0</v>
      </c>
      <c r="I447" s="3">
        <f t="shared" si="55"/>
        <v>13</v>
      </c>
      <c r="J447" s="3" t="str">
        <f t="shared" si="56"/>
        <v>20</v>
      </c>
      <c r="K447" s="3">
        <f t="shared" si="57"/>
        <v>-7</v>
      </c>
      <c r="L447" s="3" t="str">
        <f t="shared" si="54"/>
        <v>CRÍTICO</v>
      </c>
    </row>
    <row r="448" spans="1:12" hidden="1" x14ac:dyDescent="0.25">
      <c r="A448" s="5">
        <v>46146</v>
      </c>
      <c r="B448" s="6" t="s">
        <v>48</v>
      </c>
      <c r="C448" s="3" t="s">
        <v>36</v>
      </c>
      <c r="D448" s="3">
        <v>23</v>
      </c>
      <c r="E448" s="3">
        <v>23</v>
      </c>
      <c r="G448" s="3">
        <v>0</v>
      </c>
      <c r="I448" s="3">
        <f t="shared" si="55"/>
        <v>23</v>
      </c>
      <c r="J448" s="3" t="str">
        <f t="shared" si="56"/>
        <v>20</v>
      </c>
      <c r="K448" s="3">
        <f t="shared" si="57"/>
        <v>3</v>
      </c>
      <c r="L448" s="3" t="str">
        <f t="shared" si="54"/>
        <v>BOM</v>
      </c>
    </row>
    <row r="449" spans="1:12" hidden="1" x14ac:dyDescent="0.25">
      <c r="A449" s="5">
        <v>46147</v>
      </c>
      <c r="B449" s="6" t="s">
        <v>48</v>
      </c>
      <c r="C449" s="3" t="s">
        <v>36</v>
      </c>
      <c r="D449" s="3">
        <v>18</v>
      </c>
      <c r="E449" s="3">
        <v>17</v>
      </c>
      <c r="G449" s="3">
        <v>0</v>
      </c>
      <c r="I449" s="3">
        <f t="shared" si="55"/>
        <v>17</v>
      </c>
      <c r="J449" s="3" t="str">
        <f t="shared" si="56"/>
        <v>20</v>
      </c>
      <c r="K449" s="3">
        <f t="shared" si="57"/>
        <v>-3</v>
      </c>
      <c r="L449" s="3" t="str">
        <f t="shared" si="54"/>
        <v>ATENÇÃO</v>
      </c>
    </row>
    <row r="450" spans="1:12" hidden="1" x14ac:dyDescent="0.25">
      <c r="A450" s="5">
        <v>46148</v>
      </c>
      <c r="B450" s="6" t="s">
        <v>48</v>
      </c>
      <c r="C450" s="3" t="s">
        <v>36</v>
      </c>
      <c r="D450" s="3">
        <v>17</v>
      </c>
      <c r="E450" s="3">
        <v>17</v>
      </c>
      <c r="G450" s="3">
        <v>0</v>
      </c>
      <c r="I450" s="3">
        <f t="shared" si="55"/>
        <v>17</v>
      </c>
      <c r="J450" s="3" t="str">
        <f t="shared" si="56"/>
        <v>20</v>
      </c>
      <c r="K450" s="3">
        <f t="shared" si="57"/>
        <v>-3</v>
      </c>
      <c r="L450" s="3" t="str">
        <f t="shared" ref="L450:L513" si="58">IF(K450&lt;-5,"CRÍTICO",IF(K450&lt;0,"ATENÇÃO",IF(K450&lt;=5,"BOM","EXCELENTE")))</f>
        <v>ATENÇÃO</v>
      </c>
    </row>
    <row r="451" spans="1:12" hidden="1" x14ac:dyDescent="0.25">
      <c r="A451" s="5">
        <v>46149</v>
      </c>
      <c r="B451" s="6" t="s">
        <v>48</v>
      </c>
      <c r="C451" s="3" t="s">
        <v>36</v>
      </c>
      <c r="D451" s="3">
        <v>16</v>
      </c>
      <c r="E451" s="3">
        <v>16</v>
      </c>
      <c r="G451" s="3">
        <v>8</v>
      </c>
      <c r="I451" s="3">
        <f t="shared" si="55"/>
        <v>24</v>
      </c>
      <c r="J451" s="3" t="str">
        <f t="shared" si="56"/>
        <v>20</v>
      </c>
      <c r="K451" s="3">
        <f t="shared" si="57"/>
        <v>4</v>
      </c>
      <c r="L451" s="3" t="str">
        <f t="shared" si="58"/>
        <v>BOM</v>
      </c>
    </row>
    <row r="452" spans="1:12" hidden="1" x14ac:dyDescent="0.25">
      <c r="A452" s="5">
        <v>46150</v>
      </c>
      <c r="B452" s="6" t="s">
        <v>48</v>
      </c>
      <c r="C452" s="3" t="s">
        <v>36</v>
      </c>
      <c r="D452" s="3">
        <v>14</v>
      </c>
      <c r="E452" s="3">
        <v>14</v>
      </c>
      <c r="G452" s="3">
        <v>0</v>
      </c>
      <c r="H452" s="3">
        <v>0</v>
      </c>
      <c r="I452" s="3">
        <f t="shared" si="55"/>
        <v>14</v>
      </c>
      <c r="J452" s="3" t="str">
        <f t="shared" si="56"/>
        <v>20</v>
      </c>
      <c r="K452" s="3">
        <f t="shared" si="57"/>
        <v>-6</v>
      </c>
      <c r="L452" s="3" t="str">
        <f t="shared" si="58"/>
        <v>CRÍTICO</v>
      </c>
    </row>
    <row r="453" spans="1:12" hidden="1" x14ac:dyDescent="0.25">
      <c r="A453" s="5">
        <v>46153</v>
      </c>
      <c r="B453" s="6" t="s">
        <v>48</v>
      </c>
      <c r="C453" s="3" t="s">
        <v>36</v>
      </c>
      <c r="D453" s="3">
        <v>11</v>
      </c>
      <c r="E453" s="3">
        <v>11</v>
      </c>
      <c r="I453" s="3">
        <f t="shared" si="55"/>
        <v>11</v>
      </c>
      <c r="J453" s="3" t="str">
        <f t="shared" si="56"/>
        <v>20</v>
      </c>
      <c r="K453" s="3">
        <f t="shared" si="57"/>
        <v>-9</v>
      </c>
      <c r="L453" s="3" t="str">
        <f t="shared" si="58"/>
        <v>CRÍTICO</v>
      </c>
    </row>
    <row r="454" spans="1:12" hidden="1" x14ac:dyDescent="0.25">
      <c r="A454" s="5">
        <v>46154</v>
      </c>
      <c r="B454" s="6" t="s">
        <v>48</v>
      </c>
      <c r="C454" s="3" t="s">
        <v>36</v>
      </c>
      <c r="D454" s="3">
        <v>21</v>
      </c>
      <c r="E454" s="3">
        <v>21</v>
      </c>
      <c r="I454" s="3">
        <f t="shared" si="55"/>
        <v>21</v>
      </c>
      <c r="J454" s="3" t="str">
        <f t="shared" si="56"/>
        <v>20</v>
      </c>
      <c r="K454" s="3">
        <f t="shared" si="57"/>
        <v>1</v>
      </c>
      <c r="L454" s="3" t="str">
        <f t="shared" si="58"/>
        <v>BOM</v>
      </c>
    </row>
    <row r="455" spans="1:12" hidden="1" x14ac:dyDescent="0.25">
      <c r="A455" s="5">
        <v>46155</v>
      </c>
      <c r="B455" s="6" t="s">
        <v>48</v>
      </c>
      <c r="C455" s="3" t="s">
        <v>36</v>
      </c>
      <c r="D455" s="3">
        <v>12</v>
      </c>
      <c r="E455" s="3">
        <v>11</v>
      </c>
      <c r="I455" s="3">
        <f t="shared" si="55"/>
        <v>11</v>
      </c>
      <c r="J455" s="3" t="str">
        <f t="shared" si="56"/>
        <v>20</v>
      </c>
      <c r="K455" s="3">
        <f t="shared" si="57"/>
        <v>-9</v>
      </c>
      <c r="L455" s="3" t="str">
        <f t="shared" si="58"/>
        <v>CRÍTICO</v>
      </c>
    </row>
    <row r="456" spans="1:12" hidden="1" x14ac:dyDescent="0.25">
      <c r="A456" s="5">
        <v>46156</v>
      </c>
      <c r="B456" s="6" t="s">
        <v>48</v>
      </c>
      <c r="C456" s="3" t="s">
        <v>36</v>
      </c>
      <c r="D456" s="3">
        <v>15</v>
      </c>
      <c r="E456" s="3">
        <v>15</v>
      </c>
      <c r="G456" s="3">
        <v>0</v>
      </c>
      <c r="H456" s="3">
        <v>0</v>
      </c>
      <c r="I456" s="3">
        <f t="shared" si="55"/>
        <v>15</v>
      </c>
      <c r="J456" s="3" t="str">
        <f t="shared" si="56"/>
        <v>20</v>
      </c>
      <c r="K456" s="3">
        <f t="shared" si="57"/>
        <v>-5</v>
      </c>
      <c r="L456" s="3" t="str">
        <f t="shared" si="58"/>
        <v>ATENÇÃO</v>
      </c>
    </row>
    <row r="457" spans="1:12" hidden="1" x14ac:dyDescent="0.25">
      <c r="A457" s="5">
        <v>46157</v>
      </c>
      <c r="B457" s="6" t="s">
        <v>48</v>
      </c>
      <c r="C457" s="3" t="s">
        <v>36</v>
      </c>
      <c r="D457" s="3">
        <v>13</v>
      </c>
      <c r="E457" s="3">
        <v>13</v>
      </c>
      <c r="G457" s="3">
        <v>0</v>
      </c>
      <c r="H457" s="3">
        <v>0</v>
      </c>
      <c r="I457" s="3">
        <f t="shared" si="55"/>
        <v>13</v>
      </c>
      <c r="J457" s="3" t="str">
        <f t="shared" si="56"/>
        <v>20</v>
      </c>
      <c r="K457" s="3">
        <f t="shared" si="57"/>
        <v>-7</v>
      </c>
      <c r="L457" s="3" t="str">
        <f t="shared" si="58"/>
        <v>CRÍTICO</v>
      </c>
    </row>
    <row r="458" spans="1:12" hidden="1" x14ac:dyDescent="0.25">
      <c r="A458" s="5">
        <v>46160</v>
      </c>
      <c r="B458" s="6" t="s">
        <v>48</v>
      </c>
      <c r="C458" s="3" t="s">
        <v>36</v>
      </c>
      <c r="D458" s="3">
        <v>11</v>
      </c>
      <c r="E458" s="3">
        <v>10</v>
      </c>
      <c r="G458" s="3">
        <v>0</v>
      </c>
      <c r="H458" s="3">
        <v>0</v>
      </c>
      <c r="I458" s="3">
        <f t="shared" si="55"/>
        <v>10</v>
      </c>
      <c r="J458" s="3" t="str">
        <f t="shared" si="56"/>
        <v>20</v>
      </c>
      <c r="K458" s="3">
        <f t="shared" si="57"/>
        <v>-10</v>
      </c>
      <c r="L458" s="3" t="str">
        <f t="shared" si="58"/>
        <v>CRÍTICO</v>
      </c>
    </row>
    <row r="459" spans="1:12" x14ac:dyDescent="0.25">
      <c r="A459" s="7">
        <v>46161</v>
      </c>
      <c r="B459" s="8" t="s">
        <v>49</v>
      </c>
      <c r="C459" s="9" t="s">
        <v>36</v>
      </c>
      <c r="D459" s="3">
        <v>17</v>
      </c>
      <c r="E459" s="3">
        <v>17</v>
      </c>
      <c r="G459" s="3">
        <v>0</v>
      </c>
      <c r="H459" s="3">
        <v>0</v>
      </c>
      <c r="I459" s="3">
        <f t="shared" si="55"/>
        <v>17</v>
      </c>
      <c r="J459" s="3" t="str">
        <f t="shared" si="56"/>
        <v>20</v>
      </c>
      <c r="K459" s="3">
        <f t="shared" si="57"/>
        <v>-3</v>
      </c>
      <c r="L459" s="3" t="str">
        <f t="shared" si="58"/>
        <v>ATENÇÃO</v>
      </c>
    </row>
    <row r="460" spans="1:12" hidden="1" x14ac:dyDescent="0.25">
      <c r="A460" s="5">
        <v>46146</v>
      </c>
      <c r="B460" s="6" t="s">
        <v>49</v>
      </c>
      <c r="C460" s="3" t="s">
        <v>36</v>
      </c>
      <c r="D460" s="3">
        <v>23</v>
      </c>
      <c r="E460" s="3">
        <v>21</v>
      </c>
      <c r="G460" s="3">
        <v>0</v>
      </c>
      <c r="I460" s="3">
        <f t="shared" ref="I460:I491" si="59">E460+G460+H460</f>
        <v>21</v>
      </c>
      <c r="J460" s="3" t="str">
        <f t="shared" ref="J460:J491" si="60">IF(C460="Técnico III","35",IF(C460="Técnico II","28",IF(C460="Técnico I","23",IF(C460="JR","20",IF(C460="Estágio","10",)))))</f>
        <v>20</v>
      </c>
      <c r="K460" s="3">
        <f t="shared" ref="K460:K491" si="61">I460-J460</f>
        <v>1</v>
      </c>
      <c r="L460" s="3" t="str">
        <f t="shared" si="58"/>
        <v>BOM</v>
      </c>
    </row>
    <row r="461" spans="1:12" hidden="1" x14ac:dyDescent="0.25">
      <c r="A461" s="5">
        <v>46147</v>
      </c>
      <c r="B461" s="6" t="s">
        <v>49</v>
      </c>
      <c r="C461" s="3" t="s">
        <v>36</v>
      </c>
      <c r="D461" s="3">
        <v>11</v>
      </c>
      <c r="E461" s="3">
        <v>11</v>
      </c>
      <c r="G461" s="3">
        <v>9</v>
      </c>
      <c r="I461" s="3">
        <f t="shared" si="59"/>
        <v>20</v>
      </c>
      <c r="J461" s="3" t="str">
        <f t="shared" si="60"/>
        <v>20</v>
      </c>
      <c r="K461" s="3">
        <f t="shared" si="61"/>
        <v>0</v>
      </c>
      <c r="L461" s="3" t="str">
        <f t="shared" si="58"/>
        <v>BOM</v>
      </c>
    </row>
    <row r="462" spans="1:12" hidden="1" x14ac:dyDescent="0.25">
      <c r="A462" s="5">
        <v>46148</v>
      </c>
      <c r="B462" s="6" t="s">
        <v>49</v>
      </c>
      <c r="C462" s="3" t="s">
        <v>36</v>
      </c>
      <c r="D462" s="3">
        <v>22</v>
      </c>
      <c r="E462" s="3">
        <v>21</v>
      </c>
      <c r="G462" s="3">
        <v>3</v>
      </c>
      <c r="I462" s="3">
        <f t="shared" si="59"/>
        <v>24</v>
      </c>
      <c r="J462" s="3" t="str">
        <f t="shared" si="60"/>
        <v>20</v>
      </c>
      <c r="K462" s="3">
        <f t="shared" si="61"/>
        <v>4</v>
      </c>
      <c r="L462" s="3" t="str">
        <f t="shared" si="58"/>
        <v>BOM</v>
      </c>
    </row>
    <row r="463" spans="1:12" hidden="1" x14ac:dyDescent="0.25">
      <c r="A463" s="5">
        <v>46149</v>
      </c>
      <c r="B463" s="6" t="s">
        <v>49</v>
      </c>
      <c r="C463" s="3" t="s">
        <v>36</v>
      </c>
      <c r="D463" s="3">
        <v>19</v>
      </c>
      <c r="E463" s="3">
        <v>19</v>
      </c>
      <c r="G463" s="3">
        <v>5</v>
      </c>
      <c r="I463" s="3">
        <f t="shared" si="59"/>
        <v>24</v>
      </c>
      <c r="J463" s="3" t="str">
        <f t="shared" si="60"/>
        <v>20</v>
      </c>
      <c r="K463" s="3">
        <f t="shared" si="61"/>
        <v>4</v>
      </c>
      <c r="L463" s="3" t="str">
        <f t="shared" si="58"/>
        <v>BOM</v>
      </c>
    </row>
    <row r="464" spans="1:12" hidden="1" x14ac:dyDescent="0.25">
      <c r="A464" s="5">
        <v>46150</v>
      </c>
      <c r="B464" s="6" t="s">
        <v>49</v>
      </c>
      <c r="C464" s="3" t="s">
        <v>36</v>
      </c>
      <c r="D464" s="3">
        <v>18</v>
      </c>
      <c r="E464" s="3">
        <v>17</v>
      </c>
      <c r="G464" s="3">
        <v>0</v>
      </c>
      <c r="H464" s="3">
        <v>0</v>
      </c>
      <c r="I464" s="3">
        <f t="shared" si="59"/>
        <v>17</v>
      </c>
      <c r="J464" s="3" t="str">
        <f t="shared" si="60"/>
        <v>20</v>
      </c>
      <c r="K464" s="3">
        <f t="shared" si="61"/>
        <v>-3</v>
      </c>
      <c r="L464" s="3" t="str">
        <f t="shared" si="58"/>
        <v>ATENÇÃO</v>
      </c>
    </row>
    <row r="465" spans="1:12" hidden="1" x14ac:dyDescent="0.25">
      <c r="A465" s="5">
        <v>46153</v>
      </c>
      <c r="B465" s="6" t="s">
        <v>49</v>
      </c>
      <c r="C465" s="3" t="s">
        <v>36</v>
      </c>
      <c r="D465" s="3">
        <v>17</v>
      </c>
      <c r="E465" s="3">
        <v>17</v>
      </c>
      <c r="G465" s="3">
        <v>3</v>
      </c>
      <c r="I465" s="3">
        <f t="shared" si="59"/>
        <v>20</v>
      </c>
      <c r="J465" s="3" t="str">
        <f t="shared" si="60"/>
        <v>20</v>
      </c>
      <c r="K465" s="3">
        <f t="shared" si="61"/>
        <v>0</v>
      </c>
      <c r="L465" s="3" t="str">
        <f t="shared" si="58"/>
        <v>BOM</v>
      </c>
    </row>
    <row r="466" spans="1:12" hidden="1" x14ac:dyDescent="0.25">
      <c r="A466" s="5">
        <v>46154</v>
      </c>
      <c r="B466" s="6" t="s">
        <v>49</v>
      </c>
      <c r="C466" s="3" t="s">
        <v>36</v>
      </c>
      <c r="D466" s="3">
        <v>12</v>
      </c>
      <c r="E466" s="3">
        <v>12</v>
      </c>
      <c r="I466" s="3">
        <f t="shared" si="59"/>
        <v>12</v>
      </c>
      <c r="J466" s="3" t="str">
        <f t="shared" si="60"/>
        <v>20</v>
      </c>
      <c r="K466" s="3">
        <f t="shared" si="61"/>
        <v>-8</v>
      </c>
      <c r="L466" s="3" t="str">
        <f t="shared" si="58"/>
        <v>CRÍTICO</v>
      </c>
    </row>
    <row r="467" spans="1:12" hidden="1" x14ac:dyDescent="0.25">
      <c r="A467" s="5">
        <v>46155</v>
      </c>
      <c r="B467" s="6" t="s">
        <v>49</v>
      </c>
      <c r="C467" s="3" t="s">
        <v>36</v>
      </c>
      <c r="D467" s="3">
        <v>15</v>
      </c>
      <c r="E467" s="3">
        <v>14</v>
      </c>
      <c r="G467" s="3">
        <v>4</v>
      </c>
      <c r="I467" s="3">
        <f t="shared" si="59"/>
        <v>18</v>
      </c>
      <c r="J467" s="3" t="str">
        <f t="shared" si="60"/>
        <v>20</v>
      </c>
      <c r="K467" s="3">
        <f t="shared" si="61"/>
        <v>-2</v>
      </c>
      <c r="L467" s="3" t="str">
        <f t="shared" si="58"/>
        <v>ATENÇÃO</v>
      </c>
    </row>
    <row r="468" spans="1:12" hidden="1" x14ac:dyDescent="0.25">
      <c r="A468" s="5">
        <v>46156</v>
      </c>
      <c r="B468" s="6" t="s">
        <v>49</v>
      </c>
      <c r="C468" s="3" t="s">
        <v>36</v>
      </c>
      <c r="D468" s="3">
        <v>6</v>
      </c>
      <c r="E468" s="3">
        <v>6</v>
      </c>
      <c r="G468" s="3">
        <v>0</v>
      </c>
      <c r="H468" s="3">
        <v>0</v>
      </c>
      <c r="I468" s="3">
        <f t="shared" si="59"/>
        <v>6</v>
      </c>
      <c r="J468" s="3" t="str">
        <f t="shared" si="60"/>
        <v>20</v>
      </c>
      <c r="K468" s="3">
        <f t="shared" si="61"/>
        <v>-14</v>
      </c>
      <c r="L468" s="3" t="str">
        <f t="shared" si="58"/>
        <v>CRÍTICO</v>
      </c>
    </row>
    <row r="469" spans="1:12" hidden="1" x14ac:dyDescent="0.25">
      <c r="A469" s="5">
        <v>46157</v>
      </c>
      <c r="B469" s="6" t="s">
        <v>49</v>
      </c>
      <c r="C469" s="3" t="s">
        <v>36</v>
      </c>
      <c r="D469" s="3">
        <v>14</v>
      </c>
      <c r="E469" s="3">
        <v>12</v>
      </c>
      <c r="G469" s="3">
        <v>2</v>
      </c>
      <c r="H469" s="3">
        <v>0</v>
      </c>
      <c r="I469" s="3">
        <f t="shared" si="59"/>
        <v>14</v>
      </c>
      <c r="J469" s="3" t="str">
        <f t="shared" si="60"/>
        <v>20</v>
      </c>
      <c r="K469" s="3">
        <f t="shared" si="61"/>
        <v>-6</v>
      </c>
      <c r="L469" s="3" t="str">
        <f t="shared" si="58"/>
        <v>CRÍTICO</v>
      </c>
    </row>
    <row r="470" spans="1:12" hidden="1" x14ac:dyDescent="0.25">
      <c r="A470" s="5">
        <v>46160</v>
      </c>
      <c r="B470" s="6" t="s">
        <v>49</v>
      </c>
      <c r="C470" s="3" t="s">
        <v>36</v>
      </c>
      <c r="D470" s="3">
        <v>14</v>
      </c>
      <c r="E470" s="3">
        <v>13</v>
      </c>
      <c r="G470" s="3">
        <v>2</v>
      </c>
      <c r="H470" s="3">
        <v>0</v>
      </c>
      <c r="I470" s="3">
        <f t="shared" si="59"/>
        <v>15</v>
      </c>
      <c r="J470" s="3" t="str">
        <f t="shared" si="60"/>
        <v>20</v>
      </c>
      <c r="K470" s="3">
        <f t="shared" si="61"/>
        <v>-5</v>
      </c>
      <c r="L470" s="3" t="str">
        <f t="shared" si="58"/>
        <v>ATENÇÃO</v>
      </c>
    </row>
    <row r="471" spans="1:12" x14ac:dyDescent="0.25">
      <c r="A471" s="7">
        <v>46161</v>
      </c>
      <c r="B471" s="8" t="s">
        <v>50</v>
      </c>
      <c r="C471" s="9" t="s">
        <v>17</v>
      </c>
      <c r="D471" s="3">
        <v>20</v>
      </c>
      <c r="E471" s="3">
        <v>19</v>
      </c>
      <c r="G471" s="3">
        <v>0</v>
      </c>
      <c r="H471" s="3">
        <v>0</v>
      </c>
      <c r="I471" s="3">
        <f t="shared" si="59"/>
        <v>19</v>
      </c>
      <c r="J471" s="3" t="str">
        <f t="shared" si="60"/>
        <v>10</v>
      </c>
      <c r="K471" s="3">
        <f t="shared" si="61"/>
        <v>9</v>
      </c>
      <c r="L471" s="3" t="str">
        <f t="shared" si="58"/>
        <v>EXCELENTE</v>
      </c>
    </row>
    <row r="472" spans="1:12" hidden="1" x14ac:dyDescent="0.25">
      <c r="A472" s="5">
        <v>46146</v>
      </c>
      <c r="B472" s="6" t="s">
        <v>50</v>
      </c>
      <c r="C472" s="3" t="s">
        <v>17</v>
      </c>
      <c r="D472" s="3">
        <v>14</v>
      </c>
      <c r="E472" s="3">
        <v>14</v>
      </c>
      <c r="G472" s="3">
        <v>1</v>
      </c>
      <c r="H472" s="3">
        <v>0</v>
      </c>
      <c r="I472" s="3">
        <f t="shared" si="59"/>
        <v>15</v>
      </c>
      <c r="J472" s="3" t="str">
        <f t="shared" si="60"/>
        <v>10</v>
      </c>
      <c r="K472" s="3">
        <f t="shared" si="61"/>
        <v>5</v>
      </c>
      <c r="L472" s="3" t="str">
        <f t="shared" si="58"/>
        <v>BOM</v>
      </c>
    </row>
    <row r="473" spans="1:12" hidden="1" x14ac:dyDescent="0.25">
      <c r="A473" s="5">
        <v>46147</v>
      </c>
      <c r="B473" s="6" t="s">
        <v>50</v>
      </c>
      <c r="C473" s="3" t="s">
        <v>17</v>
      </c>
      <c r="D473" s="3">
        <v>22</v>
      </c>
      <c r="E473" s="3">
        <v>18</v>
      </c>
      <c r="G473" s="3">
        <v>1</v>
      </c>
      <c r="H473" s="3">
        <v>0</v>
      </c>
      <c r="I473" s="3">
        <f t="shared" si="59"/>
        <v>19</v>
      </c>
      <c r="J473" s="3" t="str">
        <f t="shared" si="60"/>
        <v>10</v>
      </c>
      <c r="K473" s="3">
        <f t="shared" si="61"/>
        <v>9</v>
      </c>
      <c r="L473" s="3" t="str">
        <f t="shared" si="58"/>
        <v>EXCELENTE</v>
      </c>
    </row>
    <row r="474" spans="1:12" hidden="1" x14ac:dyDescent="0.25">
      <c r="A474" s="5">
        <v>46148</v>
      </c>
      <c r="B474" s="6" t="s">
        <v>50</v>
      </c>
      <c r="C474" s="3" t="s">
        <v>17</v>
      </c>
      <c r="D474" s="3">
        <v>17</v>
      </c>
      <c r="E474" s="3">
        <v>15</v>
      </c>
      <c r="G474" s="3">
        <v>0</v>
      </c>
      <c r="I474" s="3">
        <f t="shared" si="59"/>
        <v>15</v>
      </c>
      <c r="J474" s="3" t="str">
        <f t="shared" si="60"/>
        <v>10</v>
      </c>
      <c r="K474" s="3">
        <f t="shared" si="61"/>
        <v>5</v>
      </c>
      <c r="L474" s="3" t="str">
        <f t="shared" si="58"/>
        <v>BOM</v>
      </c>
    </row>
    <row r="475" spans="1:12" hidden="1" x14ac:dyDescent="0.25">
      <c r="A475" s="5">
        <v>46149</v>
      </c>
      <c r="B475" s="6" t="s">
        <v>50</v>
      </c>
      <c r="C475" s="3" t="s">
        <v>17</v>
      </c>
      <c r="D475" s="3">
        <v>15</v>
      </c>
      <c r="E475" s="3">
        <v>15</v>
      </c>
      <c r="G475" s="3">
        <v>0</v>
      </c>
      <c r="H475" s="3">
        <v>0</v>
      </c>
      <c r="I475" s="3">
        <f t="shared" si="59"/>
        <v>15</v>
      </c>
      <c r="J475" s="3" t="str">
        <f t="shared" si="60"/>
        <v>10</v>
      </c>
      <c r="K475" s="3">
        <f t="shared" si="61"/>
        <v>5</v>
      </c>
      <c r="L475" s="3" t="str">
        <f t="shared" si="58"/>
        <v>BOM</v>
      </c>
    </row>
    <row r="476" spans="1:12" hidden="1" x14ac:dyDescent="0.25">
      <c r="A476" s="5">
        <v>46150</v>
      </c>
      <c r="B476" s="6" t="s">
        <v>50</v>
      </c>
      <c r="C476" s="3" t="s">
        <v>17</v>
      </c>
      <c r="D476" s="3">
        <v>17</v>
      </c>
      <c r="E476" s="3">
        <v>17</v>
      </c>
      <c r="G476" s="3">
        <v>0</v>
      </c>
      <c r="H476" s="3">
        <v>0</v>
      </c>
      <c r="I476" s="3">
        <f t="shared" si="59"/>
        <v>17</v>
      </c>
      <c r="J476" s="3" t="str">
        <f t="shared" si="60"/>
        <v>10</v>
      </c>
      <c r="K476" s="3">
        <f t="shared" si="61"/>
        <v>7</v>
      </c>
      <c r="L476" s="3" t="str">
        <f t="shared" si="58"/>
        <v>EXCELENTE</v>
      </c>
    </row>
    <row r="477" spans="1:12" hidden="1" x14ac:dyDescent="0.25">
      <c r="A477" s="5">
        <v>46153</v>
      </c>
      <c r="B477" s="6" t="s">
        <v>50</v>
      </c>
      <c r="C477" s="3" t="s">
        <v>17</v>
      </c>
      <c r="D477" s="3">
        <v>16</v>
      </c>
      <c r="E477" s="3">
        <v>16</v>
      </c>
      <c r="I477" s="3">
        <f t="shared" si="59"/>
        <v>16</v>
      </c>
      <c r="J477" s="3" t="str">
        <f t="shared" si="60"/>
        <v>10</v>
      </c>
      <c r="K477" s="3">
        <f t="shared" si="61"/>
        <v>6</v>
      </c>
      <c r="L477" s="3" t="str">
        <f t="shared" si="58"/>
        <v>EXCELENTE</v>
      </c>
    </row>
    <row r="478" spans="1:12" hidden="1" x14ac:dyDescent="0.25">
      <c r="A478" s="5">
        <v>46154</v>
      </c>
      <c r="B478" s="6" t="s">
        <v>50</v>
      </c>
      <c r="C478" s="3" t="s">
        <v>17</v>
      </c>
      <c r="D478" s="3">
        <v>20</v>
      </c>
      <c r="E478" s="3">
        <v>17</v>
      </c>
      <c r="G478" s="3">
        <v>0</v>
      </c>
      <c r="H478" s="3">
        <v>0</v>
      </c>
      <c r="I478" s="3">
        <f t="shared" si="59"/>
        <v>17</v>
      </c>
      <c r="J478" s="3" t="str">
        <f t="shared" si="60"/>
        <v>10</v>
      </c>
      <c r="K478" s="3">
        <f t="shared" si="61"/>
        <v>7</v>
      </c>
      <c r="L478" s="3" t="str">
        <f t="shared" si="58"/>
        <v>EXCELENTE</v>
      </c>
    </row>
    <row r="479" spans="1:12" hidden="1" x14ac:dyDescent="0.25">
      <c r="A479" s="5">
        <v>46155</v>
      </c>
      <c r="B479" s="6" t="s">
        <v>50</v>
      </c>
      <c r="C479" s="3" t="s">
        <v>17</v>
      </c>
      <c r="D479" s="3">
        <v>19</v>
      </c>
      <c r="E479" s="3">
        <v>18</v>
      </c>
      <c r="I479" s="3">
        <f t="shared" si="59"/>
        <v>18</v>
      </c>
      <c r="J479" s="3" t="str">
        <f t="shared" si="60"/>
        <v>10</v>
      </c>
      <c r="K479" s="3">
        <f t="shared" si="61"/>
        <v>8</v>
      </c>
      <c r="L479" s="3" t="str">
        <f t="shared" si="58"/>
        <v>EXCELENTE</v>
      </c>
    </row>
    <row r="480" spans="1:12" hidden="1" x14ac:dyDescent="0.25">
      <c r="A480" s="5">
        <v>46156</v>
      </c>
      <c r="B480" s="6" t="s">
        <v>50</v>
      </c>
      <c r="C480" s="3" t="s">
        <v>17</v>
      </c>
      <c r="D480" s="3">
        <v>19</v>
      </c>
      <c r="E480" s="3">
        <v>18</v>
      </c>
      <c r="G480" s="3">
        <v>0</v>
      </c>
      <c r="H480" s="3">
        <v>0</v>
      </c>
      <c r="I480" s="3">
        <f t="shared" si="59"/>
        <v>18</v>
      </c>
      <c r="J480" s="3" t="str">
        <f t="shared" si="60"/>
        <v>10</v>
      </c>
      <c r="K480" s="3">
        <f t="shared" si="61"/>
        <v>8</v>
      </c>
      <c r="L480" s="3" t="str">
        <f t="shared" si="58"/>
        <v>EXCELENTE</v>
      </c>
    </row>
    <row r="481" spans="1:12" hidden="1" x14ac:dyDescent="0.25">
      <c r="A481" s="5">
        <v>46157</v>
      </c>
      <c r="B481" s="6" t="s">
        <v>50</v>
      </c>
      <c r="C481" s="3" t="s">
        <v>17</v>
      </c>
      <c r="D481" s="3">
        <v>17</v>
      </c>
      <c r="E481" s="3">
        <v>15</v>
      </c>
      <c r="G481" s="3">
        <v>0</v>
      </c>
      <c r="H481" s="3">
        <v>0</v>
      </c>
      <c r="I481" s="3">
        <f t="shared" si="59"/>
        <v>15</v>
      </c>
      <c r="J481" s="3" t="str">
        <f t="shared" si="60"/>
        <v>10</v>
      </c>
      <c r="K481" s="3">
        <f t="shared" si="61"/>
        <v>5</v>
      </c>
      <c r="L481" s="3" t="str">
        <f t="shared" si="58"/>
        <v>BOM</v>
      </c>
    </row>
    <row r="482" spans="1:12" hidden="1" x14ac:dyDescent="0.25">
      <c r="A482" s="5">
        <v>46160</v>
      </c>
      <c r="B482" s="6" t="s">
        <v>50</v>
      </c>
      <c r="C482" s="3" t="s">
        <v>17</v>
      </c>
      <c r="D482" s="3">
        <v>14</v>
      </c>
      <c r="E482" s="3">
        <v>13</v>
      </c>
      <c r="G482" s="3">
        <v>0</v>
      </c>
      <c r="H482" s="3">
        <v>0</v>
      </c>
      <c r="I482" s="3">
        <f t="shared" si="59"/>
        <v>13</v>
      </c>
      <c r="J482" s="3" t="str">
        <f t="shared" si="60"/>
        <v>10</v>
      </c>
      <c r="K482" s="3">
        <f t="shared" si="61"/>
        <v>3</v>
      </c>
      <c r="L482" s="3" t="str">
        <f t="shared" si="58"/>
        <v>BOM</v>
      </c>
    </row>
    <row r="483" spans="1:12" x14ac:dyDescent="0.25">
      <c r="A483" s="7">
        <v>46161</v>
      </c>
      <c r="B483" s="8" t="s">
        <v>51</v>
      </c>
      <c r="C483" s="9" t="s">
        <v>14</v>
      </c>
      <c r="D483" s="3">
        <v>35</v>
      </c>
      <c r="E483" s="3">
        <v>31</v>
      </c>
      <c r="G483" s="3">
        <v>2</v>
      </c>
      <c r="H483" s="3">
        <v>0</v>
      </c>
      <c r="I483" s="3">
        <f t="shared" si="59"/>
        <v>33</v>
      </c>
      <c r="J483" s="3" t="str">
        <f t="shared" si="60"/>
        <v>23</v>
      </c>
      <c r="K483" s="3">
        <f t="shared" si="61"/>
        <v>10</v>
      </c>
      <c r="L483" s="3" t="str">
        <f t="shared" si="58"/>
        <v>EXCELENTE</v>
      </c>
    </row>
    <row r="484" spans="1:12" hidden="1" x14ac:dyDescent="0.25">
      <c r="A484" s="5">
        <v>46146</v>
      </c>
      <c r="B484" s="6" t="s">
        <v>51</v>
      </c>
      <c r="C484" s="3" t="s">
        <v>14</v>
      </c>
      <c r="D484" s="3">
        <v>27</v>
      </c>
      <c r="E484" s="3">
        <v>23</v>
      </c>
      <c r="G484" s="3">
        <v>4</v>
      </c>
      <c r="I484" s="3">
        <f t="shared" si="59"/>
        <v>27</v>
      </c>
      <c r="J484" s="3" t="str">
        <f t="shared" si="60"/>
        <v>23</v>
      </c>
      <c r="K484" s="3">
        <f t="shared" si="61"/>
        <v>4</v>
      </c>
      <c r="L484" s="3" t="str">
        <f t="shared" si="58"/>
        <v>BOM</v>
      </c>
    </row>
    <row r="485" spans="1:12" hidden="1" x14ac:dyDescent="0.25">
      <c r="A485" s="5">
        <v>46147</v>
      </c>
      <c r="B485" s="6" t="s">
        <v>51</v>
      </c>
      <c r="C485" s="3" t="s">
        <v>14</v>
      </c>
      <c r="D485" s="3">
        <v>31</v>
      </c>
      <c r="E485" s="3">
        <v>26</v>
      </c>
      <c r="G485" s="3">
        <v>10</v>
      </c>
      <c r="I485" s="3">
        <f t="shared" si="59"/>
        <v>36</v>
      </c>
      <c r="J485" s="3" t="str">
        <f t="shared" si="60"/>
        <v>23</v>
      </c>
      <c r="K485" s="3">
        <f t="shared" si="61"/>
        <v>13</v>
      </c>
      <c r="L485" s="3" t="str">
        <f t="shared" si="58"/>
        <v>EXCELENTE</v>
      </c>
    </row>
    <row r="486" spans="1:12" hidden="1" x14ac:dyDescent="0.25">
      <c r="A486" s="5">
        <v>46148</v>
      </c>
      <c r="B486" s="6" t="s">
        <v>51</v>
      </c>
      <c r="C486" s="3" t="s">
        <v>14</v>
      </c>
      <c r="D486" s="3">
        <v>34</v>
      </c>
      <c r="E486" s="3">
        <v>30</v>
      </c>
      <c r="G486" s="3">
        <v>5</v>
      </c>
      <c r="I486" s="3">
        <f t="shared" si="59"/>
        <v>35</v>
      </c>
      <c r="J486" s="3" t="str">
        <f t="shared" si="60"/>
        <v>23</v>
      </c>
      <c r="K486" s="3">
        <f t="shared" si="61"/>
        <v>12</v>
      </c>
      <c r="L486" s="3" t="str">
        <f t="shared" si="58"/>
        <v>EXCELENTE</v>
      </c>
    </row>
    <row r="487" spans="1:12" hidden="1" x14ac:dyDescent="0.25">
      <c r="A487" s="5">
        <v>46149</v>
      </c>
      <c r="B487" s="6" t="s">
        <v>51</v>
      </c>
      <c r="C487" s="3" t="s">
        <v>14</v>
      </c>
      <c r="D487" s="3">
        <v>31</v>
      </c>
      <c r="E487" s="3">
        <v>26</v>
      </c>
      <c r="G487" s="3">
        <v>14</v>
      </c>
      <c r="I487" s="3">
        <f t="shared" si="59"/>
        <v>40</v>
      </c>
      <c r="J487" s="3" t="str">
        <f t="shared" si="60"/>
        <v>23</v>
      </c>
      <c r="K487" s="3">
        <f t="shared" si="61"/>
        <v>17</v>
      </c>
      <c r="L487" s="3" t="str">
        <f t="shared" si="58"/>
        <v>EXCELENTE</v>
      </c>
    </row>
    <row r="488" spans="1:12" hidden="1" x14ac:dyDescent="0.25">
      <c r="A488" s="5">
        <v>46150</v>
      </c>
      <c r="B488" s="6" t="s">
        <v>51</v>
      </c>
      <c r="C488" s="3" t="s">
        <v>14</v>
      </c>
      <c r="D488" s="3">
        <v>39</v>
      </c>
      <c r="E488" s="3">
        <v>34</v>
      </c>
      <c r="G488" s="3">
        <v>2</v>
      </c>
      <c r="H488" s="3">
        <v>0</v>
      </c>
      <c r="I488" s="3">
        <f t="shared" si="59"/>
        <v>36</v>
      </c>
      <c r="J488" s="3" t="str">
        <f t="shared" si="60"/>
        <v>23</v>
      </c>
      <c r="K488" s="3">
        <f t="shared" si="61"/>
        <v>13</v>
      </c>
      <c r="L488" s="3" t="str">
        <f t="shared" si="58"/>
        <v>EXCELENTE</v>
      </c>
    </row>
    <row r="489" spans="1:12" hidden="1" x14ac:dyDescent="0.25">
      <c r="A489" s="5">
        <v>46153</v>
      </c>
      <c r="B489" s="6" t="s">
        <v>51</v>
      </c>
      <c r="C489" s="3" t="s">
        <v>14</v>
      </c>
      <c r="D489" s="3">
        <v>29</v>
      </c>
      <c r="E489" s="3">
        <v>25</v>
      </c>
      <c r="G489" s="3">
        <v>6</v>
      </c>
      <c r="I489" s="3">
        <f t="shared" si="59"/>
        <v>31</v>
      </c>
      <c r="J489" s="3" t="str">
        <f t="shared" si="60"/>
        <v>23</v>
      </c>
      <c r="K489" s="3">
        <f t="shared" si="61"/>
        <v>8</v>
      </c>
      <c r="L489" s="3" t="str">
        <f t="shared" si="58"/>
        <v>EXCELENTE</v>
      </c>
    </row>
    <row r="490" spans="1:12" hidden="1" x14ac:dyDescent="0.25">
      <c r="A490" s="5">
        <v>46154</v>
      </c>
      <c r="B490" s="6" t="s">
        <v>51</v>
      </c>
      <c r="C490" s="3" t="s">
        <v>14</v>
      </c>
      <c r="D490" s="3">
        <v>27</v>
      </c>
      <c r="E490" s="3">
        <v>26</v>
      </c>
      <c r="G490" s="3">
        <v>1</v>
      </c>
      <c r="I490" s="3">
        <f t="shared" si="59"/>
        <v>27</v>
      </c>
      <c r="J490" s="3" t="str">
        <f t="shared" si="60"/>
        <v>23</v>
      </c>
      <c r="K490" s="3">
        <f t="shared" si="61"/>
        <v>4</v>
      </c>
      <c r="L490" s="3" t="str">
        <f t="shared" si="58"/>
        <v>BOM</v>
      </c>
    </row>
    <row r="491" spans="1:12" hidden="1" x14ac:dyDescent="0.25">
      <c r="A491" s="5">
        <v>46155</v>
      </c>
      <c r="B491" s="6" t="s">
        <v>51</v>
      </c>
      <c r="C491" s="3" t="s">
        <v>14</v>
      </c>
      <c r="D491" s="3">
        <v>33</v>
      </c>
      <c r="E491" s="3">
        <v>31</v>
      </c>
      <c r="G491" s="3">
        <v>7</v>
      </c>
      <c r="I491" s="3">
        <f t="shared" si="59"/>
        <v>38</v>
      </c>
      <c r="J491" s="3" t="str">
        <f t="shared" si="60"/>
        <v>23</v>
      </c>
      <c r="K491" s="3">
        <f t="shared" si="61"/>
        <v>15</v>
      </c>
      <c r="L491" s="3" t="str">
        <f t="shared" si="58"/>
        <v>EXCELENTE</v>
      </c>
    </row>
    <row r="492" spans="1:12" hidden="1" x14ac:dyDescent="0.25">
      <c r="A492" s="5">
        <v>46156</v>
      </c>
      <c r="B492" s="6" t="s">
        <v>51</v>
      </c>
      <c r="C492" s="3" t="s">
        <v>14</v>
      </c>
      <c r="D492" s="3">
        <v>26</v>
      </c>
      <c r="E492" s="3">
        <v>25</v>
      </c>
      <c r="G492" s="3">
        <v>1</v>
      </c>
      <c r="H492" s="3">
        <v>0</v>
      </c>
      <c r="I492" s="3">
        <f t="shared" ref="I492:I511" si="62">E492+G492+H492</f>
        <v>26</v>
      </c>
      <c r="J492" s="3" t="str">
        <f t="shared" ref="J492:J511" si="63">IF(C492="Técnico III","35",IF(C492="Técnico II","28",IF(C492="Técnico I","23",IF(C492="JR","20",IF(C492="Estágio","10",)))))</f>
        <v>23</v>
      </c>
      <c r="K492" s="3">
        <f t="shared" ref="K492:K511" si="64">I492-J492</f>
        <v>3</v>
      </c>
      <c r="L492" s="3" t="str">
        <f t="shared" si="58"/>
        <v>BOM</v>
      </c>
    </row>
    <row r="493" spans="1:12" hidden="1" x14ac:dyDescent="0.25">
      <c r="A493" s="5">
        <v>46157</v>
      </c>
      <c r="B493" s="6" t="s">
        <v>51</v>
      </c>
      <c r="C493" s="3" t="s">
        <v>14</v>
      </c>
      <c r="D493" s="3">
        <v>28</v>
      </c>
      <c r="E493" s="3">
        <v>25</v>
      </c>
      <c r="G493" s="3">
        <v>5</v>
      </c>
      <c r="H493" s="3">
        <v>0</v>
      </c>
      <c r="I493" s="3">
        <f t="shared" si="62"/>
        <v>30</v>
      </c>
      <c r="J493" s="3" t="str">
        <f t="shared" si="63"/>
        <v>23</v>
      </c>
      <c r="K493" s="3">
        <f t="shared" si="64"/>
        <v>7</v>
      </c>
      <c r="L493" s="3" t="str">
        <f t="shared" si="58"/>
        <v>EXCELENTE</v>
      </c>
    </row>
    <row r="494" spans="1:12" hidden="1" x14ac:dyDescent="0.25">
      <c r="A494" s="5">
        <v>46160</v>
      </c>
      <c r="B494" s="6" t="s">
        <v>51</v>
      </c>
      <c r="C494" s="3" t="s">
        <v>14</v>
      </c>
      <c r="D494" s="3">
        <v>28</v>
      </c>
      <c r="E494" s="3">
        <v>25</v>
      </c>
      <c r="G494" s="3">
        <v>1</v>
      </c>
      <c r="H494" s="3">
        <v>0</v>
      </c>
      <c r="I494" s="3">
        <f t="shared" si="62"/>
        <v>26</v>
      </c>
      <c r="J494" s="3" t="str">
        <f t="shared" si="63"/>
        <v>23</v>
      </c>
      <c r="K494" s="3">
        <f t="shared" si="64"/>
        <v>3</v>
      </c>
      <c r="L494" s="3" t="str">
        <f t="shared" si="58"/>
        <v>BOM</v>
      </c>
    </row>
    <row r="495" spans="1:12" x14ac:dyDescent="0.25">
      <c r="A495" s="7">
        <v>46161</v>
      </c>
      <c r="B495" s="8" t="s">
        <v>52</v>
      </c>
      <c r="C495" s="9" t="s">
        <v>12</v>
      </c>
      <c r="D495" s="3">
        <v>39</v>
      </c>
      <c r="E495" s="3">
        <v>35</v>
      </c>
      <c r="G495" s="3">
        <v>3</v>
      </c>
      <c r="H495" s="3">
        <v>0</v>
      </c>
      <c r="I495" s="3">
        <f t="shared" si="62"/>
        <v>38</v>
      </c>
      <c r="J495" s="3" t="str">
        <f t="shared" si="63"/>
        <v>35</v>
      </c>
      <c r="K495" s="3">
        <f t="shared" si="64"/>
        <v>3</v>
      </c>
      <c r="L495" s="3" t="str">
        <f t="shared" si="58"/>
        <v>BOM</v>
      </c>
    </row>
    <row r="496" spans="1:12" hidden="1" x14ac:dyDescent="0.25">
      <c r="A496" s="5">
        <v>46146</v>
      </c>
      <c r="B496" s="6" t="s">
        <v>52</v>
      </c>
      <c r="C496" s="3" t="s">
        <v>12</v>
      </c>
      <c r="D496" s="3">
        <v>50</v>
      </c>
      <c r="E496" s="3">
        <v>46</v>
      </c>
      <c r="G496" s="3">
        <v>1</v>
      </c>
      <c r="I496" s="3">
        <f t="shared" si="62"/>
        <v>47</v>
      </c>
      <c r="J496" s="3" t="str">
        <f t="shared" si="63"/>
        <v>35</v>
      </c>
      <c r="K496" s="3">
        <f t="shared" si="64"/>
        <v>12</v>
      </c>
      <c r="L496" s="3" t="str">
        <f t="shared" si="58"/>
        <v>EXCELENTE</v>
      </c>
    </row>
    <row r="497" spans="1:12" hidden="1" x14ac:dyDescent="0.25">
      <c r="A497" s="5">
        <v>46147</v>
      </c>
      <c r="B497" s="6" t="s">
        <v>52</v>
      </c>
      <c r="C497" s="3" t="s">
        <v>12</v>
      </c>
      <c r="D497" s="3">
        <v>49</v>
      </c>
      <c r="E497" s="3">
        <v>45</v>
      </c>
      <c r="G497" s="3">
        <v>9</v>
      </c>
      <c r="I497" s="3">
        <f t="shared" si="62"/>
        <v>54</v>
      </c>
      <c r="J497" s="3" t="str">
        <f t="shared" si="63"/>
        <v>35</v>
      </c>
      <c r="K497" s="3">
        <f t="shared" si="64"/>
        <v>19</v>
      </c>
      <c r="L497" s="3" t="str">
        <f t="shared" si="58"/>
        <v>EXCELENTE</v>
      </c>
    </row>
    <row r="498" spans="1:12" hidden="1" x14ac:dyDescent="0.25">
      <c r="A498" s="5">
        <v>46148</v>
      </c>
      <c r="B498" s="6" t="s">
        <v>52</v>
      </c>
      <c r="C498" s="3" t="s">
        <v>12</v>
      </c>
      <c r="D498" s="3">
        <v>57</v>
      </c>
      <c r="E498" s="3">
        <v>51</v>
      </c>
      <c r="G498" s="3">
        <v>1</v>
      </c>
      <c r="I498" s="3">
        <f t="shared" si="62"/>
        <v>52</v>
      </c>
      <c r="J498" s="3" t="str">
        <f t="shared" si="63"/>
        <v>35</v>
      </c>
      <c r="K498" s="3">
        <f t="shared" si="64"/>
        <v>17</v>
      </c>
      <c r="L498" s="3" t="str">
        <f t="shared" si="58"/>
        <v>EXCELENTE</v>
      </c>
    </row>
    <row r="499" spans="1:12" hidden="1" x14ac:dyDescent="0.25">
      <c r="A499" s="5">
        <v>46149</v>
      </c>
      <c r="B499" s="6" t="s">
        <v>52</v>
      </c>
      <c r="C499" s="3" t="s">
        <v>12</v>
      </c>
      <c r="D499" s="3">
        <v>35</v>
      </c>
      <c r="E499" s="3">
        <v>30</v>
      </c>
      <c r="G499" s="3">
        <v>8</v>
      </c>
      <c r="I499" s="3">
        <f t="shared" si="62"/>
        <v>38</v>
      </c>
      <c r="J499" s="3" t="str">
        <f t="shared" si="63"/>
        <v>35</v>
      </c>
      <c r="K499" s="3">
        <f t="shared" si="64"/>
        <v>3</v>
      </c>
      <c r="L499" s="3" t="str">
        <f t="shared" si="58"/>
        <v>BOM</v>
      </c>
    </row>
    <row r="500" spans="1:12" hidden="1" x14ac:dyDescent="0.25">
      <c r="A500" s="5">
        <v>46150</v>
      </c>
      <c r="B500" s="6" t="s">
        <v>52</v>
      </c>
      <c r="C500" s="3" t="s">
        <v>12</v>
      </c>
      <c r="D500" s="3">
        <v>44</v>
      </c>
      <c r="E500" s="3">
        <v>38</v>
      </c>
      <c r="G500" s="3">
        <v>0</v>
      </c>
      <c r="H500" s="3">
        <v>0</v>
      </c>
      <c r="I500" s="3">
        <f t="shared" si="62"/>
        <v>38</v>
      </c>
      <c r="J500" s="3" t="str">
        <f t="shared" si="63"/>
        <v>35</v>
      </c>
      <c r="K500" s="3">
        <f t="shared" si="64"/>
        <v>3</v>
      </c>
      <c r="L500" s="3" t="str">
        <f t="shared" si="58"/>
        <v>BOM</v>
      </c>
    </row>
    <row r="501" spans="1:12" hidden="1" x14ac:dyDescent="0.25">
      <c r="A501" s="5">
        <v>46153</v>
      </c>
      <c r="B501" s="6" t="s">
        <v>52</v>
      </c>
      <c r="C501" s="3" t="s">
        <v>12</v>
      </c>
      <c r="D501" s="3">
        <v>23</v>
      </c>
      <c r="E501" s="3">
        <v>21</v>
      </c>
      <c r="G501" s="3">
        <v>2</v>
      </c>
      <c r="I501" s="3">
        <f t="shared" si="62"/>
        <v>23</v>
      </c>
      <c r="J501" s="3" t="str">
        <f t="shared" si="63"/>
        <v>35</v>
      </c>
      <c r="K501" s="3">
        <f t="shared" si="64"/>
        <v>-12</v>
      </c>
      <c r="L501" s="3" t="str">
        <f t="shared" si="58"/>
        <v>CRÍTICO</v>
      </c>
    </row>
    <row r="502" spans="1:12" hidden="1" x14ac:dyDescent="0.25">
      <c r="A502" s="5">
        <v>46154</v>
      </c>
      <c r="B502" s="6" t="s">
        <v>52</v>
      </c>
      <c r="C502" s="3" t="s">
        <v>12</v>
      </c>
      <c r="D502" s="3">
        <v>33</v>
      </c>
      <c r="E502" s="3">
        <v>28</v>
      </c>
      <c r="G502" s="3">
        <v>1</v>
      </c>
      <c r="I502" s="3">
        <f t="shared" si="62"/>
        <v>29</v>
      </c>
      <c r="J502" s="3" t="str">
        <f t="shared" si="63"/>
        <v>35</v>
      </c>
      <c r="K502" s="3">
        <f t="shared" si="64"/>
        <v>-6</v>
      </c>
      <c r="L502" s="3" t="str">
        <f t="shared" si="58"/>
        <v>CRÍTICO</v>
      </c>
    </row>
    <row r="503" spans="1:12" hidden="1" x14ac:dyDescent="0.25">
      <c r="A503" s="5">
        <v>46155</v>
      </c>
      <c r="B503" s="6" t="s">
        <v>52</v>
      </c>
      <c r="C503" s="3" t="s">
        <v>12</v>
      </c>
      <c r="D503" s="3">
        <v>36</v>
      </c>
      <c r="E503" s="3">
        <v>32</v>
      </c>
      <c r="G503" s="3">
        <v>5</v>
      </c>
      <c r="I503" s="3">
        <f t="shared" si="62"/>
        <v>37</v>
      </c>
      <c r="J503" s="3" t="str">
        <f t="shared" si="63"/>
        <v>35</v>
      </c>
      <c r="K503" s="3">
        <f t="shared" si="64"/>
        <v>2</v>
      </c>
      <c r="L503" s="3" t="str">
        <f t="shared" si="58"/>
        <v>BOM</v>
      </c>
    </row>
    <row r="504" spans="1:12" hidden="1" x14ac:dyDescent="0.25">
      <c r="A504" s="5">
        <v>46156</v>
      </c>
      <c r="B504" s="6" t="s">
        <v>52</v>
      </c>
      <c r="C504" s="3" t="s">
        <v>12</v>
      </c>
      <c r="D504" s="3">
        <v>38</v>
      </c>
      <c r="E504" s="3">
        <v>37</v>
      </c>
      <c r="G504" s="3">
        <v>0</v>
      </c>
      <c r="H504" s="3">
        <v>0</v>
      </c>
      <c r="I504" s="3">
        <f t="shared" si="62"/>
        <v>37</v>
      </c>
      <c r="J504" s="3" t="str">
        <f t="shared" si="63"/>
        <v>35</v>
      </c>
      <c r="K504" s="3">
        <f t="shared" si="64"/>
        <v>2</v>
      </c>
      <c r="L504" s="3" t="str">
        <f t="shared" si="58"/>
        <v>BOM</v>
      </c>
    </row>
    <row r="505" spans="1:12" hidden="1" x14ac:dyDescent="0.25">
      <c r="A505" s="5">
        <v>46157</v>
      </c>
      <c r="B505" s="6" t="s">
        <v>52</v>
      </c>
      <c r="C505" s="3" t="s">
        <v>12</v>
      </c>
      <c r="D505" s="3">
        <v>31</v>
      </c>
      <c r="E505" s="3">
        <v>29</v>
      </c>
      <c r="G505" s="3">
        <v>2</v>
      </c>
      <c r="H505" s="3">
        <v>0</v>
      </c>
      <c r="I505" s="3">
        <f t="shared" si="62"/>
        <v>31</v>
      </c>
      <c r="J505" s="3" t="str">
        <f t="shared" si="63"/>
        <v>35</v>
      </c>
      <c r="K505" s="3">
        <f t="shared" si="64"/>
        <v>-4</v>
      </c>
      <c r="L505" s="3" t="str">
        <f t="shared" si="58"/>
        <v>ATENÇÃO</v>
      </c>
    </row>
    <row r="506" spans="1:12" hidden="1" x14ac:dyDescent="0.25">
      <c r="A506" s="5">
        <v>46160</v>
      </c>
      <c r="B506" s="6" t="s">
        <v>52</v>
      </c>
      <c r="C506" s="3" t="s">
        <v>12</v>
      </c>
      <c r="D506" s="3">
        <v>34</v>
      </c>
      <c r="E506" s="3">
        <v>28</v>
      </c>
      <c r="G506" s="3">
        <v>3</v>
      </c>
      <c r="H506" s="3">
        <v>0</v>
      </c>
      <c r="I506" s="3">
        <f t="shared" si="62"/>
        <v>31</v>
      </c>
      <c r="J506" s="3" t="str">
        <f t="shared" si="63"/>
        <v>35</v>
      </c>
      <c r="K506" s="3">
        <f t="shared" si="64"/>
        <v>-4</v>
      </c>
      <c r="L506" s="3" t="str">
        <f t="shared" si="58"/>
        <v>ATENÇÃO</v>
      </c>
    </row>
    <row r="507" spans="1:12" x14ac:dyDescent="0.25">
      <c r="A507" s="7">
        <v>46161</v>
      </c>
      <c r="B507" s="8" t="s">
        <v>53</v>
      </c>
      <c r="C507" s="9" t="s">
        <v>14</v>
      </c>
      <c r="D507" s="3">
        <v>18</v>
      </c>
      <c r="E507" s="3">
        <v>18</v>
      </c>
      <c r="G507" s="3">
        <v>0</v>
      </c>
      <c r="H507" s="3">
        <v>0</v>
      </c>
      <c r="I507" s="3">
        <f t="shared" si="62"/>
        <v>18</v>
      </c>
      <c r="J507" s="3" t="str">
        <f t="shared" si="63"/>
        <v>23</v>
      </c>
      <c r="K507" s="3">
        <f t="shared" si="64"/>
        <v>-5</v>
      </c>
      <c r="L507" s="3" t="str">
        <f t="shared" si="58"/>
        <v>ATENÇÃO</v>
      </c>
    </row>
    <row r="508" spans="1:12" hidden="1" x14ac:dyDescent="0.25">
      <c r="A508" s="5">
        <v>46146</v>
      </c>
      <c r="B508" s="6" t="s">
        <v>53</v>
      </c>
      <c r="C508" s="3" t="s">
        <v>14</v>
      </c>
      <c r="D508" s="3">
        <v>20</v>
      </c>
      <c r="E508" s="3">
        <v>20</v>
      </c>
      <c r="G508" s="3">
        <v>0</v>
      </c>
      <c r="I508" s="3">
        <f t="shared" si="62"/>
        <v>20</v>
      </c>
      <c r="J508" s="3" t="str">
        <f t="shared" si="63"/>
        <v>23</v>
      </c>
      <c r="K508" s="3">
        <f t="shared" si="64"/>
        <v>-3</v>
      </c>
      <c r="L508" s="3" t="str">
        <f t="shared" si="58"/>
        <v>ATENÇÃO</v>
      </c>
    </row>
    <row r="509" spans="1:12" hidden="1" x14ac:dyDescent="0.25">
      <c r="A509" s="5">
        <v>46147</v>
      </c>
      <c r="B509" s="6" t="s">
        <v>53</v>
      </c>
      <c r="C509" s="3" t="s">
        <v>14</v>
      </c>
      <c r="D509" s="3">
        <v>14</v>
      </c>
      <c r="E509" s="3">
        <v>14</v>
      </c>
      <c r="G509" s="3">
        <v>3</v>
      </c>
      <c r="I509" s="3">
        <f t="shared" si="62"/>
        <v>17</v>
      </c>
      <c r="J509" s="3" t="str">
        <f t="shared" si="63"/>
        <v>23</v>
      </c>
      <c r="K509" s="3">
        <f t="shared" si="64"/>
        <v>-6</v>
      </c>
      <c r="L509" s="3" t="str">
        <f t="shared" si="58"/>
        <v>CRÍTICO</v>
      </c>
    </row>
    <row r="510" spans="1:12" hidden="1" x14ac:dyDescent="0.25">
      <c r="A510" s="5">
        <v>46148</v>
      </c>
      <c r="B510" s="6" t="s">
        <v>53</v>
      </c>
      <c r="C510" s="3" t="s">
        <v>14</v>
      </c>
      <c r="D510" s="3">
        <v>19</v>
      </c>
      <c r="E510" s="3">
        <v>18</v>
      </c>
      <c r="G510" s="3">
        <v>1</v>
      </c>
      <c r="I510" s="3">
        <f t="shared" si="62"/>
        <v>19</v>
      </c>
      <c r="J510" s="3" t="str">
        <f t="shared" si="63"/>
        <v>23</v>
      </c>
      <c r="K510" s="3">
        <f t="shared" si="64"/>
        <v>-4</v>
      </c>
      <c r="L510" s="3" t="str">
        <f t="shared" si="58"/>
        <v>ATENÇÃO</v>
      </c>
    </row>
    <row r="511" spans="1:12" hidden="1" x14ac:dyDescent="0.25">
      <c r="A511" s="5">
        <v>46149</v>
      </c>
      <c r="B511" s="6" t="s">
        <v>53</v>
      </c>
      <c r="C511" s="3" t="s">
        <v>14</v>
      </c>
      <c r="D511" s="3">
        <v>14</v>
      </c>
      <c r="E511" s="3">
        <v>14</v>
      </c>
      <c r="G511" s="3">
        <v>6</v>
      </c>
      <c r="I511" s="3">
        <f t="shared" si="62"/>
        <v>20</v>
      </c>
      <c r="J511" s="3" t="str">
        <f t="shared" si="63"/>
        <v>23</v>
      </c>
      <c r="K511" s="3">
        <f t="shared" si="64"/>
        <v>-3</v>
      </c>
      <c r="L511" s="3" t="str">
        <f t="shared" si="58"/>
        <v>ATENÇÃO</v>
      </c>
    </row>
    <row r="512" spans="1:12" hidden="1" x14ac:dyDescent="0.25">
      <c r="A512" s="5">
        <v>46150</v>
      </c>
      <c r="B512" s="6" t="s">
        <v>53</v>
      </c>
      <c r="C512" s="3" t="s">
        <v>14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 t="shared" si="58"/>
        <v>BOM</v>
      </c>
    </row>
    <row r="513" spans="1:12" hidden="1" x14ac:dyDescent="0.25">
      <c r="A513" s="5">
        <v>46153</v>
      </c>
      <c r="B513" s="6" t="s">
        <v>53</v>
      </c>
      <c r="C513" s="3" t="s">
        <v>14</v>
      </c>
      <c r="D513" s="3">
        <v>16</v>
      </c>
      <c r="E513" s="3">
        <v>16</v>
      </c>
      <c r="G513" s="3">
        <v>1</v>
      </c>
      <c r="I513" s="3">
        <f t="shared" ref="I513:I575" si="65">E513+G513+H513</f>
        <v>17</v>
      </c>
      <c r="J513" s="3" t="str">
        <f t="shared" ref="J513:J530" si="66">IF(C513="Técnico III","35",IF(C513="Técnico II","28",IF(C513="Técnico I","23",IF(C513="JR","20",IF(C513="Estágio","10",)))))</f>
        <v>23</v>
      </c>
      <c r="K513" s="3">
        <f t="shared" ref="K513:K575" si="67">I513-J513</f>
        <v>-6</v>
      </c>
      <c r="L513" s="3" t="str">
        <f t="shared" si="58"/>
        <v>CRÍTICO</v>
      </c>
    </row>
    <row r="514" spans="1:12" hidden="1" x14ac:dyDescent="0.25">
      <c r="A514" s="5">
        <v>46154</v>
      </c>
      <c r="B514" s="6" t="s">
        <v>53</v>
      </c>
      <c r="C514" s="3" t="s">
        <v>14</v>
      </c>
      <c r="D514" s="3">
        <v>19</v>
      </c>
      <c r="E514" s="3">
        <v>19</v>
      </c>
      <c r="I514" s="3">
        <f t="shared" si="65"/>
        <v>19</v>
      </c>
      <c r="J514" s="3" t="str">
        <f t="shared" si="66"/>
        <v>23</v>
      </c>
      <c r="K514" s="3">
        <f t="shared" si="67"/>
        <v>-4</v>
      </c>
      <c r="L514" s="3" t="str">
        <f t="shared" ref="L514:L530" si="68">IF(K514&lt;-5,"CRÍTICO",IF(K514&lt;0,"ATENÇÃO",IF(K514&lt;=5,"BOM","EXCELENTE")))</f>
        <v>ATENÇÃO</v>
      </c>
    </row>
    <row r="515" spans="1:12" hidden="1" x14ac:dyDescent="0.25">
      <c r="A515" s="5">
        <v>46155</v>
      </c>
      <c r="B515" s="6" t="s">
        <v>53</v>
      </c>
      <c r="C515" s="3" t="s">
        <v>14</v>
      </c>
      <c r="D515" s="3">
        <v>11</v>
      </c>
      <c r="E515" s="3">
        <v>10</v>
      </c>
      <c r="G515" s="3">
        <v>5</v>
      </c>
      <c r="I515" s="3">
        <f t="shared" si="65"/>
        <v>15</v>
      </c>
      <c r="J515" s="3" t="str">
        <f t="shared" si="66"/>
        <v>23</v>
      </c>
      <c r="K515" s="3">
        <f t="shared" si="67"/>
        <v>-8</v>
      </c>
      <c r="L515" s="3" t="str">
        <f t="shared" si="68"/>
        <v>CRÍTICO</v>
      </c>
    </row>
    <row r="516" spans="1:12" hidden="1" x14ac:dyDescent="0.25">
      <c r="A516" s="5">
        <v>46156</v>
      </c>
      <c r="B516" s="6" t="s">
        <v>53</v>
      </c>
      <c r="C516" s="3" t="s">
        <v>14</v>
      </c>
      <c r="D516" s="3">
        <v>20</v>
      </c>
      <c r="E516" s="3">
        <v>19</v>
      </c>
      <c r="G516" s="3">
        <v>0</v>
      </c>
      <c r="H516" s="3">
        <v>0</v>
      </c>
      <c r="I516" s="3">
        <f t="shared" si="65"/>
        <v>19</v>
      </c>
      <c r="J516" s="3" t="str">
        <f t="shared" si="66"/>
        <v>23</v>
      </c>
      <c r="K516" s="3">
        <f t="shared" si="67"/>
        <v>-4</v>
      </c>
      <c r="L516" s="3" t="str">
        <f t="shared" si="68"/>
        <v>ATENÇÃO</v>
      </c>
    </row>
    <row r="517" spans="1:12" hidden="1" x14ac:dyDescent="0.25">
      <c r="A517" s="5">
        <v>46157</v>
      </c>
      <c r="B517" s="6" t="s">
        <v>53</v>
      </c>
      <c r="C517" s="3" t="s">
        <v>14</v>
      </c>
      <c r="D517" s="3">
        <v>18</v>
      </c>
      <c r="E517" s="3">
        <v>17</v>
      </c>
      <c r="G517" s="3">
        <v>3</v>
      </c>
      <c r="H517" s="3">
        <v>0</v>
      </c>
      <c r="I517" s="3">
        <f t="shared" si="65"/>
        <v>20</v>
      </c>
      <c r="J517" s="3" t="str">
        <f t="shared" si="66"/>
        <v>23</v>
      </c>
      <c r="K517" s="3">
        <f t="shared" si="67"/>
        <v>-3</v>
      </c>
      <c r="L517" s="3" t="str">
        <f t="shared" si="68"/>
        <v>ATENÇÃO</v>
      </c>
    </row>
    <row r="518" spans="1:12" hidden="1" x14ac:dyDescent="0.25">
      <c r="A518" s="5">
        <v>46160</v>
      </c>
      <c r="B518" s="6" t="s">
        <v>53</v>
      </c>
      <c r="C518" s="3" t="s">
        <v>14</v>
      </c>
      <c r="D518" s="3">
        <v>23</v>
      </c>
      <c r="E518" s="3">
        <v>19</v>
      </c>
      <c r="G518" s="3">
        <v>3</v>
      </c>
      <c r="H518" s="3">
        <v>0</v>
      </c>
      <c r="I518" s="3">
        <f t="shared" si="65"/>
        <v>22</v>
      </c>
      <c r="J518" s="3" t="str">
        <f t="shared" si="66"/>
        <v>23</v>
      </c>
      <c r="K518" s="3">
        <f t="shared" si="67"/>
        <v>-1</v>
      </c>
      <c r="L518" s="3" t="str">
        <f t="shared" si="68"/>
        <v>ATENÇÃO</v>
      </c>
    </row>
    <row r="519" spans="1:12" x14ac:dyDescent="0.25">
      <c r="A519" s="7">
        <v>46161</v>
      </c>
      <c r="B519" s="8" t="s">
        <v>54</v>
      </c>
      <c r="C519" s="9" t="s">
        <v>12</v>
      </c>
      <c r="D519" s="3">
        <v>25</v>
      </c>
      <c r="E519" s="3">
        <v>24</v>
      </c>
      <c r="G519" s="3">
        <v>3</v>
      </c>
      <c r="H519" s="3">
        <v>0</v>
      </c>
      <c r="I519" s="3">
        <f t="shared" si="65"/>
        <v>27</v>
      </c>
      <c r="J519" s="3" t="str">
        <f t="shared" si="66"/>
        <v>35</v>
      </c>
      <c r="K519" s="3">
        <f t="shared" si="67"/>
        <v>-8</v>
      </c>
      <c r="L519" s="3" t="str">
        <f t="shared" si="68"/>
        <v>CRÍTICO</v>
      </c>
    </row>
    <row r="520" spans="1:12" hidden="1" x14ac:dyDescent="0.25">
      <c r="A520" s="5">
        <v>46146</v>
      </c>
      <c r="B520" s="6" t="s">
        <v>54</v>
      </c>
      <c r="C520" s="3" t="s">
        <v>12</v>
      </c>
      <c r="D520" s="3">
        <v>26</v>
      </c>
      <c r="E520" s="3">
        <v>25</v>
      </c>
      <c r="G520" s="3">
        <v>4</v>
      </c>
      <c r="H520" s="3">
        <v>0</v>
      </c>
      <c r="I520" s="3">
        <f t="shared" si="65"/>
        <v>29</v>
      </c>
      <c r="J520" s="3" t="str">
        <f t="shared" si="66"/>
        <v>35</v>
      </c>
      <c r="K520" s="3">
        <f t="shared" si="67"/>
        <v>-6</v>
      </c>
      <c r="L520" s="3" t="str">
        <f t="shared" si="68"/>
        <v>CRÍTICO</v>
      </c>
    </row>
    <row r="521" spans="1:12" hidden="1" x14ac:dyDescent="0.25">
      <c r="A521" s="5">
        <v>46147</v>
      </c>
      <c r="B521" s="6" t="s">
        <v>54</v>
      </c>
      <c r="C521" s="3" t="s">
        <v>12</v>
      </c>
      <c r="D521" s="3">
        <v>33</v>
      </c>
      <c r="E521" s="3">
        <v>32</v>
      </c>
      <c r="G521" s="3">
        <v>0</v>
      </c>
      <c r="H521" s="3">
        <v>0</v>
      </c>
      <c r="I521" s="3">
        <f t="shared" si="65"/>
        <v>32</v>
      </c>
      <c r="J521" s="3" t="str">
        <f t="shared" si="66"/>
        <v>35</v>
      </c>
      <c r="K521" s="3">
        <f t="shared" si="67"/>
        <v>-3</v>
      </c>
      <c r="L521" s="3" t="str">
        <f t="shared" si="68"/>
        <v>ATENÇÃO</v>
      </c>
    </row>
    <row r="522" spans="1:12" hidden="1" x14ac:dyDescent="0.25">
      <c r="A522" s="5">
        <v>46148</v>
      </c>
      <c r="B522" s="6" t="s">
        <v>54</v>
      </c>
      <c r="C522" s="3" t="s">
        <v>12</v>
      </c>
      <c r="D522" s="3">
        <v>21</v>
      </c>
      <c r="E522" s="3">
        <v>20</v>
      </c>
      <c r="G522" s="3">
        <v>8</v>
      </c>
      <c r="I522" s="3">
        <f t="shared" si="65"/>
        <v>28</v>
      </c>
      <c r="J522" s="3" t="str">
        <f t="shared" si="66"/>
        <v>35</v>
      </c>
      <c r="K522" s="3">
        <f t="shared" si="67"/>
        <v>-7</v>
      </c>
      <c r="L522" s="3" t="str">
        <f t="shared" si="68"/>
        <v>CRÍTICO</v>
      </c>
    </row>
    <row r="523" spans="1:12" hidden="1" x14ac:dyDescent="0.25">
      <c r="A523" s="5">
        <v>46149</v>
      </c>
      <c r="B523" s="6" t="s">
        <v>54</v>
      </c>
      <c r="C523" s="3" t="s">
        <v>12</v>
      </c>
      <c r="D523" s="3">
        <v>34</v>
      </c>
      <c r="E523" s="3">
        <v>31</v>
      </c>
      <c r="G523" s="3">
        <v>1</v>
      </c>
      <c r="H523" s="3">
        <v>0</v>
      </c>
      <c r="I523" s="3">
        <f t="shared" si="65"/>
        <v>32</v>
      </c>
      <c r="J523" s="3" t="str">
        <f t="shared" si="66"/>
        <v>35</v>
      </c>
      <c r="K523" s="3">
        <f t="shared" si="67"/>
        <v>-3</v>
      </c>
      <c r="L523" s="3" t="str">
        <f t="shared" si="68"/>
        <v>ATENÇÃO</v>
      </c>
    </row>
    <row r="524" spans="1:12" hidden="1" x14ac:dyDescent="0.25">
      <c r="A524" s="5">
        <v>46150</v>
      </c>
      <c r="B524" s="6" t="s">
        <v>54</v>
      </c>
      <c r="C524" s="3" t="s">
        <v>12</v>
      </c>
      <c r="D524" s="3">
        <v>22</v>
      </c>
      <c r="E524" s="3">
        <v>21</v>
      </c>
      <c r="G524" s="3">
        <v>5</v>
      </c>
      <c r="H524" s="3">
        <v>0</v>
      </c>
      <c r="I524" s="3">
        <f t="shared" si="65"/>
        <v>26</v>
      </c>
      <c r="J524" s="3" t="str">
        <f t="shared" si="66"/>
        <v>35</v>
      </c>
      <c r="K524" s="3">
        <f t="shared" si="67"/>
        <v>-9</v>
      </c>
      <c r="L524" s="3" t="str">
        <f t="shared" si="68"/>
        <v>CRÍTICO</v>
      </c>
    </row>
    <row r="525" spans="1:12" hidden="1" x14ac:dyDescent="0.25">
      <c r="A525" s="5">
        <v>46153</v>
      </c>
      <c r="B525" s="6" t="s">
        <v>54</v>
      </c>
      <c r="C525" s="3" t="s">
        <v>12</v>
      </c>
      <c r="D525" s="3">
        <v>25</v>
      </c>
      <c r="E525" s="3">
        <v>21</v>
      </c>
      <c r="I525" s="3">
        <f t="shared" si="65"/>
        <v>21</v>
      </c>
      <c r="J525" s="3" t="str">
        <f t="shared" si="66"/>
        <v>35</v>
      </c>
      <c r="K525" s="3">
        <f t="shared" si="67"/>
        <v>-14</v>
      </c>
      <c r="L525" s="3" t="str">
        <f t="shared" si="68"/>
        <v>CRÍTICO</v>
      </c>
    </row>
    <row r="526" spans="1:12" hidden="1" x14ac:dyDescent="0.25">
      <c r="A526" s="5">
        <v>46154</v>
      </c>
      <c r="B526" s="6" t="s">
        <v>54</v>
      </c>
      <c r="C526" s="3" t="s">
        <v>12</v>
      </c>
      <c r="D526" s="3">
        <v>29</v>
      </c>
      <c r="E526" s="3">
        <v>28</v>
      </c>
      <c r="G526" s="3">
        <v>4</v>
      </c>
      <c r="I526" s="3">
        <f t="shared" si="65"/>
        <v>32</v>
      </c>
      <c r="J526" s="3" t="str">
        <f t="shared" si="66"/>
        <v>35</v>
      </c>
      <c r="K526" s="3">
        <f t="shared" si="67"/>
        <v>-3</v>
      </c>
      <c r="L526" s="3" t="str">
        <f t="shared" si="68"/>
        <v>ATENÇÃO</v>
      </c>
    </row>
    <row r="527" spans="1:12" hidden="1" x14ac:dyDescent="0.25">
      <c r="A527" s="5">
        <v>46155</v>
      </c>
      <c r="B527" s="6" t="s">
        <v>54</v>
      </c>
      <c r="C527" s="3" t="s">
        <v>12</v>
      </c>
      <c r="D527" s="3">
        <v>25</v>
      </c>
      <c r="E527" s="3">
        <v>23</v>
      </c>
      <c r="I527" s="3">
        <f t="shared" si="65"/>
        <v>23</v>
      </c>
      <c r="J527" s="3" t="str">
        <f t="shared" si="66"/>
        <v>35</v>
      </c>
      <c r="K527" s="3">
        <f t="shared" si="67"/>
        <v>-12</v>
      </c>
      <c r="L527" s="3" t="str">
        <f t="shared" si="68"/>
        <v>CRÍTICO</v>
      </c>
    </row>
    <row r="528" spans="1:12" hidden="1" x14ac:dyDescent="0.25">
      <c r="A528" s="5">
        <v>46156</v>
      </c>
      <c r="B528" s="6" t="s">
        <v>54</v>
      </c>
      <c r="C528" s="3" t="s">
        <v>12</v>
      </c>
      <c r="D528" s="3">
        <v>22</v>
      </c>
      <c r="E528" s="3">
        <v>22</v>
      </c>
      <c r="G528" s="3">
        <v>5</v>
      </c>
      <c r="H528" s="3">
        <v>0</v>
      </c>
      <c r="I528" s="3">
        <f t="shared" si="65"/>
        <v>27</v>
      </c>
      <c r="J528" s="3" t="str">
        <f t="shared" si="66"/>
        <v>35</v>
      </c>
      <c r="K528" s="3">
        <f t="shared" si="67"/>
        <v>-8</v>
      </c>
      <c r="L528" s="3" t="str">
        <f t="shared" si="68"/>
        <v>CRÍTICO</v>
      </c>
    </row>
    <row r="529" spans="1:15" hidden="1" x14ac:dyDescent="0.25">
      <c r="A529" s="5">
        <v>46157</v>
      </c>
      <c r="B529" s="6" t="s">
        <v>54</v>
      </c>
      <c r="C529" s="3" t="s">
        <v>12</v>
      </c>
      <c r="D529" s="3">
        <v>20</v>
      </c>
      <c r="E529" s="3">
        <v>20</v>
      </c>
      <c r="G529" s="3">
        <v>1</v>
      </c>
      <c r="H529" s="3">
        <v>0</v>
      </c>
      <c r="I529" s="3">
        <f t="shared" si="65"/>
        <v>21</v>
      </c>
      <c r="J529" s="3" t="str">
        <f t="shared" si="66"/>
        <v>35</v>
      </c>
      <c r="K529" s="3">
        <f t="shared" si="67"/>
        <v>-14</v>
      </c>
      <c r="L529" s="3" t="str">
        <f t="shared" si="68"/>
        <v>CRÍTICO</v>
      </c>
    </row>
    <row r="530" spans="1:15" hidden="1" x14ac:dyDescent="0.25">
      <c r="A530" s="5">
        <v>46160</v>
      </c>
      <c r="B530" s="6" t="s">
        <v>54</v>
      </c>
      <c r="C530" s="3" t="s">
        <v>12</v>
      </c>
      <c r="D530" s="3">
        <v>25</v>
      </c>
      <c r="E530" s="3">
        <v>22</v>
      </c>
      <c r="G530" s="3">
        <v>4</v>
      </c>
      <c r="H530" s="3">
        <v>0</v>
      </c>
      <c r="I530" s="3">
        <f t="shared" si="65"/>
        <v>26</v>
      </c>
      <c r="J530" s="3" t="str">
        <f t="shared" si="66"/>
        <v>35</v>
      </c>
      <c r="K530" s="3">
        <f t="shared" si="67"/>
        <v>-9</v>
      </c>
      <c r="L530" s="3" t="str">
        <f t="shared" si="68"/>
        <v>CRÍTICO</v>
      </c>
    </row>
    <row r="531" spans="1:15" x14ac:dyDescent="0.25">
      <c r="A531" s="7">
        <v>46162</v>
      </c>
      <c r="B531" s="8" t="s">
        <v>10</v>
      </c>
      <c r="C531" s="9" t="s">
        <v>11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65"/>
        <v>31</v>
      </c>
      <c r="J531" s="9" t="str">
        <f t="shared" ref="J531:J575" si="69">IF(C531="Técnico III","35",IF(C531="Técnico II","28",IF(C531="Técnico I","23",IF(C531="JR","20",IF(C531="Estágio","10")))))</f>
        <v>28</v>
      </c>
      <c r="K531" s="3">
        <f t="shared" si="67"/>
        <v>3</v>
      </c>
      <c r="L531" s="3" t="str">
        <f t="shared" ref="L531:L575" si="70">IF(K531&lt;-5,"CRÍTICO",IF(K531&lt;0,"ATENÇÃO",IF(K531&lt;=5,"OPORTUNO","MUITO BOM")))</f>
        <v>OPORTUNO</v>
      </c>
      <c r="M531">
        <v>20</v>
      </c>
      <c r="N531">
        <v>98.7</v>
      </c>
      <c r="O531">
        <v>16.96</v>
      </c>
    </row>
    <row r="532" spans="1:15" x14ac:dyDescent="0.25">
      <c r="A532" s="7">
        <v>46162</v>
      </c>
      <c r="B532" s="8" t="s">
        <v>61</v>
      </c>
      <c r="C532" s="9" t="s">
        <v>12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 t="shared" si="65"/>
        <v>0</v>
      </c>
      <c r="J532" s="9" t="str">
        <f t="shared" si="69"/>
        <v>35</v>
      </c>
      <c r="K532" s="3">
        <f t="shared" si="67"/>
        <v>-35</v>
      </c>
      <c r="L532" s="3" t="str">
        <f t="shared" si="70"/>
        <v>CRÍTICO</v>
      </c>
      <c r="M532">
        <v>0</v>
      </c>
      <c r="N532">
        <v>0</v>
      </c>
      <c r="O532">
        <v>0</v>
      </c>
    </row>
    <row r="533" spans="1:15" x14ac:dyDescent="0.25">
      <c r="A533" s="7">
        <v>46162</v>
      </c>
      <c r="B533" s="8" t="s">
        <v>13</v>
      </c>
      <c r="C533" s="9" t="s">
        <v>14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si="65"/>
        <v>26</v>
      </c>
      <c r="J533" s="9" t="str">
        <f t="shared" si="69"/>
        <v>23</v>
      </c>
      <c r="K533" s="3">
        <f t="shared" si="67"/>
        <v>3</v>
      </c>
      <c r="L533" s="3" t="str">
        <f t="shared" si="70"/>
        <v>OPORTUNO</v>
      </c>
      <c r="M533">
        <v>26</v>
      </c>
      <c r="N533">
        <v>94.59</v>
      </c>
      <c r="O533">
        <v>18.73</v>
      </c>
    </row>
    <row r="534" spans="1:15" x14ac:dyDescent="0.25">
      <c r="A534" s="7">
        <v>46162</v>
      </c>
      <c r="B534" s="8" t="s">
        <v>15</v>
      </c>
      <c r="C534" s="9" t="s">
        <v>11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65"/>
        <v>22</v>
      </c>
      <c r="J534" s="9" t="str">
        <f t="shared" si="69"/>
        <v>28</v>
      </c>
      <c r="K534" s="3">
        <f t="shared" si="67"/>
        <v>-6</v>
      </c>
      <c r="L534" s="3" t="str">
        <f t="shared" si="70"/>
        <v>CRÍTICO</v>
      </c>
      <c r="M534">
        <v>19</v>
      </c>
      <c r="N534">
        <v>97.14</v>
      </c>
      <c r="O534">
        <v>15.38</v>
      </c>
    </row>
    <row r="535" spans="1:15" x14ac:dyDescent="0.25">
      <c r="A535" s="7">
        <v>46162</v>
      </c>
      <c r="B535" s="8" t="s">
        <v>16</v>
      </c>
      <c r="C535" s="9" t="s">
        <v>17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65"/>
        <v>33</v>
      </c>
      <c r="J535" s="9" t="str">
        <f t="shared" si="69"/>
        <v>10</v>
      </c>
      <c r="K535" s="3">
        <f t="shared" si="67"/>
        <v>23</v>
      </c>
      <c r="L535" s="3" t="str">
        <f t="shared" si="70"/>
        <v>MUITO BOM</v>
      </c>
      <c r="M535">
        <v>32</v>
      </c>
      <c r="N535">
        <v>98.91</v>
      </c>
      <c r="O535">
        <v>15.04</v>
      </c>
    </row>
    <row r="536" spans="1:15" x14ac:dyDescent="0.25">
      <c r="A536" s="7">
        <v>46162</v>
      </c>
      <c r="B536" s="8" t="s">
        <v>18</v>
      </c>
      <c r="C536" s="9" t="s">
        <v>11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65"/>
        <v>25</v>
      </c>
      <c r="J536" s="9" t="str">
        <f t="shared" si="69"/>
        <v>28</v>
      </c>
      <c r="K536" s="3">
        <f t="shared" si="67"/>
        <v>-3</v>
      </c>
      <c r="L536" s="3" t="str">
        <f t="shared" si="70"/>
        <v>ATENÇÃO</v>
      </c>
      <c r="M536">
        <v>29</v>
      </c>
      <c r="N536">
        <v>98.97</v>
      </c>
      <c r="O536">
        <v>12.81</v>
      </c>
    </row>
    <row r="537" spans="1:15" x14ac:dyDescent="0.25">
      <c r="A537" s="7">
        <v>46162</v>
      </c>
      <c r="B537" s="8" t="s">
        <v>19</v>
      </c>
      <c r="C537" s="9" t="s">
        <v>14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65"/>
        <v>27</v>
      </c>
      <c r="J537" s="9" t="str">
        <f t="shared" si="69"/>
        <v>23</v>
      </c>
      <c r="K537" s="3">
        <f t="shared" si="67"/>
        <v>4</v>
      </c>
      <c r="L537" s="3" t="str">
        <f t="shared" si="70"/>
        <v>OPORTUNO</v>
      </c>
      <c r="M537">
        <v>25</v>
      </c>
      <c r="N537">
        <v>98.53</v>
      </c>
      <c r="O537">
        <v>14.33</v>
      </c>
    </row>
    <row r="538" spans="1:15" x14ac:dyDescent="0.25">
      <c r="A538" s="7">
        <v>46162</v>
      </c>
      <c r="B538" s="8" t="s">
        <v>20</v>
      </c>
      <c r="C538" s="9" t="s">
        <v>17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65"/>
        <v>10</v>
      </c>
      <c r="J538" s="9" t="str">
        <f t="shared" si="69"/>
        <v>10</v>
      </c>
      <c r="K538" s="3">
        <f t="shared" si="67"/>
        <v>0</v>
      </c>
      <c r="L538" s="3" t="str">
        <f t="shared" si="70"/>
        <v>OPORTUNO</v>
      </c>
      <c r="M538">
        <v>8</v>
      </c>
      <c r="N538">
        <v>96</v>
      </c>
      <c r="O538">
        <v>18.18</v>
      </c>
    </row>
    <row r="539" spans="1:15" x14ac:dyDescent="0.25">
      <c r="A539" s="7">
        <v>46162</v>
      </c>
      <c r="B539" s="8" t="s">
        <v>21</v>
      </c>
      <c r="C539" s="9" t="s">
        <v>14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65"/>
        <v>24</v>
      </c>
      <c r="J539" s="9" t="str">
        <f t="shared" si="69"/>
        <v>23</v>
      </c>
      <c r="K539" s="3">
        <f t="shared" si="67"/>
        <v>1</v>
      </c>
      <c r="L539" s="3" t="str">
        <f t="shared" si="70"/>
        <v>OPORTUNO</v>
      </c>
      <c r="M539">
        <v>22</v>
      </c>
      <c r="N539">
        <v>96.25</v>
      </c>
      <c r="O539">
        <v>16.45</v>
      </c>
    </row>
    <row r="540" spans="1:15" x14ac:dyDescent="0.25">
      <c r="A540" s="7">
        <v>46162</v>
      </c>
      <c r="B540" s="8" t="s">
        <v>22</v>
      </c>
      <c r="C540" s="9" t="s">
        <v>12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65"/>
        <v>26</v>
      </c>
      <c r="J540" s="9" t="str">
        <f t="shared" si="69"/>
        <v>35</v>
      </c>
      <c r="K540" s="3">
        <f t="shared" si="67"/>
        <v>-9</v>
      </c>
      <c r="L540" s="3" t="str">
        <f t="shared" si="70"/>
        <v>CRÍTICO</v>
      </c>
      <c r="M540">
        <v>21</v>
      </c>
      <c r="N540">
        <v>92.24</v>
      </c>
      <c r="O540">
        <v>18.989999999999998</v>
      </c>
    </row>
    <row r="541" spans="1:15" x14ac:dyDescent="0.25">
      <c r="A541" s="7">
        <v>46162</v>
      </c>
      <c r="B541" s="8" t="s">
        <v>23</v>
      </c>
      <c r="C541" s="9" t="s">
        <v>11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 t="shared" si="65"/>
        <v>0</v>
      </c>
      <c r="J541" s="9" t="str">
        <f t="shared" si="69"/>
        <v>28</v>
      </c>
      <c r="K541" s="3">
        <f t="shared" si="67"/>
        <v>-28</v>
      </c>
      <c r="L541" s="3" t="str">
        <f t="shared" si="70"/>
        <v>CRÍTICO</v>
      </c>
      <c r="M541">
        <v>0</v>
      </c>
      <c r="N541">
        <v>0</v>
      </c>
      <c r="O541">
        <v>0</v>
      </c>
    </row>
    <row r="542" spans="1:15" x14ac:dyDescent="0.25">
      <c r="A542" s="7">
        <v>46162</v>
      </c>
      <c r="B542" s="8" t="s">
        <v>24</v>
      </c>
      <c r="C542" s="9" t="s">
        <v>14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 t="shared" si="65"/>
        <v>16</v>
      </c>
      <c r="J542" s="9" t="str">
        <f t="shared" si="69"/>
        <v>23</v>
      </c>
      <c r="K542" s="3">
        <f t="shared" si="67"/>
        <v>-7</v>
      </c>
      <c r="L542" s="3" t="str">
        <f t="shared" si="70"/>
        <v>CRÍTICO</v>
      </c>
      <c r="M542">
        <v>13</v>
      </c>
      <c r="N542">
        <v>100</v>
      </c>
      <c r="O542">
        <v>18.059999999999999</v>
      </c>
    </row>
    <row r="543" spans="1:15" x14ac:dyDescent="0.25">
      <c r="A543" s="7">
        <v>46162</v>
      </c>
      <c r="B543" s="8" t="s">
        <v>25</v>
      </c>
      <c r="C543" s="9" t="s">
        <v>11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 t="shared" si="65"/>
        <v>0</v>
      </c>
      <c r="J543" s="9" t="str">
        <f t="shared" si="69"/>
        <v>28</v>
      </c>
      <c r="K543" s="3">
        <f t="shared" si="67"/>
        <v>-28</v>
      </c>
      <c r="L543" s="3" t="str">
        <f t="shared" si="70"/>
        <v>CRÍTICO</v>
      </c>
      <c r="M543">
        <v>0</v>
      </c>
      <c r="N543">
        <v>98.89</v>
      </c>
      <c r="O543">
        <v>18.68</v>
      </c>
    </row>
    <row r="544" spans="1:15" x14ac:dyDescent="0.25">
      <c r="A544" s="7">
        <v>46162</v>
      </c>
      <c r="B544" s="8" t="s">
        <v>26</v>
      </c>
      <c r="C544" s="9" t="s">
        <v>17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 t="shared" si="65"/>
        <v>4</v>
      </c>
      <c r="J544" s="9" t="str">
        <f t="shared" si="69"/>
        <v>10</v>
      </c>
      <c r="K544" s="3">
        <f t="shared" si="67"/>
        <v>-6</v>
      </c>
      <c r="L544" s="3" t="str">
        <f t="shared" si="70"/>
        <v>CRÍTICO</v>
      </c>
      <c r="M544">
        <v>0</v>
      </c>
      <c r="N544">
        <v>100</v>
      </c>
      <c r="O544">
        <v>42.11</v>
      </c>
    </row>
    <row r="545" spans="1:15" x14ac:dyDescent="0.25">
      <c r="A545" s="7">
        <v>46162</v>
      </c>
      <c r="B545" s="8" t="s">
        <v>27</v>
      </c>
      <c r="C545" s="9" t="s">
        <v>11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 t="shared" si="65"/>
        <v>30</v>
      </c>
      <c r="J545" s="9" t="str">
        <f t="shared" si="69"/>
        <v>28</v>
      </c>
      <c r="K545" s="3">
        <f t="shared" si="67"/>
        <v>2</v>
      </c>
      <c r="L545" s="3" t="str">
        <f t="shared" si="70"/>
        <v>OPORTUNO</v>
      </c>
      <c r="M545">
        <v>28</v>
      </c>
      <c r="N545">
        <v>100</v>
      </c>
      <c r="O545">
        <v>13.58</v>
      </c>
    </row>
    <row r="546" spans="1:15" x14ac:dyDescent="0.25">
      <c r="A546" s="7">
        <v>46162</v>
      </c>
      <c r="B546" s="8" t="s">
        <v>62</v>
      </c>
      <c r="C546" s="9" t="s">
        <v>11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 t="shared" si="65"/>
        <v>0</v>
      </c>
      <c r="J546" s="9" t="str">
        <f t="shared" si="69"/>
        <v>28</v>
      </c>
      <c r="K546" s="3">
        <f t="shared" si="67"/>
        <v>-28</v>
      </c>
      <c r="L546" s="3" t="str">
        <f t="shared" si="70"/>
        <v>CRÍTICO</v>
      </c>
      <c r="M546">
        <v>0</v>
      </c>
      <c r="N546">
        <v>100</v>
      </c>
      <c r="O546">
        <v>9.09</v>
      </c>
    </row>
    <row r="547" spans="1:15" x14ac:dyDescent="0.25">
      <c r="A547" s="7">
        <v>46162</v>
      </c>
      <c r="B547" s="8" t="s">
        <v>28</v>
      </c>
      <c r="C547" s="9" t="s">
        <v>11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 t="shared" si="65"/>
        <v>0</v>
      </c>
      <c r="J547" s="9" t="str">
        <f t="shared" si="69"/>
        <v>28</v>
      </c>
      <c r="K547" s="3">
        <f t="shared" si="67"/>
        <v>-28</v>
      </c>
      <c r="L547" s="3" t="str">
        <f t="shared" si="70"/>
        <v>CRÍTICO</v>
      </c>
      <c r="M547">
        <v>0</v>
      </c>
      <c r="N547">
        <v>100</v>
      </c>
      <c r="O547">
        <v>17.239999999999998</v>
      </c>
    </row>
    <row r="548" spans="1:15" x14ac:dyDescent="0.25">
      <c r="A548" s="7">
        <v>46162</v>
      </c>
      <c r="B548" s="8" t="s">
        <v>29</v>
      </c>
      <c r="C548" s="9" t="s">
        <v>17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si="65"/>
        <v>7</v>
      </c>
      <c r="J548" s="9" t="str">
        <f t="shared" si="69"/>
        <v>10</v>
      </c>
      <c r="K548" s="3">
        <f t="shared" si="67"/>
        <v>-3</v>
      </c>
      <c r="L548" s="3" t="str">
        <f t="shared" si="70"/>
        <v>ATENÇÃO</v>
      </c>
      <c r="M548">
        <v>0</v>
      </c>
      <c r="N548">
        <v>0</v>
      </c>
      <c r="O548">
        <v>0</v>
      </c>
    </row>
    <row r="549" spans="1:15" x14ac:dyDescent="0.25">
      <c r="A549" s="7">
        <v>46162</v>
      </c>
      <c r="B549" s="8" t="s">
        <v>30</v>
      </c>
      <c r="C549" s="9" t="s">
        <v>14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65"/>
        <v>27</v>
      </c>
      <c r="J549" s="9" t="str">
        <f t="shared" si="69"/>
        <v>23</v>
      </c>
      <c r="K549" s="3">
        <f t="shared" si="67"/>
        <v>4</v>
      </c>
      <c r="L549" s="3" t="str">
        <f t="shared" si="70"/>
        <v>OPORTUNO</v>
      </c>
      <c r="M549">
        <v>21</v>
      </c>
      <c r="N549">
        <v>100</v>
      </c>
      <c r="O549">
        <v>14.78</v>
      </c>
    </row>
    <row r="550" spans="1:15" x14ac:dyDescent="0.25">
      <c r="A550" s="7">
        <v>46162</v>
      </c>
      <c r="B550" s="8" t="s">
        <v>31</v>
      </c>
      <c r="C550" s="9" t="s">
        <v>14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65"/>
        <v>25</v>
      </c>
      <c r="J550" s="9" t="str">
        <f t="shared" si="69"/>
        <v>23</v>
      </c>
      <c r="K550" s="3">
        <f t="shared" si="67"/>
        <v>2</v>
      </c>
      <c r="L550" s="3" t="str">
        <f t="shared" si="70"/>
        <v>OPORTUNO</v>
      </c>
      <c r="M550">
        <v>22</v>
      </c>
      <c r="N550">
        <v>98.15</v>
      </c>
      <c r="O550">
        <v>12.04</v>
      </c>
    </row>
    <row r="551" spans="1:15" x14ac:dyDescent="0.25">
      <c r="A551" s="7">
        <v>46162</v>
      </c>
      <c r="B551" s="8" t="s">
        <v>32</v>
      </c>
      <c r="C551" s="9" t="s">
        <v>12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65"/>
        <v>38</v>
      </c>
      <c r="J551" s="9" t="str">
        <f t="shared" si="69"/>
        <v>35</v>
      </c>
      <c r="K551" s="3">
        <f t="shared" si="67"/>
        <v>3</v>
      </c>
      <c r="L551" s="3" t="str">
        <f t="shared" si="70"/>
        <v>OPORTUNO</v>
      </c>
      <c r="M551">
        <v>34</v>
      </c>
      <c r="N551">
        <v>99.15</v>
      </c>
      <c r="O551">
        <v>14.47</v>
      </c>
    </row>
    <row r="552" spans="1:15" x14ac:dyDescent="0.25">
      <c r="A552" s="7">
        <v>46162</v>
      </c>
      <c r="B552" s="8" t="s">
        <v>33</v>
      </c>
      <c r="C552" s="9" t="s">
        <v>12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65"/>
        <v>23</v>
      </c>
      <c r="J552" s="9" t="str">
        <f t="shared" si="69"/>
        <v>35</v>
      </c>
      <c r="K552" s="3">
        <f t="shared" si="67"/>
        <v>-12</v>
      </c>
      <c r="L552" s="3" t="str">
        <f t="shared" si="70"/>
        <v>CRÍTICO</v>
      </c>
      <c r="M552">
        <v>19</v>
      </c>
      <c r="N552">
        <v>93.94</v>
      </c>
      <c r="O552">
        <v>17.09</v>
      </c>
    </row>
    <row r="553" spans="1:15" x14ac:dyDescent="0.25">
      <c r="A553" s="7">
        <v>46162</v>
      </c>
      <c r="B553" s="8" t="s">
        <v>34</v>
      </c>
      <c r="C553" s="9" t="s">
        <v>11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65"/>
        <v>26</v>
      </c>
      <c r="J553" s="9" t="str">
        <f t="shared" si="69"/>
        <v>28</v>
      </c>
      <c r="K553" s="3">
        <f t="shared" si="67"/>
        <v>-2</v>
      </c>
      <c r="L553" s="3" t="str">
        <f t="shared" si="70"/>
        <v>ATENÇÃO</v>
      </c>
      <c r="M553">
        <v>23</v>
      </c>
      <c r="N553">
        <v>100</v>
      </c>
      <c r="O553">
        <v>14</v>
      </c>
    </row>
    <row r="554" spans="1:15" x14ac:dyDescent="0.25">
      <c r="A554" s="7">
        <v>46162</v>
      </c>
      <c r="B554" s="8" t="s">
        <v>63</v>
      </c>
      <c r="C554" s="9" t="s">
        <v>12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 t="shared" si="65"/>
        <v>0</v>
      </c>
      <c r="J554" s="9" t="str">
        <f t="shared" si="69"/>
        <v>35</v>
      </c>
      <c r="K554" s="3">
        <f t="shared" si="67"/>
        <v>-35</v>
      </c>
      <c r="L554" s="3" t="str">
        <f t="shared" si="70"/>
        <v>CRÍTICO</v>
      </c>
      <c r="M554">
        <v>0</v>
      </c>
      <c r="N554">
        <v>0</v>
      </c>
      <c r="O554">
        <v>0</v>
      </c>
    </row>
    <row r="555" spans="1:15" x14ac:dyDescent="0.25">
      <c r="A555" s="7">
        <v>46162</v>
      </c>
      <c r="B555" s="8" t="s">
        <v>35</v>
      </c>
      <c r="C555" s="9" t="s">
        <v>36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si="65"/>
        <v>20</v>
      </c>
      <c r="J555" s="9" t="str">
        <f t="shared" si="69"/>
        <v>20</v>
      </c>
      <c r="K555" s="3">
        <f t="shared" si="67"/>
        <v>0</v>
      </c>
      <c r="L555" s="3" t="str">
        <f t="shared" si="70"/>
        <v>OPORTUNO</v>
      </c>
      <c r="M555">
        <v>20</v>
      </c>
      <c r="N555">
        <v>96.49</v>
      </c>
      <c r="O555">
        <v>12.82</v>
      </c>
    </row>
    <row r="556" spans="1:15" x14ac:dyDescent="0.25">
      <c r="A556" s="7">
        <v>46162</v>
      </c>
      <c r="B556" s="8" t="s">
        <v>60</v>
      </c>
      <c r="C556" s="9" t="s">
        <v>11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65"/>
        <v>17</v>
      </c>
      <c r="J556" s="9" t="str">
        <f t="shared" si="69"/>
        <v>28</v>
      </c>
      <c r="K556" s="3">
        <f t="shared" si="67"/>
        <v>-11</v>
      </c>
      <c r="L556" s="3" t="str">
        <f t="shared" si="70"/>
        <v>CRÍTICO</v>
      </c>
      <c r="M556">
        <v>18</v>
      </c>
      <c r="N556">
        <v>97.06</v>
      </c>
      <c r="O556">
        <v>10.34</v>
      </c>
    </row>
    <row r="557" spans="1:15" x14ac:dyDescent="0.25">
      <c r="A557" s="7">
        <v>46162</v>
      </c>
      <c r="B557" s="8" t="s">
        <v>37</v>
      </c>
      <c r="C557" s="9" t="s">
        <v>36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65"/>
        <v>12</v>
      </c>
      <c r="J557" s="9" t="str">
        <f t="shared" si="69"/>
        <v>20</v>
      </c>
      <c r="K557" s="3">
        <f t="shared" si="67"/>
        <v>-8</v>
      </c>
      <c r="L557" s="3" t="str">
        <f t="shared" si="70"/>
        <v>CRÍTICO</v>
      </c>
      <c r="M557">
        <v>12</v>
      </c>
      <c r="N557">
        <v>100</v>
      </c>
      <c r="O557">
        <v>14.47</v>
      </c>
    </row>
    <row r="558" spans="1:15" x14ac:dyDescent="0.25">
      <c r="A558" s="7">
        <v>46162</v>
      </c>
      <c r="B558" s="8" t="s">
        <v>38</v>
      </c>
      <c r="C558" s="9" t="s">
        <v>11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65"/>
        <v>29</v>
      </c>
      <c r="J558" s="9" t="str">
        <f t="shared" si="69"/>
        <v>28</v>
      </c>
      <c r="K558" s="3">
        <f t="shared" si="67"/>
        <v>1</v>
      </c>
      <c r="L558" s="3" t="str">
        <f t="shared" si="70"/>
        <v>OPORTUNO</v>
      </c>
      <c r="M558">
        <v>28</v>
      </c>
      <c r="N558">
        <v>100</v>
      </c>
      <c r="O558">
        <v>11.56</v>
      </c>
    </row>
    <row r="559" spans="1:15" x14ac:dyDescent="0.25">
      <c r="A559" s="7">
        <v>46162</v>
      </c>
      <c r="B559" s="8" t="s">
        <v>39</v>
      </c>
      <c r="C559" s="9" t="s">
        <v>11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65"/>
        <v>25</v>
      </c>
      <c r="J559" s="9" t="str">
        <f t="shared" si="69"/>
        <v>28</v>
      </c>
      <c r="K559" s="3">
        <f t="shared" si="67"/>
        <v>-3</v>
      </c>
      <c r="L559" s="3" t="str">
        <f t="shared" si="70"/>
        <v>ATENÇÃO</v>
      </c>
      <c r="M559">
        <v>19</v>
      </c>
      <c r="N559">
        <v>98.28</v>
      </c>
      <c r="O559">
        <v>14.43</v>
      </c>
    </row>
    <row r="560" spans="1:15" x14ac:dyDescent="0.25">
      <c r="A560" s="7">
        <v>46162</v>
      </c>
      <c r="B560" s="8" t="s">
        <v>40</v>
      </c>
      <c r="C560" s="9" t="s">
        <v>11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65"/>
        <v>13</v>
      </c>
      <c r="J560" s="9" t="str">
        <f t="shared" si="69"/>
        <v>28</v>
      </c>
      <c r="K560" s="3">
        <f t="shared" si="67"/>
        <v>-15</v>
      </c>
      <c r="L560" s="3" t="str">
        <f t="shared" si="70"/>
        <v>CRÍTICO</v>
      </c>
      <c r="M560">
        <v>8</v>
      </c>
      <c r="N560">
        <v>100</v>
      </c>
      <c r="O560">
        <v>17.11</v>
      </c>
    </row>
    <row r="561" spans="1:15" x14ac:dyDescent="0.25">
      <c r="A561" s="7">
        <v>46162</v>
      </c>
      <c r="B561" s="8" t="s">
        <v>64</v>
      </c>
      <c r="C561" s="9" t="s">
        <v>12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65"/>
        <v>21</v>
      </c>
      <c r="J561" s="9" t="str">
        <f t="shared" si="69"/>
        <v>35</v>
      </c>
      <c r="K561" s="3">
        <f t="shared" si="67"/>
        <v>-14</v>
      </c>
      <c r="L561" s="3" t="str">
        <f t="shared" si="70"/>
        <v>CRÍTICO</v>
      </c>
      <c r="M561">
        <v>18</v>
      </c>
      <c r="N561">
        <v>100</v>
      </c>
      <c r="O561">
        <v>0</v>
      </c>
    </row>
    <row r="562" spans="1:15" x14ac:dyDescent="0.25">
      <c r="A562" s="7">
        <v>46162</v>
      </c>
      <c r="B562" s="8" t="s">
        <v>41</v>
      </c>
      <c r="C562" s="9" t="s">
        <v>14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65"/>
        <v>18</v>
      </c>
      <c r="J562" s="9" t="str">
        <f t="shared" si="69"/>
        <v>23</v>
      </c>
      <c r="K562" s="3">
        <f t="shared" si="67"/>
        <v>-5</v>
      </c>
      <c r="L562" s="3" t="str">
        <f t="shared" si="70"/>
        <v>ATENÇÃO</v>
      </c>
      <c r="M562">
        <v>16</v>
      </c>
      <c r="N562">
        <v>92.96</v>
      </c>
      <c r="O562">
        <v>16.89</v>
      </c>
    </row>
    <row r="563" spans="1:15" x14ac:dyDescent="0.25">
      <c r="A563" s="7">
        <v>46162</v>
      </c>
      <c r="B563" s="8" t="s">
        <v>42</v>
      </c>
      <c r="C563" s="9" t="s">
        <v>17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65"/>
        <v>10</v>
      </c>
      <c r="J563" s="9" t="str">
        <f t="shared" si="69"/>
        <v>10</v>
      </c>
      <c r="K563" s="3">
        <f t="shared" si="67"/>
        <v>0</v>
      </c>
      <c r="L563" s="3" t="str">
        <f t="shared" si="70"/>
        <v>OPORTUNO</v>
      </c>
      <c r="M563">
        <v>5</v>
      </c>
      <c r="N563">
        <v>100</v>
      </c>
      <c r="O563">
        <v>8.9</v>
      </c>
    </row>
    <row r="564" spans="1:15" x14ac:dyDescent="0.25">
      <c r="A564" s="7">
        <v>46162</v>
      </c>
      <c r="B564" s="8" t="s">
        <v>43</v>
      </c>
      <c r="C564" s="9" t="s">
        <v>12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65"/>
        <v>25</v>
      </c>
      <c r="J564" s="9" t="str">
        <f t="shared" si="69"/>
        <v>35</v>
      </c>
      <c r="K564" s="3">
        <f t="shared" si="67"/>
        <v>-10</v>
      </c>
      <c r="L564" s="3" t="str">
        <f t="shared" si="70"/>
        <v>CRÍTICO</v>
      </c>
      <c r="M564">
        <v>0</v>
      </c>
      <c r="N564">
        <v>100</v>
      </c>
      <c r="O564">
        <v>29.17</v>
      </c>
    </row>
    <row r="565" spans="1:15" x14ac:dyDescent="0.25">
      <c r="A565" s="7">
        <v>46162</v>
      </c>
      <c r="B565" s="8" t="s">
        <v>44</v>
      </c>
      <c r="C565" s="9" t="s">
        <v>12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65"/>
        <v>27</v>
      </c>
      <c r="J565" s="9" t="str">
        <f t="shared" si="69"/>
        <v>35</v>
      </c>
      <c r="K565" s="3">
        <f t="shared" si="67"/>
        <v>-8</v>
      </c>
      <c r="L565" s="3" t="str">
        <f t="shared" si="70"/>
        <v>CRÍTICO</v>
      </c>
      <c r="M565">
        <v>23</v>
      </c>
      <c r="N565">
        <v>97.8</v>
      </c>
      <c r="O565">
        <v>16.62</v>
      </c>
    </row>
    <row r="566" spans="1:15" x14ac:dyDescent="0.25">
      <c r="A566" s="7">
        <v>46162</v>
      </c>
      <c r="B566" s="8" t="s">
        <v>45</v>
      </c>
      <c r="C566" s="9" t="s">
        <v>17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65"/>
        <v>17</v>
      </c>
      <c r="J566" s="9" t="str">
        <f t="shared" si="69"/>
        <v>10</v>
      </c>
      <c r="K566" s="3">
        <f t="shared" si="67"/>
        <v>7</v>
      </c>
      <c r="L566" s="3" t="str">
        <f t="shared" si="70"/>
        <v>MUITO BOM</v>
      </c>
      <c r="M566">
        <v>14</v>
      </c>
      <c r="N566">
        <v>100</v>
      </c>
      <c r="O566">
        <v>11.7</v>
      </c>
    </row>
    <row r="567" spans="1:15" x14ac:dyDescent="0.25">
      <c r="A567" s="7">
        <v>46162</v>
      </c>
      <c r="B567" s="8" t="s">
        <v>46</v>
      </c>
      <c r="C567" s="9" t="s">
        <v>36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65"/>
        <v>21</v>
      </c>
      <c r="J567" s="9" t="str">
        <f t="shared" si="69"/>
        <v>20</v>
      </c>
      <c r="K567" s="3">
        <f t="shared" si="67"/>
        <v>1</v>
      </c>
      <c r="L567" s="3" t="str">
        <f t="shared" si="70"/>
        <v>OPORTUNO</v>
      </c>
      <c r="M567">
        <v>19</v>
      </c>
      <c r="N567">
        <v>100</v>
      </c>
      <c r="O567">
        <v>13.83</v>
      </c>
    </row>
    <row r="568" spans="1:15" x14ac:dyDescent="0.25">
      <c r="A568" s="7">
        <v>46162</v>
      </c>
      <c r="B568" s="8" t="s">
        <v>47</v>
      </c>
      <c r="C568" s="9" t="s">
        <v>11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 t="shared" si="65"/>
        <v>0</v>
      </c>
      <c r="J568" s="9" t="str">
        <f t="shared" si="69"/>
        <v>28</v>
      </c>
      <c r="K568" s="3">
        <f t="shared" si="67"/>
        <v>-28</v>
      </c>
      <c r="L568" s="3" t="str">
        <f t="shared" si="70"/>
        <v>CRÍTICO</v>
      </c>
      <c r="M568">
        <v>0</v>
      </c>
      <c r="N568">
        <v>100</v>
      </c>
      <c r="O568">
        <v>14.49</v>
      </c>
    </row>
    <row r="569" spans="1:15" x14ac:dyDescent="0.25">
      <c r="A569" s="7">
        <v>46162</v>
      </c>
      <c r="B569" s="8" t="s">
        <v>48</v>
      </c>
      <c r="C569" s="9" t="s">
        <v>36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si="65"/>
        <v>14</v>
      </c>
      <c r="J569" s="9" t="str">
        <f t="shared" si="69"/>
        <v>20</v>
      </c>
      <c r="K569" s="3">
        <f t="shared" si="67"/>
        <v>-6</v>
      </c>
      <c r="L569" s="3" t="str">
        <f t="shared" si="70"/>
        <v>CRÍTICO</v>
      </c>
      <c r="M569">
        <v>11</v>
      </c>
      <c r="N569">
        <v>100</v>
      </c>
      <c r="O569">
        <v>17.02</v>
      </c>
    </row>
    <row r="570" spans="1:15" x14ac:dyDescent="0.25">
      <c r="A570" s="7">
        <v>46162</v>
      </c>
      <c r="B570" s="8" t="s">
        <v>49</v>
      </c>
      <c r="C570" s="9" t="s">
        <v>36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65"/>
        <v>15</v>
      </c>
      <c r="J570" s="9" t="str">
        <f t="shared" si="69"/>
        <v>20</v>
      </c>
      <c r="K570" s="3">
        <f t="shared" si="67"/>
        <v>-5</v>
      </c>
      <c r="L570" s="3" t="str">
        <f t="shared" si="70"/>
        <v>ATENÇÃO</v>
      </c>
      <c r="M570">
        <v>15</v>
      </c>
      <c r="N570">
        <v>100</v>
      </c>
      <c r="O570">
        <v>13.04</v>
      </c>
    </row>
    <row r="571" spans="1:15" x14ac:dyDescent="0.25">
      <c r="A571" s="7">
        <v>46162</v>
      </c>
      <c r="B571" s="8" t="s">
        <v>50</v>
      </c>
      <c r="C571" s="9" t="s">
        <v>17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65"/>
        <v>15</v>
      </c>
      <c r="J571" s="9" t="str">
        <f t="shared" si="69"/>
        <v>10</v>
      </c>
      <c r="K571" s="3">
        <f t="shared" si="67"/>
        <v>5</v>
      </c>
      <c r="L571" s="3" t="str">
        <f t="shared" si="70"/>
        <v>OPORTUNO</v>
      </c>
      <c r="M571">
        <v>13</v>
      </c>
      <c r="N571">
        <v>97.87</v>
      </c>
      <c r="O571">
        <v>19.32</v>
      </c>
    </row>
    <row r="572" spans="1:15" x14ac:dyDescent="0.25">
      <c r="A572" s="7">
        <v>46162</v>
      </c>
      <c r="B572" s="8" t="s">
        <v>51</v>
      </c>
      <c r="C572" s="9" t="s">
        <v>14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65"/>
        <v>25</v>
      </c>
      <c r="J572" s="9" t="str">
        <f t="shared" si="69"/>
        <v>23</v>
      </c>
      <c r="K572" s="3">
        <f t="shared" si="67"/>
        <v>2</v>
      </c>
      <c r="L572" s="3" t="str">
        <f t="shared" si="70"/>
        <v>OPORTUNO</v>
      </c>
      <c r="M572">
        <v>18</v>
      </c>
      <c r="N572">
        <v>96.88</v>
      </c>
      <c r="O572">
        <v>15.74</v>
      </c>
    </row>
    <row r="573" spans="1:15" x14ac:dyDescent="0.25">
      <c r="A573" s="7">
        <v>46162</v>
      </c>
      <c r="B573" s="8" t="s">
        <v>52</v>
      </c>
      <c r="C573" s="9" t="s">
        <v>12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65"/>
        <v>33</v>
      </c>
      <c r="J573" s="9" t="str">
        <f t="shared" si="69"/>
        <v>35</v>
      </c>
      <c r="K573" s="3">
        <f t="shared" si="67"/>
        <v>-2</v>
      </c>
      <c r="L573" s="3" t="str">
        <f t="shared" si="70"/>
        <v>ATENÇÃO</v>
      </c>
      <c r="M573">
        <v>28</v>
      </c>
      <c r="N573">
        <v>99.1</v>
      </c>
      <c r="O573">
        <v>19.32</v>
      </c>
    </row>
    <row r="574" spans="1:15" x14ac:dyDescent="0.25">
      <c r="A574" s="7">
        <v>46162</v>
      </c>
      <c r="B574" s="8" t="s">
        <v>53</v>
      </c>
      <c r="C574" s="9" t="s">
        <v>14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si="65"/>
        <v>18</v>
      </c>
      <c r="J574" s="9" t="str">
        <f t="shared" si="69"/>
        <v>23</v>
      </c>
      <c r="K574" s="3">
        <f t="shared" si="67"/>
        <v>-5</v>
      </c>
      <c r="L574" s="3" t="str">
        <f t="shared" si="70"/>
        <v>ATENÇÃO</v>
      </c>
      <c r="M574">
        <v>14</v>
      </c>
      <c r="N574">
        <v>100</v>
      </c>
      <c r="O574">
        <v>13.02</v>
      </c>
    </row>
    <row r="575" spans="1:15" x14ac:dyDescent="0.25">
      <c r="A575" s="7">
        <v>46162</v>
      </c>
      <c r="B575" s="8" t="s">
        <v>54</v>
      </c>
      <c r="C575" s="9" t="s">
        <v>12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65"/>
        <v>24</v>
      </c>
      <c r="J575" s="9" t="str">
        <f t="shared" si="69"/>
        <v>35</v>
      </c>
      <c r="K575" s="3">
        <f t="shared" si="67"/>
        <v>-11</v>
      </c>
      <c r="L575" s="3" t="str">
        <f t="shared" si="70"/>
        <v>CRÍTICO</v>
      </c>
      <c r="M575">
        <v>21</v>
      </c>
      <c r="N575">
        <v>96.83</v>
      </c>
      <c r="O575">
        <v>14.33</v>
      </c>
    </row>
  </sheetData>
  <autoFilter ref="A1:O530" xr:uid="{B156EF58-AF9E-4A91-B7D8-7B3B50610D55}">
    <filterColumn colId="0">
      <filters>
        <dateGroupItem year="2026" month="5" day="19" dateTimeGrouping="day"/>
      </filters>
    </filterColumn>
    <sortState xmlns:xlrd2="http://schemas.microsoft.com/office/spreadsheetml/2017/richdata2" ref="A2:O530">
      <sortCondition ref="B1:B530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Produtividade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2026-05-21T12:03:14Z</dcterms:modified>
</cp:coreProperties>
</file>
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'Produtividade'!$A$1:$O$4660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2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705"/>
  <sheetViews>
    <sheetView tabSelected="1" topLeftCell="A3233" zoomScale="85" zoomScaleNormal="85" workbookViewId="0">
      <selection activeCell="A106" sqref="A106:O457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11" t="n">
        <v>46083</v>
      </c>
      <c r="B6" t="inlineStr">
        <is>
          <t>Michelle G Santos</t>
        </is>
      </c>
      <c r="C6" s="3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3" t="n">
        <v>25.77319587628866</v>
      </c>
    </row>
    <row r="7">
      <c r="A7" s="11" t="n">
        <v>46083</v>
      </c>
      <c r="B7" t="inlineStr">
        <is>
          <t>Quirino Diogo Leite Torres</t>
        </is>
      </c>
      <c r="C7" t="inlineStr">
        <is>
          <t>Estágio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t="n">
        <v>0</v>
      </c>
      <c r="N7" t="n">
        <v>100</v>
      </c>
      <c r="O7" t="n">
        <v>35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11" t="n">
        <v>46084</v>
      </c>
      <c r="B12" t="inlineStr">
        <is>
          <t>Michelle G Santos</t>
        </is>
      </c>
      <c r="C12" s="3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3" t="n">
        <v>25.77319587628866</v>
      </c>
    </row>
    <row r="13">
      <c r="A13" s="11" t="n">
        <v>46084</v>
      </c>
      <c r="B13" t="inlineStr">
        <is>
          <t>Quirino Diogo Leite Torres</t>
        </is>
      </c>
      <c r="C13" t="inlineStr">
        <is>
          <t>Estágio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t="n">
        <v>0</v>
      </c>
      <c r="N13" t="n">
        <v>100</v>
      </c>
      <c r="O13" t="n">
        <v>35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11" t="n">
        <v>46085</v>
      </c>
      <c r="B18" t="inlineStr">
        <is>
          <t>Michelle G Santos</t>
        </is>
      </c>
      <c r="C18" s="3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3" t="n">
        <v>25.77319587628866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>
      <c r="A20" s="11" t="n">
        <v>46085</v>
      </c>
      <c r="B20" t="inlineStr">
        <is>
          <t>Quirino Diogo Leite Torres</t>
        </is>
      </c>
      <c r="C20" t="inlineStr">
        <is>
          <t>Estágio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t="n">
        <v>0</v>
      </c>
      <c r="N20" t="n">
        <v>100</v>
      </c>
      <c r="O20" t="n">
        <v>35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11" t="n">
        <v>46086</v>
      </c>
      <c r="B25" t="inlineStr">
        <is>
          <t>Michelle G Santos</t>
        </is>
      </c>
      <c r="C25" s="3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3" t="n">
        <v>25.77319587628866</v>
      </c>
    </row>
    <row r="26">
      <c r="A26" s="11" t="n">
        <v>46086</v>
      </c>
      <c r="B26" t="inlineStr">
        <is>
          <t>Quirino Diogo Leite Torres</t>
        </is>
      </c>
      <c r="C26" t="inlineStr">
        <is>
          <t>Estágio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t="n">
        <v>0</v>
      </c>
      <c r="N26" t="n">
        <v>100</v>
      </c>
      <c r="O26" t="n">
        <v>35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11" t="n">
        <v>46087</v>
      </c>
      <c r="B31" t="inlineStr">
        <is>
          <t>Michelle G Santos</t>
        </is>
      </c>
      <c r="C31" s="3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3" t="n">
        <v>25.77319587628866</v>
      </c>
    </row>
    <row r="32">
      <c r="A32" s="11" t="n">
        <v>46087</v>
      </c>
      <c r="B32" t="inlineStr">
        <is>
          <t>Quirino Diogo Leite Torres</t>
        </is>
      </c>
      <c r="C32" t="inlineStr">
        <is>
          <t>Estágio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t="n">
        <v>0</v>
      </c>
      <c r="N32" t="n">
        <v>100</v>
      </c>
      <c r="O32" t="n">
        <v>35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11" t="n">
        <v>46090</v>
      </c>
      <c r="B37" t="inlineStr">
        <is>
          <t>Michelle G Santos</t>
        </is>
      </c>
      <c r="C37" s="3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3" t="n">
        <v>25.77319587628866</v>
      </c>
    </row>
    <row r="38">
      <c r="A38" s="11" t="n">
        <v>46090</v>
      </c>
      <c r="B38" t="inlineStr">
        <is>
          <t>Quirino Diogo Leite Torres</t>
        </is>
      </c>
      <c r="C38" t="inlineStr">
        <is>
          <t>Estágio</t>
        </is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t="n">
        <v>0</v>
      </c>
      <c r="N38" t="n">
        <v>100</v>
      </c>
      <c r="O38" t="n">
        <v>35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11" t="n">
        <v>46091</v>
      </c>
      <c r="B43" t="inlineStr">
        <is>
          <t>Michelle G Santos</t>
        </is>
      </c>
      <c r="C43" s="3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3" t="n">
        <v>25.77319587628866</v>
      </c>
    </row>
    <row r="44">
      <c r="A44" s="11" t="n">
        <v>46091</v>
      </c>
      <c r="B44" t="inlineStr">
        <is>
          <t>Quirino Diogo Leite Torres</t>
        </is>
      </c>
      <c r="C44" t="inlineStr">
        <is>
          <t>Estágio</t>
        </is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t="n">
        <v>0</v>
      </c>
      <c r="N44" t="n">
        <v>100</v>
      </c>
      <c r="O44" t="n">
        <v>35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11" t="n">
        <v>46092</v>
      </c>
      <c r="B49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3" t="n">
        <v>25.77319587628866</v>
      </c>
    </row>
    <row r="50">
      <c r="A50" s="11" t="n">
        <v>46092</v>
      </c>
      <c r="B50" t="inlineStr">
        <is>
          <t>Quirino Diogo Leite Torres</t>
        </is>
      </c>
      <c r="C50" t="inlineStr">
        <is>
          <t>Estágio</t>
        </is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t="n">
        <v>0</v>
      </c>
      <c r="N50" t="n">
        <v>100</v>
      </c>
      <c r="O50" t="n">
        <v>35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11" t="n">
        <v>46093</v>
      </c>
      <c r="B55" t="inlineStr">
        <is>
          <t>Michelle G Santos</t>
        </is>
      </c>
      <c r="C55" s="3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3" t="n">
        <v>25.77319587628866</v>
      </c>
    </row>
    <row r="56">
      <c r="A56" s="11" t="n">
        <v>46093</v>
      </c>
      <c r="B56" t="inlineStr">
        <is>
          <t>Quirino Diogo Leite Torres</t>
        </is>
      </c>
      <c r="C56" t="inlineStr">
        <is>
          <t>Estágio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t="n">
        <v>0</v>
      </c>
      <c r="N56" t="n">
        <v>100</v>
      </c>
      <c r="O56" t="n">
        <v>35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11" t="n">
        <v>46094</v>
      </c>
      <c r="B61" t="inlineStr">
        <is>
          <t>Michelle G Santos</t>
        </is>
      </c>
      <c r="C61" s="3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3" t="n">
        <v>25.77319587628866</v>
      </c>
    </row>
    <row r="62">
      <c r="A62" s="11" t="n">
        <v>46094</v>
      </c>
      <c r="B62" t="inlineStr">
        <is>
          <t>Quirino Diogo Leite Torres</t>
        </is>
      </c>
      <c r="C62" t="inlineStr">
        <is>
          <t>Estágio</t>
        </is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t="n">
        <v>0</v>
      </c>
      <c r="N62" t="n">
        <v>100</v>
      </c>
      <c r="O62" t="n">
        <v>35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11" t="n">
        <v>46097</v>
      </c>
      <c r="B67" t="inlineStr">
        <is>
          <t>Michelle G Santos</t>
        </is>
      </c>
      <c r="C67" s="3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3" t="n">
        <v>25.77319587628866</v>
      </c>
    </row>
    <row r="68">
      <c r="A68" s="11" t="n">
        <v>46097</v>
      </c>
      <c r="B68" t="inlineStr">
        <is>
          <t>Quirino Diogo Leite Torres</t>
        </is>
      </c>
      <c r="C68" t="inlineStr">
        <is>
          <t>Estágio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t="n">
        <v>0</v>
      </c>
      <c r="N68" t="n">
        <v>100</v>
      </c>
      <c r="O68" t="n">
        <v>35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11" t="n">
        <v>46098</v>
      </c>
      <c r="B72" t="inlineStr">
        <is>
          <t>Michelle G Santos</t>
        </is>
      </c>
      <c r="C72" s="3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3" t="n">
        <v>25.77319587628866</v>
      </c>
    </row>
    <row r="73">
      <c r="A73" s="11" t="n">
        <v>46098</v>
      </c>
      <c r="B73" t="inlineStr">
        <is>
          <t>Quirino Diogo Leite Torres</t>
        </is>
      </c>
      <c r="C73" t="inlineStr">
        <is>
          <t>Estágio</t>
        </is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t="n">
        <v>0</v>
      </c>
      <c r="N73" t="n">
        <v>100</v>
      </c>
      <c r="O73" t="n">
        <v>35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11" t="n">
        <v>46099</v>
      </c>
      <c r="B77" t="inlineStr">
        <is>
          <t>Michelle G Santos</t>
        </is>
      </c>
      <c r="C77" s="3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3" t="n">
        <v>25.77319587628866</v>
      </c>
    </row>
    <row r="78">
      <c r="A78" s="11" t="n">
        <v>46099</v>
      </c>
      <c r="B78" t="inlineStr">
        <is>
          <t>Quirino Diogo Leite Torres</t>
        </is>
      </c>
      <c r="C78" t="inlineStr">
        <is>
          <t>Estágio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t="n">
        <v>0</v>
      </c>
      <c r="N78" t="n">
        <v>100</v>
      </c>
      <c r="O78" t="n">
        <v>35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11" t="n">
        <v>46100</v>
      </c>
      <c r="B82" t="inlineStr">
        <is>
          <t>Michelle G Santos</t>
        </is>
      </c>
      <c r="C82" s="3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3" t="n">
        <v>25.77319587628866</v>
      </c>
    </row>
    <row r="83">
      <c r="A83" s="11" t="n">
        <v>46100</v>
      </c>
      <c r="B83" t="inlineStr">
        <is>
          <t>Quirino Diogo Leite Torres</t>
        </is>
      </c>
      <c r="C83" t="inlineStr">
        <is>
          <t>Estágio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t="n">
        <v>0</v>
      </c>
      <c r="N83" t="n">
        <v>100</v>
      </c>
      <c r="O83" t="n">
        <v>35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1" t="n">
        <v>46101</v>
      </c>
      <c r="B87" t="inlineStr">
        <is>
          <t>Michelle G Santos</t>
        </is>
      </c>
      <c r="C87" s="3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3" t="n">
        <v>25.77319587628866</v>
      </c>
    </row>
    <row r="88">
      <c r="A88" s="11" t="n">
        <v>46101</v>
      </c>
      <c r="B88" t="inlineStr">
        <is>
          <t>Quirino Diogo Leite Torres</t>
        </is>
      </c>
      <c r="C88" t="inlineStr">
        <is>
          <t>Estágio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t="n">
        <v>0</v>
      </c>
      <c r="N88" t="n">
        <v>100</v>
      </c>
      <c r="O88" t="n">
        <v>35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46104</v>
      </c>
      <c r="B92" t="inlineStr">
        <is>
          <t>Michelle G Santos</t>
        </is>
      </c>
      <c r="C92" s="3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3" t="n">
        <v>25.77319587628866</v>
      </c>
    </row>
    <row r="93">
      <c r="A93" s="11" t="n">
        <v>46104</v>
      </c>
      <c r="B93" t="inlineStr">
        <is>
          <t>Quirino Diogo Leite Torres</t>
        </is>
      </c>
      <c r="C93" t="inlineStr">
        <is>
          <t>Estágio</t>
        </is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t="n">
        <v>0</v>
      </c>
      <c r="N93" t="n">
        <v>100</v>
      </c>
      <c r="O93" t="n">
        <v>35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46105</v>
      </c>
      <c r="B105" t="inlineStr">
        <is>
          <t>Michelle G Santos</t>
        </is>
      </c>
      <c r="C105" s="3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3" t="n">
        <v>25.77319587628866</v>
      </c>
    </row>
    <row r="106">
      <c r="A106" s="11" t="n">
        <v>46105</v>
      </c>
      <c r="B106" t="inlineStr">
        <is>
          <t>Quirino Diogo Leite Torres</t>
        </is>
      </c>
      <c r="C106" t="inlineStr">
        <is>
          <t>Estágio</t>
        </is>
      </c>
      <c r="D106" t="n">
        <v>3</v>
      </c>
      <c r="E106" t="n">
        <v>3</v>
      </c>
      <c r="F106" t="n">
        <v>23.28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t="n">
        <v>2</v>
      </c>
      <c r="N106" t="n">
        <v>100</v>
      </c>
      <c r="O106" t="n">
        <v>35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46106</v>
      </c>
      <c r="B113" t="inlineStr">
        <is>
          <t>Michelle G Santos</t>
        </is>
      </c>
      <c r="C113" s="3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3" t="n">
        <v>25.77319587628866</v>
      </c>
    </row>
    <row r="114">
      <c r="A114" s="11" t="n">
        <v>46106</v>
      </c>
      <c r="B114" t="inlineStr">
        <is>
          <t>Quirino Diogo Leite Torres</t>
        </is>
      </c>
      <c r="C114" t="inlineStr">
        <is>
          <t>Estágio</t>
        </is>
      </c>
      <c r="D114" t="n">
        <v>5</v>
      </c>
      <c r="E114" t="n">
        <v>5</v>
      </c>
      <c r="F114" t="n">
        <v>17.02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t="n">
        <v>3</v>
      </c>
      <c r="N114" t="n">
        <v>100</v>
      </c>
      <c r="O114" t="n">
        <v>35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46107</v>
      </c>
      <c r="B119" t="inlineStr">
        <is>
          <t>Michelle G Santos</t>
        </is>
      </c>
      <c r="C119" s="3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3" t="n">
        <v>25.77319587628866</v>
      </c>
    </row>
    <row r="120">
      <c r="A120" s="11" t="n">
        <v>46107</v>
      </c>
      <c r="B120" t="inlineStr">
        <is>
          <t>Quirino Diogo Leite Torres</t>
        </is>
      </c>
      <c r="C120" t="inlineStr">
        <is>
          <t>Estágio</t>
        </is>
      </c>
      <c r="D120" t="n">
        <v>5</v>
      </c>
      <c r="E120" t="n">
        <v>5</v>
      </c>
      <c r="F120" t="n">
        <v>29.06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t="n">
        <v>4</v>
      </c>
      <c r="N120" t="n">
        <v>100</v>
      </c>
      <c r="O120" t="n">
        <v>35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20</v>
      </c>
      <c r="N123" t="n">
        <v>100</v>
      </c>
      <c r="O123" t="n">
        <v>15.29411764705882</v>
      </c>
    </row>
    <row r="124" hidden="1">
      <c r="A124" s="11" t="n">
        <v>46108</v>
      </c>
      <c r="B124" t="inlineStr">
        <is>
          <t>Michelle G Santos</t>
        </is>
      </c>
      <c r="C124" s="3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3" t="n">
        <v>25.77319587628866</v>
      </c>
    </row>
    <row r="125">
      <c r="A125" s="11" t="n">
        <v>46108</v>
      </c>
      <c r="B125" t="inlineStr">
        <is>
          <t>Quirino Diogo Leite Torres</t>
        </is>
      </c>
      <c r="C125" t="inlineStr">
        <is>
          <t>Estágio</t>
        </is>
      </c>
      <c r="D125" t="n">
        <v>6</v>
      </c>
      <c r="E125" t="n">
        <v>6</v>
      </c>
      <c r="F125" t="n">
        <v>32.29</v>
      </c>
      <c r="G125" t="n">
        <v>0</v>
      </c>
      <c r="H125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t="n">
        <v>4</v>
      </c>
      <c r="N125" t="n">
        <v>100</v>
      </c>
      <c r="O125" t="n">
        <v>35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s="15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46140</v>
      </c>
      <c r="B238" t="inlineStr">
        <is>
          <t>Ana Paula Da Luz Silva Aleixo</t>
        </is>
      </c>
      <c r="C238" s="15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3" t="n">
        <v>27.80373831775701</v>
      </c>
    </row>
    <row r="239" hidden="1">
      <c r="A239" s="11" t="n">
        <v>46140</v>
      </c>
      <c r="B239" t="inlineStr">
        <is>
          <t>Cristiane Ramos da Silva Rocha</t>
        </is>
      </c>
      <c r="C239" s="15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3" t="n">
        <v>26.81992337164751</v>
      </c>
    </row>
    <row r="240" hidden="1">
      <c r="A240" s="11" t="n">
        <v>46140</v>
      </c>
      <c r="B240" t="inlineStr">
        <is>
          <t>Davylla Rodrigues Freitas Silva</t>
        </is>
      </c>
      <c r="C240" s="15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3" t="n">
        <v>38.65384615384615</v>
      </c>
    </row>
    <row r="241" hidden="1">
      <c r="A241" s="11" t="n">
        <v>46140</v>
      </c>
      <c r="B241" t="inlineStr">
        <is>
          <t>Francielson de Oliveira</t>
        </is>
      </c>
      <c r="C241" s="15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3" t="n">
        <v>29.76653696498055</v>
      </c>
    </row>
    <row r="242" hidden="1">
      <c r="A242" s="11" t="n">
        <v>46140</v>
      </c>
      <c r="B242" t="inlineStr">
        <is>
          <t>Janaina Lima dos Reis Urany</t>
        </is>
      </c>
      <c r="C242" s="15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3" t="n">
        <v>30.63583815028902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46140</v>
      </c>
      <c r="B244" t="inlineStr">
        <is>
          <t>Jaqueline Evangelista da Silva Martins</t>
        </is>
      </c>
      <c r="C244" s="15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3" t="n">
        <v>32.43243243243244</v>
      </c>
    </row>
    <row r="245" hidden="1">
      <c r="A245" s="11" t="n">
        <v>46140</v>
      </c>
      <c r="B245" t="inlineStr">
        <is>
          <t>Jéssica Fé Moura</t>
        </is>
      </c>
      <c r="C245" s="1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3" t="n">
        <v>0</v>
      </c>
    </row>
    <row r="246" hidden="1">
      <c r="A246" s="11" t="n">
        <v>46140</v>
      </c>
      <c r="B246" t="inlineStr">
        <is>
          <t>Kerollen Cristielly de Jesus Siqueira</t>
        </is>
      </c>
      <c r="C246" s="15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3" t="n">
        <v>48.01864801864802</v>
      </c>
    </row>
    <row r="247" hidden="1">
      <c r="A247" s="11" t="n">
        <v>46140</v>
      </c>
      <c r="B247" t="inlineStr">
        <is>
          <t>Leandro Oliveira de Sousa</t>
        </is>
      </c>
      <c r="C247" s="15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3" t="n">
        <v>27.58620689655172</v>
      </c>
    </row>
    <row r="248" hidden="1">
      <c r="A248" s="11" t="n">
        <v>46140</v>
      </c>
      <c r="B248" t="inlineStr">
        <is>
          <t>Lucas Luiz Romero</t>
        </is>
      </c>
      <c r="C248" s="15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3" t="n">
        <v>22.03389830508474</v>
      </c>
    </row>
    <row r="249" hidden="1">
      <c r="A249" s="11" t="n">
        <v>46140</v>
      </c>
      <c r="B249" t="inlineStr">
        <is>
          <t>Matheus Farias De Souza</t>
        </is>
      </c>
      <c r="C249" s="15" t="inlineStr">
        <is>
          <t>Técnico III</t>
        </is>
      </c>
      <c r="D249" s="3" t="n">
        <v>35</v>
      </c>
      <c r="E249" s="3" t="n">
        <v>34</v>
      </c>
      <c r="F249" s="3" t="n">
        <v>15.13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IF(K249&lt;-5,"CRÍTICO",IF(K249&lt;0,"ATENÇÃO",IF(K249&lt;=5,"OPORTUNO","MUITO BOM")))</f>
        <v/>
      </c>
      <c r="M249" s="3" t="n">
        <v>45</v>
      </c>
      <c r="N249" s="3" t="n">
        <v>100</v>
      </c>
      <c r="O249" s="16" t="n">
        <v>23.9870340356564</v>
      </c>
    </row>
    <row r="250" hidden="1">
      <c r="A250" s="11" t="n">
        <v>46140</v>
      </c>
      <c r="B250" t="inlineStr">
        <is>
          <t>Maysa Victoria Dias Moura</t>
        </is>
      </c>
      <c r="C250" s="15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3" t="n">
        <v>28.37022132796781</v>
      </c>
    </row>
    <row r="251" hidden="1">
      <c r="A251" s="11" t="n">
        <v>46140</v>
      </c>
      <c r="B251" t="inlineStr">
        <is>
          <t>Rafael Gomes de Morais</t>
        </is>
      </c>
      <c r="C251" s="15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3" t="n">
        <v>31.13553113553114</v>
      </c>
    </row>
    <row r="252" hidden="1">
      <c r="A252" s="11" t="n">
        <v>46140</v>
      </c>
      <c r="B252" t="inlineStr">
        <is>
          <t>Sarah Steffanie de Lima Borges</t>
        </is>
      </c>
      <c r="C252" s="15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3" t="n">
        <v>25.18891687657431</v>
      </c>
    </row>
    <row r="253" hidden="1">
      <c r="A253" s="13" t="n">
        <v>46140</v>
      </c>
      <c r="B253" t="inlineStr">
        <is>
          <t>Alisson de Freitas Silva</t>
        </is>
      </c>
      <c r="C253" s="15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3" t="n">
        <v>32.76450511945392</v>
      </c>
    </row>
    <row r="254" hidden="1">
      <c r="A254" s="11" t="n">
        <v>46140</v>
      </c>
      <c r="B254" t="inlineStr">
        <is>
          <t>Brenda de Menezes Silva</t>
        </is>
      </c>
      <c r="C254" s="15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3" t="n">
        <v>30.74141048824593</v>
      </c>
    </row>
    <row r="255" hidden="1">
      <c r="A255" s="11" t="n">
        <v>46140</v>
      </c>
      <c r="B255" t="inlineStr">
        <is>
          <t>Carlos Mateus Cassimiro Nunes</t>
        </is>
      </c>
      <c r="C255" s="15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3" t="n">
        <v>27.17086834733893</v>
      </c>
    </row>
    <row r="256" hidden="1">
      <c r="A256" s="11" t="n">
        <v>46140</v>
      </c>
      <c r="B256" t="inlineStr">
        <is>
          <t>Damyllis Lorraine de Oliveira Gonçalves</t>
        </is>
      </c>
      <c r="C256" s="15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3" t="n">
        <v>31.01851851851852</v>
      </c>
    </row>
    <row r="257" hidden="1">
      <c r="A257" s="11" t="n">
        <v>46140</v>
      </c>
      <c r="B257" t="inlineStr">
        <is>
          <t>Emilly Kamilly Medeiros Miranda</t>
        </is>
      </c>
      <c r="C257" s="15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3" t="n">
        <v>28.35164835164835</v>
      </c>
    </row>
    <row r="258" hidden="1">
      <c r="A258" s="11" t="n">
        <v>46140</v>
      </c>
      <c r="B258" t="inlineStr">
        <is>
          <t>Francilene Ferreira de Jesus</t>
        </is>
      </c>
      <c r="C258" s="15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3" t="n">
        <v>29.46236559139785</v>
      </c>
    </row>
    <row r="259" hidden="1">
      <c r="A259" s="11" t="n">
        <v>46140</v>
      </c>
      <c r="B259" t="inlineStr">
        <is>
          <t>Isabella Borges de Oliveira</t>
        </is>
      </c>
      <c r="C259" s="15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3" t="n">
        <v>28.92156862745098</v>
      </c>
    </row>
    <row r="260" hidden="1">
      <c r="A260" s="11" t="n">
        <v>46140</v>
      </c>
      <c r="B260" t="inlineStr">
        <is>
          <t>Jessica Faria da Silveira</t>
        </is>
      </c>
      <c r="C260" s="15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3" t="n">
        <v>26.25698324022346</v>
      </c>
    </row>
    <row r="261" hidden="1">
      <c r="A261" s="11" t="n">
        <v>46140</v>
      </c>
      <c r="B261" t="inlineStr">
        <is>
          <t>Lizandra Gomes Duarte</t>
        </is>
      </c>
      <c r="C261" s="15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3" t="n">
        <v>29.75206611570248</v>
      </c>
    </row>
    <row r="262" hidden="1">
      <c r="A262" s="11" t="n">
        <v>46140</v>
      </c>
      <c r="B262" t="inlineStr">
        <is>
          <t>Lorena Dias de Araujo</t>
        </is>
      </c>
      <c r="C262" s="15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3" t="n">
        <v>28.96174863387978</v>
      </c>
    </row>
    <row r="263" hidden="1">
      <c r="A263" s="11" t="n">
        <v>46140</v>
      </c>
      <c r="B263" t="inlineStr">
        <is>
          <t>Patrícia Karla de Sousa Araújo</t>
        </is>
      </c>
      <c r="C263" s="15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3" t="n">
        <v>34.7972972972973</v>
      </c>
    </row>
    <row r="264" hidden="1">
      <c r="A264" s="11" t="n">
        <v>46140</v>
      </c>
      <c r="B264" t="inlineStr">
        <is>
          <t>Ana Karollyne Souza Faria</t>
        </is>
      </c>
      <c r="C264" s="15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3" t="n">
        <v>30.6483300589391</v>
      </c>
    </row>
    <row r="265" hidden="1">
      <c r="A265" s="11" t="n">
        <v>46140</v>
      </c>
      <c r="B265" t="inlineStr">
        <is>
          <t>Clessiane Pereira dos Santos</t>
        </is>
      </c>
      <c r="C265" s="15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3" t="n">
        <v>32.21957040572792</v>
      </c>
    </row>
    <row r="266" hidden="1">
      <c r="A266" s="11" t="n">
        <v>46140</v>
      </c>
      <c r="B266" t="inlineStr">
        <is>
          <t>Daniel Gomes da Silva</t>
        </is>
      </c>
      <c r="C266" s="15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3" t="n">
        <v>36.59420289855073</v>
      </c>
    </row>
    <row r="267" hidden="1">
      <c r="A267" s="11" t="n">
        <v>46140</v>
      </c>
      <c r="B267" t="inlineStr">
        <is>
          <t>Gabriel Gomes de Andrade</t>
        </is>
      </c>
      <c r="C267" s="15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3" t="n">
        <v>27.68924302788844</v>
      </c>
    </row>
    <row r="268" hidden="1">
      <c r="A268" s="11" t="n">
        <v>46140</v>
      </c>
      <c r="B268" t="inlineStr">
        <is>
          <t>Luiz Fernando de Carvalho Junior</t>
        </is>
      </c>
      <c r="C268" s="15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3" t="n">
        <v>25.76530612244898</v>
      </c>
    </row>
    <row r="269" hidden="1">
      <c r="A269" s="11" t="n">
        <v>46140</v>
      </c>
      <c r="B269" t="inlineStr">
        <is>
          <t>Raane Batista Matos</t>
        </is>
      </c>
      <c r="C269" s="15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3" t="n">
        <v>26.85851318944844</v>
      </c>
    </row>
    <row r="270" hidden="1">
      <c r="A270" s="11" t="n">
        <v>46140</v>
      </c>
      <c r="B270" t="inlineStr">
        <is>
          <t>Sara Maria Monteiro Lopes</t>
        </is>
      </c>
      <c r="C270" s="15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3" t="n">
        <v>26.36986301369863</v>
      </c>
    </row>
    <row r="271" hidden="1">
      <c r="A271" s="11" t="n">
        <v>46141</v>
      </c>
      <c r="B271" t="inlineStr">
        <is>
          <t>Amanda Moura Ferreira</t>
        </is>
      </c>
      <c r="C271" s="15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3" t="n">
        <v>35.41666666666667</v>
      </c>
    </row>
    <row r="272" hidden="1">
      <c r="A272" s="11" t="n">
        <v>46141</v>
      </c>
      <c r="B272" t="inlineStr">
        <is>
          <t>Ana Paula Da Luz Silva Aleixo</t>
        </is>
      </c>
      <c r="C272" s="15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3" t="n">
        <v>27.80373831775701</v>
      </c>
    </row>
    <row r="273" hidden="1">
      <c r="A273" s="11" t="n">
        <v>46141</v>
      </c>
      <c r="B273" t="inlineStr">
        <is>
          <t>Cristiane Ramos da Silva Rocha</t>
        </is>
      </c>
      <c r="C273" s="15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3" t="n">
        <v>26.81992337164751</v>
      </c>
    </row>
    <row r="274" hidden="1">
      <c r="A274" s="11" t="n">
        <v>46141</v>
      </c>
      <c r="B274" t="inlineStr">
        <is>
          <t>Davylla Rodrigues Freitas Silva</t>
        </is>
      </c>
      <c r="C274" s="15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3" t="n">
        <v>38.65384615384615</v>
      </c>
    </row>
    <row r="275" hidden="1">
      <c r="A275" s="11" t="n">
        <v>46141</v>
      </c>
      <c r="B275" t="inlineStr">
        <is>
          <t>Francielson de Oliveira</t>
        </is>
      </c>
      <c r="C275" s="15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3" t="n">
        <v>29.76653696498055</v>
      </c>
    </row>
    <row r="276" hidden="1">
      <c r="A276" s="11" t="n">
        <v>46141</v>
      </c>
      <c r="B276" t="inlineStr">
        <is>
          <t>Janaina Lima dos Reis Urany</t>
        </is>
      </c>
      <c r="C276" s="15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3" t="n">
        <v>30.63583815028902</v>
      </c>
    </row>
    <row r="277" hidden="1">
      <c r="A277" s="11" t="n">
        <v>46141</v>
      </c>
      <c r="B277" t="inlineStr">
        <is>
          <t>Jaqueline Evangelista da Silva Martins</t>
        </is>
      </c>
      <c r="C277" s="15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3" t="n">
        <v>32.43243243243244</v>
      </c>
    </row>
    <row r="278" hidden="1">
      <c r="A278" s="11" t="n">
        <v>46141</v>
      </c>
      <c r="B278" t="inlineStr">
        <is>
          <t>Jéssica Fé Moura</t>
        </is>
      </c>
      <c r="C278" s="15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3" t="n">
        <v>0</v>
      </c>
    </row>
    <row r="279" hidden="1">
      <c r="A279" s="11" t="n">
        <v>46141</v>
      </c>
      <c r="B279" t="inlineStr">
        <is>
          <t>Kerollen Cristielly de Jesus Siqueira</t>
        </is>
      </c>
      <c r="C279" s="15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3" t="n">
        <v>48.01864801864802</v>
      </c>
    </row>
    <row r="280" hidden="1">
      <c r="A280" s="11" t="n">
        <v>46141</v>
      </c>
      <c r="B280" t="inlineStr">
        <is>
          <t>Leandro Oliveira de Sousa</t>
        </is>
      </c>
      <c r="C280" s="15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3" t="n">
        <v>27.58620689655172</v>
      </c>
    </row>
    <row r="281" hidden="1">
      <c r="A281" s="11" t="n">
        <v>46141</v>
      </c>
      <c r="B281" t="inlineStr">
        <is>
          <t>Lucas Luiz Romero</t>
        </is>
      </c>
      <c r="C281" s="15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3" t="n">
        <v>22.03389830508474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 hidden="1">
      <c r="A283" s="11" t="n">
        <v>46141</v>
      </c>
      <c r="B283" t="inlineStr">
        <is>
          <t>Matheus Farias De Souza</t>
        </is>
      </c>
      <c r="C283" s="15" t="inlineStr">
        <is>
          <t>Técnico III</t>
        </is>
      </c>
      <c r="D283" s="3" t="n">
        <v>26</v>
      </c>
      <c r="E283" s="3" t="n">
        <v>23</v>
      </c>
      <c r="F283" s="3" t="n">
        <v>11.5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IF(K283&lt;-5,"CRÍTICO",IF(K283&lt;0,"ATENÇÃO",IF(K283&lt;=5,"OPORTUNO","MUITO BOM")))</f>
        <v/>
      </c>
      <c r="M283" s="3" t="n">
        <v>33</v>
      </c>
      <c r="N283" s="3" t="n">
        <v>100</v>
      </c>
      <c r="O283" s="16" t="n">
        <v>23.9870340356564</v>
      </c>
    </row>
    <row r="284" hidden="1">
      <c r="A284" s="11" t="n">
        <v>46141</v>
      </c>
      <c r="B284" t="inlineStr">
        <is>
          <t>Maysa Victoria Dias Moura</t>
        </is>
      </c>
      <c r="C284" s="15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3" t="n">
        <v>28.37022132796781</v>
      </c>
    </row>
    <row r="285" hidden="1">
      <c r="A285" s="11" t="n">
        <v>46141</v>
      </c>
      <c r="B285" t="inlineStr">
        <is>
          <t>Rafael Gomes de Morais</t>
        </is>
      </c>
      <c r="C285" s="15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3" t="n">
        <v>31.13553113553114</v>
      </c>
    </row>
    <row r="286" hidden="1">
      <c r="A286" s="11" t="n">
        <v>46141</v>
      </c>
      <c r="B286" t="inlineStr">
        <is>
          <t>Sarah Steffanie de Lima Borges</t>
        </is>
      </c>
      <c r="C286" s="15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3" t="n">
        <v>25.18891687657431</v>
      </c>
    </row>
    <row r="287" hidden="1">
      <c r="A287" s="13" t="n">
        <v>46141</v>
      </c>
      <c r="B287" t="inlineStr">
        <is>
          <t>Alisson de Freitas Silva</t>
        </is>
      </c>
      <c r="C287" s="15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3" t="n">
        <v>32.76450511945392</v>
      </c>
    </row>
    <row r="288" hidden="1">
      <c r="A288" s="11" t="n">
        <v>46141</v>
      </c>
      <c r="B288" t="inlineStr">
        <is>
          <t>Brenda de Menezes Silva</t>
        </is>
      </c>
      <c r="C288" s="15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3" t="n">
        <v>30.74141048824593</v>
      </c>
    </row>
    <row r="289" hidden="1">
      <c r="A289" s="11" t="n">
        <v>46141</v>
      </c>
      <c r="B289" t="inlineStr">
        <is>
          <t>Carlos Mateus Cassimiro Nunes</t>
        </is>
      </c>
      <c r="C289" s="15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3" t="n">
        <v>27.17086834733893</v>
      </c>
    </row>
    <row r="290" hidden="1">
      <c r="A290" s="11" t="n">
        <v>46141</v>
      </c>
      <c r="B290" t="inlineStr">
        <is>
          <t>Damyllis Lorraine de Oliveira Gonçalves</t>
        </is>
      </c>
      <c r="C290" s="15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3" t="n">
        <v>31.01851851851852</v>
      </c>
    </row>
    <row r="291" hidden="1">
      <c r="A291" s="11" t="n">
        <v>46141</v>
      </c>
      <c r="B291" t="inlineStr">
        <is>
          <t>Emilly Kamilly Medeiros Miranda</t>
        </is>
      </c>
      <c r="C291" s="15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3" t="n">
        <v>28.35164835164835</v>
      </c>
    </row>
    <row r="292" hidden="1">
      <c r="A292" s="11" t="n">
        <v>46141</v>
      </c>
      <c r="B292" t="inlineStr">
        <is>
          <t>Francilene Ferreira de Jesus</t>
        </is>
      </c>
      <c r="C292" s="15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3" t="n">
        <v>29.46236559139785</v>
      </c>
    </row>
    <row r="293" hidden="1">
      <c r="A293" s="11" t="n">
        <v>46141</v>
      </c>
      <c r="B293" t="inlineStr">
        <is>
          <t>Isabella Borges de Oliveira</t>
        </is>
      </c>
      <c r="C293" s="15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3" t="n">
        <v>28.92156862745098</v>
      </c>
    </row>
    <row r="294" hidden="1">
      <c r="A294" s="11" t="n">
        <v>46141</v>
      </c>
      <c r="B294" t="inlineStr">
        <is>
          <t>Jessica Faria da Silveira</t>
        </is>
      </c>
      <c r="C294" s="15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3" t="n">
        <v>26.25698324022346</v>
      </c>
    </row>
    <row r="295" hidden="1">
      <c r="A295" s="11" t="n">
        <v>46141</v>
      </c>
      <c r="B295" t="inlineStr">
        <is>
          <t>Lizandra Gomes Duarte</t>
        </is>
      </c>
      <c r="C295" s="15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3" t="n">
        <v>29.75206611570248</v>
      </c>
    </row>
    <row r="296" hidden="1">
      <c r="A296" s="11" t="n">
        <v>46141</v>
      </c>
      <c r="B296" t="inlineStr">
        <is>
          <t>Lorena Dias de Araujo</t>
        </is>
      </c>
      <c r="C296" s="15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3" t="n">
        <v>28.96174863387978</v>
      </c>
    </row>
    <row r="297" hidden="1">
      <c r="A297" s="11" t="n">
        <v>46141</v>
      </c>
      <c r="B297" t="inlineStr">
        <is>
          <t>Patrícia Karla de Sousa Araújo</t>
        </is>
      </c>
      <c r="C297" s="15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3" t="n">
        <v>34.7972972972973</v>
      </c>
    </row>
    <row r="298" hidden="1">
      <c r="A298" s="11" t="n">
        <v>46141</v>
      </c>
      <c r="B298" t="inlineStr">
        <is>
          <t>Ana Karollyne Souza Faria</t>
        </is>
      </c>
      <c r="C298" s="15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3" t="n">
        <v>30.6483300589391</v>
      </c>
    </row>
    <row r="299" hidden="1">
      <c r="A299" s="11" t="n">
        <v>46141</v>
      </c>
      <c r="B299" t="inlineStr">
        <is>
          <t>Clessiane Pereira dos Santos</t>
        </is>
      </c>
      <c r="C299" s="15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3" t="n">
        <v>32.21957040572792</v>
      </c>
    </row>
    <row r="300" hidden="1">
      <c r="A300" s="11" t="n">
        <v>46141</v>
      </c>
      <c r="B300" t="inlineStr">
        <is>
          <t>Daniel Gomes da Silva</t>
        </is>
      </c>
      <c r="C300" s="15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3" t="n">
        <v>36.59420289855073</v>
      </c>
    </row>
    <row r="301" hidden="1">
      <c r="A301" s="11" t="n">
        <v>46141</v>
      </c>
      <c r="B301" t="inlineStr">
        <is>
          <t>Gabriel Gomes de Andrade</t>
        </is>
      </c>
      <c r="C301" s="15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3" t="n">
        <v>27.68924302788844</v>
      </c>
    </row>
    <row r="302" hidden="1">
      <c r="A302" s="11" t="n">
        <v>46141</v>
      </c>
      <c r="B302" t="inlineStr">
        <is>
          <t>Luiz Fernando de Carvalho Junior</t>
        </is>
      </c>
      <c r="C302" s="15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3" t="n">
        <v>25.76530612244898</v>
      </c>
    </row>
    <row r="303" hidden="1">
      <c r="A303" s="11" t="n">
        <v>46141</v>
      </c>
      <c r="B303" t="inlineStr">
        <is>
          <t>Raane Batista Matos</t>
        </is>
      </c>
      <c r="C303" s="15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3" t="n">
        <v>26.85851318944844</v>
      </c>
    </row>
    <row r="304" hidden="1">
      <c r="A304" s="11" t="n">
        <v>46141</v>
      </c>
      <c r="B304" t="inlineStr">
        <is>
          <t>Sara Maria Monteiro Lopes</t>
        </is>
      </c>
      <c r="C304" s="15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3" t="n">
        <v>26.36986301369863</v>
      </c>
    </row>
    <row r="305" hidden="1">
      <c r="A305" s="11" t="n">
        <v>46142</v>
      </c>
      <c r="B305" t="inlineStr">
        <is>
          <t>Amanda Moura Ferreira</t>
        </is>
      </c>
      <c r="C305" s="15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3" t="n">
        <v>35.41666666666667</v>
      </c>
    </row>
    <row r="306" hidden="1">
      <c r="A306" s="11" t="n">
        <v>46142</v>
      </c>
      <c r="B306" t="inlineStr">
        <is>
          <t>Ana Paula Da Luz Silva Aleixo</t>
        </is>
      </c>
      <c r="C306" s="15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3" t="n">
        <v>27.80373831775701</v>
      </c>
    </row>
    <row r="307" hidden="1">
      <c r="A307" s="11" t="n">
        <v>46142</v>
      </c>
      <c r="B307" t="inlineStr">
        <is>
          <t>Cristiane Ramos da Silva Rocha</t>
        </is>
      </c>
      <c r="C307" s="15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3" t="n">
        <v>26.81992337164751</v>
      </c>
    </row>
    <row r="308" hidden="1">
      <c r="A308" s="11" t="n">
        <v>46142</v>
      </c>
      <c r="B308" t="inlineStr">
        <is>
          <t>Davylla Rodrigues Freitas Silva</t>
        </is>
      </c>
      <c r="C308" s="15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3" t="n">
        <v>38.65384615384615</v>
      </c>
    </row>
    <row r="309" hidden="1">
      <c r="A309" s="11" t="n">
        <v>46142</v>
      </c>
      <c r="B309" t="inlineStr">
        <is>
          <t>Francielson de Oliveira</t>
        </is>
      </c>
      <c r="C309" s="15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3" t="n">
        <v>29.76653696498055</v>
      </c>
    </row>
    <row r="310" hidden="1">
      <c r="A310" s="11" t="n">
        <v>46142</v>
      </c>
      <c r="B310" t="inlineStr">
        <is>
          <t>Janaina Lima dos Reis Urany</t>
        </is>
      </c>
      <c r="C310" s="15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3" t="n">
        <v>30.63583815028902</v>
      </c>
    </row>
    <row r="311" hidden="1">
      <c r="A311" s="11" t="n">
        <v>46142</v>
      </c>
      <c r="B311" t="inlineStr">
        <is>
          <t>Jaqueline Evangelista da Silva Martins</t>
        </is>
      </c>
      <c r="C311" s="15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3" t="n">
        <v>32.43243243243244</v>
      </c>
    </row>
    <row r="312" hidden="1">
      <c r="A312" s="11" t="n">
        <v>46142</v>
      </c>
      <c r="B312" t="inlineStr">
        <is>
          <t>Jéssica Fé Moura</t>
        </is>
      </c>
      <c r="C312" s="15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3" t="n">
        <v>0</v>
      </c>
    </row>
    <row r="313" hidden="1">
      <c r="A313" s="11" t="n">
        <v>46142</v>
      </c>
      <c r="B313" t="inlineStr">
        <is>
          <t>Kerollen Cristielly de Jesus Siqueira</t>
        </is>
      </c>
      <c r="C313" s="15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3" t="n">
        <v>48.01864801864802</v>
      </c>
    </row>
    <row r="314" hidden="1">
      <c r="A314" s="11" t="n">
        <v>46142</v>
      </c>
      <c r="B314" t="inlineStr">
        <is>
          <t>Leandro Oliveira de Sousa</t>
        </is>
      </c>
      <c r="C314" s="15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3" t="n">
        <v>27.58620689655172</v>
      </c>
    </row>
    <row r="315" hidden="1">
      <c r="A315" s="11" t="n">
        <v>46142</v>
      </c>
      <c r="B315" t="inlineStr">
        <is>
          <t>Lucas Luiz Romero</t>
        </is>
      </c>
      <c r="C315" s="15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3" t="n">
        <v>22.03389830508474</v>
      </c>
    </row>
    <row r="316" hidden="1">
      <c r="A316" s="11" t="n">
        <v>46142</v>
      </c>
      <c r="B316" t="inlineStr">
        <is>
          <t>Matheus Farias De Souza</t>
        </is>
      </c>
      <c r="C316" s="15" t="inlineStr">
        <is>
          <t>Técnico III</t>
        </is>
      </c>
      <c r="D316" s="3" t="n">
        <v>15</v>
      </c>
      <c r="E316" s="3" t="n">
        <v>13</v>
      </c>
      <c r="F316" s="3" t="n">
        <v>11.57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IF(K316&lt;-5,"CRÍTICO",IF(K316&lt;0,"ATENÇÃO",IF(K316&lt;=5,"OPORTUNO","MUITO BOM")))</f>
        <v/>
      </c>
      <c r="M316" s="3" t="n">
        <v>33</v>
      </c>
      <c r="N316" s="3" t="n">
        <v>100</v>
      </c>
      <c r="O316" s="16" t="n">
        <v>23.9870340356564</v>
      </c>
    </row>
    <row r="317" hidden="1">
      <c r="A317" s="11" t="n">
        <v>46142</v>
      </c>
      <c r="B317" t="inlineStr">
        <is>
          <t>Maysa Victoria Dias Moura</t>
        </is>
      </c>
      <c r="C317" s="15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3" t="n">
        <v>28.37022132796781</v>
      </c>
    </row>
    <row r="318" hidden="1">
      <c r="A318" s="11" t="n">
        <v>46142</v>
      </c>
      <c r="B318" t="inlineStr">
        <is>
          <t>Rafael Gomes de Morais</t>
        </is>
      </c>
      <c r="C318" s="15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3" t="n">
        <v>31.13553113553114</v>
      </c>
    </row>
    <row r="319" hidden="1">
      <c r="A319" s="11" t="n">
        <v>46142</v>
      </c>
      <c r="B319" t="inlineStr">
        <is>
          <t>Sarah Steffanie de Lima Borges</t>
        </is>
      </c>
      <c r="C319" s="15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3" t="n">
        <v>25.18891687657431</v>
      </c>
    </row>
    <row r="320" hidden="1">
      <c r="A320" s="13" t="n">
        <v>46142</v>
      </c>
      <c r="B320" t="inlineStr">
        <is>
          <t>Alisson de Freitas Silva</t>
        </is>
      </c>
      <c r="C320" s="15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3" t="n">
        <v>32.76450511945392</v>
      </c>
    </row>
    <row r="321" hidden="1">
      <c r="A321" s="11" t="n">
        <v>46142</v>
      </c>
      <c r="B321" t="inlineStr">
        <is>
          <t>Brenda de Menezes Silva</t>
        </is>
      </c>
      <c r="C321" s="15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3" t="n">
        <v>30.74141048824593</v>
      </c>
    </row>
    <row r="322" hidden="1">
      <c r="A322" s="11" t="n">
        <v>46142</v>
      </c>
      <c r="B322" t="inlineStr">
        <is>
          <t>Carlos Mateus Cassimiro Nunes</t>
        </is>
      </c>
      <c r="C322" s="15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3" t="n">
        <v>27.17086834733893</v>
      </c>
    </row>
    <row r="323" hidden="1">
      <c r="A323" s="11" t="n">
        <v>46142</v>
      </c>
      <c r="B323" t="inlineStr">
        <is>
          <t>Damyllis Lorraine de Oliveira Gonçalves</t>
        </is>
      </c>
      <c r="C323" s="15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3" t="n">
        <v>31.01851851851852</v>
      </c>
    </row>
    <row r="324" hidden="1">
      <c r="A324" s="11" t="n">
        <v>46142</v>
      </c>
      <c r="B324" t="inlineStr">
        <is>
          <t>Emilly Kamilly Medeiros Miranda</t>
        </is>
      </c>
      <c r="C324" s="15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3" t="n">
        <v>28.35164835164835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11" t="n">
        <v>46142</v>
      </c>
      <c r="B326" t="inlineStr">
        <is>
          <t>Francilene Ferreira de Jesus</t>
        </is>
      </c>
      <c r="C326" s="15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3" t="n">
        <v>29.46236559139785</v>
      </c>
    </row>
    <row r="327" hidden="1">
      <c r="A327" s="11" t="n">
        <v>46142</v>
      </c>
      <c r="B327" t="inlineStr">
        <is>
          <t>Isabella Borges de Oliveira</t>
        </is>
      </c>
      <c r="C327" s="15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3" t="n">
        <v>28.92156862745098</v>
      </c>
    </row>
    <row r="328" hidden="1">
      <c r="A328" s="11" t="n">
        <v>46142</v>
      </c>
      <c r="B328" t="inlineStr">
        <is>
          <t>Jessica Faria da Silveira</t>
        </is>
      </c>
      <c r="C328" s="15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3" t="n">
        <v>26.25698324022346</v>
      </c>
    </row>
    <row r="329" hidden="1">
      <c r="A329" s="11" t="n">
        <v>46142</v>
      </c>
      <c r="B329" t="inlineStr">
        <is>
          <t>Lizandra Gomes Duarte</t>
        </is>
      </c>
      <c r="C329" s="15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3" t="n">
        <v>29.75206611570248</v>
      </c>
    </row>
    <row r="330" hidden="1">
      <c r="A330" s="11" t="n">
        <v>46142</v>
      </c>
      <c r="B330" t="inlineStr">
        <is>
          <t>Lorena Dias de Araujo</t>
        </is>
      </c>
      <c r="C330" s="15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3" t="n">
        <v>28.96174863387978</v>
      </c>
    </row>
    <row r="331" hidden="1">
      <c r="A331" s="11" t="n">
        <v>46142</v>
      </c>
      <c r="B331" t="inlineStr">
        <is>
          <t>Patrícia Karla de Sousa Araújo</t>
        </is>
      </c>
      <c r="C331" s="15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3" t="n">
        <v>34.7972972972973</v>
      </c>
    </row>
    <row r="332" hidden="1">
      <c r="A332" s="11" t="n">
        <v>46142</v>
      </c>
      <c r="B332" t="inlineStr">
        <is>
          <t>Ana Karollyne Souza Faria</t>
        </is>
      </c>
      <c r="C332" s="15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3" t="n">
        <v>30.6483300589391</v>
      </c>
    </row>
    <row r="333" hidden="1">
      <c r="A333" s="11" t="n">
        <v>46142</v>
      </c>
      <c r="B333" t="inlineStr">
        <is>
          <t>Clessiane Pereira dos Santos</t>
        </is>
      </c>
      <c r="C333" s="15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3" t="n">
        <v>32.21957040572792</v>
      </c>
    </row>
    <row r="334" hidden="1">
      <c r="A334" s="11" t="n">
        <v>46142</v>
      </c>
      <c r="B334" t="inlineStr">
        <is>
          <t>Daniel Gomes da Silva</t>
        </is>
      </c>
      <c r="C334" s="15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3" t="n">
        <v>36.59420289855073</v>
      </c>
    </row>
    <row r="335" hidden="1">
      <c r="A335" s="11" t="n">
        <v>46142</v>
      </c>
      <c r="B335" t="inlineStr">
        <is>
          <t>Gabriel Gomes de Andrade</t>
        </is>
      </c>
      <c r="C335" s="15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3" t="n">
        <v>27.68924302788844</v>
      </c>
    </row>
    <row r="336" hidden="1">
      <c r="A336" s="11" t="n">
        <v>46142</v>
      </c>
      <c r="B336" t="inlineStr">
        <is>
          <t>Luiz Fernando de Carvalho Junior</t>
        </is>
      </c>
      <c r="C336" s="15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3" t="n">
        <v>25.76530612244898</v>
      </c>
    </row>
    <row r="337" hidden="1">
      <c r="A337" s="11" t="n">
        <v>46142</v>
      </c>
      <c r="B337" t="inlineStr">
        <is>
          <t>Raane Batista Matos</t>
        </is>
      </c>
      <c r="C337" s="15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3" t="n">
        <v>26.85851318944844</v>
      </c>
    </row>
    <row r="338" hidden="1">
      <c r="A338" s="11" t="n">
        <v>46142</v>
      </c>
      <c r="B338" t="inlineStr">
        <is>
          <t>Sara Maria Monteiro Lopes</t>
        </is>
      </c>
      <c r="C338" s="15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3" t="n">
        <v>26.36986301369863</v>
      </c>
    </row>
    <row r="339" hidden="1">
      <c r="A339" s="5" t="n">
        <v>46146</v>
      </c>
      <c r="B339" s="6" t="inlineStr">
        <is>
          <t>Amanda Moura Ferreira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IF(K339&lt;-5,"CRÍTICO",IF(K339&lt;0,"ATENÇÃO",IF(K339&lt;=5,"BOM","EXCELENTE")))</f>
        <v/>
      </c>
      <c r="M339" s="3" t="n">
        <v>0</v>
      </c>
      <c r="N339" s="3" t="n">
        <v>100</v>
      </c>
      <c r="O339" s="3" t="n">
        <v>0</v>
      </c>
    </row>
    <row r="340" hidden="1">
      <c r="A340" s="5" t="n">
        <v>46146</v>
      </c>
      <c r="B340" s="6" t="inlineStr">
        <is>
          <t>Ana Paula Da Luz Silva Aleixo</t>
        </is>
      </c>
      <c r="C340" s="14" t="inlineStr">
        <is>
          <t>Técnico III</t>
        </is>
      </c>
      <c r="D340" s="3" t="n">
        <v>30</v>
      </c>
      <c r="E340" s="3" t="n">
        <v>27</v>
      </c>
      <c r="F340" s="3" t="n">
        <v>17.2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31</v>
      </c>
      <c r="N340" s="3" t="n">
        <v>96.94</v>
      </c>
      <c r="O340" s="3" t="n">
        <v>19.61325966850829</v>
      </c>
    </row>
    <row r="341" hidden="1">
      <c r="A341" s="5" t="n">
        <v>46146</v>
      </c>
      <c r="B341" s="6" t="inlineStr">
        <is>
          <t>Cristiane Ramos da Silva Rocha</t>
        </is>
      </c>
      <c r="C341" s="1" t="inlineStr">
        <is>
          <t>Técnico III</t>
        </is>
      </c>
      <c r="D341" s="3" t="n">
        <v>38</v>
      </c>
      <c r="E341" s="3" t="n">
        <v>37</v>
      </c>
      <c r="F341" s="3" t="n">
        <v>13.54</v>
      </c>
      <c r="G341" s="3" t="n">
        <v>1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32</v>
      </c>
      <c r="N341" s="3" t="n">
        <v>92.81</v>
      </c>
      <c r="O341" s="3" t="n">
        <v>25.47770700636943</v>
      </c>
    </row>
    <row r="342" hidden="1">
      <c r="A342" s="5" t="n">
        <v>46146</v>
      </c>
      <c r="B342" s="6" t="inlineStr">
        <is>
          <t>Davylla Rodrigues Freitas Silva</t>
        </is>
      </c>
      <c r="C342" s="14" t="inlineStr">
        <is>
          <t>Técnico III</t>
        </is>
      </c>
      <c r="D342" s="3" t="n">
        <v>21</v>
      </c>
      <c r="E342" s="3" t="n">
        <v>20</v>
      </c>
      <c r="F342" s="3" t="n">
        <v>21.4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25</v>
      </c>
      <c r="N342" s="3" t="n">
        <v>99.19</v>
      </c>
      <c r="O342" s="3" t="n">
        <v>28.40466926070039</v>
      </c>
    </row>
    <row r="343" hidden="1">
      <c r="A343" s="5" t="n">
        <v>46146</v>
      </c>
      <c r="B343" s="6" t="inlineStr">
        <is>
          <t>Francielson de Oliveira</t>
        </is>
      </c>
      <c r="C343" s="14" t="inlineStr">
        <is>
          <t>Técnico III</t>
        </is>
      </c>
      <c r="D343" s="3" t="n">
        <v>0</v>
      </c>
      <c r="E343" s="3" t="n">
        <v>0</v>
      </c>
      <c r="F343" s="3" t="n">
        <v>0</v>
      </c>
      <c r="G343" s="3" t="n">
        <v>0</v>
      </c>
      <c r="H343" s="3" t="n">
        <v>0</v>
      </c>
      <c r="I343" s="3" t="n">
        <v>0</v>
      </c>
      <c r="J343" s="3" t="n">
        <v>0</v>
      </c>
      <c r="K343" s="3" t="n">
        <v>0</v>
      </c>
      <c r="L343" s="3">
        <f>IF(K343&lt;-5,"CRÍTICO",IF(K343&lt;0,"ATENÇÃO",IF(K343&lt;=5,"OPORTUNO","MUITO BOM")))</f>
        <v/>
      </c>
      <c r="M343" s="3" t="n">
        <v>0</v>
      </c>
      <c r="N343" s="3" t="n">
        <v>100</v>
      </c>
      <c r="O343" s="3" t="n">
        <v>13.51351351351351</v>
      </c>
    </row>
    <row r="344" hidden="1">
      <c r="A344" s="5" t="n">
        <v>46146</v>
      </c>
      <c r="B344" s="6" t="inlineStr">
        <is>
          <t>Janaina Lima dos Reis Urany</t>
        </is>
      </c>
      <c r="C344" s="1" t="inlineStr">
        <is>
          <t>Técnico III</t>
        </is>
      </c>
      <c r="D344" s="3" t="n">
        <v>47</v>
      </c>
      <c r="E344" s="3" t="n">
        <v>44</v>
      </c>
      <c r="F344" s="3" t="n">
        <v>12.18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46</v>
      </c>
      <c r="N344" s="3" t="n">
        <v>99</v>
      </c>
      <c r="O344" s="3" t="n">
        <v>22.27414330218069</v>
      </c>
    </row>
    <row r="345" hidden="1">
      <c r="A345" s="5" t="n">
        <v>46146</v>
      </c>
      <c r="B345" s="6" t="inlineStr">
        <is>
          <t>Jaqueline Evangelista da Silva Martins</t>
        </is>
      </c>
      <c r="C345" s="1" t="inlineStr">
        <is>
          <t>Técnico III</t>
        </is>
      </c>
      <c r="D345" s="3" t="n">
        <v>11</v>
      </c>
      <c r="E345" s="3" t="n">
        <v>11</v>
      </c>
      <c r="F345" s="3" t="n">
        <v>22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18</v>
      </c>
      <c r="N345" s="3" t="n">
        <v>97.04000000000001</v>
      </c>
      <c r="O345" s="3" t="n">
        <v>29.82885085574572</v>
      </c>
    </row>
    <row r="346" hidden="1">
      <c r="A346" s="5" t="n">
        <v>46146</v>
      </c>
      <c r="B346" s="6" t="inlineStr">
        <is>
          <t>Jéssica Fé Moura</t>
        </is>
      </c>
      <c r="C346" s="1" t="inlineStr">
        <is>
          <t>Técnico III</t>
        </is>
      </c>
      <c r="D346" s="3" t="n">
        <v>0</v>
      </c>
      <c r="E346" s="3" t="n">
        <v>0</v>
      </c>
      <c r="F346" s="3" t="n">
        <v>0</v>
      </c>
      <c r="G346" s="3" t="n">
        <v>0</v>
      </c>
      <c r="H346" s="3" t="n">
        <v>0</v>
      </c>
      <c r="I346" s="3" t="n">
        <v>0</v>
      </c>
      <c r="J346" s="3" t="n">
        <v>0</v>
      </c>
      <c r="K346" s="3" t="n">
        <v>0</v>
      </c>
      <c r="L346" s="3">
        <f>IF(K346&lt;-5,"CRÍTICO",IF(K346&lt;0,"ATENÇÃO",IF(K346&lt;=5,"OPORTUNO","MUITO BOM")))</f>
        <v/>
      </c>
      <c r="M346" s="3" t="n">
        <v>0</v>
      </c>
      <c r="N346" s="3" t="n">
        <v>0</v>
      </c>
      <c r="O346" s="3" t="n">
        <v>0</v>
      </c>
    </row>
    <row r="347" hidden="1">
      <c r="A347" s="5" t="n">
        <v>46146</v>
      </c>
      <c r="B347" s="6" t="inlineStr">
        <is>
          <t>Kerollen Cristielly de Jesus Siqueira</t>
        </is>
      </c>
      <c r="C347" s="14" t="inlineStr">
        <is>
          <t>Técnico III</t>
        </is>
      </c>
      <c r="D347" s="3" t="n">
        <v>20</v>
      </c>
      <c r="E347" s="3" t="n">
        <v>20</v>
      </c>
      <c r="F347" s="3" t="n">
        <v>20.48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20</v>
      </c>
      <c r="N347" s="3" t="n">
        <v>96.84</v>
      </c>
      <c r="O347" s="3" t="n">
        <v>16.33802816901408</v>
      </c>
    </row>
    <row r="348" hidden="1">
      <c r="A348" s="5" t="n">
        <v>46146</v>
      </c>
      <c r="B348" s="6" t="inlineStr">
        <is>
          <t>Leandro Oliveira de Sousa</t>
        </is>
      </c>
      <c r="C348" s="14" t="inlineStr">
        <is>
          <t>Técnico III</t>
        </is>
      </c>
      <c r="D348" s="3" t="n">
        <v>32</v>
      </c>
      <c r="E348" s="3" t="n">
        <v>29</v>
      </c>
      <c r="F348" s="3" t="n">
        <v>15.44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IF(K348&lt;-5,"CRÍTICO",IF(K348&lt;0,"ATENÇÃO",IF(K348&lt;=5,"OPORTUNO","MUITO BOM")))</f>
        <v/>
      </c>
      <c r="M348" s="3" t="n">
        <v>27</v>
      </c>
      <c r="N348" s="3" t="n">
        <v>100</v>
      </c>
      <c r="O348" s="3" t="n">
        <v>18.24480369515012</v>
      </c>
    </row>
    <row r="349" hidden="1">
      <c r="A349" s="5" t="n">
        <v>46146</v>
      </c>
      <c r="B349" s="6" t="inlineStr">
        <is>
          <t>Lucas Luiz Romero</t>
        </is>
      </c>
      <c r="C349" s="1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IF(K349&lt;-5,"CRÍTICO",IF(K349&lt;0,"ATENÇÃO",IF(K349&lt;=5,"OPORTUNO","MUITO BOM")))</f>
        <v/>
      </c>
      <c r="M349" s="3" t="n">
        <v>0</v>
      </c>
      <c r="N349" s="3" t="n">
        <v>100</v>
      </c>
      <c r="O349" s="3" t="n">
        <v>15.78947368421053</v>
      </c>
    </row>
    <row r="350" hidden="1">
      <c r="A350" s="5" t="n">
        <v>46146</v>
      </c>
      <c r="B350" s="6" t="inlineStr">
        <is>
          <t>Matheus Farias De Souza</t>
        </is>
      </c>
      <c r="C350" s="1" t="inlineStr">
        <is>
          <t>Técnico III</t>
        </is>
      </c>
      <c r="D350" s="3" t="n">
        <v>32</v>
      </c>
      <c r="E350" s="3" t="n">
        <v>31</v>
      </c>
      <c r="F350" s="3" t="n">
        <v>10.27</v>
      </c>
      <c r="G350" s="3" t="n">
        <v>1</v>
      </c>
      <c r="H350" s="3" t="n">
        <v>25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IF(K350&lt;-5,"CRÍTICO",IF(K350&lt;0,"ATENÇÃO",IF(K350&lt;=5,"OPORTUNO","MUITO BOM")))</f>
        <v/>
      </c>
      <c r="M350" s="3" t="n">
        <v>36</v>
      </c>
      <c r="N350" s="3" t="n">
        <v>98.39</v>
      </c>
      <c r="O350" s="16" t="n">
        <v>8.799999999999999</v>
      </c>
    </row>
    <row r="351" hidden="1">
      <c r="A351" s="5" t="n">
        <v>46146</v>
      </c>
      <c r="B351" s="6" t="inlineStr">
        <is>
          <t>Maysa Victoria Dias Moura</t>
        </is>
      </c>
      <c r="C351" s="1" t="inlineStr">
        <is>
          <t>Técnico III</t>
        </is>
      </c>
      <c r="D351" s="3" t="n">
        <v>40</v>
      </c>
      <c r="E351" s="3" t="n">
        <v>37</v>
      </c>
      <c r="F351" s="3" t="n">
        <v>10.48</v>
      </c>
      <c r="G351" s="3" t="n">
        <v>1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33</v>
      </c>
      <c r="N351" s="3" t="n">
        <v>96.38</v>
      </c>
      <c r="O351" s="3" t="n">
        <v>23.1981981981982</v>
      </c>
    </row>
    <row r="352" hidden="1">
      <c r="A352" s="5" t="n">
        <v>46146</v>
      </c>
      <c r="B352" s="6" t="inlineStr">
        <is>
          <t>Rafael Gomes de Morais</t>
        </is>
      </c>
      <c r="C352" s="1" t="inlineStr">
        <is>
          <t>Técnico III</t>
        </is>
      </c>
      <c r="D352" s="3" t="n">
        <v>50</v>
      </c>
      <c r="E352" s="3" t="n">
        <v>46</v>
      </c>
      <c r="F352" s="3" t="n">
        <v>12.23</v>
      </c>
      <c r="G352" s="3" t="n">
        <v>1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32</v>
      </c>
      <c r="N352" s="3" t="n">
        <v>99.39</v>
      </c>
      <c r="O352" s="3" t="n">
        <v>25.20325203252033</v>
      </c>
    </row>
    <row r="353" hidden="1">
      <c r="A353" s="5" t="n">
        <v>46146</v>
      </c>
      <c r="B353" s="6" t="inlineStr">
        <is>
          <t>Sarah Steffanie de Lima Borges</t>
        </is>
      </c>
      <c r="C353" s="1" t="inlineStr">
        <is>
          <t>Técnico III</t>
        </is>
      </c>
      <c r="D353" s="3" t="n">
        <v>26</v>
      </c>
      <c r="E353" s="3" t="n">
        <v>25</v>
      </c>
      <c r="F353" s="3" t="n">
        <v>17.25</v>
      </c>
      <c r="G353" s="3" t="n">
        <v>4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97</v>
      </c>
      <c r="O353" s="3" t="n">
        <v>20.32520325203252</v>
      </c>
    </row>
    <row r="354" hidden="1">
      <c r="A354" s="5" t="n">
        <v>46146</v>
      </c>
      <c r="B354" s="6" t="inlineStr">
        <is>
          <t>Alisson de Freitas Silva</t>
        </is>
      </c>
      <c r="C354" s="1" t="inlineStr">
        <is>
          <t>Técnico II</t>
        </is>
      </c>
      <c r="D354" s="3" t="n">
        <v>40</v>
      </c>
      <c r="E354" s="3" t="n">
        <v>38</v>
      </c>
      <c r="F354" s="3" t="n">
        <v>13.5</v>
      </c>
      <c r="G354" s="3" t="n">
        <v>4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36</v>
      </c>
      <c r="N354" s="3" t="n">
        <v>99.18000000000001</v>
      </c>
      <c r="O354" s="3" t="n">
        <v>24.5014245014245</v>
      </c>
    </row>
    <row r="355" hidden="1">
      <c r="A355" s="5" t="n">
        <v>46146</v>
      </c>
      <c r="B355" s="6" t="inlineStr">
        <is>
          <t>Brenda de Menezes Silva</t>
        </is>
      </c>
      <c r="C355" s="1" t="inlineStr">
        <is>
          <t>Técnico II</t>
        </is>
      </c>
      <c r="D355" s="3" t="n">
        <v>41</v>
      </c>
      <c r="E355" s="3" t="n">
        <v>38</v>
      </c>
      <c r="F355" s="3" t="n">
        <v>11.44</v>
      </c>
      <c r="G355" s="3" t="n">
        <v>5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43</v>
      </c>
      <c r="N355" s="3" t="n">
        <v>99.34999999999999</v>
      </c>
      <c r="O355" s="3" t="n">
        <v>19.85294117647059</v>
      </c>
    </row>
    <row r="356" hidden="1">
      <c r="A356" s="5" t="n">
        <v>46146</v>
      </c>
      <c r="B356" s="6" t="inlineStr">
        <is>
          <t>Carlos Mateus Cassimiro Nunes</t>
        </is>
      </c>
      <c r="C356" s="14" t="inlineStr">
        <is>
          <t>Técnico II</t>
        </is>
      </c>
      <c r="D356" s="3" t="n">
        <v>31</v>
      </c>
      <c r="E356" s="3" t="n">
        <v>29</v>
      </c>
      <c r="F356" s="3" t="n">
        <v>20.3</v>
      </c>
      <c r="G356" s="3" t="n">
        <v>0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28</v>
      </c>
      <c r="N356" s="3" t="n">
        <v>99.06999999999999</v>
      </c>
      <c r="O356" s="3" t="n">
        <v>20.09803921568627</v>
      </c>
    </row>
    <row r="357" hidden="1">
      <c r="A357" s="5" t="n">
        <v>46146</v>
      </c>
      <c r="B357" s="6" t="inlineStr">
        <is>
          <t>Damyllis Lorraine de Oliveira Gonçalves</t>
        </is>
      </c>
      <c r="C357" s="1" t="inlineStr">
        <is>
          <t>Técnico II</t>
        </is>
      </c>
      <c r="D357" s="3" t="n">
        <v>37</v>
      </c>
      <c r="E357" s="3" t="n">
        <v>30</v>
      </c>
      <c r="F357" s="3" t="n">
        <v>15.15</v>
      </c>
      <c r="G357" s="3" t="n">
        <v>0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25</v>
      </c>
      <c r="N357" s="3" t="n">
        <v>98.81</v>
      </c>
      <c r="O357" s="3" t="n">
        <v>22.76785714285714</v>
      </c>
    </row>
    <row r="358" hidden="1">
      <c r="A358" s="5" t="n">
        <v>46146</v>
      </c>
      <c r="B358" s="6" t="inlineStr">
        <is>
          <t>Emilly Kamilly Medeiros Miranda</t>
        </is>
      </c>
      <c r="C358" s="1" t="inlineStr">
        <is>
          <t>Técnico II</t>
        </is>
      </c>
      <c r="D358" s="3" t="n">
        <v>31</v>
      </c>
      <c r="E358" s="3" t="n">
        <v>28</v>
      </c>
      <c r="F358" s="3" t="n">
        <v>15.09</v>
      </c>
      <c r="G358" s="3" t="n">
        <v>7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29</v>
      </c>
      <c r="N358" s="3" t="n">
        <v>99.01000000000001</v>
      </c>
      <c r="O358" s="3" t="n">
        <v>17.76649746192894</v>
      </c>
    </row>
    <row r="359" hidden="1">
      <c r="A359" s="5" t="n">
        <v>46146</v>
      </c>
      <c r="B359" s="6" t="inlineStr">
        <is>
          <t>Francilene Ferreira de Jesus</t>
        </is>
      </c>
      <c r="C359" s="1" t="inlineStr">
        <is>
          <t>Técnico II</t>
        </is>
      </c>
      <c r="D359" s="3" t="n">
        <v>36</v>
      </c>
      <c r="E359" s="3" t="n">
        <v>33</v>
      </c>
      <c r="F359" s="3" t="n">
        <v>18.37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29</v>
      </c>
      <c r="N359" s="3" t="n">
        <v>100</v>
      </c>
      <c r="O359" s="3" t="n">
        <v>17.24137931034483</v>
      </c>
    </row>
    <row r="360" hidden="1">
      <c r="A360" s="5" t="n">
        <v>46146</v>
      </c>
      <c r="B360" s="6" t="inlineStr">
        <is>
          <t>Isabella Borges de Oliveira</t>
        </is>
      </c>
      <c r="C360" s="14" t="inlineStr">
        <is>
          <t>Técnico II</t>
        </is>
      </c>
      <c r="D360" s="3" t="n">
        <v>36</v>
      </c>
      <c r="E360" s="3" t="n">
        <v>34</v>
      </c>
      <c r="F360" s="3" t="n">
        <v>14.11</v>
      </c>
      <c r="G360" s="3" t="n">
        <v>0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33</v>
      </c>
      <c r="N360" s="3" t="n">
        <v>98.98</v>
      </c>
      <c r="O360" s="3" t="n">
        <v>19.35483870967742</v>
      </c>
    </row>
    <row r="361" hidden="1">
      <c r="A361" s="5" t="n">
        <v>46146</v>
      </c>
      <c r="B361" s="6" t="inlineStr">
        <is>
          <t>Jessica Faria da Silveira</t>
        </is>
      </c>
      <c r="C361" s="1" t="inlineStr">
        <is>
          <t>Técnico II</t>
        </is>
      </c>
      <c r="D361" s="3" t="n">
        <v>32</v>
      </c>
      <c r="E361" s="3" t="n">
        <v>28</v>
      </c>
      <c r="F361" s="3" t="n">
        <v>14.15</v>
      </c>
      <c r="G361" s="3" t="n">
        <v>4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31</v>
      </c>
      <c r="N361" s="3" t="n">
        <v>98.94</v>
      </c>
      <c r="O361" s="3" t="n">
        <v>21.2707182320442</v>
      </c>
    </row>
    <row r="362" hidden="1">
      <c r="A362" s="5" t="n">
        <v>46146</v>
      </c>
      <c r="B362" s="6" t="inlineStr">
        <is>
          <t>Lizandra Gomes Duarte</t>
        </is>
      </c>
      <c r="C362" s="1" t="inlineStr">
        <is>
          <t>Técnico II</t>
        </is>
      </c>
      <c r="D362" s="3" t="n">
        <v>29</v>
      </c>
      <c r="E362" s="3" t="n">
        <v>26</v>
      </c>
      <c r="F362" s="3" t="n">
        <v>15.47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IF(K362&lt;-5,"CRÍTICO",IF(K362&lt;0,"ATENÇÃO",IF(K362&lt;=5,"OPORTUNO","MUITO BOM")))</f>
        <v/>
      </c>
      <c r="M362" s="3" t="n">
        <v>15</v>
      </c>
      <c r="N362" s="3" t="n">
        <v>99</v>
      </c>
      <c r="O362" s="3" t="n">
        <v>22.01086956521739</v>
      </c>
    </row>
    <row r="363" hidden="1">
      <c r="A363" s="5" t="n">
        <v>46146</v>
      </c>
      <c r="B363" s="6" t="inlineStr">
        <is>
          <t>Lorena Dias de Araujo</t>
        </is>
      </c>
      <c r="C363" s="1" t="inlineStr">
        <is>
          <t>Técnico II</t>
        </is>
      </c>
      <c r="D363" s="3" t="n">
        <v>41</v>
      </c>
      <c r="E363" s="3" t="n">
        <v>40</v>
      </c>
      <c r="F363" s="3" t="n">
        <v>15.1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IF(K363&lt;-5,"CRÍTICO",IF(K363&lt;0,"ATENÇÃO",IF(K363&lt;=5,"OPORTUNO","MUITO BOM")))</f>
        <v/>
      </c>
      <c r="M363" s="3" t="n">
        <v>31</v>
      </c>
      <c r="N363" s="3" t="n">
        <v>100</v>
      </c>
      <c r="O363" s="3" t="n">
        <v>25</v>
      </c>
    </row>
    <row r="364" hidden="1">
      <c r="A364" s="5" t="n">
        <v>46146</v>
      </c>
      <c r="B364" s="6" t="inlineStr">
        <is>
          <t>Patrícia Karla de Sousa Araújo</t>
        </is>
      </c>
      <c r="C364" s="1" t="inlineStr">
        <is>
          <t>Técnico II</t>
        </is>
      </c>
      <c r="D364" s="3" t="n">
        <v>20</v>
      </c>
      <c r="E364" s="3" t="n">
        <v>16</v>
      </c>
      <c r="F364" s="3" t="n">
        <v>16.51</v>
      </c>
      <c r="G364" s="3" t="n">
        <v>0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14</v>
      </c>
      <c r="N364" s="3" t="n">
        <v>100</v>
      </c>
      <c r="O364" s="3" t="n">
        <v>20.18348623853211</v>
      </c>
    </row>
    <row r="365" hidden="1">
      <c r="A365" s="5" t="n">
        <v>46146</v>
      </c>
      <c r="B365" s="6" t="inlineStr">
        <is>
          <t>Ana Karollyne Souza Faria</t>
        </is>
      </c>
      <c r="C365" s="1" t="inlineStr">
        <is>
          <t>Técnico I</t>
        </is>
      </c>
      <c r="D365" s="3" t="n">
        <v>41</v>
      </c>
      <c r="E365" s="3" t="n">
        <v>39</v>
      </c>
      <c r="F365" s="3" t="n">
        <v>17.31</v>
      </c>
      <c r="G365" s="3" t="n">
        <v>1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35</v>
      </c>
      <c r="N365" s="3" t="n">
        <v>96.25</v>
      </c>
      <c r="O365" s="3" t="n">
        <v>25.5863539445629</v>
      </c>
    </row>
    <row r="366" hidden="1">
      <c r="A366" s="5" t="n">
        <v>46146</v>
      </c>
      <c r="B366" s="6" t="inlineStr">
        <is>
          <t>Clessiane Pereira dos Santos</t>
        </is>
      </c>
      <c r="C366" s="1" t="inlineStr">
        <is>
          <t>Técnico I</t>
        </is>
      </c>
      <c r="D366" s="3" t="n">
        <v>32</v>
      </c>
      <c r="E366" s="3" t="n">
        <v>26</v>
      </c>
      <c r="F366" s="3" t="n">
        <v>15.13</v>
      </c>
      <c r="G366" s="3" t="n">
        <v>6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29</v>
      </c>
      <c r="N366" s="3" t="n">
        <v>97.48</v>
      </c>
      <c r="O366" s="3" t="n">
        <v>22.99465240641711</v>
      </c>
    </row>
    <row r="367" hidden="1">
      <c r="A367" s="5" t="n">
        <v>46146</v>
      </c>
      <c r="B367" s="6" t="inlineStr">
        <is>
          <t>Daniel Gomes da Silva</t>
        </is>
      </c>
      <c r="C367" s="1" t="inlineStr">
        <is>
          <t>Técnico I</t>
        </is>
      </c>
      <c r="D367" s="3" t="n">
        <v>28</v>
      </c>
      <c r="E367" s="3" t="n">
        <v>27</v>
      </c>
      <c r="F367" s="3" t="n">
        <v>17.14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16</v>
      </c>
      <c r="N367" s="3" t="n">
        <v>100</v>
      </c>
      <c r="O367" s="3" t="n">
        <v>20.78853046594982</v>
      </c>
    </row>
    <row r="368" hidden="1">
      <c r="A368" s="5" t="n">
        <v>46146</v>
      </c>
      <c r="B368" s="6" t="inlineStr">
        <is>
          <t>Gabriel Gomes de Andrade</t>
        </is>
      </c>
      <c r="C368" s="1" t="inlineStr">
        <is>
          <t>Técnico I</t>
        </is>
      </c>
      <c r="D368" s="3" t="n">
        <v>24</v>
      </c>
      <c r="E368" s="3" t="n">
        <v>20</v>
      </c>
      <c r="F368" s="3" t="n">
        <v>21.45</v>
      </c>
      <c r="G368" s="3" t="n">
        <v>7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22</v>
      </c>
      <c r="N368" s="3" t="n">
        <v>99.06</v>
      </c>
      <c r="O368" s="3" t="n">
        <v>19.41747572815534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46146</v>
      </c>
      <c r="B370" s="6" t="inlineStr">
        <is>
          <t>Luiz Fernando de Carvalho Junior</t>
        </is>
      </c>
      <c r="C370" s="1" t="inlineStr">
        <is>
          <t>Técnico I</t>
        </is>
      </c>
      <c r="D370" s="3" t="n">
        <v>25</v>
      </c>
      <c r="E370" s="3" t="n">
        <v>21</v>
      </c>
      <c r="F370" s="3" t="n">
        <v>17.18</v>
      </c>
      <c r="G370" s="3" t="n">
        <v>4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26</v>
      </c>
      <c r="N370" s="3" t="n">
        <v>94.55</v>
      </c>
      <c r="O370" s="3" t="n">
        <v>23.45013477088949</v>
      </c>
    </row>
    <row r="371" hidden="1">
      <c r="A371" s="5" t="n">
        <v>46146</v>
      </c>
      <c r="B371" s="6" t="inlineStr">
        <is>
          <t>Raane Batista Matos</t>
        </is>
      </c>
      <c r="C371" s="1" t="inlineStr">
        <is>
          <t>Técnico I</t>
        </is>
      </c>
      <c r="D371" s="3" t="n">
        <v>27</v>
      </c>
      <c r="E371" s="3" t="n">
        <v>23</v>
      </c>
      <c r="F371" s="3" t="n">
        <v>14.07</v>
      </c>
      <c r="G371" s="3" t="n">
        <v>4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20</v>
      </c>
      <c r="N371" s="3" t="n">
        <v>98</v>
      </c>
      <c r="O371" s="3" t="n">
        <v>20.73490813648294</v>
      </c>
    </row>
    <row r="372" hidden="1">
      <c r="A372" s="5" t="n">
        <v>46146</v>
      </c>
      <c r="B372" s="6" t="inlineStr">
        <is>
          <t>Sara Maria Monteiro Lopes</t>
        </is>
      </c>
      <c r="C372" s="1" t="inlineStr">
        <is>
          <t>Técnico I</t>
        </is>
      </c>
      <c r="D372" s="3" t="n">
        <v>20</v>
      </c>
      <c r="E372" s="3" t="n">
        <v>20</v>
      </c>
      <c r="F372" s="3" t="n">
        <v>25.29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20</v>
      </c>
      <c r="N372" s="3" t="n">
        <v>100</v>
      </c>
      <c r="O372" s="3" t="n">
        <v>18</v>
      </c>
    </row>
    <row r="373" hidden="1">
      <c r="A373" s="5" t="n">
        <v>46147</v>
      </c>
      <c r="B373" s="6" t="inlineStr">
        <is>
          <t>Amanda Moura Ferreira</t>
        </is>
      </c>
      <c r="C373" s="1" t="inlineStr">
        <is>
          <t>Técnico III</t>
        </is>
      </c>
      <c r="D373" s="3" t="n">
        <v>0</v>
      </c>
      <c r="E373" s="3" t="n">
        <v>0</v>
      </c>
      <c r="F373" s="3" t="n">
        <v>0</v>
      </c>
      <c r="G373" s="3" t="n">
        <v>0</v>
      </c>
      <c r="H373" s="3" t="n">
        <v>0</v>
      </c>
      <c r="I373" s="3" t="n">
        <v>0</v>
      </c>
      <c r="J373" s="3" t="n">
        <v>0</v>
      </c>
      <c r="K373" s="3" t="n">
        <v>0</v>
      </c>
      <c r="L373" s="3">
        <f>IF(K373&lt;-5,"CRÍTICO",IF(K373&lt;0,"ATENÇÃO",IF(K373&lt;=5,"BOM","EXCELENTE")))</f>
        <v/>
      </c>
      <c r="M373" s="3" t="n">
        <v>0</v>
      </c>
      <c r="N373" s="3" t="n">
        <v>100</v>
      </c>
      <c r="O373" s="3" t="n">
        <v>0</v>
      </c>
    </row>
    <row r="374" hidden="1">
      <c r="A374" s="5" t="n">
        <v>46147</v>
      </c>
      <c r="B374" s="6" t="inlineStr">
        <is>
          <t>Ana Paula Da Luz Silva Aleixo</t>
        </is>
      </c>
      <c r="C374" s="14" t="inlineStr">
        <is>
          <t>Técnico III</t>
        </is>
      </c>
      <c r="D374" s="3" t="n">
        <v>30</v>
      </c>
      <c r="E374" s="3" t="n">
        <v>28</v>
      </c>
      <c r="F374" s="3" t="n">
        <v>18.41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26</v>
      </c>
      <c r="N374" s="3" t="n">
        <v>96.94</v>
      </c>
      <c r="O374" s="3" t="n">
        <v>19.61325966850829</v>
      </c>
    </row>
    <row r="375" hidden="1">
      <c r="A375" s="5" t="n">
        <v>46147</v>
      </c>
      <c r="B375" s="6" t="inlineStr">
        <is>
          <t>Cristiane Ramos da Silva Rocha</t>
        </is>
      </c>
      <c r="C375" s="1" t="inlineStr">
        <is>
          <t>Técnico III</t>
        </is>
      </c>
      <c r="D375" s="3" t="n">
        <v>46</v>
      </c>
      <c r="E375" s="3" t="n">
        <v>39</v>
      </c>
      <c r="F375" s="3" t="n">
        <v>10.45</v>
      </c>
      <c r="G375" s="3" t="n">
        <v>8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46</v>
      </c>
      <c r="N375" s="3" t="n">
        <v>92.81</v>
      </c>
      <c r="O375" s="3" t="n">
        <v>25.47770700636943</v>
      </c>
    </row>
    <row r="376" hidden="1">
      <c r="A376" s="5" t="n">
        <v>46147</v>
      </c>
      <c r="B376" s="6" t="inlineStr">
        <is>
          <t>Davylla Rodrigues Freitas Silva</t>
        </is>
      </c>
      <c r="C376" s="14" t="inlineStr">
        <is>
          <t>Técnico III</t>
        </is>
      </c>
      <c r="D376" s="3" t="n">
        <v>27</v>
      </c>
      <c r="E376" s="3" t="n">
        <v>27</v>
      </c>
      <c r="F376" s="3" t="n">
        <v>24.15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IF(K376&lt;-5,"CRÍTICO",IF(K376&lt;0,"ATENÇÃO",IF(K376&lt;=5,"OPORTUNO","MUITO BOM")))</f>
        <v/>
      </c>
      <c r="M376" s="3" t="n">
        <v>28</v>
      </c>
      <c r="N376" s="3" t="n">
        <v>99.19</v>
      </c>
      <c r="O376" s="3" t="n">
        <v>28.40466926070039</v>
      </c>
    </row>
    <row r="377" hidden="1">
      <c r="A377" s="5" t="n">
        <v>46147</v>
      </c>
      <c r="B377" s="6" t="inlineStr">
        <is>
          <t>Francielson de Oliveira</t>
        </is>
      </c>
      <c r="C377" s="14" t="inlineStr">
        <is>
          <t>Técnico III</t>
        </is>
      </c>
      <c r="D377" s="3" t="n">
        <v>0</v>
      </c>
      <c r="E377" s="3" t="n">
        <v>0</v>
      </c>
      <c r="F377" s="3" t="n">
        <v>0</v>
      </c>
      <c r="G377" s="3" t="n">
        <v>0</v>
      </c>
      <c r="H377" s="3" t="n">
        <v>0</v>
      </c>
      <c r="I377" s="3" t="n">
        <v>0</v>
      </c>
      <c r="J377" s="3" t="n">
        <v>0</v>
      </c>
      <c r="K377" s="3" t="n">
        <v>0</v>
      </c>
      <c r="L377" s="3">
        <f>IF(K377&lt;-5,"CRÍTICO",IF(K377&lt;0,"ATENÇÃO",IF(K377&lt;=5,"OPORTUNO","MUITO BOM")))</f>
        <v/>
      </c>
      <c r="M377" s="3" t="n">
        <v>0</v>
      </c>
      <c r="N377" s="3" t="n">
        <v>100</v>
      </c>
      <c r="O377" s="3" t="n">
        <v>13.51351351351351</v>
      </c>
    </row>
    <row r="378" hidden="1">
      <c r="A378" s="5" t="n">
        <v>46147</v>
      </c>
      <c r="B378" s="6" t="inlineStr">
        <is>
          <t>Janaina Lima dos Reis Urany</t>
        </is>
      </c>
      <c r="C378" s="1" t="inlineStr">
        <is>
          <t>Técnico III</t>
        </is>
      </c>
      <c r="D378" s="3" t="n">
        <v>40</v>
      </c>
      <c r="E378" s="3" t="n">
        <v>40</v>
      </c>
      <c r="F378" s="3" t="n">
        <v>15.42</v>
      </c>
      <c r="G378" s="3" t="n">
        <v>2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40</v>
      </c>
      <c r="N378" s="3" t="n">
        <v>99</v>
      </c>
      <c r="O378" s="3" t="n">
        <v>22.27414330218069</v>
      </c>
    </row>
    <row r="379" hidden="1">
      <c r="A379" s="5" t="n">
        <v>46147</v>
      </c>
      <c r="B379" s="6" t="inlineStr">
        <is>
          <t>Jaqueline Evangelista da Silva Martins</t>
        </is>
      </c>
      <c r="C379" s="1" t="inlineStr">
        <is>
          <t>Técnico III</t>
        </is>
      </c>
      <c r="D379" s="3" t="n">
        <v>42</v>
      </c>
      <c r="E379" s="3" t="n">
        <v>41</v>
      </c>
      <c r="F379" s="3" t="n">
        <v>13.26</v>
      </c>
      <c r="G379" s="3" t="n">
        <v>2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41</v>
      </c>
      <c r="N379" s="3" t="n">
        <v>97.04000000000001</v>
      </c>
      <c r="O379" s="3" t="n">
        <v>29.82885085574572</v>
      </c>
    </row>
    <row r="380" hidden="1">
      <c r="A380" s="5" t="n">
        <v>46147</v>
      </c>
      <c r="B380" s="6" t="inlineStr">
        <is>
          <t>Jéssica Fé Moura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0</v>
      </c>
      <c r="O380" s="3" t="n">
        <v>0</v>
      </c>
    </row>
    <row r="381" hidden="1">
      <c r="A381" s="5" t="n">
        <v>46147</v>
      </c>
      <c r="B381" s="6" t="inlineStr">
        <is>
          <t>Kerollen Cristielly de Jesus Siqueira</t>
        </is>
      </c>
      <c r="C381" s="14" t="inlineStr">
        <is>
          <t>Técnico III</t>
        </is>
      </c>
      <c r="D381" s="3" t="n">
        <v>26</v>
      </c>
      <c r="E381" s="3" t="n">
        <v>26</v>
      </c>
      <c r="F381" s="3" t="n">
        <v>18.42</v>
      </c>
      <c r="G381" s="3" t="n">
        <v>1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22</v>
      </c>
      <c r="N381" s="3" t="n">
        <v>96.84</v>
      </c>
      <c r="O381" s="3" t="n">
        <v>16.33802816901408</v>
      </c>
    </row>
    <row r="382" hidden="1">
      <c r="A382" s="5" t="n">
        <v>46147</v>
      </c>
      <c r="B382" s="6" t="inlineStr">
        <is>
          <t>Leandro Oliveira de Sousa</t>
        </is>
      </c>
      <c r="C382" s="14" t="inlineStr">
        <is>
          <t>Técnico III</t>
        </is>
      </c>
      <c r="D382" s="3" t="n">
        <v>29</v>
      </c>
      <c r="E382" s="3" t="n">
        <v>25</v>
      </c>
      <c r="F382" s="3" t="n">
        <v>16.4</v>
      </c>
      <c r="G382" s="3" t="n">
        <v>0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32</v>
      </c>
      <c r="N382" s="3" t="n">
        <v>100</v>
      </c>
      <c r="O382" s="3" t="n">
        <v>18.24480369515012</v>
      </c>
    </row>
    <row r="383" hidden="1">
      <c r="A383" s="5" t="n">
        <v>46147</v>
      </c>
      <c r="B383" s="6" t="inlineStr">
        <is>
          <t>Lucas Luiz Romero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100</v>
      </c>
      <c r="O383" s="3" t="n">
        <v>15.78947368421053</v>
      </c>
    </row>
    <row r="384" hidden="1">
      <c r="A384" s="5" t="n">
        <v>46147</v>
      </c>
      <c r="B384" s="6" t="inlineStr">
        <is>
          <t>Matheus Farias De Souza</t>
        </is>
      </c>
      <c r="C384" s="1" t="inlineStr">
        <is>
          <t>Técnico III</t>
        </is>
      </c>
      <c r="D384" s="3" t="n">
        <v>14</v>
      </c>
      <c r="E384" s="3" t="n">
        <v>14</v>
      </c>
      <c r="F384" s="3" t="n">
        <v>15.35</v>
      </c>
      <c r="G384" s="3" t="n">
        <v>0</v>
      </c>
      <c r="H384" s="3" t="n">
        <v>21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28</v>
      </c>
      <c r="N384" s="3" t="n">
        <v>98.39</v>
      </c>
      <c r="O384" s="16" t="n">
        <v>8.799999999999999</v>
      </c>
    </row>
    <row r="385" hidden="1">
      <c r="A385" s="5" t="n">
        <v>46147</v>
      </c>
      <c r="B385" s="6" t="inlineStr">
        <is>
          <t>Maysa Victoria Dias Moura</t>
        </is>
      </c>
      <c r="C385" s="1" t="inlineStr">
        <is>
          <t>Técnico III</t>
        </is>
      </c>
      <c r="D385" s="3" t="n">
        <v>32</v>
      </c>
      <c r="E385" s="3" t="n">
        <v>30</v>
      </c>
      <c r="F385" s="3" t="n">
        <v>15.03</v>
      </c>
      <c r="G385" s="3" t="n">
        <v>10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37</v>
      </c>
      <c r="N385" s="3" t="n">
        <v>96.38</v>
      </c>
      <c r="O385" s="3" t="n">
        <v>23.1981981981982</v>
      </c>
    </row>
    <row r="386" hidden="1">
      <c r="A386" s="5" t="n">
        <v>46147</v>
      </c>
      <c r="B386" s="6" t="inlineStr">
        <is>
          <t>Rafael Gomes de Morais</t>
        </is>
      </c>
      <c r="C386" s="1" t="inlineStr">
        <is>
          <t>Técnico III</t>
        </is>
      </c>
      <c r="D386" s="3" t="n">
        <v>49</v>
      </c>
      <c r="E386" s="3" t="n">
        <v>45</v>
      </c>
      <c r="F386" s="3" t="n">
        <v>10.46</v>
      </c>
      <c r="G386" s="3" t="n">
        <v>9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49</v>
      </c>
      <c r="N386" s="3" t="n">
        <v>99.39</v>
      </c>
      <c r="O386" s="3" t="n">
        <v>25.20325203252033</v>
      </c>
    </row>
    <row r="387" hidden="1">
      <c r="A387" s="5" t="n">
        <v>46147</v>
      </c>
      <c r="B387" s="6" t="inlineStr">
        <is>
          <t>Sarah Steffanie de Lima Borges</t>
        </is>
      </c>
      <c r="C387" s="1" t="inlineStr">
        <is>
          <t>Técnico III</t>
        </is>
      </c>
      <c r="D387" s="3" t="n">
        <v>33</v>
      </c>
      <c r="E387" s="3" t="n">
        <v>32</v>
      </c>
      <c r="F387" s="3" t="n">
        <v>15.31</v>
      </c>
      <c r="G387" s="3" t="n">
        <v>0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IF(K387&lt;-5,"CRÍTICO",IF(K387&lt;0,"ATENÇÃO",IF(K387&lt;=5,"OPORTUNO","MUITO BOM")))</f>
        <v/>
      </c>
      <c r="M387" s="3" t="n">
        <v>28</v>
      </c>
      <c r="N387" s="3" t="n">
        <v>97</v>
      </c>
      <c r="O387" s="3" t="n">
        <v>20.32520325203252</v>
      </c>
    </row>
    <row r="388" hidden="1">
      <c r="A388" s="5" t="n">
        <v>46147</v>
      </c>
      <c r="B388" s="6" t="inlineStr">
        <is>
          <t>Alisson de Freitas Silva</t>
        </is>
      </c>
      <c r="C388" s="1" t="inlineStr">
        <is>
          <t>Técnico II</t>
        </is>
      </c>
      <c r="D388" s="3" t="n">
        <v>42</v>
      </c>
      <c r="E388" s="3" t="n">
        <v>37</v>
      </c>
      <c r="F388" s="3" t="n">
        <v>12.29</v>
      </c>
      <c r="G388" s="3" t="n">
        <v>4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32</v>
      </c>
      <c r="N388" s="3" t="n">
        <v>99.18000000000001</v>
      </c>
      <c r="O388" s="3" t="n">
        <v>24.5014245014245</v>
      </c>
    </row>
    <row r="389" hidden="1">
      <c r="A389" s="5" t="n">
        <v>46147</v>
      </c>
      <c r="B389" s="6" t="inlineStr">
        <is>
          <t>Brenda de Menezes Silva</t>
        </is>
      </c>
      <c r="C389" s="1" t="inlineStr">
        <is>
          <t>Técnico II</t>
        </is>
      </c>
      <c r="D389" s="3" t="n">
        <v>45</v>
      </c>
      <c r="E389" s="3" t="n">
        <v>37</v>
      </c>
      <c r="F389" s="3" t="n">
        <v>13.52</v>
      </c>
      <c r="G389" s="3" t="n">
        <v>6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43</v>
      </c>
      <c r="N389" s="3" t="n">
        <v>99.34999999999999</v>
      </c>
      <c r="O389" s="3" t="n">
        <v>19.85294117647059</v>
      </c>
    </row>
    <row r="390" hidden="1">
      <c r="A390" s="5" t="n">
        <v>46147</v>
      </c>
      <c r="B390" s="6" t="inlineStr">
        <is>
          <t>Carlos Mateus Cassimiro Nunes</t>
        </is>
      </c>
      <c r="C390" s="14" t="inlineStr">
        <is>
          <t>Técnico II</t>
        </is>
      </c>
      <c r="D390" s="3" t="n">
        <v>19</v>
      </c>
      <c r="E390" s="3" t="n">
        <v>18</v>
      </c>
      <c r="F390" s="3" t="n">
        <v>26.46</v>
      </c>
      <c r="G390" s="3" t="n">
        <v>9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27</v>
      </c>
      <c r="N390" s="3" t="n">
        <v>99.06999999999999</v>
      </c>
      <c r="O390" s="3" t="n">
        <v>20.09803921568627</v>
      </c>
    </row>
    <row r="391" hidden="1">
      <c r="A391" s="5" t="n">
        <v>46147</v>
      </c>
      <c r="B391" s="6" t="inlineStr">
        <is>
          <t>Damyllis Lorraine de Oliveira Gonçalves</t>
        </is>
      </c>
      <c r="C391" s="1" t="inlineStr">
        <is>
          <t>Técnico II</t>
        </is>
      </c>
      <c r="D391" s="3" t="n">
        <v>23</v>
      </c>
      <c r="E391" s="3" t="n">
        <v>21</v>
      </c>
      <c r="F391" s="3" t="n">
        <v>19.19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26</v>
      </c>
      <c r="N391" s="3" t="n">
        <v>98.81</v>
      </c>
      <c r="O391" s="3" t="n">
        <v>22.76785714285714</v>
      </c>
    </row>
    <row r="392" hidden="1">
      <c r="A392" s="5" t="n">
        <v>46147</v>
      </c>
      <c r="B392" s="6" t="inlineStr">
        <is>
          <t>Emilly Kamilly Medeiros Miranda</t>
        </is>
      </c>
      <c r="C392" s="1" t="inlineStr">
        <is>
          <t>Técnico II</t>
        </is>
      </c>
      <c r="D392" s="3" t="n">
        <v>34</v>
      </c>
      <c r="E392" s="3" t="n">
        <v>31</v>
      </c>
      <c r="F392" s="3" t="n">
        <v>14.15</v>
      </c>
      <c r="G392" s="3" t="n">
        <v>3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31</v>
      </c>
      <c r="N392" s="3" t="n">
        <v>99.01000000000001</v>
      </c>
      <c r="O392" s="3" t="n">
        <v>17.76649746192894</v>
      </c>
    </row>
    <row r="393" hidden="1">
      <c r="A393" s="5" t="n">
        <v>46147</v>
      </c>
      <c r="B393" s="6" t="inlineStr">
        <is>
          <t>Francilene Ferreira de Jesus</t>
        </is>
      </c>
      <c r="C393" s="1" t="inlineStr">
        <is>
          <t>Técnico II</t>
        </is>
      </c>
      <c r="D393" s="3" t="n">
        <v>0</v>
      </c>
      <c r="E393" s="3" t="n">
        <v>0</v>
      </c>
      <c r="F393" s="3" t="n">
        <v>0</v>
      </c>
      <c r="G393" s="3" t="n">
        <v>0</v>
      </c>
      <c r="H393" s="3" t="n">
        <v>0</v>
      </c>
      <c r="I393" s="3" t="n">
        <v>0</v>
      </c>
      <c r="J393" s="3" t="n">
        <v>0</v>
      </c>
      <c r="K393" s="3" t="n">
        <v>0</v>
      </c>
      <c r="L393" s="3">
        <f>IF(K393&lt;-5,"CRÍTICO",IF(K393&lt;0,"ATENÇÃO",IF(K393&lt;=5,"OPORTUNO","MUITO BOM")))</f>
        <v/>
      </c>
      <c r="M393" s="3" t="n">
        <v>0</v>
      </c>
      <c r="N393" s="3" t="n">
        <v>100</v>
      </c>
      <c r="O393" s="3" t="n">
        <v>17.24137931034483</v>
      </c>
    </row>
    <row r="394" hidden="1">
      <c r="A394" s="5" t="n">
        <v>46147</v>
      </c>
      <c r="B394" s="6" t="inlineStr">
        <is>
          <t>Isabella Borges de Oliveira</t>
        </is>
      </c>
      <c r="C394" s="14" t="inlineStr">
        <is>
          <t>Técnico II</t>
        </is>
      </c>
      <c r="D394" s="3" t="n">
        <v>26</v>
      </c>
      <c r="E394" s="3" t="n">
        <v>26</v>
      </c>
      <c r="F394" s="3" t="n">
        <v>20.01</v>
      </c>
      <c r="G394" s="3" t="n">
        <v>1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31</v>
      </c>
      <c r="N394" s="3" t="n">
        <v>98.98</v>
      </c>
      <c r="O394" s="3" t="n">
        <v>19.35483870967742</v>
      </c>
    </row>
    <row r="395" hidden="1">
      <c r="A395" s="5" t="n">
        <v>46147</v>
      </c>
      <c r="B395" s="6" t="inlineStr">
        <is>
          <t>Jessica Faria da Silveira</t>
        </is>
      </c>
      <c r="C395" s="1" t="inlineStr">
        <is>
          <t>Técnico II</t>
        </is>
      </c>
      <c r="D395" s="3" t="n">
        <v>39</v>
      </c>
      <c r="E395" s="3" t="n">
        <v>30</v>
      </c>
      <c r="F395" s="3" t="n">
        <v>14.13</v>
      </c>
      <c r="G395" s="3" t="n">
        <v>0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30</v>
      </c>
      <c r="N395" s="3" t="n">
        <v>98.94</v>
      </c>
      <c r="O395" s="3" t="n">
        <v>21.2707182320442</v>
      </c>
    </row>
    <row r="396" hidden="1">
      <c r="A396" s="5" t="n">
        <v>46147</v>
      </c>
      <c r="B396" s="6" t="inlineStr">
        <is>
          <t>Lizandra Gomes Duarte</t>
        </is>
      </c>
      <c r="C396" s="1" t="inlineStr">
        <is>
          <t>Técnico II</t>
        </is>
      </c>
      <c r="D396" s="3" t="n">
        <v>18</v>
      </c>
      <c r="E396" s="3" t="n">
        <v>18</v>
      </c>
      <c r="F396" s="3" t="n">
        <v>18.28</v>
      </c>
      <c r="G396" s="3" t="n">
        <v>4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IF(K396&lt;-5,"CRÍTICO",IF(K396&lt;0,"ATENÇÃO",IF(K396&lt;=5,"OPORTUNO","MUITO BOM")))</f>
        <v/>
      </c>
      <c r="M396" s="3" t="n">
        <v>25</v>
      </c>
      <c r="N396" s="3" t="n">
        <v>99</v>
      </c>
      <c r="O396" s="3" t="n">
        <v>22.01086956521739</v>
      </c>
    </row>
    <row r="397" hidden="1">
      <c r="A397" s="5" t="n">
        <v>46147</v>
      </c>
      <c r="B397" s="6" t="inlineStr">
        <is>
          <t>Lorena Dias de Araujo</t>
        </is>
      </c>
      <c r="C397" s="1" t="inlineStr">
        <is>
          <t>Técnico II</t>
        </is>
      </c>
      <c r="D397" s="3" t="n">
        <v>37</v>
      </c>
      <c r="E397" s="3" t="n">
        <v>35</v>
      </c>
      <c r="F397" s="3" t="n">
        <v>15.27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37</v>
      </c>
      <c r="N397" s="3" t="n">
        <v>100</v>
      </c>
      <c r="O397" s="3" t="n">
        <v>25</v>
      </c>
    </row>
    <row r="398" hidden="1">
      <c r="A398" s="5" t="n">
        <v>46147</v>
      </c>
      <c r="B398" s="6" t="inlineStr">
        <is>
          <t>Patrícia Karla de Sousa Araújo</t>
        </is>
      </c>
      <c r="C398" s="1" t="inlineStr">
        <is>
          <t>Técnico II</t>
        </is>
      </c>
      <c r="D398" s="3" t="n">
        <v>27</v>
      </c>
      <c r="E398" s="3" t="n">
        <v>25</v>
      </c>
      <c r="F398" s="3" t="n">
        <v>17.39</v>
      </c>
      <c r="G398" s="3" t="n">
        <v>0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21</v>
      </c>
      <c r="N398" s="3" t="n">
        <v>100</v>
      </c>
      <c r="O398" s="3" t="n">
        <v>20.18348623853211</v>
      </c>
    </row>
    <row r="399" hidden="1">
      <c r="A399" s="5" t="n">
        <v>46147</v>
      </c>
      <c r="B399" t="inlineStr">
        <is>
          <t>Ana Karollyne Souza Faria</t>
        </is>
      </c>
      <c r="C399" s="1" t="inlineStr">
        <is>
          <t>Técnico I</t>
        </is>
      </c>
      <c r="D399" s="3" t="n">
        <v>30</v>
      </c>
      <c r="E399" s="3" t="n">
        <v>30</v>
      </c>
      <c r="F399" s="3" t="n">
        <v>17.01</v>
      </c>
      <c r="G399" s="3" t="n">
        <v>7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36</v>
      </c>
      <c r="N399" s="3" t="n">
        <v>96.25</v>
      </c>
      <c r="O399" s="3" t="n">
        <v>25.5863539445629</v>
      </c>
    </row>
    <row r="400" hidden="1">
      <c r="A400" s="5" t="n">
        <v>46147</v>
      </c>
      <c r="B400" s="6" t="inlineStr">
        <is>
          <t>Clessiane Pereira dos Santos</t>
        </is>
      </c>
      <c r="C400" s="1" t="inlineStr">
        <is>
          <t>Técnico I</t>
        </is>
      </c>
      <c r="D400" s="3" t="n">
        <v>122</v>
      </c>
      <c r="E400" s="3" t="n">
        <v>28</v>
      </c>
      <c r="F400" s="3" t="n">
        <v>3.47</v>
      </c>
      <c r="G400" s="3" t="n">
        <v>1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16</v>
      </c>
      <c r="N400" s="3" t="n">
        <v>97.48</v>
      </c>
      <c r="O400" s="3" t="n">
        <v>22.99465240641711</v>
      </c>
    </row>
    <row r="401" hidden="1">
      <c r="A401" s="5" t="n">
        <v>46147</v>
      </c>
      <c r="B401" s="6" t="inlineStr">
        <is>
          <t>Daniel Gomes da Silva</t>
        </is>
      </c>
      <c r="C401" s="1" t="inlineStr">
        <is>
          <t>Técnico I</t>
        </is>
      </c>
      <c r="D401" s="3" t="n">
        <v>12</v>
      </c>
      <c r="E401" s="3" t="n">
        <v>12</v>
      </c>
      <c r="F401" s="3" t="n">
        <v>28.25</v>
      </c>
      <c r="G401" s="3" t="n">
        <v>10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18</v>
      </c>
      <c r="N401" s="3" t="n">
        <v>100</v>
      </c>
      <c r="O401" s="3" t="n">
        <v>20.78853046594982</v>
      </c>
    </row>
    <row r="402" hidden="1">
      <c r="A402" s="5" t="n">
        <v>46147</v>
      </c>
      <c r="B402" s="6" t="inlineStr">
        <is>
          <t>Gabriel Gomes de Andrade</t>
        </is>
      </c>
      <c r="C402" s="1" t="inlineStr">
        <is>
          <t>Técnico I</t>
        </is>
      </c>
      <c r="D402" s="3" t="n">
        <v>13</v>
      </c>
      <c r="E402" s="3" t="n">
        <v>12</v>
      </c>
      <c r="F402" s="3" t="n">
        <v>17.15</v>
      </c>
      <c r="G402" s="3" t="n">
        <v>9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12</v>
      </c>
      <c r="N402" s="3" t="n">
        <v>99.06</v>
      </c>
      <c r="O402" s="3" t="n">
        <v>19.41747572815534</v>
      </c>
    </row>
    <row r="403" hidden="1">
      <c r="A403" s="5" t="n">
        <v>46147</v>
      </c>
      <c r="B403" s="6" t="inlineStr">
        <is>
          <t>Luiz Fernando de Carvalho Junior</t>
        </is>
      </c>
      <c r="C403" s="1" t="inlineStr">
        <is>
          <t>Técnico I</t>
        </is>
      </c>
      <c r="D403" s="3" t="n">
        <v>31</v>
      </c>
      <c r="E403" s="3" t="n">
        <v>28</v>
      </c>
      <c r="F403" s="3" t="n">
        <v>17.33</v>
      </c>
      <c r="G403" s="3" t="n">
        <v>1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30</v>
      </c>
      <c r="N403" s="3" t="n">
        <v>94.55</v>
      </c>
      <c r="O403" s="3" t="n">
        <v>23.45013477088949</v>
      </c>
    </row>
    <row r="404" hidden="1">
      <c r="A404" s="5" t="n">
        <v>46147</v>
      </c>
      <c r="B404" s="6" t="inlineStr">
        <is>
          <t>Raane Batista Matos</t>
        </is>
      </c>
      <c r="C404" s="1" t="inlineStr">
        <is>
          <t>Técnico I</t>
        </is>
      </c>
      <c r="D404" s="3" t="n">
        <v>31</v>
      </c>
      <c r="E404" s="3" t="n">
        <v>26</v>
      </c>
      <c r="F404" s="3" t="n">
        <v>13.5</v>
      </c>
      <c r="G404" s="3" t="n">
        <v>10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21</v>
      </c>
      <c r="N404" s="3" t="n">
        <v>98</v>
      </c>
      <c r="O404" s="3" t="n">
        <v>20.73490813648294</v>
      </c>
    </row>
    <row r="405" hidden="1">
      <c r="A405" s="5" t="n">
        <v>46147</v>
      </c>
      <c r="B405" s="6" t="inlineStr">
        <is>
          <t>Sara Maria Monteiro Lopes</t>
        </is>
      </c>
      <c r="C405" s="1" t="inlineStr">
        <is>
          <t>Técnico I</t>
        </is>
      </c>
      <c r="D405" s="3" t="n">
        <v>14</v>
      </c>
      <c r="E405" s="3" t="n">
        <v>14</v>
      </c>
      <c r="F405" s="3" t="n">
        <v>35.53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10</v>
      </c>
      <c r="N405" s="3" t="n">
        <v>100</v>
      </c>
      <c r="O405" s="3" t="n">
        <v>18</v>
      </c>
    </row>
    <row r="406" hidden="1">
      <c r="A406" s="5" t="n">
        <v>46148</v>
      </c>
      <c r="B406" s="6" t="inlineStr">
        <is>
          <t>Amanda Moura Ferreira</t>
        </is>
      </c>
      <c r="C406" s="1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100</v>
      </c>
      <c r="O406" s="3" t="n">
        <v>0</v>
      </c>
    </row>
    <row r="407" hidden="1">
      <c r="A407" s="5" t="n">
        <v>46148</v>
      </c>
      <c r="B407" s="6" t="inlineStr">
        <is>
          <t>Ana Paula Da Luz Silva Aleixo</t>
        </is>
      </c>
      <c r="C407" s="14" t="inlineStr">
        <is>
          <t>Técnico III</t>
        </is>
      </c>
      <c r="D407" s="3" t="n">
        <v>22</v>
      </c>
      <c r="E407" s="3" t="n">
        <v>20</v>
      </c>
      <c r="F407" s="3" t="n">
        <v>18.47</v>
      </c>
      <c r="G407" s="3" t="n">
        <v>12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IF(K407&lt;-5,"CRÍTICO",IF(K407&lt;0,"ATENÇÃO",IF(K407&lt;=5,"OPORTUNO","MUITO BOM")))</f>
        <v/>
      </c>
      <c r="M407" s="3" t="n">
        <v>30</v>
      </c>
      <c r="N407" s="3" t="n">
        <v>96.94</v>
      </c>
      <c r="O407" s="3" t="n">
        <v>19.61325966850829</v>
      </c>
    </row>
    <row r="408" hidden="1">
      <c r="A408" s="5" t="n">
        <v>46148</v>
      </c>
      <c r="B408" s="6" t="inlineStr">
        <is>
          <t>Cristiane Ramos da Silva Rocha</t>
        </is>
      </c>
      <c r="C408" s="1" t="inlineStr">
        <is>
          <t>Técnico III</t>
        </is>
      </c>
      <c r="D408" s="3" t="n">
        <v>48</v>
      </c>
      <c r="E408" s="3" t="n">
        <v>44</v>
      </c>
      <c r="F408" s="3" t="n">
        <v>12.07</v>
      </c>
      <c r="G408" s="3" t="n">
        <v>0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IF(K408&lt;-5,"CRÍTICO",IF(K408&lt;0,"ATENÇÃO",IF(K408&lt;=5,"OPORTUNO","MUITO BOM")))</f>
        <v/>
      </c>
      <c r="M408" s="3" t="n">
        <v>41</v>
      </c>
      <c r="N408" s="3" t="n">
        <v>92.81</v>
      </c>
      <c r="O408" s="3" t="n">
        <v>25.47770700636943</v>
      </c>
    </row>
    <row r="409" hidden="1">
      <c r="A409" s="5" t="n">
        <v>46148</v>
      </c>
      <c r="B409" s="6" t="inlineStr">
        <is>
          <t>Davylla Rodrigues Freitas Silva</t>
        </is>
      </c>
      <c r="C409" s="14" t="inlineStr">
        <is>
          <t>Técnico III</t>
        </is>
      </c>
      <c r="D409" s="3" t="n">
        <v>24</v>
      </c>
      <c r="E409" s="3" t="n">
        <v>22</v>
      </c>
      <c r="F409" s="3" t="n">
        <v>17.18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32</v>
      </c>
      <c r="N409" s="3" t="n">
        <v>99.19</v>
      </c>
      <c r="O409" s="3" t="n">
        <v>28.40466926070039</v>
      </c>
    </row>
    <row r="410" hidden="1">
      <c r="A410" s="5" t="n">
        <v>46148</v>
      </c>
      <c r="B410" s="6" t="inlineStr">
        <is>
          <t>Francielson de Oliveira</t>
        </is>
      </c>
      <c r="C410" s="14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IF(K410&lt;-5,"CRÍTICO",IF(K410&lt;0,"ATENÇÃO",IF(K410&lt;=5,"OPORTUNO","MUITO BOM")))</f>
        <v/>
      </c>
      <c r="M410" s="3" t="n">
        <v>0</v>
      </c>
      <c r="N410" s="3" t="n">
        <v>100</v>
      </c>
      <c r="O410" s="3" t="n">
        <v>13.51351351351351</v>
      </c>
    </row>
    <row r="411" hidden="1">
      <c r="A411" s="5" t="n">
        <v>46148</v>
      </c>
      <c r="B411" s="6" t="inlineStr">
        <is>
          <t>Janaina Lima dos Reis Urany</t>
        </is>
      </c>
      <c r="C411" s="1" t="inlineStr">
        <is>
          <t>Técnico III</t>
        </is>
      </c>
      <c r="D411" s="3" t="n">
        <v>52</v>
      </c>
      <c r="E411" s="3" t="n">
        <v>45</v>
      </c>
      <c r="F411" s="3" t="n">
        <v>13.59</v>
      </c>
      <c r="G411" s="3" t="n">
        <v>23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55</v>
      </c>
      <c r="N411" s="3" t="n">
        <v>99</v>
      </c>
      <c r="O411" s="3" t="n">
        <v>22.27414330218069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5" t="n">
        <v>46148</v>
      </c>
      <c r="B413" s="6" t="inlineStr">
        <is>
          <t>Jaqueline Evangelista da Silva Martins</t>
        </is>
      </c>
      <c r="C413" s="1" t="inlineStr">
        <is>
          <t>Técnico III</t>
        </is>
      </c>
      <c r="D413" s="3" t="n">
        <v>27</v>
      </c>
      <c r="E413" s="3" t="n">
        <v>26</v>
      </c>
      <c r="F413" s="3" t="n">
        <v>12.18</v>
      </c>
      <c r="G413" s="3" t="n">
        <v>7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26</v>
      </c>
      <c r="N413" s="3" t="n">
        <v>97.04000000000001</v>
      </c>
      <c r="O413" s="3" t="n">
        <v>29.82885085574572</v>
      </c>
    </row>
    <row r="414" hidden="1">
      <c r="A414" s="5" t="n">
        <v>46148</v>
      </c>
      <c r="B414" s="6" t="inlineStr">
        <is>
          <t>Jéssica Fé Moura</t>
        </is>
      </c>
      <c r="C414" s="1" t="inlineStr">
        <is>
          <t>Técnico III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0</v>
      </c>
      <c r="O414" s="3" t="n">
        <v>0</v>
      </c>
    </row>
    <row r="415" hidden="1">
      <c r="A415" s="5" t="n">
        <v>46148</v>
      </c>
      <c r="B415" s="6" t="inlineStr">
        <is>
          <t>Kerollen Cristielly de Jesus Siqueira</t>
        </is>
      </c>
      <c r="C415" s="14" t="inlineStr">
        <is>
          <t>Técnico III</t>
        </is>
      </c>
      <c r="D415" s="3" t="n">
        <v>27</v>
      </c>
      <c r="E415" s="3" t="n">
        <v>25</v>
      </c>
      <c r="F415" s="3" t="n">
        <v>22.17</v>
      </c>
      <c r="G415" s="3" t="n">
        <v>1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IF(K415&lt;-5,"CRÍTICO",IF(K415&lt;0,"ATENÇÃO",IF(K415&lt;=5,"OPORTUNO","MUITO BOM")))</f>
        <v/>
      </c>
      <c r="M415" s="3" t="n">
        <v>26</v>
      </c>
      <c r="N415" s="3" t="n">
        <v>96.84</v>
      </c>
      <c r="O415" s="3" t="n">
        <v>16.33802816901408</v>
      </c>
    </row>
    <row r="416" hidden="1">
      <c r="A416" s="5" t="n">
        <v>46148</v>
      </c>
      <c r="B416" s="6" t="inlineStr">
        <is>
          <t>Leandro Oliveira de Sousa</t>
        </is>
      </c>
      <c r="C416" s="14" t="inlineStr">
        <is>
          <t>Técnico III</t>
        </is>
      </c>
      <c r="D416" s="3" t="n">
        <v>38</v>
      </c>
      <c r="E416" s="3" t="n">
        <v>38</v>
      </c>
      <c r="F416" s="3" t="n">
        <v>16.42</v>
      </c>
      <c r="G416" s="3" t="n">
        <v>0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IF(K416&lt;-5,"CRÍTICO",IF(K416&lt;0,"ATENÇÃO",IF(K416&lt;=5,"OPORTUNO","MUITO BOM")))</f>
        <v/>
      </c>
      <c r="M416" s="3" t="n">
        <v>36</v>
      </c>
      <c r="N416" s="3" t="n">
        <v>100</v>
      </c>
      <c r="O416" s="3" t="n">
        <v>18.24480369515012</v>
      </c>
    </row>
    <row r="417" hidden="1">
      <c r="A417" s="5" t="n">
        <v>46148</v>
      </c>
      <c r="B417" s="6" t="inlineStr">
        <is>
          <t>Lucas Luiz Romero</t>
        </is>
      </c>
      <c r="C417" s="1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IF(K417&lt;-5,"CRÍTICO",IF(K417&lt;0,"ATENÇÃO",IF(K417&lt;=5,"OPORTUNO","MUITO BOM")))</f>
        <v/>
      </c>
      <c r="M417" s="3" t="n">
        <v>0</v>
      </c>
      <c r="N417" s="3" t="n">
        <v>100</v>
      </c>
      <c r="O417" s="3" t="n">
        <v>15.78947368421053</v>
      </c>
    </row>
    <row r="418" hidden="1">
      <c r="A418" s="5" t="n">
        <v>46148</v>
      </c>
      <c r="B418" s="6" t="inlineStr">
        <is>
          <t>Matheus Farias De Souza</t>
        </is>
      </c>
      <c r="C418" s="1" t="inlineStr">
        <is>
          <t>Técnico III</t>
        </is>
      </c>
      <c r="D418" s="3" t="n">
        <v>24</v>
      </c>
      <c r="E418" s="3" t="n">
        <v>24</v>
      </c>
      <c r="F418" s="3" t="n">
        <v>18.39</v>
      </c>
      <c r="G418" s="3" t="n">
        <v>0</v>
      </c>
      <c r="H418" s="3" t="n">
        <v>17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31</v>
      </c>
      <c r="N418" s="3" t="n">
        <v>98.39</v>
      </c>
      <c r="O418" s="16" t="n">
        <v>8.799999999999999</v>
      </c>
    </row>
    <row r="419" hidden="1">
      <c r="A419" s="5" t="n">
        <v>46148</v>
      </c>
      <c r="B419" s="6" t="inlineStr">
        <is>
          <t>Maysa Victoria Dias Moura</t>
        </is>
      </c>
      <c r="C419" s="1" t="inlineStr">
        <is>
          <t>Técnico III</t>
        </is>
      </c>
      <c r="D419" s="3" t="n">
        <v>32</v>
      </c>
      <c r="E419" s="3" t="n">
        <v>30</v>
      </c>
      <c r="F419" s="3" t="n">
        <v>19.04</v>
      </c>
      <c r="G419" s="3" t="n">
        <v>1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31</v>
      </c>
      <c r="N419" s="3" t="n">
        <v>96.38</v>
      </c>
      <c r="O419" s="3" t="n">
        <v>23.1981981981982</v>
      </c>
    </row>
    <row r="420" hidden="1">
      <c r="A420" s="5" t="n">
        <v>46148</v>
      </c>
      <c r="B420" s="6" t="inlineStr">
        <is>
          <t>Rafael Gomes de Morais</t>
        </is>
      </c>
      <c r="C420" s="1" t="inlineStr">
        <is>
          <t>Técnico III</t>
        </is>
      </c>
      <c r="D420" s="3" t="n">
        <v>57</v>
      </c>
      <c r="E420" s="3" t="n">
        <v>51</v>
      </c>
      <c r="F420" s="3" t="n">
        <v>10.53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37</v>
      </c>
      <c r="N420" s="3" t="n">
        <v>99.39</v>
      </c>
      <c r="O420" s="3" t="n">
        <v>25.20325203252033</v>
      </c>
    </row>
    <row r="421" hidden="1">
      <c r="A421" s="5" t="n">
        <v>46148</v>
      </c>
      <c r="B421" s="6" t="inlineStr">
        <is>
          <t>Sarah Steffanie de Lima Borges</t>
        </is>
      </c>
      <c r="C421" s="1" t="inlineStr">
        <is>
          <t>Técnico III</t>
        </is>
      </c>
      <c r="D421" s="3" t="n">
        <v>21</v>
      </c>
      <c r="E421" s="3" t="n">
        <v>20</v>
      </c>
      <c r="F421" s="3" t="n">
        <v>18.47</v>
      </c>
      <c r="G421" s="3" t="n">
        <v>8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25</v>
      </c>
      <c r="N421" s="3" t="n">
        <v>97</v>
      </c>
      <c r="O421" s="3" t="n">
        <v>20.32520325203252</v>
      </c>
    </row>
    <row r="422" hidden="1">
      <c r="A422" s="5" t="n">
        <v>46148</v>
      </c>
      <c r="B422" s="6" t="inlineStr">
        <is>
          <t>Alisson de Freitas Silva</t>
        </is>
      </c>
      <c r="C422" s="1" t="inlineStr">
        <is>
          <t>Técnico II</t>
        </is>
      </c>
      <c r="D422" s="3" t="n">
        <v>35</v>
      </c>
      <c r="E422" s="3" t="n">
        <v>29</v>
      </c>
      <c r="F422" s="3" t="n">
        <v>12.32</v>
      </c>
      <c r="G422" s="3" t="n">
        <v>11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IF(K422&lt;-5,"CRÍTICO",IF(K422&lt;0,"ATENÇÃO",IF(K422&lt;=5,"OPORTUNO","MUITO BOM")))</f>
        <v/>
      </c>
      <c r="M422" s="3" t="n">
        <v>32</v>
      </c>
      <c r="N422" s="3" t="n">
        <v>99.18000000000001</v>
      </c>
      <c r="O422" s="3" t="n">
        <v>24.5014245014245</v>
      </c>
    </row>
    <row r="423" hidden="1">
      <c r="A423" s="5" t="n">
        <v>46148</v>
      </c>
      <c r="B423" s="6" t="inlineStr">
        <is>
          <t>Brenda de Menezes Silva</t>
        </is>
      </c>
      <c r="C423" s="1" t="inlineStr">
        <is>
          <t>Técnico II</t>
        </is>
      </c>
      <c r="D423" s="3" t="n">
        <v>31</v>
      </c>
      <c r="E423" s="3" t="n">
        <v>28</v>
      </c>
      <c r="F423" s="3" t="n">
        <v>18.45</v>
      </c>
      <c r="G423" s="3" t="n">
        <v>9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35</v>
      </c>
      <c r="N423" s="3" t="n">
        <v>99.34999999999999</v>
      </c>
      <c r="O423" s="3" t="n">
        <v>19.85294117647059</v>
      </c>
    </row>
    <row r="424" hidden="1">
      <c r="A424" s="5" t="n">
        <v>46148</v>
      </c>
      <c r="B424" s="6" t="inlineStr">
        <is>
          <t>Carlos Mateus Cassimiro Nunes</t>
        </is>
      </c>
      <c r="C424" s="14" t="inlineStr">
        <is>
          <t>Técnico II</t>
        </is>
      </c>
      <c r="D424" s="3" t="n">
        <v>34</v>
      </c>
      <c r="E424" s="3" t="n">
        <v>32</v>
      </c>
      <c r="F424" s="3" t="n">
        <v>14.16</v>
      </c>
      <c r="G424" s="3" t="n">
        <v>1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99.06999999999999</v>
      </c>
      <c r="O424" s="3" t="n">
        <v>20.09803921568627</v>
      </c>
    </row>
    <row r="425" hidden="1">
      <c r="A425" s="5" t="n">
        <v>46148</v>
      </c>
      <c r="B425" s="6" t="inlineStr">
        <is>
          <t>Damyllis Lorraine de Oliveira Gonçalves</t>
        </is>
      </c>
      <c r="C425" s="1" t="inlineStr">
        <is>
          <t>Técnico II</t>
        </is>
      </c>
      <c r="D425" s="3" t="n">
        <v>40</v>
      </c>
      <c r="E425" s="3" t="n">
        <v>35</v>
      </c>
      <c r="F425" s="3" t="n">
        <v>15.25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29</v>
      </c>
      <c r="N425" s="3" t="n">
        <v>98.81</v>
      </c>
      <c r="O425" s="3" t="n">
        <v>22.76785714285714</v>
      </c>
    </row>
    <row r="426" hidden="1">
      <c r="A426" s="5" t="n">
        <v>46148</v>
      </c>
      <c r="B426" s="6" t="inlineStr">
        <is>
          <t>Emilly Kamilly Medeiros Miranda</t>
        </is>
      </c>
      <c r="C426" s="1" t="inlineStr">
        <is>
          <t>Técnico II</t>
        </is>
      </c>
      <c r="D426" s="3" t="n">
        <v>15</v>
      </c>
      <c r="E426" s="3" t="n">
        <v>14</v>
      </c>
      <c r="F426" s="3" t="n">
        <v>17.31</v>
      </c>
      <c r="G426" s="3" t="n">
        <v>9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IF(K426&lt;-5,"CRÍTICO",IF(K426&lt;0,"ATENÇÃO",IF(K426&lt;=5,"OPORTUNO","MUITO BOM")))</f>
        <v/>
      </c>
      <c r="M426" s="3" t="n">
        <v>22</v>
      </c>
      <c r="N426" s="3" t="n">
        <v>99.01000000000001</v>
      </c>
      <c r="O426" s="3" t="n">
        <v>17.76649746192894</v>
      </c>
    </row>
    <row r="427" hidden="1">
      <c r="A427" s="5" t="n">
        <v>46148</v>
      </c>
      <c r="B427" s="6" t="inlineStr">
        <is>
          <t>Francilene Ferreira de Jesus</t>
        </is>
      </c>
      <c r="C427" s="1" t="inlineStr">
        <is>
          <t>Técnico II</t>
        </is>
      </c>
      <c r="D427" s="3" t="n">
        <v>0</v>
      </c>
      <c r="E427" s="3" t="n">
        <v>0</v>
      </c>
      <c r="F427" s="3" t="n">
        <v>0</v>
      </c>
      <c r="G427" s="3" t="n">
        <v>0</v>
      </c>
      <c r="H427" s="3" t="n">
        <v>0</v>
      </c>
      <c r="I427" s="3" t="n">
        <v>0</v>
      </c>
      <c r="J427" s="3" t="n">
        <v>0</v>
      </c>
      <c r="K427" s="3" t="n">
        <v>0</v>
      </c>
      <c r="L427" s="3">
        <f>IF(K427&lt;-5,"CRÍTICO",IF(K427&lt;0,"ATENÇÃO",IF(K427&lt;=5,"OPORTUNO","MUITO BOM")))</f>
        <v/>
      </c>
      <c r="M427" s="3" t="n">
        <v>0</v>
      </c>
      <c r="N427" s="3" t="n">
        <v>100</v>
      </c>
      <c r="O427" s="3" t="n">
        <v>17.24137931034483</v>
      </c>
    </row>
    <row r="428" hidden="1">
      <c r="A428" s="5" t="n">
        <v>46148</v>
      </c>
      <c r="B428" s="6" t="inlineStr">
        <is>
          <t>Isabella Borges de Oliveira</t>
        </is>
      </c>
      <c r="C428" s="14" t="inlineStr">
        <is>
          <t>Técnico II</t>
        </is>
      </c>
      <c r="D428" s="3" t="n">
        <v>33</v>
      </c>
      <c r="E428" s="3" t="n">
        <v>32</v>
      </c>
      <c r="F428" s="3" t="n">
        <v>20.01</v>
      </c>
      <c r="G428" s="3" t="n">
        <v>9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30</v>
      </c>
      <c r="N428" s="3" t="n">
        <v>98.98</v>
      </c>
      <c r="O428" s="3" t="n">
        <v>19.35483870967742</v>
      </c>
    </row>
    <row r="429" hidden="1">
      <c r="A429" s="5" t="n">
        <v>46148</v>
      </c>
      <c r="B429" s="6" t="inlineStr">
        <is>
          <t>Jessica Faria da Silveira</t>
        </is>
      </c>
      <c r="C429" s="1" t="inlineStr">
        <is>
          <t>Técnico II</t>
        </is>
      </c>
      <c r="D429" s="3" t="n">
        <v>29</v>
      </c>
      <c r="E429" s="3" t="n">
        <v>28</v>
      </c>
      <c r="F429" s="3" t="n">
        <v>10.28</v>
      </c>
      <c r="G429" s="3" t="n">
        <v>7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34</v>
      </c>
      <c r="N429" s="3" t="n">
        <v>98.94</v>
      </c>
      <c r="O429" s="3" t="n">
        <v>21.2707182320442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5" t="n">
        <v>46148</v>
      </c>
      <c r="B431" s="6" t="inlineStr">
        <is>
          <t>Lizandra Gomes Duarte</t>
        </is>
      </c>
      <c r="C431" s="1" t="inlineStr">
        <is>
          <t>Técnico II</t>
        </is>
      </c>
      <c r="D431" s="3" t="n">
        <v>38</v>
      </c>
      <c r="E431" s="3" t="n">
        <v>36</v>
      </c>
      <c r="F431" s="3" t="n">
        <v>15.35</v>
      </c>
      <c r="G431" s="3" t="n">
        <v>2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99</v>
      </c>
      <c r="O431" s="3" t="n">
        <v>22.01086956521739</v>
      </c>
    </row>
    <row r="432" hidden="1">
      <c r="A432" s="5" t="n">
        <v>46148</v>
      </c>
      <c r="B432" s="6" t="inlineStr">
        <is>
          <t>Lorena Dias de Araujo</t>
        </is>
      </c>
      <c r="C432" s="1" t="inlineStr">
        <is>
          <t>Técnico II</t>
        </is>
      </c>
      <c r="D432" s="3" t="n">
        <v>34</v>
      </c>
      <c r="E432" s="3" t="n">
        <v>31</v>
      </c>
      <c r="F432" s="3" t="n">
        <v>16.42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28</v>
      </c>
      <c r="N432" s="3" t="n">
        <v>100</v>
      </c>
      <c r="O432" s="3" t="n">
        <v>25</v>
      </c>
    </row>
    <row r="433" hidden="1">
      <c r="A433" s="5" t="n">
        <v>46148</v>
      </c>
      <c r="B433" s="6" t="inlineStr">
        <is>
          <t>Patrícia Karla de Sousa Araújo</t>
        </is>
      </c>
      <c r="C433" s="1" t="inlineStr">
        <is>
          <t>Técnico II</t>
        </is>
      </c>
      <c r="D433" s="3" t="n">
        <v>35</v>
      </c>
      <c r="E433" s="3" t="n">
        <v>33</v>
      </c>
      <c r="F433" s="3" t="n">
        <v>15.19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30</v>
      </c>
      <c r="N433" s="3" t="n">
        <v>100</v>
      </c>
      <c r="O433" s="3" t="n">
        <v>20.18348623853211</v>
      </c>
    </row>
    <row r="434" hidden="1">
      <c r="A434" s="5" t="n">
        <v>46148</v>
      </c>
      <c r="B434" s="6" t="inlineStr">
        <is>
          <t>Ana Karollyne Souza Faria</t>
        </is>
      </c>
      <c r="C434" s="1" t="inlineStr">
        <is>
          <t>Técnico I</t>
        </is>
      </c>
      <c r="D434" s="3" t="n">
        <v>50</v>
      </c>
      <c r="E434" s="3" t="n">
        <v>43</v>
      </c>
      <c r="F434" s="3" t="n">
        <v>14.05</v>
      </c>
      <c r="G434" s="3" t="n">
        <v>6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43</v>
      </c>
      <c r="N434" s="3" t="n">
        <v>96.25</v>
      </c>
      <c r="O434" s="3" t="n">
        <v>25.5863539445629</v>
      </c>
    </row>
    <row r="435" hidden="1">
      <c r="A435" s="5" t="n">
        <v>46148</v>
      </c>
      <c r="B435" s="6" t="inlineStr">
        <is>
          <t>Clessiane Pereira dos Santos</t>
        </is>
      </c>
      <c r="C435" s="1" t="inlineStr">
        <is>
          <t>Técnico I</t>
        </is>
      </c>
      <c r="D435" s="3" t="n">
        <v>24</v>
      </c>
      <c r="E435" s="3" t="n">
        <v>23</v>
      </c>
      <c r="F435" s="3" t="n">
        <v>17.07</v>
      </c>
      <c r="G435" s="3" t="n">
        <v>9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30</v>
      </c>
      <c r="N435" s="3" t="n">
        <v>97.48</v>
      </c>
      <c r="O435" s="3" t="n">
        <v>22.99465240641711</v>
      </c>
    </row>
    <row r="436" hidden="1">
      <c r="A436" s="5" t="n">
        <v>46148</v>
      </c>
      <c r="B436" s="6" t="inlineStr">
        <is>
          <t>Daniel Gomes da Silva</t>
        </is>
      </c>
      <c r="C436" s="1" t="inlineStr">
        <is>
          <t>Técnico I</t>
        </is>
      </c>
      <c r="D436" s="3" t="n">
        <v>19</v>
      </c>
      <c r="E436" s="3" t="n">
        <v>16</v>
      </c>
      <c r="F436" s="3" t="n">
        <v>16.51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100</v>
      </c>
      <c r="O436" s="3" t="n">
        <v>20.78853046594982</v>
      </c>
    </row>
    <row r="437" hidden="1">
      <c r="A437" s="5" t="n">
        <v>46148</v>
      </c>
      <c r="B437" s="6" t="inlineStr">
        <is>
          <t>Gabriel Gomes de Andrade</t>
        </is>
      </c>
      <c r="C437" s="1" t="inlineStr">
        <is>
          <t>Técnico I</t>
        </is>
      </c>
      <c r="D437" s="3" t="n">
        <v>23</v>
      </c>
      <c r="E437" s="3" t="n">
        <v>22</v>
      </c>
      <c r="F437" s="3" t="n">
        <v>20.21</v>
      </c>
      <c r="G437" s="3" t="n">
        <v>9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24</v>
      </c>
      <c r="N437" s="3" t="n">
        <v>99.06</v>
      </c>
      <c r="O437" s="3" t="n">
        <v>19.41747572815534</v>
      </c>
    </row>
    <row r="438" hidden="1">
      <c r="A438" s="5" t="n">
        <v>46148</v>
      </c>
      <c r="B438" s="6" t="inlineStr">
        <is>
          <t>Luiz Fernando de Carvalho Junior</t>
        </is>
      </c>
      <c r="C438" s="1" t="inlineStr">
        <is>
          <t>Técnico I</t>
        </is>
      </c>
      <c r="D438" s="3" t="n">
        <v>31</v>
      </c>
      <c r="E438" s="3" t="n">
        <v>30</v>
      </c>
      <c r="F438" s="3" t="n">
        <v>17.33</v>
      </c>
      <c r="G438" s="3" t="n">
        <v>8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36</v>
      </c>
      <c r="N438" s="3" t="n">
        <v>94.55</v>
      </c>
      <c r="O438" s="3" t="n">
        <v>23.45013477088949</v>
      </c>
    </row>
    <row r="439" hidden="1">
      <c r="A439" s="5" t="n">
        <v>46148</v>
      </c>
      <c r="B439" s="6" t="inlineStr">
        <is>
          <t>Raane Batista Matos</t>
        </is>
      </c>
      <c r="C439" s="1" t="inlineStr">
        <is>
          <t>Técnico I</t>
        </is>
      </c>
      <c r="D439" s="3" t="n">
        <v>34</v>
      </c>
      <c r="E439" s="3" t="n">
        <v>30</v>
      </c>
      <c r="F439" s="3" t="n">
        <v>13.25</v>
      </c>
      <c r="G439" s="3" t="n">
        <v>5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23</v>
      </c>
      <c r="N439" s="3" t="n">
        <v>98</v>
      </c>
      <c r="O439" s="3" t="n">
        <v>20.73490813648294</v>
      </c>
    </row>
    <row r="440" hidden="1">
      <c r="A440" s="5" t="n">
        <v>46148</v>
      </c>
      <c r="B440" s="6" t="inlineStr">
        <is>
          <t>Sara Maria Monteiro Lopes</t>
        </is>
      </c>
      <c r="C440" s="1" t="inlineStr">
        <is>
          <t>Técnico I</t>
        </is>
      </c>
      <c r="D440" s="3" t="n">
        <v>19</v>
      </c>
      <c r="E440" s="3" t="n">
        <v>18</v>
      </c>
      <c r="F440" s="3" t="n">
        <v>26.43</v>
      </c>
      <c r="G440" s="3" t="n">
        <v>1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18</v>
      </c>
      <c r="N440" s="3" t="n">
        <v>100</v>
      </c>
      <c r="O440" s="3" t="n">
        <v>18</v>
      </c>
    </row>
    <row r="441" hidden="1">
      <c r="A441" s="5" t="n">
        <v>46149</v>
      </c>
      <c r="B441" s="6" t="inlineStr">
        <is>
          <t>Amanda Moura Ferreira</t>
        </is>
      </c>
      <c r="C441" s="1" t="inlineStr">
        <is>
          <t>Técnico III</t>
        </is>
      </c>
      <c r="D441" s="3" t="n">
        <v>0</v>
      </c>
      <c r="E441" s="3" t="n">
        <v>0</v>
      </c>
      <c r="F441" s="3" t="n">
        <v>0</v>
      </c>
      <c r="G441" s="3" t="n">
        <v>0</v>
      </c>
      <c r="H441" s="3" t="n">
        <v>0</v>
      </c>
      <c r="I441" s="3" t="n">
        <v>0</v>
      </c>
      <c r="J441" s="3" t="n">
        <v>0</v>
      </c>
      <c r="K441" s="3" t="n">
        <v>0</v>
      </c>
      <c r="L441" s="3">
        <f>IF(K441&lt;-5,"CRÍTICO",IF(K441&lt;0,"ATENÇÃO",IF(K441&lt;=5,"OPORTUNO","MUITO BOM")))</f>
        <v/>
      </c>
      <c r="M441" s="3" t="n">
        <v>0</v>
      </c>
      <c r="N441" s="3" t="n">
        <v>100</v>
      </c>
      <c r="O441" s="3" t="n">
        <v>0</v>
      </c>
    </row>
    <row r="442" hidden="1">
      <c r="A442" s="5" t="n">
        <v>46149</v>
      </c>
      <c r="B442" s="6" t="inlineStr">
        <is>
          <t>Ana Paula Da Luz Silva Aleixo</t>
        </is>
      </c>
      <c r="C442" s="14" t="inlineStr">
        <is>
          <t>Técnico III</t>
        </is>
      </c>
      <c r="D442" s="3" t="n">
        <v>32</v>
      </c>
      <c r="E442" s="3" t="n">
        <v>32</v>
      </c>
      <c r="F442" s="3" t="n">
        <v>17.26</v>
      </c>
      <c r="G442" s="3" t="n">
        <v>0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IF(K442&lt;-5,"CRÍTICO",IF(K442&lt;0,"ATENÇÃO",IF(K442&lt;=5,"OPORTUNO","MUITO BOM")))</f>
        <v/>
      </c>
      <c r="M442" s="3" t="n">
        <v>33</v>
      </c>
      <c r="N442" s="3" t="n">
        <v>96.94</v>
      </c>
      <c r="O442" s="3" t="n">
        <v>19.61325966850829</v>
      </c>
    </row>
    <row r="443" hidden="1">
      <c r="A443" s="5" t="n">
        <v>46149</v>
      </c>
      <c r="B443" s="6" t="inlineStr">
        <is>
          <t>Cristiane Ramos da Silva Rocha</t>
        </is>
      </c>
      <c r="C443" s="1" t="inlineStr">
        <is>
          <t>Técnico III</t>
        </is>
      </c>
      <c r="D443" s="3" t="n">
        <v>47</v>
      </c>
      <c r="E443" s="3" t="n">
        <v>44</v>
      </c>
      <c r="F443" s="3" t="n">
        <v>11.45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38</v>
      </c>
      <c r="N443" s="3" t="n">
        <v>92.81</v>
      </c>
      <c r="O443" s="3" t="n">
        <v>25.47770700636943</v>
      </c>
    </row>
    <row r="444" hidden="1">
      <c r="A444" s="5" t="n">
        <v>46149</v>
      </c>
      <c r="B444" s="6" t="inlineStr">
        <is>
          <t>Davylla Rodrigues Freitas Silva</t>
        </is>
      </c>
      <c r="C444" s="14" t="inlineStr">
        <is>
          <t>Técnico III</t>
        </is>
      </c>
      <c r="D444" s="3" t="n">
        <v>31</v>
      </c>
      <c r="E444" s="3" t="n">
        <v>30</v>
      </c>
      <c r="F444" s="3" t="n">
        <v>21.48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29</v>
      </c>
      <c r="N444" s="3" t="n">
        <v>99.19</v>
      </c>
      <c r="O444" s="3" t="n">
        <v>28.40466926070039</v>
      </c>
    </row>
    <row r="445" hidden="1">
      <c r="A445" s="5" t="n">
        <v>46149</v>
      </c>
      <c r="B445" s="6" t="inlineStr">
        <is>
          <t>Francielson de Oliveira</t>
        </is>
      </c>
      <c r="C445" s="14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IF(K445&lt;-5,"CRÍTICO",IF(K445&lt;0,"ATENÇÃO",IF(K445&lt;=5,"OPORTUNO","MUITO BOM")))</f>
        <v/>
      </c>
      <c r="M445" s="3" t="n">
        <v>0</v>
      </c>
      <c r="N445" s="3" t="n">
        <v>100</v>
      </c>
      <c r="O445" s="3" t="n">
        <v>13.51351351351351</v>
      </c>
    </row>
    <row r="446" hidden="1">
      <c r="A446" s="5" t="n">
        <v>46149</v>
      </c>
      <c r="B446" s="6" t="inlineStr">
        <is>
          <t>Janaina Lima dos Reis Urany</t>
        </is>
      </c>
      <c r="C446" s="1" t="inlineStr">
        <is>
          <t>Técnico III</t>
        </is>
      </c>
      <c r="D446" s="3" t="n">
        <v>56</v>
      </c>
      <c r="E446" s="3" t="n">
        <v>51</v>
      </c>
      <c r="F446" s="3" t="n">
        <v>13.48</v>
      </c>
      <c r="G446" s="3" t="n">
        <v>9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49</v>
      </c>
      <c r="N446" s="3" t="n">
        <v>99</v>
      </c>
      <c r="O446" s="3" t="n">
        <v>22.27414330218069</v>
      </c>
    </row>
    <row r="447" hidden="1">
      <c r="A447" s="5" t="n">
        <v>46149</v>
      </c>
      <c r="B447" s="6" t="inlineStr">
        <is>
          <t>Jaqueline Evangelista da Silva Martins</t>
        </is>
      </c>
      <c r="C447" s="1" t="inlineStr">
        <is>
          <t>Técnico III</t>
        </is>
      </c>
      <c r="D447" s="3" t="n">
        <v>48</v>
      </c>
      <c r="E447" s="3" t="n">
        <v>39</v>
      </c>
      <c r="F447" s="3" t="n">
        <v>10.43</v>
      </c>
      <c r="G447" s="3" t="n">
        <v>6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41</v>
      </c>
      <c r="N447" s="3" t="n">
        <v>97.04000000000001</v>
      </c>
      <c r="O447" s="3" t="n">
        <v>29.82885085574572</v>
      </c>
    </row>
    <row r="448" hidden="1">
      <c r="A448" s="5" t="n">
        <v>46149</v>
      </c>
      <c r="B448" s="6" t="inlineStr">
        <is>
          <t>Jéssica Fé Moura</t>
        </is>
      </c>
      <c r="C448" s="1" t="inlineStr">
        <is>
          <t>Técnico III</t>
        </is>
      </c>
      <c r="D448" s="3" t="n">
        <v>0</v>
      </c>
      <c r="E448" s="3" t="n">
        <v>0</v>
      </c>
      <c r="F448" s="3" t="n">
        <v>0</v>
      </c>
      <c r="G448" s="3" t="n">
        <v>0</v>
      </c>
      <c r="H448" s="3" t="n">
        <v>0</v>
      </c>
      <c r="I448" s="3" t="n">
        <v>0</v>
      </c>
      <c r="J448" s="3" t="n">
        <v>0</v>
      </c>
      <c r="K448" s="3" t="n">
        <v>0</v>
      </c>
      <c r="L448" s="3">
        <f>IF(K448&lt;-5,"CRÍTICO",IF(K448&lt;0,"ATENÇÃO",IF(K448&lt;=5,"OPORTUNO","MUITO BOM")))</f>
        <v/>
      </c>
      <c r="M448" s="3" t="n">
        <v>0</v>
      </c>
      <c r="N448" s="3" t="n">
        <v>0</v>
      </c>
      <c r="O448" s="3" t="n">
        <v>0</v>
      </c>
    </row>
    <row r="449" hidden="1">
      <c r="A449" s="5" t="n">
        <v>46149</v>
      </c>
      <c r="B449" s="6" t="inlineStr">
        <is>
          <t>Kerollen Cristielly de Jesus Siqueira</t>
        </is>
      </c>
      <c r="C449" s="14" t="inlineStr">
        <is>
          <t>Técnico III</t>
        </is>
      </c>
      <c r="D449" s="3" t="n">
        <v>20</v>
      </c>
      <c r="E449" s="3" t="n">
        <v>19</v>
      </c>
      <c r="F449" s="3" t="n">
        <v>20.33</v>
      </c>
      <c r="G449" s="3" t="n">
        <v>4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23</v>
      </c>
      <c r="N449" s="3" t="n">
        <v>96.84</v>
      </c>
      <c r="O449" s="3" t="n">
        <v>16.33802816901408</v>
      </c>
    </row>
    <row r="450" hidden="1">
      <c r="A450" s="5" t="n">
        <v>46149</v>
      </c>
      <c r="B450" s="6" t="inlineStr">
        <is>
          <t>Leandro Oliveira de Sousa</t>
        </is>
      </c>
      <c r="C450" s="14" t="inlineStr">
        <is>
          <t>Técnico III</t>
        </is>
      </c>
      <c r="D450" s="3" t="n">
        <v>25</v>
      </c>
      <c r="E450" s="3" t="n">
        <v>23</v>
      </c>
      <c r="F450" s="3" t="n">
        <v>20.42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25</v>
      </c>
      <c r="N450" s="3" t="n">
        <v>100</v>
      </c>
      <c r="O450" s="3" t="n">
        <v>18.24480369515012</v>
      </c>
    </row>
    <row r="451" hidden="1">
      <c r="A451" s="5" t="n">
        <v>46149</v>
      </c>
      <c r="B451" s="6" t="inlineStr">
        <is>
          <t>Lucas Luiz Romero</t>
        </is>
      </c>
      <c r="C451" s="1" t="inlineStr">
        <is>
          <t>Técnico III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IF(K451&lt;-5,"CRÍTICO",IF(K451&lt;0,"ATENÇÃO",IF(K451&lt;=5,"OPORTUNO","MUITO BOM")))</f>
        <v/>
      </c>
      <c r="M451" s="3" t="n">
        <v>0</v>
      </c>
      <c r="N451" s="3" t="n">
        <v>100</v>
      </c>
      <c r="O451" s="3" t="n">
        <v>15.78947368421053</v>
      </c>
    </row>
    <row r="452" hidden="1">
      <c r="A452" s="5" t="n">
        <v>46149</v>
      </c>
      <c r="B452" s="6" t="inlineStr">
        <is>
          <t>Matheus Farias De Souza</t>
        </is>
      </c>
      <c r="C452" s="1" t="inlineStr">
        <is>
          <t>Técnico III</t>
        </is>
      </c>
      <c r="D452" s="3" t="n">
        <v>15</v>
      </c>
      <c r="E452" s="3" t="n">
        <v>14</v>
      </c>
      <c r="F452" s="3" t="n">
        <v>9.02</v>
      </c>
      <c r="G452" s="3" t="n">
        <v>0</v>
      </c>
      <c r="H452" s="3" t="n">
        <v>32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35</v>
      </c>
      <c r="N452" s="3" t="n">
        <v>98.39</v>
      </c>
      <c r="O452" s="16" t="n">
        <v>8.799999999999999</v>
      </c>
    </row>
    <row r="453" hidden="1">
      <c r="A453" s="5" t="n">
        <v>46149</v>
      </c>
      <c r="B453" s="6" t="inlineStr">
        <is>
          <t>Maysa Victoria Dias Moura</t>
        </is>
      </c>
      <c r="C453" s="1" t="inlineStr">
        <is>
          <t>Técnico III</t>
        </is>
      </c>
      <c r="D453" s="3" t="n">
        <v>26</v>
      </c>
      <c r="E453" s="3" t="n">
        <v>23</v>
      </c>
      <c r="F453" s="3" t="n">
        <v>15.28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26</v>
      </c>
      <c r="N453" s="3" t="n">
        <v>96.38</v>
      </c>
      <c r="O453" s="3" t="n">
        <v>23.1981981981982</v>
      </c>
    </row>
    <row r="454" hidden="1">
      <c r="A454" s="5" t="n">
        <v>46149</v>
      </c>
      <c r="B454" s="6" t="inlineStr">
        <is>
          <t>Rafael Gomes de Morais</t>
        </is>
      </c>
      <c r="C454" s="1" t="inlineStr">
        <is>
          <t>Técnico III</t>
        </is>
      </c>
      <c r="D454" s="3" t="n">
        <v>35</v>
      </c>
      <c r="E454" s="3" t="n">
        <v>30</v>
      </c>
      <c r="F454" s="3" t="n">
        <v>13.33</v>
      </c>
      <c r="G454" s="3" t="n">
        <v>8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37</v>
      </c>
      <c r="N454" s="3" t="n">
        <v>99.39</v>
      </c>
      <c r="O454" s="3" t="n">
        <v>25.20325203252033</v>
      </c>
    </row>
    <row r="455" hidden="1">
      <c r="A455" s="5" t="n">
        <v>46149</v>
      </c>
      <c r="B455" s="6" t="inlineStr">
        <is>
          <t>Sarah Steffanie de Lima Borges</t>
        </is>
      </c>
      <c r="C455" s="1" t="inlineStr">
        <is>
          <t>Técnico III</t>
        </is>
      </c>
      <c r="D455" s="3" t="n">
        <v>34</v>
      </c>
      <c r="E455" s="3" t="n">
        <v>31</v>
      </c>
      <c r="F455" s="3" t="n">
        <v>15.09</v>
      </c>
      <c r="G455" s="3" t="n">
        <v>1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28</v>
      </c>
      <c r="N455" s="3" t="n">
        <v>97</v>
      </c>
      <c r="O455" s="3" t="n">
        <v>20.32520325203252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5" t="n">
        <v>46149</v>
      </c>
      <c r="B457" s="6" t="inlineStr">
        <is>
          <t>Alisson de Freitas Silva</t>
        </is>
      </c>
      <c r="C457" s="1" t="inlineStr">
        <is>
          <t>Técnico II</t>
        </is>
      </c>
      <c r="D457" s="3" t="n">
        <v>39</v>
      </c>
      <c r="E457" s="3" t="n">
        <v>34</v>
      </c>
      <c r="F457" s="3" t="n">
        <v>8.33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19</v>
      </c>
      <c r="N457" s="3" t="n">
        <v>99.18000000000001</v>
      </c>
      <c r="O457" s="3" t="n">
        <v>24.5014245014245</v>
      </c>
    </row>
    <row r="458" hidden="1">
      <c r="A458" s="5" t="n">
        <v>46149</v>
      </c>
      <c r="B458" s="6" t="inlineStr">
        <is>
          <t>Brenda de Menezes Silva</t>
        </is>
      </c>
      <c r="C458" s="1" t="inlineStr">
        <is>
          <t>Técnico II</t>
        </is>
      </c>
      <c r="D458" s="3" t="n">
        <v>33</v>
      </c>
      <c r="E458" s="3" t="n">
        <v>29</v>
      </c>
      <c r="F458" s="3" t="n">
        <v>13.37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31</v>
      </c>
      <c r="N458" s="3" t="n">
        <v>99.34999999999999</v>
      </c>
      <c r="O458" s="3" t="n">
        <v>19.85294117647059</v>
      </c>
    </row>
    <row r="459" hidden="1">
      <c r="A459" s="5" t="n">
        <v>46149</v>
      </c>
      <c r="B459" s="6" t="inlineStr">
        <is>
          <t>Carlos Mateus Cassimiro Nunes</t>
        </is>
      </c>
      <c r="C459" s="14" t="inlineStr">
        <is>
          <t>Técnico II</t>
        </is>
      </c>
      <c r="D459" s="3" t="n">
        <v>24</v>
      </c>
      <c r="E459" s="3" t="n">
        <v>24</v>
      </c>
      <c r="F459" s="3" t="n">
        <v>25.23</v>
      </c>
      <c r="G459" s="3" t="n">
        <v>5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99.06999999999999</v>
      </c>
      <c r="O459" s="3" t="n">
        <v>20.09803921568627</v>
      </c>
    </row>
    <row r="460" hidden="1">
      <c r="A460" s="5" t="n">
        <v>46149</v>
      </c>
      <c r="B460" s="6" t="inlineStr">
        <is>
          <t>Damyllis Lorraine de Oliveira Gonçalves</t>
        </is>
      </c>
      <c r="C460" s="1" t="inlineStr">
        <is>
          <t>Técnico II</t>
        </is>
      </c>
      <c r="D460" s="3" t="n">
        <v>17</v>
      </c>
      <c r="E460" s="3" t="n">
        <v>16</v>
      </c>
      <c r="F460" s="3" t="n">
        <v>30.25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19</v>
      </c>
      <c r="N460" s="3" t="n">
        <v>98.81</v>
      </c>
      <c r="O460" s="3" t="n">
        <v>22.76785714285714</v>
      </c>
    </row>
    <row r="461" hidden="1">
      <c r="A461" s="5" t="n">
        <v>46149</v>
      </c>
      <c r="B461" s="6" t="inlineStr">
        <is>
          <t>Emilly Kamilly Medeiros Miranda</t>
        </is>
      </c>
      <c r="C461" s="1" t="inlineStr">
        <is>
          <t>Técnico II</t>
        </is>
      </c>
      <c r="D461" s="3" t="n">
        <v>30</v>
      </c>
      <c r="E461" s="3" t="n">
        <v>29</v>
      </c>
      <c r="F461" s="3" t="n">
        <v>17.1</v>
      </c>
      <c r="G461" s="3" t="n">
        <v>2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28</v>
      </c>
      <c r="N461" s="3" t="n">
        <v>99.01000000000001</v>
      </c>
      <c r="O461" s="3" t="n">
        <v>17.76649746192894</v>
      </c>
    </row>
    <row r="462" hidden="1">
      <c r="A462" s="5" t="n">
        <v>46149</v>
      </c>
      <c r="B462" s="6" t="inlineStr">
        <is>
          <t>Francilene Ferreira de Jesus</t>
        </is>
      </c>
      <c r="C462" s="1" t="inlineStr">
        <is>
          <t>Técnico 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0</v>
      </c>
      <c r="N462" s="3" t="n">
        <v>100</v>
      </c>
      <c r="O462" s="3" t="n">
        <v>17.24137931034483</v>
      </c>
    </row>
    <row r="463" hidden="1">
      <c r="A463" s="5" t="n">
        <v>46149</v>
      </c>
      <c r="B463" s="6" t="inlineStr">
        <is>
          <t>Isabella Borges de Oliveira</t>
        </is>
      </c>
      <c r="C463" s="14" t="inlineStr">
        <is>
          <t>Técnico II</t>
        </is>
      </c>
      <c r="D463" s="3" t="n">
        <v>25</v>
      </c>
      <c r="E463" s="3" t="n">
        <v>24</v>
      </c>
      <c r="F463" s="3" t="n">
        <v>24.02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22</v>
      </c>
      <c r="N463" s="3" t="n">
        <v>98.98</v>
      </c>
      <c r="O463" s="3" t="n">
        <v>19.35483870967742</v>
      </c>
    </row>
    <row r="464" hidden="1">
      <c r="A464" s="5" t="n">
        <v>46149</v>
      </c>
      <c r="B464" s="6" t="inlineStr">
        <is>
          <t>Jessica Faria da Silveira</t>
        </is>
      </c>
      <c r="C464" s="1" t="inlineStr">
        <is>
          <t>Técnico II</t>
        </is>
      </c>
      <c r="D464" s="3" t="n">
        <v>34</v>
      </c>
      <c r="E464" s="3" t="n">
        <v>28</v>
      </c>
      <c r="F464" s="3" t="n">
        <v>13.53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26</v>
      </c>
      <c r="N464" s="3" t="n">
        <v>98.94</v>
      </c>
      <c r="O464" s="3" t="n">
        <v>21.2707182320442</v>
      </c>
    </row>
    <row r="465" hidden="1">
      <c r="A465" s="5" t="n">
        <v>46149</v>
      </c>
      <c r="B465" s="6" t="inlineStr">
        <is>
          <t>Lizandra Gomes Duarte</t>
        </is>
      </c>
      <c r="C465" s="1" t="inlineStr">
        <is>
          <t>Técnico II</t>
        </is>
      </c>
      <c r="D465" s="3" t="n">
        <v>40</v>
      </c>
      <c r="E465" s="3" t="n">
        <v>37</v>
      </c>
      <c r="F465" s="3" t="n">
        <v>13.54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51</v>
      </c>
      <c r="N465" s="3" t="n">
        <v>99</v>
      </c>
      <c r="O465" s="3" t="n">
        <v>22.01086956521739</v>
      </c>
    </row>
    <row r="466" hidden="1">
      <c r="A466" s="5" t="n">
        <v>46149</v>
      </c>
      <c r="B466" s="6" t="inlineStr">
        <is>
          <t>Lorena Dias de Araujo</t>
        </is>
      </c>
      <c r="C466" s="1" t="inlineStr">
        <is>
          <t>Técnico II</t>
        </is>
      </c>
      <c r="D466" s="3" t="n">
        <v>26</v>
      </c>
      <c r="E466" s="3" t="n">
        <v>24</v>
      </c>
      <c r="F466" s="3" t="n">
        <v>18.21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26</v>
      </c>
      <c r="N466" s="3" t="n">
        <v>100</v>
      </c>
      <c r="O466" s="3" t="n">
        <v>25</v>
      </c>
    </row>
    <row r="467" hidden="1">
      <c r="A467" s="5" t="n">
        <v>46149</v>
      </c>
      <c r="B467" s="6" t="inlineStr">
        <is>
          <t>Patrícia Karla de Sousa Araújo</t>
        </is>
      </c>
      <c r="C467" s="1" t="inlineStr">
        <is>
          <t>Técnico II</t>
        </is>
      </c>
      <c r="D467" s="3" t="n">
        <v>10</v>
      </c>
      <c r="E467" s="3" t="n">
        <v>10</v>
      </c>
      <c r="F467" s="3" t="n">
        <v>28.38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9</v>
      </c>
      <c r="N467" s="3" t="n">
        <v>100</v>
      </c>
      <c r="O467" s="3" t="n">
        <v>20.18348623853211</v>
      </c>
    </row>
    <row r="468" hidden="1">
      <c r="A468" s="5" t="n">
        <v>46149</v>
      </c>
      <c r="B468" s="6" t="inlineStr">
        <is>
          <t>Ana Karollyne Souza Faria</t>
        </is>
      </c>
      <c r="C468" s="1" t="inlineStr">
        <is>
          <t>Técnico I</t>
        </is>
      </c>
      <c r="D468" s="3" t="n">
        <v>31</v>
      </c>
      <c r="E468" s="3" t="n">
        <v>28</v>
      </c>
      <c r="F468" s="3" t="n">
        <v>15.11</v>
      </c>
      <c r="G468" s="3" t="n">
        <v>10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36</v>
      </c>
      <c r="N468" s="3" t="n">
        <v>96.25</v>
      </c>
      <c r="O468" s="3" t="n">
        <v>25.5863539445629</v>
      </c>
    </row>
    <row r="469" hidden="1">
      <c r="A469" s="5" t="n">
        <v>46149</v>
      </c>
      <c r="B469" s="6" t="inlineStr">
        <is>
          <t>Clessiane Pereira dos Santos</t>
        </is>
      </c>
      <c r="C469" s="1" t="inlineStr">
        <is>
          <t>Técnico I</t>
        </is>
      </c>
      <c r="D469" s="3" t="n">
        <v>25</v>
      </c>
      <c r="E469" s="3" t="n">
        <v>23</v>
      </c>
      <c r="F469" s="3" t="n">
        <v>16.56</v>
      </c>
      <c r="G469" s="3" t="n">
        <v>1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IF(K469&lt;-5,"CRÍTICO",IF(K469&lt;0,"ATENÇÃO",IF(K469&lt;=5,"OPORTUNO","MUITO BOM")))</f>
        <v/>
      </c>
      <c r="M469" s="3" t="n">
        <v>22</v>
      </c>
      <c r="N469" s="3" t="n">
        <v>97.48</v>
      </c>
      <c r="O469" s="3" t="n">
        <v>22.99465240641711</v>
      </c>
    </row>
    <row r="470" hidden="1">
      <c r="A470" s="5" t="n">
        <v>46149</v>
      </c>
      <c r="B470" s="6" t="inlineStr">
        <is>
          <t>Daniel Gomes da Silva</t>
        </is>
      </c>
      <c r="C470" s="1" t="inlineStr">
        <is>
          <t>Técnico I</t>
        </is>
      </c>
      <c r="D470" s="3" t="n">
        <v>17</v>
      </c>
      <c r="E470" s="3" t="n">
        <v>17</v>
      </c>
      <c r="F470" s="3" t="n">
        <v>16.5</v>
      </c>
      <c r="G470" s="3" t="n">
        <v>7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20.78853046594982</v>
      </c>
    </row>
    <row r="471" hidden="1">
      <c r="A471" s="5" t="n">
        <v>46149</v>
      </c>
      <c r="B471" s="6" t="inlineStr">
        <is>
          <t>Luiz Fernando de Carvalho Junior</t>
        </is>
      </c>
      <c r="C471" s="1" t="inlineStr">
        <is>
          <t>Técnico I</t>
        </is>
      </c>
      <c r="D471" s="3" t="n">
        <v>25</v>
      </c>
      <c r="E471" s="3" t="n">
        <v>25</v>
      </c>
      <c r="F471" s="3" t="n">
        <v>25.28</v>
      </c>
      <c r="G471" s="3" t="n">
        <v>1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25</v>
      </c>
      <c r="N471" s="3" t="n">
        <v>94.55</v>
      </c>
      <c r="O471" s="3" t="n">
        <v>23.45013477088949</v>
      </c>
    </row>
    <row r="472" hidden="1">
      <c r="A472" s="5" t="n">
        <v>46149</v>
      </c>
      <c r="B472" s="6" t="inlineStr">
        <is>
          <t>Raane Batista Matos</t>
        </is>
      </c>
      <c r="C472" s="1" t="inlineStr">
        <is>
          <t>Técnico I</t>
        </is>
      </c>
      <c r="D472" s="3" t="n">
        <v>31</v>
      </c>
      <c r="E472" s="3" t="n">
        <v>26</v>
      </c>
      <c r="F472" s="3" t="n">
        <v>11.59</v>
      </c>
      <c r="G472" s="3" t="n">
        <v>14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23</v>
      </c>
      <c r="N472" s="3" t="n">
        <v>98</v>
      </c>
      <c r="O472" s="3" t="n">
        <v>20.73490813648294</v>
      </c>
    </row>
    <row r="473" hidden="1">
      <c r="A473" s="5" t="n">
        <v>46149</v>
      </c>
      <c r="B473" s="6" t="inlineStr">
        <is>
          <t>Sara Maria Monteiro Lopes</t>
        </is>
      </c>
      <c r="C473" s="1" t="inlineStr">
        <is>
          <t>Técnico I</t>
        </is>
      </c>
      <c r="D473" s="3" t="n">
        <v>14</v>
      </c>
      <c r="E473" s="3" t="n">
        <v>14</v>
      </c>
      <c r="F473" s="3" t="n">
        <v>33.45</v>
      </c>
      <c r="G473" s="3" t="n">
        <v>6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IF(K473&lt;-5,"CRÍTICO",IF(K473&lt;0,"ATENÇÃO",IF(K473&lt;=5,"OPORTUNO","MUITO BOM")))</f>
        <v/>
      </c>
      <c r="M473" s="3" t="n">
        <v>20</v>
      </c>
      <c r="N473" s="3" t="n">
        <v>100</v>
      </c>
      <c r="O473" s="3" t="n">
        <v>18</v>
      </c>
    </row>
    <row r="474" hidden="1">
      <c r="A474" s="5" t="n">
        <v>46149</v>
      </c>
      <c r="B474" s="6" t="inlineStr">
        <is>
          <t>Gabriel Gomes de Andrade</t>
        </is>
      </c>
      <c r="C474" s="1" t="inlineStr">
        <is>
          <t>Técnico I</t>
        </is>
      </c>
      <c r="D474" s="3" t="n">
        <v>26</v>
      </c>
      <c r="E474" s="3" t="n">
        <v>26</v>
      </c>
      <c r="F474" s="3" t="n">
        <v>18.46</v>
      </c>
      <c r="G474" s="3" t="n">
        <v>2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24</v>
      </c>
      <c r="N474" s="3" t="n">
        <v>99.06</v>
      </c>
      <c r="O474" s="3" t="n">
        <v>19.41747572815534</v>
      </c>
    </row>
    <row r="475" hidden="1">
      <c r="A475" s="5" t="n">
        <v>46150</v>
      </c>
      <c r="B475" s="6" t="inlineStr">
        <is>
          <t>Amanda Moura Ferreira</t>
        </is>
      </c>
      <c r="C475" s="1" t="inlineStr">
        <is>
          <t>Técnico III</t>
        </is>
      </c>
      <c r="D475" s="3" t="n">
        <v>0</v>
      </c>
      <c r="E475" s="3" t="n">
        <v>0</v>
      </c>
      <c r="F475" s="3" t="n">
        <v>0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0</v>
      </c>
      <c r="N475" s="3" t="n">
        <v>100</v>
      </c>
      <c r="O475" s="3" t="n">
        <v>0</v>
      </c>
    </row>
    <row r="476" hidden="1">
      <c r="A476" s="5" t="n">
        <v>46150</v>
      </c>
      <c r="B476" s="6" t="inlineStr">
        <is>
          <t>Ana Paula Da Luz Silva Aleixo</t>
        </is>
      </c>
      <c r="C476" s="14" t="inlineStr">
        <is>
          <t>Técnico III</t>
        </is>
      </c>
      <c r="D476" s="3" t="n">
        <v>22</v>
      </c>
      <c r="E476" s="3" t="n">
        <v>21</v>
      </c>
      <c r="F476" s="3" t="n">
        <v>16.5</v>
      </c>
      <c r="G476" s="3" t="n">
        <v>3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IF(K476&lt;-5,"CRÍTICO",IF(K476&lt;0,"ATENÇÃO",IF(K476&lt;=5,"OPORTUNO","MUITO BOM")))</f>
        <v/>
      </c>
      <c r="M476" s="3" t="n">
        <v>20</v>
      </c>
      <c r="N476" s="3" t="n">
        <v>96.94</v>
      </c>
      <c r="O476" s="3" t="n">
        <v>19.61325966850829</v>
      </c>
    </row>
    <row r="477" hidden="1">
      <c r="A477" s="5" t="n">
        <v>46150</v>
      </c>
      <c r="B477" s="6" t="inlineStr">
        <is>
          <t>Cristiane Ramos da Silva Rocha</t>
        </is>
      </c>
      <c r="C477" s="1" t="inlineStr">
        <is>
          <t>Técnico III</t>
        </is>
      </c>
      <c r="D477" s="3" t="n">
        <v>27</v>
      </c>
      <c r="E477" s="3" t="n">
        <v>26</v>
      </c>
      <c r="F477" s="3" t="n">
        <v>17.37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IF(K477&lt;-5,"CRÍTICO",IF(K477&lt;0,"ATENÇÃO",IF(K477&lt;=5,"OPORTUNO","MUITO BOM")))</f>
        <v/>
      </c>
      <c r="M477" s="3" t="n">
        <v>25</v>
      </c>
      <c r="N477" s="3" t="n">
        <v>92.81</v>
      </c>
      <c r="O477" s="3" t="n">
        <v>25.47770700636943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5" t="n">
        <v>46150</v>
      </c>
      <c r="B479" s="6" t="inlineStr">
        <is>
          <t>Davylla Rodrigues Freitas Silva</t>
        </is>
      </c>
      <c r="C479" s="14" t="inlineStr">
        <is>
          <t>Técnico III</t>
        </is>
      </c>
      <c r="D479" s="3" t="n">
        <v>17</v>
      </c>
      <c r="E479" s="3" t="n">
        <v>17</v>
      </c>
      <c r="F479" s="3" t="n">
        <v>25.05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22</v>
      </c>
      <c r="N479" s="3" t="n">
        <v>99.19</v>
      </c>
      <c r="O479" s="3" t="n">
        <v>28.40466926070039</v>
      </c>
    </row>
    <row r="480" hidden="1">
      <c r="A480" s="5" t="n">
        <v>46150</v>
      </c>
      <c r="B480" s="6" t="inlineStr">
        <is>
          <t>Francielson de Oliveira</t>
        </is>
      </c>
      <c r="C480" s="14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3" t="n">
        <v>13.51351351351351</v>
      </c>
    </row>
    <row r="481" hidden="1">
      <c r="A481" s="5" t="n">
        <v>46150</v>
      </c>
      <c r="B481" s="6" t="inlineStr">
        <is>
          <t>Janaina Lima dos Reis Urany</t>
        </is>
      </c>
      <c r="C481" s="1" t="inlineStr">
        <is>
          <t>Técnico III</t>
        </is>
      </c>
      <c r="D481" s="3" t="n">
        <v>41</v>
      </c>
      <c r="E481" s="3" t="n">
        <v>37</v>
      </c>
      <c r="F481" s="3" t="n">
        <v>14.1</v>
      </c>
      <c r="G481" s="3" t="n">
        <v>8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41</v>
      </c>
      <c r="N481" s="3" t="n">
        <v>99</v>
      </c>
      <c r="O481" s="3" t="n">
        <v>22.27414330218069</v>
      </c>
    </row>
    <row r="482" hidden="1">
      <c r="A482" s="5" t="n">
        <v>46150</v>
      </c>
      <c r="B482" s="6" t="inlineStr">
        <is>
          <t>Jaqueline Evangelista da Silva Martins</t>
        </is>
      </c>
      <c r="C482" s="1" t="inlineStr">
        <is>
          <t>Técnico III</t>
        </is>
      </c>
      <c r="D482" s="3" t="n">
        <v>20</v>
      </c>
      <c r="E482" s="3" t="n">
        <v>19</v>
      </c>
      <c r="F482" s="3" t="n">
        <v>12.31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21</v>
      </c>
      <c r="N482" s="3" t="n">
        <v>97.04000000000001</v>
      </c>
      <c r="O482" s="3" t="n">
        <v>29.82885085574572</v>
      </c>
    </row>
    <row r="483" hidden="1">
      <c r="A483" s="5" t="n">
        <v>46150</v>
      </c>
      <c r="B483" s="6" t="inlineStr">
        <is>
          <t>Jéssica Fé Moura</t>
        </is>
      </c>
      <c r="C483" s="1" t="inlineStr">
        <is>
          <t>Técnico III</t>
        </is>
      </c>
      <c r="D483" s="3" t="n">
        <v>0</v>
      </c>
      <c r="E483" s="3" t="n">
        <v>0</v>
      </c>
      <c r="F483" s="3" t="n">
        <v>0</v>
      </c>
      <c r="G483" s="3" t="n">
        <v>0</v>
      </c>
      <c r="H483" s="3" t="n">
        <v>0</v>
      </c>
      <c r="I483" s="3" t="n">
        <v>0</v>
      </c>
      <c r="J483" s="3" t="n">
        <v>0</v>
      </c>
      <c r="K483" s="3" t="n">
        <v>0</v>
      </c>
      <c r="L483" s="3">
        <f>IF(K483&lt;-5,"CRÍTICO",IF(K483&lt;0,"ATENÇÃO",IF(K483&lt;=5,"OPORTUNO","MUITO BOM")))</f>
        <v/>
      </c>
      <c r="M483" s="3" t="n">
        <v>0</v>
      </c>
      <c r="N483" s="3" t="n">
        <v>0</v>
      </c>
      <c r="O483" s="3" t="n">
        <v>0</v>
      </c>
    </row>
    <row r="484" hidden="1">
      <c r="A484" s="5" t="n">
        <v>46150</v>
      </c>
      <c r="B484" s="6" t="inlineStr">
        <is>
          <t>Kerollen Cristielly de Jesus Siqueira</t>
        </is>
      </c>
      <c r="C484" s="14" t="inlineStr">
        <is>
          <t>Técnico III</t>
        </is>
      </c>
      <c r="D484" s="3" t="n">
        <v>4</v>
      </c>
      <c r="E484" s="3" t="n">
        <v>4</v>
      </c>
      <c r="F484" s="3" t="n">
        <v>30.5</v>
      </c>
      <c r="G484" s="3" t="n">
        <v>0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4</v>
      </c>
      <c r="N484" s="3" t="n">
        <v>96.84</v>
      </c>
      <c r="O484" s="3" t="n">
        <v>16.33802816901408</v>
      </c>
    </row>
    <row r="485" hidden="1">
      <c r="A485" s="5" t="n">
        <v>46150</v>
      </c>
      <c r="B485" s="6" t="inlineStr">
        <is>
          <t>Leandro Oliveira de Sousa</t>
        </is>
      </c>
      <c r="C485" s="14" t="inlineStr">
        <is>
          <t>Técnico III</t>
        </is>
      </c>
      <c r="D485" s="3" t="n">
        <v>29</v>
      </c>
      <c r="E485" s="3" t="n">
        <v>28</v>
      </c>
      <c r="F485" s="3" t="n">
        <v>22.03</v>
      </c>
      <c r="G485" s="3" t="n">
        <v>0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24</v>
      </c>
      <c r="N485" s="3" t="n">
        <v>100</v>
      </c>
      <c r="O485" s="3" t="n">
        <v>18.24480369515012</v>
      </c>
    </row>
    <row r="486" hidden="1">
      <c r="A486" s="5" t="n">
        <v>46150</v>
      </c>
      <c r="B486" s="6" t="inlineStr">
        <is>
          <t>Lucas Luiz Romero</t>
        </is>
      </c>
      <c r="C486" s="1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100</v>
      </c>
      <c r="O486" s="3" t="n">
        <v>15.78947368421053</v>
      </c>
    </row>
    <row r="487" hidden="1">
      <c r="A487" s="5" t="n">
        <v>46150</v>
      </c>
      <c r="B487" s="6" t="inlineStr">
        <is>
          <t>Matheus Farias De Souza</t>
        </is>
      </c>
      <c r="C487" s="1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31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21</v>
      </c>
      <c r="N487" s="3" t="n">
        <v>98.39</v>
      </c>
      <c r="O487" s="16" t="n">
        <v>8.799999999999999</v>
      </c>
    </row>
    <row r="488" hidden="1">
      <c r="A488" s="5" t="n">
        <v>46150</v>
      </c>
      <c r="B488" s="6" t="inlineStr">
        <is>
          <t>Maysa Victoria Dias Moura</t>
        </is>
      </c>
      <c r="C488" s="1" t="inlineStr">
        <is>
          <t>Técnico III</t>
        </is>
      </c>
      <c r="D488" s="3" t="n">
        <v>30</v>
      </c>
      <c r="E488" s="3" t="n">
        <v>28</v>
      </c>
      <c r="F488" s="3" t="n">
        <v>13.33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23</v>
      </c>
      <c r="N488" s="3" t="n">
        <v>96.38</v>
      </c>
      <c r="O488" s="3" t="n">
        <v>23.1981981981982</v>
      </c>
    </row>
    <row r="489" hidden="1">
      <c r="A489" s="5" t="n">
        <v>46150</v>
      </c>
      <c r="B489" s="6" t="inlineStr">
        <is>
          <t>Rafael Gomes de Morais</t>
        </is>
      </c>
      <c r="C489" s="1" t="inlineStr">
        <is>
          <t>Técnico III</t>
        </is>
      </c>
      <c r="D489" s="3" t="n">
        <v>44</v>
      </c>
      <c r="E489" s="3" t="n">
        <v>38</v>
      </c>
      <c r="F489" s="3" t="n">
        <v>10.22</v>
      </c>
      <c r="G489" s="3" t="n">
        <v>0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99.39</v>
      </c>
      <c r="O489" s="3" t="n">
        <v>25.20325203252033</v>
      </c>
    </row>
    <row r="490" hidden="1">
      <c r="A490" s="5" t="n">
        <v>46150</v>
      </c>
      <c r="B490" s="6" t="inlineStr">
        <is>
          <t>Sarah Steffanie de Lima Borges</t>
        </is>
      </c>
      <c r="C490" s="1" t="inlineStr">
        <is>
          <t>Técnico III</t>
        </is>
      </c>
      <c r="D490" s="3" t="n">
        <v>22</v>
      </c>
      <c r="E490" s="3" t="n">
        <v>21</v>
      </c>
      <c r="F490" s="3" t="n">
        <v>14.04</v>
      </c>
      <c r="G490" s="3" t="n">
        <v>5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IF(K490&lt;-5,"CRÍTICO",IF(K490&lt;0,"ATENÇÃO",IF(K490&lt;=5,"OPORTUNO","MUITO BOM")))</f>
        <v/>
      </c>
      <c r="M490" s="3" t="n">
        <v>25</v>
      </c>
      <c r="N490" s="3" t="n">
        <v>97</v>
      </c>
      <c r="O490" s="3" t="n">
        <v>20.32520325203252</v>
      </c>
    </row>
    <row r="491" hidden="1">
      <c r="A491" s="5" t="n">
        <v>46150</v>
      </c>
      <c r="B491" s="6" t="inlineStr">
        <is>
          <t>Alisson de Freitas Silva</t>
        </is>
      </c>
      <c r="C491" s="1" t="inlineStr">
        <is>
          <t>Técnico II</t>
        </is>
      </c>
      <c r="D491" s="3" t="n">
        <v>34</v>
      </c>
      <c r="E491" s="3" t="n">
        <v>30</v>
      </c>
      <c r="F491" s="3" t="n">
        <v>11.56</v>
      </c>
      <c r="G491" s="3" t="n">
        <v>4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21</v>
      </c>
      <c r="N491" s="3" t="n">
        <v>99.18000000000001</v>
      </c>
      <c r="O491" s="3" t="n">
        <v>24.5014245014245</v>
      </c>
    </row>
    <row r="492" hidden="1">
      <c r="A492" s="5" t="n">
        <v>46150</v>
      </c>
      <c r="B492" s="6" t="inlineStr">
        <is>
          <t>Brenda de Menezes Silva</t>
        </is>
      </c>
      <c r="C492" s="1" t="inlineStr">
        <is>
          <t>Técnico II</t>
        </is>
      </c>
      <c r="D492" s="3" t="n">
        <v>31</v>
      </c>
      <c r="E492" s="3" t="n">
        <v>28</v>
      </c>
      <c r="F492" s="3" t="n">
        <v>15.19</v>
      </c>
      <c r="G492" s="3" t="n">
        <v>4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35</v>
      </c>
      <c r="N492" s="3" t="n">
        <v>99.34999999999999</v>
      </c>
      <c r="O492" s="3" t="n">
        <v>19.85294117647059</v>
      </c>
    </row>
    <row r="493" hidden="1">
      <c r="A493" s="5" t="n">
        <v>46150</v>
      </c>
      <c r="B493" s="6" t="inlineStr">
        <is>
          <t>Carlos Mateus Cassimiro Nunes</t>
        </is>
      </c>
      <c r="C493" s="14" t="inlineStr">
        <is>
          <t>Técnico II</t>
        </is>
      </c>
      <c r="D493" s="3" t="n">
        <v>12</v>
      </c>
      <c r="E493" s="3" t="n">
        <v>12</v>
      </c>
      <c r="F493" s="3" t="n">
        <v>38.58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12</v>
      </c>
      <c r="N493" s="3" t="n">
        <v>99.06999999999999</v>
      </c>
      <c r="O493" s="3" t="n">
        <v>20.09803921568627</v>
      </c>
    </row>
    <row r="494" hidden="1">
      <c r="A494" s="5" t="n">
        <v>46150</v>
      </c>
      <c r="B494" s="6" t="inlineStr">
        <is>
          <t>Damyllis Lorraine de Oliveira Gonçalves</t>
        </is>
      </c>
      <c r="C494" s="1" t="inlineStr">
        <is>
          <t>Técnico II</t>
        </is>
      </c>
      <c r="D494" s="3" t="n">
        <v>19</v>
      </c>
      <c r="E494" s="3" t="n">
        <v>17</v>
      </c>
      <c r="F494" s="3" t="n">
        <v>23.59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16</v>
      </c>
      <c r="N494" s="3" t="n">
        <v>98.81</v>
      </c>
      <c r="O494" s="3" t="n">
        <v>22.76785714285714</v>
      </c>
    </row>
    <row r="495" hidden="1">
      <c r="A495" s="5" t="n">
        <v>46150</v>
      </c>
      <c r="B495" s="6" t="inlineStr">
        <is>
          <t>Emilly Kamilly Medeiros Miranda</t>
        </is>
      </c>
      <c r="C495" s="1" t="inlineStr">
        <is>
          <t>Técnico II</t>
        </is>
      </c>
      <c r="D495" s="3" t="n">
        <v>25</v>
      </c>
      <c r="E495" s="3" t="n">
        <v>23</v>
      </c>
      <c r="F495" s="3" t="n">
        <v>12.17</v>
      </c>
      <c r="G495" s="3" t="n">
        <v>6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26</v>
      </c>
      <c r="N495" s="3" t="n">
        <v>99.01000000000001</v>
      </c>
      <c r="O495" s="3" t="n">
        <v>17.76649746192894</v>
      </c>
    </row>
    <row r="496" hidden="1">
      <c r="A496" s="5" t="n">
        <v>46150</v>
      </c>
      <c r="B496" s="6" t="inlineStr">
        <is>
          <t>Francilene Ferreira de Jesus</t>
        </is>
      </c>
      <c r="C496" s="1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IF(K496&lt;-5,"CRÍTICO",IF(K496&lt;0,"ATENÇÃO",IF(K496&lt;=5,"OPORTUNO","MUITO BOM")))</f>
        <v/>
      </c>
      <c r="M496" s="3" t="n">
        <v>0</v>
      </c>
      <c r="N496" s="3" t="n">
        <v>100</v>
      </c>
      <c r="O496" s="3" t="n">
        <v>17.24137931034483</v>
      </c>
    </row>
    <row r="497" hidden="1">
      <c r="A497" s="5" t="n">
        <v>46150</v>
      </c>
      <c r="B497" s="6" t="inlineStr">
        <is>
          <t>Isabella Borges de Oliveira</t>
        </is>
      </c>
      <c r="C497" s="14" t="inlineStr">
        <is>
          <t>Técnico II</t>
        </is>
      </c>
      <c r="D497" s="3" t="n">
        <v>30</v>
      </c>
      <c r="E497" s="3" t="n">
        <v>27</v>
      </c>
      <c r="F497" s="3" t="n">
        <v>15.28</v>
      </c>
      <c r="G497" s="3" t="n">
        <v>0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22</v>
      </c>
      <c r="N497" s="3" t="n">
        <v>98.98</v>
      </c>
      <c r="O497" s="3" t="n">
        <v>19.35483870967742</v>
      </c>
    </row>
    <row r="498" hidden="1">
      <c r="A498" s="5" t="n">
        <v>46150</v>
      </c>
      <c r="B498" s="6" t="inlineStr">
        <is>
          <t>Jessica Faria da Silveira</t>
        </is>
      </c>
      <c r="C498" s="1" t="inlineStr">
        <is>
          <t>Técnico II</t>
        </is>
      </c>
      <c r="D498" s="3" t="n">
        <v>25</v>
      </c>
      <c r="E498" s="3" t="n">
        <v>20</v>
      </c>
      <c r="F498" s="3" t="n">
        <v>14.16</v>
      </c>
      <c r="G498" s="3" t="n">
        <v>3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24</v>
      </c>
      <c r="N498" s="3" t="n">
        <v>98.94</v>
      </c>
      <c r="O498" s="3" t="n">
        <v>21.2707182320442</v>
      </c>
    </row>
    <row r="499" hidden="1">
      <c r="A499" s="5" t="n">
        <v>46150</v>
      </c>
      <c r="B499" s="6" t="inlineStr">
        <is>
          <t>Lizandra Gomes Duarte</t>
        </is>
      </c>
      <c r="C499" s="1" t="inlineStr">
        <is>
          <t>Técnico II</t>
        </is>
      </c>
      <c r="D499" s="3" t="n">
        <v>22</v>
      </c>
      <c r="E499" s="3" t="n">
        <v>18</v>
      </c>
      <c r="F499" s="3" t="n">
        <v>15.45</v>
      </c>
      <c r="G499" s="3" t="n">
        <v>3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18</v>
      </c>
      <c r="N499" s="3" t="n">
        <v>99</v>
      </c>
      <c r="O499" s="3" t="n">
        <v>22.01086956521739</v>
      </c>
    </row>
    <row r="500" hidden="1">
      <c r="A500" s="5" t="n">
        <v>46150</v>
      </c>
      <c r="B500" s="6" t="inlineStr">
        <is>
          <t>Lorena Dias de Araujo</t>
        </is>
      </c>
      <c r="C500" s="1" t="inlineStr">
        <is>
          <t>Técnico II</t>
        </is>
      </c>
      <c r="D500" s="3" t="n">
        <v>26</v>
      </c>
      <c r="E500" s="3" t="n">
        <v>26</v>
      </c>
      <c r="F500" s="3" t="n">
        <v>20.06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21</v>
      </c>
      <c r="N500" s="3" t="n">
        <v>100</v>
      </c>
      <c r="O500" s="3" t="n">
        <v>25</v>
      </c>
    </row>
    <row r="501" hidden="1">
      <c r="A501" s="5" t="n">
        <v>46150</v>
      </c>
      <c r="B501" s="6" t="inlineStr">
        <is>
          <t>Patrícia Karla de Sousa Araújo</t>
        </is>
      </c>
      <c r="C501" s="1" t="inlineStr">
        <is>
          <t>Técnico II</t>
        </is>
      </c>
      <c r="D501" s="3" t="n">
        <v>19</v>
      </c>
      <c r="E501" s="3" t="n">
        <v>19</v>
      </c>
      <c r="F501" s="3" t="n">
        <v>17.08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17</v>
      </c>
      <c r="N501" s="3" t="n">
        <v>100</v>
      </c>
      <c r="O501" s="3" t="n">
        <v>20.18348623853211</v>
      </c>
    </row>
    <row r="502" hidden="1">
      <c r="A502" s="5" t="n">
        <v>46150</v>
      </c>
      <c r="B502" s="6" t="inlineStr">
        <is>
          <t>Ana Karollyne Souza Faria</t>
        </is>
      </c>
      <c r="C502" s="1" t="inlineStr">
        <is>
          <t>Técnico I</t>
        </is>
      </c>
      <c r="D502" s="3" t="n">
        <v>26</v>
      </c>
      <c r="E502" s="3" t="n">
        <v>25</v>
      </c>
      <c r="F502" s="3" t="n">
        <v>22.39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24</v>
      </c>
      <c r="N502" s="3" t="n">
        <v>96.25</v>
      </c>
      <c r="O502" s="3" t="n">
        <v>25.5863539445629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46150</v>
      </c>
      <c r="B505" s="6" t="inlineStr">
        <is>
          <t>Clessiane Pereira dos Santos</t>
        </is>
      </c>
      <c r="C505" s="1" t="inlineStr">
        <is>
          <t>Técnico I</t>
        </is>
      </c>
      <c r="D505" s="3" t="n">
        <v>25</v>
      </c>
      <c r="E505" s="3" t="n">
        <v>24</v>
      </c>
      <c r="F505" s="3" t="n">
        <v>17.35</v>
      </c>
      <c r="G505" s="3" t="n">
        <v>6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27</v>
      </c>
      <c r="N505" s="3" t="n">
        <v>97.48</v>
      </c>
      <c r="O505" s="3" t="n">
        <v>22.99465240641711</v>
      </c>
    </row>
    <row r="506" hidden="1">
      <c r="A506" s="5" t="n">
        <v>46150</v>
      </c>
      <c r="B506" s="6" t="inlineStr">
        <is>
          <t>Daniel Gomes da Silva</t>
        </is>
      </c>
      <c r="C506" s="1" t="inlineStr">
        <is>
          <t>Técnico I</t>
        </is>
      </c>
      <c r="D506" s="3" t="n">
        <v>16</v>
      </c>
      <c r="E506" s="3" t="n">
        <v>16</v>
      </c>
      <c r="F506" s="3" t="n">
        <v>23.51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11</v>
      </c>
      <c r="N506" s="3" t="n">
        <v>100</v>
      </c>
      <c r="O506" s="3" t="n">
        <v>20.78853046594982</v>
      </c>
    </row>
    <row r="507" hidden="1">
      <c r="A507" s="5" t="n">
        <v>46150</v>
      </c>
      <c r="B507" s="6" t="inlineStr">
        <is>
          <t>Luiz Fernando de Carvalho Junior</t>
        </is>
      </c>
      <c r="C507" s="1" t="inlineStr">
        <is>
          <t>Técnico I</t>
        </is>
      </c>
      <c r="D507" s="3" t="n">
        <v>18</v>
      </c>
      <c r="E507" s="3" t="n">
        <v>17</v>
      </c>
      <c r="F507" s="3" t="n">
        <v>25.06</v>
      </c>
      <c r="G507" s="3" t="n">
        <v>6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23</v>
      </c>
      <c r="N507" s="3" t="n">
        <v>94.55</v>
      </c>
      <c r="O507" s="3" t="n">
        <v>23.45013477088949</v>
      </c>
    </row>
    <row r="508" hidden="1">
      <c r="A508" s="5" t="n">
        <v>46150</v>
      </c>
      <c r="B508" s="6" t="inlineStr">
        <is>
          <t>Raane Batista Matos</t>
        </is>
      </c>
      <c r="C508" s="1" t="inlineStr">
        <is>
          <t>Técnico I</t>
        </is>
      </c>
      <c r="D508" s="3" t="n">
        <v>39</v>
      </c>
      <c r="E508" s="3" t="n">
        <v>34</v>
      </c>
      <c r="F508" s="3" t="n">
        <v>12.08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32</v>
      </c>
      <c r="N508" s="3" t="n">
        <v>98</v>
      </c>
      <c r="O508" s="3" t="n">
        <v>20.73490813648294</v>
      </c>
    </row>
    <row r="509" hidden="1">
      <c r="A509" s="5" t="n">
        <v>46150</v>
      </c>
      <c r="B509" s="6" t="inlineStr">
        <is>
          <t>Sara Maria Monteiro Lopes</t>
        </is>
      </c>
      <c r="C509" s="1" t="inlineStr">
        <is>
          <t>Técnico 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100</v>
      </c>
      <c r="O509" s="3" t="n">
        <v>18</v>
      </c>
    </row>
    <row r="510" hidden="1">
      <c r="A510" s="5" t="n">
        <v>46150</v>
      </c>
      <c r="B510" s="6" t="inlineStr">
        <is>
          <t>Gabriel Gomes de Andrade</t>
        </is>
      </c>
      <c r="C510" s="1" t="inlineStr">
        <is>
          <t>Técnico 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99.06</v>
      </c>
      <c r="O510" s="3" t="n">
        <v>19.41747572815534</v>
      </c>
    </row>
    <row r="511" hidden="1">
      <c r="A511" s="5" t="n">
        <v>46153</v>
      </c>
      <c r="B511" s="6" t="inlineStr">
        <is>
          <t>Amanda Moura Ferreira</t>
        </is>
      </c>
      <c r="C511" s="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100</v>
      </c>
      <c r="O511" s="3" t="n">
        <v>0</v>
      </c>
    </row>
    <row r="512" hidden="1">
      <c r="A512" s="5" t="n">
        <v>46153</v>
      </c>
      <c r="B512" s="6" t="inlineStr">
        <is>
          <t>Ana Paula Da Luz Silva Aleixo</t>
        </is>
      </c>
      <c r="C512" s="14" t="inlineStr">
        <is>
          <t>Técnico III</t>
        </is>
      </c>
      <c r="D512" s="3" t="n">
        <v>18</v>
      </c>
      <c r="E512" s="3" t="n">
        <v>16</v>
      </c>
      <c r="F512" s="3" t="n">
        <v>23.31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13</v>
      </c>
      <c r="N512" s="3" t="n">
        <v>96.94</v>
      </c>
      <c r="O512" s="3" t="n">
        <v>19.61325966850829</v>
      </c>
    </row>
    <row r="513" hidden="1">
      <c r="A513" s="5" t="n">
        <v>46153</v>
      </c>
      <c r="B513" s="6" t="inlineStr">
        <is>
          <t>Cristiane Ramos da Silva Rocha</t>
        </is>
      </c>
      <c r="C513" s="1" t="inlineStr">
        <is>
          <t>Técnico III</t>
        </is>
      </c>
      <c r="D513" s="3" t="n">
        <v>35</v>
      </c>
      <c r="E513" s="3" t="n">
        <v>35</v>
      </c>
      <c r="F513" s="3" t="n">
        <v>12.1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31</v>
      </c>
      <c r="N513" s="3" t="n">
        <v>92.81</v>
      </c>
      <c r="O513" s="3" t="n">
        <v>25.47770700636943</v>
      </c>
    </row>
    <row r="514" hidden="1">
      <c r="A514" s="5" t="n">
        <v>46153</v>
      </c>
      <c r="B514" s="6" t="inlineStr">
        <is>
          <t>Davylla Rodrigues Freitas Silva</t>
        </is>
      </c>
      <c r="C514" s="14" t="inlineStr">
        <is>
          <t>Técnico III</t>
        </is>
      </c>
      <c r="D514" s="3" t="n">
        <v>25</v>
      </c>
      <c r="E514" s="3" t="n">
        <v>25</v>
      </c>
      <c r="F514" s="3" t="n">
        <v>29.18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25</v>
      </c>
      <c r="N514" s="3" t="n">
        <v>99.19</v>
      </c>
      <c r="O514" s="3" t="n">
        <v>28.40466926070039</v>
      </c>
    </row>
    <row r="515" hidden="1">
      <c r="A515" s="5" t="n">
        <v>46153</v>
      </c>
      <c r="B515" s="6" t="inlineStr">
        <is>
          <t>Francielson de Oliveira</t>
        </is>
      </c>
      <c r="C515" s="14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IF(K515&lt;-5,"CRÍTICO",IF(K515&lt;0,"ATENÇÃO",IF(K515&lt;=5,"OPORTUNO","MUITO BOM")))</f>
        <v/>
      </c>
      <c r="M515" s="3" t="n">
        <v>0</v>
      </c>
      <c r="N515" s="3" t="n">
        <v>100</v>
      </c>
      <c r="O515" s="3" t="n">
        <v>13.51351351351351</v>
      </c>
    </row>
    <row r="516" hidden="1">
      <c r="A516" s="5" t="n">
        <v>46153</v>
      </c>
      <c r="B516" s="6" t="inlineStr">
        <is>
          <t>Janaina Lima dos Reis Urany</t>
        </is>
      </c>
      <c r="C516" s="1" t="inlineStr">
        <is>
          <t>Técnico III</t>
        </is>
      </c>
      <c r="D516" s="3" t="n">
        <v>53</v>
      </c>
      <c r="E516" s="3" t="n">
        <v>46</v>
      </c>
      <c r="F516" s="3" t="n">
        <v>11.56</v>
      </c>
      <c r="G516" s="3" t="n">
        <v>3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44</v>
      </c>
      <c r="N516" s="3" t="n">
        <v>99</v>
      </c>
      <c r="O516" s="3" t="n">
        <v>22.27414330218069</v>
      </c>
    </row>
    <row r="517" hidden="1">
      <c r="A517" s="5" t="n">
        <v>46153</v>
      </c>
      <c r="B517" s="6" t="inlineStr">
        <is>
          <t>Jaqueline Evangelista da Silva Martins</t>
        </is>
      </c>
      <c r="C517" s="1" t="inlineStr">
        <is>
          <t>Técnico III</t>
        </is>
      </c>
      <c r="D517" s="3" t="n">
        <v>22</v>
      </c>
      <c r="E517" s="3" t="n">
        <v>20</v>
      </c>
      <c r="F517" s="3" t="n">
        <v>11.59</v>
      </c>
      <c r="G517" s="3" t="n">
        <v>4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17</v>
      </c>
      <c r="N517" s="3" t="n">
        <v>97.04000000000001</v>
      </c>
      <c r="O517" s="3" t="n">
        <v>29.82885085574572</v>
      </c>
    </row>
    <row r="518" hidden="1">
      <c r="A518" s="5" t="n">
        <v>46153</v>
      </c>
      <c r="B518" s="6" t="inlineStr">
        <is>
          <t>Jéssica Fé Moura</t>
        </is>
      </c>
      <c r="C518" s="1" t="inlineStr">
        <is>
          <t>Técnico III</t>
        </is>
      </c>
      <c r="D518" s="3" t="n">
        <v>0</v>
      </c>
      <c r="E518" s="3" t="n">
        <v>0</v>
      </c>
      <c r="F518" s="3" t="n">
        <v>0</v>
      </c>
      <c r="G518" s="3" t="n">
        <v>0</v>
      </c>
      <c r="H518" s="3" t="n">
        <v>0</v>
      </c>
      <c r="I518" s="3" t="n">
        <v>0</v>
      </c>
      <c r="J518" s="3" t="n">
        <v>0</v>
      </c>
      <c r="K518" s="3" t="n">
        <v>0</v>
      </c>
      <c r="L518" s="3">
        <f>IF(K518&lt;-5,"CRÍTICO",IF(K518&lt;0,"ATENÇÃO",IF(K518&lt;=5,"OPORTUNO","MUITO BOM")))</f>
        <v/>
      </c>
      <c r="M518" s="3" t="n">
        <v>0</v>
      </c>
      <c r="N518" s="3" t="n">
        <v>0</v>
      </c>
      <c r="O518" s="3" t="n">
        <v>0</v>
      </c>
    </row>
    <row r="519" hidden="1">
      <c r="A519" s="5" t="n">
        <v>46153</v>
      </c>
      <c r="B519" s="6" t="inlineStr">
        <is>
          <t>Kerollen Cristielly de Jesus Siqueira</t>
        </is>
      </c>
      <c r="C519" s="14" t="inlineStr">
        <is>
          <t>Técnico III</t>
        </is>
      </c>
      <c r="D519" s="3" t="n">
        <v>24</v>
      </c>
      <c r="E519" s="3" t="n">
        <v>23</v>
      </c>
      <c r="F519" s="3" t="n">
        <v>20</v>
      </c>
      <c r="G519" s="3" t="n">
        <v>1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23</v>
      </c>
      <c r="N519" s="3" t="n">
        <v>96.84</v>
      </c>
      <c r="O519" s="3" t="n">
        <v>16.33802816901408</v>
      </c>
    </row>
    <row r="520" hidden="1">
      <c r="A520" s="5" t="n">
        <v>46153</v>
      </c>
      <c r="B520" s="6" t="inlineStr">
        <is>
          <t>Leandro Oliveira de Sousa</t>
        </is>
      </c>
      <c r="C520" s="14" t="inlineStr">
        <is>
          <t>Técnico III</t>
        </is>
      </c>
      <c r="D520" s="3" t="n">
        <v>31</v>
      </c>
      <c r="E520" s="3" t="n">
        <v>29</v>
      </c>
      <c r="F520" s="3" t="n">
        <v>14.18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29</v>
      </c>
      <c r="N520" s="3" t="n">
        <v>100</v>
      </c>
      <c r="O520" s="3" t="n">
        <v>18.24480369515012</v>
      </c>
    </row>
    <row r="521" hidden="1">
      <c r="A521" s="5" t="n">
        <v>46153</v>
      </c>
      <c r="B521" s="6" t="inlineStr">
        <is>
          <t>Lucas Luiz Romero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3" t="n">
        <v>15.78947368421053</v>
      </c>
    </row>
    <row r="522" hidden="1">
      <c r="A522" s="5" t="n">
        <v>46153</v>
      </c>
      <c r="B522" s="6" t="inlineStr">
        <is>
          <t>Matheus Farias De Souza</t>
        </is>
      </c>
      <c r="C522" s="1" t="inlineStr">
        <is>
          <t>Técnico III</t>
        </is>
      </c>
      <c r="D522" s="3" t="n">
        <v>0</v>
      </c>
      <c r="E522" s="3" t="n">
        <v>0</v>
      </c>
      <c r="F522" s="3" t="n">
        <v>0</v>
      </c>
      <c r="H522" s="3" t="n">
        <v>46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27</v>
      </c>
      <c r="N522" s="3" t="n">
        <v>98.39</v>
      </c>
      <c r="O522" s="16" t="n">
        <v>8.799999999999999</v>
      </c>
    </row>
    <row r="523" hidden="1">
      <c r="A523" s="5" t="n">
        <v>46153</v>
      </c>
      <c r="B523" s="6" t="inlineStr">
        <is>
          <t>Maysa Victoria Dias Moura</t>
        </is>
      </c>
      <c r="C523" s="1" t="inlineStr">
        <is>
          <t>Técnico III</t>
        </is>
      </c>
      <c r="D523" s="3" t="n">
        <v>33</v>
      </c>
      <c r="E523" s="3" t="n">
        <v>24</v>
      </c>
      <c r="F523" s="3" t="n">
        <v>8.43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26</v>
      </c>
      <c r="N523" s="3" t="n">
        <v>96.38</v>
      </c>
      <c r="O523" s="3" t="n">
        <v>23.1981981981982</v>
      </c>
    </row>
    <row r="524" hidden="1">
      <c r="A524" s="5" t="n">
        <v>46153</v>
      </c>
      <c r="B524" s="6" t="inlineStr">
        <is>
          <t>Rafael Gomes de Morais</t>
        </is>
      </c>
      <c r="C524" s="1" t="inlineStr">
        <is>
          <t>Técnico III</t>
        </is>
      </c>
      <c r="D524" s="3" t="n">
        <v>23</v>
      </c>
      <c r="E524" s="3" t="n">
        <v>21</v>
      </c>
      <c r="F524" s="3" t="n">
        <v>17.37</v>
      </c>
      <c r="G524" s="3" t="n">
        <v>2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17</v>
      </c>
      <c r="N524" s="3" t="n">
        <v>99.39</v>
      </c>
      <c r="O524" s="3" t="n">
        <v>25.20325203252033</v>
      </c>
    </row>
    <row r="525" hidden="1">
      <c r="A525" s="5" t="n">
        <v>46153</v>
      </c>
      <c r="B525" s="6" t="inlineStr">
        <is>
          <t>Sarah Steffanie de Lima Borges</t>
        </is>
      </c>
      <c r="C525" s="1" t="inlineStr">
        <is>
          <t>Técnico III</t>
        </is>
      </c>
      <c r="D525" s="3" t="n">
        <v>25</v>
      </c>
      <c r="E525" s="3" t="n">
        <v>21</v>
      </c>
      <c r="F525" s="3" t="n">
        <v>15.04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16</v>
      </c>
      <c r="N525" s="3" t="n">
        <v>97</v>
      </c>
      <c r="O525" s="3" t="n">
        <v>20.32520325203252</v>
      </c>
    </row>
    <row r="526" hidden="1">
      <c r="A526" s="5" t="n">
        <v>46153</v>
      </c>
      <c r="B526" s="6" t="inlineStr">
        <is>
          <t>Alisson de Freitas Silva</t>
        </is>
      </c>
      <c r="C526" s="1" t="inlineStr">
        <is>
          <t>Técnico II</t>
        </is>
      </c>
      <c r="D526" s="3" t="n">
        <v>36</v>
      </c>
      <c r="E526" s="3" t="n">
        <v>29</v>
      </c>
      <c r="F526" s="3" t="n">
        <v>11.5</v>
      </c>
      <c r="G526" s="3" t="n">
        <v>5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18</v>
      </c>
      <c r="N526" s="3" t="n">
        <v>99.18000000000001</v>
      </c>
      <c r="O526" s="3" t="n">
        <v>24.5014245014245</v>
      </c>
    </row>
    <row r="527" hidden="1">
      <c r="A527" s="5" t="n">
        <v>46153</v>
      </c>
      <c r="B527" s="6" t="inlineStr">
        <is>
          <t>Brenda de Menezes Silva</t>
        </is>
      </c>
      <c r="C527" s="1" t="inlineStr">
        <is>
          <t>Técnico II</t>
        </is>
      </c>
      <c r="D527" s="3" t="n">
        <v>31</v>
      </c>
      <c r="E527" s="3" t="n">
        <v>29</v>
      </c>
      <c r="F527" s="3" t="n">
        <v>17.13</v>
      </c>
      <c r="G527" s="3" t="n">
        <v>1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IF(K527&lt;-5,"CRÍTICO",IF(K527&lt;0,"ATENÇÃO",IF(K527&lt;=5,"OPORTUNO","MUITO BOM")))</f>
        <v/>
      </c>
      <c r="M527" s="3" t="n">
        <v>30</v>
      </c>
      <c r="N527" s="3" t="n">
        <v>99.34999999999999</v>
      </c>
      <c r="O527" s="3" t="n">
        <v>19.85294117647059</v>
      </c>
    </row>
    <row r="528" hidden="1">
      <c r="A528" s="5" t="n">
        <v>46153</v>
      </c>
      <c r="B528" s="6" t="inlineStr">
        <is>
          <t>Carlos Mateus Cassimiro Nunes</t>
        </is>
      </c>
      <c r="C528" s="14" t="inlineStr">
        <is>
          <t>Técnico II</t>
        </is>
      </c>
      <c r="D528" s="3" t="n">
        <v>22</v>
      </c>
      <c r="E528" s="3" t="n">
        <v>22</v>
      </c>
      <c r="F528" s="3" t="n">
        <v>26.55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26</v>
      </c>
      <c r="N528" s="3" t="n">
        <v>99.06999999999999</v>
      </c>
      <c r="O528" s="3" t="n">
        <v>20.09803921568627</v>
      </c>
    </row>
    <row r="529" hidden="1">
      <c r="A529" s="5" t="n">
        <v>46153</v>
      </c>
      <c r="B529" s="6" t="inlineStr">
        <is>
          <t>Damyllis Lorraine de Oliveira Gonçalves</t>
        </is>
      </c>
      <c r="C529" s="1" t="inlineStr">
        <is>
          <t>Técnico II</t>
        </is>
      </c>
      <c r="D529" s="3" t="n">
        <v>30</v>
      </c>
      <c r="E529" s="3" t="n">
        <v>27</v>
      </c>
      <c r="F529" s="3" t="n">
        <v>16.46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22</v>
      </c>
      <c r="N529" s="3" t="n">
        <v>98.81</v>
      </c>
      <c r="O529" s="3" t="n">
        <v>22.76785714285714</v>
      </c>
    </row>
    <row r="530" hidden="1">
      <c r="A530" s="5" t="n">
        <v>46153</v>
      </c>
      <c r="B530" s="6" t="inlineStr">
        <is>
          <t>Emilly Kamilly Medeiros Miranda</t>
        </is>
      </c>
      <c r="C530" s="1" t="inlineStr">
        <is>
          <t>Técnico II</t>
        </is>
      </c>
      <c r="D530" s="3" t="n">
        <v>28</v>
      </c>
      <c r="E530" s="3" t="n">
        <v>27</v>
      </c>
      <c r="F530" s="3" t="n">
        <v>15.05</v>
      </c>
      <c r="G530" s="3" t="n">
        <v>4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27</v>
      </c>
      <c r="N530" s="3" t="n">
        <v>99.01000000000001</v>
      </c>
      <c r="O530" s="3" t="n">
        <v>17.76649746192894</v>
      </c>
    </row>
    <row r="531" hidden="1">
      <c r="A531" s="5" t="n">
        <v>46153</v>
      </c>
      <c r="B531" s="6" t="inlineStr">
        <is>
          <t>Francilene Ferreira de Jesus</t>
        </is>
      </c>
      <c r="C531" s="1" t="inlineStr">
        <is>
          <t>Técnico II</t>
        </is>
      </c>
      <c r="D531" s="3" t="n">
        <v>0</v>
      </c>
      <c r="E531" s="3" t="n">
        <v>0</v>
      </c>
      <c r="F531" s="3" t="n">
        <v>0</v>
      </c>
      <c r="G531" s="3" t="n">
        <v>0</v>
      </c>
      <c r="H531" s="3" t="n">
        <v>0</v>
      </c>
      <c r="I531" s="3" t="n">
        <v>0</v>
      </c>
      <c r="J531" s="3" t="n">
        <v>0</v>
      </c>
      <c r="K531" s="3" t="n">
        <v>0</v>
      </c>
      <c r="L531" s="3">
        <f>IF(K531&lt;-5,"CRÍTICO",IF(K531&lt;0,"ATENÇÃO",IF(K531&lt;=5,"OPORTUNO","MUITO BOM")))</f>
        <v/>
      </c>
      <c r="M531" s="3" t="n">
        <v>0</v>
      </c>
      <c r="N531" s="3" t="n">
        <v>100</v>
      </c>
      <c r="O531" s="3" t="n">
        <v>17.24137931034483</v>
      </c>
    </row>
    <row r="532" hidden="1">
      <c r="A532" s="5" t="n">
        <v>46153</v>
      </c>
      <c r="B532" s="6" t="inlineStr">
        <is>
          <t>Isabella Borges de Oliveira</t>
        </is>
      </c>
      <c r="C532" s="14" t="inlineStr">
        <is>
          <t>Técnico II</t>
        </is>
      </c>
      <c r="D532" s="3" t="n">
        <v>26</v>
      </c>
      <c r="E532" s="3" t="n">
        <v>24</v>
      </c>
      <c r="F532" s="3" t="n">
        <v>18.31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23</v>
      </c>
      <c r="N532" s="3" t="n">
        <v>98.98</v>
      </c>
      <c r="O532" s="3" t="n">
        <v>19.35483870967742</v>
      </c>
    </row>
    <row r="533" hidden="1">
      <c r="A533" s="5" t="n">
        <v>46153</v>
      </c>
      <c r="B533" s="6" t="inlineStr">
        <is>
          <t>Jessica Faria da Silveira</t>
        </is>
      </c>
      <c r="C533" s="1" t="inlineStr">
        <is>
          <t>Técnico II</t>
        </is>
      </c>
      <c r="D533" s="3" t="n">
        <v>39</v>
      </c>
      <c r="E533" s="3" t="n">
        <v>31</v>
      </c>
      <c r="F533" s="3" t="n">
        <v>12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25</v>
      </c>
      <c r="N533" s="3" t="n">
        <v>98.94</v>
      </c>
      <c r="O533" s="3" t="n">
        <v>21.2707182320442</v>
      </c>
    </row>
    <row r="534" hidden="1">
      <c r="A534" s="5" t="n">
        <v>46153</v>
      </c>
      <c r="B534" s="6" t="inlineStr">
        <is>
          <t>Lizandra Gomes Duarte</t>
        </is>
      </c>
      <c r="C534" s="1" t="inlineStr">
        <is>
          <t>Técnico II</t>
        </is>
      </c>
      <c r="D534" s="3" t="n">
        <v>25</v>
      </c>
      <c r="E534" s="3" t="n">
        <v>22</v>
      </c>
      <c r="F534" s="3" t="n">
        <v>17.13</v>
      </c>
      <c r="G534" s="3" t="n">
        <v>2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21</v>
      </c>
      <c r="N534" s="3" t="n">
        <v>99</v>
      </c>
      <c r="O534" s="3" t="n">
        <v>22.01086956521739</v>
      </c>
    </row>
    <row r="535" hidden="1">
      <c r="A535" s="5" t="n">
        <v>46153</v>
      </c>
      <c r="B535" s="6" t="inlineStr">
        <is>
          <t>Lorena Dias de Araujo</t>
        </is>
      </c>
      <c r="C535" s="1" t="inlineStr">
        <is>
          <t>Técnico II</t>
        </is>
      </c>
      <c r="D535" s="3" t="n">
        <v>31</v>
      </c>
      <c r="E535" s="3" t="n">
        <v>30</v>
      </c>
      <c r="F535" s="3" t="n">
        <v>17.05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25</v>
      </c>
      <c r="N535" s="3" t="n">
        <v>100</v>
      </c>
      <c r="O535" s="3" t="n">
        <v>25</v>
      </c>
    </row>
    <row r="536" hidden="1">
      <c r="A536" s="5" t="n">
        <v>46153</v>
      </c>
      <c r="B536" s="6" t="inlineStr">
        <is>
          <t>Patrícia Karla de Sousa Araújo</t>
        </is>
      </c>
      <c r="C536" s="1" t="inlineStr">
        <is>
          <t>Técnico II</t>
        </is>
      </c>
      <c r="D536" s="3" t="n">
        <v>9</v>
      </c>
      <c r="E536" s="3" t="n">
        <v>8</v>
      </c>
      <c r="F536" s="3" t="n">
        <v>23.37</v>
      </c>
      <c r="G536" s="3" t="n">
        <v>0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3" t="n">
        <v>7</v>
      </c>
      <c r="N536" s="3" t="n">
        <v>100</v>
      </c>
      <c r="O536" s="3" t="n">
        <v>20.18348623853211</v>
      </c>
    </row>
    <row r="537" hidden="1">
      <c r="A537" s="5" t="n">
        <v>46153</v>
      </c>
      <c r="B537" s="6" t="inlineStr">
        <is>
          <t>Ana Karollyne Souza Faria</t>
        </is>
      </c>
      <c r="C537" s="1" t="inlineStr">
        <is>
          <t>Técnico I</t>
        </is>
      </c>
      <c r="D537" s="3" t="n">
        <v>40</v>
      </c>
      <c r="E537" s="3" t="n">
        <v>38</v>
      </c>
      <c r="F537" s="3" t="n">
        <v>13.44</v>
      </c>
      <c r="G537" s="3" t="n">
        <v>8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38</v>
      </c>
      <c r="N537" s="3" t="n">
        <v>96.25</v>
      </c>
      <c r="O537" s="3" t="n">
        <v>25.5863539445629</v>
      </c>
    </row>
    <row r="538" hidden="1">
      <c r="A538" s="5" t="n">
        <v>46153</v>
      </c>
      <c r="B538" s="6" t="inlineStr">
        <is>
          <t>Clessiane Pereira dos Santos</t>
        </is>
      </c>
      <c r="C538" s="1" t="inlineStr">
        <is>
          <t>Técnico I</t>
        </is>
      </c>
      <c r="D538" s="3" t="n">
        <v>24</v>
      </c>
      <c r="E538" s="3" t="n">
        <v>23</v>
      </c>
      <c r="F538" s="3" t="n">
        <v>18.57</v>
      </c>
      <c r="G538" s="3" t="n">
        <v>2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21</v>
      </c>
      <c r="N538" s="3" t="n">
        <v>97.48</v>
      </c>
      <c r="O538" s="3" t="n">
        <v>22.99465240641711</v>
      </c>
    </row>
    <row r="539" hidden="1">
      <c r="A539" s="5" t="n">
        <v>46153</v>
      </c>
      <c r="B539" s="6" t="inlineStr">
        <is>
          <t>Daniel Gomes da Silva</t>
        </is>
      </c>
      <c r="C539" s="1" t="inlineStr">
        <is>
          <t>Técnico I</t>
        </is>
      </c>
      <c r="D539" s="3" t="n">
        <v>24</v>
      </c>
      <c r="E539" s="3" t="n">
        <v>20</v>
      </c>
      <c r="F539" s="3" t="n">
        <v>13.37</v>
      </c>
      <c r="G539" s="3" t="n">
        <v>2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19</v>
      </c>
      <c r="N539" s="3" t="n">
        <v>100</v>
      </c>
      <c r="O539" s="3" t="n">
        <v>20.78853046594982</v>
      </c>
    </row>
    <row r="540" hidden="1">
      <c r="A540" s="5" t="n">
        <v>46153</v>
      </c>
      <c r="B540" s="6" t="inlineStr">
        <is>
          <t>Luiz Fernando de Carvalho Junior</t>
        </is>
      </c>
      <c r="C540" s="1" t="inlineStr">
        <is>
          <t>Técnico I</t>
        </is>
      </c>
      <c r="D540" s="3" t="n">
        <v>24</v>
      </c>
      <c r="E540" s="3" t="n">
        <v>23</v>
      </c>
      <c r="F540" s="3" t="n">
        <v>17.22</v>
      </c>
      <c r="G540" s="3" t="n">
        <v>1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25</v>
      </c>
      <c r="N540" s="3" t="n">
        <v>94.55</v>
      </c>
      <c r="O540" s="3" t="n">
        <v>23.45013477088949</v>
      </c>
    </row>
    <row r="541" hidden="1">
      <c r="A541" s="5" t="n">
        <v>46153</v>
      </c>
      <c r="B541" s="6" t="inlineStr">
        <is>
          <t>Raane Batista Matos</t>
        </is>
      </c>
      <c r="C541" s="1" t="inlineStr">
        <is>
          <t>Técnico I</t>
        </is>
      </c>
      <c r="D541" s="3" t="n">
        <v>29</v>
      </c>
      <c r="E541" s="3" t="n">
        <v>25</v>
      </c>
      <c r="F541" s="3" t="n">
        <v>22.14</v>
      </c>
      <c r="G541" s="3" t="n">
        <v>6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24</v>
      </c>
      <c r="N541" s="3" t="n">
        <v>98</v>
      </c>
      <c r="O541" s="3" t="n">
        <v>20.73490813648294</v>
      </c>
    </row>
    <row r="542" hidden="1">
      <c r="A542" s="5" t="n">
        <v>46153</v>
      </c>
      <c r="B542" s="6" t="inlineStr">
        <is>
          <t>Sara Maria Monteiro Lopes</t>
        </is>
      </c>
      <c r="C542" s="1" t="inlineStr">
        <is>
          <t>Técnico I</t>
        </is>
      </c>
      <c r="D542" s="3" t="n">
        <v>16</v>
      </c>
      <c r="E542" s="3" t="n">
        <v>16</v>
      </c>
      <c r="F542" s="3" t="n">
        <v>33.21</v>
      </c>
      <c r="G542" s="3" t="n">
        <v>1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15</v>
      </c>
      <c r="N542" s="3" t="n">
        <v>100</v>
      </c>
      <c r="O542" s="3" t="n">
        <v>18</v>
      </c>
    </row>
    <row r="543" hidden="1">
      <c r="A543" s="5" t="n">
        <v>46153</v>
      </c>
      <c r="B543" s="6" t="inlineStr">
        <is>
          <t>Gabriel Gomes de Andrade</t>
        </is>
      </c>
      <c r="C543" s="1" t="inlineStr">
        <is>
          <t>Técnico I</t>
        </is>
      </c>
      <c r="D543" s="3" t="n">
        <v>25</v>
      </c>
      <c r="E543" s="3" t="n">
        <v>22</v>
      </c>
      <c r="F543" s="3" t="n">
        <v>17.3</v>
      </c>
      <c r="G543" s="3" t="n">
        <v>5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23</v>
      </c>
      <c r="N543" s="3" t="n">
        <v>99.06</v>
      </c>
      <c r="O543" s="3" t="n">
        <v>19.41747572815534</v>
      </c>
    </row>
    <row r="544" hidden="1">
      <c r="A544" s="5" t="n">
        <v>46154</v>
      </c>
      <c r="B544" s="6" t="inlineStr">
        <is>
          <t>Amanda Moura Ferreira</t>
        </is>
      </c>
      <c r="C544" s="1" t="inlineStr">
        <is>
          <t>Técnico III</t>
        </is>
      </c>
      <c r="D544" s="3" t="n">
        <v>0</v>
      </c>
      <c r="E544" s="3" t="n">
        <v>0</v>
      </c>
      <c r="F544" s="3" t="n">
        <v>0</v>
      </c>
      <c r="G544" s="3" t="n">
        <v>0</v>
      </c>
      <c r="H544" s="3" t="n">
        <v>0</v>
      </c>
      <c r="I544" s="3" t="n">
        <v>0</v>
      </c>
      <c r="J544" s="3" t="n">
        <v>0</v>
      </c>
      <c r="K544" s="3" t="n">
        <v>0</v>
      </c>
      <c r="L544" s="3">
        <f>IF(K544&lt;-5,"CRÍTICO",IF(K544&lt;0,"ATENÇÃO",IF(K544&lt;=5,"OPORTUNO","MUITO BOM")))</f>
        <v/>
      </c>
      <c r="M544" s="3" t="n">
        <v>0</v>
      </c>
      <c r="N544" s="3" t="n">
        <v>100</v>
      </c>
      <c r="O544" s="3" t="n">
        <v>0</v>
      </c>
    </row>
    <row r="545" hidden="1">
      <c r="A545" s="5" t="n">
        <v>46154</v>
      </c>
      <c r="B545" s="6" t="inlineStr">
        <is>
          <t>Ana Paula Da Luz Silva Aleixo</t>
        </is>
      </c>
      <c r="C545" s="14" t="inlineStr">
        <is>
          <t>Técnico III</t>
        </is>
      </c>
      <c r="D545" s="3" t="n">
        <v>28</v>
      </c>
      <c r="E545" s="3" t="n">
        <v>24</v>
      </c>
      <c r="F545" s="3" t="n">
        <v>15.56</v>
      </c>
      <c r="G545" s="3" t="n">
        <v>4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25</v>
      </c>
      <c r="N545" s="3" t="n">
        <v>96.94</v>
      </c>
      <c r="O545" s="3" t="n">
        <v>19.61325966850829</v>
      </c>
    </row>
    <row r="546" hidden="1">
      <c r="A546" s="5" t="n">
        <v>46154</v>
      </c>
      <c r="B546" s="6" t="inlineStr">
        <is>
          <t>Cristiane Ramos da Silva Rocha</t>
        </is>
      </c>
      <c r="C546" s="1" t="inlineStr">
        <is>
          <t>Técnico III</t>
        </is>
      </c>
      <c r="D546" s="3" t="n">
        <v>41</v>
      </c>
      <c r="E546" s="3" t="n">
        <v>39</v>
      </c>
      <c r="F546" s="3" t="n">
        <v>10.52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33</v>
      </c>
      <c r="N546" s="3" t="n">
        <v>92.81</v>
      </c>
      <c r="O546" s="3" t="n">
        <v>25.47770700636943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 hidden="1">
      <c r="A549" s="5" t="n">
        <v>46154</v>
      </c>
      <c r="B549" s="6" t="inlineStr">
        <is>
          <t>Davylla Rodrigues Freitas Silva</t>
        </is>
      </c>
      <c r="C549" s="14" t="inlineStr">
        <is>
          <t>Técnico III</t>
        </is>
      </c>
      <c r="D549" s="3" t="n">
        <v>23</v>
      </c>
      <c r="E549" s="3" t="n">
        <v>23</v>
      </c>
      <c r="F549" s="3" t="n">
        <v>25.03</v>
      </c>
      <c r="G549" s="3" t="n">
        <v>0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27</v>
      </c>
      <c r="N549" s="3" t="n">
        <v>99.19</v>
      </c>
      <c r="O549" s="3" t="n">
        <v>28.40466926070039</v>
      </c>
    </row>
    <row r="550" hidden="1">
      <c r="A550" s="5" t="n">
        <v>46154</v>
      </c>
      <c r="B550" s="6" t="inlineStr">
        <is>
          <t>Francielson de Oliveira</t>
        </is>
      </c>
      <c r="C550" s="14" t="inlineStr">
        <is>
          <t>Técnico III</t>
        </is>
      </c>
      <c r="D550" s="3" t="n">
        <v>0</v>
      </c>
      <c r="E550" s="3" t="n">
        <v>0</v>
      </c>
      <c r="F550" s="3" t="n">
        <v>0</v>
      </c>
      <c r="G550" s="3" t="n">
        <v>0</v>
      </c>
      <c r="H550" s="3" t="n">
        <v>0</v>
      </c>
      <c r="I550" s="3" t="n">
        <v>0</v>
      </c>
      <c r="J550" s="3" t="n">
        <v>0</v>
      </c>
      <c r="K550" s="3" t="n">
        <v>0</v>
      </c>
      <c r="L550" s="3">
        <f>IF(K550&lt;-5,"CRÍTICO",IF(K550&lt;0,"ATENÇÃO",IF(K550&lt;=5,"OPORTUNO","MUITO BOM")))</f>
        <v/>
      </c>
      <c r="M550" s="3" t="n">
        <v>0</v>
      </c>
      <c r="N550" s="3" t="n">
        <v>100</v>
      </c>
      <c r="O550" s="3" t="n">
        <v>13.51351351351351</v>
      </c>
    </row>
    <row r="551" hidden="1">
      <c r="A551" s="5" t="n">
        <v>46154</v>
      </c>
      <c r="B551" s="6" t="inlineStr">
        <is>
          <t>Janaina Lima dos Reis Urany</t>
        </is>
      </c>
      <c r="C551" s="1" t="inlineStr">
        <is>
          <t>Técnico III</t>
        </is>
      </c>
      <c r="D551" s="3" t="n">
        <v>47</v>
      </c>
      <c r="E551" s="3" t="n">
        <v>43</v>
      </c>
      <c r="F551" s="3" t="n">
        <v>10.34</v>
      </c>
      <c r="G551" s="3" t="n">
        <v>8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45</v>
      </c>
      <c r="N551" s="3" t="n">
        <v>99</v>
      </c>
      <c r="O551" s="3" t="n">
        <v>22.27414330218069</v>
      </c>
    </row>
    <row r="552" hidden="1">
      <c r="A552" s="5" t="n">
        <v>46154</v>
      </c>
      <c r="B552" s="6" t="inlineStr">
        <is>
          <t>Jaqueline Evangelista da Silva Martins</t>
        </is>
      </c>
      <c r="C552" s="1" t="inlineStr">
        <is>
          <t>Técnico III</t>
        </is>
      </c>
      <c r="D552" s="3" t="n">
        <v>42</v>
      </c>
      <c r="E552" s="3" t="n">
        <v>37</v>
      </c>
      <c r="F552" s="3" t="n">
        <v>10.49</v>
      </c>
      <c r="G552" s="3" t="n">
        <v>9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37</v>
      </c>
      <c r="N552" s="3" t="n">
        <v>97.04000000000001</v>
      </c>
      <c r="O552" s="3" t="n">
        <v>29.82885085574572</v>
      </c>
    </row>
    <row r="553" hidden="1">
      <c r="A553" s="5" t="n">
        <v>46154</v>
      </c>
      <c r="B553" s="6" t="inlineStr">
        <is>
          <t>Jéssica Fé Moura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0</v>
      </c>
      <c r="I553" s="3" t="n">
        <v>0</v>
      </c>
      <c r="J553" s="3" t="n">
        <v>0</v>
      </c>
      <c r="K553" s="3" t="n">
        <v>0</v>
      </c>
      <c r="L553" s="3">
        <f>IF(K553&lt;-5,"CRÍTICO",IF(K553&lt;0,"ATENÇÃO",IF(K553&lt;=5,"OPORTUNO","MUITO BOM")))</f>
        <v/>
      </c>
      <c r="M553" s="3" t="n">
        <v>0</v>
      </c>
      <c r="N553" s="3" t="n">
        <v>0</v>
      </c>
      <c r="O553" s="3" t="n">
        <v>0</v>
      </c>
    </row>
    <row r="554" hidden="1">
      <c r="A554" s="5" t="n">
        <v>46154</v>
      </c>
      <c r="B554" s="6" t="inlineStr">
        <is>
          <t>Kerollen Cristielly de Jesus Siqueira</t>
        </is>
      </c>
      <c r="C554" s="14" t="inlineStr">
        <is>
          <t>Técnico III</t>
        </is>
      </c>
      <c r="D554" s="3" t="n">
        <v>19</v>
      </c>
      <c r="E554" s="3" t="n">
        <v>17</v>
      </c>
      <c r="F554" s="3" t="n">
        <v>25.12</v>
      </c>
      <c r="G554" s="3" t="n">
        <v>1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18</v>
      </c>
      <c r="N554" s="3" t="n">
        <v>96.84</v>
      </c>
      <c r="O554" s="3" t="n">
        <v>16.33802816901408</v>
      </c>
    </row>
    <row r="555" hidden="1">
      <c r="A555" s="5" t="n">
        <v>46154</v>
      </c>
      <c r="B555" s="6" t="inlineStr">
        <is>
          <t>Leandro Oliveira de Sousa</t>
        </is>
      </c>
      <c r="C555" s="14" t="inlineStr">
        <is>
          <t>Técnico III</t>
        </is>
      </c>
      <c r="D555" s="3" t="n">
        <v>31</v>
      </c>
      <c r="E555" s="3" t="n">
        <v>25</v>
      </c>
      <c r="F555" s="3" t="n">
        <v>16.55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28</v>
      </c>
      <c r="N555" s="3" t="n">
        <v>100</v>
      </c>
      <c r="O555" s="3" t="n">
        <v>18.24480369515012</v>
      </c>
    </row>
    <row r="556" hidden="1">
      <c r="A556" s="5" t="n">
        <v>46154</v>
      </c>
      <c r="B556" s="6" t="inlineStr">
        <is>
          <t>Lucas Luiz Romero</t>
        </is>
      </c>
      <c r="C556" s="1" t="inlineStr">
        <is>
          <t>Técnico III</t>
        </is>
      </c>
      <c r="D556" s="3" t="n">
        <v>0</v>
      </c>
      <c r="E556" s="3" t="n">
        <v>0</v>
      </c>
      <c r="F556" s="3" t="n">
        <v>0</v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>
        <f>IF(K556&lt;-5,"CRÍTICO",IF(K556&lt;0,"ATENÇÃO",IF(K556&lt;=5,"OPORTUNO","MUITO BOM")))</f>
        <v/>
      </c>
      <c r="M556" s="3" t="n">
        <v>0</v>
      </c>
      <c r="N556" s="3" t="n">
        <v>100</v>
      </c>
      <c r="O556" s="3" t="n">
        <v>15.78947368421053</v>
      </c>
    </row>
    <row r="557" hidden="1">
      <c r="A557" s="5" t="n">
        <v>46154</v>
      </c>
      <c r="B557" s="6" t="inlineStr">
        <is>
          <t>Matheus Farias De Souza</t>
        </is>
      </c>
      <c r="C557" s="1" t="inlineStr">
        <is>
          <t>Técnico III</t>
        </is>
      </c>
      <c r="D557" s="3" t="n">
        <v>0</v>
      </c>
      <c r="E557" s="3" t="n">
        <v>0</v>
      </c>
      <c r="F557" s="3" t="n">
        <v>0</v>
      </c>
      <c r="H557" s="3" t="n">
        <v>51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25</v>
      </c>
      <c r="N557" s="3" t="n">
        <v>98.39</v>
      </c>
      <c r="O557" s="16" t="n">
        <v>8.799999999999999</v>
      </c>
    </row>
    <row r="558" hidden="1">
      <c r="A558" s="5" t="n">
        <v>46154</v>
      </c>
      <c r="B558" s="6" t="inlineStr">
        <is>
          <t>Maysa Victoria Dias Moura</t>
        </is>
      </c>
      <c r="C558" s="1" t="inlineStr">
        <is>
          <t>Técnico III</t>
        </is>
      </c>
      <c r="D558" s="3" t="n">
        <v>36</v>
      </c>
      <c r="E558" s="3" t="n">
        <v>31</v>
      </c>
      <c r="F558" s="3" t="n">
        <v>13.49</v>
      </c>
      <c r="G558" s="3" t="n">
        <v>2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28</v>
      </c>
      <c r="N558" s="3" t="n">
        <v>96.38</v>
      </c>
      <c r="O558" s="3" t="n">
        <v>23.1981981981982</v>
      </c>
    </row>
    <row r="559" hidden="1">
      <c r="A559" s="5" t="n">
        <v>46154</v>
      </c>
      <c r="B559" s="6" t="inlineStr">
        <is>
          <t>Rafael Gomes de Morais</t>
        </is>
      </c>
      <c r="C559" s="1" t="inlineStr">
        <is>
          <t>Técnico III</t>
        </is>
      </c>
      <c r="D559" s="3" t="n">
        <v>33</v>
      </c>
      <c r="E559" s="3" t="n">
        <v>28</v>
      </c>
      <c r="F559" s="3" t="n">
        <v>13.43</v>
      </c>
      <c r="G559" s="3" t="n">
        <v>1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22</v>
      </c>
      <c r="N559" s="3" t="n">
        <v>99.39</v>
      </c>
      <c r="O559" s="3" t="n">
        <v>25.20325203252033</v>
      </c>
    </row>
    <row r="560" hidden="1">
      <c r="A560" s="5" t="n">
        <v>46154</v>
      </c>
      <c r="B560" s="6" t="inlineStr">
        <is>
          <t>Sarah Steffanie de Lima Borges</t>
        </is>
      </c>
      <c r="C560" s="1" t="inlineStr">
        <is>
          <t>Técnico III</t>
        </is>
      </c>
      <c r="D560" s="3" t="n">
        <v>29</v>
      </c>
      <c r="E560" s="3" t="n">
        <v>28</v>
      </c>
      <c r="F560" s="3" t="n">
        <v>14.1</v>
      </c>
      <c r="G560" s="3" t="n">
        <v>4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25</v>
      </c>
      <c r="N560" s="3" t="n">
        <v>97</v>
      </c>
      <c r="O560" s="3" t="n">
        <v>20.32520325203252</v>
      </c>
    </row>
    <row r="561" hidden="1">
      <c r="A561" s="5" t="n">
        <v>46154</v>
      </c>
      <c r="B561" s="6" t="inlineStr">
        <is>
          <t>Alisson de Freitas Silva</t>
        </is>
      </c>
      <c r="C561" s="1" t="inlineStr">
        <is>
          <t>Técnico II</t>
        </is>
      </c>
      <c r="D561" s="3" t="n">
        <v>25</v>
      </c>
      <c r="E561" s="3" t="n">
        <v>18</v>
      </c>
      <c r="F561" s="3" t="n">
        <v>9</v>
      </c>
      <c r="G561" s="3" t="n">
        <v>8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17</v>
      </c>
      <c r="N561" s="3" t="n">
        <v>99.18000000000001</v>
      </c>
      <c r="O561" s="3" t="n">
        <v>24.5014245014245</v>
      </c>
    </row>
    <row r="562" hidden="1">
      <c r="A562" s="5" t="n">
        <v>46154</v>
      </c>
      <c r="B562" s="6" t="inlineStr">
        <is>
          <t>Brenda de Menezes Silva</t>
        </is>
      </c>
      <c r="C562" s="1" t="inlineStr">
        <is>
          <t>Técnico II</t>
        </is>
      </c>
      <c r="D562" s="3" t="n">
        <v>38</v>
      </c>
      <c r="E562" s="3" t="n">
        <v>35</v>
      </c>
      <c r="F562" s="3" t="n">
        <v>12.22</v>
      </c>
      <c r="G562" s="3" t="n">
        <v>3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34</v>
      </c>
      <c r="N562" s="3" t="n">
        <v>99.34999999999999</v>
      </c>
      <c r="O562" s="3" t="n">
        <v>19.85294117647059</v>
      </c>
    </row>
    <row r="563" hidden="1">
      <c r="A563" s="5" t="n">
        <v>46154</v>
      </c>
      <c r="B563" s="6" t="inlineStr">
        <is>
          <t>Carlos Mateus Cassimiro Nunes</t>
        </is>
      </c>
      <c r="C563" s="14" t="inlineStr">
        <is>
          <t>Técnico II</t>
        </is>
      </c>
      <c r="D563" s="3" t="n">
        <v>26</v>
      </c>
      <c r="E563" s="3" t="n">
        <v>26</v>
      </c>
      <c r="F563" s="3" t="n">
        <v>27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24</v>
      </c>
      <c r="N563" s="3" t="n">
        <v>99.06999999999999</v>
      </c>
      <c r="O563" s="3" t="n">
        <v>20.09803921568627</v>
      </c>
    </row>
    <row r="564" hidden="1">
      <c r="A564" s="5" t="n">
        <v>46154</v>
      </c>
      <c r="B564" s="6" t="inlineStr">
        <is>
          <t>Damyllis Lorraine de Oliveira Gonçalves</t>
        </is>
      </c>
      <c r="C564" s="1" t="inlineStr">
        <is>
          <t>Técnico II</t>
        </is>
      </c>
      <c r="D564" s="3" t="n">
        <v>37</v>
      </c>
      <c r="E564" s="3" t="n">
        <v>30</v>
      </c>
      <c r="F564" s="3" t="n">
        <v>13.28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3" t="n">
        <v>27</v>
      </c>
      <c r="N564" s="3" t="n">
        <v>98.81</v>
      </c>
      <c r="O564" s="3" t="n">
        <v>22.76785714285714</v>
      </c>
    </row>
    <row r="565" hidden="1">
      <c r="A565" s="5" t="n">
        <v>46154</v>
      </c>
      <c r="B565" s="6" t="inlineStr">
        <is>
          <t>Emilly Kamilly Medeiros Miranda</t>
        </is>
      </c>
      <c r="C565" s="1" t="inlineStr">
        <is>
          <t>Técnico II</t>
        </is>
      </c>
      <c r="D565" s="3" t="n">
        <v>25</v>
      </c>
      <c r="E565" s="3" t="n">
        <v>24</v>
      </c>
      <c r="F565" s="3" t="n">
        <v>17.21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26</v>
      </c>
      <c r="N565" s="3" t="n">
        <v>99.01000000000001</v>
      </c>
      <c r="O565" s="3" t="n">
        <v>17.76649746192894</v>
      </c>
    </row>
    <row r="566" hidden="1">
      <c r="A566" s="5" t="n">
        <v>46154</v>
      </c>
      <c r="B566" s="6" t="inlineStr">
        <is>
          <t>Francilene Ferreira de Jesus</t>
        </is>
      </c>
      <c r="C566" s="1" t="inlineStr">
        <is>
          <t>Técnico II</t>
        </is>
      </c>
      <c r="D566" s="3" t="n">
        <v>0</v>
      </c>
      <c r="E566" s="3" t="n">
        <v>0</v>
      </c>
      <c r="F566" s="3" t="n">
        <v>0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0</v>
      </c>
      <c r="N566" s="3" t="n">
        <v>100</v>
      </c>
      <c r="O566" s="3" t="n">
        <v>17.24137931034483</v>
      </c>
    </row>
    <row r="567" hidden="1">
      <c r="A567" s="5" t="n">
        <v>46154</v>
      </c>
      <c r="B567" s="6" t="inlineStr">
        <is>
          <t>Isabella Borges de Oliveira</t>
        </is>
      </c>
      <c r="C567" s="14" t="inlineStr">
        <is>
          <t>Técnico II</t>
        </is>
      </c>
      <c r="D567" s="3" t="n">
        <v>26</v>
      </c>
      <c r="E567" s="3" t="n">
        <v>24</v>
      </c>
      <c r="F567" s="3" t="n">
        <v>25.14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18</v>
      </c>
      <c r="N567" s="3" t="n">
        <v>98.98</v>
      </c>
      <c r="O567" s="3" t="n">
        <v>19.35483870967742</v>
      </c>
    </row>
    <row r="568" hidden="1">
      <c r="A568" s="5" t="n">
        <v>46154</v>
      </c>
      <c r="B568" s="6" t="inlineStr">
        <is>
          <t>Jessica Faria da Silveira</t>
        </is>
      </c>
      <c r="C568" s="1" t="inlineStr">
        <is>
          <t>Técnico II</t>
        </is>
      </c>
      <c r="D568" s="3" t="n">
        <v>29</v>
      </c>
      <c r="E568" s="3" t="n">
        <v>26</v>
      </c>
      <c r="F568" s="3" t="n">
        <v>15.07</v>
      </c>
      <c r="G568" s="3" t="n">
        <v>5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IF(K568&lt;-5,"CRÍTICO",IF(K568&lt;0,"ATENÇÃO",IF(K568&lt;=5,"OPORTUNO","MUITO BOM")))</f>
        <v/>
      </c>
      <c r="M568" s="3" t="n">
        <v>26</v>
      </c>
      <c r="N568" s="3" t="n">
        <v>98.94</v>
      </c>
      <c r="O568" s="3" t="n">
        <v>21.2707182320442</v>
      </c>
    </row>
    <row r="569" hidden="1">
      <c r="A569" s="5" t="n">
        <v>46154</v>
      </c>
      <c r="B569" s="6" t="inlineStr">
        <is>
          <t>Lizandra Gomes Duarte</t>
        </is>
      </c>
      <c r="C569" s="1" t="inlineStr">
        <is>
          <t>Técnico II</t>
        </is>
      </c>
      <c r="D569" s="3" t="n">
        <v>28</v>
      </c>
      <c r="E569" s="3" t="n">
        <v>26</v>
      </c>
      <c r="F569" s="3" t="n">
        <v>23.59</v>
      </c>
      <c r="G569" s="3" t="n">
        <v>2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22</v>
      </c>
      <c r="N569" s="3" t="n">
        <v>99</v>
      </c>
      <c r="O569" s="3" t="n">
        <v>22.01086956521739</v>
      </c>
    </row>
    <row r="570" hidden="1">
      <c r="A570" s="5" t="n">
        <v>46154</v>
      </c>
      <c r="B570" s="6" t="inlineStr">
        <is>
          <t>Lorena Dias de Araujo</t>
        </is>
      </c>
      <c r="C570" s="1" t="inlineStr">
        <is>
          <t>Técnico II</t>
        </is>
      </c>
      <c r="D570" s="3" t="n">
        <v>25</v>
      </c>
      <c r="E570" s="3" t="n">
        <v>24</v>
      </c>
      <c r="F570" s="3" t="n">
        <v>25.44</v>
      </c>
      <c r="G570" s="3" t="n">
        <v>0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19</v>
      </c>
      <c r="N570" s="3" t="n">
        <v>100</v>
      </c>
      <c r="O570" s="3" t="n">
        <v>25</v>
      </c>
    </row>
    <row r="571" hidden="1">
      <c r="A571" s="5" t="n">
        <v>46154</v>
      </c>
      <c r="B571" s="6" t="inlineStr">
        <is>
          <t>Patrícia Karla de Sousa Araújo</t>
        </is>
      </c>
      <c r="C571" s="1" t="inlineStr">
        <is>
          <t>Técnico II</t>
        </is>
      </c>
      <c r="D571" s="3" t="n">
        <v>30</v>
      </c>
      <c r="E571" s="3" t="n">
        <v>26</v>
      </c>
      <c r="F571" s="3" t="n">
        <v>17.19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3" t="n">
        <v>22</v>
      </c>
      <c r="N571" s="3" t="n">
        <v>100</v>
      </c>
      <c r="O571" s="3" t="n">
        <v>20.18348623853211</v>
      </c>
    </row>
    <row r="572" hidden="1">
      <c r="A572" s="5" t="n">
        <v>46154</v>
      </c>
      <c r="B572" s="6" t="inlineStr">
        <is>
          <t>Ana Karollyne Souza Faria</t>
        </is>
      </c>
      <c r="C572" s="1" t="inlineStr">
        <is>
          <t>Técnico I</t>
        </is>
      </c>
      <c r="D572" s="3" t="n">
        <v>31</v>
      </c>
      <c r="E572" s="3" t="n">
        <v>29</v>
      </c>
      <c r="F572" s="3" t="n">
        <v>17.38</v>
      </c>
      <c r="G572" s="3" t="n">
        <v>2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27</v>
      </c>
      <c r="N572" s="3" t="n">
        <v>96.25</v>
      </c>
      <c r="O572" s="3" t="n">
        <v>25.5863539445629</v>
      </c>
    </row>
    <row r="573" hidden="1">
      <c r="A573" s="5" t="n">
        <v>46154</v>
      </c>
      <c r="B573" s="6" t="inlineStr">
        <is>
          <t>Clessiane Pereira dos Santos</t>
        </is>
      </c>
      <c r="C573" s="1" t="inlineStr">
        <is>
          <t>Técnico I</t>
        </is>
      </c>
      <c r="D573" s="3" t="n">
        <v>24</v>
      </c>
      <c r="E573" s="3" t="n">
        <v>23</v>
      </c>
      <c r="F573" s="3" t="n">
        <v>13.58</v>
      </c>
      <c r="G573" s="3" t="n">
        <v>5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25</v>
      </c>
      <c r="N573" s="3" t="n">
        <v>97.48</v>
      </c>
      <c r="O573" s="3" t="n">
        <v>22.99465240641711</v>
      </c>
    </row>
    <row r="574" hidden="1">
      <c r="A574" s="5" t="n">
        <v>46154</v>
      </c>
      <c r="B574" s="6" t="inlineStr">
        <is>
          <t>Daniel Gomes da Silva</t>
        </is>
      </c>
      <c r="C574" s="1" t="inlineStr">
        <is>
          <t>Técnico I</t>
        </is>
      </c>
      <c r="D574" s="3" t="n">
        <v>28</v>
      </c>
      <c r="E574" s="3" t="n">
        <v>26</v>
      </c>
      <c r="F574" s="3" t="n">
        <v>11.47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17</v>
      </c>
      <c r="N574" s="3" t="n">
        <v>100</v>
      </c>
      <c r="O574" s="3" t="n">
        <v>20.78853046594982</v>
      </c>
    </row>
    <row r="575" hidden="1">
      <c r="A575" s="5" t="n">
        <v>46154</v>
      </c>
      <c r="B575" s="6" t="inlineStr">
        <is>
          <t>Luiz Fernando de Carvalho Junior</t>
        </is>
      </c>
      <c r="C575" s="1" t="inlineStr">
        <is>
          <t>Técnico I</t>
        </is>
      </c>
      <c r="D575" s="3" t="n">
        <v>24</v>
      </c>
      <c r="E575" s="3" t="n">
        <v>20</v>
      </c>
      <c r="F575" s="3" t="n">
        <v>19.15</v>
      </c>
      <c r="G575" s="3" t="n">
        <v>4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22</v>
      </c>
      <c r="N575" s="3" t="n">
        <v>94.55</v>
      </c>
      <c r="O575" s="3" t="n">
        <v>23.45013477088949</v>
      </c>
    </row>
    <row r="576" hidden="1">
      <c r="A576" s="5" t="n">
        <v>46154</v>
      </c>
      <c r="B576" s="6" t="inlineStr">
        <is>
          <t>Raane Batista Matos</t>
        </is>
      </c>
      <c r="C576" s="1" t="inlineStr">
        <is>
          <t>Técnico I</t>
        </is>
      </c>
      <c r="D576" s="3" t="n">
        <v>27</v>
      </c>
      <c r="E576" s="3" t="n">
        <v>26</v>
      </c>
      <c r="F576" s="3" t="n">
        <v>17.2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20</v>
      </c>
      <c r="N576" s="3" t="n">
        <v>98</v>
      </c>
      <c r="O576" s="3" t="n">
        <v>20.73490813648294</v>
      </c>
    </row>
    <row r="577" hidden="1">
      <c r="A577" s="5" t="n">
        <v>46154</v>
      </c>
      <c r="B577" s="6" t="inlineStr">
        <is>
          <t>Sara Maria Monteiro Lopes</t>
        </is>
      </c>
      <c r="C577" s="1" t="inlineStr">
        <is>
          <t>Técnico I</t>
        </is>
      </c>
      <c r="D577" s="3" t="n">
        <v>19</v>
      </c>
      <c r="E577" s="3" t="n">
        <v>19</v>
      </c>
      <c r="F577" s="3" t="n">
        <v>30.07</v>
      </c>
      <c r="G577" s="3" t="n">
        <v>0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19</v>
      </c>
      <c r="N577" s="3" t="n">
        <v>100</v>
      </c>
      <c r="O577" s="3" t="n">
        <v>18</v>
      </c>
    </row>
    <row r="578" hidden="1">
      <c r="A578" s="5" t="n">
        <v>46154</v>
      </c>
      <c r="B578" s="6" t="inlineStr">
        <is>
          <t>Gabriel Gomes de Andrade</t>
        </is>
      </c>
      <c r="C578" s="1" t="inlineStr">
        <is>
          <t>Técnico I</t>
        </is>
      </c>
      <c r="D578" s="3" t="n">
        <v>17</v>
      </c>
      <c r="E578" s="3" t="n">
        <v>17</v>
      </c>
      <c r="F578" s="3" t="n">
        <v>17.17</v>
      </c>
      <c r="H578" s="3" t="n">
        <v>7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24</v>
      </c>
      <c r="N578" s="3" t="n">
        <v>99.06</v>
      </c>
      <c r="O578" s="3" t="n">
        <v>19.41747572815534</v>
      </c>
    </row>
    <row r="579" hidden="1">
      <c r="A579" s="5" t="n">
        <v>46155</v>
      </c>
      <c r="B579" s="6" t="inlineStr">
        <is>
          <t>Amanda Moura Ferreira</t>
        </is>
      </c>
      <c r="C579" s="1" t="inlineStr">
        <is>
          <t>Técnico III</t>
        </is>
      </c>
      <c r="D579" s="3" t="n">
        <v>0</v>
      </c>
      <c r="E579" s="3" t="n">
        <v>0</v>
      </c>
      <c r="F579" s="3" t="n">
        <v>0</v>
      </c>
      <c r="G579" s="3" t="n">
        <v>0</v>
      </c>
      <c r="H579" s="3" t="n">
        <v>0</v>
      </c>
      <c r="I579" s="3" t="n">
        <v>0</v>
      </c>
      <c r="J579" s="3" t="n">
        <v>0</v>
      </c>
      <c r="K579" s="3" t="n">
        <v>0</v>
      </c>
      <c r="L579" s="3">
        <f>IF(K579&lt;-5,"CRÍTICO",IF(K579&lt;0,"ATENÇÃO",IF(K579&lt;=5,"OPORTUNO","MUITO BOM")))</f>
        <v/>
      </c>
      <c r="M579" s="3" t="n">
        <v>0</v>
      </c>
      <c r="N579" s="3" t="n">
        <v>100</v>
      </c>
      <c r="O579" s="3" t="n">
        <v>0</v>
      </c>
    </row>
    <row r="580" hidden="1">
      <c r="A580" s="5" t="n">
        <v>46155</v>
      </c>
      <c r="B580" s="6" t="inlineStr">
        <is>
          <t>Ana Paula Da Luz Silva Aleixo</t>
        </is>
      </c>
      <c r="C580" s="14" t="inlineStr">
        <is>
          <t>Técnico III</t>
        </is>
      </c>
      <c r="D580" s="3" t="n">
        <v>26</v>
      </c>
      <c r="E580" s="3" t="n">
        <v>23</v>
      </c>
      <c r="F580" s="3" t="n">
        <v>18.24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21</v>
      </c>
      <c r="N580" s="3" t="n">
        <v>96.94</v>
      </c>
      <c r="O580" s="3" t="n">
        <v>19.61325966850829</v>
      </c>
    </row>
    <row r="581" hidden="1">
      <c r="A581" s="5" t="n">
        <v>46155</v>
      </c>
      <c r="B581" s="6" t="inlineStr">
        <is>
          <t>Cristiane Ramos da Silva Rocha</t>
        </is>
      </c>
      <c r="C581" s="1" t="inlineStr">
        <is>
          <t>Técnico III</t>
        </is>
      </c>
      <c r="D581" s="3" t="n">
        <v>34</v>
      </c>
      <c r="E581" s="3" t="n">
        <v>30</v>
      </c>
      <c r="F581" s="3" t="n">
        <v>12.09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31</v>
      </c>
      <c r="N581" s="3" t="n">
        <v>92.81</v>
      </c>
      <c r="O581" s="3" t="n">
        <v>25.47770700636943</v>
      </c>
    </row>
    <row r="582" hidden="1">
      <c r="A582" s="5" t="n">
        <v>46155</v>
      </c>
      <c r="B582" s="6" t="inlineStr">
        <is>
          <t>Davylla Rodrigues Freitas Silva</t>
        </is>
      </c>
      <c r="C582" s="14" t="inlineStr">
        <is>
          <t>Técnico III</t>
        </is>
      </c>
      <c r="D582" s="3" t="n">
        <v>23</v>
      </c>
      <c r="E582" s="3" t="n">
        <v>23</v>
      </c>
      <c r="F582" s="3" t="n">
        <v>25.33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99.19</v>
      </c>
      <c r="O582" s="3" t="n">
        <v>28.40466926070039</v>
      </c>
    </row>
    <row r="583" hidden="1">
      <c r="A583" s="5" t="n">
        <v>46155</v>
      </c>
      <c r="B583" s="6" t="inlineStr">
        <is>
          <t>Francielson de Oliveira</t>
        </is>
      </c>
      <c r="C583" s="14" t="inlineStr">
        <is>
          <t>Técnico III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3" t="n">
        <v>13.51351351351351</v>
      </c>
    </row>
    <row r="584" hidden="1">
      <c r="A584" s="5" t="n">
        <v>46155</v>
      </c>
      <c r="B584" s="6" t="inlineStr">
        <is>
          <t>Janaina Lima dos Reis Urany</t>
        </is>
      </c>
      <c r="C584" s="1" t="inlineStr">
        <is>
          <t>Técnico III</t>
        </is>
      </c>
      <c r="D584" s="3" t="n">
        <v>46</v>
      </c>
      <c r="E584" s="3" t="n">
        <v>40</v>
      </c>
      <c r="F584" s="3" t="n">
        <v>16.42</v>
      </c>
      <c r="G584" s="3" t="n">
        <v>3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37</v>
      </c>
      <c r="N584" s="3" t="n">
        <v>99</v>
      </c>
      <c r="O584" s="3" t="n">
        <v>22.27414330218069</v>
      </c>
    </row>
    <row r="585" hidden="1">
      <c r="A585" s="5" t="n">
        <v>46155</v>
      </c>
      <c r="B585" s="6" t="inlineStr">
        <is>
          <t>Jaqueline Evangelista da Silva Martins</t>
        </is>
      </c>
      <c r="C585" s="1" t="inlineStr">
        <is>
          <t>Técnico III</t>
        </is>
      </c>
      <c r="D585" s="3" t="n">
        <v>30</v>
      </c>
      <c r="E585" s="3" t="n">
        <v>29</v>
      </c>
      <c r="F585" s="3" t="n">
        <v>12.34</v>
      </c>
      <c r="G585" s="3" t="n">
        <v>5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31</v>
      </c>
      <c r="N585" s="3" t="n">
        <v>97.04000000000001</v>
      </c>
      <c r="O585" s="3" t="n">
        <v>29.82885085574572</v>
      </c>
    </row>
    <row r="586" hidden="1">
      <c r="A586" s="5" t="n">
        <v>46155</v>
      </c>
      <c r="B586" s="6" t="inlineStr">
        <is>
          <t>Jéssica Fé Moura</t>
        </is>
      </c>
      <c r="C586" s="1" t="inlineStr">
        <is>
          <t>Técnico III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0</v>
      </c>
      <c r="O586" s="3" t="n">
        <v>0</v>
      </c>
    </row>
    <row r="587" hidden="1">
      <c r="A587" s="5" t="n">
        <v>46155</v>
      </c>
      <c r="B587" s="6" t="inlineStr">
        <is>
          <t>Kerollen Cristielly de Jesus Siqueira</t>
        </is>
      </c>
      <c r="C587" s="14" t="inlineStr">
        <is>
          <t>Técnico III</t>
        </is>
      </c>
      <c r="D587" s="3" t="n">
        <v>27</v>
      </c>
      <c r="E587" s="3" t="n">
        <v>26</v>
      </c>
      <c r="F587" s="3" t="n">
        <v>15.44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20</v>
      </c>
      <c r="N587" s="3" t="n">
        <v>96.84</v>
      </c>
      <c r="O587" s="3" t="n">
        <v>16.33802816901408</v>
      </c>
    </row>
    <row r="588" hidden="1">
      <c r="A588" s="5" t="n">
        <v>46155</v>
      </c>
      <c r="B588" s="6" t="inlineStr">
        <is>
          <t>Leandro Oliveira de Sousa</t>
        </is>
      </c>
      <c r="C588" s="14" t="inlineStr">
        <is>
          <t>Técnico III</t>
        </is>
      </c>
      <c r="D588" s="3" t="n">
        <v>25</v>
      </c>
      <c r="E588" s="3" t="n">
        <v>24</v>
      </c>
      <c r="F588" s="3" t="n">
        <v>20</v>
      </c>
      <c r="G588" s="3" t="n">
        <v>1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26</v>
      </c>
      <c r="N588" s="3" t="n">
        <v>100</v>
      </c>
      <c r="O588" s="3" t="n">
        <v>18.24480369515012</v>
      </c>
    </row>
    <row r="589" hidden="1">
      <c r="A589" s="5" t="n">
        <v>46155</v>
      </c>
      <c r="B589" s="6" t="inlineStr">
        <is>
          <t>Lucas Luiz Romero</t>
        </is>
      </c>
      <c r="C589" s="1" t="inlineStr">
        <is>
          <t>Técnico III</t>
        </is>
      </c>
      <c r="D589" s="3" t="n">
        <v>0</v>
      </c>
      <c r="E589" s="3" t="n">
        <v>0</v>
      </c>
      <c r="F589" s="3" t="n">
        <v>0</v>
      </c>
      <c r="G589" s="3" t="n">
        <v>0</v>
      </c>
      <c r="H589" s="3" t="n">
        <v>0</v>
      </c>
      <c r="I589" s="3" t="n">
        <v>0</v>
      </c>
      <c r="J589" s="3" t="n">
        <v>0</v>
      </c>
      <c r="K589" s="3" t="n">
        <v>0</v>
      </c>
      <c r="L589" s="3">
        <f>IF(K589&lt;-5,"CRÍTICO",IF(K589&lt;0,"ATENÇÃO",IF(K589&lt;=5,"OPORTUNO","MUITO BOM")))</f>
        <v/>
      </c>
      <c r="M589" s="3" t="n">
        <v>0</v>
      </c>
      <c r="N589" s="3" t="n">
        <v>100</v>
      </c>
      <c r="O589" s="3" t="n">
        <v>15.78947368421053</v>
      </c>
    </row>
    <row r="590" hidden="1">
      <c r="A590" s="5" t="n">
        <v>46155</v>
      </c>
      <c r="B590" s="6" t="inlineStr">
        <is>
          <t>Matheus Farias De Souza</t>
        </is>
      </c>
      <c r="C590" s="1" t="inlineStr">
        <is>
          <t>Técnico III</t>
        </is>
      </c>
      <c r="D590" s="3" t="n">
        <v>0</v>
      </c>
      <c r="E590" s="3" t="n">
        <v>0</v>
      </c>
      <c r="F590" s="3" t="n">
        <v>0</v>
      </c>
      <c r="G590" s="3" t="n">
        <v>0</v>
      </c>
      <c r="H590" s="3" t="n">
        <v>41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28</v>
      </c>
      <c r="N590" s="3" t="n">
        <v>98.39</v>
      </c>
      <c r="O590" s="16" t="n">
        <v>8.799999999999999</v>
      </c>
    </row>
    <row r="591" hidden="1">
      <c r="A591" s="5" t="n">
        <v>46155</v>
      </c>
      <c r="B591" s="6" t="inlineStr">
        <is>
          <t>Maysa Victoria Dias Moura</t>
        </is>
      </c>
      <c r="C591" s="1" t="inlineStr">
        <is>
          <t>Técnico III</t>
        </is>
      </c>
      <c r="D591" s="3" t="n">
        <v>36</v>
      </c>
      <c r="E591" s="3" t="n">
        <v>30</v>
      </c>
      <c r="F591" s="3" t="n">
        <v>10.47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29</v>
      </c>
      <c r="N591" s="3" t="n">
        <v>96.38</v>
      </c>
      <c r="O591" s="3" t="n">
        <v>23.1981981981982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46155</v>
      </c>
      <c r="B594" s="6" t="inlineStr">
        <is>
          <t>Rafael Gomes de Morais</t>
        </is>
      </c>
      <c r="C594" s="1" t="inlineStr">
        <is>
          <t>Técnico III</t>
        </is>
      </c>
      <c r="D594" s="3" t="n">
        <v>36</v>
      </c>
      <c r="E594" s="3" t="n">
        <v>32</v>
      </c>
      <c r="F594" s="3" t="n">
        <v>13.49</v>
      </c>
      <c r="G594" s="3" t="n">
        <v>5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32</v>
      </c>
      <c r="N594" s="3" t="n">
        <v>99.39</v>
      </c>
      <c r="O594" s="3" t="n">
        <v>25.20325203252033</v>
      </c>
    </row>
    <row r="595" hidden="1">
      <c r="A595" s="5" t="n">
        <v>46155</v>
      </c>
      <c r="B595" s="6" t="inlineStr">
        <is>
          <t>Sarah Steffanie de Lima Borges</t>
        </is>
      </c>
      <c r="C595" s="1" t="inlineStr">
        <is>
          <t>Técnico III</t>
        </is>
      </c>
      <c r="D595" s="3" t="n">
        <v>25</v>
      </c>
      <c r="E595" s="3" t="n">
        <v>23</v>
      </c>
      <c r="F595" s="3" t="n">
        <v>17.29</v>
      </c>
      <c r="G595" s="3" t="n">
        <v>0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21</v>
      </c>
      <c r="N595" s="3" t="n">
        <v>97</v>
      </c>
      <c r="O595" s="3" t="n">
        <v>20.32520325203252</v>
      </c>
    </row>
    <row r="596" hidden="1">
      <c r="A596" s="5" t="n">
        <v>46155</v>
      </c>
      <c r="B596" s="6" t="inlineStr">
        <is>
          <t>Alisson de Freitas Silva</t>
        </is>
      </c>
      <c r="C596" s="1" t="inlineStr">
        <is>
          <t>Técnico II</t>
        </is>
      </c>
      <c r="D596" s="3" t="n">
        <v>28</v>
      </c>
      <c r="E596" s="3" t="n">
        <v>21</v>
      </c>
      <c r="F596" s="3" t="n">
        <v>17.22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17</v>
      </c>
      <c r="N596" s="3" t="n">
        <v>99.18000000000001</v>
      </c>
      <c r="O596" s="3" t="n">
        <v>24.5014245014245</v>
      </c>
    </row>
    <row r="597" hidden="1">
      <c r="A597" s="5" t="n">
        <v>46155</v>
      </c>
      <c r="B597" s="6" t="inlineStr">
        <is>
          <t>Brenda de Menezes Silva</t>
        </is>
      </c>
      <c r="C597" s="1" t="inlineStr">
        <is>
          <t>Técnico II</t>
        </is>
      </c>
      <c r="D597" s="3" t="n">
        <v>33</v>
      </c>
      <c r="E597" s="3" t="n">
        <v>29</v>
      </c>
      <c r="F597" s="3" t="n">
        <v>18.31</v>
      </c>
      <c r="G597" s="3" t="n">
        <v>1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30</v>
      </c>
      <c r="N597" s="3" t="n">
        <v>99.34999999999999</v>
      </c>
      <c r="O597" s="3" t="n">
        <v>19.85294117647059</v>
      </c>
    </row>
    <row r="598" hidden="1">
      <c r="A598" s="5" t="n">
        <v>46155</v>
      </c>
      <c r="B598" s="6" t="inlineStr">
        <is>
          <t>Carlos Mateus Cassimiro Nunes</t>
        </is>
      </c>
      <c r="C598" s="14" t="inlineStr">
        <is>
          <t>Técnico II</t>
        </is>
      </c>
      <c r="D598" s="3" t="n">
        <v>17</v>
      </c>
      <c r="E598" s="3" t="n">
        <v>16</v>
      </c>
      <c r="F598" s="3" t="n">
        <v>28.53</v>
      </c>
      <c r="G598" s="3" t="n">
        <v>5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19</v>
      </c>
      <c r="N598" s="3" t="n">
        <v>99.06999999999999</v>
      </c>
      <c r="O598" s="3" t="n">
        <v>20.09803921568627</v>
      </c>
    </row>
    <row r="599" hidden="1">
      <c r="A599" s="5" t="n">
        <v>46155</v>
      </c>
      <c r="B599" s="6" t="inlineStr">
        <is>
          <t>Damyllis Lorraine de Oliveira Gonçalves</t>
        </is>
      </c>
      <c r="C599" s="1" t="inlineStr">
        <is>
          <t>Técnico II</t>
        </is>
      </c>
      <c r="D599" s="3" t="n">
        <v>12</v>
      </c>
      <c r="E599" s="3" t="n">
        <v>9</v>
      </c>
      <c r="F599" s="3" t="n">
        <v>22.13</v>
      </c>
      <c r="G599" s="3" t="n">
        <v>0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13</v>
      </c>
      <c r="N599" s="3" t="n">
        <v>98.81</v>
      </c>
      <c r="O599" s="3" t="n">
        <v>22.76785714285714</v>
      </c>
    </row>
    <row r="600" hidden="1">
      <c r="A600" s="5" t="n">
        <v>46155</v>
      </c>
      <c r="B600" s="6" t="inlineStr">
        <is>
          <t>Emilly Kamilly Medeiros Miranda</t>
        </is>
      </c>
      <c r="C600" s="1" t="inlineStr">
        <is>
          <t>Técnico II</t>
        </is>
      </c>
      <c r="D600" s="3" t="n">
        <v>28</v>
      </c>
      <c r="E600" s="3" t="n">
        <v>25</v>
      </c>
      <c r="F600" s="3" t="n">
        <v>20.05</v>
      </c>
      <c r="G600" s="3" t="n">
        <v>2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19</v>
      </c>
      <c r="N600" s="3" t="n">
        <v>99.01000000000001</v>
      </c>
      <c r="O600" s="3" t="n">
        <v>17.76649746192894</v>
      </c>
    </row>
    <row r="601" hidden="1">
      <c r="A601" s="5" t="n">
        <v>46155</v>
      </c>
      <c r="B601" s="6" t="inlineStr">
        <is>
          <t>Francilene Ferreira de Jesus</t>
        </is>
      </c>
      <c r="C601" s="1" t="inlineStr">
        <is>
          <t>Técnico 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IF(K601&lt;-5,"CRÍTICO",IF(K601&lt;0,"ATENÇÃO",IF(K601&lt;=5,"OPORTUNO","MUITO BOM")))</f>
        <v/>
      </c>
      <c r="M601" s="3" t="n">
        <v>0</v>
      </c>
      <c r="N601" s="3" t="n">
        <v>100</v>
      </c>
      <c r="O601" s="3" t="n">
        <v>17.24137931034483</v>
      </c>
    </row>
    <row r="602" hidden="1">
      <c r="A602" s="5" t="n">
        <v>46155</v>
      </c>
      <c r="B602" s="6" t="inlineStr">
        <is>
          <t>Isabella Borges de Oliveira</t>
        </is>
      </c>
      <c r="C602" s="14" t="inlineStr">
        <is>
          <t>Técnico II</t>
        </is>
      </c>
      <c r="D602" s="3" t="n">
        <v>21</v>
      </c>
      <c r="E602" s="3" t="n">
        <v>21</v>
      </c>
      <c r="F602" s="3" t="n">
        <v>28.56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22</v>
      </c>
      <c r="N602" s="3" t="n">
        <v>98.98</v>
      </c>
      <c r="O602" s="3" t="n">
        <v>19.35483870967742</v>
      </c>
    </row>
    <row r="603" hidden="1">
      <c r="A603" s="5" t="n">
        <v>46155</v>
      </c>
      <c r="B603" s="6" t="inlineStr">
        <is>
          <t>Jessica Faria da Silveira</t>
        </is>
      </c>
      <c r="C603" s="1" t="inlineStr">
        <is>
          <t>Técnico II</t>
        </is>
      </c>
      <c r="D603" s="3" t="n">
        <v>33</v>
      </c>
      <c r="E603" s="3" t="n">
        <v>27</v>
      </c>
      <c r="F603" s="3" t="n">
        <v>15.43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23</v>
      </c>
      <c r="N603" s="3" t="n">
        <v>98.94</v>
      </c>
      <c r="O603" s="3" t="n">
        <v>21.2707182320442</v>
      </c>
    </row>
    <row r="604" hidden="1">
      <c r="A604" s="5" t="n">
        <v>46155</v>
      </c>
      <c r="B604" s="6" t="inlineStr">
        <is>
          <t>Lizandra Gomes Duarte</t>
        </is>
      </c>
      <c r="C604" s="1" t="inlineStr">
        <is>
          <t>Técnico II</t>
        </is>
      </c>
      <c r="D604" s="3" t="n">
        <v>21</v>
      </c>
      <c r="E604" s="3" t="n">
        <v>20</v>
      </c>
      <c r="F604" s="3" t="n">
        <v>22.3</v>
      </c>
      <c r="G604" s="3" t="n">
        <v>5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22</v>
      </c>
      <c r="N604" s="3" t="n">
        <v>99</v>
      </c>
      <c r="O604" s="3" t="n">
        <v>22.01086956521739</v>
      </c>
    </row>
    <row r="605" hidden="1">
      <c r="A605" s="5" t="n">
        <v>46155</v>
      </c>
      <c r="B605" s="6" t="inlineStr">
        <is>
          <t>Lorena Dias de Araujo</t>
        </is>
      </c>
      <c r="C605" s="1" t="inlineStr">
        <is>
          <t>Técnico II</t>
        </is>
      </c>
      <c r="D605" s="3" t="n">
        <v>30</v>
      </c>
      <c r="E605" s="3" t="n">
        <v>29</v>
      </c>
      <c r="F605" s="3" t="n">
        <v>15.49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26</v>
      </c>
      <c r="N605" s="3" t="n">
        <v>100</v>
      </c>
      <c r="O605" s="3" t="n">
        <v>25</v>
      </c>
    </row>
    <row r="606" hidden="1">
      <c r="A606" s="5" t="n">
        <v>46155</v>
      </c>
      <c r="B606" s="6" t="inlineStr">
        <is>
          <t>Patrícia Karla de Sousa Araújo</t>
        </is>
      </c>
      <c r="C606" s="1" t="inlineStr">
        <is>
          <t>Técnico II</t>
        </is>
      </c>
      <c r="D606" s="3" t="n">
        <v>24</v>
      </c>
      <c r="E606" s="3" t="n">
        <v>22</v>
      </c>
      <c r="F606" s="3" t="n">
        <v>21.47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20.18348623853211</v>
      </c>
    </row>
    <row r="607" hidden="1">
      <c r="A607" s="5" t="n">
        <v>46155</v>
      </c>
      <c r="B607" s="6" t="inlineStr">
        <is>
          <t>Ana Karollyne Souza Faria</t>
        </is>
      </c>
      <c r="C607" s="1" t="inlineStr">
        <is>
          <t>Técnico I</t>
        </is>
      </c>
      <c r="D607" s="3" t="n">
        <v>25</v>
      </c>
      <c r="E607" s="3" t="n">
        <v>21</v>
      </c>
      <c r="F607" s="3" t="n">
        <v>22.22</v>
      </c>
      <c r="G607" s="3" t="n">
        <v>7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26</v>
      </c>
      <c r="N607" s="3" t="n">
        <v>96.25</v>
      </c>
      <c r="O607" s="3" t="n">
        <v>25.5863539445629</v>
      </c>
    </row>
    <row r="608" hidden="1">
      <c r="A608" s="5" t="n">
        <v>46155</v>
      </c>
      <c r="B608" s="6" t="inlineStr">
        <is>
          <t>Clessiane Pereira dos Santos</t>
        </is>
      </c>
      <c r="C608" s="1" t="inlineStr">
        <is>
          <t>Técnico I</t>
        </is>
      </c>
      <c r="D608" s="3" t="n">
        <v>37</v>
      </c>
      <c r="E608" s="3" t="n">
        <v>32</v>
      </c>
      <c r="F608" s="3" t="n">
        <v>15.32</v>
      </c>
      <c r="G608" s="3" t="n">
        <v>3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26</v>
      </c>
      <c r="N608" s="3" t="n">
        <v>97.48</v>
      </c>
      <c r="O608" s="3" t="n">
        <v>22.99465240641711</v>
      </c>
    </row>
    <row r="609" hidden="1">
      <c r="A609" s="5" t="n">
        <v>46155</v>
      </c>
      <c r="B609" s="6" t="inlineStr">
        <is>
          <t>Daniel Gomes da Silva</t>
        </is>
      </c>
      <c r="C609" s="1" t="inlineStr">
        <is>
          <t>Técnico I</t>
        </is>
      </c>
      <c r="D609" s="3" t="n">
        <v>17</v>
      </c>
      <c r="E609" s="3" t="n">
        <v>16</v>
      </c>
      <c r="F609" s="3" t="n">
        <v>21.54</v>
      </c>
      <c r="G609" s="3" t="n">
        <v>5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19</v>
      </c>
      <c r="N609" s="3" t="n">
        <v>100</v>
      </c>
      <c r="O609" s="3" t="n">
        <v>20.78853046594982</v>
      </c>
    </row>
    <row r="610" hidden="1">
      <c r="A610" s="5" t="n">
        <v>46155</v>
      </c>
      <c r="B610" s="6" t="inlineStr">
        <is>
          <t>Luiz Fernando de Carvalho Junior</t>
        </is>
      </c>
      <c r="C610" s="1" t="inlineStr">
        <is>
          <t>Técnico I</t>
        </is>
      </c>
      <c r="D610" s="3" t="n">
        <v>24</v>
      </c>
      <c r="E610" s="3" t="n">
        <v>22</v>
      </c>
      <c r="F610" s="3" t="n">
        <v>20.17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22</v>
      </c>
      <c r="N610" s="3" t="n">
        <v>94.55</v>
      </c>
      <c r="O610" s="3" t="n">
        <v>23.45013477088949</v>
      </c>
    </row>
    <row r="611" hidden="1">
      <c r="A611" s="5" t="n">
        <v>46155</v>
      </c>
      <c r="B611" s="6" t="inlineStr">
        <is>
          <t>Raane Batista Matos</t>
        </is>
      </c>
      <c r="C611" s="1" t="inlineStr">
        <is>
          <t>Técnico I</t>
        </is>
      </c>
      <c r="D611" s="3" t="n">
        <v>33</v>
      </c>
      <c r="E611" s="3" t="n">
        <v>31</v>
      </c>
      <c r="F611" s="3" t="n">
        <v>13.48</v>
      </c>
      <c r="G611" s="3" t="n">
        <v>7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31</v>
      </c>
      <c r="N611" s="3" t="n">
        <v>98</v>
      </c>
      <c r="O611" s="3" t="n">
        <v>20.73490813648294</v>
      </c>
    </row>
    <row r="612" hidden="1">
      <c r="A612" s="5" t="n">
        <v>46155</v>
      </c>
      <c r="B612" s="6" t="inlineStr">
        <is>
          <t>Sara Maria Monteiro Lopes</t>
        </is>
      </c>
      <c r="C612" s="1" t="inlineStr">
        <is>
          <t>Técnico I</t>
        </is>
      </c>
      <c r="D612" s="3" t="n">
        <v>11</v>
      </c>
      <c r="E612" s="3" t="n">
        <v>10</v>
      </c>
      <c r="F612" s="3" t="n">
        <v>33.26</v>
      </c>
      <c r="G612" s="3" t="n">
        <v>5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100</v>
      </c>
      <c r="O612" s="3" t="n">
        <v>18</v>
      </c>
    </row>
    <row r="613" hidden="1">
      <c r="A613" s="5" t="n">
        <v>46155</v>
      </c>
      <c r="B613" s="6" t="inlineStr">
        <is>
          <t>Gabriel Gomes de Andrade</t>
        </is>
      </c>
      <c r="C613" s="1" t="inlineStr">
        <is>
          <t>Técnico I</t>
        </is>
      </c>
      <c r="D613" s="3" t="n">
        <v>20</v>
      </c>
      <c r="E613" s="3" t="n">
        <v>16</v>
      </c>
      <c r="F613" s="3" t="n">
        <v>23.26</v>
      </c>
      <c r="G613" s="3" t="n">
        <v>11</v>
      </c>
      <c r="H613" s="3" t="n">
        <v>7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18</v>
      </c>
      <c r="N613" s="3" t="n">
        <v>99.06</v>
      </c>
      <c r="O613" s="3" t="n">
        <v>19.41747572815534</v>
      </c>
    </row>
    <row r="614" hidden="1">
      <c r="A614" s="5" t="n">
        <v>46156</v>
      </c>
      <c r="B614" s="6" t="inlineStr">
        <is>
          <t>Amanda Moura Ferreira</t>
        </is>
      </c>
      <c r="C614" s="1" t="inlineStr">
        <is>
          <t>Técnico III</t>
        </is>
      </c>
      <c r="D614" s="3" t="n">
        <v>0</v>
      </c>
      <c r="E614" s="3" t="n">
        <v>0</v>
      </c>
      <c r="F614" s="3" t="n">
        <v>0</v>
      </c>
      <c r="G614" s="3" t="n">
        <v>0</v>
      </c>
      <c r="H614" s="3" t="n">
        <v>0</v>
      </c>
      <c r="I614" s="3" t="n">
        <v>0</v>
      </c>
      <c r="J614" s="3" t="n">
        <v>0</v>
      </c>
      <c r="K614" s="3" t="n">
        <v>0</v>
      </c>
      <c r="L614" s="3">
        <f>IF(K614&lt;-5,"CRÍTICO",IF(K614&lt;0,"ATENÇÃO",IF(K614&lt;=5,"OPORTUNO","MUITO BOM")))</f>
        <v/>
      </c>
      <c r="M614" s="3" t="n">
        <v>0</v>
      </c>
      <c r="N614" s="3" t="n">
        <v>100</v>
      </c>
      <c r="O614" s="3" t="n">
        <v>0</v>
      </c>
    </row>
    <row r="615" hidden="1">
      <c r="A615" s="5" t="n">
        <v>46156</v>
      </c>
      <c r="B615" s="6" t="inlineStr">
        <is>
          <t>Ana Paula Da Luz Silva Aleixo</t>
        </is>
      </c>
      <c r="C615" s="14" t="inlineStr">
        <is>
          <t>Técnico III</t>
        </is>
      </c>
      <c r="D615" s="3" t="n">
        <v>25</v>
      </c>
      <c r="E615" s="3" t="n">
        <v>25</v>
      </c>
      <c r="F615" s="3" t="n">
        <v>17.34</v>
      </c>
      <c r="G615" s="3" t="n">
        <v>5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27</v>
      </c>
      <c r="N615" s="3" t="n">
        <v>96.94</v>
      </c>
      <c r="O615" s="3" t="n">
        <v>19.61325966850829</v>
      </c>
    </row>
    <row r="616" hidden="1">
      <c r="A616" s="5" t="n">
        <v>46156</v>
      </c>
      <c r="B616" s="6" t="inlineStr">
        <is>
          <t>Cristiane Ramos da Silva Rocha</t>
        </is>
      </c>
      <c r="C616" s="1" t="inlineStr">
        <is>
          <t>Técnico III</t>
        </is>
      </c>
      <c r="D616" s="3" t="n">
        <v>22</v>
      </c>
      <c r="E616" s="3" t="n">
        <v>18</v>
      </c>
      <c r="F616" s="3" t="n">
        <v>11.42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14</v>
      </c>
      <c r="N616" s="3" t="n">
        <v>92.81</v>
      </c>
      <c r="O616" s="3" t="n">
        <v>25.47770700636943</v>
      </c>
    </row>
    <row r="617" hidden="1">
      <c r="A617" s="5" t="n">
        <v>46156</v>
      </c>
      <c r="B617" s="6" t="inlineStr">
        <is>
          <t>Davylla Rodrigues Freitas Silva</t>
        </is>
      </c>
      <c r="C617" s="14" t="inlineStr">
        <is>
          <t>Técnico III</t>
        </is>
      </c>
      <c r="D617" s="3" t="n">
        <v>22</v>
      </c>
      <c r="E617" s="3" t="n">
        <v>21</v>
      </c>
      <c r="F617" s="3" t="n">
        <v>22.3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26</v>
      </c>
      <c r="N617" s="3" t="n">
        <v>99.19</v>
      </c>
      <c r="O617" s="3" t="n">
        <v>28.40466926070039</v>
      </c>
    </row>
    <row r="618" hidden="1">
      <c r="A618" s="5" t="n">
        <v>46156</v>
      </c>
      <c r="B618" s="6" t="inlineStr">
        <is>
          <t>Francielson de Oliveira</t>
        </is>
      </c>
      <c r="C618" s="14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100</v>
      </c>
      <c r="O618" s="3" t="n">
        <v>13.51351351351351</v>
      </c>
    </row>
    <row r="619" hidden="1">
      <c r="A619" s="5" t="n">
        <v>46156</v>
      </c>
      <c r="B619" s="6" t="inlineStr">
        <is>
          <t>Janaina Lima dos Reis Urany</t>
        </is>
      </c>
      <c r="C619" s="1" t="inlineStr">
        <is>
          <t>Técnico III</t>
        </is>
      </c>
      <c r="D619" s="3" t="n">
        <v>35</v>
      </c>
      <c r="E619" s="3" t="n">
        <v>34</v>
      </c>
      <c r="F619" s="3" t="n">
        <v>13.41</v>
      </c>
      <c r="G619" s="3" t="n">
        <v>6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38</v>
      </c>
      <c r="N619" s="3" t="n">
        <v>99</v>
      </c>
      <c r="O619" s="3" t="n">
        <v>22.27414330218069</v>
      </c>
    </row>
    <row r="620" hidden="1">
      <c r="A620" s="5" t="n">
        <v>46156</v>
      </c>
      <c r="B620" s="6" t="inlineStr">
        <is>
          <t>Jaqueline Evangelista da Silva Martins</t>
        </is>
      </c>
      <c r="C620" s="1" t="inlineStr">
        <is>
          <t>Técnico III</t>
        </is>
      </c>
      <c r="D620" s="3" t="n">
        <v>42</v>
      </c>
      <c r="E620" s="3" t="n">
        <v>40</v>
      </c>
      <c r="F620" s="3" t="n">
        <v>10.52</v>
      </c>
      <c r="G620" s="3" t="n">
        <v>8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44</v>
      </c>
      <c r="N620" s="3" t="n">
        <v>97.04000000000001</v>
      </c>
      <c r="O620" s="3" t="n">
        <v>29.82885085574572</v>
      </c>
    </row>
    <row r="621" hidden="1">
      <c r="A621" s="5" t="n">
        <v>46156</v>
      </c>
      <c r="B621" s="6" t="inlineStr">
        <is>
          <t>Jéssica Fé Moura</t>
        </is>
      </c>
      <c r="C621" s="1" t="inlineStr">
        <is>
          <t>Técnico III</t>
        </is>
      </c>
      <c r="D621" s="3" t="n">
        <v>0</v>
      </c>
      <c r="E621" s="3" t="n">
        <v>0</v>
      </c>
      <c r="F621" s="3" t="n">
        <v>0</v>
      </c>
      <c r="G621" s="3" t="n">
        <v>0</v>
      </c>
      <c r="H621" s="3" t="n">
        <v>0</v>
      </c>
      <c r="I621" s="3" t="n">
        <v>0</v>
      </c>
      <c r="J621" s="3" t="n">
        <v>0</v>
      </c>
      <c r="K621" s="3" t="n">
        <v>0</v>
      </c>
      <c r="L621" s="3">
        <f>IF(K621&lt;-5,"CRÍTICO",IF(K621&lt;0,"ATENÇÃO",IF(K621&lt;=5,"OPORTUNO","MUITO BOM")))</f>
        <v/>
      </c>
      <c r="M621" s="3" t="n">
        <v>0</v>
      </c>
      <c r="N621" s="3" t="n">
        <v>0</v>
      </c>
      <c r="O621" s="3" t="n">
        <v>0</v>
      </c>
    </row>
    <row r="622" hidden="1">
      <c r="A622" s="5" t="n">
        <v>46156</v>
      </c>
      <c r="B622" s="6" t="inlineStr">
        <is>
          <t>Kerollen Cristielly de Jesus Siqueira</t>
        </is>
      </c>
      <c r="C622" s="14" t="inlineStr">
        <is>
          <t>Técnico III</t>
        </is>
      </c>
      <c r="D622" s="3" t="n">
        <v>30</v>
      </c>
      <c r="E622" s="3" t="n">
        <v>29</v>
      </c>
      <c r="F622" s="3" t="n">
        <v>17.03</v>
      </c>
      <c r="G622" s="3" t="n">
        <v>0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28</v>
      </c>
      <c r="N622" s="3" t="n">
        <v>96.84</v>
      </c>
      <c r="O622" s="3" t="n">
        <v>16.33802816901408</v>
      </c>
    </row>
    <row r="623" hidden="1">
      <c r="A623" s="5" t="n">
        <v>46156</v>
      </c>
      <c r="B623" s="6" t="inlineStr">
        <is>
          <t>Leandro Oliveira de Sousa</t>
        </is>
      </c>
      <c r="C623" s="14" t="inlineStr">
        <is>
          <t>Técnico III</t>
        </is>
      </c>
      <c r="D623" s="3" t="n">
        <v>30</v>
      </c>
      <c r="E623" s="3" t="n">
        <v>27</v>
      </c>
      <c r="F623" s="3" t="n">
        <v>19.05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23</v>
      </c>
      <c r="N623" s="3" t="n">
        <v>100</v>
      </c>
      <c r="O623" s="3" t="n">
        <v>18.24480369515012</v>
      </c>
    </row>
    <row r="624" hidden="1">
      <c r="A624" s="5" t="n">
        <v>46156</v>
      </c>
      <c r="B624" s="6" t="inlineStr">
        <is>
          <t>Lucas Luiz Romero</t>
        </is>
      </c>
      <c r="C624" s="1" t="inlineStr">
        <is>
          <t>Técnico III</t>
        </is>
      </c>
      <c r="D624" s="3" t="n">
        <v>0</v>
      </c>
      <c r="E624" s="3" t="n">
        <v>0</v>
      </c>
      <c r="F624" s="3" t="n">
        <v>0</v>
      </c>
      <c r="G624" s="3" t="n">
        <v>0</v>
      </c>
      <c r="H624" s="3" t="n">
        <v>0</v>
      </c>
      <c r="I624" s="3" t="n">
        <v>0</v>
      </c>
      <c r="J624" s="3" t="n">
        <v>0</v>
      </c>
      <c r="K624" s="3" t="n">
        <v>0</v>
      </c>
      <c r="L624" s="3">
        <f>IF(K624&lt;-5,"CRÍTICO",IF(K624&lt;0,"ATENÇÃO",IF(K624&lt;=5,"OPORTUNO","MUITO BOM")))</f>
        <v/>
      </c>
      <c r="M624" s="3" t="n">
        <v>0</v>
      </c>
      <c r="N624" s="3" t="n">
        <v>100</v>
      </c>
      <c r="O624" s="3" t="n">
        <v>15.78947368421053</v>
      </c>
    </row>
    <row r="625" hidden="1">
      <c r="A625" s="5" t="n">
        <v>46156</v>
      </c>
      <c r="B625" s="6" t="inlineStr">
        <is>
          <t>Matheus Farias De Souza</t>
        </is>
      </c>
      <c r="C625" s="1" t="inlineStr">
        <is>
          <t>Técnico III</t>
        </is>
      </c>
      <c r="D625" s="3" t="n">
        <v>0</v>
      </c>
      <c r="E625" s="3" t="n">
        <v>0</v>
      </c>
      <c r="F625" s="3" t="n">
        <v>0</v>
      </c>
      <c r="G625" s="3" t="n">
        <v>0</v>
      </c>
      <c r="H625" s="3" t="n">
        <v>52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30</v>
      </c>
      <c r="N625" s="3" t="n">
        <v>98.39</v>
      </c>
      <c r="O625" s="16" t="n">
        <v>8.799999999999999</v>
      </c>
    </row>
    <row r="626" hidden="1">
      <c r="A626" s="5" t="n">
        <v>46156</v>
      </c>
      <c r="B626" s="6" t="inlineStr">
        <is>
          <t>Maysa Victoria Dias Moura</t>
        </is>
      </c>
      <c r="C626" s="1" t="inlineStr">
        <is>
          <t>Técnico III</t>
        </is>
      </c>
      <c r="D626" s="3" t="n">
        <v>39</v>
      </c>
      <c r="E626" s="3" t="n">
        <v>32</v>
      </c>
      <c r="F626" s="3" t="n">
        <v>9</v>
      </c>
      <c r="G626" s="3" t="n">
        <v>3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29</v>
      </c>
      <c r="N626" s="3" t="n">
        <v>96.38</v>
      </c>
      <c r="O626" s="3" t="n">
        <v>23.1981981981982</v>
      </c>
    </row>
    <row r="627" hidden="1">
      <c r="A627" s="5" t="n">
        <v>46156</v>
      </c>
      <c r="B627" s="6" t="inlineStr">
        <is>
          <t>Rafael Gomes de Morais</t>
        </is>
      </c>
      <c r="C627" s="1" t="inlineStr">
        <is>
          <t>Técnico III</t>
        </is>
      </c>
      <c r="D627" s="3" t="n">
        <v>38</v>
      </c>
      <c r="E627" s="3" t="n">
        <v>37</v>
      </c>
      <c r="F627" s="3" t="n">
        <v>13.51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40</v>
      </c>
      <c r="N627" s="3" t="n">
        <v>99.39</v>
      </c>
      <c r="O627" s="3" t="n">
        <v>25.20325203252033</v>
      </c>
    </row>
    <row r="628" hidden="1">
      <c r="A628" s="5" t="n">
        <v>46156</v>
      </c>
      <c r="B628" s="6" t="inlineStr">
        <is>
          <t>Sarah Steffanie de Lima Borges</t>
        </is>
      </c>
      <c r="C628" s="1" t="inlineStr">
        <is>
          <t>Técnico III</t>
        </is>
      </c>
      <c r="D628" s="3" t="n">
        <v>22</v>
      </c>
      <c r="E628" s="3" t="n">
        <v>22</v>
      </c>
      <c r="F628" s="3" t="n">
        <v>13.43</v>
      </c>
      <c r="G628" s="3" t="n">
        <v>5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21</v>
      </c>
      <c r="N628" s="3" t="n">
        <v>97</v>
      </c>
      <c r="O628" s="3" t="n">
        <v>20.32520325203252</v>
      </c>
    </row>
    <row r="629" hidden="1">
      <c r="A629" s="5" t="n">
        <v>46156</v>
      </c>
      <c r="B629" s="6" t="inlineStr">
        <is>
          <t>Alisson de Freitas Silva</t>
        </is>
      </c>
      <c r="C629" s="1" t="inlineStr">
        <is>
          <t>Técnico II</t>
        </is>
      </c>
      <c r="D629" s="3" t="n">
        <v>33</v>
      </c>
      <c r="E629" s="3" t="n">
        <v>28</v>
      </c>
      <c r="F629" s="3" t="n">
        <v>10.58</v>
      </c>
      <c r="G629" s="3" t="n">
        <v>6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99.18000000000001</v>
      </c>
      <c r="O629" s="3" t="n">
        <v>24.5014245014245</v>
      </c>
    </row>
    <row r="630" hidden="1">
      <c r="A630" s="5" t="n">
        <v>46156</v>
      </c>
      <c r="B630" s="6" t="inlineStr">
        <is>
          <t>Brenda de Menezes Silva</t>
        </is>
      </c>
      <c r="C630" s="1" t="inlineStr">
        <is>
          <t>Técnico II</t>
        </is>
      </c>
      <c r="D630" s="3" t="n">
        <v>29</v>
      </c>
      <c r="E630" s="3" t="n">
        <v>29</v>
      </c>
      <c r="F630" s="3" t="n">
        <v>12.28</v>
      </c>
      <c r="G630" s="3" t="n">
        <v>4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33</v>
      </c>
      <c r="N630" s="3" t="n">
        <v>99.34999999999999</v>
      </c>
      <c r="O630" s="3" t="n">
        <v>19.85294117647059</v>
      </c>
    </row>
    <row r="631" hidden="1">
      <c r="A631" s="5" t="n">
        <v>46156</v>
      </c>
      <c r="B631" s="6" t="inlineStr">
        <is>
          <t>Carlos Mateus Cassimiro Nunes</t>
        </is>
      </c>
      <c r="C631" s="14" t="inlineStr">
        <is>
          <t>Técnico II</t>
        </is>
      </c>
      <c r="D631" s="3" t="n">
        <v>25</v>
      </c>
      <c r="E631" s="3" t="n">
        <v>23</v>
      </c>
      <c r="F631" s="3" t="n">
        <v>20.56</v>
      </c>
      <c r="G631" s="3" t="n">
        <v>4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25</v>
      </c>
      <c r="N631" s="3" t="n">
        <v>99.06999999999999</v>
      </c>
      <c r="O631" s="3" t="n">
        <v>20.09803921568627</v>
      </c>
    </row>
    <row r="632" hidden="1">
      <c r="A632" s="5" t="n">
        <v>46156</v>
      </c>
      <c r="B632" s="6" t="inlineStr">
        <is>
          <t>Damyllis Lorraine de Oliveira Gonçalves</t>
        </is>
      </c>
      <c r="C632" s="1" t="inlineStr">
        <is>
          <t>Técnico II</t>
        </is>
      </c>
      <c r="D632" s="3" t="n">
        <v>22</v>
      </c>
      <c r="E632" s="3" t="n">
        <v>18</v>
      </c>
      <c r="F632" s="3" t="n">
        <v>25.02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17</v>
      </c>
      <c r="N632" s="3" t="n">
        <v>98.81</v>
      </c>
      <c r="O632" s="3" t="n">
        <v>22.76785714285714</v>
      </c>
    </row>
    <row r="633" hidden="1">
      <c r="A633" s="5" t="n">
        <v>46156</v>
      </c>
      <c r="B633" s="6" t="inlineStr">
        <is>
          <t>Emilly Kamilly Medeiros Miranda</t>
        </is>
      </c>
      <c r="C633" s="1" t="inlineStr">
        <is>
          <t>Técnico II</t>
        </is>
      </c>
      <c r="D633" s="3" t="n">
        <v>14</v>
      </c>
      <c r="E633" s="3" t="n">
        <v>13</v>
      </c>
      <c r="F633" s="3" t="n">
        <v>19.05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18</v>
      </c>
      <c r="N633" s="3" t="n">
        <v>99.01000000000001</v>
      </c>
      <c r="O633" s="3" t="n">
        <v>17.76649746192894</v>
      </c>
    </row>
    <row r="634" hidden="1">
      <c r="A634" s="5" t="n">
        <v>46156</v>
      </c>
      <c r="B634" s="6" t="inlineStr">
        <is>
          <t>Francilene Ferreira de Jesus</t>
        </is>
      </c>
      <c r="C634" s="1" t="inlineStr">
        <is>
          <t>Técnico II</t>
        </is>
      </c>
      <c r="D634" s="3" t="n">
        <v>0</v>
      </c>
      <c r="E634" s="3" t="n">
        <v>0</v>
      </c>
      <c r="F634" s="3" t="n">
        <v>0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IF(K634&lt;-5,"CRÍTICO",IF(K634&lt;0,"ATENÇÃO",IF(K634&lt;=5,"OPORTUNO","MUITO BOM")))</f>
        <v/>
      </c>
      <c r="M634" s="3" t="n">
        <v>0</v>
      </c>
      <c r="N634" s="3" t="n">
        <v>100</v>
      </c>
      <c r="O634" s="3" t="n">
        <v>17.24137931034483</v>
      </c>
    </row>
    <row r="635" hidden="1">
      <c r="A635" s="5" t="n">
        <v>46156</v>
      </c>
      <c r="B635" s="6" t="inlineStr">
        <is>
          <t>Isabella Borges de Oliveira</t>
        </is>
      </c>
      <c r="C635" s="14" t="inlineStr">
        <is>
          <t>Técnico II</t>
        </is>
      </c>
      <c r="D635" s="3" t="n">
        <v>17</v>
      </c>
      <c r="E635" s="3" t="n">
        <v>17</v>
      </c>
      <c r="F635" s="3" t="n">
        <v>28.35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13</v>
      </c>
      <c r="N635" s="3" t="n">
        <v>98.98</v>
      </c>
      <c r="O635" s="3" t="n">
        <v>19.35483870967742</v>
      </c>
    </row>
    <row r="636" hidden="1">
      <c r="A636" s="5" t="n">
        <v>46156</v>
      </c>
      <c r="B636" s="6" t="inlineStr">
        <is>
          <t>Jessica Faria da Silveira</t>
        </is>
      </c>
      <c r="C636" s="1" t="inlineStr">
        <is>
          <t>Técnico II</t>
        </is>
      </c>
      <c r="D636" s="3" t="n">
        <v>9</v>
      </c>
      <c r="E636" s="3" t="n">
        <v>9</v>
      </c>
      <c r="F636" s="3" t="n">
        <v>25.25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9</v>
      </c>
      <c r="N636" s="3" t="n">
        <v>98.94</v>
      </c>
      <c r="O636" s="3" t="n">
        <v>21.2707182320442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Lizandra Gomes Duarte</t>
        </is>
      </c>
      <c r="C639" s="1" t="inlineStr">
        <is>
          <t>Técnico II</t>
        </is>
      </c>
      <c r="D639" s="3" t="n">
        <v>26</v>
      </c>
      <c r="E639" s="3" t="n">
        <v>24</v>
      </c>
      <c r="F639" s="3" t="n">
        <v>18.58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12</v>
      </c>
      <c r="N639" s="3" t="n">
        <v>99</v>
      </c>
      <c r="O639" s="3" t="n">
        <v>22.01086956521739</v>
      </c>
    </row>
    <row r="640" hidden="1">
      <c r="A640" s="5" t="n">
        <v>46156</v>
      </c>
      <c r="B640" s="6" t="inlineStr">
        <is>
          <t>Lorena Dias de Araujo</t>
        </is>
      </c>
      <c r="C640" s="1" t="inlineStr">
        <is>
          <t>Técnico II</t>
        </is>
      </c>
      <c r="D640" s="3" t="n">
        <v>22</v>
      </c>
      <c r="E640" s="3" t="n">
        <v>18</v>
      </c>
      <c r="F640" s="3" t="n">
        <v>23.52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16</v>
      </c>
      <c r="N640" s="3" t="n">
        <v>100</v>
      </c>
      <c r="O640" s="3" t="n">
        <v>25</v>
      </c>
    </row>
    <row r="641" hidden="1">
      <c r="A641" s="5" t="n">
        <v>46156</v>
      </c>
      <c r="B641" s="6" t="inlineStr">
        <is>
          <t>Patrícia Karla de Sousa Araújo</t>
        </is>
      </c>
      <c r="C641" s="1" t="inlineStr">
        <is>
          <t>Técnico II</t>
        </is>
      </c>
      <c r="D641" s="3" t="n">
        <v>29</v>
      </c>
      <c r="E641" s="3" t="n">
        <v>26</v>
      </c>
      <c r="F641" s="3" t="n">
        <v>20.36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100</v>
      </c>
      <c r="O641" s="3" t="n">
        <v>20.18348623853211</v>
      </c>
    </row>
    <row r="642" hidden="1">
      <c r="A642" s="5" t="n">
        <v>46156</v>
      </c>
      <c r="B642" s="6" t="inlineStr">
        <is>
          <t>Ana Karollyne Souza Faria</t>
        </is>
      </c>
      <c r="C642" s="1" t="inlineStr">
        <is>
          <t>Técnico I</t>
        </is>
      </c>
      <c r="D642" s="3" t="n">
        <v>27</v>
      </c>
      <c r="E642" s="3" t="n">
        <v>25</v>
      </c>
      <c r="F642" s="3" t="n">
        <v>18.51</v>
      </c>
      <c r="G642" s="3" t="n">
        <v>1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96.25</v>
      </c>
      <c r="O642" s="3" t="n">
        <v>25.5863539445629</v>
      </c>
    </row>
    <row r="643" hidden="1">
      <c r="A643" s="5" t="n">
        <v>46156</v>
      </c>
      <c r="B643" s="6" t="inlineStr">
        <is>
          <t>Clessiane Pereira dos Santos</t>
        </is>
      </c>
      <c r="C643" s="1" t="inlineStr">
        <is>
          <t>Técnico I</t>
        </is>
      </c>
      <c r="D643" s="3" t="n">
        <v>33</v>
      </c>
      <c r="E643" s="3" t="n">
        <v>29</v>
      </c>
      <c r="F643" s="3" t="n">
        <v>11.54</v>
      </c>
      <c r="G643" s="3" t="n">
        <v>7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30</v>
      </c>
      <c r="N643" s="3" t="n">
        <v>97.48</v>
      </c>
      <c r="O643" s="3" t="n">
        <v>22.99465240641711</v>
      </c>
    </row>
    <row r="644" hidden="1">
      <c r="A644" s="5" t="n">
        <v>46156</v>
      </c>
      <c r="B644" s="6" t="inlineStr">
        <is>
          <t>Daniel Gomes da Silva</t>
        </is>
      </c>
      <c r="C644" s="1" t="inlineStr">
        <is>
          <t>Técnico I</t>
        </is>
      </c>
      <c r="D644" s="3" t="n">
        <v>30</v>
      </c>
      <c r="E644" s="3" t="n">
        <v>28</v>
      </c>
      <c r="F644" s="3" t="n">
        <v>18.25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20</v>
      </c>
      <c r="N644" s="3" t="n">
        <v>100</v>
      </c>
      <c r="O644" s="3" t="n">
        <v>20.78853046594982</v>
      </c>
    </row>
    <row r="645" hidden="1">
      <c r="A645" s="5" t="n">
        <v>46156</v>
      </c>
      <c r="B645" s="6" t="inlineStr">
        <is>
          <t>Luiz Fernando de Carvalho Junior</t>
        </is>
      </c>
      <c r="C645" s="1" t="inlineStr">
        <is>
          <t>Técnico I</t>
        </is>
      </c>
      <c r="D645" s="3" t="n">
        <v>11</v>
      </c>
      <c r="E645" s="3" t="n">
        <v>11</v>
      </c>
      <c r="F645" s="3" t="n">
        <v>33.21</v>
      </c>
      <c r="G645" s="3" t="n">
        <v>4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16</v>
      </c>
      <c r="N645" s="3" t="n">
        <v>94.55</v>
      </c>
      <c r="O645" s="3" t="n">
        <v>23.45013477088949</v>
      </c>
    </row>
    <row r="646" hidden="1">
      <c r="A646" s="5" t="n">
        <v>46156</v>
      </c>
      <c r="B646" s="6" t="inlineStr">
        <is>
          <t>Raane Batista Matos</t>
        </is>
      </c>
      <c r="C646" s="1" t="inlineStr">
        <is>
          <t>Técnico I</t>
        </is>
      </c>
      <c r="D646" s="3" t="n">
        <v>26</v>
      </c>
      <c r="E646" s="3" t="n">
        <v>25</v>
      </c>
      <c r="F646" s="3" t="n">
        <v>15.24</v>
      </c>
      <c r="G646" s="3" t="n">
        <v>1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24</v>
      </c>
      <c r="N646" s="3" t="n">
        <v>98</v>
      </c>
      <c r="O646" s="3" t="n">
        <v>20.73490813648294</v>
      </c>
    </row>
    <row r="647" hidden="1">
      <c r="A647" s="5" t="n">
        <v>46156</v>
      </c>
      <c r="B647" s="6" t="inlineStr">
        <is>
          <t>Sara Maria Monteiro Lopes</t>
        </is>
      </c>
      <c r="C647" s="1" t="inlineStr">
        <is>
          <t>Técnico I</t>
        </is>
      </c>
      <c r="D647" s="3" t="n">
        <v>20</v>
      </c>
      <c r="E647" s="3" t="n">
        <v>19</v>
      </c>
      <c r="F647" s="3" t="n">
        <v>20.29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17</v>
      </c>
      <c r="N647" s="3" t="n">
        <v>100</v>
      </c>
      <c r="O647" s="3" t="n">
        <v>18</v>
      </c>
    </row>
    <row r="648" hidden="1">
      <c r="A648" s="5" t="n">
        <v>46156</v>
      </c>
      <c r="B648" s="6" t="inlineStr">
        <is>
          <t>Gabriel Gomes de Andrade</t>
        </is>
      </c>
      <c r="C648" s="1" t="inlineStr">
        <is>
          <t>Técnico I</t>
        </is>
      </c>
      <c r="D648" s="3" t="n">
        <v>19</v>
      </c>
      <c r="E648" s="3" t="n">
        <v>18</v>
      </c>
      <c r="F648" s="3" t="n">
        <v>22.29</v>
      </c>
      <c r="G648" s="3" t="n">
        <v>0</v>
      </c>
      <c r="H648" s="3" t="n">
        <v>5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23</v>
      </c>
      <c r="N648" s="3" t="n">
        <v>99.06</v>
      </c>
      <c r="O648" s="3" t="n">
        <v>19.41747572815534</v>
      </c>
    </row>
    <row r="649" hidden="1">
      <c r="A649" s="5" t="n">
        <v>46157</v>
      </c>
      <c r="B649" s="6" t="inlineStr">
        <is>
          <t>Amanda Moura Ferreira</t>
        </is>
      </c>
      <c r="C649" s="1" t="inlineStr">
        <is>
          <t>Técnico III</t>
        </is>
      </c>
      <c r="D649" s="3" t="n">
        <v>0</v>
      </c>
      <c r="E649" s="3" t="n">
        <v>0</v>
      </c>
      <c r="F649" s="3" t="n">
        <v>0</v>
      </c>
      <c r="G649" s="3" t="n">
        <v>0</v>
      </c>
      <c r="H649" s="3" t="n">
        <v>0</v>
      </c>
      <c r="I649" s="3" t="n">
        <v>0</v>
      </c>
      <c r="J649" s="3" t="n">
        <v>0</v>
      </c>
      <c r="K649" s="3" t="n">
        <v>0</v>
      </c>
      <c r="L649" s="3">
        <f>IF(K649&lt;-5,"CRÍTICO",IF(K649&lt;0,"ATENÇÃO",IF(K649&lt;=5,"OPORTUNO","MUITO BOM")))</f>
        <v/>
      </c>
      <c r="M649" s="3" t="n">
        <v>0</v>
      </c>
      <c r="N649" s="3" t="n">
        <v>100</v>
      </c>
      <c r="O649" s="3" t="n">
        <v>0</v>
      </c>
    </row>
    <row r="650" hidden="1">
      <c r="A650" s="5" t="n">
        <v>46157</v>
      </c>
      <c r="B650" s="6" t="inlineStr">
        <is>
          <t>Ana Paula Da Luz Silva Aleixo</t>
        </is>
      </c>
      <c r="C650" s="14" t="inlineStr">
        <is>
          <t>Técnico III</t>
        </is>
      </c>
      <c r="D650" s="3" t="n">
        <v>29</v>
      </c>
      <c r="E650" s="3" t="n">
        <v>28</v>
      </c>
      <c r="F650" s="3" t="n">
        <v>13.59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25</v>
      </c>
      <c r="N650" s="3" t="n">
        <v>96.94</v>
      </c>
      <c r="O650" s="3" t="n">
        <v>19.61325966850829</v>
      </c>
    </row>
    <row r="651" hidden="1">
      <c r="A651" s="5" t="n">
        <v>46157</v>
      </c>
      <c r="B651" s="6" t="inlineStr">
        <is>
          <t>Cristiane Ramos da Silva Rocha</t>
        </is>
      </c>
      <c r="C651" s="1" t="inlineStr">
        <is>
          <t>Técnico III</t>
        </is>
      </c>
      <c r="D651" s="3" t="n">
        <v>37</v>
      </c>
      <c r="E651" s="3" t="n">
        <v>31</v>
      </c>
      <c r="F651" s="3" t="n">
        <v>11.51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29</v>
      </c>
      <c r="N651" s="3" t="n">
        <v>92.81</v>
      </c>
      <c r="O651" s="3" t="n">
        <v>25.47770700636943</v>
      </c>
    </row>
    <row r="652" hidden="1">
      <c r="A652" s="5" t="n">
        <v>46157</v>
      </c>
      <c r="B652" s="6" t="inlineStr">
        <is>
          <t>Davylla Rodrigues Freitas Silva</t>
        </is>
      </c>
      <c r="C652" s="14" t="inlineStr">
        <is>
          <t>Técnico III</t>
        </is>
      </c>
      <c r="D652" s="3" t="n">
        <v>20</v>
      </c>
      <c r="E652" s="3" t="n">
        <v>20</v>
      </c>
      <c r="F652" s="3" t="n">
        <v>20.33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23</v>
      </c>
      <c r="N652" s="3" t="n">
        <v>99.19</v>
      </c>
      <c r="O652" s="3" t="n">
        <v>28.40466926070039</v>
      </c>
    </row>
    <row r="653" hidden="1">
      <c r="A653" s="5" t="n">
        <v>46157</v>
      </c>
      <c r="B653" s="6" t="inlineStr">
        <is>
          <t>Janaina Lima dos Reis Urany</t>
        </is>
      </c>
      <c r="C653" s="1" t="inlineStr">
        <is>
          <t>Técnico III</t>
        </is>
      </c>
      <c r="D653" s="3" t="n">
        <v>44</v>
      </c>
      <c r="E653" s="3" t="n">
        <v>38</v>
      </c>
      <c r="F653" s="3" t="n">
        <v>12.34</v>
      </c>
      <c r="G653" s="3" t="n">
        <v>6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39</v>
      </c>
      <c r="N653" s="3" t="n">
        <v>99</v>
      </c>
      <c r="O653" s="3" t="n">
        <v>22.27414330218069</v>
      </c>
    </row>
    <row r="654" hidden="1">
      <c r="A654" s="5" t="n">
        <v>46157</v>
      </c>
      <c r="B654" s="6" t="inlineStr">
        <is>
          <t>Jaqueline Evangelista da Silva Martins</t>
        </is>
      </c>
      <c r="C654" s="1" t="inlineStr">
        <is>
          <t>Técnico III</t>
        </is>
      </c>
      <c r="D654" s="3" t="n">
        <v>30</v>
      </c>
      <c r="E654" s="3" t="n">
        <v>29</v>
      </c>
      <c r="F654" s="3" t="n">
        <v>13.38</v>
      </c>
      <c r="G654" s="3" t="n">
        <v>5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23</v>
      </c>
      <c r="N654" s="3" t="n">
        <v>97.04000000000001</v>
      </c>
      <c r="O654" s="3" t="n">
        <v>29.82885085574572</v>
      </c>
    </row>
    <row r="655" hidden="1">
      <c r="A655" s="5" t="n">
        <v>46157</v>
      </c>
      <c r="B655" s="6" t="inlineStr">
        <is>
          <t>Jéssica Fé Moura</t>
        </is>
      </c>
      <c r="C655" s="1" t="inlineStr">
        <is>
          <t>Técnico III</t>
        </is>
      </c>
      <c r="D655" s="3" t="n">
        <v>0</v>
      </c>
      <c r="E655" s="3" t="n">
        <v>0</v>
      </c>
      <c r="F655" s="3" t="n">
        <v>0</v>
      </c>
      <c r="G655" s="3" t="n">
        <v>0</v>
      </c>
      <c r="H655" s="3" t="n">
        <v>0</v>
      </c>
      <c r="I655" s="3" t="n">
        <v>0</v>
      </c>
      <c r="J655" s="3" t="n">
        <v>0</v>
      </c>
      <c r="K655" s="3" t="n">
        <v>0</v>
      </c>
      <c r="L655" s="3">
        <f>IF(K655&lt;-5,"CRÍTICO",IF(K655&lt;0,"ATENÇÃO",IF(K655&lt;=5,"OPORTUNO","MUITO BOM")))</f>
        <v/>
      </c>
      <c r="M655" s="3" t="n">
        <v>0</v>
      </c>
      <c r="N655" s="3" t="n">
        <v>0</v>
      </c>
      <c r="O655" s="3" t="n">
        <v>0</v>
      </c>
    </row>
    <row r="656" hidden="1">
      <c r="A656" s="5" t="n">
        <v>46157</v>
      </c>
      <c r="B656" s="6" t="inlineStr">
        <is>
          <t>Leandro Oliveira de Sousa</t>
        </is>
      </c>
      <c r="C656" s="14" t="inlineStr">
        <is>
          <t>Técnico III</t>
        </is>
      </c>
      <c r="D656" s="3" t="n">
        <v>23</v>
      </c>
      <c r="E656" s="3" t="n">
        <v>22</v>
      </c>
      <c r="F656" s="3" t="n">
        <v>27.02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19</v>
      </c>
      <c r="N656" s="3" t="n">
        <v>100</v>
      </c>
      <c r="O656" s="3" t="n">
        <v>18.24480369515012</v>
      </c>
    </row>
    <row r="657" hidden="1">
      <c r="A657" s="5" t="n">
        <v>46157</v>
      </c>
      <c r="B657" s="6" t="inlineStr">
        <is>
          <t>Lucas Luiz Romero</t>
        </is>
      </c>
      <c r="C657" s="1" t="inlineStr">
        <is>
          <t>Técnico III</t>
        </is>
      </c>
      <c r="D657" s="3" t="n">
        <v>0</v>
      </c>
      <c r="E657" s="3" t="n">
        <v>0</v>
      </c>
      <c r="F657" s="3" t="n">
        <v>0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IF(K657&lt;-5,"CRÍTICO",IF(K657&lt;0,"ATENÇÃO",IF(K657&lt;=5,"OPORTUNO","MUITO BOM")))</f>
        <v/>
      </c>
      <c r="M657" s="3" t="n">
        <v>0</v>
      </c>
      <c r="N657" s="3" t="n">
        <v>100</v>
      </c>
      <c r="O657" s="3" t="n">
        <v>15.78947368421053</v>
      </c>
    </row>
    <row r="658" hidden="1">
      <c r="A658" s="5" t="n">
        <v>46157</v>
      </c>
      <c r="B658" s="6" t="inlineStr">
        <is>
          <t>Matheus Farias De Souza</t>
        </is>
      </c>
      <c r="C658" s="1" t="inlineStr">
        <is>
          <t>Técnico III</t>
        </is>
      </c>
      <c r="D658" s="3" t="n">
        <v>0</v>
      </c>
      <c r="E658" s="3" t="n">
        <v>0</v>
      </c>
      <c r="F658" s="3" t="n">
        <v>0</v>
      </c>
      <c r="G658" s="3" t="n">
        <v>0</v>
      </c>
      <c r="H658" s="3" t="n">
        <v>31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19</v>
      </c>
      <c r="N658" s="3" t="n">
        <v>98.39</v>
      </c>
      <c r="O658" s="16" t="n">
        <v>8.799999999999999</v>
      </c>
    </row>
    <row r="659" hidden="1">
      <c r="A659" s="5" t="n">
        <v>46157</v>
      </c>
      <c r="B659" s="6" t="inlineStr">
        <is>
          <t>Maysa Victoria Dias Moura</t>
        </is>
      </c>
      <c r="C659" s="1" t="inlineStr">
        <is>
          <t>Técnico III</t>
        </is>
      </c>
      <c r="D659" s="3" t="n">
        <v>26</v>
      </c>
      <c r="E659" s="3" t="n">
        <v>24</v>
      </c>
      <c r="F659" s="3" t="n">
        <v>12.18</v>
      </c>
      <c r="G659" s="3" t="n">
        <v>2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22</v>
      </c>
      <c r="N659" s="3" t="n">
        <v>96.38</v>
      </c>
      <c r="O659" s="3" t="n">
        <v>23.1981981981982</v>
      </c>
    </row>
    <row r="660" hidden="1">
      <c r="A660" s="5" t="n">
        <v>46157</v>
      </c>
      <c r="B660" s="6" t="inlineStr">
        <is>
          <t>Rafael Gomes de Morais</t>
        </is>
      </c>
      <c r="C660" s="1" t="inlineStr">
        <is>
          <t>Técnico III</t>
        </is>
      </c>
      <c r="D660" s="3" t="n">
        <v>31</v>
      </c>
      <c r="E660" s="3" t="n">
        <v>29</v>
      </c>
      <c r="F660" s="3" t="n">
        <v>13.49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29</v>
      </c>
      <c r="N660" s="3" t="n">
        <v>99.39</v>
      </c>
      <c r="O660" s="3" t="n">
        <v>25.20325203252033</v>
      </c>
    </row>
    <row r="661" hidden="1">
      <c r="A661" s="5" t="n">
        <v>46157</v>
      </c>
      <c r="B661" s="6" t="inlineStr">
        <is>
          <t>Sarah Steffanie de Lima Borges</t>
        </is>
      </c>
      <c r="C661" s="1" t="inlineStr">
        <is>
          <t>Técnico III</t>
        </is>
      </c>
      <c r="D661" s="3" t="n">
        <v>20</v>
      </c>
      <c r="E661" s="3" t="n">
        <v>20</v>
      </c>
      <c r="F661" s="3" t="n">
        <v>17.35</v>
      </c>
      <c r="G661" s="3" t="n">
        <v>1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17</v>
      </c>
      <c r="N661" s="3" t="n">
        <v>97</v>
      </c>
      <c r="O661" s="3" t="n">
        <v>20.32520325203252</v>
      </c>
    </row>
    <row r="662" hidden="1">
      <c r="A662" s="5" t="n">
        <v>46157</v>
      </c>
      <c r="B662" s="6" t="inlineStr">
        <is>
          <t>Alisson de Freitas Silva</t>
        </is>
      </c>
      <c r="C662" s="1" t="inlineStr">
        <is>
          <t>Técnico II</t>
        </is>
      </c>
      <c r="D662" s="3" t="n">
        <v>20</v>
      </c>
      <c r="E662" s="3" t="n">
        <v>19</v>
      </c>
      <c r="F662" s="3" t="n">
        <v>13.2</v>
      </c>
      <c r="G662" s="3" t="n">
        <v>1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99.18000000000001</v>
      </c>
      <c r="O662" s="3" t="n">
        <v>24.5014245014245</v>
      </c>
    </row>
    <row r="663" hidden="1">
      <c r="A663" s="5" t="n">
        <v>46157</v>
      </c>
      <c r="B663" s="6" t="inlineStr">
        <is>
          <t>Brenda de Menezes Silva</t>
        </is>
      </c>
      <c r="C663" s="1" t="inlineStr">
        <is>
          <t>Técnico II</t>
        </is>
      </c>
      <c r="D663" s="3" t="n">
        <v>20</v>
      </c>
      <c r="E663" s="3" t="n">
        <v>19</v>
      </c>
      <c r="F663" s="3" t="n">
        <v>23.34</v>
      </c>
      <c r="G663" s="3" t="n">
        <v>2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21</v>
      </c>
      <c r="N663" s="3" t="n">
        <v>99.34999999999999</v>
      </c>
      <c r="O663" s="3" t="n">
        <v>19.85294117647059</v>
      </c>
    </row>
    <row r="664" hidden="1">
      <c r="A664" s="5" t="n">
        <v>46157</v>
      </c>
      <c r="B664" s="6" t="inlineStr">
        <is>
          <t>Carlos Mateus Cassimiro Nunes</t>
        </is>
      </c>
      <c r="C664" s="14" t="inlineStr">
        <is>
          <t>Técnico II</t>
        </is>
      </c>
      <c r="D664" s="3" t="n">
        <v>26</v>
      </c>
      <c r="E664" s="3" t="n">
        <v>26</v>
      </c>
      <c r="F664" s="3" t="n">
        <v>25.22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29</v>
      </c>
      <c r="N664" s="3" t="n">
        <v>99.06999999999999</v>
      </c>
      <c r="O664" s="3" t="n">
        <v>20.09803921568627</v>
      </c>
    </row>
    <row r="665" hidden="1">
      <c r="C665" s="3" t="n"/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 hidden="1">
      <c r="C666" s="3" t="n"/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C667" s="3" t="n"/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C668" s="3" t="n"/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C669" s="3" t="n"/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C670" s="3" t="n"/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C671" s="3" t="n"/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C672" s="3" t="n"/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C673" s="3" t="n"/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C674" s="3" t="n"/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C675" s="3" t="n"/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C676" s="3" t="n"/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C677" s="3" t="n"/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C678" s="3" t="n"/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C679" s="3" t="n"/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C680" s="3" t="n"/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C681" s="3" t="n"/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C682" s="3" t="n"/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C683" s="3" t="n"/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C684" s="3" t="n"/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C685" s="3" t="n"/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C686" s="3" t="n"/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C687" s="3" t="n"/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C688" s="3" t="n"/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C689" s="3" t="n"/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C690" s="3" t="n"/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C691" s="3" t="n"/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C692" s="3" t="n"/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C693" s="3" t="n"/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C694" s="3" t="n"/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C695" s="3" t="n"/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C696" s="3" t="n"/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C697" s="3" t="n"/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C698" s="3" t="n"/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C699" s="3" t="n"/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C700" s="3" t="n"/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C701" s="3" t="n"/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C702" s="3" t="n"/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C703" s="3" t="n"/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C704" s="3" t="n"/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C705" s="3" t="n"/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C706" s="3" t="n"/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C707" s="3" t="n"/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C708" s="3" t="n"/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C709" s="3" t="n"/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C710" s="3" t="n"/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C711" s="3" t="n"/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C712" s="3" t="n"/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C713" s="3" t="n"/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C714" s="3" t="n"/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C715" s="3" t="n"/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C716" s="3" t="n"/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C717" s="3" t="n"/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C718" s="3" t="n"/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C719" s="3" t="n"/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C720" s="3" t="n"/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C721" s="3" t="n"/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C722" s="3" t="n"/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C723" s="3" t="n"/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C724" s="3" t="n"/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C725" s="3" t="n"/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C726" s="3" t="n"/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C727" s="3" t="n"/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C728" s="3" t="n"/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A729" s="5" t="n">
        <v>46157</v>
      </c>
      <c r="B729" s="6" t="inlineStr">
        <is>
          <t>Damyllis Lorraine de Oliveira Gonçalves</t>
        </is>
      </c>
      <c r="C729" s="1" t="inlineStr">
        <is>
          <t>Técnico II</t>
        </is>
      </c>
      <c r="D729" s="3" t="n">
        <v>35</v>
      </c>
      <c r="E729" s="3" t="n">
        <v>31</v>
      </c>
      <c r="F729" s="3" t="n">
        <v>18.53</v>
      </c>
      <c r="G729" s="3" t="n">
        <v>0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IF(K729&lt;-5,"CRÍTICO",IF(K729&lt;0,"ATENÇÃO",IF(K729&lt;=5,"OPORTUNO","MUITO BOM")))</f>
        <v/>
      </c>
      <c r="M729" s="3" t="n">
        <v>30</v>
      </c>
      <c r="N729" s="3" t="n">
        <v>98.81</v>
      </c>
      <c r="O729" s="3" t="n">
        <v>22.76785714285714</v>
      </c>
    </row>
    <row r="730" hidden="1">
      <c r="A730" s="5" t="n">
        <v>46157</v>
      </c>
      <c r="B730" s="6" t="inlineStr">
        <is>
          <t>Emilly Kamilly Medeiros Miranda</t>
        </is>
      </c>
      <c r="C730" s="1" t="inlineStr">
        <is>
          <t>Técnico II</t>
        </is>
      </c>
      <c r="D730" s="3" t="n">
        <v>27</v>
      </c>
      <c r="E730" s="3" t="n">
        <v>25</v>
      </c>
      <c r="F730" s="3" t="n">
        <v>18.42</v>
      </c>
      <c r="G730" s="3" t="n">
        <v>2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23</v>
      </c>
      <c r="N730" s="3" t="n">
        <v>99.01000000000001</v>
      </c>
      <c r="O730" s="3" t="n">
        <v>17.76649746192894</v>
      </c>
    </row>
    <row r="731" hidden="1">
      <c r="A731" s="5" t="n">
        <v>46157</v>
      </c>
      <c r="B731" s="6" t="inlineStr">
        <is>
          <t>Francilene Ferreira de Jesus</t>
        </is>
      </c>
      <c r="C731" s="1" t="inlineStr">
        <is>
          <t>Técnico II</t>
        </is>
      </c>
      <c r="D731" s="3" t="n">
        <v>0</v>
      </c>
      <c r="E731" s="3" t="n">
        <v>0</v>
      </c>
      <c r="F731" s="3" t="n">
        <v>0</v>
      </c>
      <c r="G731" s="3" t="n">
        <v>0</v>
      </c>
      <c r="H731" s="3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  <c r="M731" s="3" t="n">
        <v>0</v>
      </c>
      <c r="N731" s="3" t="n">
        <v>100</v>
      </c>
      <c r="O731" s="3" t="n">
        <v>17.24137931034483</v>
      </c>
    </row>
    <row r="732" hidden="1">
      <c r="A732" s="5" t="n">
        <v>46157</v>
      </c>
      <c r="B732" s="6" t="inlineStr">
        <is>
          <t>Isabella Borges de Oliveira</t>
        </is>
      </c>
      <c r="C732" s="14" t="inlineStr">
        <is>
          <t>Técnico II</t>
        </is>
      </c>
      <c r="D732" s="3" t="n">
        <v>28</v>
      </c>
      <c r="E732" s="3" t="n">
        <v>25</v>
      </c>
      <c r="F732" s="3" t="n">
        <v>22.04</v>
      </c>
      <c r="G732" s="3" t="n">
        <v>0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IF(K732&lt;-5,"CRÍTICO",IF(K732&lt;0,"ATENÇÃO",IF(K732&lt;=5,"OPORTUNO","MUITO BOM")))</f>
        <v/>
      </c>
      <c r="M732" s="3" t="n">
        <v>23</v>
      </c>
      <c r="N732" s="3" t="n">
        <v>98.98</v>
      </c>
      <c r="O732" s="3" t="n">
        <v>19.35483870967742</v>
      </c>
    </row>
    <row r="733" hidden="1">
      <c r="A733" s="5" t="n">
        <v>46157</v>
      </c>
      <c r="B733" s="6" t="inlineStr">
        <is>
          <t>Jessica Faria da Silveira</t>
        </is>
      </c>
      <c r="C733" s="1" t="inlineStr">
        <is>
          <t>Técnico II</t>
        </is>
      </c>
      <c r="D733" s="3" t="n">
        <v>17</v>
      </c>
      <c r="E733" s="3" t="n">
        <v>14</v>
      </c>
      <c r="F733" s="3" t="n">
        <v>15.05</v>
      </c>
      <c r="G733" s="3" t="n">
        <v>1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14</v>
      </c>
      <c r="N733" s="3" t="n">
        <v>98.94</v>
      </c>
      <c r="O733" s="3" t="n">
        <v>21.2707182320442</v>
      </c>
    </row>
    <row r="734" hidden="1">
      <c r="A734" s="5" t="n">
        <v>46157</v>
      </c>
      <c r="B734" s="6" t="inlineStr">
        <is>
          <t>Lizandra Gomes Duarte</t>
        </is>
      </c>
      <c r="C734" s="1" t="inlineStr">
        <is>
          <t>Técnico II</t>
        </is>
      </c>
      <c r="D734" s="3" t="n">
        <v>34</v>
      </c>
      <c r="E734" s="3" t="n">
        <v>32</v>
      </c>
      <c r="F734" s="3" t="n">
        <v>15.4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13</v>
      </c>
      <c r="N734" s="3" t="n">
        <v>99</v>
      </c>
      <c r="O734" s="3" t="n">
        <v>22.01086956521739</v>
      </c>
    </row>
    <row r="735" hidden="1">
      <c r="A735" s="5" t="n">
        <v>46157</v>
      </c>
      <c r="B735" s="6" t="inlineStr">
        <is>
          <t>Lorena Dias de Araujo</t>
        </is>
      </c>
      <c r="C735" s="1" t="inlineStr">
        <is>
          <t>Técnico II</t>
        </is>
      </c>
      <c r="D735" s="3" t="n">
        <v>28</v>
      </c>
      <c r="E735" s="3" t="n">
        <v>25</v>
      </c>
      <c r="F735" s="3" t="n">
        <v>25.42</v>
      </c>
      <c r="G735" s="3" t="n">
        <v>0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24</v>
      </c>
      <c r="N735" s="3" t="n">
        <v>100</v>
      </c>
      <c r="O735" s="3" t="n">
        <v>25</v>
      </c>
    </row>
    <row r="736" hidden="1">
      <c r="A736" s="5" t="n">
        <v>46157</v>
      </c>
      <c r="B736" s="6" t="inlineStr">
        <is>
          <t>Patrícia Karla de Sousa Araújo</t>
        </is>
      </c>
      <c r="C736" s="1" t="inlineStr">
        <is>
          <t>Técnico II</t>
        </is>
      </c>
      <c r="D736" s="3" t="n">
        <v>13</v>
      </c>
      <c r="E736" s="3" t="n">
        <v>13</v>
      </c>
      <c r="F736" s="3" t="n">
        <v>33.59</v>
      </c>
      <c r="G736" s="3" t="n">
        <v>0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11</v>
      </c>
      <c r="N736" s="3" t="n">
        <v>100</v>
      </c>
      <c r="O736" s="3" t="n">
        <v>20.18348623853211</v>
      </c>
    </row>
    <row r="737" hidden="1">
      <c r="A737" s="5" t="n">
        <v>46157</v>
      </c>
      <c r="B737" s="6" t="inlineStr">
        <is>
          <t>Ana Karollyne Souza Faria</t>
        </is>
      </c>
      <c r="C737" s="1" t="inlineStr">
        <is>
          <t>Técnico I</t>
        </is>
      </c>
      <c r="D737" s="3" t="n">
        <v>40</v>
      </c>
      <c r="E737" s="3" t="n">
        <v>38</v>
      </c>
      <c r="F737" s="3" t="n">
        <v>15.24</v>
      </c>
      <c r="G737" s="3" t="n">
        <v>5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36</v>
      </c>
      <c r="N737" s="3" t="n">
        <v>96.25</v>
      </c>
      <c r="O737" s="3" t="n">
        <v>25.5863539445629</v>
      </c>
    </row>
    <row r="738" hidden="1">
      <c r="A738" s="5" t="n">
        <v>46157</v>
      </c>
      <c r="B738" s="6" t="inlineStr">
        <is>
          <t>Clessiane Pereira dos Santos</t>
        </is>
      </c>
      <c r="C738" s="1" t="inlineStr">
        <is>
          <t>Técnico I</t>
        </is>
      </c>
      <c r="D738" s="3" t="n">
        <v>24</v>
      </c>
      <c r="E738" s="3" t="n">
        <v>20</v>
      </c>
      <c r="F738" s="3" t="n">
        <v>19.19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20</v>
      </c>
      <c r="N738" s="3" t="n">
        <v>97.48</v>
      </c>
      <c r="O738" s="3" t="n">
        <v>22.99465240641711</v>
      </c>
    </row>
    <row r="739" hidden="1">
      <c r="A739" s="5" t="n">
        <v>46157</v>
      </c>
      <c r="B739" s="6" t="inlineStr">
        <is>
          <t>Daniel Gomes da Silva</t>
        </is>
      </c>
      <c r="C739" s="1" t="inlineStr">
        <is>
          <t>Técnico I</t>
        </is>
      </c>
      <c r="D739" s="3" t="n">
        <v>18</v>
      </c>
      <c r="E739" s="3" t="n">
        <v>18</v>
      </c>
      <c r="F739" s="3" t="n">
        <v>25.25</v>
      </c>
      <c r="G739" s="3" t="n">
        <v>3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IF(K739&lt;-5,"CRÍTICO",IF(K739&lt;0,"ATENÇÃO",IF(K739&lt;=5,"OPORTUNO","MUITO BOM")))</f>
        <v/>
      </c>
      <c r="M739" s="3" t="n">
        <v>19</v>
      </c>
      <c r="N739" s="3" t="n">
        <v>100</v>
      </c>
      <c r="O739" s="3" t="n">
        <v>20.78853046594982</v>
      </c>
    </row>
    <row r="740" hidden="1">
      <c r="A740" s="5" t="n">
        <v>46157</v>
      </c>
      <c r="B740" s="6" t="inlineStr">
        <is>
          <t>Luiz Fernando de Carvalho Junior</t>
        </is>
      </c>
      <c r="C740" s="1" t="inlineStr">
        <is>
          <t>Técnico I</t>
        </is>
      </c>
      <c r="D740" s="3" t="n">
        <v>24</v>
      </c>
      <c r="E740" s="3" t="n">
        <v>21</v>
      </c>
      <c r="F740" s="3" t="n">
        <v>20.35</v>
      </c>
      <c r="G740" s="3" t="n">
        <v>2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24</v>
      </c>
      <c r="N740" s="3" t="n">
        <v>94.55</v>
      </c>
      <c r="O740" s="3" t="n">
        <v>23.45013477088949</v>
      </c>
    </row>
    <row r="741" hidden="1">
      <c r="A741" s="5" t="n">
        <v>46157</v>
      </c>
      <c r="B741" s="6" t="inlineStr">
        <is>
          <t>Raane Batista Matos</t>
        </is>
      </c>
      <c r="C741" s="1" t="inlineStr">
        <is>
          <t>Técnico I</t>
        </is>
      </c>
      <c r="D741" s="3" t="n">
        <v>28</v>
      </c>
      <c r="E741" s="3" t="n">
        <v>25</v>
      </c>
      <c r="F741" s="3" t="n">
        <v>13.57</v>
      </c>
      <c r="G741" s="3" t="n">
        <v>5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IF(K741&lt;-5,"CRÍTICO",IF(K741&lt;0,"ATENÇÃO",IF(K741&lt;=5,"OPORTUNO","MUITO BOM")))</f>
        <v/>
      </c>
      <c r="M741" s="3" t="n">
        <v>23</v>
      </c>
      <c r="N741" s="3" t="n">
        <v>98</v>
      </c>
      <c r="O741" s="3" t="n">
        <v>20.73490813648294</v>
      </c>
    </row>
    <row r="742" hidden="1">
      <c r="A742" s="5" t="n">
        <v>46157</v>
      </c>
      <c r="B742" s="6" t="inlineStr">
        <is>
          <t>Sara Maria Monteiro Lopes</t>
        </is>
      </c>
      <c r="C742" s="1" t="inlineStr">
        <is>
          <t>Técnico I</t>
        </is>
      </c>
      <c r="D742" s="3" t="n">
        <v>18</v>
      </c>
      <c r="E742" s="3" t="n">
        <v>17</v>
      </c>
      <c r="F742" s="3" t="n">
        <v>35.31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14</v>
      </c>
      <c r="N742" s="3" t="n">
        <v>100</v>
      </c>
      <c r="O742" s="3" t="n">
        <v>18</v>
      </c>
    </row>
    <row r="743" hidden="1">
      <c r="A743" s="5" t="n">
        <v>46157</v>
      </c>
      <c r="B743" s="6" t="inlineStr">
        <is>
          <t>Gabriel Gomes de Andrade</t>
        </is>
      </c>
      <c r="C743" s="1" t="inlineStr">
        <is>
          <t>Técnico I</t>
        </is>
      </c>
      <c r="D743" s="3" t="n">
        <v>19</v>
      </c>
      <c r="E743" s="3" t="n">
        <v>16</v>
      </c>
      <c r="F743" s="3" t="n">
        <v>16.56</v>
      </c>
      <c r="G743" s="3" t="n">
        <v>6</v>
      </c>
      <c r="H743" s="3" t="n">
        <v>1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15</v>
      </c>
      <c r="N743" s="3" t="n">
        <v>99.06</v>
      </c>
      <c r="O743" s="3" t="n">
        <v>19.41747572815534</v>
      </c>
    </row>
    <row r="744" hidden="1">
      <c r="A744" s="5" t="n">
        <v>46160</v>
      </c>
      <c r="B744" s="6" t="inlineStr">
        <is>
          <t>Amanda Moura Ferreira</t>
        </is>
      </c>
      <c r="C744" s="1" t="inlineStr">
        <is>
          <t>Técnico III</t>
        </is>
      </c>
      <c r="D744" s="3" t="n">
        <v>0</v>
      </c>
      <c r="E744" s="3" t="n">
        <v>0</v>
      </c>
      <c r="F744" s="3" t="n">
        <v>0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  <c r="M744" s="3" t="n">
        <v>0</v>
      </c>
      <c r="N744" s="3" t="n">
        <v>100</v>
      </c>
      <c r="O744" s="3" t="n">
        <v>0</v>
      </c>
    </row>
    <row r="745" hidden="1">
      <c r="A745" s="5" t="n">
        <v>46160</v>
      </c>
      <c r="B745" s="6" t="inlineStr">
        <is>
          <t>Ana Paula Da Luz Silva Aleixo</t>
        </is>
      </c>
      <c r="C745" s="14" t="inlineStr">
        <is>
          <t>Técnico III</t>
        </is>
      </c>
      <c r="D745" s="3" t="n">
        <v>0</v>
      </c>
      <c r="E745" s="3" t="n">
        <v>0</v>
      </c>
      <c r="F745" s="3" t="n">
        <v>0</v>
      </c>
      <c r="G745" s="3" t="n">
        <v>0</v>
      </c>
      <c r="H745" s="3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  <c r="M745" s="3" t="n">
        <v>0</v>
      </c>
      <c r="N745" s="3" t="n">
        <v>96.94</v>
      </c>
      <c r="O745" s="3" t="n">
        <v>19.61325966850829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5" t="n">
        <v>46160</v>
      </c>
      <c r="B748" s="6" t="inlineStr">
        <is>
          <t>Cristiane Ramos da Silva Rocha</t>
        </is>
      </c>
      <c r="C748" s="1" t="inlineStr">
        <is>
          <t>Técnico III</t>
        </is>
      </c>
      <c r="D748" s="3" t="n">
        <v>30</v>
      </c>
      <c r="E748" s="3" t="n">
        <v>27</v>
      </c>
      <c r="F748" s="3" t="n">
        <v>13.29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25</v>
      </c>
      <c r="N748" s="3" t="n">
        <v>92.81</v>
      </c>
      <c r="O748" s="3" t="n">
        <v>25.47770700636943</v>
      </c>
    </row>
    <row r="749" hidden="1">
      <c r="A749" s="5" t="n">
        <v>46160</v>
      </c>
      <c r="B749" s="6" t="inlineStr">
        <is>
          <t>Davylla Rodrigues Freitas Silva</t>
        </is>
      </c>
      <c r="C749" s="14" t="inlineStr">
        <is>
          <t>Técnico III</t>
        </is>
      </c>
      <c r="D749" s="3" t="n">
        <v>0</v>
      </c>
      <c r="E749" s="3" t="n">
        <v>0</v>
      </c>
      <c r="F749" s="3" t="n">
        <v>0</v>
      </c>
      <c r="G749" s="3" t="n">
        <v>0</v>
      </c>
      <c r="H749" s="3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  <c r="M749" s="3" t="n">
        <v>0</v>
      </c>
      <c r="N749" s="3" t="n">
        <v>99.19</v>
      </c>
      <c r="O749" s="3" t="n">
        <v>28.40466926070039</v>
      </c>
    </row>
    <row r="750" hidden="1">
      <c r="A750" s="5" t="n">
        <v>46160</v>
      </c>
      <c r="B750" s="6" t="inlineStr">
        <is>
          <t>Janaina Lima dos Reis Urany</t>
        </is>
      </c>
      <c r="C750" s="1" t="inlineStr">
        <is>
          <t>Técnico III</t>
        </is>
      </c>
      <c r="D750" s="3" t="n">
        <v>37</v>
      </c>
      <c r="E750" s="3" t="n">
        <v>32</v>
      </c>
      <c r="F750" s="3" t="n">
        <v>15.11</v>
      </c>
      <c r="G750" s="3" t="n">
        <v>5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34</v>
      </c>
      <c r="N750" s="3" t="n">
        <v>99</v>
      </c>
      <c r="O750" s="3" t="n">
        <v>22.27414330218069</v>
      </c>
    </row>
    <row r="751" hidden="1">
      <c r="A751" s="5" t="n">
        <v>46160</v>
      </c>
      <c r="B751" s="6" t="inlineStr">
        <is>
          <t>Jaqueline Evangelista da Silva Martins</t>
        </is>
      </c>
      <c r="C751" s="1" t="inlineStr">
        <is>
          <t>Técnico III</t>
        </is>
      </c>
      <c r="D751" s="3" t="n">
        <v>26</v>
      </c>
      <c r="E751" s="3" t="n">
        <v>25</v>
      </c>
      <c r="F751" s="3" t="n">
        <v>13.21</v>
      </c>
      <c r="G751" s="3" t="n">
        <v>6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23</v>
      </c>
      <c r="N751" s="3" t="n">
        <v>97.04000000000001</v>
      </c>
      <c r="O751" s="3" t="n">
        <v>29.82885085574572</v>
      </c>
    </row>
    <row r="752" hidden="1">
      <c r="A752" s="5" t="n">
        <v>46160</v>
      </c>
      <c r="B752" s="6" t="inlineStr">
        <is>
          <t>Jéssica Fé Moura</t>
        </is>
      </c>
      <c r="C752" s="1" t="inlineStr">
        <is>
          <t>Técnico III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0</v>
      </c>
      <c r="O752" s="3" t="n">
        <v>0</v>
      </c>
    </row>
    <row r="753" hidden="1">
      <c r="A753" s="5" t="n">
        <v>46160</v>
      </c>
      <c r="B753" s="6" t="inlineStr">
        <is>
          <t>Kerollen Cristielly de Jesus Siqueira</t>
        </is>
      </c>
      <c r="C753" s="14" t="inlineStr">
        <is>
          <t>Técnico III</t>
        </is>
      </c>
      <c r="D753" s="3" t="n">
        <v>25</v>
      </c>
      <c r="E753" s="3" t="n">
        <v>24</v>
      </c>
      <c r="F753" s="3" t="n">
        <v>23.54</v>
      </c>
      <c r="G753" s="3" t="n">
        <v>0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21</v>
      </c>
      <c r="N753" s="3" t="n">
        <v>96.84</v>
      </c>
      <c r="O753" s="3" t="n">
        <v>16.33802816901408</v>
      </c>
    </row>
    <row r="754" hidden="1">
      <c r="A754" s="5" t="n">
        <v>46160</v>
      </c>
      <c r="B754" s="6" t="inlineStr">
        <is>
          <t>Leandro Oliveira de Sousa</t>
        </is>
      </c>
      <c r="C754" s="14" t="inlineStr">
        <is>
          <t>Técnico III</t>
        </is>
      </c>
      <c r="D754" s="3" t="n">
        <v>28</v>
      </c>
      <c r="E754" s="3" t="n">
        <v>25</v>
      </c>
      <c r="F754" s="3" t="n">
        <v>15.47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25</v>
      </c>
      <c r="N754" s="3" t="n">
        <v>100</v>
      </c>
      <c r="O754" s="3" t="n">
        <v>18.24480369515012</v>
      </c>
    </row>
    <row r="755" hidden="1">
      <c r="A755" s="5" t="n">
        <v>46160</v>
      </c>
      <c r="B755" s="6" t="inlineStr">
        <is>
          <t>Lucas Luiz Romero</t>
        </is>
      </c>
      <c r="C755" s="1" t="inlineStr">
        <is>
          <t>Técnico III</t>
        </is>
      </c>
      <c r="D755" s="3" t="n">
        <v>0</v>
      </c>
      <c r="E755" s="3" t="n">
        <v>0</v>
      </c>
      <c r="F755" s="3" t="n">
        <v>0</v>
      </c>
      <c r="G755" s="3" t="n">
        <v>0</v>
      </c>
      <c r="H755" s="3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  <c r="M755" s="3" t="n">
        <v>0</v>
      </c>
      <c r="N755" s="3" t="n">
        <v>100</v>
      </c>
      <c r="O755" s="3" t="n">
        <v>15.78947368421053</v>
      </c>
    </row>
    <row r="756" hidden="1">
      <c r="A756" s="5" t="n">
        <v>46160</v>
      </c>
      <c r="B756" s="6" t="inlineStr">
        <is>
          <t>Matheus Farias De Souza</t>
        </is>
      </c>
      <c r="C756" s="1" t="inlineStr">
        <is>
          <t>Técnico III</t>
        </is>
      </c>
      <c r="D756" s="3" t="n">
        <v>0</v>
      </c>
      <c r="E756" s="3" t="n">
        <v>0</v>
      </c>
      <c r="F756" s="3" t="n">
        <v>0</v>
      </c>
      <c r="G756" s="3" t="n">
        <v>0</v>
      </c>
      <c r="H756" s="3" t="n">
        <v>32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16</v>
      </c>
      <c r="N756" s="3" t="n">
        <v>98.39</v>
      </c>
      <c r="O756" s="16" t="n">
        <v>8.799999999999999</v>
      </c>
    </row>
    <row r="757" hidden="1">
      <c r="A757" s="5" t="n">
        <v>46160</v>
      </c>
      <c r="B757" s="6" t="inlineStr">
        <is>
          <t>Maysa Victoria Dias Moura</t>
        </is>
      </c>
      <c r="C757" s="1" t="inlineStr">
        <is>
          <t>Técnico III</t>
        </is>
      </c>
      <c r="D757" s="3" t="n">
        <v>30</v>
      </c>
      <c r="E757" s="3" t="n">
        <v>27</v>
      </c>
      <c r="F757" s="3" t="n">
        <v>10.14</v>
      </c>
      <c r="G757" s="3" t="n">
        <v>2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27</v>
      </c>
      <c r="N757" s="3" t="n">
        <v>96.38</v>
      </c>
      <c r="O757" s="3" t="n">
        <v>23.1981981981982</v>
      </c>
    </row>
    <row r="758" hidden="1">
      <c r="A758" s="5" t="n">
        <v>46160</v>
      </c>
      <c r="B758" s="6" t="inlineStr">
        <is>
          <t>Rafael Gomes de Morais</t>
        </is>
      </c>
      <c r="C758" s="1" t="inlineStr">
        <is>
          <t>Técnico III</t>
        </is>
      </c>
      <c r="D758" s="3" t="n">
        <v>34</v>
      </c>
      <c r="E758" s="3" t="n">
        <v>28</v>
      </c>
      <c r="F758" s="3" t="n">
        <v>13.56</v>
      </c>
      <c r="G758" s="3" t="n">
        <v>3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26</v>
      </c>
      <c r="N758" s="3" t="n">
        <v>99.39</v>
      </c>
      <c r="O758" s="3" t="n">
        <v>25.20325203252033</v>
      </c>
    </row>
    <row r="759" hidden="1">
      <c r="A759" s="5" t="n">
        <v>46160</v>
      </c>
      <c r="B759" s="6" t="inlineStr">
        <is>
          <t>Sarah Steffanie de Lima Borges</t>
        </is>
      </c>
      <c r="C759" s="1" t="inlineStr">
        <is>
          <t>Técnico III</t>
        </is>
      </c>
      <c r="D759" s="3" t="n">
        <v>25</v>
      </c>
      <c r="E759" s="3" t="n">
        <v>22</v>
      </c>
      <c r="F759" s="3" t="n">
        <v>17.29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21</v>
      </c>
      <c r="N759" s="3" t="n">
        <v>97</v>
      </c>
      <c r="O759" s="3" t="n">
        <v>20.32520325203252</v>
      </c>
    </row>
    <row r="760" hidden="1">
      <c r="A760" s="5" t="n">
        <v>46160</v>
      </c>
      <c r="B760" s="6" t="inlineStr">
        <is>
          <t>Alisson de Freitas Silva</t>
        </is>
      </c>
      <c r="C760" s="1" t="inlineStr">
        <is>
          <t>Técnico II</t>
        </is>
      </c>
      <c r="D760" s="3" t="n">
        <v>42</v>
      </c>
      <c r="E760" s="3" t="n">
        <v>27</v>
      </c>
      <c r="F760" s="3" t="n">
        <v>7.38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19</v>
      </c>
      <c r="N760" s="3" t="n">
        <v>99.18000000000001</v>
      </c>
      <c r="O760" s="3" t="n">
        <v>24.5014245014245</v>
      </c>
    </row>
    <row r="761" hidden="1">
      <c r="A761" s="5" t="n">
        <v>46160</v>
      </c>
      <c r="B761" s="6" t="inlineStr">
        <is>
          <t>Brenda de Menezes Silva</t>
        </is>
      </c>
      <c r="C761" s="1" t="inlineStr">
        <is>
          <t>Técnico II</t>
        </is>
      </c>
      <c r="D761" s="3" t="n">
        <v>46</v>
      </c>
      <c r="E761" s="3" t="n">
        <v>39</v>
      </c>
      <c r="F761" s="3" t="n">
        <v>11.41</v>
      </c>
      <c r="G761" s="3" t="n">
        <v>7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42</v>
      </c>
      <c r="N761" s="3" t="n">
        <v>99.34999999999999</v>
      </c>
      <c r="O761" s="3" t="n">
        <v>19.85294117647059</v>
      </c>
    </row>
    <row r="762" hidden="1">
      <c r="A762" s="5" t="n">
        <v>46160</v>
      </c>
      <c r="B762" s="6" t="inlineStr">
        <is>
          <t>Carlos Mateus Cassimiro Nunes</t>
        </is>
      </c>
      <c r="C762" s="14" t="inlineStr">
        <is>
          <t>Técnico II</t>
        </is>
      </c>
      <c r="D762" s="3" t="n">
        <v>23</v>
      </c>
      <c r="E762" s="3" t="n">
        <v>23</v>
      </c>
      <c r="F762" s="3" t="n">
        <v>21.44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26</v>
      </c>
      <c r="N762" s="3" t="n">
        <v>99.06999999999999</v>
      </c>
      <c r="O762" s="3" t="n">
        <v>20.09803921568627</v>
      </c>
    </row>
    <row r="763" hidden="1">
      <c r="A763" s="5" t="n">
        <v>46160</v>
      </c>
      <c r="B763" s="6" t="inlineStr">
        <is>
          <t>Damyllis Lorraine de Oliveira Gonçalves</t>
        </is>
      </c>
      <c r="C763" s="1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98.81</v>
      </c>
      <c r="O763" s="3" t="n">
        <v>22.76785714285714</v>
      </c>
    </row>
    <row r="764" hidden="1">
      <c r="A764" s="5" t="n">
        <v>46160</v>
      </c>
      <c r="B764" s="6" t="inlineStr">
        <is>
          <t>Emilly Kamilly Medeiros Miranda</t>
        </is>
      </c>
      <c r="C764" s="1" t="inlineStr">
        <is>
          <t>Técnico II</t>
        </is>
      </c>
      <c r="D764" s="3" t="n">
        <v>29</v>
      </c>
      <c r="E764" s="3" t="n">
        <v>27</v>
      </c>
      <c r="F764" s="3" t="n">
        <v>12.34</v>
      </c>
      <c r="G764" s="3" t="n">
        <v>3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25</v>
      </c>
      <c r="N764" s="3" t="n">
        <v>99.01000000000001</v>
      </c>
      <c r="O764" s="3" t="n">
        <v>17.76649746192894</v>
      </c>
    </row>
    <row r="765" hidden="1">
      <c r="A765" s="5" t="n">
        <v>46160</v>
      </c>
      <c r="B765" s="6" t="inlineStr">
        <is>
          <t>Francilene Ferreira de Jesus</t>
        </is>
      </c>
      <c r="C765" s="1" t="inlineStr">
        <is>
          <t>Técnico II</t>
        </is>
      </c>
      <c r="D765" s="3" t="n">
        <v>0</v>
      </c>
      <c r="E765" s="3" t="n">
        <v>0</v>
      </c>
      <c r="F765" s="3" t="n">
        <v>0</v>
      </c>
      <c r="G765" s="3" t="n">
        <v>0</v>
      </c>
      <c r="H765" s="3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  <c r="M765" s="3" t="n">
        <v>0</v>
      </c>
      <c r="N765" s="3" t="n">
        <v>100</v>
      </c>
      <c r="O765" s="3" t="n">
        <v>17.24137931034483</v>
      </c>
    </row>
    <row r="766" hidden="1">
      <c r="A766" s="5" t="n">
        <v>46160</v>
      </c>
      <c r="B766" s="6" t="inlineStr">
        <is>
          <t>Isabella Borges de Oliveira</t>
        </is>
      </c>
      <c r="C766" s="14" t="inlineStr">
        <is>
          <t>Técnico II</t>
        </is>
      </c>
      <c r="D766" s="3" t="n">
        <v>20</v>
      </c>
      <c r="E766" s="3" t="n">
        <v>20</v>
      </c>
      <c r="F766" s="3" t="n">
        <v>24.07</v>
      </c>
      <c r="G766" s="3" t="n">
        <v>3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21</v>
      </c>
      <c r="N766" s="3" t="n">
        <v>98.98</v>
      </c>
      <c r="O766" s="3" t="n">
        <v>19.35483870967742</v>
      </c>
    </row>
    <row r="767" hidden="1">
      <c r="A767" s="5" t="n">
        <v>46160</v>
      </c>
      <c r="B767" s="6" t="inlineStr">
        <is>
          <t>Jessica Faria da Silveira</t>
        </is>
      </c>
      <c r="C767" s="1" t="inlineStr">
        <is>
          <t>Técnico II</t>
        </is>
      </c>
      <c r="D767" s="3" t="n">
        <v>28</v>
      </c>
      <c r="E767" s="3" t="n">
        <v>22</v>
      </c>
      <c r="F767" s="3" t="n">
        <v>17.15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19</v>
      </c>
      <c r="N767" s="3" t="n">
        <v>98.94</v>
      </c>
      <c r="O767" s="3" t="n">
        <v>21.2707182320442</v>
      </c>
    </row>
    <row r="768" hidden="1">
      <c r="A768" s="5" t="n">
        <v>46160</v>
      </c>
      <c r="B768" s="6" t="inlineStr">
        <is>
          <t>Lizandra Gomes Duarte</t>
        </is>
      </c>
      <c r="C768" s="1" t="inlineStr">
        <is>
          <t>Técnico II</t>
        </is>
      </c>
      <c r="D768" s="3" t="n">
        <v>25</v>
      </c>
      <c r="E768" s="3" t="n">
        <v>23</v>
      </c>
      <c r="F768" s="3" t="n">
        <v>16.55</v>
      </c>
      <c r="G768" s="3" t="n">
        <v>2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20</v>
      </c>
      <c r="N768" s="3" t="n">
        <v>99</v>
      </c>
      <c r="O768" s="3" t="n">
        <v>22.01086956521739</v>
      </c>
    </row>
    <row r="769" hidden="1">
      <c r="A769" s="5" t="n">
        <v>46160</v>
      </c>
      <c r="B769" s="6" t="inlineStr">
        <is>
          <t>Lorena Dias de Araujo</t>
        </is>
      </c>
      <c r="C769" s="1" t="inlineStr">
        <is>
          <t>Técnico II</t>
        </is>
      </c>
      <c r="D769" s="3" t="n">
        <v>28</v>
      </c>
      <c r="E769" s="3" t="n">
        <v>26</v>
      </c>
      <c r="F769" s="3" t="n">
        <v>13.58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23</v>
      </c>
      <c r="N769" s="3" t="n">
        <v>100</v>
      </c>
      <c r="O769" s="3" t="n">
        <v>25</v>
      </c>
    </row>
    <row r="770" hidden="1">
      <c r="A770" s="5" t="n">
        <v>46160</v>
      </c>
      <c r="B770" s="6" t="inlineStr">
        <is>
          <t>Patrícia Karla de Sousa Araújo</t>
        </is>
      </c>
      <c r="C770" s="1" t="inlineStr">
        <is>
          <t>Técnico II</t>
        </is>
      </c>
      <c r="D770" s="3" t="n">
        <v>16</v>
      </c>
      <c r="E770" s="3" t="n">
        <v>15</v>
      </c>
      <c r="F770" s="3" t="n">
        <v>19.19</v>
      </c>
      <c r="G770" s="3" t="n">
        <v>0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13</v>
      </c>
      <c r="N770" s="3" t="n">
        <v>100</v>
      </c>
      <c r="O770" s="3" t="n">
        <v>20.18348623853211</v>
      </c>
    </row>
    <row r="771" hidden="1">
      <c r="A771" s="5" t="n">
        <v>46160</v>
      </c>
      <c r="B771" s="6" t="inlineStr">
        <is>
          <t>Ana Karollyne Souza Faria</t>
        </is>
      </c>
      <c r="C771" s="1" t="inlineStr">
        <is>
          <t>Técnico I</t>
        </is>
      </c>
      <c r="D771" s="3" t="n">
        <v>18</v>
      </c>
      <c r="E771" s="3" t="n">
        <v>17</v>
      </c>
      <c r="F771" s="3" t="n">
        <v>20.19</v>
      </c>
      <c r="G771" s="3" t="n">
        <v>2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18</v>
      </c>
      <c r="N771" s="3" t="n">
        <v>96.25</v>
      </c>
      <c r="O771" s="3" t="n">
        <v>25.5863539445629</v>
      </c>
    </row>
    <row r="772" hidden="1">
      <c r="A772" s="5" t="n">
        <v>46160</v>
      </c>
      <c r="B772" s="6" t="inlineStr">
        <is>
          <t>Clessiane Pereira dos Santos</t>
        </is>
      </c>
      <c r="C772" s="1" t="inlineStr">
        <is>
          <t>Técnico I</t>
        </is>
      </c>
      <c r="D772" s="3" t="n">
        <v>22</v>
      </c>
      <c r="E772" s="3" t="n">
        <v>21</v>
      </c>
      <c r="F772" s="3" t="n">
        <v>20.04</v>
      </c>
      <c r="G772" s="3" t="n">
        <v>3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22</v>
      </c>
      <c r="N772" s="3" t="n">
        <v>97.48</v>
      </c>
      <c r="O772" s="3" t="n">
        <v>22.99465240641711</v>
      </c>
    </row>
    <row r="773" hidden="1">
      <c r="A773" s="5" t="n">
        <v>46160</v>
      </c>
      <c r="B773" s="6" t="inlineStr">
        <is>
          <t>Daniel Gomes da Silva</t>
        </is>
      </c>
      <c r="C773" s="1" t="inlineStr">
        <is>
          <t>Técnico I</t>
        </is>
      </c>
      <c r="D773" s="3" t="n">
        <v>20</v>
      </c>
      <c r="E773" s="3" t="n">
        <v>19</v>
      </c>
      <c r="F773" s="3" t="n">
        <v>18.52</v>
      </c>
      <c r="G773" s="3" t="n">
        <v>3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18</v>
      </c>
      <c r="N773" s="3" t="n">
        <v>100</v>
      </c>
      <c r="O773" s="3" t="n">
        <v>20.78853046594982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 hidden="1">
      <c r="A2610" s="11" t="n">
        <v>46083</v>
      </c>
      <c r="B2610" t="inlineStr">
        <is>
          <t>Matheus Farias De Souza</t>
        </is>
      </c>
      <c r="C2610" t="inlineStr">
        <is>
          <t>Técnico III</t>
        </is>
      </c>
      <c r="D2610" t="n">
        <v>43</v>
      </c>
      <c r="E2610" t="n">
        <v>38</v>
      </c>
      <c r="F2610" t="n">
        <v>17.28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M2610" t="n">
        <v>40</v>
      </c>
      <c r="N2610" t="n">
        <v>98.86</v>
      </c>
      <c r="O2610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46111</v>
      </c>
      <c r="B2612" t="inlineStr">
        <is>
          <t>Michelle G Santos</t>
        </is>
      </c>
      <c r="C2612" s="3" t="inlineStr">
        <is>
          <t>Estágio</t>
        </is>
      </c>
      <c r="D2612" s="3" t="n">
        <v>17</v>
      </c>
      <c r="E2612" s="3" t="n">
        <v>17</v>
      </c>
      <c r="F2612" s="3" t="n">
        <v>30.36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IF(K2612&lt;-5,"CRÍTICO",IF(K2612&lt;0,"ATENÇÃO",IF(K2612&lt;=5,"OPORTUNO","MUITO BOM")))</f>
        <v/>
      </c>
      <c r="M2612" s="3" t="n">
        <v>8</v>
      </c>
      <c r="N2612" s="3" t="n">
        <v>95.83</v>
      </c>
      <c r="O2612" s="3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>
      <c r="A2617" s="11" t="n">
        <v>46111</v>
      </c>
      <c r="B2617" t="inlineStr">
        <is>
          <t>Quirino Diogo Leite Torres</t>
        </is>
      </c>
      <c r="C2617" t="inlineStr">
        <is>
          <t>Estágio</t>
        </is>
      </c>
      <c r="D2617" t="n">
        <v>4</v>
      </c>
      <c r="E2617" t="n">
        <v>4</v>
      </c>
      <c r="F2617" t="n">
        <v>24.03</v>
      </c>
      <c r="G2617" t="n">
        <v>0</v>
      </c>
      <c r="H2617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IF(K2617&lt;-5,"CRÍTICO",IF(K2617&lt;0,"ATENÇÃO",IF(K2617&lt;=5,"OPORTUNO","MUITO BOM")))</f>
        <v/>
      </c>
      <c r="M2617" t="n">
        <v>4</v>
      </c>
      <c r="N2617" t="n">
        <v>100</v>
      </c>
      <c r="O2617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 hidden="1">
      <c r="A2654" s="11" t="n">
        <v>46084</v>
      </c>
      <c r="B2654" t="inlineStr">
        <is>
          <t>Matheus Farias De Souza</t>
        </is>
      </c>
      <c r="C2654" t="inlineStr">
        <is>
          <t>Técnico III</t>
        </is>
      </c>
      <c r="D2654" t="n">
        <v>32</v>
      </c>
      <c r="E2654" t="n">
        <v>30</v>
      </c>
      <c r="F2654" t="n">
        <v>19.1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M2654" t="n">
        <v>31</v>
      </c>
      <c r="N2654" t="n">
        <v>98.86</v>
      </c>
      <c r="O2654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46112</v>
      </c>
      <c r="B2656" t="inlineStr">
        <is>
          <t>Michelle G Santos</t>
        </is>
      </c>
      <c r="C2656" s="3" t="inlineStr">
        <is>
          <t>Estágio</t>
        </is>
      </c>
      <c r="D2656" s="3" t="n">
        <v>20</v>
      </c>
      <c r="E2656" s="3" t="n">
        <v>19</v>
      </c>
      <c r="F2656" s="3" t="n">
        <v>27.18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IF(K2656&lt;-5,"CRÍTICO",IF(K2656&lt;0,"ATENÇÃO",IF(K2656&lt;=5,"OPORTUNO","MUITO BOM")))</f>
        <v/>
      </c>
      <c r="M2656" s="3" t="n">
        <v>7</v>
      </c>
      <c r="N2656" s="3" t="n">
        <v>95.83</v>
      </c>
      <c r="O2656" s="3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>
      <c r="A2661" s="11" t="n">
        <v>46112</v>
      </c>
      <c r="B2661" t="inlineStr">
        <is>
          <t>Quirino Diogo Leite Torres</t>
        </is>
      </c>
      <c r="C2661" t="inlineStr">
        <is>
          <t>Estágio</t>
        </is>
      </c>
      <c r="D2661" t="n">
        <v>8</v>
      </c>
      <c r="E2661" t="n">
        <v>6</v>
      </c>
      <c r="F2661" t="n">
        <v>34.04</v>
      </c>
      <c r="G2661" t="n">
        <v>0</v>
      </c>
      <c r="H2661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IF(K2661&lt;-5,"CRÍTICO",IF(K2661&lt;0,"ATENÇÃO",IF(K2661&lt;=5,"OPORTUNO","MUITO BOM")))</f>
        <v/>
      </c>
      <c r="M2661" t="n">
        <v>3</v>
      </c>
      <c r="N2661" t="n">
        <v>100</v>
      </c>
      <c r="O2661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 hidden="1">
      <c r="A2698" s="11" t="n">
        <v>46085</v>
      </c>
      <c r="B2698" t="inlineStr">
        <is>
          <t>Matheus Farias De Souza</t>
        </is>
      </c>
      <c r="C2698" t="inlineStr">
        <is>
          <t>Técnico III</t>
        </is>
      </c>
      <c r="D2698" t="n">
        <v>11</v>
      </c>
      <c r="E2698" t="n">
        <v>11</v>
      </c>
      <c r="F2698" t="n">
        <v>24.12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M2698" t="n">
        <v>38</v>
      </c>
      <c r="N2698" t="n">
        <v>98.86</v>
      </c>
      <c r="O2698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46113</v>
      </c>
      <c r="B2700" t="inlineStr">
        <is>
          <t>Michelle G Santos</t>
        </is>
      </c>
      <c r="C2700" s="3" t="inlineStr">
        <is>
          <t>Estágio</t>
        </is>
      </c>
      <c r="D2700" s="3" t="n">
        <v>18</v>
      </c>
      <c r="E2700" s="3" t="n">
        <v>16</v>
      </c>
      <c r="F2700" s="3" t="n">
        <v>22.36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IF(K2700&lt;-5,"CRÍTICO",IF(K2700&lt;0,"ATENÇÃO",IF(K2700&lt;=5,"OPORTUNO","MUITO BOM")))</f>
        <v/>
      </c>
      <c r="M2700" s="3" t="n">
        <v>9</v>
      </c>
      <c r="N2700" s="3" t="n">
        <v>100</v>
      </c>
      <c r="O2700" s="3" t="n">
        <v>23.77622377622378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>
      <c r="A2705" s="11" t="n">
        <v>46113</v>
      </c>
      <c r="B2705" t="inlineStr">
        <is>
          <t>Quirino Diogo Leite Torres</t>
        </is>
      </c>
      <c r="C2705" t="inlineStr">
        <is>
          <t>Estágio</t>
        </is>
      </c>
      <c r="D2705" t="n">
        <v>10</v>
      </c>
      <c r="E2705" t="n">
        <v>10</v>
      </c>
      <c r="F2705" t="n">
        <v>25.37</v>
      </c>
      <c r="G2705" t="n">
        <v>0</v>
      </c>
      <c r="H2705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IF(K2705&lt;-5,"CRÍTICO",IF(K2705&lt;0,"ATENÇÃO",IF(K2705&lt;=5,"OPORTUNO","MUITO BOM")))</f>
        <v/>
      </c>
      <c r="M2705" t="n">
        <v>9</v>
      </c>
      <c r="N2705" t="n">
        <v>94.12</v>
      </c>
      <c r="O2705" t="n">
        <v>32.8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 hidden="1">
      <c r="A2742" s="11" t="n">
        <v>46086</v>
      </c>
      <c r="B2742" t="inlineStr">
        <is>
          <t>Matheus Farias De Souza</t>
        </is>
      </c>
      <c r="C2742" t="inlineStr">
        <is>
          <t>Técnico III</t>
        </is>
      </c>
      <c r="D2742" t="n">
        <v>7</v>
      </c>
      <c r="E2742" t="n">
        <v>7</v>
      </c>
      <c r="F2742" t="n">
        <v>10.57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M2742" t="n">
        <v>52</v>
      </c>
      <c r="N2742" t="n">
        <v>98.86</v>
      </c>
      <c r="O2742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46114</v>
      </c>
      <c r="B2744" t="inlineStr">
        <is>
          <t>Michelle G Santos</t>
        </is>
      </c>
      <c r="C2744" s="3" t="inlineStr">
        <is>
          <t>Estágio</t>
        </is>
      </c>
      <c r="D2744" s="3" t="n">
        <v>18</v>
      </c>
      <c r="E2744" s="3" t="n">
        <v>18</v>
      </c>
      <c r="F2744" s="3" t="n">
        <v>24.05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11</v>
      </c>
      <c r="N2744" s="3" t="n">
        <v>100</v>
      </c>
      <c r="O2744" s="3" t="n">
        <v>23.77622377622378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>
      <c r="A2749" s="11" t="n">
        <v>46114</v>
      </c>
      <c r="B2749" t="inlineStr">
        <is>
          <t>Quirino Diogo Leite Torres</t>
        </is>
      </c>
      <c r="C2749" t="inlineStr">
        <is>
          <t>Estágio</t>
        </is>
      </c>
      <c r="D2749" t="n">
        <v>8</v>
      </c>
      <c r="E2749" t="n">
        <v>7</v>
      </c>
      <c r="F2749" t="n">
        <v>27.17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t="n">
        <v>3</v>
      </c>
      <c r="N2749" t="n">
        <v>94.12</v>
      </c>
      <c r="O2749" t="n">
        <v>32.8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 hidden="1">
      <c r="A2786" s="11" t="n">
        <v>46087</v>
      </c>
      <c r="B2786" t="inlineStr">
        <is>
          <t>Matheus Farias De Souza</t>
        </is>
      </c>
      <c r="C2786" t="inlineStr">
        <is>
          <t>Técnico III</t>
        </is>
      </c>
      <c r="D2786" t="n">
        <v>11</v>
      </c>
      <c r="E2786" t="n">
        <v>10</v>
      </c>
      <c r="F2786" t="n">
        <v>18.29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t="n">
        <v>48</v>
      </c>
      <c r="N2786" t="n">
        <v>98.86</v>
      </c>
      <c r="O278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46115</v>
      </c>
      <c r="B2788" t="inlineStr">
        <is>
          <t>Michelle G Santos</t>
        </is>
      </c>
      <c r="C2788" s="3" t="inlineStr">
        <is>
          <t>Estágio</t>
        </is>
      </c>
      <c r="D2788" s="3" t="n">
        <v>0</v>
      </c>
      <c r="E2788" s="3" t="n">
        <v>0</v>
      </c>
      <c r="F2788" s="3" t="n">
        <v>0</v>
      </c>
      <c r="G2788" s="3" t="n">
        <v>0</v>
      </c>
      <c r="H2788" s="3" t="n">
        <v>0</v>
      </c>
      <c r="I2788" s="3" t="n">
        <v>0</v>
      </c>
      <c r="J2788" s="3" t="n">
        <v>0</v>
      </c>
      <c r="K2788" s="3" t="n">
        <v>0</v>
      </c>
      <c r="L2788" s="3">
        <f>IF(K2788&lt;-5,"CRÍTICO",IF(K2788&lt;0,"ATENÇÃO",IF(K2788&lt;=5,"OPORTUNO","MUITO BOM")))</f>
        <v/>
      </c>
      <c r="M2788" s="3" t="n">
        <v>0</v>
      </c>
      <c r="N2788" s="3" t="n">
        <v>100</v>
      </c>
      <c r="O2788" s="3" t="n">
        <v>23.77622377622378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>
      <c r="A2793" s="11" t="n">
        <v>46115</v>
      </c>
      <c r="B2793" t="inlineStr">
        <is>
          <t>Quirino Diogo Leite Torres</t>
        </is>
      </c>
      <c r="C2793" t="inlineStr">
        <is>
          <t>Estágio</t>
        </is>
      </c>
      <c r="D2793" t="n">
        <v>0</v>
      </c>
      <c r="E2793" t="n">
        <v>0</v>
      </c>
      <c r="F2793" t="n">
        <v>0</v>
      </c>
      <c r="G2793" t="n">
        <v>0</v>
      </c>
      <c r="H279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t="n">
        <v>0</v>
      </c>
      <c r="N2793" t="n">
        <v>94.12</v>
      </c>
      <c r="O2793" t="n">
        <v>32.8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 hidden="1">
      <c r="A2830" s="11" t="n">
        <v>46090</v>
      </c>
      <c r="B2830" t="inlineStr">
        <is>
          <t>Matheus Farias De Souza</t>
        </is>
      </c>
      <c r="C2830" t="inlineStr">
        <is>
          <t>Técnico III</t>
        </is>
      </c>
      <c r="D2830" t="n">
        <v>35</v>
      </c>
      <c r="E2830" t="n">
        <v>35</v>
      </c>
      <c r="F2830" t="n">
        <v>20.02</v>
      </c>
      <c r="G2830" t="n">
        <v>0</v>
      </c>
      <c r="H2830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t="n">
        <v>30</v>
      </c>
      <c r="N2830" t="n">
        <v>98.86</v>
      </c>
      <c r="O2830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46118</v>
      </c>
      <c r="B2832" t="inlineStr">
        <is>
          <t>Michelle G Santos</t>
        </is>
      </c>
      <c r="C2832" s="3" t="inlineStr">
        <is>
          <t>Estágio</t>
        </is>
      </c>
      <c r="D2832" s="3" t="n">
        <v>7</v>
      </c>
      <c r="E2832" s="3" t="n">
        <v>5</v>
      </c>
      <c r="F2832" s="3" t="n">
        <v>20.12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4</v>
      </c>
      <c r="N2832" s="3" t="n">
        <v>100</v>
      </c>
      <c r="O2832" s="3" t="n">
        <v>23.77622377622378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>
      <c r="A2837" s="11" t="n">
        <v>46118</v>
      </c>
      <c r="B2837" t="inlineStr">
        <is>
          <t>Quirino Diogo Leite Torres</t>
        </is>
      </c>
      <c r="C2837" t="inlineStr">
        <is>
          <t>Estágio</t>
        </is>
      </c>
      <c r="D2837" t="n">
        <v>9</v>
      </c>
      <c r="E2837" t="n">
        <v>9</v>
      </c>
      <c r="F2837" t="n">
        <v>19.05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t="n">
        <v>4</v>
      </c>
      <c r="N2837" t="n">
        <v>94.12</v>
      </c>
      <c r="O2837" t="n">
        <v>32.8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 hidden="1">
      <c r="A2874" s="11" t="n">
        <v>46091</v>
      </c>
      <c r="B2874" t="inlineStr">
        <is>
          <t>Matheus Farias De Souza</t>
        </is>
      </c>
      <c r="C2874" t="inlineStr">
        <is>
          <t>Técnico III</t>
        </is>
      </c>
      <c r="D2874" t="n">
        <v>25</v>
      </c>
      <c r="E2874" t="n">
        <v>24</v>
      </c>
      <c r="F2874" t="n">
        <v>18.29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t="n">
        <v>22</v>
      </c>
      <c r="N2874" t="n">
        <v>98.86</v>
      </c>
      <c r="O2874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46119</v>
      </c>
      <c r="B2876" t="inlineStr">
        <is>
          <t>Michelle G Santos</t>
        </is>
      </c>
      <c r="C2876" s="3" t="inlineStr">
        <is>
          <t>Estágio</t>
        </is>
      </c>
      <c r="D2876" s="3" t="n">
        <v>11</v>
      </c>
      <c r="E2876" s="3" t="n">
        <v>10</v>
      </c>
      <c r="F2876" s="3" t="n">
        <v>17.02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9</v>
      </c>
      <c r="N2876" s="3" t="n">
        <v>100</v>
      </c>
      <c r="O2876" s="3" t="n">
        <v>23.77622377622378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>
      <c r="A2881" s="11" t="n">
        <v>46119</v>
      </c>
      <c r="B2881" t="inlineStr">
        <is>
          <t>Quirino Diogo Leite Torres</t>
        </is>
      </c>
      <c r="C2881" t="inlineStr">
        <is>
          <t>Estágio</t>
        </is>
      </c>
      <c r="D2881" t="n">
        <v>10</v>
      </c>
      <c r="E2881" t="n">
        <v>9</v>
      </c>
      <c r="F2881" t="n">
        <v>18.21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t="n">
        <v>5</v>
      </c>
      <c r="N2881" t="n">
        <v>94.12</v>
      </c>
      <c r="O2881" t="n">
        <v>32.8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 hidden="1">
      <c r="A2918" s="11" t="n">
        <v>46092</v>
      </c>
      <c r="B2918" t="inlineStr">
        <is>
          <t>Matheus Farias De Souza</t>
        </is>
      </c>
      <c r="C2918" t="inlineStr">
        <is>
          <t>Técnico III</t>
        </is>
      </c>
      <c r="D2918" t="n">
        <v>39</v>
      </c>
      <c r="E2918" t="n">
        <v>36</v>
      </c>
      <c r="F2918" t="n">
        <v>17.07</v>
      </c>
      <c r="G2918" t="n">
        <v>0</v>
      </c>
      <c r="H2918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t="n">
        <v>33</v>
      </c>
      <c r="N2918" t="n">
        <v>98.86</v>
      </c>
      <c r="O2918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46120</v>
      </c>
      <c r="B2920" t="inlineStr">
        <is>
          <t>Michelle G Santos</t>
        </is>
      </c>
      <c r="C2920" s="3" t="inlineStr">
        <is>
          <t>Estágio</t>
        </is>
      </c>
      <c r="D2920" s="3" t="n">
        <v>6</v>
      </c>
      <c r="E2920" s="3" t="n">
        <v>5</v>
      </c>
      <c r="F2920" s="3" t="n">
        <v>20.09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2</v>
      </c>
      <c r="N2920" s="3" t="n">
        <v>100</v>
      </c>
      <c r="O2920" s="3" t="n">
        <v>23.77622377622378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>
      <c r="A2925" s="11" t="n">
        <v>46120</v>
      </c>
      <c r="B2925" t="inlineStr">
        <is>
          <t>Quirino Diogo Leite Torres</t>
        </is>
      </c>
      <c r="C2925" t="inlineStr">
        <is>
          <t>Estágio</t>
        </is>
      </c>
      <c r="D2925" t="n">
        <v>6</v>
      </c>
      <c r="E2925" t="n">
        <v>6</v>
      </c>
      <c r="F2925" t="n">
        <v>30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t="n">
        <v>7</v>
      </c>
      <c r="N2925" t="n">
        <v>94.12</v>
      </c>
      <c r="O2925" t="n">
        <v>32.8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 hidden="1">
      <c r="A2962" s="11" t="n">
        <v>46093</v>
      </c>
      <c r="B2962" t="inlineStr">
        <is>
          <t>Matheus Farias De Souza</t>
        </is>
      </c>
      <c r="C2962" t="inlineStr">
        <is>
          <t>Técnico III</t>
        </is>
      </c>
      <c r="D2962" t="n">
        <v>25</v>
      </c>
      <c r="E2962" t="n">
        <v>25</v>
      </c>
      <c r="F2962" t="n">
        <v>20.52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t="n">
        <v>22</v>
      </c>
      <c r="N2962" t="n">
        <v>98.86</v>
      </c>
      <c r="O2962" t="n">
        <v>28.95927601809955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46121</v>
      </c>
      <c r="B2964" t="inlineStr">
        <is>
          <t>Michelle G Santos</t>
        </is>
      </c>
      <c r="C2964" s="3" t="inlineStr">
        <is>
          <t>Estágio</t>
        </is>
      </c>
      <c r="D2964" s="3" t="n">
        <v>13</v>
      </c>
      <c r="E2964" s="3" t="n">
        <v>12</v>
      </c>
      <c r="F2964" s="3" t="n">
        <v>24.15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8</v>
      </c>
      <c r="N2964" s="3" t="n">
        <v>100</v>
      </c>
      <c r="O2964" s="3" t="n">
        <v>23.77622377622378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>
      <c r="A2969" s="11" t="n">
        <v>46121</v>
      </c>
      <c r="B2969" t="inlineStr">
        <is>
          <t>Quirino Diogo Leite Torres</t>
        </is>
      </c>
      <c r="C2969" t="inlineStr">
        <is>
          <t>Estágio</t>
        </is>
      </c>
      <c r="D2969" t="n">
        <v>6</v>
      </c>
      <c r="E2969" t="n">
        <v>6</v>
      </c>
      <c r="F2969" t="n">
        <v>27.12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t="n">
        <v>4</v>
      </c>
      <c r="N2969" t="n">
        <v>94.12</v>
      </c>
      <c r="O2969" t="n">
        <v>32.8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 hidden="1">
      <c r="A3006" s="11" t="n">
        <v>46094</v>
      </c>
      <c r="B3006" t="inlineStr">
        <is>
          <t>Matheus Farias De Souza</t>
        </is>
      </c>
      <c r="C3006" t="inlineStr">
        <is>
          <t>Técnico III</t>
        </is>
      </c>
      <c r="D3006" t="n">
        <v>18</v>
      </c>
      <c r="E3006" t="n">
        <v>17</v>
      </c>
      <c r="F3006" t="n">
        <v>22.09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t="n">
        <v>22</v>
      </c>
      <c r="N3006" t="n">
        <v>98.86</v>
      </c>
      <c r="O3006" t="n">
        <v>28.95927601809955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46122</v>
      </c>
      <c r="B3008" t="inlineStr">
        <is>
          <t>Michelle G Santos</t>
        </is>
      </c>
      <c r="C3008" s="3" t="inlineStr">
        <is>
          <t>Estágio</t>
        </is>
      </c>
      <c r="D3008" s="3" t="n">
        <v>16</v>
      </c>
      <c r="E3008" s="3" t="n">
        <v>16</v>
      </c>
      <c r="F3008" s="3" t="n">
        <v>23.2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10</v>
      </c>
      <c r="N3008" s="3" t="n">
        <v>100</v>
      </c>
      <c r="O3008" s="3" t="n">
        <v>23.77622377622378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>
      <c r="A3013" s="11" t="n">
        <v>46122</v>
      </c>
      <c r="B3013" t="inlineStr">
        <is>
          <t>Quirino Diogo Leite Torres</t>
        </is>
      </c>
      <c r="C3013" t="inlineStr">
        <is>
          <t>Estágio</t>
        </is>
      </c>
      <c r="D3013" t="n">
        <v>9</v>
      </c>
      <c r="E3013" t="n">
        <v>7</v>
      </c>
      <c r="F3013" t="n">
        <v>24.15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t="n">
        <v>6</v>
      </c>
      <c r="N3013" t="n">
        <v>94.12</v>
      </c>
      <c r="O3013" t="n">
        <v>32.8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 hidden="1">
      <c r="A3050" s="11" t="n">
        <v>46097</v>
      </c>
      <c r="B3050" t="inlineStr">
        <is>
          <t>Matheus Farias De Souza</t>
        </is>
      </c>
      <c r="C3050" t="inlineStr">
        <is>
          <t>Técnico III</t>
        </is>
      </c>
      <c r="D3050" t="n">
        <v>31</v>
      </c>
      <c r="E3050" t="n">
        <v>29</v>
      </c>
      <c r="F3050" t="n">
        <v>17.25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t="n">
        <v>31</v>
      </c>
      <c r="N3050" t="n">
        <v>98.86</v>
      </c>
      <c r="O3050" t="n">
        <v>28.95927601809955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46125</v>
      </c>
      <c r="B3052" t="inlineStr">
        <is>
          <t>Michelle G Santos</t>
        </is>
      </c>
      <c r="C3052" s="3" t="inlineStr">
        <is>
          <t>Estágio</t>
        </is>
      </c>
      <c r="D3052" s="3" t="n">
        <v>13</v>
      </c>
      <c r="E3052" s="3" t="n">
        <v>13</v>
      </c>
      <c r="F3052" s="3" t="n">
        <v>28.58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7</v>
      </c>
      <c r="N3052" s="3" t="n">
        <v>100</v>
      </c>
      <c r="O3052" s="3" t="n">
        <v>23.77622377622378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>
      <c r="A3057" s="11" t="n">
        <v>46125</v>
      </c>
      <c r="B3057" t="inlineStr">
        <is>
          <t>Quirino Diogo Leite Torres</t>
        </is>
      </c>
      <c r="C3057" t="inlineStr">
        <is>
          <t>Estágio</t>
        </is>
      </c>
      <c r="D3057" t="n">
        <v>3</v>
      </c>
      <c r="E3057" t="n">
        <v>3</v>
      </c>
      <c r="F3057" t="n">
        <v>50.24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t="n">
        <v>3</v>
      </c>
      <c r="N3057" t="n">
        <v>94.12</v>
      </c>
      <c r="O3057" t="n">
        <v>32.8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 hidden="1">
      <c r="A3094" s="11" t="n">
        <v>46098</v>
      </c>
      <c r="B3094" t="inlineStr">
        <is>
          <t>Matheus Farias De Souza</t>
        </is>
      </c>
      <c r="C3094" t="inlineStr">
        <is>
          <t>Técnico III</t>
        </is>
      </c>
      <c r="D3094" t="n">
        <v>34</v>
      </c>
      <c r="E3094" t="n">
        <v>32</v>
      </c>
      <c r="F3094" t="n">
        <v>17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t="n">
        <v>30</v>
      </c>
      <c r="N3094" t="n">
        <v>98.86</v>
      </c>
      <c r="O3094" t="n">
        <v>28.95927601809955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46126</v>
      </c>
      <c r="B3096" t="inlineStr">
        <is>
          <t>Michelle G Santos</t>
        </is>
      </c>
      <c r="C3096" s="3" t="inlineStr">
        <is>
          <t>Estágio</t>
        </is>
      </c>
      <c r="D3096" s="3" t="n">
        <v>0</v>
      </c>
      <c r="E3096" s="3" t="n">
        <v>0</v>
      </c>
      <c r="F3096" s="3" t="n">
        <v>0</v>
      </c>
      <c r="G3096" s="3" t="n">
        <v>0</v>
      </c>
      <c r="H3096" s="3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s="3" t="n">
        <v>0</v>
      </c>
      <c r="N3096" s="3" t="n">
        <v>100</v>
      </c>
      <c r="O3096" s="3" t="n">
        <v>23.77622377622378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>
      <c r="A3101" s="11" t="n">
        <v>46126</v>
      </c>
      <c r="B3101" t="inlineStr">
        <is>
          <t>Quirino Diogo Leite Torres</t>
        </is>
      </c>
      <c r="C3101" t="inlineStr">
        <is>
          <t>Estágio</t>
        </is>
      </c>
      <c r="D3101" t="n">
        <v>0</v>
      </c>
      <c r="E3101" t="n">
        <v>0</v>
      </c>
      <c r="F3101" t="n">
        <v>0</v>
      </c>
      <c r="G3101" t="n">
        <v>0</v>
      </c>
      <c r="H3101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t="n">
        <v>0</v>
      </c>
      <c r="N3101" t="n">
        <v>94.12</v>
      </c>
      <c r="O3101" t="n">
        <v>32.8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 hidden="1">
      <c r="A3138" s="11" t="n">
        <v>46099</v>
      </c>
      <c r="B3138" t="inlineStr">
        <is>
          <t>Matheus Farias De Souza</t>
        </is>
      </c>
      <c r="C3138" t="inlineStr">
        <is>
          <t>Técnico III</t>
        </is>
      </c>
      <c r="D3138" t="n">
        <v>32</v>
      </c>
      <c r="E3138" t="n">
        <v>31</v>
      </c>
      <c r="F3138" t="n">
        <v>17.18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t="n">
        <v>33</v>
      </c>
      <c r="N3138" t="n">
        <v>98.86</v>
      </c>
      <c r="O3138" t="n">
        <v>28.95927601809955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46127</v>
      </c>
      <c r="B3140" t="inlineStr">
        <is>
          <t>Michelle G Santos</t>
        </is>
      </c>
      <c r="C3140" s="3" t="inlineStr">
        <is>
          <t>Estágio</t>
        </is>
      </c>
      <c r="D3140" s="3" t="n">
        <v>19</v>
      </c>
      <c r="E3140" s="3" t="n">
        <v>19</v>
      </c>
      <c r="F3140" s="3" t="n">
        <v>30.04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15</v>
      </c>
      <c r="N3140" s="3" t="n">
        <v>100</v>
      </c>
      <c r="O3140" s="3" t="n">
        <v>23.77622377622378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>
      <c r="A3145" s="11" t="n">
        <v>46127</v>
      </c>
      <c r="B3145" t="inlineStr">
        <is>
          <t>Quirino Diogo Leite Torres</t>
        </is>
      </c>
      <c r="C3145" t="inlineStr">
        <is>
          <t>Estágio</t>
        </is>
      </c>
      <c r="D3145" t="n">
        <v>11</v>
      </c>
      <c r="E3145" t="n">
        <v>11</v>
      </c>
      <c r="F3145" t="n">
        <v>27.16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t="n">
        <v>10</v>
      </c>
      <c r="N3145" t="n">
        <v>94.12</v>
      </c>
      <c r="O3145" t="n">
        <v>32.8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 hidden="1">
      <c r="A3182" s="11" t="n">
        <v>46100</v>
      </c>
      <c r="B3182" t="inlineStr">
        <is>
          <t>Matheus Farias De Souza</t>
        </is>
      </c>
      <c r="C3182" t="inlineStr">
        <is>
          <t>Técnico III</t>
        </is>
      </c>
      <c r="D3182" t="n">
        <v>34</v>
      </c>
      <c r="E3182" t="n">
        <v>30</v>
      </c>
      <c r="F3182" t="n">
        <v>20.07</v>
      </c>
      <c r="G3182" t="n">
        <v>0</v>
      </c>
      <c r="H3182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t="n">
        <v>28</v>
      </c>
      <c r="N3182" t="n">
        <v>98.86</v>
      </c>
      <c r="O3182" t="n">
        <v>28.95927601809955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46128</v>
      </c>
      <c r="B3184" t="inlineStr">
        <is>
          <t>Michelle G Santos</t>
        </is>
      </c>
      <c r="C3184" s="3" t="inlineStr">
        <is>
          <t>Estágio</t>
        </is>
      </c>
      <c r="D3184" s="3" t="n">
        <v>18</v>
      </c>
      <c r="E3184" s="3" t="n">
        <v>16</v>
      </c>
      <c r="F3184" s="3" t="n">
        <v>25.32</v>
      </c>
      <c r="G3184" s="3" t="n">
        <v>0</v>
      </c>
      <c r="H3184" s="3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s="3" t="n">
        <v>11</v>
      </c>
      <c r="N3184" s="3" t="n">
        <v>100</v>
      </c>
      <c r="O3184" s="3" t="n">
        <v>23.77622377622378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>
      <c r="A3189" s="11" t="n">
        <v>46128</v>
      </c>
      <c r="B3189" t="inlineStr">
        <is>
          <t>Quirino Diogo Leite Torres</t>
        </is>
      </c>
      <c r="C3189" t="inlineStr">
        <is>
          <t>Estágio</t>
        </is>
      </c>
      <c r="D3189" t="n">
        <v>15</v>
      </c>
      <c r="E3189" t="n">
        <v>13</v>
      </c>
      <c r="F3189" t="n">
        <v>33.28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t="n">
        <v>9</v>
      </c>
      <c r="N3189" t="n">
        <v>94.12</v>
      </c>
      <c r="O3189" t="n">
        <v>32.8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 hidden="1">
      <c r="A3226" s="11" t="n">
        <v>46101</v>
      </c>
      <c r="B3226" t="inlineStr">
        <is>
          <t>Matheus Farias De Souza</t>
        </is>
      </c>
      <c r="C3226" t="inlineStr">
        <is>
          <t>Técnico III</t>
        </is>
      </c>
      <c r="D3226" t="n">
        <v>42</v>
      </c>
      <c r="E3226" t="n">
        <v>40</v>
      </c>
      <c r="F3226" t="n">
        <v>13.39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t="n">
        <v>32</v>
      </c>
      <c r="N3226" t="n">
        <v>98.86</v>
      </c>
      <c r="O3226" t="n">
        <v>28.95927601809955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46129</v>
      </c>
      <c r="B3228" t="inlineStr">
        <is>
          <t>Michelle G Santos</t>
        </is>
      </c>
      <c r="C3228" s="3" t="inlineStr">
        <is>
          <t>Estágio</t>
        </is>
      </c>
      <c r="D3228" s="3" t="n">
        <v>13</v>
      </c>
      <c r="E3228" s="3" t="n">
        <v>12</v>
      </c>
      <c r="F3228" s="3" t="n">
        <v>25.3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5</v>
      </c>
      <c r="N3228" s="3" t="n">
        <v>100</v>
      </c>
      <c r="O3228" s="3" t="n">
        <v>23.77622377622378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>
      <c r="A3233" s="11" t="n">
        <v>46129</v>
      </c>
      <c r="B3233" t="inlineStr">
        <is>
          <t>Quirino Diogo Leite Torres</t>
        </is>
      </c>
      <c r="C3233" t="inlineStr">
        <is>
          <t>Estágio</t>
        </is>
      </c>
      <c r="D3233" t="n">
        <v>16</v>
      </c>
      <c r="E3233" t="n">
        <v>14</v>
      </c>
      <c r="F3233" t="n">
        <v>30.56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t="n">
        <v>10</v>
      </c>
      <c r="N3233" t="n">
        <v>94.12</v>
      </c>
      <c r="O3233" t="n">
        <v>32.8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 hidden="1">
      <c r="A3270" s="11" t="n">
        <v>46104</v>
      </c>
      <c r="B3270" t="inlineStr">
        <is>
          <t>Matheus Farias De Souza</t>
        </is>
      </c>
      <c r="C3270" t="inlineStr">
        <is>
          <t>Técnico III</t>
        </is>
      </c>
      <c r="D3270" t="n">
        <v>21</v>
      </c>
      <c r="E3270" t="n">
        <v>20</v>
      </c>
      <c r="F3270" t="n">
        <v>19.08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t="n">
        <v>19</v>
      </c>
      <c r="N3270" t="n">
        <v>98.86</v>
      </c>
      <c r="O3270" t="n">
        <v>28.95927601809955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46132</v>
      </c>
      <c r="B3272" t="inlineStr">
        <is>
          <t>Michelle G Santos</t>
        </is>
      </c>
      <c r="C3272" s="3" t="inlineStr">
        <is>
          <t>Estágio</t>
        </is>
      </c>
      <c r="D3272" s="3" t="n">
        <v>0</v>
      </c>
      <c r="E3272" s="3" t="n">
        <v>0</v>
      </c>
      <c r="F3272" s="3" t="n">
        <v>0</v>
      </c>
      <c r="G3272" s="3" t="n">
        <v>0</v>
      </c>
      <c r="H3272" s="3" t="n">
        <v>0</v>
      </c>
      <c r="I3272" s="3" t="n">
        <v>0</v>
      </c>
      <c r="J3272" s="3" t="n">
        <v>0</v>
      </c>
      <c r="K3272" s="3" t="n">
        <v>0</v>
      </c>
      <c r="L3272" s="3">
        <f>IF(K3272&lt;-5,"CRÍTICO",IF(K3272&lt;0,"ATENÇÃO",IF(K3272&lt;=5,"OPORTUNO","MUITO BOM")))</f>
        <v/>
      </c>
      <c r="M3272" s="3" t="n">
        <v>0</v>
      </c>
      <c r="N3272" s="3" t="n">
        <v>100</v>
      </c>
      <c r="O3272" s="3" t="n">
        <v>23.77622377622378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>
      <c r="A3277" s="11" t="n">
        <v>46132</v>
      </c>
      <c r="B3277" t="inlineStr">
        <is>
          <t>Quirino Diogo Leite Torres</t>
        </is>
      </c>
      <c r="C3277" t="inlineStr">
        <is>
          <t>Estágio</t>
        </is>
      </c>
      <c r="D3277" t="n">
        <v>6</v>
      </c>
      <c r="E3277" t="n">
        <v>6</v>
      </c>
      <c r="F3277" t="n">
        <v>36.4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t="n">
        <v>5</v>
      </c>
      <c r="N3277" t="n">
        <v>94.12</v>
      </c>
      <c r="O3277" t="n">
        <v>32.8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5" t="n">
        <v>46160</v>
      </c>
      <c r="B3299" s="6" t="inlineStr">
        <is>
          <t>Luiz Fernando de Carvalho Junior</t>
        </is>
      </c>
      <c r="C3299" s="1" t="inlineStr">
        <is>
          <t>Técnico I</t>
        </is>
      </c>
      <c r="D3299" s="3" t="n">
        <v>21</v>
      </c>
      <c r="E3299" s="3" t="n">
        <v>20</v>
      </c>
      <c r="F3299" s="3" t="n">
        <v>17.02</v>
      </c>
      <c r="G3299" s="3" t="n">
        <v>2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20</v>
      </c>
      <c r="N3299" s="3" t="n">
        <v>94.55</v>
      </c>
      <c r="O3299" s="3" t="n">
        <v>23.45013477088949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 hidden="1">
      <c r="A3314" s="11" t="n">
        <v>46105</v>
      </c>
      <c r="B3314" t="inlineStr">
        <is>
          <t>Matheus Farias De Souza</t>
        </is>
      </c>
      <c r="C3314" t="inlineStr">
        <is>
          <t>Técnico III</t>
        </is>
      </c>
      <c r="D3314" t="n">
        <v>24</v>
      </c>
      <c r="E3314" t="n">
        <v>22</v>
      </c>
      <c r="F3314" t="n">
        <v>15.5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t="n">
        <v>19</v>
      </c>
      <c r="N3314" t="n">
        <v>98.86</v>
      </c>
      <c r="O3314" t="n">
        <v>28.95927601809955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46133</v>
      </c>
      <c r="B3316" t="inlineStr">
        <is>
          <t>Michelle G Santos</t>
        </is>
      </c>
      <c r="C3316" s="3" t="inlineStr">
        <is>
          <t>Estágio</t>
        </is>
      </c>
      <c r="D3316" s="3" t="n">
        <v>0</v>
      </c>
      <c r="E3316" s="3" t="n">
        <v>0</v>
      </c>
      <c r="F3316" s="3" t="n">
        <v>0</v>
      </c>
      <c r="G3316" s="3" t="n">
        <v>0</v>
      </c>
      <c r="H3316" s="3" t="n">
        <v>0</v>
      </c>
      <c r="I3316" s="3" t="n">
        <v>0</v>
      </c>
      <c r="J3316" s="3" t="n">
        <v>0</v>
      </c>
      <c r="K3316" s="3" t="n">
        <v>0</v>
      </c>
      <c r="M3316" s="3" t="n">
        <v>0</v>
      </c>
      <c r="N3316" s="3" t="n">
        <v>100</v>
      </c>
      <c r="O3316" s="3" t="n">
        <v>23.77622377622378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>
      <c r="A3321" s="11" t="n">
        <v>46133</v>
      </c>
      <c r="B3321" t="inlineStr">
        <is>
          <t>Quirino Diogo Leite Torres</t>
        </is>
      </c>
      <c r="C3321" t="inlineStr">
        <is>
          <t>Estágio</t>
        </is>
      </c>
      <c r="D3321" t="n">
        <v>0</v>
      </c>
      <c r="E3321" t="n">
        <v>0</v>
      </c>
      <c r="F3321" t="n">
        <v>0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  <c r="M3321" t="n">
        <v>0</v>
      </c>
      <c r="N3321" t="n">
        <v>94.12</v>
      </c>
      <c r="O3321" t="n">
        <v>32.8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5" t="n">
        <v>46160</v>
      </c>
      <c r="B3343" s="6" t="inlineStr">
        <is>
          <t>Raane Batista Matos</t>
        </is>
      </c>
      <c r="C3343" s="1" t="inlineStr">
        <is>
          <t>Técnico I</t>
        </is>
      </c>
      <c r="D3343" s="3" t="n">
        <v>28</v>
      </c>
      <c r="E3343" s="3" t="n">
        <v>25</v>
      </c>
      <c r="F3343" s="3" t="n">
        <v>14.02</v>
      </c>
      <c r="G3343" s="3" t="n">
        <v>1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20</v>
      </c>
      <c r="N3343" s="3" t="n">
        <v>98</v>
      </c>
      <c r="O3343" s="3" t="n">
        <v>20.73490813648294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 hidden="1">
      <c r="A3358" s="11" t="n">
        <v>46106</v>
      </c>
      <c r="B3358" t="inlineStr">
        <is>
          <t>Matheus Farias De Souza</t>
        </is>
      </c>
      <c r="C3358" t="inlineStr">
        <is>
          <t>Técnico III</t>
        </is>
      </c>
      <c r="D3358" t="n">
        <v>32</v>
      </c>
      <c r="E3358" t="n">
        <v>30</v>
      </c>
      <c r="F3358" t="n">
        <v>14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t="n">
        <v>27</v>
      </c>
      <c r="N3358" t="n">
        <v>98.86</v>
      </c>
      <c r="O3358" t="n">
        <v>28.95927601809955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46134</v>
      </c>
      <c r="B3360" t="inlineStr">
        <is>
          <t>Michelle G Santos</t>
        </is>
      </c>
      <c r="C3360" s="3" t="inlineStr">
        <is>
          <t>Estágio</t>
        </is>
      </c>
      <c r="D3360" s="3" t="n">
        <v>21</v>
      </c>
      <c r="E3360" s="3" t="n">
        <v>18</v>
      </c>
      <c r="F3360" s="3" t="n">
        <v>16.5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9</v>
      </c>
      <c r="N3360" s="3" t="n">
        <v>100</v>
      </c>
      <c r="O3360" s="3" t="n">
        <v>23.77622377622378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>
      <c r="A3365" s="11" t="n">
        <v>46134</v>
      </c>
      <c r="B3365" t="inlineStr">
        <is>
          <t>Quirino Diogo Leite Torres</t>
        </is>
      </c>
      <c r="C3365" t="inlineStr">
        <is>
          <t>Estágio</t>
        </is>
      </c>
      <c r="D3365" t="n">
        <v>7</v>
      </c>
      <c r="E3365" t="n">
        <v>7</v>
      </c>
      <c r="F3365" t="n">
        <v>30.53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t="n">
        <v>5</v>
      </c>
      <c r="N3365" t="n">
        <v>94.12</v>
      </c>
      <c r="O3365" t="n">
        <v>32.8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5" t="n">
        <v>46160</v>
      </c>
      <c r="B3387" s="6" t="inlineStr">
        <is>
          <t>Sara Maria Monteiro Lopes</t>
        </is>
      </c>
      <c r="C3387" s="1" t="inlineStr">
        <is>
          <t>Técnico I</t>
        </is>
      </c>
      <c r="D3387" s="3" t="n">
        <v>23</v>
      </c>
      <c r="E3387" s="3" t="n">
        <v>19</v>
      </c>
      <c r="F3387" s="3" t="n">
        <v>23.58</v>
      </c>
      <c r="G3387" s="3" t="n">
        <v>3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18</v>
      </c>
      <c r="N3387" s="3" t="n">
        <v>100</v>
      </c>
      <c r="O3387" s="3" t="n">
        <v>18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 hidden="1">
      <c r="A3402" s="11" t="n">
        <v>46107</v>
      </c>
      <c r="B3402" t="inlineStr">
        <is>
          <t>Matheus Farias De Souza</t>
        </is>
      </c>
      <c r="C3402" t="inlineStr">
        <is>
          <t>Técnico III</t>
        </is>
      </c>
      <c r="D3402" t="n">
        <v>23</v>
      </c>
      <c r="E3402" t="n">
        <v>22</v>
      </c>
      <c r="F3402" t="n">
        <v>17.34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t="n">
        <v>23</v>
      </c>
      <c r="N3402" t="n">
        <v>98.86</v>
      </c>
      <c r="O3402" t="n">
        <v>28.95927601809955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46135</v>
      </c>
      <c r="B3404" t="inlineStr">
        <is>
          <t>Michelle G Santos</t>
        </is>
      </c>
      <c r="C3404" s="3" t="inlineStr">
        <is>
          <t>Estágio</t>
        </is>
      </c>
      <c r="D3404" s="3" t="n">
        <v>12</v>
      </c>
      <c r="E3404" s="3" t="n">
        <v>12</v>
      </c>
      <c r="F3404" s="3" t="n">
        <v>23.38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7</v>
      </c>
      <c r="N3404" s="3" t="n">
        <v>100</v>
      </c>
      <c r="O3404" s="3" t="n">
        <v>23.77622377622378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>
      <c r="A3409" s="11" t="n">
        <v>46135</v>
      </c>
      <c r="B3409" t="inlineStr">
        <is>
          <t>Quirino Diogo Leite Torres</t>
        </is>
      </c>
      <c r="C3409" t="inlineStr">
        <is>
          <t>Estágio</t>
        </is>
      </c>
      <c r="D3409" t="n">
        <v>5</v>
      </c>
      <c r="E3409" t="n">
        <v>5</v>
      </c>
      <c r="F3409" t="n">
        <v>23.21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t="n">
        <v>4</v>
      </c>
      <c r="N3409" t="n">
        <v>94.12</v>
      </c>
      <c r="O3409" t="n">
        <v>32.8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5" t="n">
        <v>46160</v>
      </c>
      <c r="B3431" s="6" t="inlineStr">
        <is>
          <t>Gabriel Gomes de Andrade</t>
        </is>
      </c>
      <c r="C3431" s="1" t="inlineStr">
        <is>
          <t>Técnico I</t>
        </is>
      </c>
      <c r="D3431" s="3" t="n">
        <v>21</v>
      </c>
      <c r="E3431" s="3" t="n">
        <v>18</v>
      </c>
      <c r="F3431" s="3" t="n">
        <v>20.22</v>
      </c>
      <c r="G3431" s="3" t="n">
        <v>6</v>
      </c>
      <c r="H3431" s="3" t="n">
        <v>1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99.06</v>
      </c>
      <c r="O3431" s="3" t="n">
        <v>19.41747572815534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 hidden="1">
      <c r="A3446" s="11" t="n">
        <v>46108</v>
      </c>
      <c r="B3446" t="inlineStr">
        <is>
          <t>Matheus Farias De Souza</t>
        </is>
      </c>
      <c r="C3446" t="inlineStr">
        <is>
          <t>Técnico III</t>
        </is>
      </c>
      <c r="D3446" t="n">
        <v>29</v>
      </c>
      <c r="E3446" t="n">
        <v>27</v>
      </c>
      <c r="F3446" t="n">
        <v>14.01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t="n">
        <v>24</v>
      </c>
      <c r="N3446" t="n">
        <v>98.86</v>
      </c>
      <c r="O3446" t="n">
        <v>28.95927601809955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46136</v>
      </c>
      <c r="B3448" t="inlineStr">
        <is>
          <t>Michelle G Santos</t>
        </is>
      </c>
      <c r="C3448" s="3" t="inlineStr">
        <is>
          <t>Estágio</t>
        </is>
      </c>
      <c r="D3448" s="3" t="n">
        <v>3</v>
      </c>
      <c r="E3448" s="3" t="n">
        <v>3</v>
      </c>
      <c r="F3448" s="3" t="n">
        <v>30.4</v>
      </c>
      <c r="G3448" s="3" t="n">
        <v>0</v>
      </c>
      <c r="H3448" s="3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s="3" t="n">
        <v>3</v>
      </c>
      <c r="N3448" s="3" t="n">
        <v>100</v>
      </c>
      <c r="O3448" s="3" t="n">
        <v>23.77622377622378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>
      <c r="A3453" s="11" t="n">
        <v>46136</v>
      </c>
      <c r="B3453" t="inlineStr">
        <is>
          <t>Quirino Diogo Leite Torres</t>
        </is>
      </c>
      <c r="C3453" t="inlineStr">
        <is>
          <t>Estágio</t>
        </is>
      </c>
      <c r="D3453" t="n">
        <v>9</v>
      </c>
      <c r="E3453" t="n">
        <v>9</v>
      </c>
      <c r="F3453" t="n">
        <v>20.05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t="n">
        <v>4</v>
      </c>
      <c r="N3453" t="n">
        <v>94.12</v>
      </c>
      <c r="O3453" t="n">
        <v>32.8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7" t="n">
        <v>46161</v>
      </c>
      <c r="B3475" s="8" t="inlineStr">
        <is>
          <t>Amanda Moura Ferreira</t>
        </is>
      </c>
      <c r="C3475" s="14" t="inlineStr">
        <is>
          <t>Técnico III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0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 hidden="1">
      <c r="A3490" s="11" t="n">
        <v>46111</v>
      </c>
      <c r="B3490" t="inlineStr">
        <is>
          <t>Matheus Farias De Souza</t>
        </is>
      </c>
      <c r="C3490" t="inlineStr">
        <is>
          <t>Técnico III</t>
        </is>
      </c>
      <c r="D3490" t="n">
        <v>35</v>
      </c>
      <c r="E3490" t="n">
        <v>31</v>
      </c>
      <c r="F3490" t="n">
        <v>15.5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t="n">
        <v>33</v>
      </c>
      <c r="N3490" t="n">
        <v>98.86</v>
      </c>
      <c r="O3490" t="n">
        <v>28.95927601809955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46139</v>
      </c>
      <c r="B3492" t="inlineStr">
        <is>
          <t>Michelle G Santos</t>
        </is>
      </c>
      <c r="C3492" s="3" t="inlineStr">
        <is>
          <t>Estágio</t>
        </is>
      </c>
      <c r="D3492" s="3" t="n">
        <v>6</v>
      </c>
      <c r="E3492" s="3" t="n">
        <v>6</v>
      </c>
      <c r="F3492" s="3" t="n">
        <v>26.47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5</v>
      </c>
      <c r="N3492" s="3" t="n">
        <v>100</v>
      </c>
      <c r="O3492" s="3" t="n">
        <v>23.77622377622378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>
      <c r="A3497" s="11" t="n">
        <v>46139</v>
      </c>
      <c r="B3497" t="inlineStr">
        <is>
          <t>Quirino Diogo Leite Torres</t>
        </is>
      </c>
      <c r="C3497" t="inlineStr">
        <is>
          <t>Estágio</t>
        </is>
      </c>
      <c r="D3497" t="n">
        <v>5</v>
      </c>
      <c r="E3497" t="n">
        <v>4</v>
      </c>
      <c r="F3497" t="n">
        <v>21.5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t="n">
        <v>4</v>
      </c>
      <c r="N3497" t="n">
        <v>94.12</v>
      </c>
      <c r="O3497" t="n">
        <v>32.8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7" t="n">
        <v>46161</v>
      </c>
      <c r="B3519" s="8" t="inlineStr">
        <is>
          <t>Ana Paula Da Luz Silva Aleixo</t>
        </is>
      </c>
      <c r="C3519" s="14" t="inlineStr">
        <is>
          <t>Técnico III</t>
        </is>
      </c>
      <c r="D3519" s="3" t="n">
        <v>22</v>
      </c>
      <c r="E3519" s="3" t="n">
        <v>19</v>
      </c>
      <c r="F3519" s="3" t="n">
        <v>20.44</v>
      </c>
      <c r="G3519" s="3" t="n">
        <v>1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16</v>
      </c>
      <c r="N3519" s="3" t="n">
        <v>96.94</v>
      </c>
      <c r="O3519" s="3" t="n">
        <v>19.61325966850829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 hidden="1">
      <c r="A3534" s="11" t="n">
        <v>46112</v>
      </c>
      <c r="B3534" t="inlineStr">
        <is>
          <t>Matheus Farias De Souza</t>
        </is>
      </c>
      <c r="C3534" t="inlineStr">
        <is>
          <t>Técnico III</t>
        </is>
      </c>
      <c r="D3534" t="n">
        <v>34</v>
      </c>
      <c r="E3534" t="n">
        <v>30</v>
      </c>
      <c r="F3534" t="n">
        <v>15.39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t="n">
        <v>28</v>
      </c>
      <c r="N3534" t="n">
        <v>98.86</v>
      </c>
      <c r="O3534" t="n">
        <v>28.95927601809955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46140</v>
      </c>
      <c r="B3536" t="inlineStr">
        <is>
          <t>Michelle G Santos</t>
        </is>
      </c>
      <c r="C3536" s="3" t="inlineStr">
        <is>
          <t>Estágio</t>
        </is>
      </c>
      <c r="D3536" s="3" t="n">
        <v>13</v>
      </c>
      <c r="E3536" s="3" t="n">
        <v>13</v>
      </c>
      <c r="F3536" s="3" t="n">
        <v>25.28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10</v>
      </c>
      <c r="N3536" s="3" t="n">
        <v>100</v>
      </c>
      <c r="O3536" s="3" t="n">
        <v>23.77622377622378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>
      <c r="A3541" s="11" t="n">
        <v>46140</v>
      </c>
      <c r="B3541" t="inlineStr">
        <is>
          <t>Quirino Diogo Leite Torres</t>
        </is>
      </c>
      <c r="C3541" t="inlineStr">
        <is>
          <t>Estágio</t>
        </is>
      </c>
      <c r="D3541" t="n">
        <v>13</v>
      </c>
      <c r="E3541" t="n">
        <v>13</v>
      </c>
      <c r="F3541" t="n">
        <v>33.2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t="n">
        <v>9</v>
      </c>
      <c r="N3541" t="n">
        <v>94.12</v>
      </c>
      <c r="O3541" t="n">
        <v>32.8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 hidden="1">
      <c r="A3563" s="7" t="n">
        <v>46161</v>
      </c>
      <c r="B3563" s="8" t="inlineStr">
        <is>
          <t>Cristiane Ramos da Silva Rocha</t>
        </is>
      </c>
      <c r="C3563" s="14" t="inlineStr">
        <is>
          <t>Técnico III</t>
        </is>
      </c>
      <c r="D3563" s="3" t="n">
        <v>33</v>
      </c>
      <c r="E3563" s="3" t="n">
        <v>30</v>
      </c>
      <c r="F3563" s="3" t="n">
        <v>11.55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30</v>
      </c>
      <c r="N3563" s="3" t="n">
        <v>92.81</v>
      </c>
      <c r="O3563" s="3" t="n">
        <v>25.47770700636943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 hidden="1">
      <c r="A3578" s="11" t="n">
        <v>46113</v>
      </c>
      <c r="B3578" t="inlineStr">
        <is>
          <t>Matheus Farias De Souza</t>
        </is>
      </c>
      <c r="C3578" t="inlineStr">
        <is>
          <t>Técnico III</t>
        </is>
      </c>
      <c r="D3578" t="n">
        <v>50</v>
      </c>
      <c r="E3578" t="n">
        <v>48</v>
      </c>
      <c r="F3578" t="n">
        <v>12.04</v>
      </c>
      <c r="G3578" t="n">
        <v>0</v>
      </c>
      <c r="H3578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t="n">
        <v>47</v>
      </c>
      <c r="N3578" t="n">
        <v>100</v>
      </c>
      <c r="O3578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46141</v>
      </c>
      <c r="B3580" t="inlineStr">
        <is>
          <t>Michelle G Santos</t>
        </is>
      </c>
      <c r="C3580" s="3" t="inlineStr">
        <is>
          <t>Estágio</t>
        </is>
      </c>
      <c r="D3580" s="3" t="n">
        <v>19</v>
      </c>
      <c r="E3580" s="3" t="n">
        <v>15</v>
      </c>
      <c r="F3580" s="3" t="n">
        <v>21.55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11</v>
      </c>
      <c r="N3580" s="3" t="n">
        <v>100</v>
      </c>
      <c r="O3580" s="3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>
      <c r="A3585" s="11" t="n">
        <v>46141</v>
      </c>
      <c r="B3585" t="inlineStr">
        <is>
          <t>Quirino Diogo Leite Torres</t>
        </is>
      </c>
      <c r="C3585" t="inlineStr">
        <is>
          <t>Estágio</t>
        </is>
      </c>
      <c r="D3585" t="n">
        <v>19</v>
      </c>
      <c r="E3585" t="n">
        <v>17</v>
      </c>
      <c r="F3585" t="n">
        <v>18.46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t="n">
        <v>11</v>
      </c>
      <c r="N3585" t="n">
        <v>94.12</v>
      </c>
      <c r="O3585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7" t="n">
        <v>46161</v>
      </c>
      <c r="B3607" s="8" t="inlineStr">
        <is>
          <t>Davylla Rodrigues Freitas Silva</t>
        </is>
      </c>
      <c r="C3607" s="14" t="inlineStr">
        <is>
          <t>Técnico III</t>
        </is>
      </c>
      <c r="D3607" s="3" t="n">
        <v>0</v>
      </c>
      <c r="E3607" s="3" t="n">
        <v>0</v>
      </c>
      <c r="F3607" s="3" t="n">
        <v>0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0</v>
      </c>
      <c r="N3607" s="3" t="n">
        <v>99.19</v>
      </c>
      <c r="O3607" s="3" t="n">
        <v>28.40466926070039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 hidden="1">
      <c r="A3622" s="11" t="n">
        <v>46114</v>
      </c>
      <c r="B3622" t="inlineStr">
        <is>
          <t>Matheus Farias De Souza</t>
        </is>
      </c>
      <c r="C3622" t="inlineStr">
        <is>
          <t>Técnico III</t>
        </is>
      </c>
      <c r="D3622" t="n">
        <v>44</v>
      </c>
      <c r="E3622" t="n">
        <v>41</v>
      </c>
      <c r="F3622" t="n">
        <v>13.21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t="n">
        <v>37</v>
      </c>
      <c r="N3622" t="n">
        <v>100</v>
      </c>
      <c r="O3622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46142</v>
      </c>
      <c r="B3624" t="inlineStr">
        <is>
          <t>Michelle G Santos</t>
        </is>
      </c>
      <c r="C3624" s="3" t="inlineStr">
        <is>
          <t>Estágio</t>
        </is>
      </c>
      <c r="D3624" s="3" t="n">
        <v>19</v>
      </c>
      <c r="E3624" s="3" t="n">
        <v>17</v>
      </c>
      <c r="F3624" s="3" t="n">
        <v>24.14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7</v>
      </c>
      <c r="N3624" s="3" t="n">
        <v>100</v>
      </c>
      <c r="O3624" s="3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>
      <c r="A3629" s="11" t="n">
        <v>46142</v>
      </c>
      <c r="B3629" t="inlineStr">
        <is>
          <t>Quirino Diogo Leite Torres</t>
        </is>
      </c>
      <c r="C3629" t="inlineStr">
        <is>
          <t>Estágio</t>
        </is>
      </c>
      <c r="D3629" t="n">
        <v>18</v>
      </c>
      <c r="E3629" t="n">
        <v>17</v>
      </c>
      <c r="F3629" t="n">
        <v>28.41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t="n">
        <v>13</v>
      </c>
      <c r="N3629" t="n">
        <v>94.12</v>
      </c>
      <c r="O3629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7" t="n">
        <v>46161</v>
      </c>
      <c r="B3651" s="8" t="inlineStr">
        <is>
          <t>Francielson de Oliveira</t>
        </is>
      </c>
      <c r="C3651" s="14" t="inlineStr">
        <is>
          <t>Técnico III</t>
        </is>
      </c>
      <c r="D3651" s="3" t="n">
        <v>12</v>
      </c>
      <c r="E3651" s="3" t="n">
        <v>12</v>
      </c>
      <c r="F3651" s="3" t="n">
        <v>18.2</v>
      </c>
      <c r="G3651" s="3" t="n">
        <v>0</v>
      </c>
      <c r="H3651" s="3" t="n">
        <v>0</v>
      </c>
      <c r="I3651" s="3">
        <f>E3651+G3651+H3651</f>
        <v/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/>
      </c>
      <c r="K3651" s="3">
        <f>I3651-J3651</f>
        <v/>
      </c>
      <c r="L3651" s="3">
        <f>IF(K3651&lt;-5,"CRÍTICO",IF(K3651&lt;0,"ATENÇÃO",IF(K3651&lt;=5,"OPORTUNO","MUITO BOM")))</f>
        <v/>
      </c>
      <c r="M3651" s="3" t="n">
        <v>11</v>
      </c>
      <c r="N3651" s="3" t="n">
        <v>100</v>
      </c>
      <c r="O3651" s="3" t="n">
        <v>13.51351351351351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 hidden="1">
      <c r="A3666" s="11" t="n">
        <v>46115</v>
      </c>
      <c r="B3666" t="inlineStr">
        <is>
          <t>Matheus Farias De Souza</t>
        </is>
      </c>
      <c r="C3666" t="inlineStr">
        <is>
          <t>Técnico III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M3666" t="n">
        <v>0</v>
      </c>
      <c r="N3666" t="n">
        <v>100</v>
      </c>
      <c r="O366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46143</v>
      </c>
      <c r="B3668" t="inlineStr">
        <is>
          <t>Michelle G Santos</t>
        </is>
      </c>
      <c r="C3668" s="3" t="inlineStr">
        <is>
          <t>Estágio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M3668" s="3" t="n">
        <v>0</v>
      </c>
      <c r="N3668" s="3" t="n">
        <v>100</v>
      </c>
      <c r="O3668" s="3" t="n">
        <v>17.1875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>
      <c r="A3673" s="11" t="n">
        <v>46143</v>
      </c>
      <c r="B3673" t="inlineStr">
        <is>
          <t>Quirino Diogo Leite Torres</t>
        </is>
      </c>
      <c r="C3673" t="inlineStr">
        <is>
          <t>Estágio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  <c r="M3673" t="n">
        <v>0</v>
      </c>
      <c r="N3673" t="n">
        <v>98.36</v>
      </c>
      <c r="O3673" t="n">
        <v>21.91780821917808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7" t="n">
        <v>46161</v>
      </c>
      <c r="B3695" s="8" t="inlineStr">
        <is>
          <t>Janaina Lima dos Reis Urany</t>
        </is>
      </c>
      <c r="C3695" s="14" t="inlineStr">
        <is>
          <t>Técnico III</t>
        </is>
      </c>
      <c r="D3695" s="3" t="n">
        <v>43</v>
      </c>
      <c r="E3695" s="3" t="n">
        <v>39</v>
      </c>
      <c r="F3695" s="3" t="n">
        <v>13.55</v>
      </c>
      <c r="G3695" s="3" t="n">
        <v>3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40</v>
      </c>
      <c r="N3695" s="3" t="n">
        <v>99</v>
      </c>
      <c r="O3695" s="3" t="n">
        <v>22.27414330218069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 hidden="1">
      <c r="A3710" s="11" t="n">
        <v>46118</v>
      </c>
      <c r="B3710" t="inlineStr">
        <is>
          <t>Matheus Farias De Souza</t>
        </is>
      </c>
      <c r="C3710" t="inlineStr">
        <is>
          <t>Técnico III</t>
        </is>
      </c>
      <c r="D3710" t="n">
        <v>44</v>
      </c>
      <c r="E3710" t="n">
        <v>42</v>
      </c>
      <c r="F3710" t="n">
        <v>12.16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t="n">
        <v>41</v>
      </c>
      <c r="N3710" t="n">
        <v>100</v>
      </c>
      <c r="O3710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5" t="n">
        <v>46146</v>
      </c>
      <c r="B3712" s="6" t="inlineStr">
        <is>
          <t>Michelle G Santos</t>
        </is>
      </c>
      <c r="C3712" s="3" t="inlineStr">
        <is>
          <t>Estágio</t>
        </is>
      </c>
      <c r="D3712" s="3" t="n">
        <v>8</v>
      </c>
      <c r="E3712" s="3" t="n">
        <v>7</v>
      </c>
      <c r="F3712" s="3" t="n">
        <v>23.3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IF(K3712&lt;-5,"CRÍTICO",IF(K3712&lt;0,"ATENÇÃO",IF(K3712&lt;=5,"BOM","EXCELENTE")))</f>
        <v/>
      </c>
      <c r="M3712" s="3" t="n">
        <v>4</v>
      </c>
      <c r="N3712" s="3" t="n">
        <v>100</v>
      </c>
      <c r="O3712" s="3" t="n">
        <v>17.1875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>
      <c r="A3717" s="5" t="n">
        <v>46146</v>
      </c>
      <c r="B3717" s="6" t="inlineStr">
        <is>
          <t>Quirino Diogo Leite Torres</t>
        </is>
      </c>
      <c r="C3717" s="3" t="inlineStr">
        <is>
          <t>Estágio</t>
        </is>
      </c>
      <c r="D3717" s="3" t="n">
        <v>14</v>
      </c>
      <c r="E3717" s="3" t="n">
        <v>14</v>
      </c>
      <c r="F3717" s="3" t="n">
        <v>34.04</v>
      </c>
      <c r="G3717" s="3" t="n">
        <v>1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IF(K3717&lt;-5,"CRÍTICO",IF(K3717&lt;0,"ATENÇÃO",IF(K3717&lt;=5,"BOM","EXCELENTE")))</f>
        <v/>
      </c>
      <c r="M3717" s="9" t="n">
        <v>12</v>
      </c>
      <c r="N3717" s="9" t="n">
        <v>98.36</v>
      </c>
      <c r="O3717" s="9" t="n">
        <v>21.91780821917808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7" t="n">
        <v>46161</v>
      </c>
      <c r="B3739" s="8" t="inlineStr">
        <is>
          <t>Jaqueline Evangelista da Silva Martins</t>
        </is>
      </c>
      <c r="C3739" s="14" t="inlineStr">
        <is>
          <t>Técnico III</t>
        </is>
      </c>
      <c r="D3739" s="3" t="n">
        <v>11</v>
      </c>
      <c r="E3739" s="3" t="n">
        <v>10</v>
      </c>
      <c r="F3739" s="3" t="n">
        <v>14.08</v>
      </c>
      <c r="G3739" s="3" t="n">
        <v>4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12</v>
      </c>
      <c r="N3739" s="3" t="n">
        <v>97.04000000000001</v>
      </c>
      <c r="O3739" s="3" t="n">
        <v>29.82885085574572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 hidden="1">
      <c r="A3754" s="11" t="n">
        <v>46119</v>
      </c>
      <c r="B3754" t="inlineStr">
        <is>
          <t>Matheus Farias De Souza</t>
        </is>
      </c>
      <c r="C3754" t="inlineStr">
        <is>
          <t>Técnico III</t>
        </is>
      </c>
      <c r="D3754" t="n">
        <v>44</v>
      </c>
      <c r="E3754" t="n">
        <v>43</v>
      </c>
      <c r="F3754" t="n">
        <v>15.07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t="n">
        <v>40</v>
      </c>
      <c r="N3754" t="n">
        <v>100</v>
      </c>
      <c r="O3754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5" t="n">
        <v>46147</v>
      </c>
      <c r="B3756" s="6" t="inlineStr">
        <is>
          <t>Michelle G Santos</t>
        </is>
      </c>
      <c r="C3756" s="3" t="inlineStr">
        <is>
          <t>Estágio</t>
        </is>
      </c>
      <c r="D3756" s="3" t="n">
        <v>11</v>
      </c>
      <c r="E3756" s="3" t="n">
        <v>11</v>
      </c>
      <c r="F3756" s="3" t="n">
        <v>42.06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IF(K3756&lt;-5,"CRÍTICO",IF(K3756&lt;0,"ATENÇÃO",IF(K3756&lt;=5,"BOM","EXCELENTE")))</f>
        <v/>
      </c>
      <c r="M3756" s="3" t="n">
        <v>10</v>
      </c>
      <c r="N3756" s="3" t="n">
        <v>100</v>
      </c>
      <c r="O3756" s="3" t="n">
        <v>17.1875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>
      <c r="A3761" s="5" t="n">
        <v>46147</v>
      </c>
      <c r="B3761" s="6" t="inlineStr">
        <is>
          <t>Quirino Diogo Leite Torres</t>
        </is>
      </c>
      <c r="C3761" s="3" t="inlineStr">
        <is>
          <t>Estágio</t>
        </is>
      </c>
      <c r="D3761" s="3" t="n">
        <v>22</v>
      </c>
      <c r="E3761" s="3" t="n">
        <v>18</v>
      </c>
      <c r="F3761" s="3" t="n">
        <v>18.46</v>
      </c>
      <c r="G3761" s="3" t="n">
        <v>1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IF(K3761&lt;-5,"CRÍTICO",IF(K3761&lt;0,"ATENÇÃO",IF(K3761&lt;=5,"BOM","EXCELENTE")))</f>
        <v/>
      </c>
      <c r="M3761" s="3" t="n">
        <v>18</v>
      </c>
      <c r="N3761" s="3" t="n">
        <v>98.36</v>
      </c>
      <c r="O3761" s="3" t="n">
        <v>21.91780821917808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7" t="n">
        <v>46161</v>
      </c>
      <c r="B3783" s="8" t="inlineStr">
        <is>
          <t>Jéssica Fé Moura</t>
        </is>
      </c>
      <c r="C3783" s="14" t="inlineStr">
        <is>
          <t>Técnico III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0</v>
      </c>
      <c r="O3783" s="3" t="n">
        <v>0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 hidden="1">
      <c r="A3798" s="11" t="n">
        <v>46120</v>
      </c>
      <c r="B3798" t="inlineStr">
        <is>
          <t>Matheus Farias De Souza</t>
        </is>
      </c>
      <c r="C3798" t="inlineStr">
        <is>
          <t>Técnico III</t>
        </is>
      </c>
      <c r="D3798" t="n">
        <v>18</v>
      </c>
      <c r="E3798" t="n">
        <v>18</v>
      </c>
      <c r="F3798" t="n">
        <v>15.45</v>
      </c>
      <c r="G3798" t="n">
        <v>0</v>
      </c>
      <c r="H3798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t="n">
        <v>20</v>
      </c>
      <c r="N3798" t="n">
        <v>100</v>
      </c>
      <c r="O3798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5" t="n">
        <v>46148</v>
      </c>
      <c r="B3800" s="6" t="inlineStr">
        <is>
          <t>Michelle G Santos</t>
        </is>
      </c>
      <c r="C3800" s="3" t="inlineStr">
        <is>
          <t>Estágio</t>
        </is>
      </c>
      <c r="D3800" s="3" t="n">
        <v>9</v>
      </c>
      <c r="E3800" s="3" t="n">
        <v>8</v>
      </c>
      <c r="F3800" s="3" t="n">
        <v>30.08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IF(K3800&lt;-5,"CRÍTICO",IF(K3800&lt;0,"ATENÇÃO",IF(K3800&lt;=5,"BOM","EXCELENTE")))</f>
        <v/>
      </c>
      <c r="M3800" s="3" t="n">
        <v>7</v>
      </c>
      <c r="N3800" s="3" t="n">
        <v>100</v>
      </c>
      <c r="O3800" s="3" t="n">
        <v>17.1875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>
      <c r="A3805" s="5" t="n">
        <v>46148</v>
      </c>
      <c r="B3805" s="6" t="inlineStr">
        <is>
          <t>Quirino Diogo Leite Torres</t>
        </is>
      </c>
      <c r="C3805" s="3" t="inlineStr">
        <is>
          <t>Estágio</t>
        </is>
      </c>
      <c r="D3805" s="3" t="n">
        <v>17</v>
      </c>
      <c r="E3805" s="3" t="n">
        <v>15</v>
      </c>
      <c r="F3805" t="n">
        <v>22.06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IF(K3805&lt;-5,"CRÍTICO",IF(K3805&lt;0,"ATENÇÃO",IF(K3805&lt;=5,"BOM","EXCELENTE")))</f>
        <v/>
      </c>
      <c r="M3805" s="3" t="n">
        <v>14</v>
      </c>
      <c r="N3805" s="3" t="n">
        <v>98.36</v>
      </c>
      <c r="O3805" s="3" t="n">
        <v>21.91780821917808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7" t="n">
        <v>46161</v>
      </c>
      <c r="B3827" s="8" t="inlineStr">
        <is>
          <t>Kerollen Cristielly de Jesus Siqueira</t>
        </is>
      </c>
      <c r="C3827" s="14" t="inlineStr">
        <is>
          <t>Técnico III</t>
        </is>
      </c>
      <c r="D3827" s="3" t="n">
        <v>32</v>
      </c>
      <c r="E3827" s="3" t="n">
        <v>32</v>
      </c>
      <c r="F3827" s="3" t="n">
        <v>17.18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28</v>
      </c>
      <c r="N3827" s="3" t="n">
        <v>96.84</v>
      </c>
      <c r="O3827" s="3" t="n">
        <v>16.33802816901408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 hidden="1">
      <c r="A3842" s="11" t="n">
        <v>46121</v>
      </c>
      <c r="B3842" t="inlineStr">
        <is>
          <t>Matheus Farias De Souza</t>
        </is>
      </c>
      <c r="C3842" t="inlineStr">
        <is>
          <t>Técnico III</t>
        </is>
      </c>
      <c r="D3842" t="n">
        <v>27</v>
      </c>
      <c r="E3842" t="n">
        <v>27</v>
      </c>
      <c r="F3842" t="n">
        <v>17.13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t="n">
        <v>28</v>
      </c>
      <c r="N3842" t="n">
        <v>100</v>
      </c>
      <c r="O3842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5" t="n">
        <v>46149</v>
      </c>
      <c r="B3844" s="6" t="inlineStr">
        <is>
          <t>Michelle G Santos</t>
        </is>
      </c>
      <c r="C3844" s="3" t="inlineStr">
        <is>
          <t>Estágio</t>
        </is>
      </c>
      <c r="D3844" s="3" t="n">
        <v>16</v>
      </c>
      <c r="E3844" s="3" t="n">
        <v>15</v>
      </c>
      <c r="F3844" s="3" t="n">
        <v>27.04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IF(K3844&lt;-5,"CRÍTICO",IF(K3844&lt;0,"ATENÇÃO",IF(K3844&lt;=5,"BOM","EXCELENTE")))</f>
        <v/>
      </c>
      <c r="M3844" s="3" t="n">
        <v>13</v>
      </c>
      <c r="N3844" s="3" t="n">
        <v>100</v>
      </c>
      <c r="O3844" s="3" t="n">
        <v>17.1875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>
      <c r="A3849" s="5" t="n">
        <v>46149</v>
      </c>
      <c r="B3849" s="6" t="inlineStr">
        <is>
          <t>Quirino Diogo Leite Torres</t>
        </is>
      </c>
      <c r="C3849" s="3" t="inlineStr">
        <is>
          <t>Estágio</t>
        </is>
      </c>
      <c r="D3849" s="3" t="n">
        <v>15</v>
      </c>
      <c r="E3849" s="3" t="n">
        <v>15</v>
      </c>
      <c r="F3849" t="n">
        <v>32.02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IF(K3849&lt;-5,"CRÍTICO",IF(K3849&lt;0,"ATENÇÃO",IF(K3849&lt;=5,"BOM","EXCELENTE")))</f>
        <v/>
      </c>
      <c r="M3849" s="3" t="n">
        <v>13</v>
      </c>
      <c r="N3849" s="3" t="n">
        <v>98.36</v>
      </c>
      <c r="O3849" s="3" t="n">
        <v>21.91780821917808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7" t="n">
        <v>46161</v>
      </c>
      <c r="B3871" s="8" t="inlineStr">
        <is>
          <t>Leandro Oliveira de Sousa</t>
        </is>
      </c>
      <c r="C3871" s="14" t="inlineStr">
        <is>
          <t>Técnico III</t>
        </is>
      </c>
      <c r="D3871" s="3" t="n">
        <v>27</v>
      </c>
      <c r="E3871" s="3" t="n">
        <v>26</v>
      </c>
      <c r="F3871" s="3" t="n">
        <v>15.39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24</v>
      </c>
      <c r="N3871" s="3" t="n">
        <v>100</v>
      </c>
      <c r="O3871" s="3" t="n">
        <v>18.24480369515012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 hidden="1">
      <c r="A3886" s="11" t="n">
        <v>46122</v>
      </c>
      <c r="B3886" t="inlineStr">
        <is>
          <t>Matheus Farias De Souza</t>
        </is>
      </c>
      <c r="C3886" t="inlineStr">
        <is>
          <t>Técnico III</t>
        </is>
      </c>
      <c r="D3886" t="n">
        <v>13</v>
      </c>
      <c r="E3886" t="n">
        <v>11</v>
      </c>
      <c r="F3886" t="n">
        <v>18.43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t="n">
        <v>19</v>
      </c>
      <c r="N3886" t="n">
        <v>100</v>
      </c>
      <c r="O388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5" t="n">
        <v>46150</v>
      </c>
      <c r="B3888" s="6" t="inlineStr">
        <is>
          <t>Michelle G Santos</t>
        </is>
      </c>
      <c r="C3888" s="3" t="inlineStr">
        <is>
          <t>Estágio</t>
        </is>
      </c>
      <c r="D3888" s="3" t="n">
        <v>14</v>
      </c>
      <c r="E3888" s="3" t="n">
        <v>13</v>
      </c>
      <c r="F3888" s="3" t="n">
        <v>41.45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IF(K3888&lt;-5,"CRÍTICO",IF(K3888&lt;0,"ATENÇÃO",IF(K3888&lt;=5,"BOM","EXCELENTE")))</f>
        <v/>
      </c>
      <c r="M3888" s="3" t="n">
        <v>9</v>
      </c>
      <c r="N3888" s="3" t="n">
        <v>100</v>
      </c>
      <c r="O3888" s="3" t="n">
        <v>17.1875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>
      <c r="A3893" s="5" t="n">
        <v>46150</v>
      </c>
      <c r="B3893" s="6" t="inlineStr">
        <is>
          <t>Quirino Diogo Leite Torres</t>
        </is>
      </c>
      <c r="C3893" s="3" t="inlineStr">
        <is>
          <t>Estágio</t>
        </is>
      </c>
      <c r="D3893" s="3" t="n">
        <v>17</v>
      </c>
      <c r="E3893" s="3" t="n">
        <v>17</v>
      </c>
      <c r="F3893" t="n">
        <v>28.35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IF(K3893&lt;-5,"CRÍTICO",IF(K3893&lt;0,"ATENÇÃO",IF(K3893&lt;=5,"BOM","EXCELENTE")))</f>
        <v/>
      </c>
      <c r="M3893" t="n">
        <v>11</v>
      </c>
      <c r="N3893" t="n">
        <v>98.36</v>
      </c>
      <c r="O3893" t="n">
        <v>21.91780821917808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7" t="n">
        <v>46161</v>
      </c>
      <c r="B3915" s="8" t="inlineStr">
        <is>
          <t>Lucas Luiz Romero</t>
        </is>
      </c>
      <c r="C3915" s="14" t="inlineStr">
        <is>
          <t>Técnico III</t>
        </is>
      </c>
      <c r="D3915" s="3" t="n">
        <v>22</v>
      </c>
      <c r="E3915" s="3" t="n">
        <v>20</v>
      </c>
      <c r="F3915" s="3" t="n">
        <v>21.49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18</v>
      </c>
      <c r="N3915" s="3" t="n">
        <v>100</v>
      </c>
      <c r="O3915" s="3" t="n">
        <v>15.78947368421053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 hidden="1">
      <c r="A3930" s="11" t="n">
        <v>46125</v>
      </c>
      <c r="B3930" t="inlineStr">
        <is>
          <t>Matheus Farias De Souza</t>
        </is>
      </c>
      <c r="C3930" t="inlineStr">
        <is>
          <t>Técnico III</t>
        </is>
      </c>
      <c r="D3930" t="n">
        <v>23</v>
      </c>
      <c r="E3930" t="n">
        <v>21</v>
      </c>
      <c r="F3930" t="n">
        <v>18.44</v>
      </c>
      <c r="G3930" t="n">
        <v>0</v>
      </c>
      <c r="H3930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t="n">
        <v>19</v>
      </c>
      <c r="N3930" t="n">
        <v>100</v>
      </c>
      <c r="O3930" t="n">
        <v>23.9870340356564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5" t="n">
        <v>46153</v>
      </c>
      <c r="B3932" s="6" t="inlineStr">
        <is>
          <t>Michelle G Santos</t>
        </is>
      </c>
      <c r="C3932" s="3" t="inlineStr">
        <is>
          <t>Estágio</t>
        </is>
      </c>
      <c r="D3932" s="3" t="n">
        <v>7</v>
      </c>
      <c r="E3932" s="3" t="n">
        <v>7</v>
      </c>
      <c r="F3932" s="3" t="n">
        <v>29.17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IF(K3932&lt;-5,"CRÍTICO",IF(K3932&lt;0,"ATENÇÃO",IF(K3932&lt;=5,"BOM","EXCELENTE")))</f>
        <v/>
      </c>
      <c r="M3932" s="3" t="n">
        <v>4</v>
      </c>
      <c r="N3932" s="3" t="n">
        <v>100</v>
      </c>
      <c r="O3932" s="3" t="n">
        <v>17.1875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>
      <c r="A3937" s="5" t="n">
        <v>46153</v>
      </c>
      <c r="B3937" s="6" t="inlineStr">
        <is>
          <t>Quirino Diogo Leite Torres</t>
        </is>
      </c>
      <c r="C3937" s="3" t="inlineStr">
        <is>
          <t>Estágio</t>
        </is>
      </c>
      <c r="D3937" s="3" t="n">
        <v>16</v>
      </c>
      <c r="E3937" s="3" t="n">
        <v>16</v>
      </c>
      <c r="F3937" t="n">
        <v>30.41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IF(K3937&lt;-5,"CRÍTICO",IF(K3937&lt;0,"ATENÇÃO",IF(K3937&lt;=5,"BOM","EXCELENTE")))</f>
        <v/>
      </c>
      <c r="M3937" t="n">
        <v>15</v>
      </c>
      <c r="N3937" t="n">
        <v>98.36</v>
      </c>
      <c r="O3937" t="n">
        <v>21.91780821917808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 hidden="1">
      <c r="A3959" s="7" t="n">
        <v>46161</v>
      </c>
      <c r="B3959" s="8" t="inlineStr">
        <is>
          <t>Matheus Farias De Souza</t>
        </is>
      </c>
      <c r="C3959" s="14" t="inlineStr">
        <is>
          <t>Técnico III</t>
        </is>
      </c>
      <c r="D3959" s="3" t="n">
        <v>0</v>
      </c>
      <c r="E3959" s="3" t="n">
        <v>0</v>
      </c>
      <c r="F3959" s="3" t="n">
        <v>0</v>
      </c>
      <c r="G3959" s="3" t="n">
        <v>0</v>
      </c>
      <c r="H3959" s="3" t="n">
        <v>33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14</v>
      </c>
      <c r="N3959" s="3" t="n">
        <v>98.39</v>
      </c>
      <c r="O3959" s="16" t="n">
        <v>8.799999999999999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 hidden="1">
      <c r="A3974" s="11" t="n">
        <v>46126</v>
      </c>
      <c r="B3974" t="inlineStr">
        <is>
          <t>Matheus Farias De Souza</t>
        </is>
      </c>
      <c r="C3974" t="inlineStr">
        <is>
          <t>Técnico III</t>
        </is>
      </c>
      <c r="D3974" t="n">
        <v>31</v>
      </c>
      <c r="E3974" t="n">
        <v>25</v>
      </c>
      <c r="F3974" t="n">
        <v>13.21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t="n">
        <v>31</v>
      </c>
      <c r="N3974" t="n">
        <v>100</v>
      </c>
      <c r="O3974" t="n">
        <v>23.9870340356564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5" t="n">
        <v>46154</v>
      </c>
      <c r="B3976" s="6" t="inlineStr">
        <is>
          <t>Michelle G Santos</t>
        </is>
      </c>
      <c r="C3976" s="3" t="inlineStr">
        <is>
          <t>Estágio</t>
        </is>
      </c>
      <c r="D3976" s="3" t="n">
        <v>9</v>
      </c>
      <c r="E3976" s="3" t="n">
        <v>7</v>
      </c>
      <c r="F3976" s="3" t="n">
        <v>29.01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IF(K3976&lt;-5,"CRÍTICO",IF(K3976&lt;0,"ATENÇÃO",IF(K3976&lt;=5,"BOM","EXCELENTE")))</f>
        <v/>
      </c>
      <c r="M3976" s="3" t="n">
        <v>4</v>
      </c>
      <c r="N3976" s="3" t="n">
        <v>100</v>
      </c>
      <c r="O3976" s="3" t="n">
        <v>17.1875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>
      <c r="A3981" s="5" t="n">
        <v>46154</v>
      </c>
      <c r="B3981" s="6" t="inlineStr">
        <is>
          <t>Quirino Diogo Leite Torres</t>
        </is>
      </c>
      <c r="C3981" s="3" t="inlineStr">
        <is>
          <t>Estágio</t>
        </is>
      </c>
      <c r="D3981" s="3" t="n">
        <v>20</v>
      </c>
      <c r="E3981" s="3" t="n">
        <v>17</v>
      </c>
      <c r="F3981" t="n">
        <v>24.05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IF(K3981&lt;-5,"CRÍTICO",IF(K3981&lt;0,"ATENÇÃO",IF(K3981&lt;=5,"BOM","EXCELENTE")))</f>
        <v/>
      </c>
      <c r="M3981" t="n">
        <v>13</v>
      </c>
      <c r="N3981" t="n">
        <v>98.36</v>
      </c>
      <c r="O3981" t="n">
        <v>21.91780821917808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7" t="n">
        <v>46161</v>
      </c>
      <c r="B4003" s="8" t="inlineStr">
        <is>
          <t>Maysa Victoria Dias Moura</t>
        </is>
      </c>
      <c r="C4003" s="14" t="inlineStr">
        <is>
          <t>Técnico III</t>
        </is>
      </c>
      <c r="D4003" s="3" t="n">
        <v>35</v>
      </c>
      <c r="E4003" s="3" t="n">
        <v>31</v>
      </c>
      <c r="F4003" s="3" t="n">
        <v>10.43</v>
      </c>
      <c r="G4003" s="3" t="n">
        <v>4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30</v>
      </c>
      <c r="N4003" s="3" t="n">
        <v>96.38</v>
      </c>
      <c r="O4003" s="3" t="n">
        <v>23.1981981981982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 hidden="1">
      <c r="A4018" s="11" t="n">
        <v>46127</v>
      </c>
      <c r="B4018" t="inlineStr">
        <is>
          <t>Matheus Farias De Souza</t>
        </is>
      </c>
      <c r="C4018" t="inlineStr">
        <is>
          <t>Técnico III</t>
        </is>
      </c>
      <c r="D4018" t="n">
        <v>30</v>
      </c>
      <c r="E4018" t="n">
        <v>28</v>
      </c>
      <c r="F4018" t="n">
        <v>13.55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t="n">
        <v>39</v>
      </c>
      <c r="N4018" t="n">
        <v>100</v>
      </c>
      <c r="O4018" t="n">
        <v>23.9870340356564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5" t="n">
        <v>46155</v>
      </c>
      <c r="B4020" s="6" t="inlineStr">
        <is>
          <t>Michelle G Santos</t>
        </is>
      </c>
      <c r="C4020" s="3" t="inlineStr">
        <is>
          <t>Estágio</t>
        </is>
      </c>
      <c r="D4020" s="3" t="n">
        <v>6</v>
      </c>
      <c r="E4020" s="3" t="n">
        <v>6</v>
      </c>
      <c r="F4020" s="3" t="n">
        <v>29.1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IF(K4020&lt;-5,"CRÍTICO",IF(K4020&lt;0,"ATENÇÃO",IF(K4020&lt;=5,"BOM","EXCELENTE")))</f>
        <v/>
      </c>
      <c r="M4020" s="3" t="n">
        <v>5</v>
      </c>
      <c r="N4020" s="3" t="n">
        <v>100</v>
      </c>
      <c r="O4020" s="3" t="n">
        <v>17.1875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>
      <c r="A4025" s="5" t="n">
        <v>46155</v>
      </c>
      <c r="B4025" s="6" t="inlineStr">
        <is>
          <t>Quirino Diogo Leite Torres</t>
        </is>
      </c>
      <c r="C4025" s="3" t="inlineStr">
        <is>
          <t>Estágio</t>
        </is>
      </c>
      <c r="D4025" s="3" t="n">
        <v>19</v>
      </c>
      <c r="E4025" s="3" t="n">
        <v>18</v>
      </c>
      <c r="F4025" t="n">
        <v>23.42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IF(K4025&lt;-5,"CRÍTICO",IF(K4025&lt;0,"ATENÇÃO",IF(K4025&lt;=5,"BOM","EXCELENTE")))</f>
        <v/>
      </c>
      <c r="M4025" t="n">
        <v>13</v>
      </c>
      <c r="N4025" t="n">
        <v>98.36</v>
      </c>
      <c r="O4025" t="n">
        <v>21.91780821917808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7" t="n">
        <v>46161</v>
      </c>
      <c r="B4047" s="8" t="inlineStr">
        <is>
          <t>Rafael Gomes de Morais</t>
        </is>
      </c>
      <c r="C4047" s="14" t="inlineStr">
        <is>
          <t>Técnico III</t>
        </is>
      </c>
      <c r="D4047" s="3" t="n">
        <v>39</v>
      </c>
      <c r="E4047" s="3" t="n">
        <v>35</v>
      </c>
      <c r="F4047" s="3" t="n">
        <v>10.55</v>
      </c>
      <c r="G4047" s="3" t="n">
        <v>3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34</v>
      </c>
      <c r="N4047" s="3" t="n">
        <v>99.39</v>
      </c>
      <c r="O4047" s="3" t="n">
        <v>25.20325203252033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 hidden="1">
      <c r="A4062" s="11" t="n">
        <v>46128</v>
      </c>
      <c r="B4062" t="inlineStr">
        <is>
          <t>Matheus Farias De Souza</t>
        </is>
      </c>
      <c r="C4062" t="inlineStr">
        <is>
          <t>Técnico III</t>
        </is>
      </c>
      <c r="D4062" t="n">
        <v>27</v>
      </c>
      <c r="E4062" t="n">
        <v>24</v>
      </c>
      <c r="F4062" t="n">
        <v>17.28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t="n">
        <v>29</v>
      </c>
      <c r="N4062" t="n">
        <v>100</v>
      </c>
      <c r="O4062" t="n">
        <v>23.9870340356564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5" t="n">
        <v>46156</v>
      </c>
      <c r="B4064" s="6" t="inlineStr">
        <is>
          <t>Michelle G Santos</t>
        </is>
      </c>
      <c r="C4064" s="3" t="inlineStr">
        <is>
          <t>Estágio</t>
        </is>
      </c>
      <c r="D4064" s="3" t="n">
        <v>4</v>
      </c>
      <c r="E4064" s="3" t="n">
        <v>4</v>
      </c>
      <c r="F4064" s="3" t="n">
        <v>54.06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IF(K4064&lt;-5,"CRÍTICO",IF(K4064&lt;0,"ATENÇÃO",IF(K4064&lt;=5,"BOM","EXCELENTE")))</f>
        <v/>
      </c>
      <c r="M4064" s="3" t="n">
        <v>3</v>
      </c>
      <c r="N4064" s="3" t="n">
        <v>100</v>
      </c>
      <c r="O4064" s="3" t="n">
        <v>17.1875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>
      <c r="A4069" s="5" t="n">
        <v>46156</v>
      </c>
      <c r="B4069" s="6" t="inlineStr">
        <is>
          <t>Quirino Diogo Leite Torres</t>
        </is>
      </c>
      <c r="C4069" s="3" t="inlineStr">
        <is>
          <t>Estágio</t>
        </is>
      </c>
      <c r="D4069" s="3" t="n">
        <v>19</v>
      </c>
      <c r="E4069" s="3" t="n">
        <v>18</v>
      </c>
      <c r="F4069" t="n">
        <v>24.18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IF(K4069&lt;-5,"CRÍTICO",IF(K4069&lt;0,"ATENÇÃO",IF(K4069&lt;=5,"BOM","EXCELENTE")))</f>
        <v/>
      </c>
      <c r="M4069" t="n">
        <v>15</v>
      </c>
      <c r="N4069" t="n">
        <v>98.36</v>
      </c>
      <c r="O4069" t="n">
        <v>21.91780821917808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7" t="n">
        <v>46161</v>
      </c>
      <c r="B4091" s="8" t="inlineStr">
        <is>
          <t>Sarah Steffanie de Lima Borges</t>
        </is>
      </c>
      <c r="C4091" s="14" t="inlineStr">
        <is>
          <t>Técnico III</t>
        </is>
      </c>
      <c r="D4091" s="3" t="n">
        <v>25</v>
      </c>
      <c r="E4091" s="3" t="n">
        <v>24</v>
      </c>
      <c r="F4091" s="3" t="n">
        <v>18.25</v>
      </c>
      <c r="G4091" s="3" t="n">
        <v>3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21</v>
      </c>
      <c r="N4091" s="3" t="n">
        <v>97</v>
      </c>
      <c r="O4091" s="3" t="n">
        <v>20.32520325203252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 hidden="1">
      <c r="A4106" s="11" t="n">
        <v>46129</v>
      </c>
      <c r="B4106" t="inlineStr">
        <is>
          <t>Matheus Farias De Souza</t>
        </is>
      </c>
      <c r="C4106" t="inlineStr">
        <is>
          <t>Técnico III</t>
        </is>
      </c>
      <c r="D4106" t="n">
        <v>29</v>
      </c>
      <c r="E4106" t="n">
        <v>29</v>
      </c>
      <c r="F4106" t="n">
        <v>12.35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t="n">
        <v>30</v>
      </c>
      <c r="N4106" t="n">
        <v>100</v>
      </c>
      <c r="O4106" t="n">
        <v>23.9870340356564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5" t="n">
        <v>46157</v>
      </c>
      <c r="B4108" s="6" t="inlineStr">
        <is>
          <t>Michelle G Santos</t>
        </is>
      </c>
      <c r="C4108" s="3" t="inlineStr">
        <is>
          <t>Estágio</t>
        </is>
      </c>
      <c r="D4108" s="3" t="n">
        <v>9</v>
      </c>
      <c r="E4108" s="3" t="n">
        <v>8</v>
      </c>
      <c r="F4108" s="3" t="n">
        <v>39.06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IF(K4108&lt;-5,"CRÍTICO",IF(K4108&lt;0,"ATENÇÃO",IF(K4108&lt;=5,"BOM","EXCELENTE")))</f>
        <v/>
      </c>
      <c r="M4108" s="3" t="n">
        <v>7</v>
      </c>
      <c r="N4108" s="3" t="n">
        <v>100</v>
      </c>
      <c r="O4108" s="3" t="n">
        <v>17.1875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>
      <c r="A4113" s="5" t="n">
        <v>46157</v>
      </c>
      <c r="B4113" s="6" t="inlineStr">
        <is>
          <t>Quirino Diogo Leite Torres</t>
        </is>
      </c>
      <c r="C4113" s="3" t="inlineStr">
        <is>
          <t>Estágio</t>
        </is>
      </c>
      <c r="D4113" s="3" t="n">
        <v>17</v>
      </c>
      <c r="E4113" s="3" t="n">
        <v>15</v>
      </c>
      <c r="F4113" t="n">
        <v>23.57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IF(K4113&lt;-5,"CRÍTICO",IF(K4113&lt;0,"ATENÇÃO",IF(K4113&lt;=5,"BOM","EXCELENTE")))</f>
        <v/>
      </c>
      <c r="M4113" t="n">
        <v>14</v>
      </c>
      <c r="N4113" t="n">
        <v>98.36</v>
      </c>
      <c r="O4113" t="n">
        <v>21.91780821917808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7" t="n">
        <v>46161</v>
      </c>
      <c r="B4135" s="8" t="inlineStr">
        <is>
          <t>Alisson de Freitas Silva</t>
        </is>
      </c>
      <c r="C4135" s="14" t="inlineStr">
        <is>
          <t>Técnico II</t>
        </is>
      </c>
      <c r="D4135" s="3" t="n">
        <v>38</v>
      </c>
      <c r="E4135" s="3" t="n">
        <v>33</v>
      </c>
      <c r="F4135" s="3" t="n">
        <v>12.17</v>
      </c>
      <c r="G4135" s="3" t="n">
        <v>1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17</v>
      </c>
      <c r="N4135" s="3" t="n">
        <v>99.18000000000001</v>
      </c>
      <c r="O4135" s="3" t="n">
        <v>24.5014245014245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 hidden="1">
      <c r="A4150" s="11" t="n">
        <v>46132</v>
      </c>
      <c r="B4150" t="inlineStr">
        <is>
          <t>Matheus Farias De Souza</t>
        </is>
      </c>
      <c r="C4150" t="inlineStr">
        <is>
          <t>Técnico III</t>
        </is>
      </c>
      <c r="D4150" t="n">
        <v>23</v>
      </c>
      <c r="E4150" t="n">
        <v>21</v>
      </c>
      <c r="F4150" t="n">
        <v>14.14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t="n">
        <v>23</v>
      </c>
      <c r="N4150" t="n">
        <v>100</v>
      </c>
      <c r="O4150" t="n">
        <v>23.9870340356564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5" t="n">
        <v>46160</v>
      </c>
      <c r="B4152" s="6" t="inlineStr">
        <is>
          <t>Michelle G Santos</t>
        </is>
      </c>
      <c r="C4152" s="3" t="inlineStr">
        <is>
          <t>Estágio</t>
        </is>
      </c>
      <c r="D4152" s="3" t="n">
        <v>7</v>
      </c>
      <c r="E4152" s="3" t="n">
        <v>7</v>
      </c>
      <c r="F4152" s="3" t="n">
        <v>30.49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IF(K4152&lt;-5,"CRÍTICO",IF(K4152&lt;0,"ATENÇÃO",IF(K4152&lt;=5,"BOM","EXCELENTE")))</f>
        <v/>
      </c>
      <c r="M4152" s="3" t="n">
        <v>6</v>
      </c>
      <c r="N4152" s="3" t="n">
        <v>100</v>
      </c>
      <c r="O4152" s="3" t="n">
        <v>17.1875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>
      <c r="A4157" s="5" t="n">
        <v>46160</v>
      </c>
      <c r="B4157" s="6" t="inlineStr">
        <is>
          <t>Quirino Diogo Leite Torres</t>
        </is>
      </c>
      <c r="C4157" s="3" t="inlineStr">
        <is>
          <t>Estágio</t>
        </is>
      </c>
      <c r="D4157" s="3" t="n">
        <v>14</v>
      </c>
      <c r="E4157" s="3" t="n">
        <v>13</v>
      </c>
      <c r="F4157" t="n">
        <v>29.09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IF(K4157&lt;-5,"CRÍTICO",IF(K4157&lt;0,"ATENÇÃO",IF(K4157&lt;=5,"BOM","EXCELENTE")))</f>
        <v/>
      </c>
      <c r="M4157" t="n">
        <v>9</v>
      </c>
      <c r="N4157" t="n">
        <v>98.36</v>
      </c>
      <c r="O4157" t="n">
        <v>21.91780821917808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7" t="n">
        <v>46161</v>
      </c>
      <c r="B4179" s="8" t="inlineStr">
        <is>
          <t>Brenda de Menezes Silva</t>
        </is>
      </c>
      <c r="C4179" s="14" t="inlineStr">
        <is>
          <t>Técnico II</t>
        </is>
      </c>
      <c r="D4179" s="3" t="n">
        <v>33</v>
      </c>
      <c r="E4179" s="3" t="n">
        <v>31</v>
      </c>
      <c r="F4179" s="3" t="n">
        <v>16.46</v>
      </c>
      <c r="G4179" s="3" t="n">
        <v>3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33</v>
      </c>
      <c r="N4179" s="3" t="n">
        <v>99.34999999999999</v>
      </c>
      <c r="O4179" s="3" t="n">
        <v>19.85294117647059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 hidden="1">
      <c r="A4194" s="11" t="n">
        <v>46134</v>
      </c>
      <c r="B4194" t="inlineStr">
        <is>
          <t>Matheus Farias De Souza</t>
        </is>
      </c>
      <c r="C4194" t="inlineStr">
        <is>
          <t>Técnico III</t>
        </is>
      </c>
      <c r="D4194" t="n">
        <v>22</v>
      </c>
      <c r="E4194" t="n">
        <v>21</v>
      </c>
      <c r="F4194" t="n">
        <v>14.13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t="n">
        <v>31</v>
      </c>
      <c r="N4194" t="n">
        <v>100</v>
      </c>
      <c r="O4194" t="n">
        <v>23.9870340356564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7" t="n">
        <v>46161</v>
      </c>
      <c r="B4196" s="8" t="inlineStr">
        <is>
          <t>Michelle G Santos</t>
        </is>
      </c>
      <c r="C4196" s="3" t="inlineStr">
        <is>
          <t>Estágio</t>
        </is>
      </c>
      <c r="D4196" s="3" t="n">
        <v>15</v>
      </c>
      <c r="E4196" s="3" t="n">
        <v>13</v>
      </c>
      <c r="F4196" s="3" t="n">
        <v>21.51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IF(K4196&lt;-5,"CRÍTICO",IF(K4196&lt;0,"ATENÇÃO",IF(K4196&lt;=5,"BOM","EXCELENTE")))</f>
        <v/>
      </c>
      <c r="M4196" s="3" t="n">
        <v>9</v>
      </c>
      <c r="N4196" s="3" t="n">
        <v>100</v>
      </c>
      <c r="O4196" s="3" t="n">
        <v>17.1875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>
      <c r="A4201" s="7" t="n">
        <v>46161</v>
      </c>
      <c r="B4201" s="8" t="inlineStr">
        <is>
          <t>Quirino Diogo Leite Torres</t>
        </is>
      </c>
      <c r="C4201" s="9" t="inlineStr">
        <is>
          <t>Estágio</t>
        </is>
      </c>
      <c r="D4201" s="3" t="n">
        <v>20</v>
      </c>
      <c r="E4201" s="3" t="n">
        <v>19</v>
      </c>
      <c r="F4201" t="n">
        <v>25.31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IF(K4201&lt;-5,"CRÍTICO",IF(K4201&lt;0,"ATENÇÃO",IF(K4201&lt;=5,"BOM","EXCELENTE")))</f>
        <v/>
      </c>
      <c r="M4201" t="n">
        <v>16</v>
      </c>
      <c r="N4201" t="n">
        <v>98.36</v>
      </c>
      <c r="O4201" t="n">
        <v>21.91780821917808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7" t="n">
        <v>46161</v>
      </c>
      <c r="B4223" s="8" t="inlineStr">
        <is>
          <t>Carlos Mateus Cassimiro Nunes</t>
        </is>
      </c>
      <c r="C4223" s="14" t="inlineStr">
        <is>
          <t>Técnico II</t>
        </is>
      </c>
      <c r="D4223" s="3" t="n">
        <v>33</v>
      </c>
      <c r="E4223" s="3" t="n">
        <v>32</v>
      </c>
      <c r="F4223" s="3" t="n">
        <v>16.54</v>
      </c>
      <c r="G4223" s="3" t="n">
        <v>2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29</v>
      </c>
      <c r="N4223" s="3" t="n">
        <v>99.06999999999999</v>
      </c>
      <c r="O4223" s="3" t="n">
        <v>20.09803921568627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 hidden="1">
      <c r="A4238" s="11" t="n">
        <v>46135</v>
      </c>
      <c r="B4238" t="inlineStr">
        <is>
          <t>Matheus Farias De Souza</t>
        </is>
      </c>
      <c r="C4238" t="inlineStr">
        <is>
          <t>Técnico III</t>
        </is>
      </c>
      <c r="D4238" t="n">
        <v>19</v>
      </c>
      <c r="E4238" t="n">
        <v>17</v>
      </c>
      <c r="F4238" t="n">
        <v>12.26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t="n">
        <v>26</v>
      </c>
      <c r="N4238" t="n">
        <v>100</v>
      </c>
      <c r="O4238" t="n">
        <v>23.9870340356564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7" t="n">
        <v>46162</v>
      </c>
      <c r="B4240" s="8" t="inlineStr">
        <is>
          <t>Michelle G Santos</t>
        </is>
      </c>
      <c r="C4240" s="3" t="inlineStr">
        <is>
          <t>Estágio</t>
        </is>
      </c>
      <c r="D4240" s="3" t="n">
        <v>19</v>
      </c>
      <c r="E4240" s="3" t="n">
        <v>17</v>
      </c>
      <c r="F4240" s="3" t="n">
        <v>22.03</v>
      </c>
      <c r="G4240" s="3" t="n">
        <v>0</v>
      </c>
      <c r="H4240" s="3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s="3" t="n">
        <v>14</v>
      </c>
      <c r="N4240" s="3" t="n">
        <v>100</v>
      </c>
      <c r="O4240" s="3" t="n">
        <v>17.1875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>
      <c r="A4245" s="7" t="n">
        <v>46162</v>
      </c>
      <c r="B4245" s="8" t="inlineStr">
        <is>
          <t>Quirino Diogo Leite Torres</t>
        </is>
      </c>
      <c r="C4245" s="9" t="inlineStr">
        <is>
          <t>Estágio</t>
        </is>
      </c>
      <c r="D4245" s="3" t="n">
        <v>18</v>
      </c>
      <c r="E4245" s="3" t="n">
        <v>15</v>
      </c>
      <c r="F4245" s="3" t="n">
        <v>25.22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9" t="n">
        <v>13</v>
      </c>
      <c r="N4245" s="9" t="n">
        <v>98.36</v>
      </c>
      <c r="O4245" s="9" t="n">
        <v>21.91780821917808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7" t="n">
        <v>46161</v>
      </c>
      <c r="B4267" s="8" t="inlineStr">
        <is>
          <t>Damyllis Lorraine de Oliveira Gonçalves</t>
        </is>
      </c>
      <c r="C4267" s="14" t="inlineStr">
        <is>
          <t>Técnico II</t>
        </is>
      </c>
      <c r="D4267" s="3" t="n">
        <v>0</v>
      </c>
      <c r="E4267" s="3" t="n">
        <v>0</v>
      </c>
      <c r="F4267" s="3" t="n">
        <v>0</v>
      </c>
      <c r="G4267" s="3" t="n">
        <v>0</v>
      </c>
      <c r="H4267" s="3" t="n">
        <v>0</v>
      </c>
      <c r="I4267" s="3" t="n">
        <v>0</v>
      </c>
      <c r="J4267" s="3" t="n">
        <v>0</v>
      </c>
      <c r="K4267" s="3" t="n">
        <v>0</v>
      </c>
      <c r="L4267" s="3">
        <f>IF(K4267&lt;-5,"CRÍTICO",IF(K4267&lt;0,"ATENÇÃO",IF(K4267&lt;=5,"OPORTUNO","MUITO BOM")))</f>
        <v/>
      </c>
      <c r="M4267" s="3" t="n">
        <v>0</v>
      </c>
      <c r="N4267" s="3" t="n">
        <v>98.81</v>
      </c>
      <c r="O4267" s="3" t="n">
        <v>22.76785714285714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 hidden="1">
      <c r="A4282" s="11" t="n">
        <v>46136</v>
      </c>
      <c r="B4282" t="inlineStr">
        <is>
          <t>Matheus Farias De Souza</t>
        </is>
      </c>
      <c r="C4282" t="inlineStr">
        <is>
          <t>Técnico III</t>
        </is>
      </c>
      <c r="D4282" t="n">
        <v>13</v>
      </c>
      <c r="E4282" t="n">
        <v>12</v>
      </c>
      <c r="F4282" t="n">
        <v>17.18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t="n">
        <v>10</v>
      </c>
      <c r="N4282" t="n">
        <v>100</v>
      </c>
      <c r="O4282" t="n">
        <v>23.9870340356564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5" t="n">
        <v>46163</v>
      </c>
      <c r="B4284" s="6" t="inlineStr">
        <is>
          <t>Michelle G Santos</t>
        </is>
      </c>
      <c r="C4284" s="3" t="inlineStr">
        <is>
          <t>Estágio</t>
        </is>
      </c>
      <c r="D4284" s="3" t="n">
        <v>14</v>
      </c>
      <c r="E4284" s="3" t="n">
        <v>13</v>
      </c>
      <c r="F4284" s="3" t="n">
        <v>33.54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8</v>
      </c>
      <c r="N4284" s="3" t="n">
        <v>100</v>
      </c>
      <c r="O4284" s="3" t="n">
        <v>17.1875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>
      <c r="A4289" s="5" t="n">
        <v>46163</v>
      </c>
      <c r="B4289" s="6" t="inlineStr">
        <is>
          <t>Quirino Diogo Leite Torres</t>
        </is>
      </c>
      <c r="C4289" s="3" t="inlineStr">
        <is>
          <t>Estágio</t>
        </is>
      </c>
      <c r="D4289" s="3" t="n">
        <v>20</v>
      </c>
      <c r="E4289" s="3" t="n">
        <v>18</v>
      </c>
      <c r="F4289" s="3" t="n">
        <v>16.49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13</v>
      </c>
      <c r="N4289" s="3" t="n">
        <v>98.36</v>
      </c>
      <c r="O4289" s="3" t="n">
        <v>21.91780821917808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7" t="n">
        <v>46161</v>
      </c>
      <c r="B4311" s="8" t="inlineStr">
        <is>
          <t>Emilly Kamilly Medeiros Miranda</t>
        </is>
      </c>
      <c r="C4311" s="14" t="inlineStr">
        <is>
          <t>Técnico II</t>
        </is>
      </c>
      <c r="D4311" s="3" t="n">
        <v>23</v>
      </c>
      <c r="E4311" s="3" t="n">
        <v>22</v>
      </c>
      <c r="F4311" s="3" t="n">
        <v>13.4</v>
      </c>
      <c r="G4311" s="3" t="n">
        <v>2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23</v>
      </c>
      <c r="N4311" s="3" t="n">
        <v>99.01000000000001</v>
      </c>
      <c r="O4311" s="3" t="n">
        <v>17.76649746192894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 hidden="1">
      <c r="A4326" s="11" t="n">
        <v>46139</v>
      </c>
      <c r="B4326" t="inlineStr">
        <is>
          <t>Matheus Farias De Souza</t>
        </is>
      </c>
      <c r="C4326" t="inlineStr">
        <is>
          <t>Técnico III</t>
        </is>
      </c>
      <c r="D4326" t="n">
        <v>14</v>
      </c>
      <c r="E4326" t="n">
        <v>14</v>
      </c>
      <c r="F4326" t="n">
        <v>10.57</v>
      </c>
      <c r="G4326" t="n">
        <v>0</v>
      </c>
      <c r="H4326" t="n">
        <v>0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t="n">
        <v>40</v>
      </c>
      <c r="N4326" t="n">
        <v>100</v>
      </c>
      <c r="O4326" t="n">
        <v>23.9870340356564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0" t="n">
        <v>46164</v>
      </c>
      <c r="B4328" s="6" t="inlineStr">
        <is>
          <t>Michelle G Santos</t>
        </is>
      </c>
      <c r="C4328" s="3" t="inlineStr">
        <is>
          <t>Estágio</t>
        </is>
      </c>
      <c r="D4328" s="3" t="n">
        <v>15</v>
      </c>
      <c r="E4328" s="3" t="n">
        <v>14</v>
      </c>
      <c r="F4328" s="3" t="n">
        <v>31.4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11</v>
      </c>
      <c r="N4328" s="3" t="n">
        <v>100</v>
      </c>
      <c r="O4328" s="3" t="n">
        <v>17.1875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>
      <c r="A4333" s="10" t="n">
        <v>46164</v>
      </c>
      <c r="B4333" s="6" t="inlineStr">
        <is>
          <t>Quirino Diogo Leite Torres</t>
        </is>
      </c>
      <c r="C4333" s="3" t="inlineStr">
        <is>
          <t>Estágio</t>
        </is>
      </c>
      <c r="D4333" s="3" t="n">
        <v>17</v>
      </c>
      <c r="E4333" s="3" t="n">
        <v>15</v>
      </c>
      <c r="F4333" s="3" t="n">
        <v>25.36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9</v>
      </c>
      <c r="N4333" s="3" t="n">
        <v>98.36</v>
      </c>
      <c r="O4333" s="3" t="n">
        <v>21.91780821917808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7" t="n">
        <v>46161</v>
      </c>
      <c r="B4338" s="8" t="inlineStr">
        <is>
          <t>Francilene Ferreira de Jesus</t>
        </is>
      </c>
      <c r="C4338" s="14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IF(K4338&lt;-5,"CRÍTICO",IF(K4338&lt;0,"ATENÇÃO",IF(K4338&lt;=5,"OPORTUNO","MUITO BOM")))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7" t="n">
        <v>46161</v>
      </c>
      <c r="B4339" s="8" t="inlineStr">
        <is>
          <t>Isabella Borges de Oliveira</t>
        </is>
      </c>
      <c r="C4339" s="14" t="inlineStr">
        <is>
          <t>Técnico II</t>
        </is>
      </c>
      <c r="D4339" s="3" t="n">
        <v>28</v>
      </c>
      <c r="E4339" s="3" t="n">
        <v>25</v>
      </c>
      <c r="F4339" s="3" t="n">
        <v>16.55</v>
      </c>
      <c r="G4339" s="3" t="n">
        <v>0</v>
      </c>
      <c r="H4339" s="3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s="3" t="n">
        <v>22</v>
      </c>
      <c r="N4339" s="3" t="n">
        <v>98.98</v>
      </c>
      <c r="O4339" s="3" t="n">
        <v>19.35483870967742</v>
      </c>
    </row>
    <row r="4340" hidden="1">
      <c r="A4340" s="7" t="n">
        <v>46161</v>
      </c>
      <c r="B4340" s="8" t="inlineStr">
        <is>
          <t>Jessica Faria da Silveira</t>
        </is>
      </c>
      <c r="C4340" s="14" t="inlineStr">
        <is>
          <t>Técnico II</t>
        </is>
      </c>
      <c r="D4340" s="3" t="n">
        <v>24</v>
      </c>
      <c r="E4340" s="3" t="n">
        <v>20</v>
      </c>
      <c r="F4340" s="3" t="n">
        <v>17</v>
      </c>
      <c r="G4340" s="3" t="n">
        <v>2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16</v>
      </c>
      <c r="N4340" s="3" t="n">
        <v>98.94</v>
      </c>
      <c r="O4340" s="3" t="n">
        <v>21.2707182320442</v>
      </c>
    </row>
    <row r="4341" hidden="1">
      <c r="A4341" s="7" t="n">
        <v>46161</v>
      </c>
      <c r="B4341" s="8" t="inlineStr">
        <is>
          <t>Lizandra Gomes Duarte</t>
        </is>
      </c>
      <c r="C4341" s="14" t="inlineStr">
        <is>
          <t>Técnico II</t>
        </is>
      </c>
      <c r="D4341" s="3" t="n">
        <v>28</v>
      </c>
      <c r="E4341" s="3" t="n">
        <v>25</v>
      </c>
      <c r="F4341" s="3" t="n">
        <v>19.03</v>
      </c>
      <c r="G4341" s="3" t="n">
        <v>3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45</v>
      </c>
      <c r="N4341" s="3" t="n">
        <v>99</v>
      </c>
      <c r="O4341" s="3" t="n">
        <v>22.01086956521739</v>
      </c>
    </row>
    <row r="4342" hidden="1">
      <c r="A4342" s="7" t="n">
        <v>46161</v>
      </c>
      <c r="B4342" s="8" t="inlineStr">
        <is>
          <t>Lorena Dias de Araujo</t>
        </is>
      </c>
      <c r="C4342" s="14" t="inlineStr">
        <is>
          <t>Técnico II</t>
        </is>
      </c>
      <c r="D4342" s="3" t="n">
        <v>22</v>
      </c>
      <c r="E4342" s="3" t="n">
        <v>21</v>
      </c>
      <c r="F4342" s="3" t="n">
        <v>24.02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19</v>
      </c>
      <c r="N4342" s="3" t="n">
        <v>100</v>
      </c>
      <c r="O4342" s="3" t="n">
        <v>25</v>
      </c>
    </row>
    <row r="4343" hidden="1">
      <c r="A4343" s="7" t="n">
        <v>46161</v>
      </c>
      <c r="B4343" s="8" t="inlineStr">
        <is>
          <t>Patrícia Karla de Sousa Araújo</t>
        </is>
      </c>
      <c r="C4343" s="14" t="inlineStr">
        <is>
          <t>Técnico II</t>
        </is>
      </c>
      <c r="D4343" s="3" t="n">
        <v>25</v>
      </c>
      <c r="E4343" s="3" t="n">
        <v>23</v>
      </c>
      <c r="F4343" s="3" t="n">
        <v>17.03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22</v>
      </c>
      <c r="N4343" s="3" t="n">
        <v>100</v>
      </c>
      <c r="O4343" s="3" t="n">
        <v>20.18348623853211</v>
      </c>
    </row>
    <row r="4344" hidden="1">
      <c r="A4344" s="7" t="n">
        <v>46161</v>
      </c>
      <c r="B4344" s="8" t="inlineStr">
        <is>
          <t>Ana Karollyne Souza Faria</t>
        </is>
      </c>
      <c r="C4344" s="14" t="inlineStr">
        <is>
          <t>Técnico I</t>
        </is>
      </c>
      <c r="D4344" s="3" t="n">
        <v>30</v>
      </c>
      <c r="E4344" s="3" t="n">
        <v>29</v>
      </c>
      <c r="F4344" s="3" t="n">
        <v>15.36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29</v>
      </c>
      <c r="N4344" s="3" t="n">
        <v>96.25</v>
      </c>
      <c r="O4344" s="3" t="n">
        <v>25.5863539445629</v>
      </c>
    </row>
    <row r="4345" hidden="1">
      <c r="A4345" s="7" t="n">
        <v>46161</v>
      </c>
      <c r="B4345" s="8" t="inlineStr">
        <is>
          <t>Clessiane Pereira dos Santos</t>
        </is>
      </c>
      <c r="C4345" s="14" t="inlineStr">
        <is>
          <t>Técnico I</t>
        </is>
      </c>
      <c r="D4345" s="3" t="n">
        <v>26</v>
      </c>
      <c r="E4345" s="3" t="n">
        <v>25</v>
      </c>
      <c r="F4345" s="3" t="n">
        <v>15.02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19</v>
      </c>
      <c r="N4345" s="3" t="n">
        <v>97.48</v>
      </c>
      <c r="O4345" s="3" t="n">
        <v>22.99465240641711</v>
      </c>
    </row>
    <row r="4346" hidden="1">
      <c r="A4346" s="7" t="n">
        <v>46161</v>
      </c>
      <c r="B4346" s="8" t="inlineStr">
        <is>
          <t>Daniel Gomes da Silva</t>
        </is>
      </c>
      <c r="C4346" s="14" t="inlineStr">
        <is>
          <t>Técnico I</t>
        </is>
      </c>
      <c r="D4346" s="3" t="n">
        <v>21</v>
      </c>
      <c r="E4346" s="3" t="n">
        <v>20</v>
      </c>
      <c r="F4346" s="3" t="n">
        <v>12.3</v>
      </c>
      <c r="G4346" s="3" t="n">
        <v>1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15</v>
      </c>
      <c r="N4346" s="3" t="n">
        <v>100</v>
      </c>
      <c r="O4346" s="3" t="n">
        <v>20.78853046594982</v>
      </c>
    </row>
    <row r="4347" hidden="1">
      <c r="A4347" s="7" t="n">
        <v>46161</v>
      </c>
      <c r="B4347" s="8" t="inlineStr">
        <is>
          <t>Luiz Fernando de Carvalho Junior</t>
        </is>
      </c>
      <c r="C4347" s="14" t="inlineStr">
        <is>
          <t>Técnico I</t>
        </is>
      </c>
      <c r="D4347" s="3" t="n">
        <v>18</v>
      </c>
      <c r="E4347" s="3" t="n">
        <v>17</v>
      </c>
      <c r="F4347" s="3" t="n">
        <v>25.09</v>
      </c>
      <c r="G4347" s="3" t="n">
        <v>2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18</v>
      </c>
      <c r="N4347" s="3" t="n">
        <v>94.55</v>
      </c>
      <c r="O4347" s="3" t="n">
        <v>23.45013477088949</v>
      </c>
    </row>
    <row r="4348" hidden="1">
      <c r="A4348" s="7" t="n">
        <v>46161</v>
      </c>
      <c r="B4348" s="8" t="inlineStr">
        <is>
          <t>Raane Batista Matos</t>
        </is>
      </c>
      <c r="C4348" s="14" t="inlineStr">
        <is>
          <t>Técnico I</t>
        </is>
      </c>
      <c r="D4348" s="3" t="n">
        <v>35</v>
      </c>
      <c r="E4348" s="3" t="n">
        <v>31</v>
      </c>
      <c r="F4348" s="3" t="n">
        <v>13.24</v>
      </c>
      <c r="G4348" s="3" t="n">
        <v>2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26</v>
      </c>
      <c r="N4348" s="3" t="n">
        <v>98</v>
      </c>
      <c r="O4348" s="3" t="n">
        <v>20.73490813648294</v>
      </c>
    </row>
    <row r="4349" hidden="1">
      <c r="A4349" s="7" t="n">
        <v>46161</v>
      </c>
      <c r="B4349" s="8" t="inlineStr">
        <is>
          <t>Sara Maria Monteiro Lopes</t>
        </is>
      </c>
      <c r="C4349" s="14" t="inlineStr">
        <is>
          <t>Técnico I</t>
        </is>
      </c>
      <c r="D4349" s="3" t="n">
        <v>18</v>
      </c>
      <c r="E4349" s="3" t="n">
        <v>18</v>
      </c>
      <c r="F4349" s="3" t="n">
        <v>25.39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17</v>
      </c>
      <c r="N4349" s="3" t="n">
        <v>100</v>
      </c>
      <c r="O4349" s="3" t="n">
        <v>18</v>
      </c>
    </row>
    <row r="4350" hidden="1">
      <c r="A4350" s="7" t="n">
        <v>46161</v>
      </c>
      <c r="B4350" s="8" t="inlineStr">
        <is>
          <t>Gabriel Gomes de Andrade</t>
        </is>
      </c>
      <c r="C4350" s="14" t="inlineStr">
        <is>
          <t>Técnico I</t>
        </is>
      </c>
      <c r="D4350" s="3" t="n">
        <v>19</v>
      </c>
      <c r="E4350" s="3" t="n">
        <v>18</v>
      </c>
      <c r="F4350" s="3" t="n">
        <v>21.58</v>
      </c>
      <c r="G4350" s="3" t="n">
        <v>3</v>
      </c>
      <c r="H4350" s="3" t="n">
        <v>3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3" t="n">
        <v>20</v>
      </c>
      <c r="N4350" s="3" t="n">
        <v>99.06</v>
      </c>
      <c r="O4350" s="3" t="n">
        <v>19.41747572815534</v>
      </c>
    </row>
    <row r="4351" hidden="1">
      <c r="A4351" s="7" t="n">
        <v>46162</v>
      </c>
      <c r="B4351" s="8" t="inlineStr">
        <is>
          <t>Amanda Moura Ferreira</t>
        </is>
      </c>
      <c r="C4351" s="14" t="inlineStr">
        <is>
          <t>Técnico III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100</v>
      </c>
      <c r="O4351" s="3" t="n">
        <v>0</v>
      </c>
    </row>
    <row r="4352" hidden="1">
      <c r="A4352" s="7" t="n">
        <v>46162</v>
      </c>
      <c r="B4352" s="8" t="inlineStr">
        <is>
          <t>Ana Paula Da Luz Silva Aleixo</t>
        </is>
      </c>
      <c r="C4352" s="14" t="inlineStr">
        <is>
          <t>Técnico III</t>
        </is>
      </c>
      <c r="D4352" s="3" t="n">
        <v>22</v>
      </c>
      <c r="E4352" s="3" t="n">
        <v>21</v>
      </c>
      <c r="F4352" s="3" t="n">
        <v>18.34</v>
      </c>
      <c r="G4352" s="3" t="n">
        <v>1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18</v>
      </c>
      <c r="N4352" s="3" t="n">
        <v>96.94</v>
      </c>
      <c r="O4352" s="3" t="n">
        <v>19.61325966850829</v>
      </c>
    </row>
    <row r="4353" hidden="1">
      <c r="A4353" s="7" t="n">
        <v>46162</v>
      </c>
      <c r="B4353" s="8" t="inlineStr">
        <is>
          <t>Cristiane Ramos da Silva Rocha</t>
        </is>
      </c>
      <c r="C4353" s="14" t="inlineStr">
        <is>
          <t>Técnico III</t>
        </is>
      </c>
      <c r="D4353" s="3" t="n">
        <v>31</v>
      </c>
      <c r="E4353" s="3" t="n">
        <v>26</v>
      </c>
      <c r="F4353" s="3" t="n">
        <v>14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21</v>
      </c>
      <c r="N4353" s="3" t="n">
        <v>92.81</v>
      </c>
      <c r="O4353" s="3" t="n">
        <v>25.47770700636943</v>
      </c>
    </row>
    <row r="4354" hidden="1">
      <c r="A4354" s="7" t="n">
        <v>46162</v>
      </c>
      <c r="B4354" s="8" t="inlineStr">
        <is>
          <t>Davylla Rodrigues Freitas Silva</t>
        </is>
      </c>
      <c r="C4354" s="14" t="inlineStr">
        <is>
          <t>Técnico III</t>
        </is>
      </c>
      <c r="D4354" s="3" t="n">
        <v>0</v>
      </c>
      <c r="E4354" s="3" t="n">
        <v>0</v>
      </c>
      <c r="F4354" s="3" t="n">
        <v>0</v>
      </c>
      <c r="G4354" s="3" t="n">
        <v>0</v>
      </c>
      <c r="H4354" s="3" t="n">
        <v>0</v>
      </c>
      <c r="I4354" s="3" t="n">
        <v>0</v>
      </c>
      <c r="J4354" s="3" t="n">
        <v>0</v>
      </c>
      <c r="K4354" s="3" t="n">
        <v>0</v>
      </c>
      <c r="L4354" s="3">
        <f>IF(K4354&lt;-5,"CRÍTICO",IF(K4354&lt;0,"ATENÇÃO",IF(K4354&lt;=5,"OPORTUNO","MUITO BOM")))</f>
        <v/>
      </c>
      <c r="M4354" s="3" t="n">
        <v>0</v>
      </c>
      <c r="N4354" s="3" t="n">
        <v>99.19</v>
      </c>
      <c r="O4354" s="3" t="n">
        <v>28.40466926070039</v>
      </c>
    </row>
    <row r="4355" hidden="1">
      <c r="A4355" s="7" t="n">
        <v>46162</v>
      </c>
      <c r="B4355" s="8" t="inlineStr">
        <is>
          <t>Francielson de Oliveira</t>
        </is>
      </c>
      <c r="C4355" s="14" t="inlineStr">
        <is>
          <t>Técnico III</t>
        </is>
      </c>
      <c r="D4355" s="3" t="n">
        <v>0</v>
      </c>
      <c r="E4355" s="3" t="n">
        <v>0</v>
      </c>
      <c r="F4355" s="3" t="n">
        <v>0</v>
      </c>
      <c r="G4355" s="3" t="n">
        <v>0</v>
      </c>
      <c r="H4355" s="3" t="n">
        <v>0</v>
      </c>
      <c r="I4355" s="3" t="n">
        <v>0</v>
      </c>
      <c r="J4355" s="3" t="n">
        <v>0</v>
      </c>
      <c r="K4355" s="3" t="n">
        <v>0</v>
      </c>
      <c r="L4355" s="3">
        <f>IF(K4355&lt;-5,"CRÍTICO",IF(K4355&lt;0,"ATENÇÃO",IF(K4355&lt;=5,"OPORTUNO","MUITO BOM")))</f>
        <v/>
      </c>
      <c r="M4355" s="3" t="n">
        <v>0</v>
      </c>
      <c r="N4355" s="3" t="n">
        <v>100</v>
      </c>
      <c r="O4355" s="3" t="n">
        <v>13.51351351351351</v>
      </c>
    </row>
    <row r="4356" hidden="1">
      <c r="A4356" s="7" t="n">
        <v>46162</v>
      </c>
      <c r="B4356" s="8" t="inlineStr">
        <is>
          <t>Janaina Lima dos Reis Urany</t>
        </is>
      </c>
      <c r="C4356" s="14" t="inlineStr">
        <is>
          <t>Técnico III</t>
        </is>
      </c>
      <c r="D4356" s="3" t="n">
        <v>38</v>
      </c>
      <c r="E4356" s="3" t="n">
        <v>35</v>
      </c>
      <c r="F4356" s="3" t="n">
        <v>13.25</v>
      </c>
      <c r="G4356" s="3" t="n">
        <v>3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34</v>
      </c>
      <c r="N4356" s="3" t="n">
        <v>99</v>
      </c>
      <c r="O4356" s="3" t="n">
        <v>22.27414330218069</v>
      </c>
    </row>
    <row r="4357" hidden="1">
      <c r="A4357" s="7" t="n">
        <v>46162</v>
      </c>
      <c r="B4357" s="8" t="inlineStr">
        <is>
          <t>Jaqueline Evangelista da Silva Martins</t>
        </is>
      </c>
      <c r="C4357" s="14" t="inlineStr">
        <is>
          <t>Técnico III</t>
        </is>
      </c>
      <c r="D4357" s="3" t="n">
        <v>24</v>
      </c>
      <c r="E4357" s="3" t="n">
        <v>21</v>
      </c>
      <c r="F4357" s="3" t="n">
        <v>15.53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97.04000000000001</v>
      </c>
      <c r="O4357" s="3" t="n">
        <v>29.82885085574572</v>
      </c>
    </row>
    <row r="4358" hidden="1">
      <c r="A4358" s="7" t="n">
        <v>46162</v>
      </c>
      <c r="B4358" s="8" t="inlineStr">
        <is>
          <t>Jéssica Fé Moura</t>
        </is>
      </c>
      <c r="C4358" s="14" t="inlineStr">
        <is>
          <t>Técnico III</t>
        </is>
      </c>
      <c r="D4358" s="3" t="n">
        <v>0</v>
      </c>
      <c r="E4358" s="3" t="n">
        <v>0</v>
      </c>
      <c r="F4358" s="3" t="n">
        <v>0</v>
      </c>
      <c r="G4358" s="3" t="n">
        <v>0</v>
      </c>
      <c r="H4358" s="3" t="n">
        <v>0</v>
      </c>
      <c r="I4358" s="3" t="n">
        <v>0</v>
      </c>
      <c r="J4358" s="3" t="n">
        <v>0</v>
      </c>
      <c r="K4358" s="3" t="n">
        <v>0</v>
      </c>
      <c r="L4358" s="3">
        <f>IF(K4358&lt;-5,"CRÍTICO",IF(K4358&lt;0,"ATENÇÃO",IF(K4358&lt;=5,"OPORTUNO","MUITO BOM")))</f>
        <v/>
      </c>
      <c r="M4358" s="3" t="n">
        <v>0</v>
      </c>
      <c r="N4358" s="3" t="n">
        <v>0</v>
      </c>
      <c r="O4358" s="3" t="n">
        <v>0</v>
      </c>
    </row>
    <row r="4359" hidden="1">
      <c r="A4359" s="7" t="n">
        <v>46162</v>
      </c>
      <c r="B4359" s="8" t="inlineStr">
        <is>
          <t>Kerollen Cristielly de Jesus Siqueira</t>
        </is>
      </c>
      <c r="C4359" s="14" t="inlineStr">
        <is>
          <t>Técnico III</t>
        </is>
      </c>
      <c r="D4359" s="3" t="n">
        <v>17</v>
      </c>
      <c r="E4359" s="3" t="n">
        <v>16</v>
      </c>
      <c r="F4359" s="3" t="n">
        <v>23.31</v>
      </c>
      <c r="G4359" s="3" t="n">
        <v>1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s="3" t="n">
        <v>18</v>
      </c>
      <c r="N4359" s="3" t="n">
        <v>96.84</v>
      </c>
      <c r="O4359" s="3" t="n">
        <v>16.33802816901408</v>
      </c>
    </row>
    <row r="4360" hidden="1">
      <c r="A4360" s="7" t="n">
        <v>46162</v>
      </c>
      <c r="B4360" s="8" t="inlineStr">
        <is>
          <t>Leandro Oliveira de Sousa</t>
        </is>
      </c>
      <c r="C4360" s="14" t="inlineStr">
        <is>
          <t>Técnico III</t>
        </is>
      </c>
      <c r="D4360" s="3" t="n">
        <v>34</v>
      </c>
      <c r="E4360" s="3" t="n">
        <v>29</v>
      </c>
      <c r="F4360" s="3" t="n">
        <v>12.33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28</v>
      </c>
      <c r="N4360" s="3" t="n">
        <v>100</v>
      </c>
      <c r="O4360" s="3" t="n">
        <v>18.24480369515012</v>
      </c>
    </row>
    <row r="4361" hidden="1">
      <c r="A4361" s="7" t="n">
        <v>46162</v>
      </c>
      <c r="B4361" s="8" t="inlineStr">
        <is>
          <t>Lucas Luiz Romero</t>
        </is>
      </c>
      <c r="C4361" s="14" t="inlineStr">
        <is>
          <t>Técnico III</t>
        </is>
      </c>
      <c r="D4361" s="3" t="n">
        <v>26</v>
      </c>
      <c r="E4361" s="3" t="n">
        <v>21</v>
      </c>
      <c r="F4361" s="3" t="n">
        <v>15.25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18</v>
      </c>
      <c r="N4361" s="3" t="n">
        <v>100</v>
      </c>
      <c r="O4361" s="3" t="n">
        <v>15.78947368421053</v>
      </c>
    </row>
    <row r="4362" hidden="1">
      <c r="A4362" s="7" t="n">
        <v>46162</v>
      </c>
      <c r="B4362" s="8" t="inlineStr">
        <is>
          <t>Matheus Farias De Souza</t>
        </is>
      </c>
      <c r="C4362" s="14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25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s="3" t="n">
        <v>16</v>
      </c>
      <c r="N4362" s="3" t="n">
        <v>98.39</v>
      </c>
      <c r="O4362" s="16" t="n">
        <v>8.799999999999999</v>
      </c>
    </row>
    <row r="4363" hidden="1">
      <c r="A4363" s="7" t="n">
        <v>46162</v>
      </c>
      <c r="B4363" s="8" t="inlineStr">
        <is>
          <t>Maysa Victoria Dias Moura</t>
        </is>
      </c>
      <c r="C4363" s="14" t="inlineStr">
        <is>
          <t>Técnico III</t>
        </is>
      </c>
      <c r="D4363" s="3" t="n">
        <v>27</v>
      </c>
      <c r="E4363" s="3" t="n">
        <v>25</v>
      </c>
      <c r="F4363" s="3" t="n">
        <v>15.01</v>
      </c>
      <c r="G4363" s="3" t="n">
        <v>2</v>
      </c>
      <c r="H4363" s="3" t="n">
        <v>0</v>
      </c>
      <c r="I4363" s="3">
        <f>E4363+G4363+H4363</f>
        <v/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/>
      </c>
      <c r="K4363" s="3">
        <f>I4363-J4363</f>
        <v/>
      </c>
      <c r="L4363" s="3">
        <f>IF(K4363&lt;-5,"CRÍTICO",IF(K4363&lt;0,"ATENÇÃO",IF(K4363&lt;=5,"OPORTUNO","MUITO BOM")))</f>
        <v/>
      </c>
      <c r="M4363" s="3" t="n">
        <v>23</v>
      </c>
      <c r="N4363" s="3" t="n">
        <v>96.38</v>
      </c>
      <c r="O4363" s="3" t="n">
        <v>23.1981981981982</v>
      </c>
    </row>
    <row r="4364" hidden="1">
      <c r="A4364" s="7" t="n">
        <v>46162</v>
      </c>
      <c r="B4364" s="8" t="inlineStr">
        <is>
          <t>Rafael Gomes de Morais</t>
        </is>
      </c>
      <c r="C4364" s="14" t="inlineStr">
        <is>
          <t>Técnico III</t>
        </is>
      </c>
      <c r="D4364" s="3" t="n">
        <v>37</v>
      </c>
      <c r="E4364" s="3" t="n">
        <v>33</v>
      </c>
      <c r="F4364" s="3" t="n">
        <v>15.26</v>
      </c>
      <c r="G4364" s="3" t="n">
        <v>0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99.39</v>
      </c>
      <c r="O4364" s="3" t="n">
        <v>25.20325203252033</v>
      </c>
    </row>
    <row r="4365" hidden="1">
      <c r="A4365" s="7" t="n">
        <v>46162</v>
      </c>
      <c r="B4365" s="8" t="inlineStr">
        <is>
          <t>Sarah Steffanie de Lima Borges</t>
        </is>
      </c>
      <c r="C4365" s="14" t="inlineStr">
        <is>
          <t>Técnico III</t>
        </is>
      </c>
      <c r="D4365" s="3" t="n">
        <v>25</v>
      </c>
      <c r="E4365" s="3" t="n">
        <v>23</v>
      </c>
      <c r="F4365" s="3" t="n">
        <v>12.07</v>
      </c>
      <c r="G4365" s="3" t="n">
        <v>1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21</v>
      </c>
      <c r="N4365" s="3" t="n">
        <v>97</v>
      </c>
      <c r="O4365" s="3" t="n">
        <v>20.32520325203252</v>
      </c>
    </row>
    <row r="4366" hidden="1">
      <c r="A4366" s="7" t="n">
        <v>46162</v>
      </c>
      <c r="B4366" s="8" t="inlineStr">
        <is>
          <t>Alisson de Freitas Silva</t>
        </is>
      </c>
      <c r="C4366" s="14" t="inlineStr">
        <is>
          <t>Técnico II</t>
        </is>
      </c>
      <c r="D4366" s="3" t="n">
        <v>36</v>
      </c>
      <c r="E4366" s="3" t="n">
        <v>25</v>
      </c>
      <c r="F4366" s="3" t="n">
        <v>11.43</v>
      </c>
      <c r="G4366" s="3" t="n">
        <v>6</v>
      </c>
      <c r="H4366" s="3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M4366" s="3" t="n">
        <v>20</v>
      </c>
      <c r="N4366" s="3" t="n">
        <v>99.18000000000001</v>
      </c>
      <c r="O4366" s="3" t="n">
        <v>24.5014245014245</v>
      </c>
    </row>
    <row r="4367" hidden="1">
      <c r="A4367" s="7" t="n">
        <v>46162</v>
      </c>
      <c r="B4367" s="8" t="inlineStr">
        <is>
          <t>Brenda de Menezes Silva</t>
        </is>
      </c>
      <c r="C4367" s="14" t="inlineStr">
        <is>
          <t>Técnico II</t>
        </is>
      </c>
      <c r="D4367" s="3" t="n">
        <v>25</v>
      </c>
      <c r="E4367" s="3" t="n">
        <v>23</v>
      </c>
      <c r="F4367" s="3" t="n">
        <v>15.11</v>
      </c>
      <c r="G4367" s="3" t="n">
        <v>2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29</v>
      </c>
      <c r="N4367" s="3" t="n">
        <v>99.34999999999999</v>
      </c>
      <c r="O4367" s="3" t="n">
        <v>19.85294117647059</v>
      </c>
    </row>
    <row r="4368" hidden="1">
      <c r="A4368" s="7" t="n">
        <v>46162</v>
      </c>
      <c r="B4368" s="8" t="inlineStr">
        <is>
          <t>Carlos Mateus Cassimiro Nunes</t>
        </is>
      </c>
      <c r="C4368" s="14" t="inlineStr">
        <is>
          <t>Técnico II</t>
        </is>
      </c>
      <c r="D4368" s="3" t="n">
        <v>27</v>
      </c>
      <c r="E4368" s="3" t="n">
        <v>26</v>
      </c>
      <c r="F4368" s="3" t="n">
        <v>18.58</v>
      </c>
      <c r="G4368" s="3" t="n">
        <v>1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25</v>
      </c>
      <c r="N4368" s="3" t="n">
        <v>99.06999999999999</v>
      </c>
      <c r="O4368" s="3" t="n">
        <v>20.09803921568627</v>
      </c>
    </row>
    <row r="4369" hidden="1">
      <c r="A4369" s="7" t="n">
        <v>46162</v>
      </c>
      <c r="B4369" s="8" t="inlineStr">
        <is>
          <t>Damyllis Lorraine de Oliveira Gonçalves</t>
        </is>
      </c>
      <c r="C4369" s="14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98.81</v>
      </c>
      <c r="O4369" s="3" t="n">
        <v>22.76785714285714</v>
      </c>
    </row>
    <row r="4370" hidden="1">
      <c r="A4370" s="7" t="n">
        <v>46162</v>
      </c>
      <c r="B4370" s="8" t="inlineStr">
        <is>
          <t>Emilly Kamilly Medeiros Miranda</t>
        </is>
      </c>
      <c r="C4370" s="14" t="inlineStr">
        <is>
          <t>Técnico II</t>
        </is>
      </c>
      <c r="D4370" s="3" t="n">
        <v>30</v>
      </c>
      <c r="E4370" s="3" t="n">
        <v>28</v>
      </c>
      <c r="F4370" s="3" t="n">
        <v>10.26</v>
      </c>
      <c r="G4370" s="3" t="n">
        <v>2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28</v>
      </c>
      <c r="N4370" s="3" t="n">
        <v>99.01000000000001</v>
      </c>
      <c r="O4370" s="3" t="n">
        <v>17.76649746192894</v>
      </c>
    </row>
    <row r="4371" hidden="1">
      <c r="A4371" s="7" t="n">
        <v>46162</v>
      </c>
      <c r="B4371" s="8" t="inlineStr">
        <is>
          <t>Francilene Ferreira de Jesus</t>
        </is>
      </c>
      <c r="C4371" s="14" t="inlineStr">
        <is>
          <t>Técnico II</t>
        </is>
      </c>
      <c r="D4371" s="3" t="n">
        <v>0</v>
      </c>
      <c r="E4371" s="3" t="n">
        <v>0</v>
      </c>
      <c r="F4371" s="3" t="n">
        <v>0</v>
      </c>
      <c r="G4371" s="3" t="n">
        <v>0</v>
      </c>
      <c r="H4371" s="3" t="n">
        <v>0</v>
      </c>
      <c r="I4371" s="3" t="n">
        <v>0</v>
      </c>
      <c r="J4371" s="3" t="n">
        <v>0</v>
      </c>
      <c r="K4371" s="3" t="n">
        <v>0</v>
      </c>
      <c r="L4371" s="3">
        <f>IF(K4371&lt;-5,"CRÍTICO",IF(K4371&lt;0,"ATENÇÃO",IF(K4371&lt;=5,"OPORTUNO","MUITO BOM")))</f>
        <v/>
      </c>
      <c r="M4371" s="3" t="n">
        <v>0</v>
      </c>
      <c r="N4371" s="3" t="n">
        <v>100</v>
      </c>
      <c r="O4371" s="3" t="n">
        <v>17.24137931034483</v>
      </c>
    </row>
    <row r="4372" hidden="1">
      <c r="A4372" s="7" t="n">
        <v>46162</v>
      </c>
      <c r="B4372" s="8" t="inlineStr">
        <is>
          <t>Isabella Borges de Oliveira</t>
        </is>
      </c>
      <c r="C4372" s="14" t="inlineStr">
        <is>
          <t>Técnico II</t>
        </is>
      </c>
      <c r="D4372" s="3" t="n">
        <v>24</v>
      </c>
      <c r="E4372" s="3" t="n">
        <v>24</v>
      </c>
      <c r="F4372" s="3" t="n">
        <v>23.52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22</v>
      </c>
      <c r="N4372" s="3" t="n">
        <v>98.98</v>
      </c>
      <c r="O4372" s="3" t="n">
        <v>19.35483870967742</v>
      </c>
    </row>
    <row r="4373" hidden="1">
      <c r="A4373" s="7" t="n">
        <v>46162</v>
      </c>
      <c r="B4373" s="8" t="inlineStr">
        <is>
          <t>Jessica Faria da Silveira</t>
        </is>
      </c>
      <c r="C4373" s="14" t="inlineStr">
        <is>
          <t>Técnico II</t>
        </is>
      </c>
      <c r="D4373" s="3" t="n">
        <v>32</v>
      </c>
      <c r="E4373" s="3" t="n">
        <v>26</v>
      </c>
      <c r="F4373" s="3" t="n">
        <v>14.11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23</v>
      </c>
      <c r="N4373" s="3" t="n">
        <v>98.94</v>
      </c>
      <c r="O4373" s="3" t="n">
        <v>21.2707182320442</v>
      </c>
    </row>
    <row r="4374" hidden="1">
      <c r="A4374" s="7" t="n">
        <v>46162</v>
      </c>
      <c r="B4374" s="8" t="inlineStr">
        <is>
          <t>Lizandra Gomes Duarte</t>
        </is>
      </c>
      <c r="C4374" s="14" t="inlineStr">
        <is>
          <t>Técnico II</t>
        </is>
      </c>
      <c r="D4374" s="3" t="n">
        <v>25</v>
      </c>
      <c r="E4374" s="3" t="n">
        <v>23</v>
      </c>
      <c r="F4374" s="3" t="n">
        <v>20.02</v>
      </c>
      <c r="G4374" s="3" t="n">
        <v>2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19</v>
      </c>
      <c r="N4374" s="3" t="n">
        <v>99</v>
      </c>
      <c r="O4374" s="3" t="n">
        <v>22.01086956521739</v>
      </c>
    </row>
    <row r="4375" hidden="1">
      <c r="A4375" s="7" t="n">
        <v>46162</v>
      </c>
      <c r="B4375" s="8" t="inlineStr">
        <is>
          <t>Lorena Dias de Araujo</t>
        </is>
      </c>
      <c r="C4375" s="14" t="inlineStr">
        <is>
          <t>Técnico II</t>
        </is>
      </c>
      <c r="D4375" s="3" t="n">
        <v>16</v>
      </c>
      <c r="E4375" s="3" t="n">
        <v>13</v>
      </c>
      <c r="F4375" s="3" t="n">
        <v>25.44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8</v>
      </c>
      <c r="N4375" s="3" t="n">
        <v>100</v>
      </c>
      <c r="O4375" s="3" t="n">
        <v>25</v>
      </c>
    </row>
    <row r="4376" hidden="1">
      <c r="A4376" s="7" t="n">
        <v>46162</v>
      </c>
      <c r="B4376" s="8" t="inlineStr">
        <is>
          <t>Patrícia Karla de Sousa Araújo</t>
        </is>
      </c>
      <c r="C4376" s="14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100</v>
      </c>
      <c r="O4376" s="3" t="n">
        <v>20.18348623853211</v>
      </c>
    </row>
    <row r="4377" hidden="1">
      <c r="A4377" s="7" t="n">
        <v>46162</v>
      </c>
      <c r="B4377" s="8" t="inlineStr">
        <is>
          <t>Ana Karollyne Souza Faria</t>
        </is>
      </c>
      <c r="C4377" s="14" t="inlineStr">
        <is>
          <t>Técnico I</t>
        </is>
      </c>
      <c r="D4377" s="3" t="n">
        <v>26</v>
      </c>
      <c r="E4377" s="3" t="n">
        <v>25</v>
      </c>
      <c r="F4377" s="3" t="n">
        <v>15.37</v>
      </c>
      <c r="G4377" s="3" t="n">
        <v>1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27</v>
      </c>
      <c r="N4377" s="3" t="n">
        <v>96.25</v>
      </c>
      <c r="O4377" s="3" t="n">
        <v>25.5863539445629</v>
      </c>
    </row>
    <row r="4378" hidden="1">
      <c r="A4378" s="7" t="n">
        <v>46162</v>
      </c>
      <c r="B4378" s="8" t="inlineStr">
        <is>
          <t>Clessiane Pereira dos Santos</t>
        </is>
      </c>
      <c r="C4378" s="14" t="inlineStr">
        <is>
          <t>Técnico I</t>
        </is>
      </c>
      <c r="D4378" s="3" t="n">
        <v>23</v>
      </c>
      <c r="E4378" s="3" t="n">
        <v>23</v>
      </c>
      <c r="F4378" s="3" t="n">
        <v>15.5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3" t="n">
        <v>22</v>
      </c>
      <c r="N4378" s="3" t="n">
        <v>97.48</v>
      </c>
      <c r="O4378" s="3" t="n">
        <v>22.99465240641711</v>
      </c>
    </row>
    <row r="4379" hidden="1">
      <c r="A4379" s="7" t="n">
        <v>46162</v>
      </c>
      <c r="B4379" s="8" t="inlineStr">
        <is>
          <t>Daniel Gomes da Silva</t>
        </is>
      </c>
      <c r="C4379" s="14" t="inlineStr">
        <is>
          <t>Técnico I</t>
        </is>
      </c>
      <c r="D4379" s="3" t="n">
        <v>17</v>
      </c>
      <c r="E4379" s="3" t="n">
        <v>14</v>
      </c>
      <c r="F4379" s="3" t="n">
        <v>15.58</v>
      </c>
      <c r="G4379" s="3" t="n">
        <v>2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13</v>
      </c>
      <c r="N4379" s="3" t="n">
        <v>100</v>
      </c>
      <c r="O4379" s="3" t="n">
        <v>20.78853046594982</v>
      </c>
    </row>
    <row r="4380" hidden="1">
      <c r="A4380" s="7" t="n">
        <v>46162</v>
      </c>
      <c r="B4380" s="8" t="inlineStr">
        <is>
          <t>Luiz Fernando de Carvalho Junior</t>
        </is>
      </c>
      <c r="C4380" s="14" t="inlineStr">
        <is>
          <t>Técnico I</t>
        </is>
      </c>
      <c r="D4380" s="3" t="n">
        <v>18</v>
      </c>
      <c r="E4380" s="3" t="n">
        <v>17</v>
      </c>
      <c r="F4380" s="3" t="n">
        <v>15.33</v>
      </c>
      <c r="G4380" s="3" t="n">
        <v>1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16</v>
      </c>
      <c r="N4380" s="3" t="n">
        <v>94.55</v>
      </c>
      <c r="O4380" s="3" t="n">
        <v>23.45013477088949</v>
      </c>
    </row>
    <row r="4381" hidden="1">
      <c r="A4381" s="7" t="n">
        <v>46162</v>
      </c>
      <c r="B4381" s="8" t="inlineStr">
        <is>
          <t>Raane Batista Matos</t>
        </is>
      </c>
      <c r="C4381" s="14" t="inlineStr">
        <is>
          <t>Técnico I</t>
        </is>
      </c>
      <c r="D4381" s="3" t="n">
        <v>25</v>
      </c>
      <c r="E4381" s="3" t="n">
        <v>24</v>
      </c>
      <c r="F4381" s="3" t="n">
        <v>17.06</v>
      </c>
      <c r="G4381" s="3" t="n">
        <v>1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18</v>
      </c>
      <c r="N4381" s="3" t="n">
        <v>98</v>
      </c>
      <c r="O4381" s="3" t="n">
        <v>20.73490813648294</v>
      </c>
    </row>
    <row r="4382" hidden="1">
      <c r="A4382" s="7" t="n">
        <v>46162</v>
      </c>
      <c r="B4382" s="8" t="inlineStr">
        <is>
          <t>Sara Maria Monteiro Lopes</t>
        </is>
      </c>
      <c r="C4382" s="14" t="inlineStr">
        <is>
          <t>Técnico I</t>
        </is>
      </c>
      <c r="D4382" s="3" t="n">
        <v>17</v>
      </c>
      <c r="E4382" s="3" t="n">
        <v>17</v>
      </c>
      <c r="F4382" s="3" t="n">
        <v>34.04</v>
      </c>
      <c r="G4382" s="3" t="n">
        <v>1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14</v>
      </c>
      <c r="N4382" s="3" t="n">
        <v>100</v>
      </c>
      <c r="O4382" s="3" t="n">
        <v>18</v>
      </c>
    </row>
    <row r="4383" hidden="1">
      <c r="A4383" s="7" t="n">
        <v>46162</v>
      </c>
      <c r="B4383" s="8" t="inlineStr">
        <is>
          <t>Gabriel Gomes de Andrade</t>
        </is>
      </c>
      <c r="C4383" s="14" t="inlineStr">
        <is>
          <t>Técnico I</t>
        </is>
      </c>
      <c r="D4383" s="3" t="n">
        <v>26</v>
      </c>
      <c r="E4383" s="3" t="n">
        <v>20</v>
      </c>
      <c r="F4383" s="3" t="n">
        <v>15.09</v>
      </c>
      <c r="G4383" s="3" t="n">
        <v>5</v>
      </c>
      <c r="H4383" s="3" t="n">
        <v>2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21</v>
      </c>
      <c r="N4383" s="3" t="n">
        <v>99.06</v>
      </c>
      <c r="O4383" s="3" t="n">
        <v>19.41747572815534</v>
      </c>
    </row>
    <row r="4384" hidden="1">
      <c r="A4384" s="5" t="n">
        <v>46163</v>
      </c>
      <c r="B4384" s="6" t="inlineStr">
        <is>
          <t>Amanda Moura Ferreira</t>
        </is>
      </c>
      <c r="C4384" s="1" t="inlineStr">
        <is>
          <t>Técnico III</t>
        </is>
      </c>
      <c r="D4384" s="3" t="n">
        <v>0</v>
      </c>
      <c r="E4384" s="3" t="n">
        <v>0</v>
      </c>
      <c r="F4384" s="3" t="n">
        <v>0</v>
      </c>
      <c r="G4384" s="3" t="n">
        <v>0</v>
      </c>
      <c r="H4384" s="3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M4384" s="3" t="n">
        <v>0</v>
      </c>
      <c r="N4384" s="3" t="n">
        <v>100</v>
      </c>
      <c r="O4384" s="3" t="n">
        <v>0</v>
      </c>
    </row>
    <row r="4385" hidden="1">
      <c r="A4385" s="5" t="n">
        <v>46163</v>
      </c>
      <c r="B4385" s="6" t="inlineStr">
        <is>
          <t>Ana Paula Da Luz Silva Aleixo</t>
        </is>
      </c>
      <c r="C4385" s="1" t="inlineStr">
        <is>
          <t>Técnico III</t>
        </is>
      </c>
      <c r="D4385" s="3" t="n">
        <v>17</v>
      </c>
      <c r="E4385" s="3" t="n">
        <v>15</v>
      </c>
      <c r="F4385" s="3" t="n">
        <v>20.24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13</v>
      </c>
      <c r="N4385" s="3" t="n">
        <v>96.94</v>
      </c>
      <c r="O4385" s="3" t="n">
        <v>19.61325966850829</v>
      </c>
    </row>
    <row r="4386" hidden="1">
      <c r="A4386" s="5" t="n">
        <v>46163</v>
      </c>
      <c r="B4386" s="6" t="inlineStr">
        <is>
          <t>Cristiane Ramos da Silva Rocha</t>
        </is>
      </c>
      <c r="C4386" s="1" t="inlineStr">
        <is>
          <t>Técnico III</t>
        </is>
      </c>
      <c r="D4386" s="3" t="n">
        <v>22</v>
      </c>
      <c r="E4386" s="3" t="n">
        <v>22</v>
      </c>
      <c r="F4386" s="3" t="n">
        <v>13.42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20</v>
      </c>
      <c r="N4386" s="3" t="n">
        <v>92.81</v>
      </c>
      <c r="O4386" s="3" t="n">
        <v>25.47770700636943</v>
      </c>
    </row>
    <row r="4387" hidden="1">
      <c r="A4387" s="5" t="n">
        <v>46163</v>
      </c>
      <c r="B4387" s="6" t="inlineStr">
        <is>
          <t>Davylla Rodrigues Freitas Silva</t>
        </is>
      </c>
      <c r="C4387" s="1" t="inlineStr">
        <is>
          <t>Técnico III</t>
        </is>
      </c>
      <c r="D4387" s="3" t="n">
        <v>0</v>
      </c>
      <c r="E4387" s="3" t="n">
        <v>0</v>
      </c>
      <c r="F4387" s="3" t="n">
        <v>0</v>
      </c>
      <c r="G4387" s="3" t="n">
        <v>0</v>
      </c>
      <c r="H4387" s="3" t="n">
        <v>0</v>
      </c>
      <c r="I4387" s="3" t="n">
        <v>0</v>
      </c>
      <c r="J4387" s="3" t="n">
        <v>0</v>
      </c>
      <c r="K4387" s="3" t="n">
        <v>0</v>
      </c>
      <c r="L4387" s="3">
        <f>IF(K4387&lt;-5,"CRÍTICO",IF(K4387&lt;0,"ATENÇÃO",IF(K4387&lt;=5,"OPORTUNO","MUITO BOM")))</f>
        <v/>
      </c>
      <c r="M4387" s="3" t="n">
        <v>0</v>
      </c>
      <c r="N4387" s="3" t="n">
        <v>99.19</v>
      </c>
      <c r="O4387" s="3" t="n">
        <v>28.40466926070039</v>
      </c>
    </row>
    <row r="4388" hidden="1">
      <c r="A4388" s="5" t="n">
        <v>46163</v>
      </c>
      <c r="B4388" s="6" t="inlineStr">
        <is>
          <t>Francielson de Oliveira</t>
        </is>
      </c>
      <c r="C4388" s="1" t="inlineStr">
        <is>
          <t>Técnico III</t>
        </is>
      </c>
      <c r="D4388" s="3" t="n">
        <v>0</v>
      </c>
      <c r="E4388" s="3" t="n">
        <v>0</v>
      </c>
      <c r="F4388" s="3" t="n">
        <v>0</v>
      </c>
      <c r="G4388" s="3" t="n">
        <v>0</v>
      </c>
      <c r="H4388" s="3" t="n">
        <v>0</v>
      </c>
      <c r="I4388" s="3" t="n">
        <v>0</v>
      </c>
      <c r="J4388" s="3" t="n">
        <v>0</v>
      </c>
      <c r="K4388" s="3" t="n">
        <v>0</v>
      </c>
      <c r="L4388" s="3">
        <f>IF(K4388&lt;-5,"CRÍTICO",IF(K4388&lt;0,"ATENÇÃO",IF(K4388&lt;=5,"OPORTUNO","MUITO BOM")))</f>
        <v/>
      </c>
      <c r="M4388" s="3" t="n">
        <v>0</v>
      </c>
      <c r="N4388" s="3" t="n">
        <v>100</v>
      </c>
      <c r="O4388" s="3" t="n">
        <v>13.51351351351351</v>
      </c>
    </row>
    <row r="4389" hidden="1">
      <c r="A4389" s="5" t="n">
        <v>46163</v>
      </c>
      <c r="B4389" s="6" t="inlineStr">
        <is>
          <t>Janaina Lima dos Reis Urany</t>
        </is>
      </c>
      <c r="C4389" s="1" t="inlineStr">
        <is>
          <t>Técnico III</t>
        </is>
      </c>
      <c r="D4389" s="3" t="n">
        <v>31</v>
      </c>
      <c r="E4389" s="3" t="n">
        <v>28</v>
      </c>
      <c r="F4389" s="3" t="n">
        <v>13.35</v>
      </c>
      <c r="G4389" s="3" t="n">
        <v>2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28</v>
      </c>
      <c r="N4389" s="3" t="n">
        <v>99</v>
      </c>
      <c r="O4389" s="3" t="n">
        <v>22.27414330218069</v>
      </c>
    </row>
    <row r="4390" hidden="1">
      <c r="A4390" s="5" t="n">
        <v>46163</v>
      </c>
      <c r="B4390" s="6" t="inlineStr">
        <is>
          <t>Jaqueline Evangelista da Silva Martins</t>
        </is>
      </c>
      <c r="C4390" s="1" t="inlineStr">
        <is>
          <t>Técnico III</t>
        </is>
      </c>
      <c r="D4390" s="3" t="n">
        <v>10</v>
      </c>
      <c r="E4390" s="3" t="n">
        <v>10</v>
      </c>
      <c r="F4390" s="3" t="n">
        <v>19.12</v>
      </c>
      <c r="G4390" s="3" t="n">
        <v>2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10</v>
      </c>
      <c r="N4390" s="3" t="n">
        <v>97.04000000000001</v>
      </c>
      <c r="O4390" s="3" t="n">
        <v>29.82885085574572</v>
      </c>
    </row>
    <row r="4391" hidden="1">
      <c r="A4391" s="5" t="n">
        <v>46163</v>
      </c>
      <c r="B4391" s="6" t="inlineStr">
        <is>
          <t>Jéssica Fé Moura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0</v>
      </c>
      <c r="I4391" s="3" t="n">
        <v>0</v>
      </c>
      <c r="J4391" s="3" t="n">
        <v>0</v>
      </c>
      <c r="K4391" s="3" t="n">
        <v>0</v>
      </c>
      <c r="L4391" s="3">
        <f>IF(K4391&lt;-5,"CRÍTICO",IF(K4391&lt;0,"ATENÇÃO",IF(K4391&lt;=5,"OPORTUNO","MUITO BOM")))</f>
        <v/>
      </c>
      <c r="M4391" s="3" t="n">
        <v>0</v>
      </c>
      <c r="N4391" s="3" t="n">
        <v>0</v>
      </c>
      <c r="O4391" s="3" t="n">
        <v>0</v>
      </c>
    </row>
    <row r="4392" hidden="1">
      <c r="A4392" s="5" t="n">
        <v>46163</v>
      </c>
      <c r="B4392" s="6" t="inlineStr">
        <is>
          <t>Kerollen Cristielly de Jesus Siqueira</t>
        </is>
      </c>
      <c r="C4392" s="1" t="inlineStr">
        <is>
          <t>Técnico III</t>
        </is>
      </c>
      <c r="D4392" s="3" t="n">
        <v>21</v>
      </c>
      <c r="E4392" s="3" t="n">
        <v>20</v>
      </c>
      <c r="F4392" s="3" t="n">
        <v>23.33</v>
      </c>
      <c r="G4392" s="3" t="n">
        <v>1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21</v>
      </c>
      <c r="N4392" s="3" t="n">
        <v>96.84</v>
      </c>
      <c r="O4392" s="3" t="n">
        <v>16.33802816901408</v>
      </c>
    </row>
    <row r="4393" hidden="1">
      <c r="A4393" s="5" t="n">
        <v>46163</v>
      </c>
      <c r="B4393" s="6" t="inlineStr">
        <is>
          <t>Leandro Oliveira de Sousa</t>
        </is>
      </c>
      <c r="C4393" s="1" t="inlineStr">
        <is>
          <t>Técnico III</t>
        </is>
      </c>
      <c r="D4393" s="3" t="n">
        <v>22</v>
      </c>
      <c r="E4393" s="3" t="n">
        <v>21</v>
      </c>
      <c r="F4393" s="3" t="n">
        <v>15.35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100</v>
      </c>
      <c r="O4393" s="3" t="n">
        <v>18.24480369515012</v>
      </c>
    </row>
    <row r="4394" hidden="1">
      <c r="A4394" s="5" t="n">
        <v>46163</v>
      </c>
      <c r="B4394" s="6" t="inlineStr">
        <is>
          <t>Lucas Luiz Romero</t>
        </is>
      </c>
      <c r="C4394" s="1" t="inlineStr">
        <is>
          <t>Técnico III</t>
        </is>
      </c>
      <c r="D4394" s="3" t="n">
        <v>29</v>
      </c>
      <c r="E4394" s="3" t="n">
        <v>27</v>
      </c>
      <c r="F4394" s="3" t="n">
        <v>15.54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18</v>
      </c>
      <c r="N4394" s="3" t="n">
        <v>100</v>
      </c>
      <c r="O4394" s="3" t="n">
        <v>15.78947368421053</v>
      </c>
    </row>
    <row r="4395" hidden="1">
      <c r="A4395" s="5" t="n">
        <v>46163</v>
      </c>
      <c r="B4395" s="6" t="inlineStr">
        <is>
          <t>Matheus Farias De Souza</t>
        </is>
      </c>
      <c r="C4395" s="1" t="inlineStr">
        <is>
          <t>Técnico III</t>
        </is>
      </c>
      <c r="D4395" s="3" t="n">
        <v>0</v>
      </c>
      <c r="E4395" s="3" t="n">
        <v>0</v>
      </c>
      <c r="F4395" s="3" t="n">
        <v>0</v>
      </c>
      <c r="G4395" s="3" t="n">
        <v>0</v>
      </c>
      <c r="H4395" s="3" t="n">
        <v>30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15</v>
      </c>
      <c r="N4395" s="3" t="n">
        <v>98.39</v>
      </c>
      <c r="O4395" s="16" t="n">
        <v>8.799999999999999</v>
      </c>
    </row>
    <row r="4396" hidden="1">
      <c r="A4396" s="5" t="n">
        <v>46163</v>
      </c>
      <c r="B4396" s="6" t="inlineStr">
        <is>
          <t>Maysa Victoria Dias Moura</t>
        </is>
      </c>
      <c r="C4396" s="1" t="inlineStr">
        <is>
          <t>Técnico III</t>
        </is>
      </c>
      <c r="D4396" s="3" t="n">
        <v>27</v>
      </c>
      <c r="E4396" s="3" t="n">
        <v>22</v>
      </c>
      <c r="F4396" s="3" t="n">
        <v>15.16</v>
      </c>
      <c r="G4396" s="3" t="n">
        <v>3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M4396" s="3" t="n">
        <v>21</v>
      </c>
      <c r="N4396" s="3" t="n">
        <v>96.38</v>
      </c>
      <c r="O4396" s="3" t="n">
        <v>23.1981981981982</v>
      </c>
    </row>
    <row r="4397" hidden="1">
      <c r="A4397" s="5" t="n">
        <v>46163</v>
      </c>
      <c r="B4397" s="6" t="inlineStr">
        <is>
          <t>Rafael Gomes de Morais</t>
        </is>
      </c>
      <c r="C4397" s="1" t="inlineStr">
        <is>
          <t>Técnico III</t>
        </is>
      </c>
      <c r="D4397" s="3" t="n">
        <v>35</v>
      </c>
      <c r="E4397" s="3" t="n">
        <v>31</v>
      </c>
      <c r="F4397" s="3" t="n">
        <v>8.300000000000001</v>
      </c>
      <c r="G4397" s="3" t="n">
        <v>2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22</v>
      </c>
      <c r="N4397" s="3" t="n">
        <v>99.39</v>
      </c>
      <c r="O4397" s="3" t="n">
        <v>25.20325203252033</v>
      </c>
    </row>
    <row r="4398" hidden="1">
      <c r="A4398" s="5" t="n">
        <v>46163</v>
      </c>
      <c r="B4398" s="6" t="inlineStr">
        <is>
          <t>Sarah Steffanie de Lima Borges</t>
        </is>
      </c>
      <c r="C4398" s="1" t="inlineStr">
        <is>
          <t>Técnico III</t>
        </is>
      </c>
      <c r="D4398" s="3" t="n">
        <v>23</v>
      </c>
      <c r="E4398" s="3" t="n">
        <v>22</v>
      </c>
      <c r="F4398" s="3" t="n">
        <v>17.08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21</v>
      </c>
      <c r="N4398" s="3" t="n">
        <v>97</v>
      </c>
      <c r="O4398" s="3" t="n">
        <v>20.32520325203252</v>
      </c>
    </row>
    <row r="4399" hidden="1">
      <c r="A4399" s="5" t="n">
        <v>46163</v>
      </c>
      <c r="B4399" s="6" t="inlineStr">
        <is>
          <t>Alisson de Freitas Silva</t>
        </is>
      </c>
      <c r="C4399" s="1" t="inlineStr">
        <is>
          <t>Técnico II</t>
        </is>
      </c>
      <c r="D4399" s="3" t="n">
        <v>31</v>
      </c>
      <c r="E4399" s="3" t="n">
        <v>19</v>
      </c>
      <c r="F4399" s="3" t="n">
        <v>5.55</v>
      </c>
      <c r="G4399" s="3" t="n">
        <v>1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17</v>
      </c>
      <c r="N4399" s="3" t="n">
        <v>99.18000000000001</v>
      </c>
      <c r="O4399" s="3" t="n">
        <v>24.5014245014245</v>
      </c>
    </row>
    <row r="4400" hidden="1">
      <c r="A4400" s="5" t="n">
        <v>46163</v>
      </c>
      <c r="B4400" s="6" t="inlineStr">
        <is>
          <t>Brenda de Menezes Silva</t>
        </is>
      </c>
      <c r="C4400" s="1" t="inlineStr">
        <is>
          <t>Técnico II</t>
        </is>
      </c>
      <c r="D4400" s="3" t="n">
        <v>31</v>
      </c>
      <c r="E4400" s="3" t="n">
        <v>27</v>
      </c>
      <c r="F4400" s="3" t="n">
        <v>10.15</v>
      </c>
      <c r="G4400" s="3" t="n">
        <v>4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28</v>
      </c>
      <c r="N4400" s="3" t="n">
        <v>99.34999999999999</v>
      </c>
      <c r="O4400" s="3" t="n">
        <v>19.85294117647059</v>
      </c>
    </row>
    <row r="4401" hidden="1">
      <c r="A4401" s="5" t="n">
        <v>46163</v>
      </c>
      <c r="B4401" s="6" t="inlineStr">
        <is>
          <t>Carlos Mateus Cassimiro Nunes</t>
        </is>
      </c>
      <c r="C4401" s="1" t="inlineStr">
        <is>
          <t>Técnico II</t>
        </is>
      </c>
      <c r="D4401" s="3" t="n">
        <v>24</v>
      </c>
      <c r="E4401" s="3" t="n">
        <v>22</v>
      </c>
      <c r="F4401" s="3" t="n">
        <v>18.55</v>
      </c>
      <c r="G4401" s="3" t="n">
        <v>1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21</v>
      </c>
      <c r="N4401" s="3" t="n">
        <v>99.06999999999999</v>
      </c>
      <c r="O4401" s="3" t="n">
        <v>20.09803921568627</v>
      </c>
    </row>
    <row r="4402" hidden="1">
      <c r="A4402" s="5" t="n">
        <v>46163</v>
      </c>
      <c r="B4402" s="6" t="inlineStr">
        <is>
          <t>Damyllis Lorraine de Oliveira Gonçalves</t>
        </is>
      </c>
      <c r="C4402" s="1" t="inlineStr">
        <is>
          <t>Técnico II</t>
        </is>
      </c>
      <c r="D4402" s="3" t="n">
        <v>0</v>
      </c>
      <c r="E4402" s="3" t="n">
        <v>0</v>
      </c>
      <c r="F4402" s="3" t="n">
        <v>0</v>
      </c>
      <c r="G4402" s="3" t="n">
        <v>0</v>
      </c>
      <c r="H4402" s="3" t="n">
        <v>0</v>
      </c>
      <c r="I4402" s="3" t="n">
        <v>0</v>
      </c>
      <c r="J4402" s="3" t="n">
        <v>0</v>
      </c>
      <c r="K4402" s="3" t="n">
        <v>0</v>
      </c>
      <c r="L4402" s="3">
        <f>IF(K4402&lt;-5,"CRÍTICO",IF(K4402&lt;0,"ATENÇÃO",IF(K4402&lt;=5,"OPORTUNO","MUITO BOM")))</f>
        <v/>
      </c>
      <c r="M4402" s="3" t="n">
        <v>0</v>
      </c>
      <c r="N4402" s="3" t="n">
        <v>98.81</v>
      </c>
      <c r="O4402" s="3" t="n">
        <v>22.76785714285714</v>
      </c>
    </row>
    <row r="4403" hidden="1">
      <c r="A4403" s="5" t="n">
        <v>46163</v>
      </c>
      <c r="B4403" s="6" t="inlineStr">
        <is>
          <t>Emilly Kamilly Medeiros Miranda</t>
        </is>
      </c>
      <c r="C4403" s="1" t="inlineStr">
        <is>
          <t>Técnico II</t>
        </is>
      </c>
      <c r="D4403" s="3" t="n">
        <v>28</v>
      </c>
      <c r="E4403" s="3" t="n">
        <v>23</v>
      </c>
      <c r="F4403" s="3" t="n">
        <v>9.02</v>
      </c>
      <c r="G4403" s="3" t="n">
        <v>3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M4403" s="3" t="n">
        <v>25</v>
      </c>
      <c r="N4403" s="3" t="n">
        <v>99.01000000000001</v>
      </c>
      <c r="O4403" s="3" t="n">
        <v>17.76649746192894</v>
      </c>
    </row>
    <row r="4404" hidden="1">
      <c r="A4404" s="5" t="n">
        <v>46163</v>
      </c>
      <c r="B4404" s="6" t="inlineStr">
        <is>
          <t>Francilene Ferreira de Jesus</t>
        </is>
      </c>
      <c r="C4404" s="1" t="inlineStr">
        <is>
          <t>Técnico II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IF(K4404&lt;-5,"CRÍTICO",IF(K4404&lt;0,"ATENÇÃO",IF(K4404&lt;=5,"OPORTUNO","MUITO BOM")))</f>
        <v/>
      </c>
      <c r="M4404" s="3" t="n">
        <v>0</v>
      </c>
      <c r="N4404" s="3" t="n">
        <v>100</v>
      </c>
      <c r="O4404" s="3" t="n">
        <v>17.24137931034483</v>
      </c>
    </row>
    <row r="4405" hidden="1">
      <c r="A4405" s="5" t="n">
        <v>46163</v>
      </c>
      <c r="B4405" s="6" t="inlineStr">
        <is>
          <t>Isabella Borges de Oliveira</t>
        </is>
      </c>
      <c r="C4405" s="1" t="inlineStr">
        <is>
          <t>Técnico II</t>
        </is>
      </c>
      <c r="D4405" s="3" t="n">
        <v>22</v>
      </c>
      <c r="E4405" s="3" t="n">
        <v>21</v>
      </c>
      <c r="F4405" s="3" t="n">
        <v>19.05</v>
      </c>
      <c r="G4405" s="3" t="n">
        <v>1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19</v>
      </c>
      <c r="N4405" s="3" t="n">
        <v>98.98</v>
      </c>
      <c r="O4405" s="3" t="n">
        <v>19.35483870967742</v>
      </c>
    </row>
    <row r="4406" hidden="1">
      <c r="A4406" s="5" t="n">
        <v>46163</v>
      </c>
      <c r="B4406" s="6" t="inlineStr">
        <is>
          <t>Jessica Faria da Silveira</t>
        </is>
      </c>
      <c r="C4406" s="1" t="inlineStr">
        <is>
          <t>Técnico II</t>
        </is>
      </c>
      <c r="D4406" s="3" t="n">
        <v>17</v>
      </c>
      <c r="E4406" s="3" t="n">
        <v>14</v>
      </c>
      <c r="F4406" s="3" t="n">
        <v>17.2</v>
      </c>
      <c r="G4406" s="3" t="n">
        <v>0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M4406" s="3" t="n">
        <v>14</v>
      </c>
      <c r="N4406" s="3" t="n">
        <v>98.94</v>
      </c>
      <c r="O4406" s="3" t="n">
        <v>21.2707182320442</v>
      </c>
    </row>
    <row r="4407" hidden="1">
      <c r="A4407" s="5" t="n">
        <v>46163</v>
      </c>
      <c r="B4407" s="6" t="inlineStr">
        <is>
          <t>Lizandra Gomes Duarte</t>
        </is>
      </c>
      <c r="C4407" s="1" t="inlineStr">
        <is>
          <t>Técnico II</t>
        </is>
      </c>
      <c r="D4407" s="3" t="n">
        <v>19</v>
      </c>
      <c r="E4407" s="3" t="n">
        <v>19</v>
      </c>
      <c r="F4407" s="3" t="n">
        <v>24.12</v>
      </c>
      <c r="G4407" s="3" t="n">
        <v>0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17</v>
      </c>
      <c r="N4407" s="3" t="n">
        <v>99</v>
      </c>
      <c r="O4407" s="3" t="n">
        <v>22.01086956521739</v>
      </c>
    </row>
    <row r="4408" hidden="1">
      <c r="A4408" s="5" t="n">
        <v>46163</v>
      </c>
      <c r="B4408" s="6" t="inlineStr">
        <is>
          <t>Lorena Dias de Araujo</t>
        </is>
      </c>
      <c r="C4408" s="1" t="inlineStr">
        <is>
          <t>Técnico II</t>
        </is>
      </c>
      <c r="D4408" s="3" t="n">
        <v>18</v>
      </c>
      <c r="E4408" s="3" t="n">
        <v>15</v>
      </c>
      <c r="F4408" s="3" t="n">
        <v>14.09</v>
      </c>
      <c r="G4408" s="3" t="n">
        <v>0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15</v>
      </c>
      <c r="N4408" s="3" t="n">
        <v>100</v>
      </c>
      <c r="O4408" s="3" t="n">
        <v>25</v>
      </c>
    </row>
    <row r="4409" hidden="1">
      <c r="A4409" s="5" t="n">
        <v>46163</v>
      </c>
      <c r="B4409" s="6" t="inlineStr">
        <is>
          <t>Patrícia Karla de Sousa Araújo</t>
        </is>
      </c>
      <c r="C4409" s="1" t="inlineStr">
        <is>
          <t>Técnico II</t>
        </is>
      </c>
      <c r="D4409" s="3" t="n">
        <v>0</v>
      </c>
      <c r="E4409" s="3" t="n">
        <v>0</v>
      </c>
      <c r="F4409" s="3" t="n">
        <v>0</v>
      </c>
      <c r="G4409" s="3" t="n">
        <v>0</v>
      </c>
      <c r="H4409" s="3" t="n">
        <v>0</v>
      </c>
      <c r="I4409" s="3" t="n">
        <v>0</v>
      </c>
      <c r="J4409" s="3" t="n">
        <v>0</v>
      </c>
      <c r="K4409" s="3" t="n">
        <v>0</v>
      </c>
      <c r="L4409" s="3">
        <f>IF(K4409&lt;-5,"CRÍTICO",IF(K4409&lt;0,"ATENÇÃO",IF(K4409&lt;=5,"OPORTUNO","MUITO BOM")))</f>
        <v/>
      </c>
      <c r="M4409" s="3" t="n">
        <v>0</v>
      </c>
      <c r="N4409" s="3" t="n">
        <v>100</v>
      </c>
      <c r="O4409" s="3" t="n">
        <v>20.18348623853211</v>
      </c>
    </row>
    <row r="4410" hidden="1">
      <c r="A4410" s="5" t="n">
        <v>46163</v>
      </c>
      <c r="B4410" s="6" t="inlineStr">
        <is>
          <t>Ana Karollyne Souza Faria</t>
        </is>
      </c>
      <c r="C4410" s="1" t="inlineStr">
        <is>
          <t>Técnico I</t>
        </is>
      </c>
      <c r="D4410" s="3" t="n">
        <v>24</v>
      </c>
      <c r="E4410" s="3" t="n">
        <v>23</v>
      </c>
      <c r="F4410" s="3" t="n">
        <v>17.07</v>
      </c>
      <c r="G4410" s="3" t="n">
        <v>0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M4410" s="3" t="n">
        <v>21</v>
      </c>
      <c r="N4410" s="3" t="n">
        <v>96.25</v>
      </c>
      <c r="O4410" s="3" t="n">
        <v>25.5863539445629</v>
      </c>
    </row>
    <row r="4411" hidden="1">
      <c r="A4411" s="5" t="n">
        <v>46163</v>
      </c>
      <c r="B4411" s="6" t="inlineStr">
        <is>
          <t>Clessiane Pereira dos Santos</t>
        </is>
      </c>
      <c r="C4411" s="1" t="inlineStr">
        <is>
          <t>Técnico I</t>
        </is>
      </c>
      <c r="D4411" s="3" t="n">
        <v>23</v>
      </c>
      <c r="E4411" s="3" t="n">
        <v>22</v>
      </c>
      <c r="F4411" s="3" t="n">
        <v>17.08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17</v>
      </c>
      <c r="N4411" s="3" t="n">
        <v>97.48</v>
      </c>
      <c r="O4411" s="3" t="n">
        <v>22.99465240641711</v>
      </c>
    </row>
    <row r="4412" hidden="1">
      <c r="A4412" s="5" t="n">
        <v>46163</v>
      </c>
      <c r="B4412" s="6" t="inlineStr">
        <is>
          <t>Daniel Gomes da Silva</t>
        </is>
      </c>
      <c r="C4412" s="1" t="inlineStr">
        <is>
          <t>Técnico I</t>
        </is>
      </c>
      <c r="D4412" s="3" t="n">
        <v>16</v>
      </c>
      <c r="E4412" s="3" t="n">
        <v>16</v>
      </c>
      <c r="F4412" s="3" t="n">
        <v>26.5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14</v>
      </c>
      <c r="N4412" s="3" t="n">
        <v>100</v>
      </c>
      <c r="O4412" s="3" t="n">
        <v>20.78853046594982</v>
      </c>
    </row>
    <row r="4413" hidden="1">
      <c r="A4413" s="5" t="n">
        <v>46163</v>
      </c>
      <c r="B4413" s="6" t="inlineStr">
        <is>
          <t>Luiz Fernando de Carvalho Junior</t>
        </is>
      </c>
      <c r="C4413" s="1" t="inlineStr">
        <is>
          <t>Técnico I</t>
        </is>
      </c>
      <c r="D4413" s="3" t="n">
        <v>22</v>
      </c>
      <c r="E4413" s="3" t="n">
        <v>20</v>
      </c>
      <c r="F4413" s="3" t="n">
        <v>19.06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21</v>
      </c>
      <c r="N4413" s="3" t="n">
        <v>94.55</v>
      </c>
      <c r="O4413" s="3" t="n">
        <v>23.45013477088949</v>
      </c>
    </row>
    <row r="4414" hidden="1">
      <c r="A4414" s="5" t="n">
        <v>46163</v>
      </c>
      <c r="B4414" s="6" t="inlineStr">
        <is>
          <t>Raane Batista Matos</t>
        </is>
      </c>
      <c r="C4414" s="1" t="inlineStr">
        <is>
          <t>Técnico I</t>
        </is>
      </c>
      <c r="D4414" s="3" t="n">
        <v>27</v>
      </c>
      <c r="E4414" s="3" t="n">
        <v>27</v>
      </c>
      <c r="F4414" s="3" t="n">
        <v>15.1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20</v>
      </c>
      <c r="N4414" s="3" t="n">
        <v>98</v>
      </c>
      <c r="O4414" s="3" t="n">
        <v>20.73490813648294</v>
      </c>
    </row>
    <row r="4415" hidden="1">
      <c r="A4415" s="5" t="n">
        <v>46163</v>
      </c>
      <c r="B4415" s="6" t="inlineStr">
        <is>
          <t>Sara Maria Monteiro Lopes</t>
        </is>
      </c>
      <c r="C4415" s="1" t="inlineStr">
        <is>
          <t>Técnico I</t>
        </is>
      </c>
      <c r="D4415" s="3" t="n">
        <v>12</v>
      </c>
      <c r="E4415" s="3" t="n">
        <v>12</v>
      </c>
      <c r="F4415" s="3" t="n">
        <v>44.02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10</v>
      </c>
      <c r="N4415" s="3" t="n">
        <v>100</v>
      </c>
      <c r="O4415" s="3" t="n">
        <v>18</v>
      </c>
    </row>
    <row r="4416" hidden="1">
      <c r="A4416" s="5" t="n">
        <v>46163</v>
      </c>
      <c r="B4416" s="6" t="inlineStr">
        <is>
          <t>Gabriel Gomes de Andrade</t>
        </is>
      </c>
      <c r="C4416" s="1" t="inlineStr">
        <is>
          <t>Técnico I</t>
        </is>
      </c>
      <c r="D4416" s="3" t="n">
        <v>16</v>
      </c>
      <c r="E4416" s="3" t="n">
        <v>15</v>
      </c>
      <c r="F4416" s="3" t="n">
        <v>25.07</v>
      </c>
      <c r="G4416" s="3" t="n">
        <v>3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15</v>
      </c>
      <c r="N4416" s="3" t="n">
        <v>99.06</v>
      </c>
      <c r="O4416" s="3" t="n">
        <v>19.41747572815534</v>
      </c>
    </row>
    <row r="4417" hidden="1">
      <c r="A4417" s="10" t="n">
        <v>46164</v>
      </c>
      <c r="B4417" s="6" t="inlineStr">
        <is>
          <t>Amanda Moura Ferreira</t>
        </is>
      </c>
      <c r="C4417" s="1" t="inlineStr">
        <is>
          <t>Técnico III</t>
        </is>
      </c>
      <c r="D4417" s="3" t="n">
        <v>0</v>
      </c>
      <c r="E4417" s="3" t="n">
        <v>0</v>
      </c>
      <c r="F4417" s="3" t="n">
        <v>0</v>
      </c>
      <c r="G4417" s="3" t="n">
        <v>0</v>
      </c>
      <c r="H4417" s="3" t="n">
        <v>0</v>
      </c>
      <c r="I4417" s="3" t="n">
        <v>0</v>
      </c>
      <c r="J4417" s="3" t="n">
        <v>0</v>
      </c>
      <c r="K4417" s="3" t="n">
        <v>0</v>
      </c>
      <c r="L4417" s="3">
        <f>IF(K4417&lt;-5,"CRÍTICO",IF(K4417&lt;0,"ATENÇÃO",IF(K4417&lt;=5,"OPORTUNO","MUITO BOM")))</f>
        <v/>
      </c>
      <c r="M4417" s="3" t="n">
        <v>0</v>
      </c>
      <c r="N4417" s="3" t="n">
        <v>100</v>
      </c>
      <c r="O4417" s="3" t="n">
        <v>0</v>
      </c>
    </row>
    <row r="4418" hidden="1">
      <c r="A4418" s="10" t="n">
        <v>46164</v>
      </c>
      <c r="B4418" s="6" t="inlineStr">
        <is>
          <t>Ana Paula Da Luz Silva Aleixo</t>
        </is>
      </c>
      <c r="C4418" s="1" t="inlineStr">
        <is>
          <t>Técnico III</t>
        </is>
      </c>
      <c r="D4418" s="3" t="n">
        <v>20</v>
      </c>
      <c r="E4418" s="3" t="n">
        <v>20</v>
      </c>
      <c r="F4418" s="3" t="n">
        <v>20.44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16</v>
      </c>
      <c r="N4418" s="3" t="n">
        <v>96.94</v>
      </c>
      <c r="O4418" s="3" t="n">
        <v>19.61325966850829</v>
      </c>
    </row>
    <row r="4419" hidden="1">
      <c r="A4419" s="10" t="n">
        <v>46164</v>
      </c>
      <c r="B4419" s="6" t="inlineStr">
        <is>
          <t>Cristiane Ramos da Silva Rocha</t>
        </is>
      </c>
      <c r="C4419" s="1" t="inlineStr">
        <is>
          <t>Técnico III</t>
        </is>
      </c>
      <c r="D4419" s="3" t="n">
        <v>25</v>
      </c>
      <c r="E4419" s="3" t="n">
        <v>24</v>
      </c>
      <c r="F4419" s="3" t="n">
        <v>15.42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22</v>
      </c>
      <c r="N4419" s="3" t="n">
        <v>92.81</v>
      </c>
      <c r="O4419" s="3" t="n">
        <v>25.47770700636943</v>
      </c>
    </row>
    <row r="4420" hidden="1">
      <c r="A4420" s="10" t="n">
        <v>46164</v>
      </c>
      <c r="B4420" s="6" t="inlineStr">
        <is>
          <t>Davylla Rodrigues Freitas Silva</t>
        </is>
      </c>
      <c r="C4420" s="1" t="inlineStr">
        <is>
          <t>Técnico III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99.19</v>
      </c>
      <c r="O4420" s="3" t="n">
        <v>28.40466926070039</v>
      </c>
    </row>
    <row r="4421" hidden="1">
      <c r="A4421" s="10" t="n">
        <v>46164</v>
      </c>
      <c r="B4421" s="6" t="inlineStr">
        <is>
          <t>Francielson de Oliveira</t>
        </is>
      </c>
      <c r="C4421" s="1" t="inlineStr">
        <is>
          <t>Técnico III</t>
        </is>
      </c>
      <c r="D4421" s="3" t="n">
        <v>12</v>
      </c>
      <c r="E4421" s="3" t="n">
        <v>11</v>
      </c>
      <c r="F4421" s="3" t="n">
        <v>12.15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10</v>
      </c>
      <c r="N4421" s="3" t="n">
        <v>100</v>
      </c>
      <c r="O4421" s="3" t="n">
        <v>13.51351351351351</v>
      </c>
    </row>
    <row r="4422" hidden="1">
      <c r="A4422" s="10" t="n">
        <v>46164</v>
      </c>
      <c r="B4422" s="6" t="inlineStr">
        <is>
          <t>Janaina Lima dos Reis Urany</t>
        </is>
      </c>
      <c r="C4422" s="1" t="inlineStr">
        <is>
          <t>Técnico III</t>
        </is>
      </c>
      <c r="D4422" s="3" t="n">
        <v>28</v>
      </c>
      <c r="E4422" s="3" t="n">
        <v>26</v>
      </c>
      <c r="F4422" s="3" t="n">
        <v>12.35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M4422" s="3" t="n">
        <v>23</v>
      </c>
      <c r="N4422" s="3" t="n">
        <v>99</v>
      </c>
      <c r="O4422" s="3" t="n">
        <v>22.27414330218069</v>
      </c>
    </row>
    <row r="4423" hidden="1">
      <c r="A4423" s="10" t="n">
        <v>46164</v>
      </c>
      <c r="B4423" s="6" t="inlineStr">
        <is>
          <t>Jaqueline Evangelista da Silva Martins</t>
        </is>
      </c>
      <c r="C4423" s="1" t="inlineStr">
        <is>
          <t>Técnico III</t>
        </is>
      </c>
      <c r="D4423" s="3" t="n">
        <v>14</v>
      </c>
      <c r="E4423" s="3" t="n">
        <v>14</v>
      </c>
      <c r="F4423" s="3" t="n">
        <v>21.55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14</v>
      </c>
      <c r="N4423" s="3" t="n">
        <v>97.04000000000001</v>
      </c>
      <c r="O4423" s="3" t="n">
        <v>29.82885085574572</v>
      </c>
    </row>
    <row r="4424" hidden="1">
      <c r="A4424" s="10" t="n">
        <v>46164</v>
      </c>
      <c r="B4424" s="6" t="inlineStr">
        <is>
          <t>Jéssica Fé Moura</t>
        </is>
      </c>
      <c r="C4424" s="1" t="inlineStr">
        <is>
          <t>Técnico III</t>
        </is>
      </c>
      <c r="D4424" s="3" t="n">
        <v>0</v>
      </c>
      <c r="E4424" s="3" t="n">
        <v>0</v>
      </c>
      <c r="F4424" s="3" t="n">
        <v>0</v>
      </c>
      <c r="G4424" s="3" t="n">
        <v>0</v>
      </c>
      <c r="H4424" s="3" t="n">
        <v>0</v>
      </c>
      <c r="I4424" s="3" t="n">
        <v>0</v>
      </c>
      <c r="J4424" s="3" t="n">
        <v>0</v>
      </c>
      <c r="K4424" s="3" t="n">
        <v>0</v>
      </c>
      <c r="L4424" s="3">
        <f>IF(K4424&lt;-5,"CRÍTICO",IF(K4424&lt;0,"ATENÇÃO",IF(K4424&lt;=5,"OPORTUNO","MUITO BOM")))</f>
        <v/>
      </c>
      <c r="M4424" s="3" t="n">
        <v>0</v>
      </c>
      <c r="N4424" s="3" t="n">
        <v>0</v>
      </c>
      <c r="O4424" s="3" t="n">
        <v>0</v>
      </c>
    </row>
    <row r="4425" hidden="1">
      <c r="A4425" s="10" t="n">
        <v>46164</v>
      </c>
      <c r="B4425" s="6" t="inlineStr">
        <is>
          <t>Kerollen Cristielly de Jesus Siqueira</t>
        </is>
      </c>
      <c r="C4425" s="1" t="inlineStr">
        <is>
          <t>Técnico III</t>
        </is>
      </c>
      <c r="D4425" s="3" t="n">
        <v>19</v>
      </c>
      <c r="E4425" s="3" t="n">
        <v>19</v>
      </c>
      <c r="F4425" s="3" t="n">
        <v>16.57</v>
      </c>
      <c r="G4425" s="3" t="n">
        <v>0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21</v>
      </c>
      <c r="N4425" s="3" t="n">
        <v>96.84</v>
      </c>
      <c r="O4425" s="3" t="n">
        <v>16.33802816901408</v>
      </c>
    </row>
    <row r="4426" hidden="1">
      <c r="A4426" s="10" t="n">
        <v>46164</v>
      </c>
      <c r="B4426" s="6" t="inlineStr">
        <is>
          <t>Leandro Oliveira de Sousa</t>
        </is>
      </c>
      <c r="C4426" s="1" t="inlineStr">
        <is>
          <t>Técnico III</t>
        </is>
      </c>
      <c r="D4426" s="3" t="n">
        <v>21</v>
      </c>
      <c r="E4426" s="3" t="n">
        <v>20</v>
      </c>
      <c r="F4426" s="3" t="n">
        <v>16.59</v>
      </c>
      <c r="G4426" s="3" t="n">
        <v>0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M4426" s="3" t="n">
        <v>20</v>
      </c>
      <c r="N4426" s="3" t="n">
        <v>100</v>
      </c>
      <c r="O4426" s="3" t="n">
        <v>18.24480369515012</v>
      </c>
    </row>
    <row r="4427" hidden="1">
      <c r="A4427" s="10" t="n">
        <v>46164</v>
      </c>
      <c r="B4427" s="6" t="inlineStr">
        <is>
          <t>Lucas Luiz Romero</t>
        </is>
      </c>
      <c r="C4427" s="1" t="inlineStr">
        <is>
          <t>Técnico III</t>
        </is>
      </c>
      <c r="D4427" s="3" t="n">
        <v>26</v>
      </c>
      <c r="E4427" s="3" t="n">
        <v>19</v>
      </c>
      <c r="F4427" s="3" t="n">
        <v>12.11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15</v>
      </c>
      <c r="N4427" s="3" t="n">
        <v>100</v>
      </c>
      <c r="O4427" s="3" t="n">
        <v>15.78947368421053</v>
      </c>
    </row>
    <row r="4428" hidden="1">
      <c r="A4428" s="10" t="n">
        <v>46164</v>
      </c>
      <c r="B4428" s="6" t="inlineStr">
        <is>
          <t>Matheus Farias De Souza</t>
        </is>
      </c>
      <c r="C4428" s="1" t="inlineStr">
        <is>
          <t>Técnico III</t>
        </is>
      </c>
      <c r="D4428" s="3" t="n">
        <v>0</v>
      </c>
      <c r="E4428" s="3" t="n">
        <v>0</v>
      </c>
      <c r="F4428" s="3" t="n">
        <v>0</v>
      </c>
      <c r="G4428" s="3" t="n">
        <v>0</v>
      </c>
      <c r="H4428" s="3" t="n">
        <v>25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3</v>
      </c>
      <c r="N4428" s="3" t="n">
        <v>98.39</v>
      </c>
      <c r="O4428" s="16" t="n">
        <v>8.799999999999999</v>
      </c>
    </row>
    <row r="4429" hidden="1">
      <c r="A4429" s="10" t="n">
        <v>46164</v>
      </c>
      <c r="B4429" s="6" t="inlineStr">
        <is>
          <t>Maysa Victoria Dias Moura</t>
        </is>
      </c>
      <c r="C4429" s="1" t="inlineStr">
        <is>
          <t>Técnico III</t>
        </is>
      </c>
      <c r="D4429" s="3" t="n">
        <v>23</v>
      </c>
      <c r="E4429" s="3" t="n">
        <v>20</v>
      </c>
      <c r="F4429" s="3" t="n">
        <v>13.5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16</v>
      </c>
      <c r="N4429" s="3" t="n">
        <v>96.38</v>
      </c>
      <c r="O4429" s="3" t="n">
        <v>23.1981981981982</v>
      </c>
    </row>
    <row r="4430" hidden="1">
      <c r="A4430" s="10" t="n">
        <v>46164</v>
      </c>
      <c r="B4430" s="6" t="inlineStr">
        <is>
          <t>Rafael Gomes de Morais</t>
        </is>
      </c>
      <c r="C4430" s="1" t="inlineStr">
        <is>
          <t>Técnico III</t>
        </is>
      </c>
      <c r="D4430" s="3" t="n">
        <v>25</v>
      </c>
      <c r="E4430" s="3" t="n">
        <v>22</v>
      </c>
      <c r="F4430" s="3" t="n">
        <v>13.32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99.39</v>
      </c>
      <c r="O4430" s="3" t="n">
        <v>25.20325203252033</v>
      </c>
    </row>
    <row r="4431" hidden="1">
      <c r="A4431" s="10" t="n">
        <v>46164</v>
      </c>
      <c r="B4431" s="6" t="inlineStr">
        <is>
          <t>Sarah Steffanie de Lima Borges</t>
        </is>
      </c>
      <c r="C4431" s="1" t="inlineStr">
        <is>
          <t>Técnico III</t>
        </is>
      </c>
      <c r="D4431" s="3" t="n">
        <v>26</v>
      </c>
      <c r="E4431" s="3" t="n">
        <v>22</v>
      </c>
      <c r="F4431" s="3" t="n">
        <v>13.4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17</v>
      </c>
      <c r="N4431" s="3" t="n">
        <v>97</v>
      </c>
      <c r="O4431" s="3" t="n">
        <v>20.32520325203252</v>
      </c>
    </row>
    <row r="4432" hidden="1">
      <c r="A4432" s="5" t="n">
        <v>46164</v>
      </c>
      <c r="B4432" s="6" t="inlineStr">
        <is>
          <t>Alisson de Freitas Silva</t>
        </is>
      </c>
      <c r="C4432" s="1" t="inlineStr">
        <is>
          <t>Técnico II</t>
        </is>
      </c>
      <c r="D4432" s="3" t="n">
        <v>23</v>
      </c>
      <c r="E4432" s="3" t="n">
        <v>15</v>
      </c>
      <c r="F4432" s="3" t="n">
        <v>15.08</v>
      </c>
      <c r="G4432" s="3" t="n">
        <v>1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11</v>
      </c>
      <c r="N4432" s="3" t="n">
        <v>99.18000000000001</v>
      </c>
      <c r="O4432" s="3" t="n">
        <v>24.5014245014245</v>
      </c>
    </row>
    <row r="4433" hidden="1">
      <c r="A4433" s="10" t="n">
        <v>46164</v>
      </c>
      <c r="B4433" s="6" t="inlineStr">
        <is>
          <t>Brenda de Menezes Silva</t>
        </is>
      </c>
      <c r="C4433" s="1" t="inlineStr">
        <is>
          <t>Técnico II</t>
        </is>
      </c>
      <c r="D4433" s="3" t="n">
        <v>30</v>
      </c>
      <c r="E4433" s="3" t="n">
        <v>27</v>
      </c>
      <c r="F4433" s="3" t="n">
        <v>9.15</v>
      </c>
      <c r="G4433" s="3" t="n">
        <v>6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24</v>
      </c>
      <c r="N4433" s="3" t="n">
        <v>99.34999999999999</v>
      </c>
      <c r="O4433" s="3" t="n">
        <v>19.85294117647059</v>
      </c>
    </row>
    <row r="4434" hidden="1">
      <c r="A4434" s="10" t="n">
        <v>46164</v>
      </c>
      <c r="B4434" s="6" t="inlineStr">
        <is>
          <t>Carlos Mateus Cassimiro Nunes</t>
        </is>
      </c>
      <c r="C4434" s="1" t="inlineStr">
        <is>
          <t>Técnico II</t>
        </is>
      </c>
      <c r="D4434" s="3" t="n">
        <v>13</v>
      </c>
      <c r="E4434" s="3" t="n">
        <v>12</v>
      </c>
      <c r="F4434" s="3" t="n">
        <v>16.53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12</v>
      </c>
      <c r="N4434" s="3" t="n">
        <v>99.06999999999999</v>
      </c>
      <c r="O4434" s="3" t="n">
        <v>20.09803921568627</v>
      </c>
    </row>
    <row r="4435" hidden="1">
      <c r="A4435" s="10" t="n">
        <v>46164</v>
      </c>
      <c r="B4435" s="6" t="inlineStr">
        <is>
          <t>Damyllis Lorraine de Oliveira Gonçalves</t>
        </is>
      </c>
      <c r="C4435" s="1" t="inlineStr">
        <is>
          <t>Técnico 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0</v>
      </c>
      <c r="I4435" s="3" t="n">
        <v>0</v>
      </c>
      <c r="J4435" s="3" t="n">
        <v>0</v>
      </c>
      <c r="K4435" s="3" t="n">
        <v>0</v>
      </c>
      <c r="L4435" s="3">
        <f>IF(K4435&lt;-5,"CRÍTICO",IF(K4435&lt;0,"ATENÇÃO",IF(K4435&lt;=5,"OPORTUNO","MUITO BOM")))</f>
        <v/>
      </c>
      <c r="M4435" s="3" t="n">
        <v>0</v>
      </c>
      <c r="N4435" s="3" t="n">
        <v>98.81</v>
      </c>
      <c r="O4435" s="3" t="n">
        <v>22.76785714285714</v>
      </c>
    </row>
    <row r="4436" hidden="1">
      <c r="A4436" s="10" t="n">
        <v>46164</v>
      </c>
      <c r="B4436" s="6" t="inlineStr">
        <is>
          <t>Emilly Kamilly Medeiros Miranda</t>
        </is>
      </c>
      <c r="C4436" s="1" t="inlineStr">
        <is>
          <t>Técnico II</t>
        </is>
      </c>
      <c r="D4436" s="3" t="n">
        <v>17</v>
      </c>
      <c r="E4436" s="3" t="n">
        <v>14</v>
      </c>
      <c r="F4436" s="3" t="n">
        <v>13.23</v>
      </c>
      <c r="G4436" s="3" t="n">
        <v>1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13</v>
      </c>
      <c r="N4436" s="3" t="n">
        <v>99.01000000000001</v>
      </c>
      <c r="O4436" s="3" t="n">
        <v>17.76649746192894</v>
      </c>
    </row>
    <row r="4437" hidden="1">
      <c r="A4437" s="10" t="n">
        <v>46164</v>
      </c>
      <c r="B4437" s="6" t="inlineStr">
        <is>
          <t>Francilene Ferreira de Jesus</t>
        </is>
      </c>
      <c r="C4437" s="1" t="inlineStr">
        <is>
          <t>Técnico II</t>
        </is>
      </c>
      <c r="D4437" s="3" t="n">
        <v>0</v>
      </c>
      <c r="E4437" s="3" t="n">
        <v>0</v>
      </c>
      <c r="F4437" s="3" t="n">
        <v>0</v>
      </c>
      <c r="G4437" s="3" t="n">
        <v>0</v>
      </c>
      <c r="H4437" s="3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M4437" s="3" t="n">
        <v>0</v>
      </c>
      <c r="N4437" s="3" t="n">
        <v>100</v>
      </c>
      <c r="O4437" s="3" t="n">
        <v>17.24137931034483</v>
      </c>
    </row>
    <row r="4438" hidden="1">
      <c r="A4438" s="10" t="n">
        <v>46164</v>
      </c>
      <c r="B4438" s="6" t="inlineStr">
        <is>
          <t>Isabella Borges de Oliveira</t>
        </is>
      </c>
      <c r="C4438" s="1" t="inlineStr">
        <is>
          <t>Técnico II</t>
        </is>
      </c>
      <c r="D4438" s="3" t="n">
        <v>15</v>
      </c>
      <c r="E4438" s="3" t="n">
        <v>15</v>
      </c>
      <c r="F4438" s="3" t="n">
        <v>28.35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13</v>
      </c>
      <c r="N4438" s="3" t="n">
        <v>98.98</v>
      </c>
      <c r="O4438" s="3" t="n">
        <v>19.35483870967742</v>
      </c>
    </row>
    <row r="4439" hidden="1">
      <c r="A4439" s="10" t="n">
        <v>46164</v>
      </c>
      <c r="B4439" s="6" t="inlineStr">
        <is>
          <t>Jessica Faria da Silveira</t>
        </is>
      </c>
      <c r="C4439" s="1" t="inlineStr">
        <is>
          <t>Técnico II</t>
        </is>
      </c>
      <c r="D4439" s="3" t="n">
        <v>13</v>
      </c>
      <c r="E4439" s="3" t="n">
        <v>12</v>
      </c>
      <c r="F4439" s="3" t="n">
        <v>11.42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10</v>
      </c>
      <c r="N4439" s="3" t="n">
        <v>98.94</v>
      </c>
      <c r="O4439" s="3" t="n">
        <v>21.2707182320442</v>
      </c>
    </row>
    <row r="4440" hidden="1">
      <c r="A4440" s="10" t="n">
        <v>46164</v>
      </c>
      <c r="B4440" s="6" t="inlineStr">
        <is>
          <t>Lizandra Gomes Duarte</t>
        </is>
      </c>
      <c r="C4440" s="1" t="inlineStr">
        <is>
          <t>Técnico II</t>
        </is>
      </c>
      <c r="D4440" s="3" t="n">
        <v>19</v>
      </c>
      <c r="E4440" s="3" t="n">
        <v>18</v>
      </c>
      <c r="F4440" s="3" t="n">
        <v>20.48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18</v>
      </c>
      <c r="N4440" s="3" t="n">
        <v>99</v>
      </c>
      <c r="O4440" s="3" t="n">
        <v>22.01086956521739</v>
      </c>
    </row>
    <row r="4441" hidden="1">
      <c r="A4441" s="10" t="n">
        <v>46164</v>
      </c>
      <c r="B4441" s="6" t="inlineStr">
        <is>
          <t>Lorena Dias de Araujo</t>
        </is>
      </c>
      <c r="C4441" s="1" t="inlineStr">
        <is>
          <t>Técnico II</t>
        </is>
      </c>
      <c r="D4441" s="3" t="n">
        <v>0</v>
      </c>
      <c r="E4441" s="3" t="n">
        <v>0</v>
      </c>
      <c r="F4441" s="3" t="n">
        <v>0</v>
      </c>
      <c r="G4441" s="3" t="n">
        <v>0</v>
      </c>
      <c r="H4441" s="3" t="n">
        <v>0</v>
      </c>
      <c r="I4441" s="3" t="n">
        <v>0</v>
      </c>
      <c r="J4441" s="3" t="n">
        <v>0</v>
      </c>
      <c r="K4441" s="3" t="n">
        <v>0</v>
      </c>
      <c r="L4441" s="3">
        <f>IF(K4441&lt;-5,"CRÍTICO",IF(K4441&lt;0,"ATENÇÃO",IF(K4441&lt;=5,"OPORTUNO","MUITO BOM")))</f>
        <v/>
      </c>
      <c r="M4441" s="3" t="n">
        <v>0</v>
      </c>
      <c r="N4441" s="3" t="n">
        <v>100</v>
      </c>
      <c r="O4441" s="3" t="n">
        <v>25</v>
      </c>
    </row>
    <row r="4442" hidden="1">
      <c r="A4442" s="10" t="n">
        <v>46164</v>
      </c>
      <c r="B4442" s="6" t="inlineStr">
        <is>
          <t>Patrícia Karla de Sousa Araújo</t>
        </is>
      </c>
      <c r="C4442" s="1" t="inlineStr">
        <is>
          <t>Técnico II</t>
        </is>
      </c>
      <c r="D4442" s="3" t="n">
        <v>17</v>
      </c>
      <c r="E4442" s="3" t="n">
        <v>17</v>
      </c>
      <c r="F4442" s="3" t="n">
        <v>22.2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12</v>
      </c>
      <c r="N4442" s="3" t="n">
        <v>100</v>
      </c>
      <c r="O4442" s="3" t="n">
        <v>20.18348623853211</v>
      </c>
    </row>
    <row r="4443" hidden="1">
      <c r="A4443" s="10" t="n">
        <v>46164</v>
      </c>
      <c r="B4443" s="6" t="inlineStr">
        <is>
          <t>Ana Karollyne Souza Faria</t>
        </is>
      </c>
      <c r="C4443" s="1" t="inlineStr">
        <is>
          <t>Técnico I</t>
        </is>
      </c>
      <c r="D4443" s="3" t="n">
        <v>11</v>
      </c>
      <c r="E4443" s="3" t="n">
        <v>9</v>
      </c>
      <c r="F4443" s="3" t="n">
        <v>15.17</v>
      </c>
      <c r="G4443" s="3" t="n">
        <v>3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10</v>
      </c>
      <c r="N4443" s="3" t="n">
        <v>96.25</v>
      </c>
      <c r="O4443" s="3" t="n">
        <v>25.5863539445629</v>
      </c>
    </row>
    <row r="4444" hidden="1">
      <c r="A4444" s="10" t="n">
        <v>46164</v>
      </c>
      <c r="B4444" s="6" t="inlineStr">
        <is>
          <t>Clessiane Pereira dos Santos</t>
        </is>
      </c>
      <c r="C4444" s="1" t="inlineStr">
        <is>
          <t>Técnico I</t>
        </is>
      </c>
      <c r="D4444" s="3" t="n">
        <v>15</v>
      </c>
      <c r="E4444" s="3" t="n">
        <v>14</v>
      </c>
      <c r="F4444" s="3" t="n">
        <v>12.06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12</v>
      </c>
      <c r="N4444" s="3" t="n">
        <v>97.48</v>
      </c>
      <c r="O4444" s="3" t="n">
        <v>22.99465240641711</v>
      </c>
    </row>
    <row r="4445" hidden="1">
      <c r="A4445" s="10" t="n">
        <v>46164</v>
      </c>
      <c r="B4445" s="6" t="inlineStr">
        <is>
          <t>Daniel Gomes da Silva</t>
        </is>
      </c>
      <c r="C4445" s="1" t="inlineStr">
        <is>
          <t>Técnico I</t>
        </is>
      </c>
      <c r="D4445" s="3" t="n">
        <v>24</v>
      </c>
      <c r="E4445" s="3" t="n">
        <v>23</v>
      </c>
      <c r="F4445" s="3" t="n">
        <v>10.35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18</v>
      </c>
      <c r="N4445" s="3" t="n">
        <v>100</v>
      </c>
      <c r="O4445" s="3" t="n">
        <v>20.78853046594982</v>
      </c>
    </row>
    <row r="4446" hidden="1">
      <c r="A4446" s="10" t="n">
        <v>46164</v>
      </c>
      <c r="B4446" s="6" t="inlineStr">
        <is>
          <t>Luiz Fernando de Carvalho Junior</t>
        </is>
      </c>
      <c r="C4446" s="1" t="inlineStr">
        <is>
          <t>Técnico I</t>
        </is>
      </c>
      <c r="D4446" s="3" t="n">
        <v>8</v>
      </c>
      <c r="E4446" s="3" t="n">
        <v>8</v>
      </c>
      <c r="F4446" s="3" t="n">
        <v>32.37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M4446" s="3" t="n">
        <v>8</v>
      </c>
      <c r="N4446" s="3" t="n">
        <v>94.55</v>
      </c>
      <c r="O4446" s="3" t="n">
        <v>23.45013477088949</v>
      </c>
    </row>
    <row r="4447" hidden="1">
      <c r="A4447" s="10" t="n">
        <v>46164</v>
      </c>
      <c r="B4447" s="6" t="inlineStr">
        <is>
          <t>Raane Batista Matos</t>
        </is>
      </c>
      <c r="C4447" s="1" t="inlineStr">
        <is>
          <t>Técnico I</t>
        </is>
      </c>
      <c r="D4447" s="3" t="n">
        <v>18</v>
      </c>
      <c r="E4447" s="3" t="n">
        <v>18</v>
      </c>
      <c r="F4447" s="3" t="n">
        <v>20.45</v>
      </c>
      <c r="G4447" s="3" t="n">
        <v>2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12</v>
      </c>
      <c r="N4447" s="3" t="n">
        <v>98</v>
      </c>
      <c r="O4447" s="3" t="n">
        <v>20.73490813648294</v>
      </c>
    </row>
    <row r="4448" hidden="1">
      <c r="A4448" s="10" t="n">
        <v>46164</v>
      </c>
      <c r="B4448" s="6" t="inlineStr">
        <is>
          <t>Sara Maria Monteiro Lopes</t>
        </is>
      </c>
      <c r="C4448" s="1" t="inlineStr">
        <is>
          <t>Técnico I</t>
        </is>
      </c>
      <c r="D4448" s="3" t="n">
        <v>17</v>
      </c>
      <c r="E4448" s="3" t="n">
        <v>16</v>
      </c>
      <c r="F4448" s="3" t="n">
        <v>20.55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17</v>
      </c>
      <c r="N4448" s="3" t="n">
        <v>100</v>
      </c>
      <c r="O4448" s="3" t="n">
        <v>18</v>
      </c>
    </row>
    <row r="4449" hidden="1">
      <c r="A4449" s="10" t="n">
        <v>46164</v>
      </c>
      <c r="B4449" s="6" t="inlineStr">
        <is>
          <t>Gabriel Gomes de Andrade</t>
        </is>
      </c>
      <c r="C4449" s="1" t="inlineStr">
        <is>
          <t>Técnico I</t>
        </is>
      </c>
      <c r="D4449" s="3" t="n">
        <v>8</v>
      </c>
      <c r="E4449" s="3" t="n">
        <v>7</v>
      </c>
      <c r="F4449" s="3" t="n">
        <v>18.34</v>
      </c>
      <c r="G4449" s="3" t="n">
        <v>0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7</v>
      </c>
      <c r="N4449" s="3" t="n">
        <v>99.06</v>
      </c>
      <c r="O4449" s="3" t="n">
        <v>19.41747572815534</v>
      </c>
    </row>
    <row r="4450" hidden="1">
      <c r="A4450" s="11" t="n">
        <v>46167</v>
      </c>
      <c r="B4450" t="inlineStr">
        <is>
          <t>Amanda Moura Ferreira</t>
        </is>
      </c>
      <c r="C4450" s="15" t="inlineStr">
        <is>
          <t>Técnico III</t>
        </is>
      </c>
      <c r="D4450" s="3" t="n">
        <v>0</v>
      </c>
      <c r="E4450" s="3" t="n">
        <v>0</v>
      </c>
      <c r="F4450" s="3" t="n">
        <v>0</v>
      </c>
      <c r="G4450" s="3" t="n">
        <v>0</v>
      </c>
      <c r="H4450" s="3" t="n">
        <v>0</v>
      </c>
      <c r="I4450" s="3" t="n">
        <v>0</v>
      </c>
      <c r="J4450" s="3" t="n">
        <v>0</v>
      </c>
      <c r="K4450" s="3" t="n">
        <v>0</v>
      </c>
      <c r="L4450" s="3">
        <f>IF(K4450&lt;-5,"CRÍTICO",IF(K4450&lt;0,"ATENÇÃO",IF(K4450&lt;=5,"OPORTUNO","MUITO BOM")))</f>
        <v/>
      </c>
      <c r="M4450" s="3" t="n">
        <v>0</v>
      </c>
      <c r="N4450" s="3" t="n">
        <v>100</v>
      </c>
      <c r="O4450" s="3" t="n">
        <v>0</v>
      </c>
    </row>
    <row r="4451" hidden="1">
      <c r="A4451" s="11" t="n">
        <v>46167</v>
      </c>
      <c r="B4451" t="inlineStr">
        <is>
          <t>Ana Paula Da Luz Silva Aleixo</t>
        </is>
      </c>
      <c r="C4451" s="15" t="inlineStr">
        <is>
          <t>Técnico III</t>
        </is>
      </c>
      <c r="D4451" s="3" t="n">
        <v>27</v>
      </c>
      <c r="E4451" s="3" t="n">
        <v>23</v>
      </c>
      <c r="F4451" s="3" t="n">
        <v>13.5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23</v>
      </c>
      <c r="N4451" s="3" t="n">
        <v>96.94</v>
      </c>
      <c r="O4451" s="3" t="n">
        <v>19.61325966850829</v>
      </c>
    </row>
    <row r="4452" hidden="1">
      <c r="A4452" s="11" t="n">
        <v>46167</v>
      </c>
      <c r="B4452" t="inlineStr">
        <is>
          <t>Cristiane Ramos da Silva Rocha</t>
        </is>
      </c>
      <c r="C4452" s="15" t="inlineStr">
        <is>
          <t>Técnico III</t>
        </is>
      </c>
      <c r="D4452" s="3" t="n">
        <v>25</v>
      </c>
      <c r="E4452" s="3" t="n">
        <v>22</v>
      </c>
      <c r="F4452" s="3" t="n">
        <v>12.25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20</v>
      </c>
      <c r="N4452" s="3" t="n">
        <v>92.81</v>
      </c>
      <c r="O4452" s="3" t="n">
        <v>25.47770700636943</v>
      </c>
    </row>
    <row r="4453" hidden="1">
      <c r="A4453" s="11" t="n">
        <v>46167</v>
      </c>
      <c r="B4453" t="inlineStr">
        <is>
          <t>Davylla Rodrigues Freitas Silva</t>
        </is>
      </c>
      <c r="C4453" s="15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99.19</v>
      </c>
      <c r="O4453" s="3" t="n">
        <v>28.40466926070039</v>
      </c>
    </row>
    <row r="4454" hidden="1">
      <c r="A4454" s="11" t="n">
        <v>46167</v>
      </c>
      <c r="B4454" t="inlineStr">
        <is>
          <t>Francielson de Oliveira</t>
        </is>
      </c>
      <c r="C4454" s="15" t="inlineStr">
        <is>
          <t>Técnico III</t>
        </is>
      </c>
      <c r="D4454" s="3" t="n">
        <v>20</v>
      </c>
      <c r="E4454" s="3" t="n">
        <v>19</v>
      </c>
      <c r="F4454" s="3" t="n">
        <v>17.3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19</v>
      </c>
      <c r="N4454" s="3" t="n">
        <v>100</v>
      </c>
      <c r="O4454" s="3" t="n">
        <v>13.51351351351351</v>
      </c>
    </row>
    <row r="4455" hidden="1">
      <c r="A4455" s="11" t="n">
        <v>46167</v>
      </c>
      <c r="B4455" t="inlineStr">
        <is>
          <t>Janaina Lima dos Reis Urany</t>
        </is>
      </c>
      <c r="C4455" s="15" t="inlineStr">
        <is>
          <t>Técnico III</t>
        </is>
      </c>
      <c r="D4455" s="3" t="n">
        <v>22</v>
      </c>
      <c r="E4455" s="3" t="n">
        <v>21</v>
      </c>
      <c r="F4455" s="3" t="n">
        <v>17.1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20</v>
      </c>
      <c r="N4455" s="3" t="n">
        <v>99</v>
      </c>
      <c r="O4455" s="3" t="n">
        <v>22.27414330218069</v>
      </c>
    </row>
    <row r="4456" hidden="1">
      <c r="A4456" s="11" t="n">
        <v>46167</v>
      </c>
      <c r="B4456" t="inlineStr">
        <is>
          <t>Jaqueline Evangelista da Silva Martins</t>
        </is>
      </c>
      <c r="C4456" s="15" t="inlineStr">
        <is>
          <t>Técnico III</t>
        </is>
      </c>
      <c r="D4456" s="3" t="n">
        <v>17</v>
      </c>
      <c r="E4456" s="3" t="n">
        <v>16</v>
      </c>
      <c r="F4456" s="3" t="n">
        <v>18.3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19</v>
      </c>
      <c r="N4456" s="3" t="n">
        <v>97.04000000000001</v>
      </c>
      <c r="O4456" s="3" t="n">
        <v>29.82885085574572</v>
      </c>
    </row>
    <row r="4457" hidden="1">
      <c r="A4457" s="11" t="n">
        <v>46167</v>
      </c>
      <c r="B4457" t="inlineStr">
        <is>
          <t>Jéssica Fé Moura</t>
        </is>
      </c>
      <c r="C4457" s="15" t="inlineStr">
        <is>
          <t>Técnico III</t>
        </is>
      </c>
      <c r="D4457" s="3" t="n">
        <v>0</v>
      </c>
      <c r="E4457" s="3" t="n">
        <v>0</v>
      </c>
      <c r="F4457" s="3" t="n">
        <v>0</v>
      </c>
      <c r="G4457" s="3" t="n">
        <v>0</v>
      </c>
      <c r="H4457" s="3" t="n">
        <v>0</v>
      </c>
      <c r="I4457" s="3" t="n">
        <v>0</v>
      </c>
      <c r="J4457" s="3" t="n">
        <v>0</v>
      </c>
      <c r="K4457" s="3" t="n">
        <v>0</v>
      </c>
      <c r="L4457" s="3">
        <f>IF(K4457&lt;-5,"CRÍTICO",IF(K4457&lt;0,"ATENÇÃO",IF(K4457&lt;=5,"OPORTUNO","MUITO BOM")))</f>
        <v/>
      </c>
      <c r="M4457" s="3" t="n">
        <v>0</v>
      </c>
      <c r="N4457" s="3" t="n">
        <v>0</v>
      </c>
      <c r="O4457" s="3" t="n">
        <v>0</v>
      </c>
    </row>
    <row r="4458" hidden="1">
      <c r="A4458" s="11" t="n">
        <v>46167</v>
      </c>
      <c r="B4458" t="inlineStr">
        <is>
          <t>Kerollen Cristielly de Jesus Siqueira</t>
        </is>
      </c>
      <c r="C4458" s="15" t="inlineStr">
        <is>
          <t>Técnico III</t>
        </is>
      </c>
      <c r="D4458" s="3" t="n">
        <v>27</v>
      </c>
      <c r="E4458" s="3" t="n">
        <v>27</v>
      </c>
      <c r="F4458" s="3" t="n">
        <v>13.4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28</v>
      </c>
      <c r="N4458" s="3" t="n">
        <v>96.84</v>
      </c>
      <c r="O4458" s="3" t="n">
        <v>16.33802816901408</v>
      </c>
    </row>
    <row r="4459" hidden="1">
      <c r="A4459" s="11" t="n">
        <v>46167</v>
      </c>
      <c r="B4459" t="inlineStr">
        <is>
          <t>Leandro Oliveira de Sousa</t>
        </is>
      </c>
      <c r="C4459" s="15" t="inlineStr">
        <is>
          <t>Técnico III</t>
        </is>
      </c>
      <c r="D4459" s="3" t="n">
        <v>26</v>
      </c>
      <c r="E4459" s="3" t="n">
        <v>24</v>
      </c>
      <c r="F4459" s="3" t="n">
        <v>16.44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25</v>
      </c>
      <c r="N4459" s="3" t="n">
        <v>100</v>
      </c>
      <c r="O4459" s="3" t="n">
        <v>18.24480369515012</v>
      </c>
    </row>
    <row r="4460" hidden="1">
      <c r="A4460" s="11" t="n">
        <v>46167</v>
      </c>
      <c r="B4460" t="inlineStr">
        <is>
          <t>Lucas Luiz Romero</t>
        </is>
      </c>
      <c r="C4460" s="15" t="inlineStr">
        <is>
          <t>Técnico III</t>
        </is>
      </c>
      <c r="D4460" s="3" t="n">
        <v>0</v>
      </c>
      <c r="E4460" s="3" t="n">
        <v>0</v>
      </c>
      <c r="F4460" s="3" t="n">
        <v>0</v>
      </c>
      <c r="G4460" s="3" t="n">
        <v>0</v>
      </c>
      <c r="H4460" s="3" t="n">
        <v>0</v>
      </c>
      <c r="I4460" s="3" t="n">
        <v>0</v>
      </c>
      <c r="J4460" s="3" t="n">
        <v>0</v>
      </c>
      <c r="K4460" s="3" t="n">
        <v>0</v>
      </c>
      <c r="L4460" s="3">
        <f>IF(K4460&lt;-5,"CRÍTICO",IF(K4460&lt;0,"ATENÇÃO",IF(K4460&lt;=5,"OPORTUNO","MUITO BOM")))</f>
        <v/>
      </c>
      <c r="M4460" s="3" t="n">
        <v>9</v>
      </c>
      <c r="N4460" s="3" t="n">
        <v>100</v>
      </c>
      <c r="O4460" s="3" t="n">
        <v>15.78947368421053</v>
      </c>
    </row>
    <row r="4461" hidden="1">
      <c r="A4461" s="11" t="n">
        <v>46167</v>
      </c>
      <c r="B4461" t="inlineStr">
        <is>
          <t>Matheus Farias De Souza</t>
        </is>
      </c>
      <c r="C4461" s="15" t="inlineStr">
        <is>
          <t>Técnico III</t>
        </is>
      </c>
      <c r="D4461" s="3" t="n">
        <v>0</v>
      </c>
      <c r="E4461" s="3" t="n">
        <v>0</v>
      </c>
      <c r="F4461" s="3" t="n">
        <v>0</v>
      </c>
      <c r="G4461" s="3" t="n">
        <v>0</v>
      </c>
      <c r="H4461" s="3" t="n">
        <v>41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14</v>
      </c>
      <c r="N4461" s="3" t="n">
        <v>98.39</v>
      </c>
      <c r="O4461" s="16" t="n">
        <v>8.799999999999999</v>
      </c>
    </row>
    <row r="4462" hidden="1">
      <c r="A4462" s="11" t="n">
        <v>46167</v>
      </c>
      <c r="B4462" t="inlineStr">
        <is>
          <t>Maysa Victoria Dias Moura</t>
        </is>
      </c>
      <c r="C4462" s="15" t="inlineStr">
        <is>
          <t>Técnico III</t>
        </is>
      </c>
      <c r="D4462" s="3" t="n">
        <v>25</v>
      </c>
      <c r="E4462" s="3" t="n">
        <v>24</v>
      </c>
      <c r="F4462" s="3" t="n">
        <v>17.35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22</v>
      </c>
      <c r="N4462" s="3" t="n">
        <v>96.38</v>
      </c>
      <c r="O4462" s="3" t="n">
        <v>23.1981981981982</v>
      </c>
    </row>
    <row r="4463" hidden="1">
      <c r="A4463" s="11" t="n">
        <v>46167</v>
      </c>
      <c r="B4463" t="inlineStr">
        <is>
          <t>Rafael Gomes de Morais</t>
        </is>
      </c>
      <c r="C4463" s="15" t="inlineStr">
        <is>
          <t>Técnico III</t>
        </is>
      </c>
      <c r="D4463" s="3" t="n">
        <v>27</v>
      </c>
      <c r="E4463" s="3" t="n">
        <v>24</v>
      </c>
      <c r="F4463" s="3" t="n">
        <v>13.43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19</v>
      </c>
      <c r="N4463" s="3" t="n">
        <v>99.39</v>
      </c>
      <c r="O4463" s="3" t="n">
        <v>25.20325203252033</v>
      </c>
    </row>
    <row r="4464" hidden="1">
      <c r="A4464" s="11" t="n">
        <v>46167</v>
      </c>
      <c r="B4464" t="inlineStr">
        <is>
          <t>Sarah Steffanie de Lima Borges</t>
        </is>
      </c>
      <c r="C4464" s="15" t="inlineStr">
        <is>
          <t>Técnico III</t>
        </is>
      </c>
      <c r="D4464" s="3" t="n">
        <v>27</v>
      </c>
      <c r="E4464" s="3" t="n">
        <v>25</v>
      </c>
      <c r="F4464" s="3" t="n">
        <v>10.34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23</v>
      </c>
      <c r="N4464" s="3" t="n">
        <v>97</v>
      </c>
      <c r="O4464" s="3" t="n">
        <v>20.32520325203252</v>
      </c>
    </row>
    <row r="4465" hidden="1">
      <c r="A4465" s="13" t="n">
        <v>46167</v>
      </c>
      <c r="B4465" t="inlineStr">
        <is>
          <t>Alisson de Freitas Silva</t>
        </is>
      </c>
      <c r="C4465" s="15" t="inlineStr">
        <is>
          <t>Técnico II</t>
        </is>
      </c>
      <c r="D4465" s="3" t="n">
        <v>34</v>
      </c>
      <c r="E4465" s="3" t="n">
        <v>30</v>
      </c>
      <c r="F4465" s="3" t="n">
        <v>10.14</v>
      </c>
      <c r="G4465" s="3" t="n">
        <v>0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23</v>
      </c>
      <c r="N4465" s="3" t="n">
        <v>99.18000000000001</v>
      </c>
      <c r="O4465" s="3" t="n">
        <v>24.5014245014245</v>
      </c>
    </row>
    <row r="4466" hidden="1">
      <c r="A4466" s="11" t="n">
        <v>46167</v>
      </c>
      <c r="B4466" t="inlineStr">
        <is>
          <t>Brenda de Menezes Silva</t>
        </is>
      </c>
      <c r="C4466" s="15" t="inlineStr">
        <is>
          <t>Técnico II</t>
        </is>
      </c>
      <c r="D4466" s="3" t="n">
        <v>35</v>
      </c>
      <c r="E4466" s="3" t="n">
        <v>31</v>
      </c>
      <c r="F4466" s="3" t="n">
        <v>10.11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30</v>
      </c>
      <c r="N4466" s="3" t="n">
        <v>99.34999999999999</v>
      </c>
      <c r="O4466" s="3" t="n">
        <v>19.85294117647059</v>
      </c>
    </row>
    <row r="4467" hidden="1">
      <c r="A4467" s="11" t="n">
        <v>46167</v>
      </c>
      <c r="B4467" t="inlineStr">
        <is>
          <t>Carlos Mateus Cassimiro Nunes</t>
        </is>
      </c>
      <c r="C4467" s="15" t="inlineStr">
        <is>
          <t>Técnico II</t>
        </is>
      </c>
      <c r="D4467" s="3" t="n">
        <v>23</v>
      </c>
      <c r="E4467" s="3" t="n">
        <v>23</v>
      </c>
      <c r="F4467" s="3" t="n">
        <v>20.51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20</v>
      </c>
      <c r="N4467" s="3" t="n">
        <v>99.06999999999999</v>
      </c>
      <c r="O4467" s="3" t="n">
        <v>20.09803921568627</v>
      </c>
    </row>
    <row r="4468" hidden="1">
      <c r="A4468" s="11" t="n">
        <v>46167</v>
      </c>
      <c r="B4468" t="inlineStr">
        <is>
          <t>Damyllis Lorraine de Oliveira Gonçalves</t>
        </is>
      </c>
      <c r="C4468" s="15" t="inlineStr">
        <is>
          <t>Técnico II</t>
        </is>
      </c>
      <c r="D4468" s="3" t="n">
        <v>0</v>
      </c>
      <c r="E4468" s="3" t="n">
        <v>0</v>
      </c>
      <c r="F4468" s="3" t="n">
        <v>0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0</v>
      </c>
      <c r="N4468" s="3" t="n">
        <v>98.81</v>
      </c>
      <c r="O4468" s="3" t="n">
        <v>22.76785714285714</v>
      </c>
    </row>
    <row r="4469" hidden="1">
      <c r="A4469" s="11" t="n">
        <v>46167</v>
      </c>
      <c r="B4469" t="inlineStr">
        <is>
          <t>Emilly Kamilly Medeiros Miranda</t>
        </is>
      </c>
      <c r="C4469" s="15" t="inlineStr">
        <is>
          <t>Técnico II</t>
        </is>
      </c>
      <c r="D4469" s="3" t="n">
        <v>23</v>
      </c>
      <c r="E4469" s="3" t="n">
        <v>21</v>
      </c>
      <c r="F4469" s="3" t="n">
        <v>13.4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17</v>
      </c>
      <c r="N4469" s="3" t="n">
        <v>99.01000000000001</v>
      </c>
      <c r="O4469" s="3" t="n">
        <v>17.76649746192894</v>
      </c>
    </row>
    <row r="4470" hidden="1">
      <c r="A4470" s="11" t="n">
        <v>46167</v>
      </c>
      <c r="B4470" t="inlineStr">
        <is>
          <t>Francilene Ferreira de Jesus</t>
        </is>
      </c>
      <c r="C4470" s="15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3" t="n">
        <v>17.24137931034483</v>
      </c>
    </row>
    <row r="4471" hidden="1">
      <c r="A4471" s="11" t="n">
        <v>46167</v>
      </c>
      <c r="B4471" t="inlineStr">
        <is>
          <t>Isabella Borges de Oliveira</t>
        </is>
      </c>
      <c r="C4471" s="15" t="inlineStr">
        <is>
          <t>Técnico II</t>
        </is>
      </c>
      <c r="D4471" s="3" t="n">
        <v>27</v>
      </c>
      <c r="E4471" s="3" t="n">
        <v>23</v>
      </c>
      <c r="F4471" s="3" t="n">
        <v>15.42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23</v>
      </c>
      <c r="N4471" s="3" t="n">
        <v>98.98</v>
      </c>
      <c r="O4471" s="3" t="n">
        <v>19.35483870967742</v>
      </c>
    </row>
    <row r="4472" hidden="1">
      <c r="A4472" s="11" t="n">
        <v>46167</v>
      </c>
      <c r="B4472" t="inlineStr">
        <is>
          <t>Jessica Faria da Silveira</t>
        </is>
      </c>
      <c r="C4472" s="15" t="inlineStr">
        <is>
          <t>Técnico II</t>
        </is>
      </c>
      <c r="D4472" s="3" t="n">
        <v>21</v>
      </c>
      <c r="E4472" s="3" t="n">
        <v>17</v>
      </c>
      <c r="F4472" s="3" t="n">
        <v>17.19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17</v>
      </c>
      <c r="N4472" s="3" t="n">
        <v>98.94</v>
      </c>
      <c r="O4472" s="3" t="n">
        <v>21.2707182320442</v>
      </c>
    </row>
    <row r="4473" hidden="1">
      <c r="A4473" s="11" t="n">
        <v>46167</v>
      </c>
      <c r="B4473" t="inlineStr">
        <is>
          <t>Lizandra Gomes Duarte</t>
        </is>
      </c>
      <c r="C4473" s="15" t="inlineStr">
        <is>
          <t>Técnico II</t>
        </is>
      </c>
      <c r="D4473" s="3" t="n">
        <v>24</v>
      </c>
      <c r="E4473" s="3" t="n">
        <v>24</v>
      </c>
      <c r="F4473" s="3" t="n">
        <v>20.36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99</v>
      </c>
      <c r="O4473" s="3" t="n">
        <v>22.01086956521739</v>
      </c>
    </row>
    <row r="4474" hidden="1">
      <c r="A4474" s="11" t="n">
        <v>46167</v>
      </c>
      <c r="B4474" t="inlineStr">
        <is>
          <t>Lorena Dias de Araujo</t>
        </is>
      </c>
      <c r="C4474" s="15" t="inlineStr">
        <is>
          <t>Técnico II</t>
        </is>
      </c>
      <c r="D4474" s="3" t="n">
        <v>19</v>
      </c>
      <c r="E4474" s="3" t="n">
        <v>15</v>
      </c>
      <c r="F4474" s="3" t="n">
        <v>24.06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16</v>
      </c>
      <c r="N4474" s="3" t="n">
        <v>100</v>
      </c>
      <c r="O4474" s="3" t="n">
        <v>25</v>
      </c>
    </row>
    <row r="4475" hidden="1">
      <c r="A4475" s="11" t="n">
        <v>46167</v>
      </c>
      <c r="B4475" t="inlineStr">
        <is>
          <t>Patrícia Karla de Sousa Araújo</t>
        </is>
      </c>
      <c r="C4475" s="15" t="inlineStr">
        <is>
          <t>Técnico II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0</v>
      </c>
      <c r="N4475" s="3" t="n">
        <v>100</v>
      </c>
      <c r="O4475" s="3" t="n">
        <v>20.18348623853211</v>
      </c>
    </row>
    <row r="4476" hidden="1">
      <c r="A4476" s="11" t="n">
        <v>46167</v>
      </c>
      <c r="B4476" t="inlineStr">
        <is>
          <t>Ana Karollyne Souza Faria</t>
        </is>
      </c>
      <c r="C4476" s="15" t="inlineStr">
        <is>
          <t>Técnico I</t>
        </is>
      </c>
      <c r="D4476" s="3" t="n">
        <v>25</v>
      </c>
      <c r="E4476" s="3" t="n">
        <v>24</v>
      </c>
      <c r="F4476" s="3" t="n">
        <v>15.25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21</v>
      </c>
      <c r="N4476" s="3" t="n">
        <v>96.25</v>
      </c>
      <c r="O4476" s="3" t="n">
        <v>25.5863539445629</v>
      </c>
    </row>
    <row r="4477" hidden="1">
      <c r="A4477" s="11" t="n">
        <v>46167</v>
      </c>
      <c r="B4477" t="inlineStr">
        <is>
          <t>Clessiane Pereira dos Santos</t>
        </is>
      </c>
      <c r="C4477" s="15" t="inlineStr">
        <is>
          <t>Técnico I</t>
        </is>
      </c>
      <c r="D4477" s="3" t="n">
        <v>11</v>
      </c>
      <c r="E4477" s="3" t="n">
        <v>11</v>
      </c>
      <c r="F4477" s="3" t="n">
        <v>15.57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11</v>
      </c>
      <c r="N4477" s="3" t="n">
        <v>97.48</v>
      </c>
      <c r="O4477" s="3" t="n">
        <v>22.99465240641711</v>
      </c>
    </row>
    <row r="4478" hidden="1">
      <c r="A4478" s="11" t="n">
        <v>46167</v>
      </c>
      <c r="B4478" t="inlineStr">
        <is>
          <t>Daniel Gomes da Silva</t>
        </is>
      </c>
      <c r="C4478" s="15" t="inlineStr">
        <is>
          <t>Técnico I</t>
        </is>
      </c>
      <c r="D4478" s="3" t="n">
        <v>28</v>
      </c>
      <c r="E4478" s="3" t="n">
        <v>25</v>
      </c>
      <c r="F4478" s="3" t="n">
        <v>13.29</v>
      </c>
      <c r="G4478" s="3" t="n">
        <v>0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18</v>
      </c>
      <c r="N4478" s="3" t="n">
        <v>100</v>
      </c>
      <c r="O4478" s="3" t="n">
        <v>20.78853046594982</v>
      </c>
    </row>
    <row r="4479" hidden="1">
      <c r="A4479" s="11" t="n">
        <v>46167</v>
      </c>
      <c r="B4479" t="inlineStr">
        <is>
          <t>Luiz Fernando de Carvalho Junior</t>
        </is>
      </c>
      <c r="C4479" s="15" t="inlineStr">
        <is>
          <t>Técnico I</t>
        </is>
      </c>
      <c r="D4479" s="3" t="n">
        <v>14</v>
      </c>
      <c r="E4479" s="3" t="n">
        <v>14</v>
      </c>
      <c r="F4479" s="3" t="n">
        <v>28.35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14</v>
      </c>
      <c r="N4479" s="3" t="n">
        <v>94.55</v>
      </c>
      <c r="O4479" s="3" t="n">
        <v>23.45013477088949</v>
      </c>
    </row>
    <row r="4480" hidden="1">
      <c r="A4480" s="11" t="n">
        <v>46167</v>
      </c>
      <c r="B4480" t="inlineStr">
        <is>
          <t>Raane Batista Matos</t>
        </is>
      </c>
      <c r="C4480" s="15" t="inlineStr">
        <is>
          <t>Técnico I</t>
        </is>
      </c>
      <c r="D4480" s="3" t="n">
        <v>28</v>
      </c>
      <c r="E4480" s="3" t="n">
        <v>26</v>
      </c>
      <c r="F4480" s="3" t="n">
        <v>15.04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22</v>
      </c>
      <c r="N4480" s="3" t="n">
        <v>98</v>
      </c>
      <c r="O4480" s="3" t="n">
        <v>20.73490813648294</v>
      </c>
    </row>
    <row r="4481" hidden="1">
      <c r="A4481" s="11" t="n">
        <v>46167</v>
      </c>
      <c r="B4481" t="inlineStr">
        <is>
          <t>Sara Maria Monteiro Lopes</t>
        </is>
      </c>
      <c r="C4481" s="15" t="inlineStr">
        <is>
          <t>Técnico I</t>
        </is>
      </c>
      <c r="D4481" s="3" t="n">
        <v>17</v>
      </c>
      <c r="E4481" s="3" t="n">
        <v>17</v>
      </c>
      <c r="F4481" s="3" t="n">
        <v>25.3</v>
      </c>
      <c r="G4481" s="3" t="n">
        <v>0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18</v>
      </c>
      <c r="N4481" s="3" t="n">
        <v>100</v>
      </c>
      <c r="O4481" s="3" t="n">
        <v>18</v>
      </c>
    </row>
    <row r="4482" hidden="1">
      <c r="A4482" s="11" t="n">
        <v>46167</v>
      </c>
      <c r="B4482" t="inlineStr">
        <is>
          <t>Gabriel Gomes de Andrade</t>
        </is>
      </c>
      <c r="C4482" s="15" t="inlineStr">
        <is>
          <t>Técnico I</t>
        </is>
      </c>
      <c r="D4482" s="3" t="n">
        <v>25</v>
      </c>
      <c r="E4482" s="3" t="n">
        <v>25</v>
      </c>
      <c r="F4482" s="3" t="n">
        <v>12.33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24</v>
      </c>
      <c r="N4482" s="3" t="n">
        <v>99.06</v>
      </c>
      <c r="O4482" s="3" t="n">
        <v>19.41747572815534</v>
      </c>
    </row>
    <row r="4483" hidden="1">
      <c r="A4483" s="11" t="n">
        <v>46168</v>
      </c>
      <c r="B4483" t="inlineStr">
        <is>
          <t>Amanda Moura Ferreira</t>
        </is>
      </c>
      <c r="C4483" s="15" t="inlineStr">
        <is>
          <t>Técnico III</t>
        </is>
      </c>
      <c r="D4483" s="3" t="n">
        <v>0</v>
      </c>
      <c r="E4483" s="3" t="n">
        <v>0</v>
      </c>
      <c r="F4483" s="3" t="n">
        <v>0</v>
      </c>
      <c r="G4483" s="3" t="n">
        <v>0</v>
      </c>
      <c r="H4483" s="3" t="n">
        <v>0</v>
      </c>
      <c r="I4483" s="3" t="n">
        <v>0</v>
      </c>
      <c r="J4483" s="3" t="n">
        <v>0</v>
      </c>
      <c r="K4483" s="3" t="n">
        <v>0</v>
      </c>
      <c r="M4483" s="3" t="n">
        <v>0</v>
      </c>
      <c r="N4483" s="3" t="n">
        <v>100</v>
      </c>
      <c r="O4483" s="3" t="n">
        <v>0</v>
      </c>
    </row>
    <row r="4484" hidden="1">
      <c r="A4484" s="11" t="n">
        <v>46168</v>
      </c>
      <c r="B4484" t="inlineStr">
        <is>
          <t>Ana Paula Da Luz Silva Aleixo</t>
        </is>
      </c>
      <c r="C4484" s="15" t="inlineStr">
        <is>
          <t>Técnico III</t>
        </is>
      </c>
      <c r="D4484" s="3" t="n">
        <v>33</v>
      </c>
      <c r="E4484" s="3" t="n">
        <v>27</v>
      </c>
      <c r="F4484" s="3" t="n">
        <v>12.19</v>
      </c>
      <c r="G4484" s="3" t="n">
        <v>3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26</v>
      </c>
      <c r="N4484" s="3" t="n">
        <v>96.94</v>
      </c>
      <c r="O4484" s="3" t="n">
        <v>21.54696132596685</v>
      </c>
    </row>
    <row r="4485" hidden="1">
      <c r="A4485" s="11" t="n">
        <v>46168</v>
      </c>
      <c r="B4485" t="inlineStr">
        <is>
          <t>Cristiane Ramos da Silva Rocha</t>
        </is>
      </c>
      <c r="C4485" s="15" t="inlineStr">
        <is>
          <t>Técnico III</t>
        </is>
      </c>
      <c r="D4485" s="3" t="n">
        <v>24</v>
      </c>
      <c r="E4485" s="3" t="n">
        <v>22</v>
      </c>
      <c r="F4485" s="3" t="n">
        <v>10.43</v>
      </c>
      <c r="G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15</v>
      </c>
      <c r="N4485" s="3" t="n">
        <v>92.81</v>
      </c>
      <c r="O4485" s="3" t="n">
        <v>26.11464968152866</v>
      </c>
    </row>
    <row r="4486" hidden="1">
      <c r="A4486" s="11" t="n">
        <v>46168</v>
      </c>
      <c r="B4486" t="inlineStr">
        <is>
          <t>Davylla Rodrigues Freitas Silva</t>
        </is>
      </c>
      <c r="C4486" s="15" t="inlineStr">
        <is>
          <t>Técnico III</t>
        </is>
      </c>
      <c r="D4486" s="3" t="n">
        <v>0</v>
      </c>
      <c r="E4486" s="3" t="n">
        <v>0</v>
      </c>
      <c r="F4486" s="3" t="n">
        <v>0</v>
      </c>
      <c r="G4486" s="3" t="n">
        <v>0</v>
      </c>
      <c r="H4486" s="3" t="n">
        <v>0</v>
      </c>
      <c r="I4486" s="3" t="n">
        <v>0</v>
      </c>
      <c r="J4486" s="3" t="n">
        <v>0</v>
      </c>
      <c r="K4486" s="3" t="n">
        <v>0</v>
      </c>
      <c r="L4486" s="3">
        <f>IF(K4486&lt;-5,"CRÍTICO",IF(K4486&lt;0,"ATENÇÃO",IF(K4486&lt;=5,"OPORTUNO","MUITO BOM")))</f>
        <v/>
      </c>
      <c r="M4486" s="3" t="n">
        <v>0</v>
      </c>
      <c r="N4486" s="3" t="n">
        <v>99.19</v>
      </c>
      <c r="O4486" s="3" t="n">
        <v>29.57198443579767</v>
      </c>
    </row>
    <row r="4487" hidden="1">
      <c r="A4487" s="11" t="n">
        <v>46168</v>
      </c>
      <c r="B4487" t="inlineStr">
        <is>
          <t>Francielson de Oliveira</t>
        </is>
      </c>
      <c r="C4487" s="15" t="inlineStr">
        <is>
          <t>Técnico III</t>
        </is>
      </c>
      <c r="D4487" s="3" t="n">
        <v>38</v>
      </c>
      <c r="E4487" s="3" t="n">
        <v>35</v>
      </c>
      <c r="F4487" s="3" t="n">
        <v>12</v>
      </c>
      <c r="G4487" s="3" t="n">
        <v>3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34</v>
      </c>
      <c r="N4487" s="3" t="n">
        <v>100</v>
      </c>
      <c r="O4487" s="3" t="n">
        <v>15.06849315068493</v>
      </c>
    </row>
    <row r="4488" hidden="1">
      <c r="A4488" s="11" t="n">
        <v>46168</v>
      </c>
      <c r="B4488" t="inlineStr">
        <is>
          <t>Janaina Lima dos Reis Urany</t>
        </is>
      </c>
      <c r="C4488" s="15" t="inlineStr">
        <is>
          <t>Técnico III</t>
        </is>
      </c>
      <c r="D4488" s="3" t="n">
        <v>38</v>
      </c>
      <c r="E4488" s="3" t="n">
        <v>35</v>
      </c>
      <c r="F4488" s="3" t="n">
        <v>13.38</v>
      </c>
      <c r="G4488" s="3" t="n">
        <v>5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34</v>
      </c>
      <c r="N4488" s="3" t="n">
        <v>99</v>
      </c>
      <c r="O4488" s="3" t="n">
        <v>23.05295950155763</v>
      </c>
    </row>
    <row r="4489" hidden="1">
      <c r="A4489" s="11" t="n">
        <v>46168</v>
      </c>
      <c r="B4489" t="inlineStr">
        <is>
          <t>Jaqueline Evangelista da Silva Martins</t>
        </is>
      </c>
      <c r="C4489" s="15" t="inlineStr">
        <is>
          <t>Técnico III</t>
        </is>
      </c>
      <c r="D4489" s="3" t="n">
        <v>18</v>
      </c>
      <c r="E4489" s="3" t="n">
        <v>16</v>
      </c>
      <c r="F4489" s="3" t="n">
        <v>10.14</v>
      </c>
      <c r="G4489" s="3" t="n">
        <v>4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15</v>
      </c>
      <c r="N4489" s="3" t="n">
        <v>97.04000000000001</v>
      </c>
      <c r="O4489" s="3" t="n">
        <v>34.71882640586797</v>
      </c>
    </row>
    <row r="4490" hidden="1">
      <c r="A4490" s="11" t="n">
        <v>46168</v>
      </c>
      <c r="B4490" t="inlineStr">
        <is>
          <t>Jéssica Fé Moura</t>
        </is>
      </c>
      <c r="C4490" s="15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0</v>
      </c>
      <c r="O4490" s="3" t="n">
        <v>0</v>
      </c>
    </row>
    <row r="4491" hidden="1">
      <c r="A4491" s="11" t="n">
        <v>46168</v>
      </c>
      <c r="B4491" t="inlineStr">
        <is>
          <t>Kerollen Cristielly de Jesus Siqueira</t>
        </is>
      </c>
      <c r="C4491" s="15" t="inlineStr">
        <is>
          <t>Técnico III</t>
        </is>
      </c>
      <c r="D4491" s="3" t="n">
        <v>30</v>
      </c>
      <c r="E4491" s="3" t="n">
        <v>29</v>
      </c>
      <c r="F4491" s="3" t="n">
        <v>15.33</v>
      </c>
      <c r="G4491" s="3" t="n">
        <v>2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25</v>
      </c>
      <c r="N4491" s="3" t="n">
        <v>96.84</v>
      </c>
      <c r="O4491" s="3" t="n">
        <v>17.74647887323944</v>
      </c>
    </row>
    <row r="4492" hidden="1">
      <c r="A4492" s="11" t="n">
        <v>46168</v>
      </c>
      <c r="B4492" t="inlineStr">
        <is>
          <t>Leandro Oliveira de Sousa</t>
        </is>
      </c>
      <c r="C4492" s="15" t="inlineStr">
        <is>
          <t>Técnico III</t>
        </is>
      </c>
      <c r="D4492" s="3" t="n">
        <v>29</v>
      </c>
      <c r="E4492" s="3" t="n">
        <v>26</v>
      </c>
      <c r="F4492" s="3" t="n">
        <v>15.05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25</v>
      </c>
      <c r="N4492" s="3" t="n">
        <v>100</v>
      </c>
      <c r="O4492" s="3" t="n">
        <v>19.39953810623557</v>
      </c>
    </row>
    <row r="4493" hidden="1">
      <c r="A4493" s="11" t="n">
        <v>46168</v>
      </c>
      <c r="B4493" t="inlineStr">
        <is>
          <t>Lucas Luiz Romero</t>
        </is>
      </c>
      <c r="C4493" s="15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16</v>
      </c>
      <c r="N4493" s="3" t="n">
        <v>100</v>
      </c>
      <c r="O4493" s="3" t="n">
        <v>21.27659574468085</v>
      </c>
    </row>
    <row r="4494" hidden="1">
      <c r="A4494" s="11" t="n">
        <v>46168</v>
      </c>
      <c r="B4494" t="inlineStr">
        <is>
          <t>Matheus Farias De Souza</t>
        </is>
      </c>
      <c r="C4494" s="15" t="inlineStr">
        <is>
          <t>Técnico III</t>
        </is>
      </c>
      <c r="D4494" s="3" t="n">
        <v>0</v>
      </c>
      <c r="E4494" s="3" t="n">
        <v>0</v>
      </c>
      <c r="F4494" s="3" t="n">
        <v>0</v>
      </c>
      <c r="G4494" s="3" t="n">
        <v>0</v>
      </c>
      <c r="H4494" s="3" t="n">
        <v>47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18</v>
      </c>
      <c r="N4494" s="3" t="n">
        <v>98.39</v>
      </c>
      <c r="O4494" s="16" t="n">
        <v>9.066666666666666</v>
      </c>
    </row>
    <row r="4495" hidden="1">
      <c r="A4495" s="11" t="n">
        <v>46168</v>
      </c>
      <c r="B4495" t="inlineStr">
        <is>
          <t>Maysa Victoria Dias Moura</t>
        </is>
      </c>
      <c r="C4495" s="15" t="inlineStr">
        <is>
          <t>Técnico III</t>
        </is>
      </c>
      <c r="D4495" s="3" t="n">
        <v>33</v>
      </c>
      <c r="E4495" s="3" t="n">
        <v>30</v>
      </c>
      <c r="F4495" s="3" t="n">
        <v>10.1</v>
      </c>
      <c r="G4495" s="3" t="n">
        <v>2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96.38</v>
      </c>
      <c r="O4495" s="3" t="n">
        <v>25.22522522522522</v>
      </c>
    </row>
    <row r="4496" hidden="1">
      <c r="A4496" s="11" t="n">
        <v>46168</v>
      </c>
      <c r="B4496" t="inlineStr">
        <is>
          <t>Rafael Gomes de Morais</t>
        </is>
      </c>
      <c r="C4496" s="15" t="inlineStr">
        <is>
          <t>Técnico III</t>
        </is>
      </c>
      <c r="D4496" s="3" t="n">
        <v>37</v>
      </c>
      <c r="E4496" s="3" t="n">
        <v>33</v>
      </c>
      <c r="F4496" s="3" t="n">
        <v>11.48</v>
      </c>
      <c r="G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24</v>
      </c>
      <c r="N4496" s="3" t="n">
        <v>99.39</v>
      </c>
      <c r="O4496" s="3" t="n">
        <v>26.6260162601626</v>
      </c>
    </row>
    <row r="4497" hidden="1">
      <c r="A4497" s="11" t="n">
        <v>46168</v>
      </c>
      <c r="B4497" t="inlineStr">
        <is>
          <t>Sarah Steffanie de Lima Borges</t>
        </is>
      </c>
      <c r="C4497" s="15" t="inlineStr">
        <is>
          <t>Técnico III</t>
        </is>
      </c>
      <c r="D4497" s="3" t="n">
        <v>24</v>
      </c>
      <c r="E4497" s="3" t="n">
        <v>22</v>
      </c>
      <c r="F4497" s="3" t="n">
        <v>15.22</v>
      </c>
      <c r="G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s="3" t="n">
        <v>17</v>
      </c>
      <c r="N4497" s="3" t="n">
        <v>97</v>
      </c>
      <c r="O4497" s="3" t="n">
        <v>21.95121951219512</v>
      </c>
    </row>
    <row r="4498" hidden="1">
      <c r="A4498" s="11" t="n">
        <v>46168</v>
      </c>
      <c r="B4498" t="inlineStr">
        <is>
          <t>Brenda de Menezes Silva</t>
        </is>
      </c>
      <c r="C4498" s="15" t="inlineStr">
        <is>
          <t>Técnico II</t>
        </is>
      </c>
      <c r="D4498" s="3" t="n">
        <v>27</v>
      </c>
      <c r="E4498" s="3" t="n">
        <v>22</v>
      </c>
      <c r="F4498" s="3" t="n">
        <v>14.06</v>
      </c>
      <c r="G4498" s="3" t="n">
        <v>4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99.34999999999999</v>
      </c>
      <c r="O4498" s="3" t="n">
        <v>21.13970588235294</v>
      </c>
    </row>
    <row r="4499" hidden="1">
      <c r="A4499" s="11" t="n">
        <v>46168</v>
      </c>
      <c r="B4499" t="inlineStr">
        <is>
          <t>Carlos Mateus Cassimiro Nunes</t>
        </is>
      </c>
      <c r="C4499" s="15" t="inlineStr">
        <is>
          <t>Técnico II</t>
        </is>
      </c>
      <c r="D4499" s="3" t="n">
        <v>28</v>
      </c>
      <c r="E4499" s="3" t="n">
        <v>26</v>
      </c>
      <c r="F4499" s="3" t="n">
        <v>20.21</v>
      </c>
      <c r="G4499" s="3" t="n">
        <v>2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26</v>
      </c>
      <c r="N4499" s="3" t="n">
        <v>99.06999999999999</v>
      </c>
      <c r="O4499" s="3" t="n">
        <v>22.11302211302211</v>
      </c>
    </row>
    <row r="4500" hidden="1">
      <c r="A4500" s="11" t="n">
        <v>46168</v>
      </c>
      <c r="B4500" t="inlineStr">
        <is>
          <t>Damyllis Lorraine de Oliveira Gonçalves</t>
        </is>
      </c>
      <c r="C4500" s="15" t="inlineStr">
        <is>
          <t>Técnico 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0</v>
      </c>
      <c r="N4500" s="3" t="n">
        <v>98.81</v>
      </c>
      <c r="O4500" s="3" t="n">
        <v>25</v>
      </c>
    </row>
    <row r="4501" hidden="1">
      <c r="A4501" s="11" t="n">
        <v>46168</v>
      </c>
      <c r="B4501" t="inlineStr">
        <is>
          <t>Emilly Kamilly Medeiros Miranda</t>
        </is>
      </c>
      <c r="C4501" s="15" t="inlineStr">
        <is>
          <t>Técnico II</t>
        </is>
      </c>
      <c r="D4501" s="3" t="n">
        <v>21</v>
      </c>
      <c r="E4501" s="3" t="n">
        <v>21</v>
      </c>
      <c r="F4501" s="3" t="n">
        <v>13.22</v>
      </c>
      <c r="G4501" s="3" t="n">
        <v>1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17</v>
      </c>
      <c r="N4501" s="3" t="n">
        <v>99.01000000000001</v>
      </c>
      <c r="O4501" s="3" t="n">
        <v>19.54314720812183</v>
      </c>
    </row>
    <row r="4502" hidden="1">
      <c r="A4502" s="11" t="n">
        <v>46168</v>
      </c>
      <c r="B4502" t="inlineStr">
        <is>
          <t>Francilene Ferreira de Jesus</t>
        </is>
      </c>
      <c r="C4502" s="15" t="inlineStr">
        <is>
          <t>Técnico II</t>
        </is>
      </c>
      <c r="D4502" s="3" t="n">
        <v>0</v>
      </c>
      <c r="E4502" s="3" t="n">
        <v>0</v>
      </c>
      <c r="F4502" s="3" t="n">
        <v>0</v>
      </c>
      <c r="G4502" s="3" t="n">
        <v>0</v>
      </c>
      <c r="H4502" s="3" t="n">
        <v>0</v>
      </c>
      <c r="I4502" s="3" t="n">
        <v>0</v>
      </c>
      <c r="J4502" s="3" t="n">
        <v>0</v>
      </c>
      <c r="K4502" s="3" t="n">
        <v>0</v>
      </c>
      <c r="L4502" s="3">
        <f>IF(K4502&lt;-5,"CRÍTICO",IF(K4502&lt;0,"ATENÇÃO",IF(K4502&lt;=5,"OPORTUNO","MUITO BOM")))</f>
        <v/>
      </c>
      <c r="M4502" s="3" t="n">
        <v>0</v>
      </c>
      <c r="N4502" s="3" t="n">
        <v>100</v>
      </c>
      <c r="O4502" s="3" t="n">
        <v>17.24137931034483</v>
      </c>
    </row>
    <row r="4503" hidden="1">
      <c r="A4503" s="11" t="n">
        <v>46168</v>
      </c>
      <c r="B4503" t="inlineStr">
        <is>
          <t>Isabella Borges de Oliveira</t>
        </is>
      </c>
      <c r="C4503" s="15" t="inlineStr">
        <is>
          <t>Técnico II</t>
        </is>
      </c>
      <c r="D4503" s="3" t="n">
        <v>24</v>
      </c>
      <c r="E4503" s="3" t="n">
        <v>23</v>
      </c>
      <c r="F4503" s="3" t="n">
        <v>15.03</v>
      </c>
      <c r="G4503" s="3" t="n">
        <v>1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20</v>
      </c>
      <c r="N4503" s="3" t="n">
        <v>98.98</v>
      </c>
      <c r="O4503" s="3" t="n">
        <v>21.23655913978495</v>
      </c>
    </row>
    <row r="4504" hidden="1">
      <c r="A4504" s="11" t="n">
        <v>46168</v>
      </c>
      <c r="B4504" t="inlineStr">
        <is>
          <t>Jessica Faria da Silveira</t>
        </is>
      </c>
      <c r="C4504" s="15" t="inlineStr">
        <is>
          <t>Técnico II</t>
        </is>
      </c>
      <c r="D4504" s="3" t="n">
        <v>34</v>
      </c>
      <c r="E4504" s="3" t="n">
        <v>20</v>
      </c>
      <c r="F4504" s="3" t="n">
        <v>7.25</v>
      </c>
      <c r="G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21</v>
      </c>
      <c r="N4504" s="3" t="n">
        <v>98.94</v>
      </c>
      <c r="O4504" s="3" t="n">
        <v>22.92817679558011</v>
      </c>
    </row>
    <row r="4505" hidden="1">
      <c r="A4505" s="11" t="n">
        <v>46168</v>
      </c>
      <c r="B4505" t="inlineStr">
        <is>
          <t>Lizandra Gomes Duarte</t>
        </is>
      </c>
      <c r="C4505" s="15" t="inlineStr">
        <is>
          <t>Técnico II</t>
        </is>
      </c>
      <c r="D4505" s="3" t="n">
        <v>21</v>
      </c>
      <c r="E4505" s="3" t="n">
        <v>20</v>
      </c>
      <c r="F4505" s="3" t="n">
        <v>20.39</v>
      </c>
      <c r="G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17</v>
      </c>
      <c r="N4505" s="3" t="n">
        <v>99</v>
      </c>
      <c r="O4505" s="3" t="n">
        <v>24.52316076294278</v>
      </c>
    </row>
    <row r="4506" hidden="1">
      <c r="A4506" s="11" t="n">
        <v>46168</v>
      </c>
      <c r="B4506" t="inlineStr">
        <is>
          <t>Lorena Dias de Araujo</t>
        </is>
      </c>
      <c r="C4506" s="15" t="inlineStr">
        <is>
          <t>Técnico II</t>
        </is>
      </c>
      <c r="D4506" s="3" t="n">
        <v>18</v>
      </c>
      <c r="E4506" s="3" t="n">
        <v>17</v>
      </c>
      <c r="F4506" s="3" t="n">
        <v>22.25</v>
      </c>
      <c r="G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s="3" t="n">
        <v>15</v>
      </c>
      <c r="N4506" s="3" t="n">
        <v>100</v>
      </c>
      <c r="O4506" s="3" t="n">
        <v>26.4367816091954</v>
      </c>
    </row>
    <row r="4507" hidden="1">
      <c r="A4507" s="11" t="n">
        <v>46168</v>
      </c>
      <c r="B4507" t="inlineStr">
        <is>
          <t>Patrícia Karla de Sousa Araújo</t>
        </is>
      </c>
      <c r="C4507" s="15" t="inlineStr">
        <is>
          <t>Técnico II</t>
        </is>
      </c>
      <c r="D4507" s="3" t="n">
        <v>0</v>
      </c>
      <c r="E4507" s="3" t="n">
        <v>0</v>
      </c>
      <c r="F4507" s="3" t="n">
        <v>0</v>
      </c>
      <c r="G4507" s="3" t="n">
        <v>0</v>
      </c>
      <c r="H4507" s="3" t="n">
        <v>0</v>
      </c>
      <c r="I4507" s="3" t="n">
        <v>0</v>
      </c>
      <c r="J4507" s="3" t="n">
        <v>0</v>
      </c>
      <c r="K4507" s="3" t="n">
        <v>0</v>
      </c>
      <c r="L4507" s="3">
        <f>IF(K4507&lt;-5,"CRÍTICO",IF(K4507&lt;0,"ATENÇÃO",IF(K4507&lt;=5,"OPORTUNO","MUITO BOM")))</f>
        <v/>
      </c>
      <c r="M4507" s="3" t="n">
        <v>0</v>
      </c>
      <c r="N4507" s="3" t="n">
        <v>100</v>
      </c>
      <c r="O4507" s="3" t="n">
        <v>21.10091743119266</v>
      </c>
    </row>
    <row r="4508" hidden="1">
      <c r="A4508" s="11" t="n">
        <v>46168</v>
      </c>
      <c r="B4508" t="inlineStr">
        <is>
          <t>Clessiane Pereira dos Santos</t>
        </is>
      </c>
      <c r="C4508" s="15" t="inlineStr">
        <is>
          <t>Técnico I</t>
        </is>
      </c>
      <c r="D4508" s="3" t="n">
        <v>28</v>
      </c>
      <c r="E4508" s="3" t="n">
        <v>26</v>
      </c>
      <c r="F4508" s="3" t="n">
        <v>15.35</v>
      </c>
      <c r="G4508" s="3" t="n">
        <v>2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25</v>
      </c>
      <c r="N4508" s="3" t="n">
        <v>97.48</v>
      </c>
      <c r="O4508" s="3" t="n">
        <v>25.40106951871658</v>
      </c>
    </row>
    <row r="4509" hidden="1">
      <c r="A4509" s="11" t="n">
        <v>46168</v>
      </c>
      <c r="B4509" t="inlineStr">
        <is>
          <t>Daniel Gomes da Silva</t>
        </is>
      </c>
      <c r="C4509" s="15" t="inlineStr">
        <is>
          <t>Técnico I</t>
        </is>
      </c>
      <c r="D4509" s="3" t="n">
        <v>20</v>
      </c>
      <c r="E4509" s="3" t="n">
        <v>17</v>
      </c>
      <c r="F4509" s="3" t="n">
        <v>16.54</v>
      </c>
      <c r="G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22.58064516129032</v>
      </c>
    </row>
    <row r="4510" hidden="1">
      <c r="A4510" s="11" t="n">
        <v>46168</v>
      </c>
      <c r="B4510" t="inlineStr">
        <is>
          <t>Gabriel Gomes de Andrade</t>
        </is>
      </c>
      <c r="C4510" s="15" t="inlineStr">
        <is>
          <t>Técnico I</t>
        </is>
      </c>
      <c r="D4510" s="3" t="n">
        <v>20</v>
      </c>
      <c r="E4510" s="3" t="n">
        <v>20</v>
      </c>
      <c r="F4510" s="3" t="n">
        <v>21.49</v>
      </c>
      <c r="G4510" s="3" t="n">
        <v>2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19</v>
      </c>
      <c r="N4510" s="3" t="n">
        <v>99.06</v>
      </c>
      <c r="O4510" s="3" t="n">
        <v>22.33009708737864</v>
      </c>
    </row>
    <row r="4511" hidden="1">
      <c r="A4511" s="11" t="n">
        <v>46168</v>
      </c>
      <c r="B4511" t="inlineStr">
        <is>
          <t>Luiz Fernando de Carvalho Junior</t>
        </is>
      </c>
      <c r="C4511" s="15" t="inlineStr">
        <is>
          <t>Técnico I</t>
        </is>
      </c>
      <c r="D4511" s="3" t="n">
        <v>28</v>
      </c>
      <c r="E4511" s="3" t="n">
        <v>27</v>
      </c>
      <c r="F4511" s="3" t="n">
        <v>16.45</v>
      </c>
      <c r="G4511" s="3" t="n">
        <v>1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26</v>
      </c>
      <c r="N4511" s="3" t="n">
        <v>94.55</v>
      </c>
      <c r="O4511" s="3" t="n">
        <v>24.25876010781671</v>
      </c>
    </row>
    <row r="4512" hidden="1">
      <c r="A4512" s="11" t="n">
        <v>46168</v>
      </c>
      <c r="B4512" t="inlineStr">
        <is>
          <t>Raane Batista Matos</t>
        </is>
      </c>
      <c r="C4512" s="15" t="inlineStr">
        <is>
          <t>Técnico I</t>
        </is>
      </c>
      <c r="D4512" s="3" t="n">
        <v>29</v>
      </c>
      <c r="E4512" s="3" t="n">
        <v>26</v>
      </c>
      <c r="F4512" s="3" t="n">
        <v>15.57</v>
      </c>
      <c r="G4512" s="3" t="n">
        <v>4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22</v>
      </c>
      <c r="N4512" s="3" t="n">
        <v>98</v>
      </c>
      <c r="O4512" s="3" t="n">
        <v>22.57217847769029</v>
      </c>
    </row>
    <row r="4513" hidden="1">
      <c r="A4513" s="11" t="n">
        <v>46168</v>
      </c>
      <c r="B4513" t="inlineStr">
        <is>
          <t>Sara Maria Monteiro Lopes</t>
        </is>
      </c>
      <c r="C4513" s="15" t="inlineStr">
        <is>
          <t>Técnico I</t>
        </is>
      </c>
      <c r="D4513" s="3" t="n">
        <v>15</v>
      </c>
      <c r="E4513" s="3" t="n">
        <v>15</v>
      </c>
      <c r="F4513" s="3" t="n">
        <v>37</v>
      </c>
      <c r="G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14</v>
      </c>
      <c r="N4513" s="3" t="n">
        <v>100</v>
      </c>
      <c r="O4513" s="3" t="n">
        <v>19.35483870967742</v>
      </c>
    </row>
    <row r="4514" hidden="1">
      <c r="A4514" s="11" t="n">
        <v>46133</v>
      </c>
      <c r="B4514" t="inlineStr">
        <is>
          <t>Gabriel Gomes de Andrade</t>
        </is>
      </c>
      <c r="C4514" t="inlineStr">
        <is>
          <t>Técnico I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M4514" t="n">
        <v>0</v>
      </c>
      <c r="N4514" t="n">
        <v>99.28</v>
      </c>
      <c r="O4514" t="n">
        <v>27.68924302788844</v>
      </c>
    </row>
    <row r="4515" hidden="1">
      <c r="A4515" s="11" t="n">
        <v>46133</v>
      </c>
      <c r="B4515" t="inlineStr">
        <is>
          <t>Alisson de Freitas Silva</t>
        </is>
      </c>
      <c r="C4515" t="inlineStr">
        <is>
          <t>Técnico II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100</v>
      </c>
      <c r="O4515" t="n">
        <v>32.76450511945392</v>
      </c>
    </row>
    <row r="4516" hidden="1">
      <c r="A4516" s="11" t="n">
        <v>46133</v>
      </c>
      <c r="B4516" t="inlineStr">
        <is>
          <t>Amanda Moura Ferreira</t>
        </is>
      </c>
      <c r="C4516" t="inlineStr">
        <is>
          <t>Técnico III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98.66</v>
      </c>
      <c r="O4516" t="n">
        <v>35.41666666666667</v>
      </c>
    </row>
    <row r="4517" hidden="1">
      <c r="A4517" s="11" t="n">
        <v>46133</v>
      </c>
      <c r="B4517" t="inlineStr">
        <is>
          <t>Ana Karollyne Souza Faria</t>
        </is>
      </c>
      <c r="C4517" t="inlineStr">
        <is>
          <t>Técnico 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99.31999999999999</v>
      </c>
      <c r="O4517" t="n">
        <v>30.6483300589391</v>
      </c>
    </row>
    <row r="4518" hidden="1">
      <c r="A4518" s="11" t="n">
        <v>46133</v>
      </c>
      <c r="B4518" t="inlineStr">
        <is>
          <t>Ana Paula Da Luz Silva Aleixo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100</v>
      </c>
      <c r="O4518" t="n">
        <v>27.80373831775701</v>
      </c>
    </row>
    <row r="4519" hidden="1">
      <c r="A4519" s="11" t="n">
        <v>46133</v>
      </c>
      <c r="B4519" t="inlineStr">
        <is>
          <t>Anna Luiza Rezende Tavares</t>
        </is>
      </c>
      <c r="C4519" t="inlineStr">
        <is>
          <t>Estágio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96.73999999999999</v>
      </c>
      <c r="O4519" t="n">
        <v>28.67647058823529</v>
      </c>
    </row>
    <row r="4520" hidden="1">
      <c r="A4520" s="11" t="n">
        <v>46133</v>
      </c>
      <c r="B4520" t="inlineStr">
        <is>
          <t>Brenda de Menezes Silva</t>
        </is>
      </c>
      <c r="C4520" t="inlineStr">
        <is>
          <t>Técnico 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98.81999999999999</v>
      </c>
      <c r="O4520" t="n">
        <v>30.74141048824593</v>
      </c>
    </row>
    <row r="4521" hidden="1">
      <c r="A4521" s="11" t="n">
        <v>46133</v>
      </c>
      <c r="B4521" t="inlineStr">
        <is>
          <t>Carlos Mateus Cassimiro Nunes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98.2</v>
      </c>
      <c r="O4521" t="n">
        <v>27.17086834733893</v>
      </c>
    </row>
    <row r="4522" hidden="1">
      <c r="A4522" s="11" t="n">
        <v>46133</v>
      </c>
      <c r="B4522" t="inlineStr">
        <is>
          <t>Claudio de Sousa Velasco Filho</t>
        </is>
      </c>
      <c r="C4522" t="inlineStr">
        <is>
          <t>Estágio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100</v>
      </c>
      <c r="O4522" t="n">
        <v>23.13432835820895</v>
      </c>
    </row>
    <row r="4523" hidden="1">
      <c r="A4523" s="11" t="n">
        <v>46133</v>
      </c>
      <c r="B4523" t="inlineStr">
        <is>
          <t>Clessiane Pereira dos Santos</t>
        </is>
      </c>
      <c r="C4523" t="inlineStr">
        <is>
          <t>Técnico 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96.3</v>
      </c>
      <c r="O4523" t="n">
        <v>32.21957040572792</v>
      </c>
    </row>
    <row r="4524" hidden="1">
      <c r="A4524" s="11" t="n">
        <v>46133</v>
      </c>
      <c r="B4524" t="inlineStr">
        <is>
          <t>Cristiane Ramos da Silva Rocha</t>
        </is>
      </c>
      <c r="C4524" t="inlineStr">
        <is>
          <t>Técnico III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93.75</v>
      </c>
      <c r="O4524" t="n">
        <v>26.81992337164751</v>
      </c>
    </row>
    <row r="4525" hidden="1">
      <c r="A4525" s="11" t="n">
        <v>46133</v>
      </c>
      <c r="B4525" t="inlineStr">
        <is>
          <t>Damyllis Lorraine de Oliveira Gonçalves</t>
        </is>
      </c>
      <c r="C4525" t="inlineStr">
        <is>
          <t>Técnico 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97.86</v>
      </c>
      <c r="O4525" t="n">
        <v>31.01851851851852</v>
      </c>
    </row>
    <row r="4526" hidden="1">
      <c r="A4526" s="11" t="n">
        <v>46133</v>
      </c>
      <c r="B4526" t="inlineStr">
        <is>
          <t>Daniel Gomes da Silva</t>
        </is>
      </c>
      <c r="C4526" t="inlineStr">
        <is>
          <t>Técnico 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100</v>
      </c>
      <c r="O4526" t="n">
        <v>36.59420289855073</v>
      </c>
    </row>
    <row r="4527" hidden="1">
      <c r="A4527" s="11" t="n">
        <v>46133</v>
      </c>
      <c r="B4527" t="inlineStr">
        <is>
          <t>Davylla Rodrigues Freitas Silva</t>
        </is>
      </c>
      <c r="C4527" t="inlineStr">
        <is>
          <t>Técnico III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38.65384615384615</v>
      </c>
    </row>
    <row r="4528" hidden="1">
      <c r="A4528" s="11" t="n">
        <v>46133</v>
      </c>
      <c r="B4528" t="inlineStr">
        <is>
          <t>Emilly Caylane Costa</t>
        </is>
      </c>
      <c r="C4528" t="inlineStr">
        <is>
          <t>Estágio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27.36842105263158</v>
      </c>
    </row>
    <row r="4529" hidden="1">
      <c r="A4529" s="11" t="n">
        <v>46133</v>
      </c>
      <c r="B4529" t="inlineStr">
        <is>
          <t>Emilly Kamilly Medeiros Miranda</t>
        </is>
      </c>
      <c r="C4529" t="inlineStr">
        <is>
          <t>Técnico 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97.83</v>
      </c>
      <c r="O4529" t="n">
        <v>28.35164835164835</v>
      </c>
    </row>
    <row r="4530" hidden="1">
      <c r="A4530" s="11" t="n">
        <v>46133</v>
      </c>
      <c r="B4530" t="inlineStr">
        <is>
          <t>Francielson de Oliveira</t>
        </is>
      </c>
      <c r="C4530" t="inlineStr">
        <is>
          <t>Técnico III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99.26000000000001</v>
      </c>
      <c r="O4530" t="n">
        <v>29.76653696498055</v>
      </c>
    </row>
    <row r="4531" hidden="1">
      <c r="A4531" s="11" t="n">
        <v>46133</v>
      </c>
      <c r="B4531" t="inlineStr">
        <is>
          <t>Francilene Ferreira de Jesus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99.19</v>
      </c>
      <c r="O4531" t="n">
        <v>29.46236559139785</v>
      </c>
    </row>
    <row r="4532" hidden="1">
      <c r="A4532" s="11" t="n">
        <v>46133</v>
      </c>
      <c r="B4532" t="inlineStr">
        <is>
          <t>Isabella Borges de Oliveira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100</v>
      </c>
      <c r="O4532" t="n">
        <v>28.92156862745098</v>
      </c>
    </row>
    <row r="4533" hidden="1">
      <c r="A4533" s="11" t="n">
        <v>46133</v>
      </c>
      <c r="B4533" t="inlineStr">
        <is>
          <t>Janaina Lima dos Reis Urany</t>
        </is>
      </c>
      <c r="C4533" t="inlineStr">
        <is>
          <t>Técnico III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99.56999999999999</v>
      </c>
      <c r="O4533" t="n">
        <v>30.63583815028902</v>
      </c>
    </row>
    <row r="4534" hidden="1">
      <c r="A4534" s="11" t="n">
        <v>46133</v>
      </c>
      <c r="B4534" t="inlineStr">
        <is>
          <t>Jaqueline Evangelista da Silva Martins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95.65000000000001</v>
      </c>
      <c r="O4534" t="n">
        <v>32.43243243243244</v>
      </c>
    </row>
    <row r="4535" hidden="1">
      <c r="A4535" s="11" t="n">
        <v>46133</v>
      </c>
      <c r="B4535" t="inlineStr">
        <is>
          <t>Jessica Faria da Silveira</t>
        </is>
      </c>
      <c r="C4535" t="inlineStr">
        <is>
          <t>Técnico 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98.81</v>
      </c>
      <c r="O4535" t="n">
        <v>26.25698324022346</v>
      </c>
    </row>
    <row r="4536" hidden="1">
      <c r="A4536" s="11" t="n">
        <v>46133</v>
      </c>
      <c r="B4536" t="inlineStr">
        <is>
          <t>Jéssica Fé Moura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0</v>
      </c>
      <c r="O4536" t="n">
        <v>0</v>
      </c>
    </row>
    <row r="4537" hidden="1">
      <c r="A4537" s="11" t="n">
        <v>46133</v>
      </c>
      <c r="B4537" t="inlineStr">
        <is>
          <t>Karina Gonçalves Martins</t>
        </is>
      </c>
      <c r="C4537" t="inlineStr">
        <is>
          <t>JR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97.17</v>
      </c>
      <c r="O4537" t="n">
        <v>28.81844380403458</v>
      </c>
    </row>
    <row r="4538" hidden="1">
      <c r="A4538" s="11" t="n">
        <v>46133</v>
      </c>
      <c r="B4538" t="inlineStr">
        <is>
          <t>Kerollen Cristielly de Jesus Siqueira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96.81</v>
      </c>
      <c r="O4538" t="n">
        <v>48.01864801864802</v>
      </c>
    </row>
    <row r="4539" hidden="1">
      <c r="A4539" s="11" t="n">
        <v>46133</v>
      </c>
      <c r="B4539" t="inlineStr">
        <is>
          <t>Leandro de Souza Silva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98.15000000000001</v>
      </c>
      <c r="O4539" t="n">
        <v>27.1551724137931</v>
      </c>
    </row>
    <row r="4540" hidden="1">
      <c r="A4540" s="11" t="n">
        <v>46133</v>
      </c>
      <c r="B4540" t="inlineStr">
        <is>
          <t>Leandro Oliveira de Sousa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99.15000000000001</v>
      </c>
      <c r="O4540" t="n">
        <v>27.58620689655172</v>
      </c>
    </row>
    <row r="4541" hidden="1">
      <c r="A4541" s="11" t="n">
        <v>46133</v>
      </c>
      <c r="B4541" t="inlineStr">
        <is>
          <t>Lizandra Gomes Duarte</t>
        </is>
      </c>
      <c r="C4541" t="inlineStr">
        <is>
          <t>Técnico 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99.17</v>
      </c>
      <c r="O4541" t="n">
        <v>29.75206611570248</v>
      </c>
    </row>
    <row r="4542" hidden="1">
      <c r="A4542" s="11" t="n">
        <v>46133</v>
      </c>
      <c r="B4542" t="inlineStr">
        <is>
          <t>Lorena Dias de Araujo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98.73</v>
      </c>
      <c r="O4542" t="n">
        <v>28.96174863387978</v>
      </c>
    </row>
    <row r="4543" hidden="1">
      <c r="A4543" s="11" t="n">
        <v>46133</v>
      </c>
      <c r="B4543" t="inlineStr">
        <is>
          <t>Lucas Luiz Romero</t>
        </is>
      </c>
      <c r="C4543" t="inlineStr">
        <is>
          <t>Técnico III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88.68000000000001</v>
      </c>
      <c r="O4543" t="n">
        <v>22.03389830508474</v>
      </c>
    </row>
    <row r="4544" hidden="1">
      <c r="A4544" s="11" t="n">
        <v>46133</v>
      </c>
      <c r="B4544" t="inlineStr">
        <is>
          <t>Luiz Fernando de Carvalho Junior</t>
        </is>
      </c>
      <c r="C4544" t="inlineStr">
        <is>
          <t>Técnico 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97.37</v>
      </c>
      <c r="O4544" t="n">
        <v>25.76530612244898</v>
      </c>
    </row>
    <row r="4545" hidden="1">
      <c r="A4545" s="11" t="n">
        <v>46133</v>
      </c>
      <c r="B4545" t="inlineStr">
        <is>
          <t>Maria Eduarda Sousa Costa</t>
        </is>
      </c>
      <c r="C4545" t="inlineStr">
        <is>
          <t>Estágio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100</v>
      </c>
      <c r="O4545" t="n">
        <v>25</v>
      </c>
    </row>
    <row r="4546" hidden="1">
      <c r="A4546" s="11" t="n">
        <v>46133</v>
      </c>
      <c r="B4546" t="inlineStr">
        <is>
          <t>Matheus Farias De Souza</t>
        </is>
      </c>
      <c r="C4546" t="inlineStr">
        <is>
          <t>Técnico III</t>
        </is>
      </c>
      <c r="D4546" t="n">
        <v>0</v>
      </c>
      <c r="E4546" t="n">
        <v>0</v>
      </c>
      <c r="F4546" t="n">
        <v>0</v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M4546" t="n">
        <v>0</v>
      </c>
      <c r="N4546" t="n">
        <v>100</v>
      </c>
      <c r="O4546" t="n">
        <v>23.9870340356564</v>
      </c>
    </row>
    <row r="4547" hidden="1">
      <c r="A4547" s="11" t="n">
        <v>46133</v>
      </c>
      <c r="B4547" t="inlineStr">
        <is>
          <t>Maysa Victoria Dias Moura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95.48999999999999</v>
      </c>
      <c r="O4547" t="n">
        <v>28.37022132796781</v>
      </c>
    </row>
    <row r="4548" hidden="1">
      <c r="A4548" s="11" t="n">
        <v>46167</v>
      </c>
      <c r="B4548" t="inlineStr">
        <is>
          <t>Michelle G Santos</t>
        </is>
      </c>
      <c r="C4548" s="3" t="inlineStr">
        <is>
          <t>Estágio</t>
        </is>
      </c>
      <c r="D4548" s="3" t="n">
        <v>5</v>
      </c>
      <c r="E4548" s="3" t="n">
        <v>5</v>
      </c>
      <c r="F4548" s="3" t="n">
        <v>54.07</v>
      </c>
      <c r="G4548" s="3" t="n">
        <v>0</v>
      </c>
      <c r="H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5</v>
      </c>
      <c r="N4548" s="3" t="n">
        <v>100</v>
      </c>
      <c r="O4548" s="3" t="n">
        <v>17.1875</v>
      </c>
    </row>
    <row r="4549" hidden="1">
      <c r="A4549" s="11" t="n">
        <v>46133</v>
      </c>
      <c r="B4549" t="inlineStr">
        <is>
          <t>Milena Sales</t>
        </is>
      </c>
      <c r="C4549" t="inlineStr">
        <is>
          <t>JR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96.15000000000001</v>
      </c>
      <c r="O4549" t="n">
        <v>24.04580152671756</v>
      </c>
    </row>
    <row r="4550" hidden="1">
      <c r="A4550" s="11" t="n">
        <v>46133</v>
      </c>
      <c r="B4550" t="inlineStr">
        <is>
          <t>Patrícia Karla de Sousa Araújo</t>
        </is>
      </c>
      <c r="C4550" t="inlineStr">
        <is>
          <t>Técnico II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99.02</v>
      </c>
      <c r="O4550" t="n">
        <v>34.7972972972973</v>
      </c>
    </row>
    <row r="4551" hidden="1">
      <c r="A4551" s="11" t="n">
        <v>46133</v>
      </c>
      <c r="B4551" t="inlineStr">
        <is>
          <t>Paulo Ricardo Santos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98.84</v>
      </c>
      <c r="O4551" t="n">
        <v>31.86813186813187</v>
      </c>
    </row>
    <row r="4552" hidden="1">
      <c r="A4552" s="11" t="n">
        <v>46133</v>
      </c>
      <c r="B4552" t="inlineStr">
        <is>
          <t>Pedro Luiz Mota Sousa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100</v>
      </c>
      <c r="O4552" t="n">
        <v>34.66666666666667</v>
      </c>
    </row>
    <row r="4553">
      <c r="A4553" s="11" t="n">
        <v>46167</v>
      </c>
      <c r="B4553" t="inlineStr">
        <is>
          <t>Quirino Diogo Leite Torres</t>
        </is>
      </c>
      <c r="C4553" t="inlineStr">
        <is>
          <t>Estágio</t>
        </is>
      </c>
      <c r="D4553" t="n">
        <v>17</v>
      </c>
      <c r="E4553" t="n">
        <v>17</v>
      </c>
      <c r="F4553" t="n">
        <v>32.24</v>
      </c>
      <c r="G4553" t="n">
        <v>0</v>
      </c>
      <c r="H4553" t="n">
        <v>0</v>
      </c>
      <c r="I4553" s="3" t="n">
        <v>0</v>
      </c>
      <c r="J4553" s="3" t="n">
        <v>0</v>
      </c>
      <c r="K4553" s="3" t="n">
        <v>0</v>
      </c>
      <c r="L4553" s="3">
        <f>IF(K4553&lt;-5,"CRÍTICO",IF(K4553&lt;0,"ATENÇÃO",IF(K4553&lt;=5,"OPORTUNO","MUITO BOM")))</f>
        <v/>
      </c>
      <c r="M4553" t="n">
        <v>11</v>
      </c>
      <c r="N4553" t="n">
        <v>98.36</v>
      </c>
      <c r="O4553" t="n">
        <v>21.91780821917808</v>
      </c>
    </row>
    <row r="4554" hidden="1">
      <c r="A4554" s="11" t="n">
        <v>46133</v>
      </c>
      <c r="B4554" t="inlineStr">
        <is>
          <t>Raane Batista Matos</t>
        </is>
      </c>
      <c r="C4554" t="inlineStr">
        <is>
          <t>Técnico I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98.31999999999999</v>
      </c>
      <c r="O4554" t="n">
        <v>26.85851318944844</v>
      </c>
    </row>
    <row r="4555" hidden="1">
      <c r="A4555" s="11" t="n">
        <v>46133</v>
      </c>
      <c r="B4555" t="inlineStr">
        <is>
          <t>Rafael Gomes de Morais</t>
        </is>
      </c>
      <c r="C4555" t="inlineStr">
        <is>
          <t>Técnico III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100</v>
      </c>
      <c r="O4555" t="n">
        <v>31.13553113553114</v>
      </c>
    </row>
    <row r="4556" hidden="1">
      <c r="A4556" s="11" t="n">
        <v>46133</v>
      </c>
      <c r="B4556" t="inlineStr">
        <is>
          <t>Sara Maria Monteiro Lopes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26.36986301369863</v>
      </c>
    </row>
    <row r="4557" hidden="1">
      <c r="A4557" s="11" t="n">
        <v>46133</v>
      </c>
      <c r="B4557" t="inlineStr">
        <is>
          <t>Sarah Steffanie de Lima Borges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99.20999999999999</v>
      </c>
      <c r="O4557" t="n">
        <v>25.18891687657431</v>
      </c>
    </row>
    <row r="4558" hidden="1">
      <c r="A4558" s="11" t="n">
        <v>46143</v>
      </c>
      <c r="B4558" t="inlineStr">
        <is>
          <t>Anna Luiza Rezende Tavares</t>
        </is>
      </c>
      <c r="C4558" t="inlineStr">
        <is>
          <t>Estágio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99.25</v>
      </c>
      <c r="O4558" t="n">
        <v>20.40816326530612</v>
      </c>
    </row>
    <row r="4559" hidden="1">
      <c r="A4559" s="11" t="n">
        <v>46143</v>
      </c>
      <c r="B4559" t="inlineStr">
        <is>
          <t>Claudio de Sousa Velasco Filho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97.14</v>
      </c>
      <c r="O4559" t="n">
        <v>24.76190476190476</v>
      </c>
    </row>
    <row r="4560" hidden="1">
      <c r="A4560" s="11" t="n">
        <v>46143</v>
      </c>
      <c r="B4560" t="inlineStr">
        <is>
          <t>Emilly Caylane Costa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100</v>
      </c>
      <c r="O4560" t="n">
        <v>28.94736842105263</v>
      </c>
    </row>
    <row r="4561" hidden="1">
      <c r="A4561" s="11" t="n">
        <v>46143</v>
      </c>
      <c r="B4561" t="inlineStr">
        <is>
          <t>Maria Eduarda Sousa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12.94117647058824</v>
      </c>
    </row>
    <row r="4562" hidden="1">
      <c r="A4562" s="11" t="n">
        <v>46168</v>
      </c>
      <c r="B4562" t="inlineStr">
        <is>
          <t>Michelle G Santos</t>
        </is>
      </c>
      <c r="C4562" s="3" t="inlineStr">
        <is>
          <t>Estágio</t>
        </is>
      </c>
      <c r="D4562" s="3" t="n">
        <v>15</v>
      </c>
      <c r="E4562" s="3" t="n">
        <v>15</v>
      </c>
      <c r="F4562" s="3" t="n">
        <v>32.39</v>
      </c>
      <c r="G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10</v>
      </c>
      <c r="N4562" s="3" t="n">
        <v>100</v>
      </c>
      <c r="O4562" s="3" t="n">
        <v>17.96875</v>
      </c>
    </row>
    <row r="4563">
      <c r="A4563" s="11" t="n">
        <v>46168</v>
      </c>
      <c r="B4563" t="inlineStr">
        <is>
          <t>Quirino Diogo Leite Torres</t>
        </is>
      </c>
      <c r="C4563" t="inlineStr">
        <is>
          <t>Estágio</t>
        </is>
      </c>
      <c r="D4563" t="n">
        <v>14</v>
      </c>
      <c r="E4563" t="n">
        <v>13</v>
      </c>
      <c r="F4563" t="n">
        <v>29.12</v>
      </c>
      <c r="G4563" t="n">
        <v>0</v>
      </c>
      <c r="M4563" t="n">
        <v>12</v>
      </c>
      <c r="N4563" t="n">
        <v>98.36</v>
      </c>
      <c r="O4563" t="n">
        <v>24.20091324200913</v>
      </c>
    </row>
    <row r="4564" hidden="1">
      <c r="A4564" s="11" t="n">
        <v>46143</v>
      </c>
      <c r="B4564" t="inlineStr">
        <is>
          <t>Karina Gonçalves Martins</t>
        </is>
      </c>
      <c r="C4564" t="inlineStr">
        <is>
          <t>JR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97.62</v>
      </c>
      <c r="O4564" t="n">
        <v>17.82477341389728</v>
      </c>
    </row>
    <row r="4565" hidden="1">
      <c r="A4565" s="11" t="n">
        <v>46143</v>
      </c>
      <c r="B4565" t="inlineStr">
        <is>
          <t>Leandro de Souza Silva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100</v>
      </c>
      <c r="O4565" t="n">
        <v>19.07216494845361</v>
      </c>
    </row>
    <row r="4566" hidden="1">
      <c r="A4566" s="11" t="n">
        <v>46143</v>
      </c>
      <c r="B4566" t="inlineStr">
        <is>
          <t>Milena Sales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96.83</v>
      </c>
      <c r="O4566" t="n">
        <v>20.94017094017094</v>
      </c>
    </row>
    <row r="4567" hidden="1">
      <c r="A4567" s="11" t="n">
        <v>46143</v>
      </c>
      <c r="B4567" t="inlineStr">
        <is>
          <t>Paulo Ricardo Santos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20.0836820083682</v>
      </c>
    </row>
    <row r="4568" hidden="1">
      <c r="A4568" s="11" t="n">
        <v>46143</v>
      </c>
      <c r="B4568" t="inlineStr">
        <is>
          <t>Pedro Luiz Mota Sousa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16.34241245136187</v>
      </c>
    </row>
    <row r="4569" hidden="1">
      <c r="A4569" s="13" t="n">
        <v>46168</v>
      </c>
      <c r="B4569" t="inlineStr">
        <is>
          <t>Alisson de Freitas Silva</t>
        </is>
      </c>
      <c r="C4569" s="15" t="inlineStr">
        <is>
          <t>Técnico II</t>
        </is>
      </c>
      <c r="D4569" s="3" t="n">
        <v>28</v>
      </c>
      <c r="E4569" s="3" t="n">
        <v>21</v>
      </c>
      <c r="F4569" s="3" t="n">
        <v>15.57</v>
      </c>
      <c r="G4569" s="3" t="n">
        <v>2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17</v>
      </c>
      <c r="N4569" s="3" t="n">
        <v>99.18000000000001</v>
      </c>
      <c r="O4569" s="3" t="n">
        <v>25.64102564102564</v>
      </c>
    </row>
    <row r="4570" hidden="1">
      <c r="A4570" s="11" t="n">
        <v>46168</v>
      </c>
      <c r="B4570" t="inlineStr">
        <is>
          <t>Ana Karollyne Souza Faria</t>
        </is>
      </c>
      <c r="C4570" s="15" t="inlineStr">
        <is>
          <t>Técnico I</t>
        </is>
      </c>
      <c r="D4570" s="3" t="n">
        <v>24</v>
      </c>
      <c r="E4570" s="3" t="n">
        <v>22</v>
      </c>
      <c r="F4570" s="3" t="n">
        <v>18.55</v>
      </c>
      <c r="G4570" s="3" t="n">
        <v>1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21</v>
      </c>
      <c r="N4570" s="3" t="n">
        <v>96.25</v>
      </c>
      <c r="O4570" s="3" t="n">
        <v>27.29211087420043</v>
      </c>
    </row>
    <row r="4571" hidden="1">
      <c r="A4571" s="11" t="n">
        <v>46169</v>
      </c>
      <c r="B4571" t="inlineStr">
        <is>
          <t>Claudio de Sousa Velasco Filho</t>
        </is>
      </c>
      <c r="C4571" t="inlineStr">
        <is>
          <t>Estágio</t>
        </is>
      </c>
      <c r="D4571" t="n">
        <v>8</v>
      </c>
      <c r="E4571" t="n">
        <v>8</v>
      </c>
      <c r="F4571" t="n">
        <v>23.25</v>
      </c>
      <c r="G4571" s="12" t="n">
        <v>0</v>
      </c>
      <c r="H4571" s="12" t="n"/>
      <c r="I4571" s="12" t="n"/>
      <c r="J4571" s="12" t="n"/>
      <c r="K4571" s="12" t="n"/>
      <c r="L4571" s="12" t="n"/>
      <c r="M4571" s="12" t="n">
        <v>8</v>
      </c>
      <c r="N4571" s="12" t="n">
        <v>97.14</v>
      </c>
      <c r="O4571" s="12" t="n">
        <v>23.00884955752212</v>
      </c>
    </row>
    <row r="4572" hidden="1">
      <c r="A4572" s="11" t="n">
        <v>46169</v>
      </c>
      <c r="B4572" t="inlineStr">
        <is>
          <t>Emilly Caylane Costa</t>
        </is>
      </c>
      <c r="C4572" t="inlineStr">
        <is>
          <t>Estágio</t>
        </is>
      </c>
      <c r="D4572" t="n">
        <v>5</v>
      </c>
      <c r="E4572" t="n">
        <v>5</v>
      </c>
      <c r="F4572" t="n">
        <v>57</v>
      </c>
      <c r="G4572" s="12" t="n">
        <v>0</v>
      </c>
      <c r="H4572" s="12" t="n"/>
      <c r="I4572" s="12" t="n"/>
      <c r="J4572" s="12" t="n"/>
      <c r="K4572" s="12" t="n"/>
      <c r="L4572" s="12" t="n"/>
      <c r="M4572" s="12" t="n">
        <v>5</v>
      </c>
      <c r="N4572" s="12" t="n">
        <v>100</v>
      </c>
      <c r="O4572" s="12" t="n">
        <v>30.23255813953488</v>
      </c>
    </row>
    <row r="4573" hidden="1">
      <c r="A4573" s="11" t="n">
        <v>46169</v>
      </c>
      <c r="B4573" t="inlineStr">
        <is>
          <t>Maria Eduarda Sousa Costa</t>
        </is>
      </c>
      <c r="C4573" t="inlineStr">
        <is>
          <t>Estágio</t>
        </is>
      </c>
      <c r="D4573" t="n">
        <v>23</v>
      </c>
      <c r="E4573" t="n">
        <v>22</v>
      </c>
      <c r="F4573" t="n">
        <v>18.3</v>
      </c>
      <c r="G4573" s="12" t="n">
        <v>0</v>
      </c>
      <c r="H4573" s="12" t="n"/>
      <c r="I4573" s="12" t="n"/>
      <c r="J4573" s="12" t="n"/>
      <c r="K4573" s="12" t="n"/>
      <c r="L4573" s="12" t="n"/>
      <c r="M4573" s="12" t="n">
        <v>20</v>
      </c>
      <c r="N4573" s="12" t="n">
        <v>94.44</v>
      </c>
      <c r="O4573" s="12" t="n">
        <v>13.46153846153846</v>
      </c>
    </row>
    <row r="4574" hidden="1">
      <c r="A4574" s="11" t="n">
        <v>46169</v>
      </c>
      <c r="B4574" t="inlineStr">
        <is>
          <t>Michelle G Santos</t>
        </is>
      </c>
      <c r="C4574" s="3" t="inlineStr">
        <is>
          <t>Estágio</t>
        </is>
      </c>
      <c r="D4574" s="3" t="n">
        <v>17</v>
      </c>
      <c r="E4574" s="3" t="n">
        <v>16</v>
      </c>
      <c r="F4574" s="3" t="n">
        <v>27.24</v>
      </c>
      <c r="G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11</v>
      </c>
      <c r="N4574" s="3" t="n">
        <v>100</v>
      </c>
      <c r="O4574" s="3" t="n">
        <v>16.54676258992806</v>
      </c>
    </row>
    <row r="4575">
      <c r="A4575" s="11" t="n">
        <v>46169</v>
      </c>
      <c r="B4575" t="inlineStr">
        <is>
          <t>Quirino Diogo Leite Torres</t>
        </is>
      </c>
      <c r="C4575" t="inlineStr">
        <is>
          <t>Estágio</t>
        </is>
      </c>
      <c r="D4575" t="n">
        <v>19</v>
      </c>
      <c r="E4575" t="n">
        <v>16</v>
      </c>
      <c r="F4575" t="n">
        <v>27.02</v>
      </c>
      <c r="G4575" s="12" t="n">
        <v>0</v>
      </c>
      <c r="H4575" s="12" t="n"/>
      <c r="I4575" s="12" t="n"/>
      <c r="J4575" s="12" t="n"/>
      <c r="K4575" s="12" t="n"/>
      <c r="L4575" s="12" t="n"/>
      <c r="M4575" s="12" t="n">
        <v>15</v>
      </c>
      <c r="N4575" s="12" t="n">
        <v>97.06</v>
      </c>
      <c r="O4575" s="12" t="n">
        <v>23.5042735042735</v>
      </c>
    </row>
    <row r="4576" hidden="1">
      <c r="A4576" s="11" t="n">
        <v>46169</v>
      </c>
      <c r="B4576" t="inlineStr">
        <is>
          <t>Gabriel Alves</t>
        </is>
      </c>
      <c r="C4576" t="inlineStr">
        <is>
          <t>Estágio</t>
        </is>
      </c>
      <c r="D4576" t="n">
        <v>7</v>
      </c>
      <c r="E4576" t="n">
        <v>7</v>
      </c>
      <c r="F4576" t="n">
        <v>46.44</v>
      </c>
      <c r="G4576" s="12" t="n">
        <v>0</v>
      </c>
      <c r="H4576" s="12" t="n"/>
      <c r="I4576" s="12" t="n"/>
      <c r="J4576" s="12" t="n"/>
      <c r="K4576" s="12" t="n"/>
      <c r="L4576" s="12" t="n"/>
      <c r="M4576" s="12" t="n">
        <v>7</v>
      </c>
      <c r="N4576" s="12" t="n">
        <v>100</v>
      </c>
      <c r="O4576" s="12" t="n">
        <v>27.27272727272727</v>
      </c>
    </row>
    <row r="4577" hidden="1">
      <c r="A4577" s="11" t="n">
        <v>46169</v>
      </c>
      <c r="B4577" t="inlineStr">
        <is>
          <t>Anna Luiza Rezende Tavares</t>
        </is>
      </c>
      <c r="C4577" t="inlineStr">
        <is>
          <t>JR</t>
        </is>
      </c>
      <c r="D4577" t="n">
        <v>40</v>
      </c>
      <c r="E4577" t="n">
        <v>38</v>
      </c>
      <c r="F4577" t="n">
        <v>12.23</v>
      </c>
      <c r="G4577" s="12" t="n">
        <v>0</v>
      </c>
      <c r="H4577" s="12" t="n"/>
      <c r="I4577" s="12" t="n"/>
      <c r="J4577" s="12" t="n"/>
      <c r="K4577" s="12" t="n"/>
      <c r="L4577" s="12" t="n"/>
      <c r="M4577" s="12" t="n">
        <v>32</v>
      </c>
      <c r="N4577" s="12" t="n">
        <v>99.3</v>
      </c>
      <c r="O4577" s="12" t="n">
        <v>20.93023255813954</v>
      </c>
    </row>
    <row r="4578" hidden="1">
      <c r="A4578" s="11" t="n">
        <v>46169</v>
      </c>
      <c r="B4578" t="inlineStr">
        <is>
          <t>Karina Gonçalves Martins</t>
        </is>
      </c>
      <c r="C4578" t="inlineStr">
        <is>
          <t>JR</t>
        </is>
      </c>
      <c r="D4578" t="n">
        <v>17</v>
      </c>
      <c r="E4578" t="n">
        <v>17</v>
      </c>
      <c r="F4578" t="n">
        <v>22.23</v>
      </c>
      <c r="G4578" s="12" t="n">
        <v>0</v>
      </c>
      <c r="H4578" s="12" t="n"/>
      <c r="I4578" s="12" t="n"/>
      <c r="J4578" s="12" t="n"/>
      <c r="K4578" s="12" t="n"/>
      <c r="L4578" s="12" t="n"/>
      <c r="M4578" s="12" t="n">
        <v>17</v>
      </c>
      <c r="N4578" s="12" t="n">
        <v>97.83</v>
      </c>
      <c r="O4578" s="12" t="n">
        <v>19.25287356321839</v>
      </c>
    </row>
    <row r="4579" hidden="1">
      <c r="A4579" s="11" t="n">
        <v>46169</v>
      </c>
      <c r="B4579" t="inlineStr">
        <is>
          <t>Leandro de Souza Silva</t>
        </is>
      </c>
      <c r="C4579" t="inlineStr">
        <is>
          <t>JR</t>
        </is>
      </c>
      <c r="D4579" t="n">
        <v>10</v>
      </c>
      <c r="E4579" t="n">
        <v>7</v>
      </c>
      <c r="F4579" t="n">
        <v>35.46</v>
      </c>
      <c r="G4579" s="12" t="n">
        <v>2</v>
      </c>
      <c r="H4579" s="12" t="n"/>
      <c r="I4579" s="12" t="n"/>
      <c r="J4579" s="12" t="n"/>
      <c r="K4579" s="12" t="n"/>
      <c r="L4579" s="12" t="n"/>
      <c r="M4579" s="12" t="n">
        <v>6</v>
      </c>
      <c r="N4579" s="12" t="n">
        <v>100</v>
      </c>
      <c r="O4579" s="12" t="n">
        <v>20.5</v>
      </c>
    </row>
    <row r="4580" hidden="1">
      <c r="A4580" s="11" t="n">
        <v>46169</v>
      </c>
      <c r="B4580" t="inlineStr">
        <is>
          <t>Milena Sales</t>
        </is>
      </c>
      <c r="C4580" t="inlineStr">
        <is>
          <t>JR</t>
        </is>
      </c>
      <c r="D4580" t="n">
        <v>30</v>
      </c>
      <c r="E4580" t="n">
        <v>20</v>
      </c>
      <c r="F4580" t="n">
        <v>8.57</v>
      </c>
      <c r="G4580" s="12" t="n">
        <v>1</v>
      </c>
      <c r="H4580" s="12" t="n"/>
      <c r="I4580" s="12" t="n"/>
      <c r="J4580" s="12" t="n"/>
      <c r="K4580" s="12" t="n"/>
      <c r="L4580" s="12" t="n"/>
      <c r="M4580" s="12" t="n">
        <v>18</v>
      </c>
      <c r="N4580" s="12" t="n">
        <v>97.22</v>
      </c>
      <c r="O4580" s="12" t="n">
        <v>23.01587301587302</v>
      </c>
    </row>
    <row r="4581" hidden="1">
      <c r="A4581" s="11" t="n">
        <v>46169</v>
      </c>
      <c r="B4581" t="inlineStr">
        <is>
          <t>Paulo Ricardo Santos</t>
        </is>
      </c>
      <c r="C4581" t="inlineStr">
        <is>
          <t>JR</t>
        </is>
      </c>
      <c r="D4581" t="n">
        <v>14</v>
      </c>
      <c r="E4581" t="n">
        <v>14</v>
      </c>
      <c r="F4581" t="n">
        <v>23.31</v>
      </c>
      <c r="G4581" s="12" t="n">
        <v>1</v>
      </c>
      <c r="H4581" s="12" t="n"/>
      <c r="I4581" s="12" t="n"/>
      <c r="J4581" s="12" t="n"/>
      <c r="K4581" s="12" t="n"/>
      <c r="L4581" s="12" t="n"/>
      <c r="M4581" s="12" t="n">
        <v>12</v>
      </c>
      <c r="N4581" s="12" t="n">
        <v>100</v>
      </c>
      <c r="O4581" s="12" t="n">
        <v>20.31872509960159</v>
      </c>
    </row>
    <row r="4582" hidden="1">
      <c r="A4582" s="11" t="n">
        <v>46169</v>
      </c>
      <c r="B4582" t="inlineStr">
        <is>
          <t>Pedro Luiz Mota Sousa</t>
        </is>
      </c>
      <c r="C4582" t="inlineStr">
        <is>
          <t>JR</t>
        </is>
      </c>
      <c r="D4582" t="n">
        <v>21</v>
      </c>
      <c r="E4582" t="n">
        <v>19</v>
      </c>
      <c r="F4582" t="n">
        <v>15.53</v>
      </c>
      <c r="G4582" s="12" t="n">
        <v>2</v>
      </c>
      <c r="H4582" s="12" t="n"/>
      <c r="I4582" s="12" t="n"/>
      <c r="J4582" s="12" t="n"/>
      <c r="K4582" s="12" t="n"/>
      <c r="L4582" s="12" t="n"/>
      <c r="M4582" s="12" t="n">
        <v>17</v>
      </c>
      <c r="N4582" s="12" t="n">
        <v>100</v>
      </c>
      <c r="O4582" s="12" t="n">
        <v>18.24817518248175</v>
      </c>
    </row>
    <row r="4583" hidden="1">
      <c r="A4583" s="13" t="n">
        <v>46169</v>
      </c>
      <c r="B4583" t="inlineStr">
        <is>
          <t>Alisson de Freitas Silva</t>
        </is>
      </c>
      <c r="C4583" s="15" t="inlineStr">
        <is>
          <t>Técnico II</t>
        </is>
      </c>
      <c r="D4583" s="3" t="n">
        <v>35</v>
      </c>
      <c r="E4583" s="3" t="n">
        <v>28</v>
      </c>
      <c r="F4583" s="3" t="n">
        <v>7.36</v>
      </c>
      <c r="G4583" s="3" t="n">
        <v>1</v>
      </c>
      <c r="H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24</v>
      </c>
      <c r="N4583" s="3" t="n">
        <v>99.22</v>
      </c>
      <c r="O4583" s="3" t="n">
        <v>24.26666666666667</v>
      </c>
    </row>
    <row r="4584" hidden="1">
      <c r="A4584" s="11" t="n">
        <v>46169</v>
      </c>
      <c r="B4584" t="inlineStr">
        <is>
          <t>Amanda Moura Ferreira</t>
        </is>
      </c>
      <c r="C4584" s="15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L4584" s="3">
        <f>IF(K4584&lt;-5,"CRÍTICO",IF(K4584&lt;0,"ATENÇÃO",IF(K4584&lt;=5,"OPORTUNO","MUITO BOM")))</f>
        <v/>
      </c>
      <c r="M4584" s="3" t="n">
        <v>0</v>
      </c>
      <c r="N4584" s="3" t="n">
        <v>100</v>
      </c>
      <c r="O4584" s="3" t="n">
        <v>0</v>
      </c>
    </row>
    <row r="4585" hidden="1">
      <c r="A4585" s="11" t="n">
        <v>46169</v>
      </c>
      <c r="B4585" t="inlineStr">
        <is>
          <t>Ana Karollyne Souza Faria</t>
        </is>
      </c>
      <c r="C4585" s="15" t="inlineStr">
        <is>
          <t>Técnico I</t>
        </is>
      </c>
      <c r="D4585" s="3" t="n">
        <v>24</v>
      </c>
      <c r="E4585" s="3" t="n">
        <v>24</v>
      </c>
      <c r="F4585" s="3" t="n">
        <v>17.36</v>
      </c>
      <c r="G4585" s="3" t="n">
        <v>2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23</v>
      </c>
      <c r="N4585" s="3" t="n">
        <v>96.43000000000001</v>
      </c>
      <c r="O4585" s="3" t="n">
        <v>26.01626016260163</v>
      </c>
    </row>
    <row r="4586" hidden="1">
      <c r="A4586" s="11" t="n">
        <v>46169</v>
      </c>
      <c r="B4586" t="inlineStr">
        <is>
          <t>Ana Paula Da Luz Silva Aleixo</t>
        </is>
      </c>
      <c r="C4586" s="15" t="inlineStr">
        <is>
          <t>Técnico III</t>
        </is>
      </c>
      <c r="D4586" s="3" t="n">
        <v>34</v>
      </c>
      <c r="E4586" s="3" t="n">
        <v>33</v>
      </c>
      <c r="F4586" s="3" t="n">
        <v>12.31</v>
      </c>
      <c r="G4586" s="3" t="n">
        <v>4</v>
      </c>
      <c r="I4586" s="3">
        <f>E4586+G4586+H4586</f>
        <v/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/>
      </c>
      <c r="K4586" s="3">
        <f>I4586-J4586</f>
        <v/>
      </c>
      <c r="L4586" s="3">
        <f>IF(K4586&lt;-5,"CRÍTICO",IF(K4586&lt;0,"ATENÇÃO",IF(K4586&lt;=5,"OPORTUNO","MUITO BOM")))</f>
        <v/>
      </c>
      <c r="M4586" s="3" t="n">
        <v>29</v>
      </c>
      <c r="N4586" s="3" t="n">
        <v>97.14</v>
      </c>
      <c r="O4586" s="3" t="n">
        <v>20</v>
      </c>
    </row>
    <row r="4587" hidden="1">
      <c r="A4587" s="11" t="n">
        <v>46169</v>
      </c>
      <c r="B4587" t="inlineStr">
        <is>
          <t>Brenda de Menezes Silva</t>
        </is>
      </c>
      <c r="C4587" s="15" t="inlineStr">
        <is>
          <t>Técnico II</t>
        </is>
      </c>
      <c r="D4587" s="3" t="n">
        <v>28</v>
      </c>
      <c r="E4587" s="3" t="n">
        <v>27</v>
      </c>
      <c r="F4587" s="3" t="n">
        <v>15.42</v>
      </c>
      <c r="G4587" s="3" t="n">
        <v>4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23</v>
      </c>
      <c r="N4587" s="3" t="n">
        <v>99.38</v>
      </c>
      <c r="O4587" s="3" t="n">
        <v>20.45855379188712</v>
      </c>
    </row>
    <row r="4588" hidden="1">
      <c r="A4588" s="11" t="n">
        <v>46169</v>
      </c>
      <c r="B4588" t="inlineStr">
        <is>
          <t>Carlos Mateus Cassimiro Nunes</t>
        </is>
      </c>
      <c r="C4588" s="15" t="inlineStr">
        <is>
          <t>Técnico II</t>
        </is>
      </c>
      <c r="D4588" s="3" t="n">
        <v>29</v>
      </c>
      <c r="E4588" s="3" t="n">
        <v>28</v>
      </c>
      <c r="F4588" s="3" t="n">
        <v>17.26</v>
      </c>
      <c r="G4588" s="3" t="n">
        <v>0</v>
      </c>
      <c r="I4588" s="3">
        <f>E4588+G4588+H4588</f>
        <v/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/>
      </c>
      <c r="K4588" s="3">
        <f>I4588-J4588</f>
        <v/>
      </c>
      <c r="L4588" s="3">
        <f>IF(K4588&lt;-5,"CRÍTICO",IF(K4588&lt;0,"ATENÇÃO",IF(K4588&lt;=5,"OPORTUNO","MUITO BOM")))</f>
        <v/>
      </c>
      <c r="M4588" s="3" t="n">
        <v>27</v>
      </c>
      <c r="N4588" s="3" t="n">
        <v>99.15000000000001</v>
      </c>
      <c r="O4588" s="3" t="n">
        <v>21.19815668202765</v>
      </c>
    </row>
    <row r="4589" hidden="1">
      <c r="A4589" s="11" t="n">
        <v>46169</v>
      </c>
      <c r="B4589" t="inlineStr">
        <is>
          <t>Clessiane Pereira dos Santos</t>
        </is>
      </c>
      <c r="C4589" s="15" t="inlineStr">
        <is>
          <t>Técnico I</t>
        </is>
      </c>
      <c r="D4589" s="3" t="n">
        <v>19</v>
      </c>
      <c r="E4589" s="3" t="n">
        <v>17</v>
      </c>
      <c r="F4589" s="3" t="n">
        <v>18.58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20</v>
      </c>
      <c r="N4589" s="3" t="n">
        <v>96.92</v>
      </c>
      <c r="O4589" s="3" t="n">
        <v>24.61928934010152</v>
      </c>
    </row>
    <row r="4590" hidden="1">
      <c r="A4590" s="11" t="n">
        <v>46169</v>
      </c>
      <c r="B4590" t="inlineStr">
        <is>
          <t>Cristiane Ramos da Silva Rocha</t>
        </is>
      </c>
      <c r="C4590" s="15" t="inlineStr">
        <is>
          <t>Técnico III</t>
        </is>
      </c>
      <c r="D4590" s="3" t="n">
        <v>31</v>
      </c>
      <c r="E4590" s="3" t="n">
        <v>23</v>
      </c>
      <c r="F4590" s="3" t="n">
        <v>10.12</v>
      </c>
      <c r="G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21</v>
      </c>
      <c r="N4590" s="3" t="n">
        <v>93.02</v>
      </c>
      <c r="O4590" s="3" t="n">
        <v>25.25458248472505</v>
      </c>
    </row>
    <row r="4591" hidden="1">
      <c r="A4591" s="11" t="n">
        <v>46169</v>
      </c>
      <c r="B4591" t="inlineStr">
        <is>
          <t>Damyllis Lorraine de Oliveira Gonçalves</t>
        </is>
      </c>
      <c r="C4591" s="15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98.88</v>
      </c>
      <c r="O4591" s="3" t="n">
        <v>25</v>
      </c>
    </row>
    <row r="4592" hidden="1">
      <c r="A4592" s="11" t="n">
        <v>46169</v>
      </c>
      <c r="B4592" t="inlineStr">
        <is>
          <t>Daniel Gomes da Silva</t>
        </is>
      </c>
      <c r="C4592" s="15" t="inlineStr">
        <is>
          <t>Técnico I</t>
        </is>
      </c>
      <c r="D4592" s="3" t="n">
        <v>27</v>
      </c>
      <c r="E4592" s="3" t="n">
        <v>25</v>
      </c>
      <c r="F4592" s="3" t="n">
        <v>12.26</v>
      </c>
      <c r="G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17</v>
      </c>
      <c r="N4592" s="3" t="n">
        <v>100</v>
      </c>
      <c r="O4592" s="3" t="n">
        <v>22.2972972972973</v>
      </c>
    </row>
    <row r="4593" hidden="1">
      <c r="A4593" s="11" t="n">
        <v>46169</v>
      </c>
      <c r="B4593" t="inlineStr">
        <is>
          <t>Davylla Rodrigues Freitas Silva</t>
        </is>
      </c>
      <c r="C4593" s="15" t="inlineStr">
        <is>
          <t>Técnico III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L4593" s="3">
        <f>IF(K4593&lt;-5,"CRÍTICO",IF(K4593&lt;0,"ATENÇÃO",IF(K4593&lt;=5,"OPORTUNO","MUITO BOM")))</f>
        <v/>
      </c>
      <c r="M4593" s="3" t="n">
        <v>0</v>
      </c>
      <c r="N4593" s="3" t="n">
        <v>99.20999999999999</v>
      </c>
      <c r="O4593" s="3" t="n">
        <v>29.57198443579767</v>
      </c>
    </row>
    <row r="4594" hidden="1">
      <c r="A4594" s="11" t="n">
        <v>46169</v>
      </c>
      <c r="B4594" t="inlineStr">
        <is>
          <t>Emilly Kamilly Medeiros Miranda</t>
        </is>
      </c>
      <c r="C4594" s="15" t="inlineStr">
        <is>
          <t>Técnico II</t>
        </is>
      </c>
      <c r="D4594" s="3" t="n">
        <v>32</v>
      </c>
      <c r="E4594" s="3" t="n">
        <v>31</v>
      </c>
      <c r="F4594" s="3" t="n">
        <v>17.24</v>
      </c>
      <c r="G4594" s="3" t="n">
        <v>2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27</v>
      </c>
      <c r="N4594" s="3" t="n">
        <v>99.09</v>
      </c>
      <c r="O4594" s="3" t="n">
        <v>18.52731591448931</v>
      </c>
    </row>
    <row r="4595" hidden="1">
      <c r="A4595" s="11" t="n">
        <v>46169</v>
      </c>
      <c r="B4595" t="inlineStr">
        <is>
          <t>Francielson de Oliveira</t>
        </is>
      </c>
      <c r="C4595" s="15" t="inlineStr">
        <is>
          <t>Técnico III</t>
        </is>
      </c>
      <c r="D4595" s="3" t="n">
        <v>32</v>
      </c>
      <c r="E4595" s="3" t="n">
        <v>31</v>
      </c>
      <c r="F4595" s="3" t="n">
        <v>14</v>
      </c>
      <c r="G4595" s="3" t="n">
        <v>3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31</v>
      </c>
      <c r="N4595" s="3" t="n">
        <v>100</v>
      </c>
      <c r="O4595" s="3" t="n">
        <v>11.53846153846154</v>
      </c>
    </row>
    <row r="4596" hidden="1">
      <c r="A4596" s="11" t="n">
        <v>46169</v>
      </c>
      <c r="B4596" t="inlineStr">
        <is>
          <t>Francilene Ferreira de Jesus</t>
        </is>
      </c>
      <c r="C4596" s="15" t="inlineStr">
        <is>
          <t>Técnico II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L4596" s="3">
        <f>IF(K4596&lt;-5,"CRÍTICO",IF(K4596&lt;0,"ATENÇÃO",IF(K4596&lt;=5,"OPORTUNO","MUITO BOM")))</f>
        <v/>
      </c>
      <c r="M4596" s="3" t="n">
        <v>0</v>
      </c>
      <c r="N4596" s="3" t="n">
        <v>100</v>
      </c>
      <c r="O4596" s="3" t="n">
        <v>17.24137931034483</v>
      </c>
    </row>
    <row r="4597" hidden="1">
      <c r="A4597" s="11" t="n">
        <v>46169</v>
      </c>
      <c r="B4597" t="inlineStr">
        <is>
          <t>Gabriel Gomes de Andrade</t>
        </is>
      </c>
      <c r="C4597" s="15" t="inlineStr">
        <is>
          <t>Técnico I</t>
        </is>
      </c>
      <c r="D4597" s="3" t="n">
        <v>22</v>
      </c>
      <c r="E4597" s="3" t="n">
        <v>18</v>
      </c>
      <c r="F4597" s="3" t="n">
        <v>13.48</v>
      </c>
      <c r="G4597" s="3" t="n">
        <v>3</v>
      </c>
      <c r="I4597" s="3">
        <f>E4597+G4597+H4597</f>
        <v/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/>
      </c>
      <c r="K4597" s="3">
        <f>I4597-J4597</f>
        <v/>
      </c>
      <c r="L4597" s="3">
        <f>IF(K4597&lt;-5,"CRÍTICO",IF(K4597&lt;0,"ATENÇÃO",IF(K4597&lt;=5,"OPORTUNO","MUITO BOM")))</f>
        <v/>
      </c>
      <c r="M4597" s="3" t="n">
        <v>20</v>
      </c>
      <c r="N4597" s="3" t="n">
        <v>99.14</v>
      </c>
      <c r="O4597" s="3" t="n">
        <v>21.27659574468085</v>
      </c>
    </row>
    <row r="4598" hidden="1">
      <c r="A4598" s="11" t="n">
        <v>46169</v>
      </c>
      <c r="B4598" t="inlineStr">
        <is>
          <t>Isabella Borges de Oliveira</t>
        </is>
      </c>
      <c r="C4598" s="15" t="inlineStr">
        <is>
          <t>Técnico II</t>
        </is>
      </c>
      <c r="D4598" s="3" t="n">
        <v>20</v>
      </c>
      <c r="E4598" s="3" t="n">
        <v>19</v>
      </c>
      <c r="F4598" s="3" t="n">
        <v>23.31</v>
      </c>
      <c r="G4598" s="3" t="n">
        <v>1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18</v>
      </c>
      <c r="N4598" s="3" t="n">
        <v>99.06999999999999</v>
      </c>
      <c r="O4598" s="3" t="n">
        <v>20.51282051282051</v>
      </c>
    </row>
    <row r="4599" hidden="1">
      <c r="A4599" s="11" t="n">
        <v>46169</v>
      </c>
      <c r="B4599" t="inlineStr">
        <is>
          <t>Janaina Lima dos Reis Urany</t>
        </is>
      </c>
      <c r="C4599" s="15" t="inlineStr">
        <is>
          <t>Técnico III</t>
        </is>
      </c>
      <c r="D4599" s="3" t="n">
        <v>38</v>
      </c>
      <c r="E4599" s="3" t="n">
        <v>34</v>
      </c>
      <c r="F4599" s="3" t="n">
        <v>15</v>
      </c>
      <c r="G4599" s="3" t="n">
        <v>4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35</v>
      </c>
      <c r="N4599" s="3" t="n">
        <v>99.05</v>
      </c>
      <c r="O4599" s="3" t="n">
        <v>22.15657311669129</v>
      </c>
    </row>
    <row r="4600" hidden="1">
      <c r="A4600" s="11" t="n">
        <v>46169</v>
      </c>
      <c r="B4600" t="inlineStr">
        <is>
          <t>Jaqueline Evangelista da Silva Martins</t>
        </is>
      </c>
      <c r="C4600" s="15" t="inlineStr">
        <is>
          <t>Técnico III</t>
        </is>
      </c>
      <c r="D4600" s="3" t="n">
        <v>20</v>
      </c>
      <c r="E4600" s="3" t="n">
        <v>15</v>
      </c>
      <c r="F4600" s="3" t="n">
        <v>10.47</v>
      </c>
      <c r="G4600" s="3" t="n">
        <v>1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17</v>
      </c>
      <c r="N4600" s="3" t="n">
        <v>97.62</v>
      </c>
      <c r="O4600" s="3" t="n">
        <v>36.15023474178404</v>
      </c>
    </row>
    <row r="4601" hidden="1">
      <c r="A4601" s="11" t="n">
        <v>46169</v>
      </c>
      <c r="B4601" t="inlineStr">
        <is>
          <t>Jessica Faria da Silveira</t>
        </is>
      </c>
      <c r="C4601" s="15" t="inlineStr">
        <is>
          <t>Técnico II</t>
        </is>
      </c>
      <c r="D4601" s="3" t="n">
        <v>8</v>
      </c>
      <c r="E4601" s="3" t="n">
        <v>5</v>
      </c>
      <c r="F4601" s="3" t="n">
        <v>12.02</v>
      </c>
      <c r="G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5</v>
      </c>
      <c r="N4601" s="3" t="n">
        <v>99.02</v>
      </c>
      <c r="O4601" s="3" t="n">
        <v>22.88828337874659</v>
      </c>
    </row>
    <row r="4602" hidden="1">
      <c r="A4602" s="11" t="n">
        <v>46169</v>
      </c>
      <c r="B4602" t="inlineStr">
        <is>
          <t>Jéssica Fé Moura</t>
        </is>
      </c>
      <c r="C4602" s="15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0</v>
      </c>
      <c r="N4602" s="3" t="n">
        <v>0</v>
      </c>
      <c r="O4602" s="3" t="n">
        <v>0</v>
      </c>
    </row>
    <row r="4603" hidden="1">
      <c r="A4603" s="11" t="n">
        <v>46169</v>
      </c>
      <c r="B4603" t="inlineStr">
        <is>
          <t>Kerollen Cristielly de Jesus Siqueira</t>
        </is>
      </c>
      <c r="C4603" s="15" t="inlineStr">
        <is>
          <t>Técnico III</t>
        </is>
      </c>
      <c r="D4603" s="3" t="n">
        <v>26</v>
      </c>
      <c r="E4603" s="3" t="n">
        <v>26</v>
      </c>
      <c r="F4603" s="3" t="n">
        <v>16.55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25</v>
      </c>
      <c r="N4603" s="3" t="n">
        <v>97.03</v>
      </c>
      <c r="O4603" s="3" t="n">
        <v>16.84210526315789</v>
      </c>
    </row>
    <row r="4604" hidden="1">
      <c r="A4604" s="11" t="n">
        <v>46169</v>
      </c>
      <c r="B4604" t="inlineStr">
        <is>
          <t>Leandro Oliveira de Sousa</t>
        </is>
      </c>
      <c r="C4604" s="15" t="inlineStr">
        <is>
          <t>Técnico III</t>
        </is>
      </c>
      <c r="D4604" s="3" t="n">
        <v>28</v>
      </c>
      <c r="E4604" s="3" t="n">
        <v>27</v>
      </c>
      <c r="F4604" s="3" t="n">
        <v>18.32</v>
      </c>
      <c r="G4604" s="3" t="n">
        <v>0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100</v>
      </c>
      <c r="O4604" s="3" t="n">
        <v>18.64035087719298</v>
      </c>
    </row>
    <row r="4605" hidden="1">
      <c r="A4605" s="11" t="n">
        <v>46169</v>
      </c>
      <c r="B4605" t="inlineStr">
        <is>
          <t>Lizandra Gomes Duarte</t>
        </is>
      </c>
      <c r="C4605" s="15" t="inlineStr">
        <is>
          <t>Técnico II</t>
        </is>
      </c>
      <c r="D4605" s="3" t="n">
        <v>27</v>
      </c>
      <c r="E4605" s="3" t="n">
        <v>25</v>
      </c>
      <c r="F4605" s="3" t="n">
        <v>18.3</v>
      </c>
      <c r="G4605" s="3" t="n">
        <v>5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23</v>
      </c>
      <c r="N4605" s="3" t="n">
        <v>99.09999999999999</v>
      </c>
      <c r="O4605" s="3" t="n">
        <v>23.58974358974359</v>
      </c>
    </row>
    <row r="4606" hidden="1">
      <c r="A4606" s="11" t="n">
        <v>46169</v>
      </c>
      <c r="B4606" t="inlineStr">
        <is>
          <t>Lorena Dias de Araujo</t>
        </is>
      </c>
      <c r="C4606" s="15" t="inlineStr">
        <is>
          <t>Técnico II</t>
        </is>
      </c>
      <c r="D4606" s="3" t="n">
        <v>26</v>
      </c>
      <c r="E4606" s="3" t="n">
        <v>23</v>
      </c>
      <c r="F4606" s="3" t="n">
        <v>15.44</v>
      </c>
      <c r="G4606" s="3" t="n">
        <v>0</v>
      </c>
      <c r="I4606" s="3">
        <f>E4606+G4606+H4606</f>
        <v/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/>
      </c>
      <c r="K4606" s="3">
        <f>I4606-J4606</f>
        <v/>
      </c>
      <c r="L4606" s="3">
        <f>IF(K4606&lt;-5,"CRÍTICO",IF(K4606&lt;0,"ATENÇÃO",IF(K4606&lt;=5,"OPORTUNO","MUITO BOM")))</f>
        <v/>
      </c>
      <c r="M4606" s="3" t="n">
        <v>21</v>
      </c>
      <c r="N4606" s="3" t="n">
        <v>100</v>
      </c>
      <c r="O4606" s="3" t="n">
        <v>25.47425474254743</v>
      </c>
    </row>
    <row r="4607" hidden="1">
      <c r="A4607" s="11" t="n">
        <v>46169</v>
      </c>
      <c r="B4607" t="inlineStr">
        <is>
          <t>Lucas Luiz Romero</t>
        </is>
      </c>
      <c r="C4607" s="15" t="inlineStr">
        <is>
          <t>Técnico III</t>
        </is>
      </c>
      <c r="D4607" s="3" t="n">
        <v>0</v>
      </c>
      <c r="E4607" s="3" t="n">
        <v>0</v>
      </c>
      <c r="F4607" s="3" t="n">
        <v>0</v>
      </c>
      <c r="G4607" s="3" t="n">
        <v>0</v>
      </c>
      <c r="H4607" s="3" t="n">
        <v>0</v>
      </c>
      <c r="I4607" s="3" t="n">
        <v>0</v>
      </c>
      <c r="J4607" s="3" t="n">
        <v>0</v>
      </c>
      <c r="K4607" s="3" t="n">
        <v>0</v>
      </c>
      <c r="L4607" s="3">
        <f>IF(K4607&lt;-5,"CRÍTICO",IF(K4607&lt;0,"ATENÇÃO",IF(K4607&lt;=5,"OPORTUNO","MUITO BOM")))</f>
        <v/>
      </c>
      <c r="M4607" s="3" t="n">
        <v>2</v>
      </c>
      <c r="N4607" s="3" t="n">
        <v>100</v>
      </c>
      <c r="O4607" s="3" t="n">
        <v>22.91666666666666</v>
      </c>
    </row>
    <row r="4608" hidden="1">
      <c r="A4608" s="11" t="n">
        <v>46169</v>
      </c>
      <c r="B4608" t="inlineStr">
        <is>
          <t>Luiz Fernando de Carvalho Junior</t>
        </is>
      </c>
      <c r="C4608" s="15" t="inlineStr">
        <is>
          <t>Técnico I</t>
        </is>
      </c>
      <c r="D4608" s="3" t="n">
        <v>20</v>
      </c>
      <c r="E4608" s="3" t="n">
        <v>18</v>
      </c>
      <c r="F4608" s="3" t="n">
        <v>19.09</v>
      </c>
      <c r="G4608" s="3" t="n">
        <v>0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21</v>
      </c>
      <c r="N4608" s="3" t="n">
        <v>94.83</v>
      </c>
      <c r="O4608" s="3" t="n">
        <v>23.72448979591837</v>
      </c>
    </row>
    <row r="4609" hidden="1">
      <c r="A4609" s="11" t="n">
        <v>46169</v>
      </c>
      <c r="B4609" t="inlineStr">
        <is>
          <t>Matheus Farias De Souza</t>
        </is>
      </c>
      <c r="C4609" s="15" t="inlineStr">
        <is>
          <t>Técnico III</t>
        </is>
      </c>
      <c r="D4609" s="3" t="n">
        <v>0</v>
      </c>
      <c r="E4609" s="3" t="n">
        <v>0</v>
      </c>
      <c r="F4609" s="3" t="n">
        <v>0</v>
      </c>
      <c r="G4609" s="3" t="n">
        <v>0</v>
      </c>
      <c r="H4609" s="3" t="n">
        <v>37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23</v>
      </c>
      <c r="N4609" s="3" t="n">
        <v>98.44</v>
      </c>
      <c r="O4609" s="16" t="n">
        <v>8.542713567839195</v>
      </c>
    </row>
    <row r="4610" hidden="1">
      <c r="A4610" s="11" t="n">
        <v>46169</v>
      </c>
      <c r="B4610" t="inlineStr">
        <is>
          <t>Maysa Victoria Dias Moura</t>
        </is>
      </c>
      <c r="C4610" s="15" t="inlineStr">
        <is>
          <t>Técnico III</t>
        </is>
      </c>
      <c r="D4610" s="3" t="n">
        <v>36</v>
      </c>
      <c r="E4610" s="3" t="n">
        <v>29</v>
      </c>
      <c r="F4610" s="3" t="n">
        <v>10.09</v>
      </c>
      <c r="G4610" s="3" t="n">
        <v>7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25</v>
      </c>
      <c r="N4610" s="3" t="n">
        <v>96.62</v>
      </c>
      <c r="O4610" s="3" t="n">
        <v>24.09381663113006</v>
      </c>
    </row>
    <row r="4611" hidden="1">
      <c r="A4611" s="11" t="n">
        <v>46169</v>
      </c>
      <c r="B4611" t="inlineStr">
        <is>
          <t>Patrícia Karla de Sousa Araújo</t>
        </is>
      </c>
      <c r="C4611" s="15" t="inlineStr">
        <is>
          <t>Técnico II</t>
        </is>
      </c>
      <c r="D4611" s="3" t="n">
        <v>0</v>
      </c>
      <c r="E4611" s="3" t="n">
        <v>0</v>
      </c>
      <c r="F4611" s="3" t="n">
        <v>0</v>
      </c>
      <c r="G4611" s="3" t="n">
        <v>0</v>
      </c>
      <c r="H4611" s="3" t="n">
        <v>0</v>
      </c>
      <c r="I4611" s="3" t="n">
        <v>0</v>
      </c>
      <c r="J4611" s="3" t="n">
        <v>0</v>
      </c>
      <c r="K4611" s="3" t="n">
        <v>0</v>
      </c>
      <c r="L4611" s="3">
        <f>IF(K4611&lt;-5,"CRÍTICO",IF(K4611&lt;0,"ATENÇÃO",IF(K4611&lt;=5,"OPORTUNO","MUITO BOM")))</f>
        <v/>
      </c>
      <c r="M4611" s="3" t="n">
        <v>0</v>
      </c>
      <c r="N4611" s="3" t="n">
        <v>100</v>
      </c>
      <c r="O4611" s="3" t="n">
        <v>21.10091743119266</v>
      </c>
    </row>
    <row r="4612" hidden="1">
      <c r="A4612" s="11" t="n">
        <v>46169</v>
      </c>
      <c r="B4612" t="inlineStr">
        <is>
          <t>Raane Batista Matos</t>
        </is>
      </c>
      <c r="C4612" s="15" t="inlineStr">
        <is>
          <t>Técnico I</t>
        </is>
      </c>
      <c r="D4612" s="3" t="n">
        <v>31</v>
      </c>
      <c r="E4612" s="3" t="n">
        <v>27</v>
      </c>
      <c r="F4612" s="3" t="n">
        <v>15.47</v>
      </c>
      <c r="G4612" s="3" t="n">
        <v>4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23</v>
      </c>
      <c r="N4612" s="3" t="n">
        <v>98.25</v>
      </c>
      <c r="O4612" s="3" t="n">
        <v>22.52475247524752</v>
      </c>
    </row>
    <row r="4613" hidden="1">
      <c r="A4613" s="11" t="n">
        <v>46169</v>
      </c>
      <c r="B4613" t="inlineStr">
        <is>
          <t>Rafael Gomes de Morais</t>
        </is>
      </c>
      <c r="C4613" s="15" t="inlineStr">
        <is>
          <t>Técnico III</t>
        </is>
      </c>
      <c r="D4613" s="3" t="n">
        <v>41</v>
      </c>
      <c r="E4613" s="3" t="n">
        <v>35</v>
      </c>
      <c r="F4613" s="3" t="n">
        <v>10.39</v>
      </c>
      <c r="G4613" s="3" t="n">
        <v>1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27</v>
      </c>
      <c r="N4613" s="3" t="n">
        <v>99.43000000000001</v>
      </c>
      <c r="O4613" s="3" t="n">
        <v>26.01156069364162</v>
      </c>
    </row>
    <row r="4614" hidden="1">
      <c r="A4614" s="11" t="n">
        <v>46169</v>
      </c>
      <c r="B4614" t="inlineStr">
        <is>
          <t>Sara Maria Monteiro Lopes</t>
        </is>
      </c>
      <c r="C4614" s="15" t="inlineStr">
        <is>
          <t>Técnico I</t>
        </is>
      </c>
      <c r="D4614" s="3" t="n">
        <v>20</v>
      </c>
      <c r="E4614" s="3" t="n">
        <v>19</v>
      </c>
      <c r="F4614" s="3" t="n">
        <v>23.5</v>
      </c>
      <c r="G4614" s="3" t="n">
        <v>3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16</v>
      </c>
      <c r="N4614" s="3" t="n">
        <v>100</v>
      </c>
      <c r="O4614" s="3" t="n">
        <v>19.31818181818182</v>
      </c>
    </row>
    <row r="4615" hidden="1">
      <c r="A4615" s="11" t="n">
        <v>46169</v>
      </c>
      <c r="B4615" t="inlineStr">
        <is>
          <t>Sarah Steffanie de Lima Borges</t>
        </is>
      </c>
      <c r="C4615" s="15" t="inlineStr">
        <is>
          <t>Técnico III</t>
        </is>
      </c>
      <c r="D4615" s="3" t="n">
        <v>22</v>
      </c>
      <c r="E4615" s="3" t="n">
        <v>21</v>
      </c>
      <c r="F4615" s="3" t="n">
        <v>24.18</v>
      </c>
      <c r="G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17</v>
      </c>
      <c r="N4615" s="3" t="n">
        <v>97.17</v>
      </c>
      <c r="O4615" s="3" t="n">
        <v>20.98445595854922</v>
      </c>
    </row>
    <row r="4616" hidden="1">
      <c r="A4616" s="11" t="n">
        <v>46170</v>
      </c>
      <c r="B4616" t="inlineStr">
        <is>
          <t>Claudio de Sousa Velasco Filho</t>
        </is>
      </c>
      <c r="C4616" t="inlineStr">
        <is>
          <t>Estágio</t>
        </is>
      </c>
      <c r="D4616" t="n">
        <v>12</v>
      </c>
      <c r="E4616" t="n">
        <v>11</v>
      </c>
      <c r="F4616" t="n">
        <v>18.47</v>
      </c>
      <c r="G4616" t="n">
        <v>0</v>
      </c>
      <c r="H4616" t="n">
        <v>0</v>
      </c>
      <c r="I4616" t="n">
        <v>11</v>
      </c>
      <c r="J4616" t="n">
        <v>8</v>
      </c>
      <c r="K4616" t="n">
        <v>3</v>
      </c>
      <c r="L4616" s="12" t="inlineStr">
        <is>
          <t>BOM</t>
        </is>
      </c>
      <c r="M4616" s="12" t="n">
        <v>11</v>
      </c>
      <c r="N4616" s="12" t="n">
        <v>97.22</v>
      </c>
      <c r="O4616" s="12" t="n">
        <v>23.38709677419355</v>
      </c>
    </row>
    <row r="4617" hidden="1">
      <c r="A4617" s="11" t="n">
        <v>46170</v>
      </c>
      <c r="B4617" t="inlineStr">
        <is>
          <t>Emilly Caylane Costa</t>
        </is>
      </c>
      <c r="C4617" t="inlineStr">
        <is>
          <t>Estágio</t>
        </is>
      </c>
      <c r="D4617" t="n">
        <v>9</v>
      </c>
      <c r="E4617" t="n">
        <v>8</v>
      </c>
      <c r="F4617" t="n">
        <v>32.24</v>
      </c>
      <c r="G4617" t="n">
        <v>0</v>
      </c>
      <c r="H4617" t="n">
        <v>0</v>
      </c>
      <c r="I4617" t="n">
        <v>8</v>
      </c>
      <c r="J4617" t="n">
        <v>8</v>
      </c>
      <c r="K4617" t="n">
        <v>0</v>
      </c>
      <c r="L4617" s="12" t="inlineStr">
        <is>
          <t>BOM</t>
        </is>
      </c>
      <c r="M4617" s="12" t="n">
        <v>8</v>
      </c>
      <c r="N4617" s="12" t="n">
        <v>100</v>
      </c>
      <c r="O4617" s="12" t="n">
        <v>33.33333333333333</v>
      </c>
    </row>
    <row r="4618" hidden="1">
      <c r="A4618" s="11" t="n">
        <v>46170</v>
      </c>
      <c r="B4618" t="inlineStr">
        <is>
          <t>Maria Eduarda Sousa Costa</t>
        </is>
      </c>
      <c r="C4618" t="inlineStr">
        <is>
          <t>Estágio</t>
        </is>
      </c>
      <c r="D4618" t="n">
        <v>23</v>
      </c>
      <c r="E4618" t="n">
        <v>23</v>
      </c>
      <c r="F4618" t="n">
        <v>18.3</v>
      </c>
      <c r="G4618" t="n">
        <v>0</v>
      </c>
      <c r="H4618" t="n">
        <v>0</v>
      </c>
      <c r="I4618" t="n">
        <v>23</v>
      </c>
      <c r="J4618" t="n">
        <v>8</v>
      </c>
      <c r="K4618" t="n">
        <v>15</v>
      </c>
      <c r="L4618" s="12" t="inlineStr">
        <is>
          <t>EXCELENTE</t>
        </is>
      </c>
      <c r="M4618" s="12" t="n">
        <v>22</v>
      </c>
      <c r="N4618" s="12" t="n">
        <v>95.45</v>
      </c>
      <c r="O4618" s="12" t="n">
        <v>18.4</v>
      </c>
    </row>
    <row r="4619" hidden="1">
      <c r="A4619" s="11" t="n">
        <v>46170</v>
      </c>
      <c r="B4619" t="inlineStr">
        <is>
          <t>Michelle G Santos</t>
        </is>
      </c>
      <c r="C4619" s="3" t="inlineStr">
        <is>
          <t>Estágio</t>
        </is>
      </c>
      <c r="D4619" s="3" t="n">
        <v>14</v>
      </c>
      <c r="E4619" s="3" t="n">
        <v>13</v>
      </c>
      <c r="F4619" s="3" t="n">
        <v>32.16</v>
      </c>
      <c r="G4619" s="3" t="n">
        <v>0</v>
      </c>
      <c r="H4619" s="3" t="n">
        <v>0</v>
      </c>
      <c r="I4619" s="3" t="n">
        <v>13</v>
      </c>
      <c r="J4619" s="3" t="n">
        <v>8</v>
      </c>
      <c r="K4619" s="3" t="n">
        <v>5</v>
      </c>
      <c r="L4619" s="3" t="inlineStr">
        <is>
          <t>BOM</t>
        </is>
      </c>
      <c r="M4619" t="n">
        <v>10</v>
      </c>
      <c r="N4619" t="n">
        <v>100</v>
      </c>
      <c r="O4619" t="n">
        <v>16.10738255033557</v>
      </c>
    </row>
    <row r="4620">
      <c r="A4620" s="11" t="n">
        <v>46170</v>
      </c>
      <c r="B4620" t="inlineStr">
        <is>
          <t>Quirino Diogo Leite Torres</t>
        </is>
      </c>
      <c r="C4620" t="inlineStr">
        <is>
          <t>Estágio</t>
        </is>
      </c>
      <c r="D4620" t="n">
        <v>14</v>
      </c>
      <c r="E4620" t="n">
        <v>14</v>
      </c>
      <c r="F4620" t="n">
        <v>32.02</v>
      </c>
      <c r="G4620" t="n">
        <v>0</v>
      </c>
      <c r="H4620" t="n">
        <v>0</v>
      </c>
      <c r="I4620" t="n">
        <v>14</v>
      </c>
      <c r="J4620" t="n">
        <v>8</v>
      </c>
      <c r="K4620" t="n">
        <v>6</v>
      </c>
      <c r="L4620" s="12" t="inlineStr">
        <is>
          <t>EXCELENTE</t>
        </is>
      </c>
      <c r="M4620" s="12" t="n">
        <v>11</v>
      </c>
      <c r="N4620" s="12" t="n">
        <v>97.18000000000001</v>
      </c>
      <c r="O4620" s="12" t="n">
        <v>24.48979591836735</v>
      </c>
    </row>
    <row r="4621" hidden="1">
      <c r="A4621" s="11" t="n">
        <v>46170</v>
      </c>
      <c r="B4621" t="inlineStr">
        <is>
          <t>Gabriel Alves</t>
        </is>
      </c>
      <c r="C4621" t="inlineStr">
        <is>
          <t>Estágio</t>
        </is>
      </c>
      <c r="D4621" t="n">
        <v>12</v>
      </c>
      <c r="E4621" t="n">
        <v>9</v>
      </c>
      <c r="F4621" t="n">
        <v>16.53</v>
      </c>
      <c r="G4621" t="n">
        <v>0</v>
      </c>
      <c r="H4621" t="n">
        <v>0</v>
      </c>
      <c r="I4621" t="n">
        <v>9</v>
      </c>
      <c r="J4621" t="n">
        <v>8</v>
      </c>
      <c r="K4621" t="n">
        <v>1</v>
      </c>
      <c r="L4621" s="12" t="inlineStr">
        <is>
          <t>BOM</t>
        </is>
      </c>
      <c r="M4621" s="12" t="n">
        <v>8</v>
      </c>
      <c r="N4621" s="12" t="n">
        <v>100</v>
      </c>
      <c r="O4621" s="12" t="n">
        <v>26.66666666666667</v>
      </c>
    </row>
    <row r="4622" hidden="1">
      <c r="A4622" s="11" t="n">
        <v>46170</v>
      </c>
      <c r="B4622" t="inlineStr">
        <is>
          <t>Anna Luiza Rezende Tavares</t>
        </is>
      </c>
      <c r="C4622" t="inlineStr">
        <is>
          <t>JR</t>
        </is>
      </c>
      <c r="D4622" t="n">
        <v>29</v>
      </c>
      <c r="E4622" t="n">
        <v>29</v>
      </c>
      <c r="F4622" t="n">
        <v>20.08</v>
      </c>
      <c r="G4622" t="n">
        <v>0</v>
      </c>
      <c r="H4622" t="n">
        <v>0</v>
      </c>
      <c r="I4622" t="n">
        <v>29</v>
      </c>
      <c r="J4622" t="n">
        <v>15</v>
      </c>
      <c r="K4622" t="n">
        <v>14</v>
      </c>
      <c r="L4622" s="12" t="inlineStr">
        <is>
          <t>EXCELENTE</t>
        </is>
      </c>
      <c r="M4622" s="12" t="n">
        <v>23</v>
      </c>
      <c r="N4622" s="12" t="n">
        <v>99.33</v>
      </c>
      <c r="O4622" s="12" t="n">
        <v>22.17741935483871</v>
      </c>
    </row>
    <row r="4623" hidden="1">
      <c r="A4623" s="11" t="n">
        <v>46170</v>
      </c>
      <c r="B4623" t="inlineStr">
        <is>
          <t>Karina Gonçalves Martins</t>
        </is>
      </c>
      <c r="C4623" t="inlineStr">
        <is>
          <t>JR</t>
        </is>
      </c>
      <c r="D4623" t="n">
        <v>16</v>
      </c>
      <c r="E4623" t="n">
        <v>16</v>
      </c>
      <c r="F4623" t="n">
        <v>27.39</v>
      </c>
      <c r="G4623" t="n">
        <v>0</v>
      </c>
      <c r="H4623" t="n">
        <v>0</v>
      </c>
      <c r="I4623" t="n">
        <v>16</v>
      </c>
      <c r="J4623" t="n">
        <v>15</v>
      </c>
      <c r="K4623" t="n">
        <v>1</v>
      </c>
      <c r="L4623" s="12" t="inlineStr">
        <is>
          <t>BOM</t>
        </is>
      </c>
      <c r="M4623" s="12" t="n">
        <v>16</v>
      </c>
      <c r="N4623" s="12" t="n">
        <v>97.87</v>
      </c>
      <c r="O4623" s="12" t="n">
        <v>19.00826446280992</v>
      </c>
    </row>
    <row r="4624" hidden="1">
      <c r="A4624" s="11" t="n">
        <v>46170</v>
      </c>
      <c r="B4624" t="inlineStr">
        <is>
          <t>Leandro de Souza Silva</t>
        </is>
      </c>
      <c r="C4624" t="inlineStr">
        <is>
          <t>JR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inlineStr">
        <is>
          <t>BOM</t>
        </is>
      </c>
      <c r="M4624" s="12" t="n">
        <v>0</v>
      </c>
      <c r="N4624" s="12" t="n">
        <v>100</v>
      </c>
      <c r="O4624" s="12" t="n">
        <v>22.5</v>
      </c>
    </row>
    <row r="4625" hidden="1">
      <c r="A4625" s="11" t="n">
        <v>46170</v>
      </c>
      <c r="B4625" t="inlineStr">
        <is>
          <t>Milena Sales</t>
        </is>
      </c>
      <c r="C4625" t="inlineStr">
        <is>
          <t>JR</t>
        </is>
      </c>
      <c r="D4625" t="n">
        <v>33</v>
      </c>
      <c r="E4625" t="n">
        <v>26</v>
      </c>
      <c r="F4625" t="n">
        <v>12.24</v>
      </c>
      <c r="G4625" t="n">
        <v>2</v>
      </c>
      <c r="H4625" t="n">
        <v>0</v>
      </c>
      <c r="I4625" t="n">
        <v>28</v>
      </c>
      <c r="J4625" t="n">
        <v>15</v>
      </c>
      <c r="K4625" t="n">
        <v>13</v>
      </c>
      <c r="L4625" s="12" t="inlineStr">
        <is>
          <t>EXCELENTE</t>
        </is>
      </c>
      <c r="M4625" s="12" t="n">
        <v>21</v>
      </c>
      <c r="N4625" s="12" t="n">
        <v>97.40000000000001</v>
      </c>
      <c r="O4625" s="12" t="n">
        <v>23.80952380952381</v>
      </c>
    </row>
    <row r="4626" hidden="1">
      <c r="A4626" s="11" t="n">
        <v>46170</v>
      </c>
      <c r="B4626" t="inlineStr">
        <is>
          <t>Paulo Ricardo Santos</t>
        </is>
      </c>
      <c r="C4626" t="inlineStr">
        <is>
          <t>JR</t>
        </is>
      </c>
      <c r="D4626" t="n">
        <v>14</v>
      </c>
      <c r="E4626" t="n">
        <v>13</v>
      </c>
      <c r="F4626" t="n">
        <v>25.36</v>
      </c>
      <c r="G4626" t="n">
        <v>0</v>
      </c>
      <c r="H4626" t="n">
        <v>0</v>
      </c>
      <c r="I4626" t="n">
        <v>13</v>
      </c>
      <c r="J4626" t="n">
        <v>15</v>
      </c>
      <c r="K4626" t="n">
        <v>-2</v>
      </c>
      <c r="L4626" s="12" t="inlineStr">
        <is>
          <t>ATENÇÃO</t>
        </is>
      </c>
      <c r="M4626" s="12" t="n">
        <v>13</v>
      </c>
      <c r="N4626" s="12" t="n">
        <v>100</v>
      </c>
      <c r="O4626" s="12" t="n">
        <v>20.07575757575757</v>
      </c>
    </row>
    <row r="4627" hidden="1">
      <c r="A4627" s="11" t="n">
        <v>46170</v>
      </c>
      <c r="B4627" t="inlineStr">
        <is>
          <t>Pedro Luiz Mota Sousa</t>
        </is>
      </c>
      <c r="C4627" t="inlineStr">
        <is>
          <t>JR</t>
        </is>
      </c>
      <c r="D4627" t="n">
        <v>19</v>
      </c>
      <c r="E4627" t="n">
        <v>18</v>
      </c>
      <c r="F4627" t="n">
        <v>17.07</v>
      </c>
      <c r="G4627" t="n">
        <v>2</v>
      </c>
      <c r="H4627" t="n">
        <v>0</v>
      </c>
      <c r="I4627" t="n">
        <v>20</v>
      </c>
      <c r="J4627" t="n">
        <v>15</v>
      </c>
      <c r="K4627" t="n">
        <v>5</v>
      </c>
      <c r="L4627" s="12" t="inlineStr">
        <is>
          <t>BOM</t>
        </is>
      </c>
      <c r="M4627" s="12" t="n">
        <v>17</v>
      </c>
      <c r="N4627" s="12" t="n">
        <v>100</v>
      </c>
      <c r="O4627" s="12" t="n">
        <v>19.24398625429554</v>
      </c>
    </row>
    <row r="4628" hidden="1">
      <c r="A4628" s="11" t="n">
        <v>46170</v>
      </c>
      <c r="B4628" t="inlineStr">
        <is>
          <t>Alisson de Freitas Silva</t>
        </is>
      </c>
      <c r="C4628" t="inlineStr">
        <is>
          <t>Técnico II</t>
        </is>
      </c>
      <c r="D4628" t="n">
        <v>21</v>
      </c>
      <c r="E4628" t="n">
        <v>16</v>
      </c>
      <c r="F4628" t="n">
        <v>13.45</v>
      </c>
      <c r="G4628" t="n">
        <v>2</v>
      </c>
      <c r="H4628" t="n">
        <v>0</v>
      </c>
      <c r="I4628" t="n">
        <v>18</v>
      </c>
      <c r="J4628" t="n">
        <v>22</v>
      </c>
      <c r="K4628" t="n">
        <v>-4</v>
      </c>
      <c r="L4628" s="12" t="inlineStr">
        <is>
          <t>ATENÇÃO</t>
        </is>
      </c>
      <c r="M4628" s="12" t="n">
        <v>14</v>
      </c>
      <c r="N4628" s="12" t="n">
        <v>99.23</v>
      </c>
      <c r="O4628" s="12" t="n">
        <v>24.42159383033419</v>
      </c>
    </row>
    <row r="4629" hidden="1">
      <c r="A4629" s="11" t="n">
        <v>46170</v>
      </c>
      <c r="B4629" t="inlineStr">
        <is>
          <t>Amanda Moura Ferreira</t>
        </is>
      </c>
      <c r="C4629" t="inlineStr">
        <is>
          <t>Técnico III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inlineStr">
        <is>
          <t>BOM</t>
        </is>
      </c>
      <c r="M4629" s="12" t="n">
        <v>0</v>
      </c>
      <c r="N4629" s="12" t="n">
        <v>100</v>
      </c>
      <c r="O4629" s="12" t="n">
        <v>0</v>
      </c>
    </row>
    <row r="4630" hidden="1">
      <c r="A4630" s="11" t="n">
        <v>46170</v>
      </c>
      <c r="B4630" t="inlineStr">
        <is>
          <t>Ana Karollyne Souza Faria</t>
        </is>
      </c>
      <c r="C4630" t="inlineStr">
        <is>
          <t>Técnico I</t>
        </is>
      </c>
      <c r="D4630" t="n">
        <v>31</v>
      </c>
      <c r="E4630" t="n">
        <v>29</v>
      </c>
      <c r="F4630" t="n">
        <v>18.41</v>
      </c>
      <c r="G4630" t="n">
        <v>5</v>
      </c>
      <c r="H4630" t="n">
        <v>0</v>
      </c>
      <c r="I4630" t="n">
        <v>34</v>
      </c>
      <c r="J4630" t="n">
        <v>18</v>
      </c>
      <c r="K4630" t="n">
        <v>16</v>
      </c>
      <c r="L4630" s="12" t="inlineStr">
        <is>
          <t>EXCELENTE</t>
        </is>
      </c>
      <c r="M4630" s="12" t="n">
        <v>28</v>
      </c>
      <c r="N4630" s="12" t="n">
        <v>96.59</v>
      </c>
      <c r="O4630" s="12" t="n">
        <v>26.34615384615385</v>
      </c>
    </row>
    <row r="4631" hidden="1">
      <c r="A4631" s="11" t="n">
        <v>46170</v>
      </c>
      <c r="B4631" t="inlineStr">
        <is>
          <t>Ana Paula Da Luz Silva Aleixo</t>
        </is>
      </c>
      <c r="C4631" t="inlineStr">
        <is>
          <t>Técnico III</t>
        </is>
      </c>
      <c r="D4631" t="n">
        <v>16</v>
      </c>
      <c r="E4631" t="n">
        <v>14</v>
      </c>
      <c r="F4631" t="n">
        <v>10.31</v>
      </c>
      <c r="G4631" t="n">
        <v>3</v>
      </c>
      <c r="H4631" t="n">
        <v>0</v>
      </c>
      <c r="I4631" t="n">
        <v>17</v>
      </c>
      <c r="J4631" t="n">
        <v>27</v>
      </c>
      <c r="K4631" t="n">
        <v>-10</v>
      </c>
      <c r="L4631" s="12" t="inlineStr">
        <is>
          <t>CRÍTICO</t>
        </is>
      </c>
      <c r="M4631" s="12" t="n">
        <v>12</v>
      </c>
      <c r="N4631" s="12" t="n">
        <v>97.17</v>
      </c>
      <c r="O4631" s="12" t="n">
        <v>20.19950124688279</v>
      </c>
    </row>
    <row r="4632" hidden="1">
      <c r="A4632" s="11" t="n">
        <v>46170</v>
      </c>
      <c r="B4632" t="inlineStr">
        <is>
          <t>Brenda de Menezes Silva</t>
        </is>
      </c>
      <c r="C4632" t="inlineStr">
        <is>
          <t>Técnico II</t>
        </is>
      </c>
      <c r="D4632" t="n">
        <v>38</v>
      </c>
      <c r="E4632" t="n">
        <v>35</v>
      </c>
      <c r="F4632" t="n">
        <v>12</v>
      </c>
      <c r="G4632" t="n">
        <v>2</v>
      </c>
      <c r="H4632" t="n">
        <v>0</v>
      </c>
      <c r="I4632" t="n">
        <v>37</v>
      </c>
      <c r="J4632" t="n">
        <v>22</v>
      </c>
      <c r="K4632" t="n">
        <v>15</v>
      </c>
      <c r="L4632" s="12" t="inlineStr">
        <is>
          <t>EXCELENTE</t>
        </is>
      </c>
      <c r="M4632" s="12" t="n">
        <v>37</v>
      </c>
      <c r="N4632" s="12" t="n">
        <v>99.41</v>
      </c>
      <c r="O4632" s="12" t="n">
        <v>21.6887417218543</v>
      </c>
    </row>
    <row r="4633" hidden="1">
      <c r="A4633" s="11" t="n">
        <v>46170</v>
      </c>
      <c r="B4633" t="inlineStr">
        <is>
          <t>Carlos Mateus Cassimiro Nunes</t>
        </is>
      </c>
      <c r="C4633" t="inlineStr">
        <is>
          <t>Técnico II</t>
        </is>
      </c>
      <c r="D4633" t="n">
        <v>27</v>
      </c>
      <c r="E4633" t="n">
        <v>26</v>
      </c>
      <c r="F4633" t="n">
        <v>20.03</v>
      </c>
      <c r="G4633" t="n">
        <v>1</v>
      </c>
      <c r="H4633" t="n">
        <v>0</v>
      </c>
      <c r="I4633" t="n">
        <v>27</v>
      </c>
      <c r="J4633" t="n">
        <v>22</v>
      </c>
      <c r="K4633" t="n">
        <v>5</v>
      </c>
      <c r="L4633" s="12" t="inlineStr">
        <is>
          <t>BOM</t>
        </is>
      </c>
      <c r="M4633" s="12" t="n">
        <v>27</v>
      </c>
      <c r="N4633" s="12" t="n">
        <v>99.17</v>
      </c>
      <c r="O4633" s="12" t="n">
        <v>21.69197396963124</v>
      </c>
    </row>
    <row r="4634" hidden="1">
      <c r="A4634" s="11" t="n">
        <v>46170</v>
      </c>
      <c r="B4634" t="inlineStr">
        <is>
          <t>Clessiane Pereira dos Santos</t>
        </is>
      </c>
      <c r="C4634" t="inlineStr">
        <is>
          <t>Técnico I</t>
        </is>
      </c>
      <c r="D4634" t="n">
        <v>24</v>
      </c>
      <c r="E4634" t="n">
        <v>23</v>
      </c>
      <c r="F4634" t="n">
        <v>17.14</v>
      </c>
      <c r="G4634" t="n">
        <v>0</v>
      </c>
      <c r="H4634" t="n">
        <v>0</v>
      </c>
      <c r="I4634" t="n">
        <v>23</v>
      </c>
      <c r="J4634" t="n">
        <v>18</v>
      </c>
      <c r="K4634" t="n">
        <v>5</v>
      </c>
      <c r="L4634" s="12" t="inlineStr">
        <is>
          <t>BOM</t>
        </is>
      </c>
      <c r="M4634" s="12" t="n">
        <v>23</v>
      </c>
      <c r="N4634" s="12" t="n">
        <v>97.08</v>
      </c>
      <c r="O4634" s="12" t="n">
        <v>25.17985611510791</v>
      </c>
    </row>
    <row r="4635" hidden="1">
      <c r="A4635" s="11" t="n">
        <v>46170</v>
      </c>
      <c r="B4635" t="inlineStr">
        <is>
          <t>Cristiane Ramos da Silva Rocha</t>
        </is>
      </c>
      <c r="C4635" t="inlineStr">
        <is>
          <t>Técnico III</t>
        </is>
      </c>
      <c r="D4635" t="n">
        <v>30</v>
      </c>
      <c r="E4635" t="n">
        <v>27</v>
      </c>
      <c r="F4635" t="n">
        <v>15.08</v>
      </c>
      <c r="G4635" t="n">
        <v>0</v>
      </c>
      <c r="H4635" t="n">
        <v>0</v>
      </c>
      <c r="I4635" t="n">
        <v>27</v>
      </c>
      <c r="J4635" t="n">
        <v>27</v>
      </c>
      <c r="K4635" t="n">
        <v>0</v>
      </c>
      <c r="L4635" s="12" t="inlineStr">
        <is>
          <t>BOM</t>
        </is>
      </c>
      <c r="M4635" s="12" t="n">
        <v>23</v>
      </c>
      <c r="N4635" s="12" t="n">
        <v>93.33</v>
      </c>
      <c r="O4635" s="12" t="n">
        <v>26.4591439688716</v>
      </c>
    </row>
    <row r="4636" hidden="1">
      <c r="A4636" s="11" t="n">
        <v>46170</v>
      </c>
      <c r="B4636" t="inlineStr">
        <is>
          <t>Damyllis Lorraine de Oliveira Gonçalves</t>
        </is>
      </c>
      <c r="C4636" t="inlineStr">
        <is>
          <t>Técnico II</t>
        </is>
      </c>
      <c r="D4636" t="n">
        <v>0</v>
      </c>
      <c r="E4636" t="n">
        <v>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s="12" t="inlineStr">
        <is>
          <t>BOM</t>
        </is>
      </c>
      <c r="M4636" s="12" t="n">
        <v>0</v>
      </c>
      <c r="N4636" s="12" t="n">
        <v>98.88</v>
      </c>
      <c r="O4636" s="12" t="n">
        <v>25.89285714285715</v>
      </c>
    </row>
    <row r="4637" hidden="1">
      <c r="A4637" s="11" t="n">
        <v>46170</v>
      </c>
      <c r="B4637" t="inlineStr">
        <is>
          <t>Daniel Gomes da Silva</t>
        </is>
      </c>
      <c r="C4637" t="inlineStr">
        <is>
          <t>Técnico I</t>
        </is>
      </c>
      <c r="D4637" t="n">
        <v>24</v>
      </c>
      <c r="E4637" t="n">
        <v>23</v>
      </c>
      <c r="F4637" t="n">
        <v>15.29</v>
      </c>
      <c r="G4637" t="n">
        <v>0</v>
      </c>
      <c r="H4637" t="n">
        <v>0</v>
      </c>
      <c r="I4637" t="n">
        <v>23</v>
      </c>
      <c r="J4637" t="n">
        <v>18</v>
      </c>
      <c r="K4637" t="n">
        <v>5</v>
      </c>
      <c r="L4637" s="12" t="inlineStr">
        <is>
          <t>BOM</t>
        </is>
      </c>
      <c r="M4637" s="12" t="n">
        <v>19</v>
      </c>
      <c r="N4637" s="12" t="n">
        <v>100</v>
      </c>
      <c r="O4637" s="12" t="n">
        <v>21.90476190476191</v>
      </c>
    </row>
    <row r="4638" hidden="1">
      <c r="A4638" s="11" t="n">
        <v>46170</v>
      </c>
      <c r="B4638" t="inlineStr">
        <is>
          <t>Davylla Rodrigues Freitas Silva</t>
        </is>
      </c>
      <c r="C4638" t="inlineStr">
        <is>
          <t>Técnico III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s="12" t="inlineStr">
        <is>
          <t>BOM</t>
        </is>
      </c>
      <c r="M4638" s="12" t="n">
        <v>0</v>
      </c>
      <c r="N4638" s="12" t="n">
        <v>99.22</v>
      </c>
      <c r="O4638" s="12" t="n">
        <v>30.73929961089494</v>
      </c>
    </row>
    <row r="4639" hidden="1">
      <c r="A4639" s="11" t="n">
        <v>46170</v>
      </c>
      <c r="B4639" t="inlineStr">
        <is>
          <t>Emilly Kamilly Medeiros Miranda</t>
        </is>
      </c>
      <c r="C4639" t="inlineStr">
        <is>
          <t>Técnico II</t>
        </is>
      </c>
      <c r="D4639" t="n">
        <v>32</v>
      </c>
      <c r="E4639" t="n">
        <v>29</v>
      </c>
      <c r="F4639" t="n">
        <v>13.49</v>
      </c>
      <c r="G4639" t="n">
        <v>4</v>
      </c>
      <c r="H4639" t="n">
        <v>0</v>
      </c>
      <c r="I4639" t="n">
        <v>33</v>
      </c>
      <c r="J4639" t="n">
        <v>22</v>
      </c>
      <c r="K4639" t="n">
        <v>11</v>
      </c>
      <c r="L4639" s="12" t="inlineStr">
        <is>
          <t>EXCELENTE</t>
        </is>
      </c>
      <c r="M4639" s="12" t="n">
        <v>28</v>
      </c>
      <c r="N4639" s="12" t="n">
        <v>99.14</v>
      </c>
      <c r="O4639" s="12" t="n">
        <v>18.93095768374165</v>
      </c>
    </row>
    <row r="4640" hidden="1">
      <c r="A4640" s="11" t="n">
        <v>46170</v>
      </c>
      <c r="B4640" t="inlineStr">
        <is>
          <t>Francielson de Oliveira</t>
        </is>
      </c>
      <c r="C4640" t="inlineStr">
        <is>
          <t>Técnico III</t>
        </is>
      </c>
      <c r="D4640" t="n">
        <v>34</v>
      </c>
      <c r="E4640" t="n">
        <v>34</v>
      </c>
      <c r="F4640" t="n">
        <v>14.12</v>
      </c>
      <c r="G4640" t="n">
        <v>0</v>
      </c>
      <c r="H4640" t="n">
        <v>0</v>
      </c>
      <c r="I4640" t="n">
        <v>34</v>
      </c>
      <c r="J4640" t="n">
        <v>27</v>
      </c>
      <c r="K4640" t="n">
        <v>7</v>
      </c>
      <c r="L4640" s="12" t="inlineStr">
        <is>
          <t>EXCELENTE</t>
        </is>
      </c>
      <c r="M4640" s="12" t="n">
        <v>35</v>
      </c>
      <c r="N4640" s="12" t="n">
        <v>100</v>
      </c>
      <c r="O4640" s="12" t="n">
        <v>10.79136690647482</v>
      </c>
    </row>
    <row r="4641" hidden="1">
      <c r="A4641" s="11" t="n">
        <v>46170</v>
      </c>
      <c r="B4641" t="inlineStr">
        <is>
          <t>Francilene Ferreira de Jesus</t>
        </is>
      </c>
      <c r="C4641" t="inlineStr">
        <is>
          <t>Técnico II</t>
        </is>
      </c>
      <c r="D4641" t="n">
        <v>0</v>
      </c>
      <c r="E4641" t="n">
        <v>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s="12" t="inlineStr">
        <is>
          <t>BOM</t>
        </is>
      </c>
      <c r="M4641" s="12" t="n">
        <v>0</v>
      </c>
      <c r="N4641" s="12" t="n">
        <v>100</v>
      </c>
      <c r="O4641" s="12" t="n">
        <v>17.24137931034483</v>
      </c>
    </row>
    <row r="4642" hidden="1">
      <c r="A4642" s="11" t="n">
        <v>46170</v>
      </c>
      <c r="B4642" t="inlineStr">
        <is>
          <t>Gabriel Gomes de Andrade</t>
        </is>
      </c>
      <c r="C4642" t="inlineStr">
        <is>
          <t>Técnico I</t>
        </is>
      </c>
      <c r="D4642" t="n">
        <v>18</v>
      </c>
      <c r="E4642" t="n">
        <v>17</v>
      </c>
      <c r="F4642" t="n">
        <v>23.42</v>
      </c>
      <c r="G4642" t="n">
        <v>2</v>
      </c>
      <c r="H4642" t="n">
        <v>0</v>
      </c>
      <c r="I4642" t="n">
        <v>19</v>
      </c>
      <c r="J4642" t="n">
        <v>18</v>
      </c>
      <c r="K4642" t="n">
        <v>1</v>
      </c>
      <c r="L4642" s="12" t="inlineStr">
        <is>
          <t>BOM</t>
        </is>
      </c>
      <c r="M4642" s="12" t="n">
        <v>14</v>
      </c>
      <c r="N4642" s="12" t="n">
        <v>99.17</v>
      </c>
      <c r="O4642" s="12" t="n">
        <v>22.44897959183674</v>
      </c>
    </row>
    <row r="4643" hidden="1">
      <c r="A4643" s="11" t="n">
        <v>46170</v>
      </c>
      <c r="B4643" t="inlineStr">
        <is>
          <t>Isabella Borges de Oliveira</t>
        </is>
      </c>
      <c r="C4643" t="inlineStr">
        <is>
          <t>Técnico II</t>
        </is>
      </c>
      <c r="D4643" t="n">
        <v>25</v>
      </c>
      <c r="E4643" t="n">
        <v>24</v>
      </c>
      <c r="F4643" t="n">
        <v>20.45</v>
      </c>
      <c r="G4643" t="n">
        <v>3</v>
      </c>
      <c r="H4643" t="n">
        <v>0</v>
      </c>
      <c r="I4643" t="n">
        <v>27</v>
      </c>
      <c r="J4643" t="n">
        <v>22</v>
      </c>
      <c r="K4643" t="n">
        <v>5</v>
      </c>
      <c r="L4643" s="12" t="inlineStr">
        <is>
          <t>BOM</t>
        </is>
      </c>
      <c r="M4643" s="12" t="n">
        <v>22</v>
      </c>
      <c r="N4643" s="12" t="n">
        <v>99.09999999999999</v>
      </c>
      <c r="O4643" s="12" t="n">
        <v>20.87378640776699</v>
      </c>
    </row>
    <row r="4644" hidden="1">
      <c r="A4644" s="11" t="n">
        <v>46170</v>
      </c>
      <c r="B4644" t="inlineStr">
        <is>
          <t>Janaina Lima dos Reis Urany</t>
        </is>
      </c>
      <c r="C4644" t="inlineStr">
        <is>
          <t>Técnico III</t>
        </is>
      </c>
      <c r="D4644" t="n">
        <v>43</v>
      </c>
      <c r="E4644" t="n">
        <v>40</v>
      </c>
      <c r="F4644" t="n">
        <v>12.22</v>
      </c>
      <c r="G4644" t="n">
        <v>5</v>
      </c>
      <c r="H4644" t="n">
        <v>0</v>
      </c>
      <c r="I4644" t="n">
        <v>45</v>
      </c>
      <c r="J4644" t="n">
        <v>27</v>
      </c>
      <c r="K4644" t="n">
        <v>18</v>
      </c>
      <c r="L4644" s="12" t="inlineStr">
        <is>
          <t>EXCELENTE</t>
        </is>
      </c>
      <c r="M4644" s="12" t="n">
        <v>37</v>
      </c>
      <c r="N4644" s="12" t="n">
        <v>99.09999999999999</v>
      </c>
      <c r="O4644" s="12" t="n">
        <v>23.24929971988795</v>
      </c>
    </row>
    <row r="4645" hidden="1">
      <c r="A4645" s="11" t="n">
        <v>46170</v>
      </c>
      <c r="B4645" t="inlineStr">
        <is>
          <t>Jaqueline Evangelista da Silva Martins</t>
        </is>
      </c>
      <c r="C4645" t="inlineStr">
        <is>
          <t>Técnico III</t>
        </is>
      </c>
      <c r="D4645" t="n">
        <v>27</v>
      </c>
      <c r="E4645" t="n">
        <v>26</v>
      </c>
      <c r="F4645" t="n">
        <v>14.18</v>
      </c>
      <c r="G4645" t="n">
        <v>1</v>
      </c>
      <c r="H4645" t="n">
        <v>0</v>
      </c>
      <c r="I4645" t="n">
        <v>27</v>
      </c>
      <c r="J4645" t="n">
        <v>27</v>
      </c>
      <c r="K4645" t="n">
        <v>0</v>
      </c>
      <c r="L4645" s="12" t="inlineStr">
        <is>
          <t>BOM</t>
        </is>
      </c>
      <c r="M4645" s="12" t="n">
        <v>23</v>
      </c>
      <c r="N4645" s="12" t="n">
        <v>97.66</v>
      </c>
      <c r="O4645" s="12" t="n">
        <v>35.85746102449889</v>
      </c>
    </row>
    <row r="4646" hidden="1">
      <c r="A4646" s="11" t="n">
        <v>46170</v>
      </c>
      <c r="B4646" t="inlineStr">
        <is>
          <t>Jessica Faria da Silveira</t>
        </is>
      </c>
      <c r="C4646" t="inlineStr">
        <is>
          <t>Técnico II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s="12" t="inlineStr">
        <is>
          <t>BOM</t>
        </is>
      </c>
      <c r="M4646" s="12" t="n">
        <v>0</v>
      </c>
      <c r="N4646" s="12" t="n">
        <v>99.05</v>
      </c>
      <c r="O4646" s="12" t="n">
        <v>23.97820163487738</v>
      </c>
    </row>
    <row r="4647" hidden="1">
      <c r="A4647" s="11" t="n">
        <v>46170</v>
      </c>
      <c r="B4647" t="inlineStr">
        <is>
          <t>Jéssica Fé Moura</t>
        </is>
      </c>
      <c r="C4647" t="inlineStr">
        <is>
          <t>Técnico III</t>
        </is>
      </c>
      <c r="D4647" t="n">
        <v>0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s="12" t="inlineStr">
        <is>
          <t>BOM</t>
        </is>
      </c>
      <c r="M4647" s="12" t="n">
        <v>0</v>
      </c>
      <c r="N4647" s="12" t="n">
        <v>0</v>
      </c>
      <c r="O4647" s="12" t="n">
        <v>0</v>
      </c>
    </row>
    <row r="4648" hidden="1">
      <c r="A4648" s="11" t="n">
        <v>46170</v>
      </c>
      <c r="B4648" t="inlineStr">
        <is>
          <t>Kerollen Cristielly de Jesus Siqueira</t>
        </is>
      </c>
      <c r="C4648" t="inlineStr">
        <is>
          <t>Técnico III</t>
        </is>
      </c>
      <c r="D4648" t="n">
        <v>33</v>
      </c>
      <c r="E4648" t="n">
        <v>33</v>
      </c>
      <c r="F4648" t="n">
        <v>15.16</v>
      </c>
      <c r="G4648" t="n">
        <v>0</v>
      </c>
      <c r="H4648" t="n">
        <v>0</v>
      </c>
      <c r="I4648" t="n">
        <v>33</v>
      </c>
      <c r="J4648" t="n">
        <v>27</v>
      </c>
      <c r="K4648" t="n">
        <v>6</v>
      </c>
      <c r="L4648" s="12" t="inlineStr">
        <is>
          <t>EXCELENTE</t>
        </is>
      </c>
      <c r="M4648" s="12" t="n">
        <v>33</v>
      </c>
      <c r="N4648" s="12" t="n">
        <v>97.17</v>
      </c>
      <c r="O4648" s="12" t="n">
        <v>17.43341404358353</v>
      </c>
    </row>
    <row r="4649" hidden="1">
      <c r="A4649" s="11" t="n">
        <v>46170</v>
      </c>
      <c r="B4649" t="inlineStr">
        <is>
          <t>Leandro Oliveira de Sousa</t>
        </is>
      </c>
      <c r="C4649" t="inlineStr">
        <is>
          <t>Técnico III</t>
        </is>
      </c>
      <c r="D4649" t="n">
        <v>30</v>
      </c>
      <c r="E4649" t="n">
        <v>29</v>
      </c>
      <c r="F4649" t="n">
        <v>17.19</v>
      </c>
      <c r="G4649" t="n">
        <v>0</v>
      </c>
      <c r="H4649" t="n">
        <v>0</v>
      </c>
      <c r="I4649" t="n">
        <v>29</v>
      </c>
      <c r="J4649" t="n">
        <v>27</v>
      </c>
      <c r="K4649" t="n">
        <v>2</v>
      </c>
      <c r="L4649" s="12" t="inlineStr">
        <is>
          <t>BOM</t>
        </is>
      </c>
      <c r="M4649" s="12" t="n">
        <v>26</v>
      </c>
      <c r="N4649" s="12" t="n">
        <v>100</v>
      </c>
      <c r="O4649" s="12" t="n">
        <v>19.33471933471933</v>
      </c>
    </row>
    <row r="4650" hidden="1">
      <c r="A4650" s="11" t="n">
        <v>46170</v>
      </c>
      <c r="B4650" t="inlineStr">
        <is>
          <t>Lizandra Gomes Duarte</t>
        </is>
      </c>
      <c r="C4650" t="inlineStr">
        <is>
          <t>Técnico II</t>
        </is>
      </c>
      <c r="D4650" t="n">
        <v>26</v>
      </c>
      <c r="E4650" t="n">
        <v>22</v>
      </c>
      <c r="F4650" t="n">
        <v>18.4</v>
      </c>
      <c r="G4650" t="n">
        <v>0</v>
      </c>
      <c r="H4650" t="n">
        <v>0</v>
      </c>
      <c r="I4650" t="n">
        <v>22</v>
      </c>
      <c r="J4650" t="n">
        <v>22</v>
      </c>
      <c r="K4650" t="n">
        <v>0</v>
      </c>
      <c r="L4650" s="12" t="inlineStr">
        <is>
          <t>BOM</t>
        </is>
      </c>
      <c r="M4650" s="12" t="n">
        <v>9</v>
      </c>
      <c r="N4650" s="12" t="n">
        <v>99.12</v>
      </c>
      <c r="O4650" s="12" t="n">
        <v>24.06015037593985</v>
      </c>
    </row>
    <row r="4651" hidden="1">
      <c r="A4651" s="11" t="n">
        <v>46170</v>
      </c>
      <c r="B4651" t="inlineStr">
        <is>
          <t>Lorena Dias de Araujo</t>
        </is>
      </c>
      <c r="C4651" t="inlineStr">
        <is>
          <t>Técnico II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inlineStr">
        <is>
          <t>BOM</t>
        </is>
      </c>
      <c r="M4651" s="12" t="n">
        <v>0</v>
      </c>
      <c r="N4651" s="12" t="n">
        <v>100</v>
      </c>
      <c r="O4651" s="12" t="n">
        <v>26.75675675675675</v>
      </c>
    </row>
    <row r="4652" hidden="1">
      <c r="A4652" s="11" t="n">
        <v>46170</v>
      </c>
      <c r="B4652" t="inlineStr">
        <is>
          <t>Lucas Luiz Romero</t>
        </is>
      </c>
      <c r="C4652" t="inlineStr">
        <is>
          <t>Técnico III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inlineStr">
        <is>
          <t>BOM</t>
        </is>
      </c>
      <c r="M4652" s="12" t="n">
        <v>12</v>
      </c>
      <c r="N4652" s="12" t="n">
        <v>100</v>
      </c>
      <c r="O4652" s="12" t="n">
        <v>28.7037037037037</v>
      </c>
    </row>
    <row r="4653" hidden="1">
      <c r="A4653" s="11" t="n">
        <v>46170</v>
      </c>
      <c r="B4653" t="inlineStr">
        <is>
          <t>Luiz Fernando de Carvalho Junior</t>
        </is>
      </c>
      <c r="C4653" t="inlineStr">
        <is>
          <t>Técnico I</t>
        </is>
      </c>
      <c r="D4653" t="n">
        <v>25</v>
      </c>
      <c r="E4653" t="n">
        <v>23</v>
      </c>
      <c r="F4653" t="n">
        <v>17.12</v>
      </c>
      <c r="G4653" t="n">
        <v>1</v>
      </c>
      <c r="H4653" t="n">
        <v>0</v>
      </c>
      <c r="I4653" t="n">
        <v>24</v>
      </c>
      <c r="J4653" t="n">
        <v>18</v>
      </c>
      <c r="K4653" t="n">
        <v>6</v>
      </c>
      <c r="L4653" s="12" t="inlineStr">
        <is>
          <t>EXCELENTE</t>
        </is>
      </c>
      <c r="M4653" s="12" t="n">
        <v>22</v>
      </c>
      <c r="N4653" s="12" t="n">
        <v>94.87</v>
      </c>
      <c r="O4653" s="12" t="n">
        <v>23.24455205811138</v>
      </c>
    </row>
    <row r="4654" hidden="1">
      <c r="A4654" s="11" t="n">
        <v>46170</v>
      </c>
      <c r="B4654" t="inlineStr">
        <is>
          <t>Matheus Farias De Souza</t>
        </is>
      </c>
      <c r="C4654" t="inlineStr">
        <is>
          <t>Técnico III</t>
        </is>
      </c>
      <c r="D4654" t="n">
        <v>0</v>
      </c>
      <c r="E4654" t="n">
        <v>0</v>
      </c>
      <c r="F4654" t="n">
        <v>0</v>
      </c>
      <c r="G4654" t="n">
        <v>0</v>
      </c>
      <c r="H4654" t="n">
        <v>0</v>
      </c>
      <c r="I4654" t="n">
        <v>0</v>
      </c>
      <c r="J4654" t="n">
        <v>0</v>
      </c>
      <c r="K4654" t="n">
        <v>0</v>
      </c>
      <c r="L4654" s="12" t="inlineStr">
        <is>
          <t>BOM</t>
        </is>
      </c>
      <c r="M4654" s="12" t="n">
        <v>15</v>
      </c>
      <c r="N4654" s="12" t="n">
        <v>98.44</v>
      </c>
      <c r="O4654" s="12" t="n">
        <v>8.232445520581114</v>
      </c>
    </row>
    <row r="4655" hidden="1">
      <c r="A4655" s="11" t="n">
        <v>46170</v>
      </c>
      <c r="B4655" t="inlineStr">
        <is>
          <t>Maysa Victoria Dias Moura</t>
        </is>
      </c>
      <c r="C4655" t="inlineStr">
        <is>
          <t>Técnico III</t>
        </is>
      </c>
      <c r="D4655" t="n">
        <v>28</v>
      </c>
      <c r="E4655" t="n">
        <v>22</v>
      </c>
      <c r="F4655" t="n">
        <v>16.5</v>
      </c>
      <c r="G4655" t="n">
        <v>9</v>
      </c>
      <c r="H4655" t="n">
        <v>0</v>
      </c>
      <c r="I4655" t="n">
        <v>31</v>
      </c>
      <c r="J4655" t="n">
        <v>27</v>
      </c>
      <c r="K4655" t="n">
        <v>4</v>
      </c>
      <c r="L4655" s="12" t="inlineStr">
        <is>
          <t>BOM</t>
        </is>
      </c>
      <c r="M4655" s="12" t="n">
        <v>22</v>
      </c>
      <c r="N4655" s="12" t="n">
        <v>96.69</v>
      </c>
      <c r="O4655" s="12" t="n">
        <v>24.64358452138493</v>
      </c>
    </row>
    <row r="4656" hidden="1">
      <c r="A4656" s="11" t="n">
        <v>46170</v>
      </c>
      <c r="B4656" t="inlineStr">
        <is>
          <t>Patrícia Karla de Sousa Araújo</t>
        </is>
      </c>
      <c r="C4656" t="inlineStr">
        <is>
          <t>Técnico II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inlineStr">
        <is>
          <t>BOM</t>
        </is>
      </c>
      <c r="M4656" s="12" t="n">
        <v>0</v>
      </c>
      <c r="N4656" s="12" t="n">
        <v>100</v>
      </c>
      <c r="O4656" s="12" t="n">
        <v>21.55963302752294</v>
      </c>
    </row>
    <row r="4657" hidden="1">
      <c r="A4657" s="11" t="n">
        <v>46170</v>
      </c>
      <c r="B4657" t="inlineStr">
        <is>
          <t>Raane Batista Matos</t>
        </is>
      </c>
      <c r="C4657" t="inlineStr">
        <is>
          <t>Técnico I</t>
        </is>
      </c>
      <c r="D4657" t="n">
        <v>24</v>
      </c>
      <c r="E4657" t="n">
        <v>23</v>
      </c>
      <c r="F4657" t="n">
        <v>23.35</v>
      </c>
      <c r="G4657" t="n">
        <v>3</v>
      </c>
      <c r="H4657" t="n">
        <v>0</v>
      </c>
      <c r="I4657" t="n">
        <v>26</v>
      </c>
      <c r="J4657" t="n">
        <v>18</v>
      </c>
      <c r="K4657" t="n">
        <v>8</v>
      </c>
      <c r="L4657" s="12" t="inlineStr">
        <is>
          <t>EXCELENTE</t>
        </is>
      </c>
      <c r="M4657" s="12" t="n">
        <v>18</v>
      </c>
      <c r="N4657" s="12" t="n">
        <v>98.29000000000001</v>
      </c>
      <c r="O4657" s="12" t="n">
        <v>23.22274881516588</v>
      </c>
    </row>
    <row r="4658" hidden="1">
      <c r="A4658" s="11" t="n">
        <v>46170</v>
      </c>
      <c r="B4658" t="inlineStr">
        <is>
          <t>Rafael Gomes de Morais</t>
        </is>
      </c>
      <c r="C4658" t="inlineStr">
        <is>
          <t>Técnico III</t>
        </is>
      </c>
      <c r="D4658" t="n">
        <v>47</v>
      </c>
      <c r="E4658" t="n">
        <v>41</v>
      </c>
      <c r="F4658" t="n">
        <v>8.25</v>
      </c>
      <c r="G4658" t="n">
        <v>0</v>
      </c>
      <c r="H4658" t="n">
        <v>0</v>
      </c>
      <c r="I4658" t="n">
        <v>41</v>
      </c>
      <c r="J4658" t="n">
        <v>27</v>
      </c>
      <c r="K4658" t="n">
        <v>14</v>
      </c>
      <c r="L4658" s="12" t="inlineStr">
        <is>
          <t>EXCELENTE</t>
        </is>
      </c>
      <c r="M4658" s="12" t="n">
        <v>36</v>
      </c>
      <c r="N4658" s="12" t="n">
        <v>99.44</v>
      </c>
      <c r="O4658" s="12" t="n">
        <v>26.84684684684684</v>
      </c>
    </row>
    <row r="4659" hidden="1">
      <c r="A4659" s="11" t="n">
        <v>46170</v>
      </c>
      <c r="B4659" t="inlineStr">
        <is>
          <t>Sara Maria Monteiro Lopes</t>
        </is>
      </c>
      <c r="C4659" t="inlineStr">
        <is>
          <t>Técnico I</t>
        </is>
      </c>
      <c r="D4659" t="n">
        <v>19</v>
      </c>
      <c r="E4659" t="n">
        <v>19</v>
      </c>
      <c r="F4659" t="n">
        <v>24.14</v>
      </c>
      <c r="G4659" t="n">
        <v>3</v>
      </c>
      <c r="H4659" t="n">
        <v>0</v>
      </c>
      <c r="I4659" t="n">
        <v>22</v>
      </c>
      <c r="J4659" t="n">
        <v>18</v>
      </c>
      <c r="K4659" t="n">
        <v>4</v>
      </c>
      <c r="L4659" s="12" t="inlineStr">
        <is>
          <t>BOM</t>
        </is>
      </c>
      <c r="M4659" s="12" t="n">
        <v>16</v>
      </c>
      <c r="N4659" s="12" t="n">
        <v>100</v>
      </c>
      <c r="O4659" s="12" t="n">
        <v>19.35483870967742</v>
      </c>
    </row>
    <row r="4660" hidden="1">
      <c r="A4660" s="11" t="n">
        <v>46170</v>
      </c>
      <c r="B4660" t="inlineStr">
        <is>
          <t>Sarah Steffanie de Lima Borges</t>
        </is>
      </c>
      <c r="C4660" t="inlineStr">
        <is>
          <t>Técnico III</t>
        </is>
      </c>
      <c r="D4660" t="n">
        <v>22</v>
      </c>
      <c r="E4660" t="n">
        <v>21</v>
      </c>
      <c r="F4660" t="n">
        <v>19.16</v>
      </c>
      <c r="G4660" t="n">
        <v>0</v>
      </c>
      <c r="H4660" t="n">
        <v>0</v>
      </c>
      <c r="I4660" t="n">
        <v>21</v>
      </c>
      <c r="J4660" t="n">
        <v>27</v>
      </c>
      <c r="K4660" t="n">
        <v>-6</v>
      </c>
      <c r="L4660" s="12" t="inlineStr">
        <is>
          <t>CRÍTICO</t>
        </is>
      </c>
      <c r="M4660" s="12" t="n">
        <v>18</v>
      </c>
      <c r="N4660" s="12" t="n">
        <v>97.25</v>
      </c>
      <c r="O4660" s="12" t="n">
        <v>21.33995037220843</v>
      </c>
    </row>
    <row r="4661">
      <c r="A4661" s="17" t="n">
        <v>46171</v>
      </c>
      <c r="B4661" t="inlineStr">
        <is>
          <t>Claudio de Sousa Velasco Filho</t>
        </is>
      </c>
      <c r="C4661" t="inlineStr">
        <is>
          <t>Estágio</t>
        </is>
      </c>
      <c r="D4661" t="n">
        <v>13</v>
      </c>
      <c r="E4661" t="n">
        <v>11</v>
      </c>
      <c r="F4661" t="n">
        <v>15.34</v>
      </c>
      <c r="G4661" t="n">
        <v>0</v>
      </c>
      <c r="I4661" t="n">
        <v>11</v>
      </c>
      <c r="J4661" t="n">
        <v>8</v>
      </c>
      <c r="K4661" t="n">
        <v>3</v>
      </c>
      <c r="L4661" t="inlineStr">
        <is>
          <t>BOM</t>
        </is>
      </c>
      <c r="M4661" t="n">
        <v>3</v>
      </c>
      <c r="N4661" t="n">
        <v>97.37</v>
      </c>
      <c r="O4661" t="n">
        <v>22.83464566929134</v>
      </c>
    </row>
    <row r="4662">
      <c r="A4662" s="17" t="n">
        <v>46171</v>
      </c>
      <c r="B4662" t="inlineStr">
        <is>
          <t>Emilly Caylane Costa</t>
        </is>
      </c>
      <c r="C4662" t="inlineStr">
        <is>
          <t>Estágio</t>
        </is>
      </c>
      <c r="D4662" t="n">
        <v>6</v>
      </c>
      <c r="E4662" t="n">
        <v>6</v>
      </c>
      <c r="F4662" t="n">
        <v>49.01</v>
      </c>
      <c r="G4662" t="n">
        <v>0</v>
      </c>
      <c r="I4662" t="n">
        <v>6</v>
      </c>
      <c r="J4662" t="n">
        <v>8</v>
      </c>
      <c r="K4662" t="n">
        <v>-2</v>
      </c>
      <c r="L4662" t="inlineStr">
        <is>
          <t>ATENÇÃO</t>
        </is>
      </c>
      <c r="M4662" t="n">
        <v>1</v>
      </c>
      <c r="N4662" t="n">
        <v>100</v>
      </c>
      <c r="O4662" t="n">
        <v>32.69230769230769</v>
      </c>
    </row>
    <row r="4663">
      <c r="A4663" s="17" t="n">
        <v>46171</v>
      </c>
      <c r="B4663" t="inlineStr">
        <is>
          <t>Maria Eduarda Sousa Costa</t>
        </is>
      </c>
      <c r="C4663" t="inlineStr">
        <is>
          <t>Estágio</t>
        </is>
      </c>
      <c r="D4663" t="n">
        <v>24</v>
      </c>
      <c r="E4663" t="n">
        <v>23</v>
      </c>
      <c r="F4663" t="n">
        <v>24.08</v>
      </c>
      <c r="G4663" t="n">
        <v>0</v>
      </c>
      <c r="I4663" t="n">
        <v>23</v>
      </c>
      <c r="J4663" t="n">
        <v>8</v>
      </c>
      <c r="K4663" t="n">
        <v>15</v>
      </c>
      <c r="L4663" t="inlineStr">
        <is>
          <t>EXCELENTE</t>
        </is>
      </c>
      <c r="M4663" t="n">
        <v>1</v>
      </c>
      <c r="N4663" t="n">
        <v>96.3</v>
      </c>
      <c r="O4663" t="n">
        <v>18.25396825396825</v>
      </c>
    </row>
    <row r="4664">
      <c r="A4664" s="17" t="n">
        <v>46171</v>
      </c>
      <c r="B4664" t="inlineStr">
        <is>
          <t>Michelle G Santos</t>
        </is>
      </c>
      <c r="C4664" t="inlineStr">
        <is>
          <t>Estágio</t>
        </is>
      </c>
      <c r="D4664" t="n">
        <v>9</v>
      </c>
      <c r="E4664" t="n">
        <v>7</v>
      </c>
      <c r="F4664" t="n">
        <v>20.45</v>
      </c>
      <c r="G4664" t="n">
        <v>0</v>
      </c>
      <c r="I4664" t="n">
        <v>7</v>
      </c>
      <c r="J4664" t="n">
        <v>8</v>
      </c>
      <c r="K4664" t="n">
        <v>-1</v>
      </c>
      <c r="L4664" t="inlineStr">
        <is>
          <t>ATENÇÃO</t>
        </is>
      </c>
      <c r="M4664" t="n">
        <v>0</v>
      </c>
      <c r="N4664" t="n">
        <v>100</v>
      </c>
      <c r="O4664" t="n">
        <v>16.10738255033557</v>
      </c>
    </row>
    <row r="4665">
      <c r="A4665" s="17" t="n">
        <v>46171</v>
      </c>
      <c r="B4665" t="inlineStr">
        <is>
          <t>Quirino Diogo Leite Torres</t>
        </is>
      </c>
      <c r="C4665" t="inlineStr">
        <is>
          <t>Estágio</t>
        </is>
      </c>
      <c r="D4665" t="n">
        <v>15</v>
      </c>
      <c r="E4665" t="n">
        <v>15</v>
      </c>
      <c r="F4665" t="n">
        <v>32.12</v>
      </c>
      <c r="G4665" t="n">
        <v>0</v>
      </c>
      <c r="I4665" t="n">
        <v>15</v>
      </c>
      <c r="J4665" t="n">
        <v>8</v>
      </c>
      <c r="K4665" t="n">
        <v>7</v>
      </c>
      <c r="L4665" t="inlineStr">
        <is>
          <t>EXCELENTE</t>
        </is>
      </c>
      <c r="M4665" t="n">
        <v>3</v>
      </c>
      <c r="N4665" t="n">
        <v>97.26000000000001</v>
      </c>
      <c r="O4665" t="n">
        <v>24.19354838709678</v>
      </c>
    </row>
    <row r="4666">
      <c r="A4666" s="17" t="n">
        <v>46171</v>
      </c>
      <c r="B4666" t="inlineStr">
        <is>
          <t>Gabriel Alves</t>
        </is>
      </c>
      <c r="C4666" t="inlineStr">
        <is>
          <t>Estágio</t>
        </is>
      </c>
      <c r="D4666" t="n">
        <v>8</v>
      </c>
      <c r="E4666" t="n">
        <v>8</v>
      </c>
      <c r="F4666" t="n">
        <v>49.11</v>
      </c>
      <c r="G4666" t="n">
        <v>0</v>
      </c>
      <c r="I4666" t="n">
        <v>8</v>
      </c>
      <c r="J4666" t="n">
        <v>8</v>
      </c>
      <c r="K4666" t="n">
        <v>0</v>
      </c>
      <c r="L4666" t="inlineStr">
        <is>
          <t>BOM</t>
        </is>
      </c>
      <c r="M4666" t="n">
        <v>0</v>
      </c>
      <c r="N4666" t="n">
        <v>100</v>
      </c>
      <c r="O4666" t="n">
        <v>26.66666666666667</v>
      </c>
    </row>
    <row r="4667">
      <c r="A4667" s="17" t="n">
        <v>46171</v>
      </c>
      <c r="B4667" t="inlineStr">
        <is>
          <t>Anna Luiza Rezende Tavares</t>
        </is>
      </c>
      <c r="C4667" t="inlineStr">
        <is>
          <t>JR</t>
        </is>
      </c>
      <c r="D4667" t="n">
        <v>25</v>
      </c>
      <c r="E4667" t="n">
        <v>24</v>
      </c>
      <c r="F4667" t="n">
        <v>18.41</v>
      </c>
      <c r="G4667" t="n">
        <v>0</v>
      </c>
      <c r="I4667" t="n">
        <v>24</v>
      </c>
      <c r="J4667" t="n">
        <v>16</v>
      </c>
      <c r="K4667" t="n">
        <v>8</v>
      </c>
      <c r="L4667" t="inlineStr">
        <is>
          <t>EXCELENTE</t>
        </is>
      </c>
      <c r="M4667" t="n">
        <v>1</v>
      </c>
      <c r="N4667" t="n">
        <v>99.34999999999999</v>
      </c>
      <c r="O4667" t="n">
        <v>22.13279678068411</v>
      </c>
    </row>
    <row r="4668">
      <c r="A4668" s="17" t="n">
        <v>46171</v>
      </c>
      <c r="B4668" t="inlineStr">
        <is>
          <t>Karina Gonçalves Martins</t>
        </is>
      </c>
      <c r="C4668" t="inlineStr">
        <is>
          <t>JR</t>
        </is>
      </c>
      <c r="D4668" t="n">
        <v>1</v>
      </c>
      <c r="E4668" t="n">
        <v>1</v>
      </c>
      <c r="F4668" t="n">
        <v>62.07</v>
      </c>
      <c r="G4668" t="n">
        <v>0</v>
      </c>
      <c r="I4668" t="n">
        <v>1</v>
      </c>
      <c r="J4668" t="n">
        <v>16</v>
      </c>
      <c r="K4668" t="n">
        <v>-15</v>
      </c>
      <c r="L4668" t="inlineStr">
        <is>
          <t>CRÍTICO</t>
        </is>
      </c>
      <c r="M4668" t="n">
        <v>0</v>
      </c>
      <c r="N4668" t="n">
        <v>97.87</v>
      </c>
      <c r="O4668" t="n">
        <v>19.00826446280992</v>
      </c>
    </row>
    <row r="4669">
      <c r="A4669" s="17" t="n">
        <v>46171</v>
      </c>
      <c r="B4669" t="inlineStr">
        <is>
          <t>Leandro de Souza Silva</t>
        </is>
      </c>
      <c r="C4669" t="inlineStr">
        <is>
          <t>JR</t>
        </is>
      </c>
      <c r="D4669" t="n">
        <v>0</v>
      </c>
      <c r="E4669" t="n">
        <v>0</v>
      </c>
      <c r="F4669" t="n">
        <v>0</v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t="inlineStr">
        <is>
          <t>BOM</t>
        </is>
      </c>
      <c r="M4669" t="n">
        <v>0</v>
      </c>
      <c r="N4669" t="n">
        <v>100</v>
      </c>
      <c r="O4669" t="n">
        <v>22.5</v>
      </c>
    </row>
    <row r="4670">
      <c r="A4670" s="17" t="n">
        <v>46171</v>
      </c>
      <c r="B4670" t="inlineStr">
        <is>
          <t>Milena Sales</t>
        </is>
      </c>
      <c r="C4670" t="inlineStr">
        <is>
          <t>JR</t>
        </is>
      </c>
      <c r="D4670" t="n">
        <v>38</v>
      </c>
      <c r="E4670" t="n">
        <v>22</v>
      </c>
      <c r="F4670" t="n">
        <v>10.35</v>
      </c>
      <c r="G4670" t="n">
        <v>0</v>
      </c>
      <c r="I4670" t="n">
        <v>22</v>
      </c>
      <c r="J4670" t="n">
        <v>16</v>
      </c>
      <c r="K4670" t="n">
        <v>6</v>
      </c>
      <c r="L4670" t="inlineStr">
        <is>
          <t>EXCELENTE</t>
        </is>
      </c>
      <c r="M4670" t="n">
        <v>1</v>
      </c>
      <c r="N4670" t="n">
        <v>97.47</v>
      </c>
      <c r="O4670" t="n">
        <v>23.72262773722628</v>
      </c>
    </row>
    <row r="4671">
      <c r="A4671" s="17" t="n">
        <v>46171</v>
      </c>
      <c r="B4671" t="inlineStr">
        <is>
          <t>Paulo Ricardo Santos</t>
        </is>
      </c>
      <c r="C4671" t="inlineStr">
        <is>
          <t>JR</t>
        </is>
      </c>
      <c r="D4671" t="n">
        <v>15</v>
      </c>
      <c r="E4671" t="n">
        <v>15</v>
      </c>
      <c r="F4671" t="n">
        <v>17.02</v>
      </c>
      <c r="G4671" t="n">
        <v>0</v>
      </c>
      <c r="I4671" t="n">
        <v>15</v>
      </c>
      <c r="J4671" t="n">
        <v>16</v>
      </c>
      <c r="K4671" t="n">
        <v>-1</v>
      </c>
      <c r="L4671" t="inlineStr">
        <is>
          <t>ATENÇÃO</t>
        </is>
      </c>
      <c r="M4671" t="n">
        <v>0</v>
      </c>
      <c r="N4671" t="n">
        <v>100</v>
      </c>
      <c r="O4671" t="n">
        <v>20.07575757575757</v>
      </c>
    </row>
    <row r="4672">
      <c r="A4672" s="17" t="n">
        <v>46171</v>
      </c>
      <c r="B4672" t="inlineStr">
        <is>
          <t>Pedro Luiz Mota Sousa</t>
        </is>
      </c>
      <c r="C4672" t="inlineStr">
        <is>
          <t>JR</t>
        </is>
      </c>
      <c r="D4672" t="n">
        <v>18</v>
      </c>
      <c r="E4672" t="n">
        <v>17</v>
      </c>
      <c r="F4672" t="n">
        <v>22</v>
      </c>
      <c r="G4672" t="n">
        <v>0</v>
      </c>
      <c r="I4672" t="n">
        <v>17</v>
      </c>
      <c r="J4672" t="n">
        <v>16</v>
      </c>
      <c r="K4672" t="n">
        <v>1</v>
      </c>
      <c r="L4672" t="inlineStr">
        <is>
          <t>BOM</t>
        </is>
      </c>
      <c r="M4672" t="n">
        <v>3</v>
      </c>
      <c r="N4672" t="n">
        <v>100</v>
      </c>
      <c r="O4672" t="n">
        <v>19.04761904761905</v>
      </c>
    </row>
    <row r="4673">
      <c r="A4673" s="17" t="n">
        <v>46171</v>
      </c>
      <c r="B4673" t="inlineStr">
        <is>
          <t>Alisson de Freitas Silva</t>
        </is>
      </c>
      <c r="C4673" t="inlineStr">
        <is>
          <t>Técnico II</t>
        </is>
      </c>
      <c r="D4673" t="n">
        <v>29</v>
      </c>
      <c r="E4673" t="n">
        <v>15</v>
      </c>
      <c r="F4673" t="n">
        <v>10</v>
      </c>
      <c r="G4673" t="n">
        <v>0</v>
      </c>
      <c r="I4673" t="n">
        <v>15</v>
      </c>
      <c r="J4673" t="n">
        <v>22</v>
      </c>
      <c r="K4673" t="n">
        <v>-7</v>
      </c>
      <c r="L4673" t="inlineStr">
        <is>
          <t>CRÍTICO</t>
        </is>
      </c>
      <c r="M4673" t="n">
        <v>0</v>
      </c>
      <c r="N4673" t="n">
        <v>99.23999999999999</v>
      </c>
      <c r="O4673" t="n">
        <v>24.42159383033419</v>
      </c>
    </row>
    <row r="4674">
      <c r="A4674" s="17" t="n">
        <v>46171</v>
      </c>
      <c r="B4674" t="inlineStr">
        <is>
          <t>Amanda Moura Ferreira</t>
        </is>
      </c>
      <c r="C4674" t="inlineStr">
        <is>
          <t>Técnico III</t>
        </is>
      </c>
      <c r="D4674" t="n">
        <v>0</v>
      </c>
      <c r="E4674" t="n">
        <v>0</v>
      </c>
      <c r="F4674" t="n">
        <v>0</v>
      </c>
      <c r="G4674" t="n">
        <v>0</v>
      </c>
      <c r="H4674" t="n">
        <v>0</v>
      </c>
      <c r="I4674" t="n">
        <v>0</v>
      </c>
      <c r="J4674" t="n">
        <v>0</v>
      </c>
      <c r="K4674" t="n">
        <v>0</v>
      </c>
      <c r="L4674" t="inlineStr">
        <is>
          <t>BOM</t>
        </is>
      </c>
      <c r="M4674" t="n">
        <v>0</v>
      </c>
      <c r="N4674" t="n">
        <v>100</v>
      </c>
      <c r="O4674" t="n">
        <v>0</v>
      </c>
    </row>
    <row r="4675">
      <c r="A4675" s="17" t="n">
        <v>46171</v>
      </c>
      <c r="B4675" t="inlineStr">
        <is>
          <t>Ana Karollyne Souza Faria</t>
        </is>
      </c>
      <c r="C4675" t="inlineStr">
        <is>
          <t>Técnico I</t>
        </is>
      </c>
      <c r="D4675" t="n">
        <v>46</v>
      </c>
      <c r="E4675" t="n">
        <v>44</v>
      </c>
      <c r="F4675" t="n">
        <v>11.45</v>
      </c>
      <c r="G4675" t="n">
        <v>3</v>
      </c>
      <c r="I4675" t="n">
        <v>47</v>
      </c>
      <c r="J4675" t="n">
        <v>18</v>
      </c>
      <c r="K4675" t="n">
        <v>29</v>
      </c>
      <c r="L4675" t="inlineStr">
        <is>
          <t>EXCELENTE</t>
        </is>
      </c>
      <c r="M4675" t="n">
        <v>9</v>
      </c>
      <c r="N4675" t="n">
        <v>96.61</v>
      </c>
      <c r="O4675" t="n">
        <v>25.89792060491493</v>
      </c>
    </row>
    <row r="4676">
      <c r="A4676" s="17" t="n">
        <v>46171</v>
      </c>
      <c r="B4676" t="inlineStr">
        <is>
          <t>Ana Paula Da Luz Silva Aleixo</t>
        </is>
      </c>
      <c r="C4676" t="inlineStr">
        <is>
          <t>Técnico III</t>
        </is>
      </c>
      <c r="D4676" t="n">
        <v>31</v>
      </c>
      <c r="E4676" t="n">
        <v>27</v>
      </c>
      <c r="F4676" t="n">
        <v>15.07</v>
      </c>
      <c r="G4676" t="n">
        <v>0</v>
      </c>
      <c r="I4676" t="n">
        <v>27</v>
      </c>
      <c r="J4676" t="n">
        <v>28</v>
      </c>
      <c r="K4676" t="n">
        <v>-1</v>
      </c>
      <c r="L4676" t="inlineStr">
        <is>
          <t>ATENÇÃO</t>
        </is>
      </c>
      <c r="M4676" t="n">
        <v>6</v>
      </c>
      <c r="N4676" t="n">
        <v>97.25</v>
      </c>
      <c r="O4676" t="n">
        <v>19.9017199017199</v>
      </c>
    </row>
    <row r="4677">
      <c r="A4677" s="17" t="n">
        <v>46171</v>
      </c>
      <c r="B4677" t="inlineStr">
        <is>
          <t>Brenda de Menezes Silva</t>
        </is>
      </c>
      <c r="C4677" t="inlineStr">
        <is>
          <t>Técnico II</t>
        </is>
      </c>
      <c r="D4677" t="n">
        <v>33</v>
      </c>
      <c r="E4677" t="n">
        <v>28</v>
      </c>
      <c r="F4677" t="n">
        <v>14.03</v>
      </c>
      <c r="G4677" t="n">
        <v>1</v>
      </c>
      <c r="I4677" t="n">
        <v>29</v>
      </c>
      <c r="J4677" t="n">
        <v>22</v>
      </c>
      <c r="K4677" t="n">
        <v>7</v>
      </c>
      <c r="L4677" t="inlineStr">
        <is>
          <t>EXCELENTE</t>
        </is>
      </c>
      <c r="M4677" t="n">
        <v>5</v>
      </c>
      <c r="N4677" t="n">
        <v>99.43000000000001</v>
      </c>
      <c r="O4677" t="n">
        <v>21.51067323481116</v>
      </c>
    </row>
    <row r="4678">
      <c r="A4678" s="17" t="n">
        <v>46171</v>
      </c>
      <c r="B4678" t="inlineStr">
        <is>
          <t>Carlos Mateus Cassimiro Nunes</t>
        </is>
      </c>
      <c r="C4678" t="inlineStr">
        <is>
          <t>Técnico II</t>
        </is>
      </c>
      <c r="D4678" t="n">
        <v>29</v>
      </c>
      <c r="E4678" t="n">
        <v>28</v>
      </c>
      <c r="F4678" t="n">
        <v>17.07</v>
      </c>
      <c r="G4678" t="n">
        <v>0</v>
      </c>
      <c r="I4678" t="n">
        <v>28</v>
      </c>
      <c r="J4678" t="n">
        <v>22</v>
      </c>
      <c r="K4678" t="n">
        <v>6</v>
      </c>
      <c r="L4678" t="inlineStr">
        <is>
          <t>EXCELENTE</t>
        </is>
      </c>
      <c r="M4678" t="n">
        <v>6</v>
      </c>
      <c r="N4678" t="n">
        <v>98.40000000000001</v>
      </c>
      <c r="O4678" t="n">
        <v>21.41327623126339</v>
      </c>
    </row>
    <row r="4679">
      <c r="A4679" s="17" t="n">
        <v>46171</v>
      </c>
      <c r="B4679" t="inlineStr">
        <is>
          <t>Clessiane Pereira dos Santos</t>
        </is>
      </c>
      <c r="C4679" t="inlineStr">
        <is>
          <t>Técnico I</t>
        </is>
      </c>
      <c r="D4679" t="n">
        <v>16</v>
      </c>
      <c r="E4679" t="n">
        <v>16</v>
      </c>
      <c r="F4679" t="n">
        <v>18.41</v>
      </c>
      <c r="G4679" t="n">
        <v>0</v>
      </c>
      <c r="I4679" t="n">
        <v>16</v>
      </c>
      <c r="J4679" t="n">
        <v>18</v>
      </c>
      <c r="K4679" t="n">
        <v>-2</v>
      </c>
      <c r="L4679" t="inlineStr">
        <is>
          <t>ATENÇÃO</t>
        </is>
      </c>
      <c r="M4679" t="n">
        <v>4</v>
      </c>
      <c r="N4679" t="n">
        <v>97.09999999999999</v>
      </c>
      <c r="O4679" t="n">
        <v>24.94061757719715</v>
      </c>
    </row>
    <row r="4680">
      <c r="A4680" s="17" t="n">
        <v>46171</v>
      </c>
      <c r="B4680" t="inlineStr">
        <is>
          <t>Cristiane Ramos da Silva Rocha</t>
        </is>
      </c>
      <c r="C4680" t="inlineStr">
        <is>
          <t>Técnico III</t>
        </is>
      </c>
      <c r="D4680" t="n">
        <v>34</v>
      </c>
      <c r="E4680" t="n">
        <v>28</v>
      </c>
      <c r="F4680" t="n">
        <v>11.48</v>
      </c>
      <c r="G4680" t="n">
        <v>0</v>
      </c>
      <c r="I4680" t="n">
        <v>28</v>
      </c>
      <c r="J4680" t="n">
        <v>28</v>
      </c>
      <c r="K4680" t="n">
        <v>0</v>
      </c>
      <c r="L4680" t="inlineStr">
        <is>
          <t>BOM</t>
        </is>
      </c>
      <c r="M4680" t="n">
        <v>1</v>
      </c>
      <c r="N4680" t="n">
        <v>92.97</v>
      </c>
      <c r="O4680" t="n">
        <v>26.40776699029126</v>
      </c>
    </row>
    <row r="4681">
      <c r="A4681" s="17" t="n">
        <v>46171</v>
      </c>
      <c r="B4681" t="inlineStr">
        <is>
          <t>Damyllis Lorraine de Oliveira Gonçalves</t>
        </is>
      </c>
      <c r="C4681" t="inlineStr">
        <is>
          <t>Técnico II</t>
        </is>
      </c>
      <c r="D4681" t="n">
        <v>0</v>
      </c>
      <c r="E4681" t="n">
        <v>0</v>
      </c>
      <c r="F4681" t="n">
        <v>0</v>
      </c>
      <c r="G4681" t="n">
        <v>0</v>
      </c>
      <c r="H4681" t="n">
        <v>0</v>
      </c>
      <c r="I4681" t="n">
        <v>0</v>
      </c>
      <c r="J4681" t="n">
        <v>0</v>
      </c>
      <c r="K4681" t="n">
        <v>0</v>
      </c>
      <c r="L4681" t="inlineStr">
        <is>
          <t>BOM</t>
        </is>
      </c>
      <c r="M4681" t="n">
        <v>0</v>
      </c>
      <c r="N4681" t="n">
        <v>98.91</v>
      </c>
      <c r="O4681" t="n">
        <v>25.89285714285715</v>
      </c>
    </row>
    <row r="4682">
      <c r="A4682" s="17" t="n">
        <v>46171</v>
      </c>
      <c r="B4682" t="inlineStr">
        <is>
          <t>Daniel Gomes da Silva</t>
        </is>
      </c>
      <c r="C4682" t="inlineStr">
        <is>
          <t>Técnico I</t>
        </is>
      </c>
      <c r="D4682" t="n">
        <v>21</v>
      </c>
      <c r="E4682" t="n">
        <v>19</v>
      </c>
      <c r="F4682" t="n">
        <v>16.45</v>
      </c>
      <c r="G4682" t="n">
        <v>0</v>
      </c>
      <c r="I4682" t="n">
        <v>19</v>
      </c>
      <c r="J4682" t="n">
        <v>18</v>
      </c>
      <c r="K4682" t="n">
        <v>1</v>
      </c>
      <c r="L4682" t="inlineStr">
        <is>
          <t>BOM</t>
        </is>
      </c>
      <c r="M4682" t="n">
        <v>2</v>
      </c>
      <c r="N4682" t="n">
        <v>100</v>
      </c>
      <c r="O4682" t="n">
        <v>21.76656151419558</v>
      </c>
    </row>
    <row r="4683">
      <c r="A4683" s="17" t="n">
        <v>46171</v>
      </c>
      <c r="B4683" t="inlineStr">
        <is>
          <t>Davylla Rodrigues Freitas Silva</t>
        </is>
      </c>
      <c r="C4683" t="inlineStr">
        <is>
          <t>Técnico III</t>
        </is>
      </c>
      <c r="D4683" t="n">
        <v>0</v>
      </c>
      <c r="E4683" t="n">
        <v>0</v>
      </c>
      <c r="F4683" t="n">
        <v>0</v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inlineStr">
        <is>
          <t>BOM</t>
        </is>
      </c>
      <c r="M4683" t="n">
        <v>0</v>
      </c>
      <c r="N4683" t="n">
        <v>99.23</v>
      </c>
      <c r="O4683" t="n">
        <v>30.73929961089494</v>
      </c>
    </row>
    <row r="4684">
      <c r="A4684" s="17" t="n">
        <v>46171</v>
      </c>
      <c r="B4684" t="inlineStr">
        <is>
          <t>Emilly Kamilly Medeiros Miranda</t>
        </is>
      </c>
      <c r="C4684" t="inlineStr">
        <is>
          <t>Técnico II</t>
        </is>
      </c>
      <c r="D4684" t="n">
        <v>28</v>
      </c>
      <c r="E4684" t="n">
        <v>26</v>
      </c>
      <c r="F4684" t="n">
        <v>15.39</v>
      </c>
      <c r="G4684" t="n">
        <v>0</v>
      </c>
      <c r="I4684" t="n">
        <v>26</v>
      </c>
      <c r="J4684" t="n">
        <v>22</v>
      </c>
      <c r="K4684" t="n">
        <v>4</v>
      </c>
      <c r="L4684" t="inlineStr">
        <is>
          <t>BOM</t>
        </is>
      </c>
      <c r="M4684" t="n">
        <v>2</v>
      </c>
      <c r="N4684" t="n">
        <v>99.16</v>
      </c>
      <c r="O4684" t="n">
        <v>18.8470066518847</v>
      </c>
    </row>
    <row r="4685">
      <c r="A4685" s="17" t="n">
        <v>46171</v>
      </c>
      <c r="B4685" t="inlineStr">
        <is>
          <t>Francielson de Oliveira</t>
        </is>
      </c>
      <c r="C4685" t="inlineStr">
        <is>
          <t>Técnico III</t>
        </is>
      </c>
      <c r="D4685" t="n">
        <v>30</v>
      </c>
      <c r="E4685" t="n">
        <v>30</v>
      </c>
      <c r="F4685" t="n">
        <v>15.24</v>
      </c>
      <c r="G4685" t="n">
        <v>0</v>
      </c>
      <c r="I4685" t="n">
        <v>30</v>
      </c>
      <c r="J4685" t="n">
        <v>28</v>
      </c>
      <c r="K4685" t="n">
        <v>2</v>
      </c>
      <c r="L4685" t="inlineStr">
        <is>
          <t>BOM</t>
        </is>
      </c>
      <c r="M4685" t="n">
        <v>3</v>
      </c>
      <c r="N4685" t="n">
        <v>100</v>
      </c>
      <c r="O4685" t="n">
        <v>10.56338028169014</v>
      </c>
    </row>
    <row r="4686">
      <c r="A4686" s="17" t="n">
        <v>46171</v>
      </c>
      <c r="B4686" t="inlineStr">
        <is>
          <t>Francilene Ferreira de Jesus</t>
        </is>
      </c>
      <c r="C4686" t="inlineStr">
        <is>
          <t>Técnico II</t>
        </is>
      </c>
      <c r="D4686" t="n">
        <v>0</v>
      </c>
      <c r="E4686" t="n">
        <v>0</v>
      </c>
      <c r="F4686" t="n">
        <v>0</v>
      </c>
      <c r="G4686" t="n">
        <v>0</v>
      </c>
      <c r="H4686" t="n">
        <v>0</v>
      </c>
      <c r="I4686" t="n">
        <v>0</v>
      </c>
      <c r="J4686" t="n">
        <v>0</v>
      </c>
      <c r="K4686" t="n">
        <v>0</v>
      </c>
      <c r="L4686" t="inlineStr">
        <is>
          <t>BOM</t>
        </is>
      </c>
      <c r="M4686" t="n">
        <v>0</v>
      </c>
      <c r="N4686" t="n">
        <v>100</v>
      </c>
      <c r="O4686" t="n">
        <v>17.24137931034483</v>
      </c>
    </row>
    <row r="4687">
      <c r="A4687" s="17" t="n">
        <v>46171</v>
      </c>
      <c r="B4687" t="inlineStr">
        <is>
          <t>Gabriel Gomes de Andrade</t>
        </is>
      </c>
      <c r="C4687" t="inlineStr">
        <is>
          <t>Técnico I</t>
        </is>
      </c>
      <c r="D4687" t="n">
        <v>19</v>
      </c>
      <c r="E4687" t="n">
        <v>16</v>
      </c>
      <c r="F4687" t="n">
        <v>17.22</v>
      </c>
      <c r="G4687" t="n">
        <v>0</v>
      </c>
      <c r="I4687" t="n">
        <v>16</v>
      </c>
      <c r="J4687" t="n">
        <v>18</v>
      </c>
      <c r="K4687" t="n">
        <v>-2</v>
      </c>
      <c r="L4687" t="inlineStr">
        <is>
          <t>ATENÇÃO</t>
        </is>
      </c>
      <c r="M4687" t="n">
        <v>3</v>
      </c>
      <c r="N4687" t="n">
        <v>99.19</v>
      </c>
      <c r="O4687" t="n">
        <v>22.25433526011561</v>
      </c>
    </row>
    <row r="4688">
      <c r="A4688" s="17" t="n">
        <v>46171</v>
      </c>
      <c r="B4688" t="inlineStr">
        <is>
          <t>Isabella Borges de Oliveira</t>
        </is>
      </c>
      <c r="C4688" t="inlineStr">
        <is>
          <t>Técnico II</t>
        </is>
      </c>
      <c r="D4688" t="n">
        <v>27</v>
      </c>
      <c r="E4688" t="n">
        <v>26</v>
      </c>
      <c r="F4688" t="n">
        <v>24.11</v>
      </c>
      <c r="G4688" t="n">
        <v>0</v>
      </c>
      <c r="I4688" t="n">
        <v>26</v>
      </c>
      <c r="J4688" t="n">
        <v>22</v>
      </c>
      <c r="K4688" t="n">
        <v>4</v>
      </c>
      <c r="L4688" t="inlineStr">
        <is>
          <t>BOM</t>
        </is>
      </c>
      <c r="M4688" t="n">
        <v>4</v>
      </c>
      <c r="N4688" t="n">
        <v>99.13</v>
      </c>
      <c r="O4688" t="n">
        <v>20.67307692307692</v>
      </c>
    </row>
    <row r="4689">
      <c r="A4689" s="17" t="n">
        <v>46171</v>
      </c>
      <c r="B4689" t="inlineStr">
        <is>
          <t>Janaina Lima dos Reis Urany</t>
        </is>
      </c>
      <c r="C4689" t="inlineStr">
        <is>
          <t>Técnico III</t>
        </is>
      </c>
      <c r="D4689" t="n">
        <v>48</v>
      </c>
      <c r="E4689" t="n">
        <v>40</v>
      </c>
      <c r="F4689" t="n">
        <v>10.51</v>
      </c>
      <c r="G4689" t="n">
        <v>2</v>
      </c>
      <c r="I4689" t="n">
        <v>42</v>
      </c>
      <c r="J4689" t="n">
        <v>28</v>
      </c>
      <c r="K4689" t="n">
        <v>14</v>
      </c>
      <c r="L4689" t="inlineStr">
        <is>
          <t>EXCELENTE</t>
        </is>
      </c>
      <c r="M4689" t="n">
        <v>7</v>
      </c>
      <c r="N4689" t="n">
        <v>99.12</v>
      </c>
      <c r="O4689" t="n">
        <v>23.02357836338419</v>
      </c>
    </row>
    <row r="4690">
      <c r="A4690" s="17" t="n">
        <v>46171</v>
      </c>
      <c r="B4690" t="inlineStr">
        <is>
          <t>Jaqueline Evangelista da Silva Martins</t>
        </is>
      </c>
      <c r="C4690" t="inlineStr">
        <is>
          <t>Técnico III</t>
        </is>
      </c>
      <c r="D4690" t="n">
        <v>27</v>
      </c>
      <c r="E4690" t="n">
        <v>26</v>
      </c>
      <c r="F4690" t="n">
        <v>14.02</v>
      </c>
      <c r="G4690" t="n">
        <v>4</v>
      </c>
      <c r="I4690" t="n">
        <v>30</v>
      </c>
      <c r="J4690" t="n">
        <v>28</v>
      </c>
      <c r="K4690" t="n">
        <v>2</v>
      </c>
      <c r="L4690" t="inlineStr">
        <is>
          <t>BOM</t>
        </is>
      </c>
      <c r="M4690" t="n">
        <v>0</v>
      </c>
      <c r="N4690" t="n">
        <v>97.70999999999999</v>
      </c>
      <c r="O4690" t="n">
        <v>35.85746102449889</v>
      </c>
    </row>
    <row r="4691">
      <c r="A4691" s="17" t="n">
        <v>46171</v>
      </c>
      <c r="B4691" t="inlineStr">
        <is>
          <t>Jessica Faria da Silveira</t>
        </is>
      </c>
      <c r="C4691" t="inlineStr">
        <is>
          <t>Técnico II</t>
        </is>
      </c>
      <c r="D4691" t="n">
        <v>0</v>
      </c>
      <c r="E4691" t="n">
        <v>0</v>
      </c>
      <c r="F4691" t="n">
        <v>0</v>
      </c>
      <c r="G4691" t="n">
        <v>0</v>
      </c>
      <c r="H4691" t="n">
        <v>0</v>
      </c>
      <c r="I4691" t="n">
        <v>0</v>
      </c>
      <c r="J4691" t="n">
        <v>0</v>
      </c>
      <c r="K4691" t="n">
        <v>0</v>
      </c>
      <c r="L4691" t="inlineStr">
        <is>
          <t>BOM</t>
        </is>
      </c>
      <c r="M4691" t="n">
        <v>0</v>
      </c>
      <c r="N4691" t="n">
        <v>99.06</v>
      </c>
      <c r="O4691" t="n">
        <v>23.97820163487738</v>
      </c>
    </row>
    <row r="4692">
      <c r="A4692" s="17" t="n">
        <v>46171</v>
      </c>
      <c r="B4692" t="inlineStr">
        <is>
          <t>Jéssica Fé Moura</t>
        </is>
      </c>
      <c r="C4692" t="inlineStr">
        <is>
          <t>Técnico III</t>
        </is>
      </c>
      <c r="D4692" t="n">
        <v>0</v>
      </c>
      <c r="E4692" t="n">
        <v>0</v>
      </c>
      <c r="F4692" t="n">
        <v>0</v>
      </c>
      <c r="G4692" t="n">
        <v>0</v>
      </c>
      <c r="H4692" t="n">
        <v>0</v>
      </c>
      <c r="I4692" t="n">
        <v>0</v>
      </c>
      <c r="J4692" t="n">
        <v>0</v>
      </c>
      <c r="K4692" t="n">
        <v>0</v>
      </c>
      <c r="L4692" t="inlineStr">
        <is>
          <t>BOM</t>
        </is>
      </c>
      <c r="M4692" t="n">
        <v>0</v>
      </c>
      <c r="N4692" t="n">
        <v>0</v>
      </c>
      <c r="O4692" t="n">
        <v>0</v>
      </c>
    </row>
    <row r="4693">
      <c r="A4693" s="17" t="n">
        <v>46171</v>
      </c>
      <c r="B4693" t="inlineStr">
        <is>
          <t>Kerollen Cristielly de Jesus Siqueira</t>
        </is>
      </c>
      <c r="C4693" t="inlineStr">
        <is>
          <t>Técnico III</t>
        </is>
      </c>
      <c r="D4693" t="n">
        <v>28</v>
      </c>
      <c r="E4693" t="n">
        <v>28</v>
      </c>
      <c r="F4693" t="n">
        <v>19.06</v>
      </c>
      <c r="G4693" t="n">
        <v>0</v>
      </c>
      <c r="I4693" t="n">
        <v>28</v>
      </c>
      <c r="J4693" t="n">
        <v>28</v>
      </c>
      <c r="K4693" t="n">
        <v>0</v>
      </c>
      <c r="L4693" t="inlineStr">
        <is>
          <t>BOM</t>
        </is>
      </c>
      <c r="M4693" t="n">
        <v>2</v>
      </c>
      <c r="N4693" t="n">
        <v>97.27</v>
      </c>
      <c r="O4693" t="n">
        <v>17.59036144578313</v>
      </c>
    </row>
    <row r="4694">
      <c r="A4694" s="17" t="n">
        <v>46171</v>
      </c>
      <c r="B4694" t="inlineStr">
        <is>
          <t>Leandro Oliveira de Sousa</t>
        </is>
      </c>
      <c r="C4694" t="inlineStr">
        <is>
          <t>Técnico III</t>
        </is>
      </c>
      <c r="D4694" t="n">
        <v>28</v>
      </c>
      <c r="E4694" t="n">
        <v>27</v>
      </c>
      <c r="F4694" t="n">
        <v>17.01</v>
      </c>
      <c r="G4694" t="n">
        <v>0</v>
      </c>
      <c r="I4694" t="n">
        <v>27</v>
      </c>
      <c r="J4694" t="n">
        <v>28</v>
      </c>
      <c r="K4694" t="n">
        <v>-1</v>
      </c>
      <c r="L4694" t="inlineStr">
        <is>
          <t>ATENÇÃO</t>
        </is>
      </c>
      <c r="M4694" t="n">
        <v>5</v>
      </c>
      <c r="N4694" t="n">
        <v>100</v>
      </c>
      <c r="O4694" t="n">
        <v>19.34156378600823</v>
      </c>
    </row>
    <row r="4695">
      <c r="A4695" s="17" t="n">
        <v>46171</v>
      </c>
      <c r="B4695" t="inlineStr">
        <is>
          <t>Lizandra Gomes Duarte</t>
        </is>
      </c>
      <c r="C4695" t="inlineStr">
        <is>
          <t>Técnico II</t>
        </is>
      </c>
      <c r="D4695" t="n">
        <v>35</v>
      </c>
      <c r="E4695" t="n">
        <v>30</v>
      </c>
      <c r="F4695" t="n">
        <v>12.19</v>
      </c>
      <c r="G4695" t="n">
        <v>2</v>
      </c>
      <c r="I4695" t="n">
        <v>32</v>
      </c>
      <c r="J4695" t="n">
        <v>22</v>
      </c>
      <c r="K4695" t="n">
        <v>10</v>
      </c>
      <c r="L4695" t="inlineStr">
        <is>
          <t>EXCELENTE</t>
        </is>
      </c>
      <c r="M4695" t="n">
        <v>7</v>
      </c>
      <c r="N4695" t="n">
        <v>99.13</v>
      </c>
      <c r="O4695" t="n">
        <v>23.64532019704433</v>
      </c>
    </row>
    <row r="4696">
      <c r="A4696" s="17" t="n">
        <v>46171</v>
      </c>
      <c r="B4696" t="inlineStr">
        <is>
          <t>Lorena Dias de Araujo</t>
        </is>
      </c>
      <c r="C4696" t="inlineStr">
        <is>
          <t>Técnico II</t>
        </is>
      </c>
      <c r="D4696" t="n">
        <v>28</v>
      </c>
      <c r="E4696" t="n">
        <v>24</v>
      </c>
      <c r="F4696" t="n">
        <v>15.08</v>
      </c>
      <c r="G4696" t="n">
        <v>0</v>
      </c>
      <c r="I4696" t="n">
        <v>24</v>
      </c>
      <c r="J4696" t="n">
        <v>22</v>
      </c>
      <c r="K4696" t="n">
        <v>2</v>
      </c>
      <c r="L4696" t="inlineStr">
        <is>
          <t>BOM</t>
        </is>
      </c>
      <c r="M4696" t="n">
        <v>5</v>
      </c>
      <c r="N4696" t="n">
        <v>100</v>
      </c>
      <c r="O4696" t="n">
        <v>26.66666666666667</v>
      </c>
    </row>
    <row r="4697">
      <c r="A4697" s="17" t="n">
        <v>46171</v>
      </c>
      <c r="B4697" t="inlineStr">
        <is>
          <t>Lucas Luiz Romero</t>
        </is>
      </c>
      <c r="C4697" t="inlineStr">
        <is>
          <t>Técnico III</t>
        </is>
      </c>
      <c r="D4697" t="n">
        <v>27</v>
      </c>
      <c r="E4697" t="n">
        <v>22</v>
      </c>
      <c r="F4697" t="n">
        <v>10.05</v>
      </c>
      <c r="G4697" t="n">
        <v>0</v>
      </c>
      <c r="I4697" t="n">
        <v>22</v>
      </c>
      <c r="J4697" t="n">
        <v>28</v>
      </c>
      <c r="K4697" t="n">
        <v>-6</v>
      </c>
      <c r="L4697" t="inlineStr">
        <is>
          <t>CRÍTICO</t>
        </is>
      </c>
      <c r="M4697" t="n">
        <v>4</v>
      </c>
      <c r="N4697" t="n">
        <v>100</v>
      </c>
      <c r="O4697" t="n">
        <v>27.67857142857143</v>
      </c>
    </row>
    <row r="4698">
      <c r="A4698" s="17" t="n">
        <v>46171</v>
      </c>
      <c r="B4698" t="inlineStr">
        <is>
          <t>Luiz Fernando de Carvalho Junior</t>
        </is>
      </c>
      <c r="C4698" t="inlineStr">
        <is>
          <t>Técnico I</t>
        </is>
      </c>
      <c r="D4698" t="n">
        <v>17</v>
      </c>
      <c r="E4698" t="n">
        <v>16</v>
      </c>
      <c r="F4698" t="n">
        <v>25.16</v>
      </c>
      <c r="G4698" t="n">
        <v>0</v>
      </c>
      <c r="I4698" t="n">
        <v>16</v>
      </c>
      <c r="J4698" t="n">
        <v>18</v>
      </c>
      <c r="K4698" t="n">
        <v>-2</v>
      </c>
      <c r="L4698" t="inlineStr">
        <is>
          <t>ATENÇÃO</t>
        </is>
      </c>
      <c r="M4698" t="n">
        <v>3</v>
      </c>
      <c r="N4698" t="n">
        <v>94.95999999999999</v>
      </c>
      <c r="O4698" t="n">
        <v>23.07692307692308</v>
      </c>
    </row>
    <row r="4699">
      <c r="A4699" s="17" t="n">
        <v>46171</v>
      </c>
      <c r="B4699" t="inlineStr">
        <is>
          <t>Matheus Farias De Souza</t>
        </is>
      </c>
      <c r="C4699" t="inlineStr">
        <is>
          <t>Técnico III</t>
        </is>
      </c>
      <c r="D4699" t="n">
        <v>0</v>
      </c>
      <c r="E4699" t="n">
        <v>0</v>
      </c>
      <c r="F4699" t="n">
        <v>0</v>
      </c>
      <c r="G4699" t="n">
        <v>0</v>
      </c>
      <c r="H4699" t="n">
        <v>0</v>
      </c>
      <c r="I4699" t="n">
        <v>0</v>
      </c>
      <c r="J4699" t="n">
        <v>0</v>
      </c>
      <c r="K4699" t="n">
        <v>0</v>
      </c>
      <c r="L4699" t="inlineStr">
        <is>
          <t>BOM</t>
        </is>
      </c>
      <c r="M4699" t="n">
        <v>22</v>
      </c>
      <c r="N4699" t="n">
        <v>98.44</v>
      </c>
      <c r="O4699" t="n">
        <v>7.816091954022989</v>
      </c>
    </row>
    <row r="4700">
      <c r="A4700" s="17" t="n">
        <v>46171</v>
      </c>
      <c r="B4700" t="inlineStr">
        <is>
          <t>Maysa Victoria Dias Moura</t>
        </is>
      </c>
      <c r="C4700" t="inlineStr">
        <is>
          <t>Técnico III</t>
        </is>
      </c>
      <c r="D4700" t="n">
        <v>36</v>
      </c>
      <c r="E4700" t="n">
        <v>29</v>
      </c>
      <c r="F4700" t="n">
        <v>10.1</v>
      </c>
      <c r="G4700" t="n">
        <v>9</v>
      </c>
      <c r="I4700" t="n">
        <v>38</v>
      </c>
      <c r="J4700" t="n">
        <v>28</v>
      </c>
      <c r="K4700" t="n">
        <v>10</v>
      </c>
      <c r="L4700" t="inlineStr">
        <is>
          <t>EXCELENTE</t>
        </is>
      </c>
      <c r="M4700" t="n">
        <v>4</v>
      </c>
      <c r="N4700" t="n">
        <v>96.79000000000001</v>
      </c>
      <c r="O4700" t="n">
        <v>24.44444444444444</v>
      </c>
    </row>
    <row r="4701">
      <c r="A4701" s="17" t="n">
        <v>46171</v>
      </c>
      <c r="B4701" t="inlineStr">
        <is>
          <t>Patrícia Karla de Sousa Araújo</t>
        </is>
      </c>
      <c r="C4701" t="inlineStr">
        <is>
          <t>Técnico II</t>
        </is>
      </c>
      <c r="D4701" t="n">
        <v>0</v>
      </c>
      <c r="E4701" t="n">
        <v>0</v>
      </c>
      <c r="F4701" t="n">
        <v>0</v>
      </c>
      <c r="G4701" t="n">
        <v>0</v>
      </c>
      <c r="H4701" t="n">
        <v>0</v>
      </c>
      <c r="I4701" t="n">
        <v>0</v>
      </c>
      <c r="J4701" t="n">
        <v>0</v>
      </c>
      <c r="K4701" t="n">
        <v>0</v>
      </c>
      <c r="L4701" t="inlineStr">
        <is>
          <t>BOM</t>
        </is>
      </c>
      <c r="M4701" t="n">
        <v>0</v>
      </c>
      <c r="N4701" t="n">
        <v>100</v>
      </c>
      <c r="O4701" t="n">
        <v>21.55963302752294</v>
      </c>
    </row>
    <row r="4702">
      <c r="A4702" s="17" t="n">
        <v>46171</v>
      </c>
      <c r="B4702" t="inlineStr">
        <is>
          <t>Raane Batista Matos</t>
        </is>
      </c>
      <c r="C4702" t="inlineStr">
        <is>
          <t>Técnico I</t>
        </is>
      </c>
      <c r="D4702" t="n">
        <v>25</v>
      </c>
      <c r="E4702" t="n">
        <v>23</v>
      </c>
      <c r="F4702" t="n">
        <v>20.3</v>
      </c>
      <c r="G4702" t="n">
        <v>3</v>
      </c>
      <c r="I4702" t="n">
        <v>26</v>
      </c>
      <c r="J4702" t="n">
        <v>18</v>
      </c>
      <c r="K4702" t="n">
        <v>8</v>
      </c>
      <c r="L4702" t="inlineStr">
        <is>
          <t>EXCELENTE</t>
        </is>
      </c>
      <c r="M4702" t="n">
        <v>2</v>
      </c>
      <c r="N4702" t="n">
        <v>98.36</v>
      </c>
      <c r="O4702" t="n">
        <v>23.11320754716981</v>
      </c>
    </row>
    <row r="4703">
      <c r="A4703" s="17" t="n">
        <v>46171</v>
      </c>
      <c r="B4703" t="inlineStr">
        <is>
          <t>Rafael Gomes de Morais</t>
        </is>
      </c>
      <c r="C4703" t="inlineStr">
        <is>
          <t>Técnico III</t>
        </is>
      </c>
      <c r="D4703" t="n">
        <v>41</v>
      </c>
      <c r="E4703" t="n">
        <v>37</v>
      </c>
      <c r="F4703" t="n">
        <v>10.26</v>
      </c>
      <c r="G4703" t="n">
        <v>0</v>
      </c>
      <c r="I4703" t="n">
        <v>37</v>
      </c>
      <c r="J4703" t="n">
        <v>28</v>
      </c>
      <c r="K4703" t="n">
        <v>9</v>
      </c>
      <c r="L4703" t="inlineStr">
        <is>
          <t>EXCELENTE</t>
        </is>
      </c>
      <c r="M4703" t="n">
        <v>3</v>
      </c>
      <c r="N4703" t="n">
        <v>99.47</v>
      </c>
      <c r="O4703" t="n">
        <v>26.70250896057348</v>
      </c>
    </row>
    <row r="4704">
      <c r="A4704" s="17" t="n">
        <v>46171</v>
      </c>
      <c r="B4704" t="inlineStr">
        <is>
          <t>Sara Maria Monteiro Lopes</t>
        </is>
      </c>
      <c r="C4704" t="inlineStr">
        <is>
          <t>Técnico I</t>
        </is>
      </c>
      <c r="D4704" t="n">
        <v>14</v>
      </c>
      <c r="E4704" t="n">
        <v>12</v>
      </c>
      <c r="F4704" t="n">
        <v>27.18</v>
      </c>
      <c r="G4704" t="n">
        <v>1</v>
      </c>
      <c r="I4704" t="n">
        <v>13</v>
      </c>
      <c r="J4704" t="n">
        <v>18</v>
      </c>
      <c r="K4704" t="n">
        <v>-5</v>
      </c>
      <c r="L4704" t="inlineStr">
        <is>
          <t>ATENÇÃO</t>
        </is>
      </c>
      <c r="M4704" t="n">
        <v>0</v>
      </c>
      <c r="N4704" t="n">
        <v>100</v>
      </c>
      <c r="O4704" t="n">
        <v>19.35483870967742</v>
      </c>
    </row>
    <row r="4705">
      <c r="A4705" s="17" t="n">
        <v>46171</v>
      </c>
      <c r="B4705" t="inlineStr">
        <is>
          <t>Sarah Steffanie de Lima Borges</t>
        </is>
      </c>
      <c r="C4705" t="inlineStr">
        <is>
          <t>Técnico III</t>
        </is>
      </c>
      <c r="D4705" t="n">
        <v>27</v>
      </c>
      <c r="E4705" t="n">
        <v>26</v>
      </c>
      <c r="F4705" t="n">
        <v>12.14</v>
      </c>
      <c r="G4705" t="n">
        <v>0</v>
      </c>
      <c r="I4705" t="n">
        <v>26</v>
      </c>
      <c r="J4705" t="n">
        <v>28</v>
      </c>
      <c r="K4705" t="n">
        <v>-2</v>
      </c>
      <c r="L4705" t="inlineStr">
        <is>
          <t>ATENÇÃO</t>
        </is>
      </c>
      <c r="M4705" t="n">
        <v>6</v>
      </c>
      <c r="N4705" t="n">
        <v>97.39</v>
      </c>
      <c r="O4705" t="n">
        <v>21.27139364303179</v>
      </c>
    </row>
  </sheetData>
  <autoFilter ref="A1:O4660">
    <filterColumn colId="0" hiddenButton="0" showButton="1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 hiddenButton="0" showButton="1">
      <filters>
        <filter val="Quirino Diogo Leite Torres"/>
      </filters>
    </filterColumn>
    <sortState ref="A7:O4620">
      <sortCondition ref="A1:A466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2026-06-01T11:58:05Z</dcterms:modified>
  <cp:lastModifiedBy>Esther Queiroz Supervisora Folha</cp:lastModifiedBy>
</cp:coreProperties>
</file>